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87" headerRowCount="1">
  <autoFilter ref="A1:CS28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COUNTA('Picks'!$A$2:$A$287)</f>
        <v/>
      </c>
      <c r="C4" s="6">
        <f>COUNTIF('Picks'!$U$2:$U$287,"open")</f>
        <v/>
      </c>
      <c r="E4" s="6">
        <f>COUNTIF('Picks'!$U$2:$U$287,"settled")</f>
        <v/>
      </c>
      <c r="G4" s="6">
        <f>IF(COUNTIFS('Picks'!$U$2:$U$287,"settled",'Picks'!$V$2:$V$287,"win")+COUNTIFS('Picks'!$U$2:$U$287,"settled",'Picks'!$V$2:$V$287,"loss")&gt;=$L$2,"Ready","Insufficient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COUNTIF('Picks'!$BX$2:$BX$287,"&gt;0")</f>
        <v/>
      </c>
      <c r="C7" s="6">
        <f>COUNTIFS('Picks'!$BX$2:$BX$287,"&gt;0",'Picks'!$V$2:$V$287,"win")&amp;"-"&amp;COUNTIFS('Picks'!$BX$2:$BX$287,"&gt;0",'Picks'!$V$2:$V$287,"loss")</f>
        <v/>
      </c>
      <c r="E7" s="7">
        <f>IFERROR(COUNTIFS('Picks'!$BX$2:$BX$287,"&gt;0",'Picks'!$V$2:$V$287,"win")/(COUNTIFS('Picks'!$BX$2:$BX$287,"&gt;0",'Picks'!$V$2:$V$287,"win")+COUNTIFS('Picks'!$BX$2:$BX$287,"&gt;0",'Picks'!$V$2:$V$287,"loss")),0)</f>
        <v/>
      </c>
      <c r="G7" s="7">
        <f>IFERROR(SUM('Picks'!$BY$2:$BY$287)/SUM('Picks'!$BX$2:$BX$287),0)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SUM('Picks'!$BY$2:$BY$287)</f>
        <v/>
      </c>
      <c r="C10" s="9">
        <f>IFERROR(AVERAGEIF('Picks'!$AB$2:$AB$287,"&lt;&gt;",'Picks'!$AB$2:$AB$287),0)</f>
        <v/>
      </c>
      <c r="E10" s="6">
        <f>COUNTIFS('Picks'!$AM$2:$AM$287,"QUALIFIED_SHADOW_CALL",'Picks'!$U$2:$U$287,"settled")</f>
        <v/>
      </c>
      <c r="G10" s="8">
        <f>SUMIFS('Picks'!$AC$2:$AC$287,'Picks'!$AM$2:$AM$287,"QUALIFIED_SHADOW_CALL")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COUNTIFS('Picks'!$H$2:$H$287,$A14,'Picks'!$U$2:$U$287,"settled")</f>
        <v/>
      </c>
      <c r="C14" s="13">
        <f>COUNTIFS('Picks'!$H$2:$H$287,$A14,'Picks'!$U$2:$U$287,"settled",'Picks'!$V$2:$V$287,"win")</f>
        <v/>
      </c>
      <c r="D14" s="13">
        <f>COUNTIFS('Picks'!$H$2:$H$287,$A14,'Picks'!$U$2:$U$287,"settled",'Picks'!$V$2:$V$287,"loss")</f>
        <v/>
      </c>
      <c r="E14" s="14">
        <f>IFERROR(C14/(C14+D14),0)</f>
        <v/>
      </c>
      <c r="F14" s="15">
        <f>SUMIFS('Picks'!$BY$2:$BY$287,'Picks'!$H$2:$H$287,$A14)</f>
        <v/>
      </c>
      <c r="G14" s="16">
        <f>IFERROR(AVERAGEIFS('Picks'!$AB$2:$AB$287,'Picks'!$H$2:$H$287,$A14,'Picks'!$U$2:$U$287,"settled"),0)</f>
        <v/>
      </c>
    </row>
    <row r="15">
      <c r="A15" s="17" t="inlineStr">
        <is>
          <t>spread</t>
        </is>
      </c>
      <c r="B15" s="18">
        <f>COUNTIFS('Picks'!$H$2:$H$287,$A15,'Picks'!$U$2:$U$287,"settled")</f>
        <v/>
      </c>
      <c r="C15" s="18">
        <f>COUNTIFS('Picks'!$H$2:$H$287,$A15,'Picks'!$U$2:$U$287,"settled",'Picks'!$V$2:$V$287,"win")</f>
        <v/>
      </c>
      <c r="D15" s="18">
        <f>COUNTIFS('Picks'!$H$2:$H$287,$A15,'Picks'!$U$2:$U$287,"settled",'Picks'!$V$2:$V$287,"loss")</f>
        <v/>
      </c>
      <c r="E15" s="19">
        <f>IFERROR(C15/(C15+D15),0)</f>
        <v/>
      </c>
      <c r="F15" s="20">
        <f>SUMIFS('Picks'!$BY$2:$BY$287,'Picks'!$H$2:$H$287,$A15)</f>
        <v/>
      </c>
      <c r="G15" s="21">
        <f>IFERROR(AVERAGEIFS('Picks'!$AB$2:$AB$287,'Picks'!$H$2:$H$287,$A15,'Picks'!$U$2:$U$287,"settled"),0)</f>
        <v/>
      </c>
    </row>
    <row r="16">
      <c r="A16" s="12" t="inlineStr">
        <is>
          <t>total</t>
        </is>
      </c>
      <c r="B16" s="13">
        <f>COUNTIFS('Picks'!$H$2:$H$287,$A16,'Picks'!$U$2:$U$287,"settled")</f>
        <v/>
      </c>
      <c r="C16" s="13">
        <f>COUNTIFS('Picks'!$H$2:$H$287,$A16,'Picks'!$U$2:$U$287,"settled",'Picks'!$V$2:$V$287,"win")</f>
        <v/>
      </c>
      <c r="D16" s="13">
        <f>COUNTIFS('Picks'!$H$2:$H$287,$A16,'Picks'!$U$2:$U$287,"settled",'Picks'!$V$2:$V$287,"loss")</f>
        <v/>
      </c>
      <c r="E16" s="14">
        <f>IFERROR(C16/(C16+D16),0)</f>
        <v/>
      </c>
      <c r="F16" s="15">
        <f>SUMIFS('Picks'!$BY$2:$BY$287,'Picks'!$H$2:$H$287,$A16)</f>
        <v/>
      </c>
      <c r="G16" s="16">
        <f>IFERROR(AVERAGEIFS('Picks'!$AB$2:$AB$287,'Picks'!$H$2:$H$287,$A16,'Picks'!$U$2:$U$287,"settled"),0)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4765ca9658a544c2</t>
        </is>
      </c>
      <c r="B2" s="24" t="inlineStr">
        <is>
          <t>2026-07-30T16:02:41.811013Z</t>
        </is>
      </c>
      <c r="C2" s="24" t="inlineStr">
        <is>
          <t>2026-07-30T12:10:00-0400</t>
        </is>
      </c>
      <c r="D2" s="24" t="inlineStr">
        <is>
          <t>401816324</t>
        </is>
      </c>
      <c r="E2" s="24" t="inlineStr">
        <is>
          <t>MLB</t>
        </is>
      </c>
      <c r="F2" s="24" t="inlineStr">
        <is>
          <t>Texas Rangers</t>
        </is>
      </c>
      <c r="G2" s="24" t="inlineStr">
        <is>
          <t>Tampa Bay Rays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-160</v>
      </c>
      <c r="M2" s="27" t="n">
        <v>1.625</v>
      </c>
      <c r="N2" s="28" t="n">
        <v>0.615385</v>
      </c>
      <c r="O2" s="28" t="n">
        <v>0.560375</v>
      </c>
      <c r="P2" s="28" t="n"/>
      <c r="Q2" s="28" t="n">
        <v>-0.05501</v>
      </c>
      <c r="R2" s="26" t="n">
        <v>0</v>
      </c>
      <c r="S2" s="29" t="n">
        <v>1</v>
      </c>
      <c r="T2" s="24" t="inlineStr">
        <is>
          <t>mlb-elo-trend-lr-v7</t>
        </is>
      </c>
      <c r="U2" s="24" t="inlineStr">
        <is>
          <t>settled</t>
        </is>
      </c>
      <c r="V2" s="24" t="inlineStr">
        <is>
          <t>win</t>
        </is>
      </c>
      <c r="W2" s="26" t="n">
        <v>2</v>
      </c>
      <c r="X2" s="26" t="n">
        <v>3</v>
      </c>
      <c r="Y2" s="25" t="n"/>
      <c r="Z2" s="26" t="n">
        <v>-160</v>
      </c>
      <c r="AA2" s="28" t="n">
        <v>0.615</v>
      </c>
      <c r="AB2" s="28" t="n">
        <v>-0.000385</v>
      </c>
      <c r="AC2" s="30" t="n">
        <v>0.625</v>
      </c>
      <c r="AD2" s="24" t="inlineStr">
        <is>
          <t>2026-07-30T21:05:53.177909Z</t>
        </is>
      </c>
      <c r="AE2" s="31" t="inlineStr">
        <is>
          <t>Learned LR call at threshold 0.6242; executable ask 0.6150 (aec-mlb-tex-tb-2026-07-30); model edge vs ask -0.0546.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mlb-tex</t>
        </is>
      </c>
      <c r="AQ2" s="24" t="inlineStr">
        <is>
          <t>Texas Rangers</t>
        </is>
      </c>
      <c r="AR2" s="24" t="inlineStr">
        <is>
          <t>Texas Rangers</t>
        </is>
      </c>
      <c r="AS2" s="24" t="inlineStr">
        <is>
          <t>mlb-tb</t>
        </is>
      </c>
      <c r="AT2" s="24" t="inlineStr">
        <is>
          <t>Tampa Bay Rays</t>
        </is>
      </c>
      <c r="AU2" s="24" t="inlineStr">
        <is>
          <t>Tampa Bay Rays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464eef695bfbbdaa819ec6f5e4c5bd1068ed20b92915fb2677220ae91e20d8b6</t>
        </is>
      </c>
      <c r="BB2" s="24" t="inlineStr">
        <is>
          <t>learned_lr</t>
        </is>
      </c>
      <c r="BC2" s="24" t="inlineStr">
        <is>
          <t>mlb-elo-trend-lr-v7</t>
        </is>
      </c>
      <c r="BD2" s="24" t="inlineStr">
        <is>
          <t>464eef695bfbbdaa819ec6f5e4c5bd1068ed20b92915fb2677220ae91e20d8b6</t>
        </is>
      </c>
      <c r="BE2" s="24" t="inlineStr">
        <is>
          <t>2e5c467578e391cd</t>
        </is>
      </c>
      <c r="BF2" s="24" t="inlineStr">
        <is>
          <t>1</t>
        </is>
      </c>
      <c r="BG2" s="24" t="inlineStr">
        <is>
          <t>mlb-elo-trend-lr-v7</t>
        </is>
      </c>
      <c r="BH2" s="24" t="inlineStr">
        <is>
          <t>2026-07-30T16:01:48.107244Z</t>
        </is>
      </c>
      <c r="BI2" s="24" t="inlineStr">
        <is>
          <t>["same_event","same_team_same_day","same_league_same_day"]</t>
        </is>
      </c>
      <c r="BJ2" s="25" t="n"/>
      <c r="BK2" s="26" t="n">
        <v>-160</v>
      </c>
      <c r="BL2" s="27" t="n">
        <v>1.625</v>
      </c>
      <c r="BM2" s="28" t="n">
        <v>0.615385</v>
      </c>
      <c r="BN2" s="28" t="n">
        <v>0.61194</v>
      </c>
      <c r="BO2" s="28" t="n"/>
      <c r="BP2" s="25" t="n"/>
      <c r="BQ2" s="27" t="n">
        <v>1.625</v>
      </c>
      <c r="BR2" s="28" t="n">
        <v>0.615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0.5786000288</t>
        </is>
      </c>
      <c r="CD2" s="24" t="inlineStr">
        <is>
          <t>0.008586</t>
        </is>
      </c>
      <c r="CE2" s="24" t="inlineStr">
        <is>
          <t>0.965</t>
        </is>
      </c>
      <c r="CF2" s="24" t="inlineStr">
        <is>
          <t>1</t>
        </is>
      </c>
      <c r="CG2" s="24" t="inlineStr">
        <is>
          <t>-1.6</t>
        </is>
      </c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406393dea9594c0a</t>
        </is>
      </c>
      <c r="B3" s="24" t="inlineStr">
        <is>
          <t>2026-07-30T16:03:19.057215Z</t>
        </is>
      </c>
      <c r="C3" s="24" t="inlineStr">
        <is>
          <t>2026-07-30T16:10Z</t>
        </is>
      </c>
      <c r="D3" s="24" t="inlineStr">
        <is>
          <t>401816324</t>
        </is>
      </c>
      <c r="E3" s="24" t="inlineStr">
        <is>
          <t>MLB</t>
        </is>
      </c>
      <c r="F3" s="24" t="inlineStr">
        <is>
          <t>Texas Rangers</t>
        </is>
      </c>
      <c r="G3" s="24" t="inlineStr">
        <is>
          <t>Tampa Bay Rays</t>
        </is>
      </c>
      <c r="H3" s="24" t="inlineStr">
        <is>
          <t>spread</t>
        </is>
      </c>
      <c r="I3" s="24" t="inlineStr">
        <is>
          <t>away</t>
        </is>
      </c>
      <c r="J3" s="25" t="n">
        <v>1.5</v>
      </c>
      <c r="K3" s="24" t="inlineStr">
        <is>
          <t>polymarket_us</t>
        </is>
      </c>
      <c r="L3" s="26" t="n">
        <v>-125</v>
      </c>
      <c r="M3" s="27" t="n">
        <v>1.8</v>
      </c>
      <c r="N3" s="28" t="n">
        <v>0.555556</v>
      </c>
      <c r="O3" s="28" t="n">
        <v>0.542925</v>
      </c>
      <c r="P3" s="28" t="n">
        <v>0.042131</v>
      </c>
      <c r="Q3" s="28" t="n">
        <v>-0.012631</v>
      </c>
      <c r="R3" s="26" t="n">
        <v>18</v>
      </c>
      <c r="S3" s="29" t="n">
        <v>1</v>
      </c>
      <c r="T3" s="24" t="inlineStr">
        <is>
          <t>measured-edge-margin-v1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3</v>
      </c>
      <c r="Y3" s="25" t="n">
        <v>1.5</v>
      </c>
      <c r="Z3" s="26" t="n">
        <v>-125</v>
      </c>
      <c r="AA3" s="28" t="n">
        <v>0.555</v>
      </c>
      <c r="AB3" s="28" t="n">
        <v>-0.000556</v>
      </c>
      <c r="AC3" s="30" t="n">
        <v>0.8</v>
      </c>
      <c r="AD3" s="24" t="inlineStr">
        <is>
          <t>2026-07-30T21:05:53.337456Z</t>
        </is>
      </c>
      <c r="AE3" s="31" t="inlineStr">
        <is>
          <t>Measured Edge Margin: Trend Engine projected 4.22-4.87; raw selected-side p=0.6072, calibrated p=0.5429.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mlb-tex</t>
        </is>
      </c>
      <c r="AQ3" s="24" t="inlineStr">
        <is>
          <t>Texas Rangers</t>
        </is>
      </c>
      <c r="AR3" s="24" t="inlineStr">
        <is>
          <t>Texas Rangers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2bc2ce55b0d39a20103f724bbddbde5394909acd49297f52665b596a0ae3ae8b</t>
        </is>
      </c>
      <c r="BB3" s="24" t="inlineStr">
        <is>
          <t>flat_probability_shrinkage_toward_half</t>
        </is>
      </c>
      <c r="BC3" s="24" t="inlineStr">
        <is>
          <t>measured-edge-margin-v1</t>
        </is>
      </c>
      <c r="BD3" s="24" t="inlineStr">
        <is>
          <t>2bc2ce55b0d39a20103f724bbddbde5394909acd49297f52665b596a0ae3ae8b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2026-07-30T16:03:19.057215Z</t>
        </is>
      </c>
      <c r="BI3" s="24" t="inlineStr">
        <is>
          <t>["same_event","same_team_same_day","same_league_same_day"]</t>
        </is>
      </c>
      <c r="BJ3" s="25" t="n">
        <v>1.5</v>
      </c>
      <c r="BK3" s="26" t="n">
        <v>-125</v>
      </c>
      <c r="BL3" s="27" t="n">
        <v>1.8</v>
      </c>
      <c r="BM3" s="28" t="n">
        <v>0.555556</v>
      </c>
      <c r="BN3" s="28" t="n">
        <v>0.552239</v>
      </c>
      <c r="BO3" s="28" t="n"/>
      <c r="BP3" s="25" t="n"/>
      <c r="BQ3" s="27" t="n">
        <v>1.8</v>
      </c>
      <c r="BR3" s="28" t="n">
        <v>0.555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11bd8c09245d4774</t>
        </is>
      </c>
      <c r="B4" s="24" t="inlineStr">
        <is>
          <t>2026-07-30T16:03:19.057215Z</t>
        </is>
      </c>
      <c r="C4" s="24" t="inlineStr">
        <is>
          <t>2026-07-30T16:10Z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total</t>
        </is>
      </c>
      <c r="I4" s="24" t="inlineStr">
        <is>
          <t>over</t>
        </is>
      </c>
      <c r="J4" s="25" t="n">
        <v>7.5</v>
      </c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0.582045</v>
      </c>
      <c r="P4" s="28" t="n">
        <v>0.042131</v>
      </c>
      <c r="Q4" s="28" t="n">
        <v>0.051529</v>
      </c>
      <c r="R4" s="26" t="n">
        <v>50</v>
      </c>
      <c r="S4" s="29" t="n">
        <v>1.25</v>
      </c>
      <c r="T4" s="24" t="inlineStr">
        <is>
          <t>measured-edge-totals-v1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3</v>
      </c>
      <c r="Y4" s="25" t="n">
        <v>7.5</v>
      </c>
      <c r="Z4" s="26" t="n">
        <v>-113</v>
      </c>
      <c r="AA4" s="28" t="n">
        <v>0.53</v>
      </c>
      <c r="AB4" s="28" t="n">
        <v>-0.000516</v>
      </c>
      <c r="AC4" s="30" t="n">
        <v>-1.25</v>
      </c>
      <c r="AD4" s="24" t="inlineStr">
        <is>
          <t>2026-07-30T21:05:53.492089Z</t>
        </is>
      </c>
      <c r="AE4" s="31" t="inlineStr">
        <is>
          <t>Measured Edge Totals: Trend Engine projected 4.22-4.87; raw selected-side p=0.6005, calibrated p=0.5820.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cbc2c9bf5a9569a49e1902c816d96556d704cf10819ca3a9e927721685757d0b</t>
        </is>
      </c>
      <c r="BB4" s="24" t="inlineStr">
        <is>
          <t>flat_probability_shrinkage_toward_half</t>
        </is>
      </c>
      <c r="BC4" s="24" t="inlineStr">
        <is>
          <t>measured-edge-totals-v1</t>
        </is>
      </c>
      <c r="BD4" s="24" t="inlineStr">
        <is>
          <t>cbc2c9bf5a9569a49e1902c816d96556d704cf10819ca3a9e927721685757d0b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2026-07-30T16:03:19.057215Z</t>
        </is>
      </c>
      <c r="BI4" s="24" t="inlineStr">
        <is>
          <t>["same_event","same_team_same_day","same_league_same_day"]</t>
        </is>
      </c>
      <c r="BJ4" s="25" t="n">
        <v>7.5</v>
      </c>
      <c r="BK4" s="26" t="n">
        <v>-113</v>
      </c>
      <c r="BL4" s="27" t="n">
        <v>1.884956</v>
      </c>
      <c r="BM4" s="28" t="n">
        <v>0.530516</v>
      </c>
      <c r="BN4" s="28" t="n">
        <v>0.527363</v>
      </c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80054eebaf564b26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2026-07-30T21:05:53.645918Z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560d43ddfce245d6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2026-07-31T00:54:58.572192Z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b912ee69b50f4e34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2026-07-31T00:54:58.732967Z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e204040905f94109</t>
        </is>
      </c>
      <c r="B8" s="24" t="inlineStr">
        <is>
          <t>2026-07-30T17:36:41.418998Z</t>
        </is>
      </c>
      <c r="C8" s="24" t="inlineStr">
        <is>
          <t>2026-07-30T17:40Z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-160</v>
      </c>
      <c r="M8" s="27" t="n">
        <v>1.625</v>
      </c>
      <c r="N8" s="28" t="n">
        <v>0.615385</v>
      </c>
      <c r="O8" s="28" t="n">
        <v>0.550293</v>
      </c>
      <c r="P8" s="28" t="n">
        <v>0.042131</v>
      </c>
      <c r="Q8" s="28" t="n">
        <v>-0.065092</v>
      </c>
      <c r="R8" s="26" t="n">
        <v>0</v>
      </c>
      <c r="S8" s="29" t="n">
        <v>1</v>
      </c>
      <c r="T8" s="24" t="inlineStr">
        <is>
          <t>measured-edge-margin-v1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-160</v>
      </c>
      <c r="AA8" s="28" t="n">
        <v>0.615</v>
      </c>
      <c r="AB8" s="28" t="n">
        <v>-0.000385</v>
      </c>
      <c r="AC8" s="30" t="n">
        <v>0.625</v>
      </c>
      <c r="AD8" s="24" t="inlineStr">
        <is>
          <t>2026-07-30T21:05:53.799263Z</t>
        </is>
      </c>
      <c r="AE8" s="31" t="inlineStr">
        <is>
          <t>Measured Edge Margin: Trend Engine projected 4.80-5.00; raw selected-side p=0.6448, calibrated p=0.5503.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2bc2ce55b0d39a20103f724bbddbde5394909acd49297f52665b596a0ae3ae8b</t>
        </is>
      </c>
      <c r="BB8" s="24" t="inlineStr">
        <is>
          <t>flat_probability_shrinkage_toward_half</t>
        </is>
      </c>
      <c r="BC8" s="24" t="inlineStr">
        <is>
          <t>measured-edge-margin-v1</t>
        </is>
      </c>
      <c r="BD8" s="24" t="inlineStr">
        <is>
          <t>2bc2ce55b0d39a20103f724bbddbde5394909acd49297f52665b596a0ae3ae8b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2026-07-30T17:36:41.418998Z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-160</v>
      </c>
      <c r="BL8" s="27" t="n">
        <v>1.625</v>
      </c>
      <c r="BM8" s="28" t="n">
        <v>0.615385</v>
      </c>
      <c r="BN8" s="28" t="n">
        <v>0.61194</v>
      </c>
      <c r="BO8" s="28" t="n"/>
      <c r="BP8" s="25" t="n"/>
      <c r="BQ8" s="27" t="n">
        <v>1.625</v>
      </c>
      <c r="BR8" s="28" t="n">
        <v>0.615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0058e2e4dee14815</t>
        </is>
      </c>
      <c r="B9" s="24" t="inlineStr">
        <is>
          <t>2026-07-30T17:36:41.418998Z</t>
        </is>
      </c>
      <c r="C9" s="24" t="inlineStr">
        <is>
          <t>2026-07-30T18:10Z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-182</v>
      </c>
      <c r="M9" s="27" t="n">
        <v>1.549451</v>
      </c>
      <c r="N9" s="28" t="n">
        <v>0.64539</v>
      </c>
      <c r="O9" s="28" t="n">
        <v>0.56787</v>
      </c>
      <c r="P9" s="28" t="n">
        <v>0.042131</v>
      </c>
      <c r="Q9" s="28" t="n">
        <v>-0.07752000000000001</v>
      </c>
      <c r="R9" s="26" t="n">
        <v>0</v>
      </c>
      <c r="S9" s="29" t="n">
        <v>1.25</v>
      </c>
      <c r="T9" s="24" t="inlineStr">
        <is>
          <t>measured-edge-margin-v1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2</v>
      </c>
      <c r="Y9" s="25" t="n">
        <v>1.5</v>
      </c>
      <c r="Z9" s="26" t="n">
        <v>-182</v>
      </c>
      <c r="AA9" s="28" t="n">
        <v>0.645</v>
      </c>
      <c r="AB9" s="28" t="n">
        <v>-0.00039</v>
      </c>
      <c r="AC9" s="30" t="n">
        <v>0.6868</v>
      </c>
      <c r="AD9" s="24" t="inlineStr">
        <is>
          <t>2026-07-31T00:54:58.887853Z</t>
        </is>
      </c>
      <c r="AE9" s="31" t="inlineStr">
        <is>
          <t>Measured Edge Margin: Trend Engine projected 4.07-4.77; raw selected-side p=0.7342, calibrated p=0.5679.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2bc2ce55b0d39a20103f724bbddbde5394909acd49297f52665b596a0ae3ae8b</t>
        </is>
      </c>
      <c r="BB9" s="24" t="inlineStr">
        <is>
          <t>flat_probability_shrinkage_toward_half</t>
        </is>
      </c>
      <c r="BC9" s="24" t="inlineStr">
        <is>
          <t>measured-edge-margin-v1</t>
        </is>
      </c>
      <c r="BD9" s="24" t="inlineStr">
        <is>
          <t>2bc2ce55b0d39a20103f724bbddbde5394909acd49297f52665b596a0ae3ae8b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2026-07-30T17:36:41.418998Z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-182</v>
      </c>
      <c r="BL9" s="27" t="n">
        <v>1.549451</v>
      </c>
      <c r="BM9" s="28" t="n">
        <v>0.64539</v>
      </c>
      <c r="BN9" s="28" t="n">
        <v>0.641791</v>
      </c>
      <c r="BO9" s="28" t="n"/>
      <c r="BP9" s="25" t="n"/>
      <c r="BQ9" s="27" t="n">
        <v>1.549451</v>
      </c>
      <c r="BR9" s="28" t="n">
        <v>0.645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3fc8b2e5f3744a2c</t>
        </is>
      </c>
      <c r="B10" s="24" t="inlineStr">
        <is>
          <t>2026-07-30T17:36:41.418998Z</t>
        </is>
      </c>
      <c r="C10" s="24" t="inlineStr">
        <is>
          <t>2026-07-30T18:10Z</t>
        </is>
      </c>
      <c r="D10" s="24" t="inlineStr">
        <is>
          <t>401816328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White Sox</t>
        </is>
      </c>
      <c r="H10" s="24" t="inlineStr">
        <is>
          <t>total</t>
        </is>
      </c>
      <c r="I10" s="24" t="inlineStr">
        <is>
          <t>over</t>
        </is>
      </c>
      <c r="J10" s="25" t="n">
        <v>7.5</v>
      </c>
      <c r="K10" s="24" t="inlineStr">
        <is>
          <t>polymarket_us</t>
        </is>
      </c>
      <c r="L10" s="26" t="n">
        <v>106</v>
      </c>
      <c r="M10" s="27" t="n">
        <v>2.06</v>
      </c>
      <c r="N10" s="28" t="n">
        <v>0.485437</v>
      </c>
      <c r="O10" s="28" t="n">
        <v>0.562449</v>
      </c>
      <c r="P10" s="28" t="n">
        <v>0.042131</v>
      </c>
      <c r="Q10" s="28" t="n">
        <v>0.077012</v>
      </c>
      <c r="R10" s="26" t="n">
        <v>63</v>
      </c>
      <c r="S10" s="29" t="n">
        <v>1.25</v>
      </c>
      <c r="T10" s="24" t="inlineStr">
        <is>
          <t>measured-edge-totals-v1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2</v>
      </c>
      <c r="Y10" s="25" t="n">
        <v>7.5</v>
      </c>
      <c r="Z10" s="26" t="n">
        <v>106</v>
      </c>
      <c r="AA10" s="28" t="n">
        <v>0.485</v>
      </c>
      <c r="AB10" s="28" t="n">
        <v>-0.000437</v>
      </c>
      <c r="AC10" s="30" t="n">
        <v>-1.25</v>
      </c>
      <c r="AD10" s="24" t="inlineStr">
        <is>
          <t>2026-07-31T00:54:59.047172Z</t>
        </is>
      </c>
      <c r="AE10" s="31" t="inlineStr">
        <is>
          <t>Measured Edge Totals: Trend Engine projected 4.07-4.77; raw selected-side p=0.5803, calibrated p=0.5624.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mlb-cws</t>
        </is>
      </c>
      <c r="AT10" s="24" t="inlineStr">
        <is>
          <t>Chicago White Sox</t>
        </is>
      </c>
      <c r="AU10" s="24" t="inlineStr">
        <is>
          <t>Chicago White Sox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cbc2c9bf5a9569a49e1902c816d96556d704cf10819ca3a9e927721685757d0b</t>
        </is>
      </c>
      <c r="BB10" s="24" t="inlineStr">
        <is>
          <t>flat_probability_shrinkage_toward_half</t>
        </is>
      </c>
      <c r="BC10" s="24" t="inlineStr">
        <is>
          <t>measured-edge-totals-v1</t>
        </is>
      </c>
      <c r="BD10" s="24" t="inlineStr">
        <is>
          <t>cbc2c9bf5a9569a49e1902c816d96556d704cf10819ca3a9e927721685757d0b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2026-07-30T17:36:41.418998Z</t>
        </is>
      </c>
      <c r="BI10" s="24" t="inlineStr">
        <is>
          <t>["same_event","same_team_same_day","same_league_same_day"]</t>
        </is>
      </c>
      <c r="BJ10" s="25" t="n">
        <v>7.5</v>
      </c>
      <c r="BK10" s="26" t="n">
        <v>106</v>
      </c>
      <c r="BL10" s="27" t="n">
        <v>2.06</v>
      </c>
      <c r="BM10" s="28" t="n">
        <v>0.485437</v>
      </c>
      <c r="BN10" s="28" t="n">
        <v>0.482587</v>
      </c>
      <c r="BO10" s="28" t="n"/>
      <c r="BP10" s="25" t="n"/>
      <c r="BQ10" s="27" t="n">
        <v>2.06</v>
      </c>
      <c r="BR10" s="28" t="n">
        <v>0.485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dffb9fbd0449460f</t>
        </is>
      </c>
      <c r="B11" s="24" t="inlineStr">
        <is>
          <t>2026-07-30T17:36:41.418998Z</t>
        </is>
      </c>
      <c r="C11" s="24" t="inlineStr">
        <is>
          <t>2026-07-30T18:15Z</t>
        </is>
      </c>
      <c r="D11" s="24" t="inlineStr">
        <is>
          <t>401816326</t>
        </is>
      </c>
      <c r="E11" s="24" t="inlineStr">
        <is>
          <t>MLB</t>
        </is>
      </c>
      <c r="F11" s="24" t="inlineStr">
        <is>
          <t>Chicago Cubs</t>
        </is>
      </c>
      <c r="G11" s="24" t="inlineStr">
        <is>
          <t>St. Louis Cardinals</t>
        </is>
      </c>
      <c r="H11" s="24" t="inlineStr">
        <is>
          <t>spread</t>
        </is>
      </c>
      <c r="I11" s="24" t="inlineStr">
        <is>
          <t>home</t>
        </is>
      </c>
      <c r="J11" s="25" t="n">
        <v>1.5</v>
      </c>
      <c r="K11" s="24" t="inlineStr">
        <is>
          <t>polymarket_us</t>
        </is>
      </c>
      <c r="L11" s="26" t="n">
        <v>-174</v>
      </c>
      <c r="M11" s="27" t="n">
        <v>1.574713</v>
      </c>
      <c r="N11" s="28" t="n">
        <v>0.635036</v>
      </c>
      <c r="O11" s="28" t="n">
        <v>0.556257</v>
      </c>
      <c r="P11" s="28" t="n">
        <v>0.042131</v>
      </c>
      <c r="Q11" s="28" t="n">
        <v>-0.078779</v>
      </c>
      <c r="R11" s="26" t="n">
        <v>0</v>
      </c>
      <c r="S11" s="29" t="n">
        <v>1</v>
      </c>
      <c r="T11" s="24" t="inlineStr">
        <is>
          <t>measured-edge-margin-v1</t>
        </is>
      </c>
      <c r="U11" s="24" t="inlineStr">
        <is>
          <t>settled</t>
        </is>
      </c>
      <c r="V11" s="24" t="inlineStr">
        <is>
          <t>loss</t>
        </is>
      </c>
      <c r="W11" s="26" t="n">
        <v>4</v>
      </c>
      <c r="X11" s="26" t="n">
        <v>2</v>
      </c>
      <c r="Y11" s="25" t="n">
        <v>1.5</v>
      </c>
      <c r="Z11" s="26" t="n">
        <v>-174</v>
      </c>
      <c r="AA11" s="28" t="n">
        <v>0.635</v>
      </c>
      <c r="AB11" s="28" t="n">
        <v>-3.6e-05</v>
      </c>
      <c r="AC11" s="30" t="n">
        <v>-1</v>
      </c>
      <c r="AD11" s="24" t="inlineStr">
        <is>
          <t>2026-07-31T00:54:59.202385Z</t>
        </is>
      </c>
      <c r="AE11" s="31" t="inlineStr">
        <is>
          <t>Measured Edge Margin: Trend Engine projected 4.49-4.55; raw selected-side p=0.6751, calibrated p=0.5563.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mlb-chc</t>
        </is>
      </c>
      <c r="AQ11" s="24" t="inlineStr">
        <is>
          <t>Chicago Cubs</t>
        </is>
      </c>
      <c r="AR11" s="24" t="inlineStr">
        <is>
          <t>Chicago Cubs</t>
        </is>
      </c>
      <c r="AS11" s="24" t="inlineStr">
        <is>
          <t>mlb-stl</t>
        </is>
      </c>
      <c r="AT11" s="24" t="inlineStr">
        <is>
          <t>St. Louis Cardinals</t>
        </is>
      </c>
      <c r="AU11" s="24" t="inlineStr">
        <is>
          <t>St. Louis Cardinals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2bc2ce55b0d39a20103f724bbddbde5394909acd49297f52665b596a0ae3ae8b</t>
        </is>
      </c>
      <c r="BB11" s="24" t="inlineStr">
        <is>
          <t>flat_probability_shrinkage_toward_half</t>
        </is>
      </c>
      <c r="BC11" s="24" t="inlineStr">
        <is>
          <t>measured-edge-margin-v1</t>
        </is>
      </c>
      <c r="BD11" s="24" t="inlineStr">
        <is>
          <t>2bc2ce55b0d39a20103f724bbddbde5394909acd49297f52665b596a0ae3ae8b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2026-07-30T17:36:41.418998Z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-174</v>
      </c>
      <c r="BL11" s="27" t="n">
        <v>1.574713</v>
      </c>
      <c r="BM11" s="28" t="n">
        <v>0.635036</v>
      </c>
      <c r="BN11" s="28" t="n">
        <v>0.631841</v>
      </c>
      <c r="BO11" s="28" t="n"/>
      <c r="BP11" s="25" t="n"/>
      <c r="BQ11" s="27" t="n">
        <v>1.574713</v>
      </c>
      <c r="BR11" s="28" t="n">
        <v>0.635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f51c71784cf44ec9</t>
        </is>
      </c>
      <c r="B12" s="24" t="inlineStr">
        <is>
          <t>2026-07-30T17:36:41.418998Z</t>
        </is>
      </c>
      <c r="C12" s="24" t="inlineStr">
        <is>
          <t>2026-07-30T18:15Z</t>
        </is>
      </c>
      <c r="D12" s="24" t="inlineStr">
        <is>
          <t>401816326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St. Louis Cardinals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113</v>
      </c>
      <c r="M12" s="27" t="n">
        <v>2.13</v>
      </c>
      <c r="N12" s="28" t="n">
        <v>0.469484</v>
      </c>
      <c r="O12" s="28" t="n">
        <v>0.500169</v>
      </c>
      <c r="P12" s="28" t="n">
        <v>0.042131</v>
      </c>
      <c r="Q12" s="28" t="n">
        <v>0.030685</v>
      </c>
      <c r="R12" s="26" t="n">
        <v>40</v>
      </c>
      <c r="S12" s="29" t="n">
        <v>1</v>
      </c>
      <c r="T12" s="24" t="inlineStr">
        <is>
          <t>measured-edge-totals-v1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>
        <v>8.5</v>
      </c>
      <c r="Z12" s="26" t="n">
        <v>113</v>
      </c>
      <c r="AA12" s="28" t="n">
        <v>0.47</v>
      </c>
      <c r="AB12" s="28" t="n">
        <v>0.000516</v>
      </c>
      <c r="AC12" s="30" t="n">
        <v>-1</v>
      </c>
      <c r="AD12" s="24" t="inlineStr">
        <is>
          <t>2026-07-31T00:54:59.357088Z</t>
        </is>
      </c>
      <c r="AE12" s="31" t="inlineStr">
        <is>
          <t>Measured Edge Totals: Trend Engine projected 4.49-4.55; raw selected-side p=0.5161, calibrated p=0.5002.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mlb-stl</t>
        </is>
      </c>
      <c r="AT12" s="24" t="inlineStr">
        <is>
          <t>St. Louis Cardinals</t>
        </is>
      </c>
      <c r="AU12" s="24" t="inlineStr">
        <is>
          <t>St. Louis Cardinals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cbc2c9bf5a9569a49e1902c816d96556d704cf10819ca3a9e927721685757d0b</t>
        </is>
      </c>
      <c r="BB12" s="24" t="inlineStr">
        <is>
          <t>flat_probability_shrinkage_toward_half</t>
        </is>
      </c>
      <c r="BC12" s="24" t="inlineStr">
        <is>
          <t>measured-edge-totals-v1</t>
        </is>
      </c>
      <c r="BD12" s="24" t="inlineStr">
        <is>
          <t>cbc2c9bf5a9569a49e1902c816d96556d704cf10819ca3a9e927721685757d0b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2026-07-30T17:36:41.418998Z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113</v>
      </c>
      <c r="BL12" s="27" t="n">
        <v>2.13</v>
      </c>
      <c r="BM12" s="28" t="n">
        <v>0.469484</v>
      </c>
      <c r="BN12" s="28" t="n">
        <v>0.467662</v>
      </c>
      <c r="BO12" s="28" t="n"/>
      <c r="BP12" s="25" t="n"/>
      <c r="BQ12" s="27" t="n">
        <v>2.13</v>
      </c>
      <c r="BR12" s="28" t="n">
        <v>0.47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290bae9188f1467d</t>
        </is>
      </c>
      <c r="B13" s="24" t="inlineStr">
        <is>
          <t>2026-07-30T21:07:38.996144Z</t>
        </is>
      </c>
      <c r="C13" s="24" t="inlineStr">
        <is>
          <t>2026-07-30T19:00:00-0400</t>
        </is>
      </c>
      <c r="D13" s="24" t="inlineStr">
        <is>
          <t>401816325</t>
        </is>
      </c>
      <c r="E13" s="24" t="inlineStr">
        <is>
          <t>MLB</t>
        </is>
      </c>
      <c r="F13" s="24" t="inlineStr">
        <is>
          <t>Washington Nationals</t>
        </is>
      </c>
      <c r="G13" s="24" t="inlineStr">
        <is>
          <t>Atlanta Braves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0.612872</v>
      </c>
      <c r="P13" s="28" t="n"/>
      <c r="Q13" s="28" t="n">
        <v>0.022708</v>
      </c>
      <c r="R13" s="26" t="n">
        <v>33</v>
      </c>
      <c r="S13" s="29" t="n">
        <v>1.75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4</v>
      </c>
      <c r="X13" s="26" t="n">
        <v>5</v>
      </c>
      <c r="Y13" s="25" t="n"/>
      <c r="Z13" s="26" t="n">
        <v>-144</v>
      </c>
      <c r="AA13" s="28" t="n">
        <v>0.59</v>
      </c>
      <c r="AB13" s="28" t="n">
        <v>-0.000164</v>
      </c>
      <c r="AC13" s="30" t="n">
        <v>1.2153</v>
      </c>
      <c r="AD13" s="24" t="inlineStr">
        <is>
          <t>2026-07-31T04:29:20.291984Z</t>
        </is>
      </c>
      <c r="AE13" s="31" t="inlineStr">
        <is>
          <t>Learned LR call at threshold 0.6242; executable ask 0.5900 (aec-mlb-wsh-atl-2026-07-30); model edge vs ask +0.0229.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mlb-wsh</t>
        </is>
      </c>
      <c r="AQ13" s="24" t="inlineStr">
        <is>
          <t>Washington Nationals</t>
        </is>
      </c>
      <c r="AR13" s="24" t="inlineStr">
        <is>
          <t>Washington Nationals</t>
        </is>
      </c>
      <c r="AS13" s="24" t="inlineStr">
        <is>
          <t>mlb-atl</t>
        </is>
      </c>
      <c r="AT13" s="24" t="inlineStr">
        <is>
          <t>Atlanta Braves</t>
        </is>
      </c>
      <c r="AU13" s="24" t="inlineStr">
        <is>
          <t>Atlanta Braves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2ad0bbfc4a5ff39d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2026-07-30T21:07:13.074633Z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>
        <v>0.5870649999999999</v>
      </c>
      <c r="BO13" s="28" t="n"/>
      <c r="BP13" s="25" t="n"/>
      <c r="BQ13" s="27" t="n">
        <v>1.694444</v>
      </c>
      <c r="BR13" s="28" t="n">
        <v>0.59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0.6174839141</t>
        </is>
      </c>
      <c r="CD13" s="24" t="inlineStr">
        <is>
          <t>-0.449351</t>
        </is>
      </c>
      <c r="CE13" s="24" t="inlineStr">
        <is>
          <t>0.929</t>
        </is>
      </c>
      <c r="CF13" s="24" t="inlineStr">
        <is>
          <t>1.0174</t>
        </is>
      </c>
      <c r="CG13" s="24" t="inlineStr">
        <is>
          <t>0.2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373898a172fe4c46</t>
        </is>
      </c>
      <c r="B14" s="24" t="inlineStr">
        <is>
          <t>2026-07-30T21:07:38.996144Z</t>
        </is>
      </c>
      <c r="C14" s="24" t="inlineStr">
        <is>
          <t>2026-07-30T19:10:00-0400</t>
        </is>
      </c>
      <c r="D14" s="24" t="inlineStr">
        <is>
          <t>401816322</t>
        </is>
      </c>
      <c r="E14" s="24" t="inlineStr">
        <is>
          <t>MLB</t>
        </is>
      </c>
      <c r="F14" s="24" t="inlineStr">
        <is>
          <t>Miami Marlins</t>
        </is>
      </c>
      <c r="G14" s="24" t="inlineStr">
        <is>
          <t>New York Mets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0.5134919999999999</v>
      </c>
      <c r="P14" s="28" t="n"/>
      <c r="Q14" s="28" t="n">
        <v>-0.025679</v>
      </c>
      <c r="R14" s="26" t="n">
        <v>8</v>
      </c>
      <c r="S14" s="29" t="n">
        <v>0.75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2</v>
      </c>
      <c r="X14" s="26" t="n">
        <v>4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0.641</v>
      </c>
      <c r="AD14" s="24" t="inlineStr">
        <is>
          <t>2026-07-31T04:29:20.631725Z</t>
        </is>
      </c>
      <c r="AE14" s="31" t="inlineStr">
        <is>
          <t>Learned LR call at threshold 0.6242; executable ask 0.5400 (aec-mlb-mia-nym-2026-07-30); model edge vs ask -0.0265.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mlb-mia</t>
        </is>
      </c>
      <c r="AQ14" s="24" t="inlineStr">
        <is>
          <t>Miami Marlins</t>
        </is>
      </c>
      <c r="AR14" s="24" t="inlineStr">
        <is>
          <t>Miami Marlins</t>
        </is>
      </c>
      <c r="AS14" s="24" t="inlineStr">
        <is>
          <t>mlb-nym</t>
        </is>
      </c>
      <c r="AT14" s="24" t="inlineStr">
        <is>
          <t>New York Mets</t>
        </is>
      </c>
      <c r="AU14" s="24" t="inlineStr">
        <is>
          <t>New York Mets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e514206d77553482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2026-07-30T21:07:11.963447Z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0.5051537166</t>
        </is>
      </c>
      <c r="CD14" s="24" t="inlineStr">
        <is>
          <t>0.008278</t>
        </is>
      </c>
      <c r="CE14" s="24" t="inlineStr">
        <is>
          <t>0.978</t>
        </is>
      </c>
      <c r="CF14" s="24" t="inlineStr">
        <is>
          <t>1.0054</t>
        </is>
      </c>
      <c r="CG14" s="24" t="inlineStr">
        <is>
          <t>-1.8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d0364ee11ff3488c</t>
        </is>
      </c>
      <c r="B15" s="24" t="inlineStr">
        <is>
          <t>2026-07-30T21:07:38.996144Z</t>
        </is>
      </c>
      <c r="C15" s="24" t="inlineStr">
        <is>
          <t>2026-07-30T19:10:00-0400</t>
        </is>
      </c>
      <c r="D15" s="24" t="inlineStr">
        <is>
          <t>401816323</t>
        </is>
      </c>
      <c r="E15" s="24" t="inlineStr">
        <is>
          <t>MLB</t>
        </is>
      </c>
      <c r="F15" s="24" t="inlineStr">
        <is>
          <t>Pittsburgh Pirates</t>
        </is>
      </c>
      <c r="G15" s="24" t="inlineStr">
        <is>
          <t>Cincinnati Reds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-111</v>
      </c>
      <c r="M15" s="27" t="n">
        <v>1.900901</v>
      </c>
      <c r="N15" s="28" t="n">
        <v>0.526066</v>
      </c>
      <c r="O15" s="28" t="n">
        <v>0.520916</v>
      </c>
      <c r="P15" s="28" t="n"/>
      <c r="Q15" s="28" t="n">
        <v>-0.00515</v>
      </c>
      <c r="R15" s="26" t="n">
        <v>19</v>
      </c>
      <c r="S15" s="29" t="n">
        <v>0.75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2</v>
      </c>
      <c r="X15" s="26" t="n">
        <v>3</v>
      </c>
      <c r="Y15" s="25" t="n"/>
      <c r="Z15" s="26" t="n">
        <v>-111</v>
      </c>
      <c r="AA15" s="28" t="n">
        <v>0.525</v>
      </c>
      <c r="AB15" s="28" t="n">
        <v>-0.001066</v>
      </c>
      <c r="AC15" s="30" t="n">
        <v>-0.75</v>
      </c>
      <c r="AD15" s="24" t="inlineStr">
        <is>
          <t>2026-07-31T04:29:20.800435Z</t>
        </is>
      </c>
      <c r="AE15" s="31" t="inlineStr">
        <is>
          <t>Learned LR call at threshold 0.6242; executable ask 0.5250 (aec-mlb-pit-cin-2026-07-30); model edge vs ask -0.0041.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mlb-pit</t>
        </is>
      </c>
      <c r="AQ15" s="24" t="inlineStr">
        <is>
          <t>Pittsburgh Pirates</t>
        </is>
      </c>
      <c r="AR15" s="24" t="inlineStr">
        <is>
          <t>Pittsburgh Pirates</t>
        </is>
      </c>
      <c r="AS15" s="24" t="inlineStr">
        <is>
          <t>mlb-cin</t>
        </is>
      </c>
      <c r="AT15" s="24" t="inlineStr">
        <is>
          <t>Cincinnati Reds</t>
        </is>
      </c>
      <c r="AU15" s="24" t="inlineStr">
        <is>
          <t>Cincinnati Reds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b3d67de7b6d26958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2026-07-30T21:07:11.035351Z</t>
        </is>
      </c>
      <c r="BI15" s="24" t="inlineStr">
        <is>
          <t>["same_event","same_team_same_day","same_league_same_day"]</t>
        </is>
      </c>
      <c r="BJ15" s="25" t="n"/>
      <c r="BK15" s="26" t="n">
        <v>-111</v>
      </c>
      <c r="BL15" s="27" t="n">
        <v>1.900901</v>
      </c>
      <c r="BM15" s="28" t="n">
        <v>0.526066</v>
      </c>
      <c r="BN15" s="28" t="n">
        <v>0.522388</v>
      </c>
      <c r="BO15" s="28" t="n"/>
      <c r="BP15" s="25" t="n"/>
      <c r="BQ15" s="27" t="n">
        <v>1.900901</v>
      </c>
      <c r="BR15" s="28" t="n">
        <v>0.525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0.4889165025</t>
        </is>
      </c>
      <c r="CD15" s="24" t="inlineStr">
        <is>
          <t>0.498942</t>
        </is>
      </c>
      <c r="CE15" s="24" t="inlineStr">
        <is>
          <t>1.036</t>
        </is>
      </c>
      <c r="CF15" s="24" t="inlineStr">
        <is>
          <t>1.0086</t>
        </is>
      </c>
      <c r="CG15" s="24" t="inlineStr">
        <is>
          <t>-1.2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11f84971274b451c</t>
        </is>
      </c>
      <c r="B16" s="24" t="inlineStr">
        <is>
          <t>2026-07-30T21:07:52.668171Z</t>
        </is>
      </c>
      <c r="C16" s="24" t="inlineStr">
        <is>
          <t>2026-07-30T23:00Z</t>
        </is>
      </c>
      <c r="D16" s="24" t="inlineStr">
        <is>
          <t>401816325</t>
        </is>
      </c>
      <c r="E16" s="24" t="inlineStr">
        <is>
          <t>MLB</t>
        </is>
      </c>
      <c r="F16" s="24" t="inlineStr">
        <is>
          <t>Washington Nationals</t>
        </is>
      </c>
      <c r="G16" s="24" t="inlineStr">
        <is>
          <t>Atlanta Braves</t>
        </is>
      </c>
      <c r="H16" s="24" t="inlineStr">
        <is>
          <t>spread</t>
        </is>
      </c>
      <c r="I16" s="24" t="inlineStr">
        <is>
          <t>away</t>
        </is>
      </c>
      <c r="J16" s="25" t="n">
        <v>1.5</v>
      </c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0.544978</v>
      </c>
      <c r="P16" s="28" t="n">
        <v>0.042131</v>
      </c>
      <c r="Q16" s="28" t="n">
        <v>-0.034854</v>
      </c>
      <c r="R16" s="26" t="n">
        <v>7</v>
      </c>
      <c r="S16" s="29" t="n">
        <v>1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5</v>
      </c>
      <c r="Y16" s="25" t="n">
        <v>1.5</v>
      </c>
      <c r="Z16" s="26" t="n">
        <v>-138</v>
      </c>
      <c r="AA16" s="28" t="n">
        <v>0.58</v>
      </c>
      <c r="AB16" s="28" t="n">
        <v>0.000168</v>
      </c>
      <c r="AC16" s="30" t="n">
        <v>0.7246</v>
      </c>
      <c r="AD16" s="24" t="inlineStr">
        <is>
          <t>2026-07-31T04:29:20.972006Z</t>
        </is>
      </c>
      <c r="AE16" s="31" t="inlineStr">
        <is>
          <t>Measured Edge Margin: Trend Engine projected 4.30-4.84; raw selected-side p=0.6177, calibrated p=0.5450.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mlb-wsh</t>
        </is>
      </c>
      <c r="AQ16" s="24" t="inlineStr">
        <is>
          <t>Washington Nationals</t>
        </is>
      </c>
      <c r="AR16" s="24" t="inlineStr">
        <is>
          <t>Washington Nationals</t>
        </is>
      </c>
      <c r="AS16" s="24" t="inlineStr">
        <is>
          <t>mlb-atl</t>
        </is>
      </c>
      <c r="AT16" s="24" t="inlineStr">
        <is>
          <t>Atlanta Braves</t>
        </is>
      </c>
      <c r="AU16" s="24" t="inlineStr">
        <is>
          <t>Atlanta Braves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2026-07-30T21:07:52.668171Z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-138</v>
      </c>
      <c r="BL16" s="27" t="n">
        <v>1.724638</v>
      </c>
      <c r="BM16" s="28" t="n">
        <v>0.579832</v>
      </c>
      <c r="BN16" s="28" t="n">
        <v>0.577114</v>
      </c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fb4fab31130243f9</t>
        </is>
      </c>
      <c r="B17" s="24" t="inlineStr">
        <is>
          <t>2026-07-30T21:07:52.668171Z</t>
        </is>
      </c>
      <c r="C17" s="24" t="inlineStr">
        <is>
          <t>2026-07-30T23:00Z</t>
        </is>
      </c>
      <c r="D17" s="24" t="inlineStr">
        <is>
          <t>401816325</t>
        </is>
      </c>
      <c r="E17" s="24" t="inlineStr">
        <is>
          <t>MLB</t>
        </is>
      </c>
      <c r="F17" s="24" t="inlineStr">
        <is>
          <t>Washington Nationals</t>
        </is>
      </c>
      <c r="G17" s="24" t="inlineStr">
        <is>
          <t>Atlanta Braves</t>
        </is>
      </c>
      <c r="H17" s="24" t="inlineStr">
        <is>
          <t>total</t>
        </is>
      </c>
      <c r="I17" s="24" t="inlineStr">
        <is>
          <t>under</t>
        </is>
      </c>
      <c r="J17" s="25" t="n">
        <v>9.5</v>
      </c>
      <c r="K17" s="24" t="inlineStr">
        <is>
          <t>polymarket_us</t>
        </is>
      </c>
      <c r="L17" s="26" t="n">
        <v>115</v>
      </c>
      <c r="M17" s="27" t="n">
        <v>2.15</v>
      </c>
      <c r="N17" s="28" t="n">
        <v>0.465116</v>
      </c>
      <c r="O17" s="28" t="n">
        <v>0.567785</v>
      </c>
      <c r="P17" s="28" t="n">
        <v>0.042131</v>
      </c>
      <c r="Q17" s="28" t="n">
        <v>0.102669</v>
      </c>
      <c r="R17" s="26" t="n">
        <v>76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win</t>
        </is>
      </c>
      <c r="W17" s="26" t="n">
        <v>4</v>
      </c>
      <c r="X17" s="26" t="n">
        <v>5</v>
      </c>
      <c r="Y17" s="25" t="n">
        <v>9.5</v>
      </c>
      <c r="Z17" s="26" t="n">
        <v>115</v>
      </c>
      <c r="AA17" s="28" t="n">
        <v>0.465</v>
      </c>
      <c r="AB17" s="28" t="n">
        <v>-0.000116</v>
      </c>
      <c r="AC17" s="30" t="n">
        <v>1.4375</v>
      </c>
      <c r="AD17" s="24" t="inlineStr">
        <is>
          <t>2026-07-31T04:29:21.144105Z</t>
        </is>
      </c>
      <c r="AE17" s="31" t="inlineStr">
        <is>
          <t>Measured Edge Totals: Trend Engine projected 4.30-4.84; raw selected-side p=0.5858, calibrated p=0.5678.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mlb-wsh</t>
        </is>
      </c>
      <c r="AQ17" s="24" t="inlineStr">
        <is>
          <t>Washington Nationals</t>
        </is>
      </c>
      <c r="AR17" s="24" t="inlineStr">
        <is>
          <t>Washington Nationals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2026-07-30T21:07:52.668171Z</t>
        </is>
      </c>
      <c r="BI17" s="24" t="inlineStr">
        <is>
          <t>["same_event","same_team_same_day","same_league_same_day"]</t>
        </is>
      </c>
      <c r="BJ17" s="25" t="n">
        <v>9.5</v>
      </c>
      <c r="BK17" s="26" t="n">
        <v>115</v>
      </c>
      <c r="BL17" s="27" t="n">
        <v>2.15</v>
      </c>
      <c r="BM17" s="28" t="n">
        <v>0.465116</v>
      </c>
      <c r="BN17" s="28" t="n">
        <v>0.462687</v>
      </c>
      <c r="BO17" s="28" t="n"/>
      <c r="BP17" s="25" t="n"/>
      <c r="BQ17" s="27" t="n">
        <v>2.15</v>
      </c>
      <c r="BR17" s="28" t="n">
        <v>0.465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ef65643269874e11</t>
        </is>
      </c>
      <c r="B18" s="24" t="inlineStr">
        <is>
          <t>2026-07-30T21:07:52.668171Z</t>
        </is>
      </c>
      <c r="C18" s="24" t="inlineStr">
        <is>
          <t>2026-07-30T23:10Z</t>
        </is>
      </c>
      <c r="D18" s="24" t="inlineStr">
        <is>
          <t>401816322</t>
        </is>
      </c>
      <c r="E18" s="24" t="inlineStr">
        <is>
          <t>MLB</t>
        </is>
      </c>
      <c r="F18" s="24" t="inlineStr">
        <is>
          <t>Miami Marlins</t>
        </is>
      </c>
      <c r="G18" s="24" t="inlineStr">
        <is>
          <t>New York Mets</t>
        </is>
      </c>
      <c r="H18" s="24" t="inlineStr">
        <is>
          <t>total</t>
        </is>
      </c>
      <c r="I18" s="24" t="inlineStr">
        <is>
          <t>over</t>
        </is>
      </c>
      <c r="J18" s="25" t="n">
        <v>7.5</v>
      </c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0.518212</v>
      </c>
      <c r="P18" s="28" t="n">
        <v>0.042131</v>
      </c>
      <c r="Q18" s="28" t="n">
        <v>0.067762</v>
      </c>
      <c r="R18" s="26" t="n">
        <v>59</v>
      </c>
      <c r="S18" s="29" t="n">
        <v>1</v>
      </c>
      <c r="T18" s="24" t="inlineStr">
        <is>
          <t>measured-edge-totals-v1</t>
        </is>
      </c>
      <c r="U18" s="24" t="inlineStr">
        <is>
          <t>settled</t>
        </is>
      </c>
      <c r="V18" s="24" t="inlineStr">
        <is>
          <t>loss</t>
        </is>
      </c>
      <c r="W18" s="26" t="n">
        <v>2</v>
      </c>
      <c r="X18" s="26" t="n">
        <v>4</v>
      </c>
      <c r="Y18" s="25" t="n">
        <v>7.5</v>
      </c>
      <c r="Z18" s="26" t="n">
        <v>122</v>
      </c>
      <c r="AA18" s="28" t="n">
        <v>0.45</v>
      </c>
      <c r="AB18" s="28" t="n">
        <v>-0.00045</v>
      </c>
      <c r="AC18" s="30" t="n">
        <v>-1</v>
      </c>
      <c r="AD18" s="24" t="inlineStr">
        <is>
          <t>2026-07-31T04:29:21.519443Z</t>
        </is>
      </c>
      <c r="AE18" s="31" t="inlineStr">
        <is>
          <t>Measured Edge Totals: Trend Engine projected 4.06-4.34; raw selected-side p=0.5347, calibrated p=0.5182.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mlb-mia</t>
        </is>
      </c>
      <c r="AQ18" s="24" t="inlineStr">
        <is>
          <t>Miami Marlins</t>
        </is>
      </c>
      <c r="AR18" s="24" t="inlineStr">
        <is>
          <t>Miami Marlins</t>
        </is>
      </c>
      <c r="AS18" s="24" t="inlineStr">
        <is>
          <t>mlb-nym</t>
        </is>
      </c>
      <c r="AT18" s="24" t="inlineStr">
        <is>
          <t>New York Mets</t>
        </is>
      </c>
      <c r="AU18" s="24" t="inlineStr">
        <is>
          <t>New York Mets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cbc2c9bf5a9569a49e1902c816d96556d704cf10819ca3a9e927721685757d0b</t>
        </is>
      </c>
      <c r="BB18" s="24" t="inlineStr">
        <is>
          <t>flat_probability_shrinkage_toward_half</t>
        </is>
      </c>
      <c r="BC18" s="24" t="inlineStr">
        <is>
          <t>measured-edge-totals-v1</t>
        </is>
      </c>
      <c r="BD18" s="24" t="inlineStr">
        <is>
          <t>cbc2c9bf5a9569a49e1902c816d96556d704cf10819ca3a9e927721685757d0b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2026-07-30T21:07:52.668171Z</t>
        </is>
      </c>
      <c r="BI18" s="24" t="inlineStr">
        <is>
          <t>["same_event","same_team_same_day","same_league_same_day"]</t>
        </is>
      </c>
      <c r="BJ18" s="25" t="n">
        <v>7.5</v>
      </c>
      <c r="BK18" s="26" t="n">
        <v>122</v>
      </c>
      <c r="BL18" s="27" t="n">
        <v>2.22</v>
      </c>
      <c r="BM18" s="28" t="n">
        <v>0.45045</v>
      </c>
      <c r="BN18" s="28" t="n">
        <v>0.447761</v>
      </c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2114d0bdf61c4db9</t>
        </is>
      </c>
      <c r="B19" s="24" t="inlineStr">
        <is>
          <t>2026-07-30T21:07:52.668171Z</t>
        </is>
      </c>
      <c r="C19" s="24" t="inlineStr">
        <is>
          <t>2026-07-30T23:10Z</t>
        </is>
      </c>
      <c r="D19" s="24" t="inlineStr">
        <is>
          <t>401816323</t>
        </is>
      </c>
      <c r="E19" s="24" t="inlineStr">
        <is>
          <t>MLB</t>
        </is>
      </c>
      <c r="F19" s="24" t="inlineStr">
        <is>
          <t>Pittsburgh Pirates</t>
        </is>
      </c>
      <c r="G19" s="24" t="inlineStr">
        <is>
          <t>Cincinnati Reds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0.547061</v>
      </c>
      <c r="P19" s="28" t="n">
        <v>0.042131</v>
      </c>
      <c r="Q19" s="28" t="n">
        <v>-0.043103</v>
      </c>
      <c r="R19" s="26" t="n">
        <v>3</v>
      </c>
      <c r="S19" s="29" t="n">
        <v>1</v>
      </c>
      <c r="T19" s="24" t="inlineStr">
        <is>
          <t>measured-edge-margin-v1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3</v>
      </c>
      <c r="Y19" s="25" t="n">
        <v>1.5</v>
      </c>
      <c r="Z19" s="26" t="n">
        <v>-144</v>
      </c>
      <c r="AA19" s="28" t="n">
        <v>0.59</v>
      </c>
      <c r="AB19" s="28" t="n">
        <v>-0.000164</v>
      </c>
      <c r="AC19" s="30" t="n">
        <v>0.6944</v>
      </c>
      <c r="AD19" s="24" t="inlineStr">
        <is>
          <t>2026-07-31T04:29:21.688701Z</t>
        </is>
      </c>
      <c r="AE19" s="31" t="inlineStr">
        <is>
          <t>Measured Edge Margin: Trend Engine projected 4.87-4.53; raw selected-side p=0.6283, calibrated p=0.5471.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mlb-pit</t>
        </is>
      </c>
      <c r="AQ19" s="24" t="inlineStr">
        <is>
          <t>Pittsburgh Pirates</t>
        </is>
      </c>
      <c r="AR19" s="24" t="inlineStr">
        <is>
          <t>Pittsburgh Pirates</t>
        </is>
      </c>
      <c r="AS19" s="24" t="inlineStr">
        <is>
          <t>mlb-cin</t>
        </is>
      </c>
      <c r="AT19" s="24" t="inlineStr">
        <is>
          <t>Cincinnati Reds</t>
        </is>
      </c>
      <c r="AU19" s="24" t="inlineStr">
        <is>
          <t>Cincinnati Reds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2bc2ce55b0d39a20103f724bbddbde5394909acd49297f52665b596a0ae3ae8b</t>
        </is>
      </c>
      <c r="BB19" s="24" t="inlineStr">
        <is>
          <t>flat_probability_shrinkage_toward_half</t>
        </is>
      </c>
      <c r="BC19" s="24" t="inlineStr">
        <is>
          <t>measured-edge-margin-v1</t>
        </is>
      </c>
      <c r="BD19" s="24" t="inlineStr">
        <is>
          <t>2bc2ce55b0d39a20103f724bbddbde5394909acd49297f52665b596a0ae3ae8b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2026-07-30T21:07:52.668171Z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-144</v>
      </c>
      <c r="BL19" s="27" t="n">
        <v>1.694444</v>
      </c>
      <c r="BM19" s="28" t="n">
        <v>0.590164</v>
      </c>
      <c r="BN19" s="28" t="n">
        <v>0.5870649999999999</v>
      </c>
      <c r="BO19" s="28" t="n"/>
      <c r="BP19" s="25" t="n"/>
      <c r="BQ19" s="27" t="n">
        <v>1.694444</v>
      </c>
      <c r="BR19" s="28" t="n">
        <v>0.59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4241eb09d71c4a6e</t>
        </is>
      </c>
      <c r="B20" s="24" t="inlineStr">
        <is>
          <t>2026-07-30T21:07:52.668171Z</t>
        </is>
      </c>
      <c r="C20" s="24" t="inlineStr">
        <is>
          <t>2026-07-30T23:10Z</t>
        </is>
      </c>
      <c r="D20" s="24" t="inlineStr">
        <is>
          <t>401816323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Cincinnati Reds</t>
        </is>
      </c>
      <c r="H20" s="24" t="inlineStr">
        <is>
          <t>total</t>
        </is>
      </c>
      <c r="I20" s="24" t="inlineStr">
        <is>
          <t>under</t>
        </is>
      </c>
      <c r="J20" s="25" t="n">
        <v>9.5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0.547364</v>
      </c>
      <c r="P20" s="28" t="n">
        <v>0.042131</v>
      </c>
      <c r="Q20" s="28" t="n">
        <v>0.052314</v>
      </c>
      <c r="R20" s="26" t="n">
        <v>51</v>
      </c>
      <c r="S20" s="29" t="n">
        <v>1</v>
      </c>
      <c r="T20" s="24" t="inlineStr">
        <is>
          <t>measured-edge-totals-v1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>
        <v>9.5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2026-07-31T04:29:21.851838Z</t>
        </is>
      </c>
      <c r="AE20" s="31" t="inlineStr">
        <is>
          <t>Measured Edge Totals: Trend Engine projected 4.87-4.53; raw selected-side p=0.5647, calibrated p=0.5474.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mlb-cin</t>
        </is>
      </c>
      <c r="AT20" s="24" t="inlineStr">
        <is>
          <t>Cincinnati Reds</t>
        </is>
      </c>
      <c r="AU20" s="24" t="inlineStr">
        <is>
          <t>Cincinnati Reds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cbc2c9bf5a9569a49e1902c816d96556d704cf10819ca3a9e927721685757d0b</t>
        </is>
      </c>
      <c r="BB20" s="24" t="inlineStr">
        <is>
          <t>flat_probability_shrinkage_toward_half</t>
        </is>
      </c>
      <c r="BC20" s="24" t="inlineStr">
        <is>
          <t>measured-edge-totals-v1</t>
        </is>
      </c>
      <c r="BD20" s="24" t="inlineStr">
        <is>
          <t>cbc2c9bf5a9569a49e1902c816d96556d704cf10819ca3a9e927721685757d0b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2026-07-30T21:07:52.668171Z</t>
        </is>
      </c>
      <c r="BI20" s="24" t="inlineStr">
        <is>
          <t>["same_event","same_team_same_day","same_league_same_day"]</t>
        </is>
      </c>
      <c r="BJ20" s="25" t="n">
        <v>9.5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9e1fb41afbf84561</t>
        </is>
      </c>
      <c r="B21" s="24" t="inlineStr">
        <is>
          <t>2026-07-31T00:56:17.350684Z</t>
        </is>
      </c>
      <c r="C21" s="24" t="inlineStr">
        <is>
          <t>2026-07-30T21:40:00-0400</t>
        </is>
      </c>
      <c r="D21" s="24" t="inlineStr">
        <is>
          <t>401816329</t>
        </is>
      </c>
      <c r="E21" s="24" t="inlineStr">
        <is>
          <t>MLB</t>
        </is>
      </c>
      <c r="F21" s="24" t="inlineStr">
        <is>
          <t>Boston Red Sox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-178</v>
      </c>
      <c r="M21" s="27" t="n">
        <v>1.561798</v>
      </c>
      <c r="N21" s="28" t="n">
        <v>0.640288</v>
      </c>
      <c r="O21" s="28" t="n">
        <v>0.598658</v>
      </c>
      <c r="P21" s="28" t="n"/>
      <c r="Q21" s="28" t="n">
        <v>-0.04163</v>
      </c>
      <c r="R21" s="26" t="n">
        <v>1</v>
      </c>
      <c r="S21" s="29" t="n">
        <v>1.5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4</v>
      </c>
      <c r="Y21" s="25" t="n"/>
      <c r="Z21" s="26" t="n">
        <v>-178</v>
      </c>
      <c r="AA21" s="28" t="n">
        <v>0.64</v>
      </c>
      <c r="AB21" s="28" t="n">
        <v>-0.000288</v>
      </c>
      <c r="AC21" s="30" t="n">
        <v>0.8427</v>
      </c>
      <c r="AD21" s="24" t="inlineStr">
        <is>
          <t>2026-07-31T04:29:22.023782Z</t>
        </is>
      </c>
      <c r="AE21" s="31" t="inlineStr">
        <is>
          <t>Learned LR call at threshold 0.6242; executable ask 0.6400 (aec-mlb-bos-ath-2026-07-30); model edge vs ask -0.0413.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mlb-bos</t>
        </is>
      </c>
      <c r="AQ21" s="24" t="inlineStr">
        <is>
          <t>Boston Red Sox</t>
        </is>
      </c>
      <c r="AR21" s="24" t="inlineStr">
        <is>
          <t>Boston Red Sox</t>
        </is>
      </c>
      <c r="AS21" s="24" t="inlineStr">
        <is>
          <t>mlb-ath</t>
        </is>
      </c>
      <c r="AT21" s="24" t="inlineStr">
        <is>
          <t>Athletics</t>
        </is>
      </c>
      <c r="AU21" s="24" t="inlineStr">
        <is>
          <t>Athletics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3f3c29dbbe5296b9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2026-07-31T00:56:01.505308Z</t>
        </is>
      </c>
      <c r="BI21" s="24" t="inlineStr">
        <is>
          <t>["same_event","same_team_same_day","same_league_same_day"]</t>
        </is>
      </c>
      <c r="BJ21" s="25" t="n"/>
      <c r="BK21" s="26" t="n">
        <v>-178</v>
      </c>
      <c r="BL21" s="27" t="n">
        <v>1.561798</v>
      </c>
      <c r="BM21" s="28" t="n">
        <v>0.640288</v>
      </c>
      <c r="BN21" s="28" t="n">
        <v>0.636816</v>
      </c>
      <c r="BO21" s="28" t="n"/>
      <c r="BP21" s="25" t="n"/>
      <c r="BQ21" s="27" t="n">
        <v>1.561798</v>
      </c>
      <c r="BR21" s="28" t="n">
        <v>0.64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0.3783729617</t>
        </is>
      </c>
      <c r="CD21" s="24" t="inlineStr">
        <is>
          <t>-0.254128</t>
        </is>
      </c>
      <c r="CE21" s="24" t="inlineStr">
        <is>
          <t>1.153</t>
        </is>
      </c>
      <c r="CF21" s="24" t="inlineStr">
        <is>
          <t>1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67f0c9a835204f15</t>
        </is>
      </c>
      <c r="B22" s="24" t="inlineStr">
        <is>
          <t>2026-07-31T00:56:17.350684Z</t>
        </is>
      </c>
      <c r="C22" s="24" t="inlineStr">
        <is>
          <t>2026-07-30T21:40:00-0400</t>
        </is>
      </c>
      <c r="D22" s="24" t="inlineStr">
        <is>
          <t>401816331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-153</v>
      </c>
      <c r="M22" s="27" t="n">
        <v>1.653595</v>
      </c>
      <c r="N22" s="28" t="n">
        <v>0.604743</v>
      </c>
      <c r="O22" s="28" t="n">
        <v>0.594482</v>
      </c>
      <c r="P22" s="28" t="n"/>
      <c r="Q22" s="28" t="n">
        <v>-0.010261</v>
      </c>
      <c r="R22" s="26" t="n">
        <v>16</v>
      </c>
      <c r="S22" s="29" t="n">
        <v>1.5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4</v>
      </c>
      <c r="X22" s="26" t="n">
        <v>1</v>
      </c>
      <c r="Y22" s="25" t="n"/>
      <c r="Z22" s="26" t="n">
        <v>-153</v>
      </c>
      <c r="AA22" s="28" t="n">
        <v>0.605</v>
      </c>
      <c r="AB22" s="28" t="n">
        <v>0.000257</v>
      </c>
      <c r="AC22" s="30" t="n">
        <v>-1.5</v>
      </c>
      <c r="AD22" s="24" t="inlineStr">
        <is>
          <t>2026-07-31T06:33:21.231210Z</t>
        </is>
      </c>
      <c r="AE22" s="31" t="inlineStr">
        <is>
          <t>Learned LR call at threshold 0.6242; executable ask 0.6050 (aec-mlb-sf-sd-2026-07-30); model edge vs ask -0.0105.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cd99d61acebf3df3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2026-07-31T00:56:02.562469Z</t>
        </is>
      </c>
      <c r="BI22" s="24" t="inlineStr">
        <is>
          <t>["same_event","same_team_same_day","same_league_same_day"]</t>
        </is>
      </c>
      <c r="BJ22" s="25" t="n"/>
      <c r="BK22" s="26" t="n">
        <v>-153</v>
      </c>
      <c r="BL22" s="27" t="n">
        <v>1.653595</v>
      </c>
      <c r="BM22" s="28" t="n">
        <v>0.604743</v>
      </c>
      <c r="BN22" s="28" t="n">
        <v>0.60199</v>
      </c>
      <c r="BO22" s="28" t="n"/>
      <c r="BP22" s="25" t="n"/>
      <c r="BQ22" s="27" t="n">
        <v>1.653595</v>
      </c>
      <c r="BR22" s="28" t="n">
        <v>0.605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0.5827558821</t>
        </is>
      </c>
      <c r="CD22" s="24" t="inlineStr">
        <is>
          <t>-1.602098</t>
        </is>
      </c>
      <c r="CE22" s="24" t="inlineStr">
        <is>
          <t>0.945</t>
        </is>
      </c>
      <c r="CF22" s="24" t="inlineStr">
        <is>
          <t>1.0064</t>
        </is>
      </c>
      <c r="CG22" s="24" t="inlineStr">
        <is>
          <t>-0.2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c631ace0cda342d0</t>
        </is>
      </c>
      <c r="B23" s="24" t="inlineStr">
        <is>
          <t>2026-07-31T00:56:17.350684Z</t>
        </is>
      </c>
      <c r="C23" s="24" t="inlineStr">
        <is>
          <t>2026-07-30T22:10:00-0400</t>
        </is>
      </c>
      <c r="D23" s="24" t="inlineStr">
        <is>
          <t>401816330</t>
        </is>
      </c>
      <c r="E23" s="24" t="inlineStr">
        <is>
          <t>MLB</t>
        </is>
      </c>
      <c r="F23" s="24" t="inlineStr">
        <is>
          <t>Seattle Mariners</t>
        </is>
      </c>
      <c r="G23" s="24" t="inlineStr">
        <is>
          <t>Los Angeles Dodgers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-141</v>
      </c>
      <c r="M23" s="27" t="n">
        <v>1.70922</v>
      </c>
      <c r="N23" s="28" t="n">
        <v>0.585062</v>
      </c>
      <c r="O23" s="28" t="n">
        <v>0.594031</v>
      </c>
      <c r="P23" s="28" t="n"/>
      <c r="Q23" s="28" t="n">
        <v>0.008969</v>
      </c>
      <c r="R23" s="26" t="n">
        <v>26</v>
      </c>
      <c r="S23" s="29" t="n">
        <v>1.5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6</v>
      </c>
      <c r="Y23" s="25" t="n"/>
      <c r="Z23" s="26" t="n">
        <v>-141</v>
      </c>
      <c r="AA23" s="28" t="n">
        <v>0.585</v>
      </c>
      <c r="AB23" s="28" t="n">
        <v>-6.2e-05</v>
      </c>
      <c r="AC23" s="30" t="n">
        <v>1.0638</v>
      </c>
      <c r="AD23" s="24" t="inlineStr">
        <is>
          <t>2026-07-31T06:33:21.732369Z</t>
        </is>
      </c>
      <c r="AE23" s="31" t="inlineStr">
        <is>
          <t>Learned LR call at threshold 0.6242; executable ask 0.5850 (aec-mlb-sea-lad-2026-07-30); model edge vs ask +0.0090.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mlb-sea</t>
        </is>
      </c>
      <c r="AQ23" s="24" t="inlineStr">
        <is>
          <t>Seattle Mariners</t>
        </is>
      </c>
      <c r="AR23" s="24" t="inlineStr">
        <is>
          <t>Seattle Mariners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50a6605683799b36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2026-07-31T00:56:03.538198Z</t>
        </is>
      </c>
      <c r="BI23" s="24" t="inlineStr">
        <is>
          <t>["same_event","same_team_same_day","same_league_same_day"]</t>
        </is>
      </c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>
        <v>1.70922</v>
      </c>
      <c r="BR23" s="28" t="n">
        <v>0.585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0.6206920571</t>
        </is>
      </c>
      <c r="CD23" s="24" t="inlineStr">
        <is>
          <t>-0.391563</t>
        </is>
      </c>
      <c r="CE23" s="24" t="inlineStr">
        <is>
          <t>1.026</t>
        </is>
      </c>
      <c r="CF23" s="24" t="inlineStr">
        <is>
          <t>1.0117</t>
        </is>
      </c>
      <c r="CG23" s="24" t="inlineStr">
        <is>
          <t>-0.4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a5fbd3179ba34a33</t>
        </is>
      </c>
      <c r="B24" s="24" t="inlineStr">
        <is>
          <t>2026-07-31T00:56:25.957709Z</t>
        </is>
      </c>
      <c r="C24" s="24" t="inlineStr">
        <is>
          <t>2026-07-31T01:40Z</t>
        </is>
      </c>
      <c r="D24" s="24" t="inlineStr">
        <is>
          <t>401816329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Athletics</t>
        </is>
      </c>
      <c r="H24" s="24" t="inlineStr">
        <is>
          <t>spread</t>
        </is>
      </c>
      <c r="I24" s="24" t="inlineStr">
        <is>
          <t>home</t>
        </is>
      </c>
      <c r="J24" s="25" t="n">
        <v>1.5</v>
      </c>
      <c r="K24" s="24" t="inlineStr">
        <is>
          <t>polymarket_us</t>
        </is>
      </c>
      <c r="L24" s="26" t="n">
        <v>111</v>
      </c>
      <c r="M24" s="27" t="n">
        <v>2.11</v>
      </c>
      <c r="N24" s="28" t="n">
        <v>0.473934</v>
      </c>
      <c r="O24" s="28" t="n">
        <v>0.544516</v>
      </c>
      <c r="P24" s="28" t="n">
        <v>0.042131</v>
      </c>
      <c r="Q24" s="28" t="n">
        <v>0.07058200000000001</v>
      </c>
      <c r="R24" s="26" t="n">
        <v>60</v>
      </c>
      <c r="S24" s="29" t="n">
        <v>1</v>
      </c>
      <c r="T24" s="24" t="inlineStr">
        <is>
          <t>measured-edge-margin-v1</t>
        </is>
      </c>
      <c r="U24" s="24" t="inlineStr">
        <is>
          <t>settled</t>
        </is>
      </c>
      <c r="V24" s="24" t="inlineStr">
        <is>
          <t>win</t>
        </is>
      </c>
      <c r="W24" s="26" t="n">
        <v>5</v>
      </c>
      <c r="X24" s="26" t="n">
        <v>4</v>
      </c>
      <c r="Y24" s="25" t="n">
        <v>1.5</v>
      </c>
      <c r="Z24" s="26" t="n">
        <v>111</v>
      </c>
      <c r="AA24" s="28" t="n">
        <v>0.475</v>
      </c>
      <c r="AB24" s="28" t="n">
        <v>0.001066</v>
      </c>
      <c r="AC24" s="30" t="n">
        <v>1.11</v>
      </c>
      <c r="AD24" s="24" t="inlineStr">
        <is>
          <t>2026-07-31T04:29:22.344945Z</t>
        </is>
      </c>
      <c r="AE24" s="31" t="inlineStr">
        <is>
          <t>Measured Edge Margin: Trend Engine projected 5.03-4.48; raw selected-side p=0.6153, calibrated p=0.5445.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mlb-ath</t>
        </is>
      </c>
      <c r="AT24" s="24" t="inlineStr">
        <is>
          <t>Athletics</t>
        </is>
      </c>
      <c r="AU24" s="24" t="inlineStr">
        <is>
          <t>Athletics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2bc2ce55b0d39a20103f724bbddbde5394909acd49297f52665b596a0ae3ae8b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2bc2ce55b0d39a20103f724bbddbde5394909acd49297f52665b596a0ae3ae8b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2026-07-31T00:56:25.957709Z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111</v>
      </c>
      <c r="BL24" s="27" t="n">
        <v>2.11</v>
      </c>
      <c r="BM24" s="28" t="n">
        <v>0.473934</v>
      </c>
      <c r="BN24" s="28" t="n">
        <v>0.472637</v>
      </c>
      <c r="BO24" s="28" t="n"/>
      <c r="BP24" s="25" t="n"/>
      <c r="BQ24" s="27" t="n">
        <v>2.11</v>
      </c>
      <c r="BR24" s="28" t="n">
        <v>0.475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82aab00108c54ea7</t>
        </is>
      </c>
      <c r="B25" s="24" t="inlineStr">
        <is>
          <t>2026-07-31T00:56:25.957709Z</t>
        </is>
      </c>
      <c r="C25" s="24" t="inlineStr">
        <is>
          <t>2026-07-31T01:40Z</t>
        </is>
      </c>
      <c r="D25" s="24" t="inlineStr">
        <is>
          <t>401816329</t>
        </is>
      </c>
      <c r="E25" s="24" t="inlineStr">
        <is>
          <t>MLB</t>
        </is>
      </c>
      <c r="F25" s="24" t="inlineStr">
        <is>
          <t>Boston Red Sox</t>
        </is>
      </c>
      <c r="G25" s="24" t="inlineStr">
        <is>
          <t>Athletics</t>
        </is>
      </c>
      <c r="H25" s="24" t="inlineStr">
        <is>
          <t>total</t>
        </is>
      </c>
      <c r="I25" s="24" t="inlineStr">
        <is>
          <t>under</t>
        </is>
      </c>
      <c r="J25" s="25" t="n">
        <v>9.5</v>
      </c>
      <c r="K25" s="24" t="inlineStr">
        <is>
          <t>polymarket_us</t>
        </is>
      </c>
      <c r="L25" s="26" t="n">
        <v>115</v>
      </c>
      <c r="M25" s="27" t="n">
        <v>2.15</v>
      </c>
      <c r="N25" s="28" t="n">
        <v>0.465116</v>
      </c>
      <c r="O25" s="28" t="n">
        <v>0.5364989999999999</v>
      </c>
      <c r="P25" s="28" t="n">
        <v>0.042131</v>
      </c>
      <c r="Q25" s="28" t="n">
        <v>0.071383</v>
      </c>
      <c r="R25" s="26" t="n">
        <v>60</v>
      </c>
      <c r="S25" s="29" t="n">
        <v>1</v>
      </c>
      <c r="T25" s="24" t="inlineStr">
        <is>
          <t>measured-edge-totals-v1</t>
        </is>
      </c>
      <c r="U25" s="24" t="inlineStr">
        <is>
          <t>settled</t>
        </is>
      </c>
      <c r="V25" s="24" t="inlineStr">
        <is>
          <t>win</t>
        </is>
      </c>
      <c r="W25" s="26" t="n">
        <v>5</v>
      </c>
      <c r="X25" s="26" t="n">
        <v>4</v>
      </c>
      <c r="Y25" s="25" t="n">
        <v>9.5</v>
      </c>
      <c r="Z25" s="26" t="n">
        <v>115</v>
      </c>
      <c r="AA25" s="28" t="n">
        <v>0.465</v>
      </c>
      <c r="AB25" s="28" t="n">
        <v>-0.000116</v>
      </c>
      <c r="AC25" s="30" t="n">
        <v>1.15</v>
      </c>
      <c r="AD25" s="24" t="inlineStr">
        <is>
          <t>2026-07-31T04:29:22.516921Z</t>
        </is>
      </c>
      <c r="AE25" s="31" t="inlineStr">
        <is>
          <t>Measured Edge Totals: Trend Engine projected 5.03-4.48; raw selected-side p=0.5535, calibrated p=0.5365.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mlb-bos</t>
        </is>
      </c>
      <c r="AQ25" s="24" t="inlineStr">
        <is>
          <t>Boston Red Sox</t>
        </is>
      </c>
      <c r="AR25" s="24" t="inlineStr">
        <is>
          <t>Boston Red Sox</t>
        </is>
      </c>
      <c r="AS25" s="24" t="inlineStr">
        <is>
          <t>mlb-ath</t>
        </is>
      </c>
      <c r="AT25" s="24" t="inlineStr">
        <is>
          <t>Athletics</t>
        </is>
      </c>
      <c r="AU25" s="24" t="inlineStr">
        <is>
          <t>Athletics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cbc2c9bf5a9569a49e1902c816d96556d704cf10819ca3a9e927721685757d0b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cbc2c9bf5a9569a49e1902c816d96556d704cf10819ca3a9e927721685757d0b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2026-07-31T00:56:25.957709Z</t>
        </is>
      </c>
      <c r="BI25" s="24" t="inlineStr">
        <is>
          <t>["same_event","same_team_same_day","same_league_same_day"]</t>
        </is>
      </c>
      <c r="BJ25" s="25" t="n">
        <v>9.5</v>
      </c>
      <c r="BK25" s="26" t="n">
        <v>115</v>
      </c>
      <c r="BL25" s="27" t="n">
        <v>2.15</v>
      </c>
      <c r="BM25" s="28" t="n">
        <v>0.465116</v>
      </c>
      <c r="BN25" s="28" t="n">
        <v>0.462687</v>
      </c>
      <c r="BO25" s="28" t="n"/>
      <c r="BP25" s="25" t="n"/>
      <c r="BQ25" s="27" t="n">
        <v>2.15</v>
      </c>
      <c r="BR25" s="28" t="n">
        <v>0.465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8474b3479ec146e5</t>
        </is>
      </c>
      <c r="B26" s="24" t="inlineStr">
        <is>
          <t>2026-07-31T00:56:25.957709Z</t>
        </is>
      </c>
      <c r="C26" s="24" t="inlineStr">
        <is>
          <t>2026-07-31T01:40Z</t>
        </is>
      </c>
      <c r="D26" s="24" t="inlineStr">
        <is>
          <t>401816331</t>
        </is>
      </c>
      <c r="E26" s="24" t="inlineStr">
        <is>
          <t>MLB</t>
        </is>
      </c>
      <c r="F26" s="24" t="inlineStr">
        <is>
          <t>San Francisco Giants</t>
        </is>
      </c>
      <c r="G26" s="24" t="inlineStr">
        <is>
          <t>San Diego Padres</t>
        </is>
      </c>
      <c r="H26" s="24" t="inlineStr">
        <is>
          <t>spread</t>
        </is>
      </c>
      <c r="I26" s="24" t="inlineStr">
        <is>
          <t>away</t>
        </is>
      </c>
      <c r="J26" s="25" t="n">
        <v>1.5</v>
      </c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0.5591159999999999</v>
      </c>
      <c r="P26" s="28" t="n">
        <v>0.05172</v>
      </c>
      <c r="Q26" s="28" t="n">
        <v>-0.020716</v>
      </c>
      <c r="R26" s="26" t="n">
        <v>9</v>
      </c>
      <c r="S26" s="29" t="n">
        <v>1</v>
      </c>
      <c r="T26" s="24" t="inlineStr">
        <is>
          <t>measured-edge-margin-v1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1</v>
      </c>
      <c r="Y26" s="25" t="n">
        <v>1.5</v>
      </c>
      <c r="Z26" s="26" t="n">
        <v>-138</v>
      </c>
      <c r="AA26" s="28" t="n">
        <v>0.58</v>
      </c>
      <c r="AB26" s="28" t="n">
        <v>0.000168</v>
      </c>
      <c r="AC26" s="30" t="n">
        <v>0.7246</v>
      </c>
      <c r="AD26" s="24" t="inlineStr">
        <is>
          <t>2026-07-31T06:33:22.232327Z</t>
        </is>
      </c>
      <c r="AE26" s="31" t="inlineStr">
        <is>
          <t>Measured Edge Margin: Trend Engine projected 4.48-4.27; raw selected-side p=0.6896, calibrated p=0.5591.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mlb-sf</t>
        </is>
      </c>
      <c r="AQ26" s="24" t="inlineStr">
        <is>
          <t>San Francisco Giants</t>
        </is>
      </c>
      <c r="AR26" s="24" t="inlineStr">
        <is>
          <t>San Francisco Giants</t>
        </is>
      </c>
      <c r="AS26" s="24" t="inlineStr">
        <is>
          <t>mlb-sd</t>
        </is>
      </c>
      <c r="AT26" s="24" t="inlineStr">
        <is>
          <t>San Diego Padres</t>
        </is>
      </c>
      <c r="AU26" s="24" t="inlineStr">
        <is>
          <t>San Diego Padres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2bc2ce55b0d39a20103f724bbddbde5394909acd49297f52665b596a0ae3ae8b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2bc2ce55b0d39a20103f724bbddbde5394909acd49297f52665b596a0ae3ae8b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2026-07-31T00:56:25.957709Z</t>
        </is>
      </c>
      <c r="BI26" s="24" t="inlineStr">
        <is>
          <t>["same_event","same_team_same_day","same_league_same_day"]</t>
        </is>
      </c>
      <c r="BJ26" s="25" t="n">
        <v>1.5</v>
      </c>
      <c r="BK26" s="26" t="n">
        <v>-138</v>
      </c>
      <c r="BL26" s="27" t="n">
        <v>1.724638</v>
      </c>
      <c r="BM26" s="28" t="n">
        <v>0.579832</v>
      </c>
      <c r="BN26" s="28" t="n">
        <v>0.577114</v>
      </c>
      <c r="BO26" s="28" t="n"/>
      <c r="BP26" s="25" t="n"/>
      <c r="BQ26" s="27" t="n">
        <v>1.724638</v>
      </c>
      <c r="BR26" s="28" t="n">
        <v>0.58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c8e5eb08284e45ba</t>
        </is>
      </c>
      <c r="B27" s="24" t="inlineStr">
        <is>
          <t>2026-07-31T00:56:25.957709Z</t>
        </is>
      </c>
      <c r="C27" s="24" t="inlineStr">
        <is>
          <t>2026-07-31T02:10Z</t>
        </is>
      </c>
      <c r="D27" s="24" t="inlineStr">
        <is>
          <t>401816330</t>
        </is>
      </c>
      <c r="E27" s="24" t="inlineStr">
        <is>
          <t>MLB</t>
        </is>
      </c>
      <c r="F27" s="24" t="inlineStr">
        <is>
          <t>Seattle Mariners</t>
        </is>
      </c>
      <c r="G27" s="24" t="inlineStr">
        <is>
          <t>Los Angeles Dodgers</t>
        </is>
      </c>
      <c r="H27" s="24" t="inlineStr">
        <is>
          <t>spread</t>
        </is>
      </c>
      <c r="I27" s="24" t="inlineStr">
        <is>
          <t>away</t>
        </is>
      </c>
      <c r="J27" s="25" t="n">
        <v>1.5</v>
      </c>
      <c r="K27" s="24" t="inlineStr">
        <is>
          <t>polymarket_us</t>
        </is>
      </c>
      <c r="L27" s="26" t="n">
        <v>-141</v>
      </c>
      <c r="M27" s="27" t="n">
        <v>1.70922</v>
      </c>
      <c r="N27" s="28" t="n">
        <v>0.585062</v>
      </c>
      <c r="O27" s="28" t="n">
        <v>0.548584</v>
      </c>
      <c r="P27" s="28" t="n">
        <v>0.042131</v>
      </c>
      <c r="Q27" s="28" t="n">
        <v>-0.036478</v>
      </c>
      <c r="R27" s="26" t="n">
        <v>6</v>
      </c>
      <c r="S27" s="29" t="n">
        <v>1</v>
      </c>
      <c r="T27" s="24" t="inlineStr">
        <is>
          <t>measured-edge-margin-v1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6</v>
      </c>
      <c r="Y27" s="25" t="n">
        <v>1.5</v>
      </c>
      <c r="Z27" s="26" t="n">
        <v>-141</v>
      </c>
      <c r="AA27" s="28" t="n">
        <v>0.585</v>
      </c>
      <c r="AB27" s="28" t="n">
        <v>-6.2e-05</v>
      </c>
      <c r="AC27" s="30" t="n">
        <v>-1</v>
      </c>
      <c r="AD27" s="24" t="inlineStr">
        <is>
          <t>2026-07-31T06:33:23.239586Z</t>
        </is>
      </c>
      <c r="AE27" s="31" t="inlineStr">
        <is>
          <t>Measured Edge Margin: Trend Engine projected 4.65-4.92; raw selected-side p=0.6361, calibrated p=0.5486.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mlb-sea</t>
        </is>
      </c>
      <c r="AQ27" s="24" t="inlineStr">
        <is>
          <t>Seattle Mariners</t>
        </is>
      </c>
      <c r="AR27" s="24" t="inlineStr">
        <is>
          <t>Seattle Mariners</t>
        </is>
      </c>
      <c r="AS27" s="24" t="inlineStr">
        <is>
          <t>mlb-lad</t>
        </is>
      </c>
      <c r="AT27" s="24" t="inlineStr">
        <is>
          <t>Los Angeles Dodgers</t>
        </is>
      </c>
      <c r="AU27" s="24" t="inlineStr">
        <is>
          <t>Los Angeles Dodgers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2bc2ce55b0d39a20103f724bbddbde5394909acd49297f52665b596a0ae3ae8b</t>
        </is>
      </c>
      <c r="BB27" s="24" t="inlineStr">
        <is>
          <t>flat_probability_shrinkage_toward_half</t>
        </is>
      </c>
      <c r="BC27" s="24" t="inlineStr">
        <is>
          <t>measured-edge-margin-v1</t>
        </is>
      </c>
      <c r="BD27" s="24" t="inlineStr">
        <is>
          <t>2bc2ce55b0d39a20103f724bbddbde5394909acd49297f52665b596a0ae3ae8b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2026-07-31T00:56:25.957709Z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-141</v>
      </c>
      <c r="BL27" s="27" t="n">
        <v>1.70922</v>
      </c>
      <c r="BM27" s="28" t="n">
        <v>0.585062</v>
      </c>
      <c r="BN27" s="28" t="n">
        <v>0.58209</v>
      </c>
      <c r="BO27" s="28" t="n"/>
      <c r="BP27" s="25" t="n"/>
      <c r="BQ27" s="27" t="n">
        <v>1.70922</v>
      </c>
      <c r="BR27" s="28" t="n">
        <v>0.585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60b823efaca14598</t>
        </is>
      </c>
      <c r="B28" s="24" t="inlineStr">
        <is>
          <t>2026-07-31T00:56:25.957709Z</t>
        </is>
      </c>
      <c r="C28" s="24" t="inlineStr">
        <is>
          <t>2026-07-31T02:10Z</t>
        </is>
      </c>
      <c r="D28" s="24" t="inlineStr">
        <is>
          <t>401816330</t>
        </is>
      </c>
      <c r="E28" s="24" t="inlineStr">
        <is>
          <t>MLB</t>
        </is>
      </c>
      <c r="F28" s="24" t="inlineStr">
        <is>
          <t>Seattle Mariners</t>
        </is>
      </c>
      <c r="G28" s="24" t="inlineStr">
        <is>
          <t>Los Angeles Dodgers</t>
        </is>
      </c>
      <c r="H28" s="24" t="inlineStr">
        <is>
          <t>total</t>
        </is>
      </c>
      <c r="I28" s="24" t="inlineStr">
        <is>
          <t>over</t>
        </is>
      </c>
      <c r="J28" s="25" t="n">
        <v>8.5</v>
      </c>
      <c r="K28" s="24" t="inlineStr">
        <is>
          <t>polymarket_us</t>
        </is>
      </c>
      <c r="L28" s="26" t="n">
        <v>-106</v>
      </c>
      <c r="M28" s="27" t="n">
        <v>1.943396</v>
      </c>
      <c r="N28" s="28" t="n">
        <v>0.514563</v>
      </c>
      <c r="O28" s="28" t="n">
        <v>0.550517</v>
      </c>
      <c r="P28" s="28" t="n">
        <v>0.042131</v>
      </c>
      <c r="Q28" s="28" t="n">
        <v>0.035954</v>
      </c>
      <c r="R28" s="26" t="n">
        <v>43</v>
      </c>
      <c r="S28" s="29" t="n">
        <v>1</v>
      </c>
      <c r="T28" s="24" t="inlineStr">
        <is>
          <t>measured-edge-totals-v1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6</v>
      </c>
      <c r="Y28" s="25" t="n">
        <v>8.5</v>
      </c>
      <c r="Z28" s="26" t="n">
        <v>-106</v>
      </c>
      <c r="AA28" s="28" t="n">
        <v>0.515</v>
      </c>
      <c r="AB28" s="28" t="n">
        <v>0.000437</v>
      </c>
      <c r="AC28" s="30" t="n">
        <v>-1</v>
      </c>
      <c r="AD28" s="24" t="inlineStr">
        <is>
          <t>2026-07-31T06:33:23.737443Z</t>
        </is>
      </c>
      <c r="AE28" s="31" t="inlineStr">
        <is>
          <t>Measured Edge Totals: Trend Engine projected 4.65-4.92; raw selected-side p=0.5680, calibrated p=0.5505.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mlb-sea</t>
        </is>
      </c>
      <c r="AQ28" s="24" t="inlineStr">
        <is>
          <t>Seattle Mariners</t>
        </is>
      </c>
      <c r="AR28" s="24" t="inlineStr">
        <is>
          <t>Seattle Mariners</t>
        </is>
      </c>
      <c r="AS28" s="24" t="inlineStr">
        <is>
          <t>mlb-lad</t>
        </is>
      </c>
      <c r="AT28" s="24" t="inlineStr">
        <is>
          <t>Los Angeles Dodgers</t>
        </is>
      </c>
      <c r="AU28" s="24" t="inlineStr">
        <is>
          <t>Los Angeles Dodgers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cbc2c9bf5a9569a49e1902c816d96556d704cf10819ca3a9e927721685757d0b</t>
        </is>
      </c>
      <c r="BB28" s="24" t="inlineStr">
        <is>
          <t>flat_probability_shrinkage_toward_half</t>
        </is>
      </c>
      <c r="BC28" s="24" t="inlineStr">
        <is>
          <t>measured-edge-totals-v1</t>
        </is>
      </c>
      <c r="BD28" s="24" t="inlineStr">
        <is>
          <t>cbc2c9bf5a9569a49e1902c816d96556d704cf10819ca3a9e927721685757d0b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2026-07-31T00:56:25.957709Z</t>
        </is>
      </c>
      <c r="BI28" s="24" t="inlineStr">
        <is>
          <t>["same_event","same_team_same_day","same_league_same_day"]</t>
        </is>
      </c>
      <c r="BJ28" s="25" t="n">
        <v>8.5</v>
      </c>
      <c r="BK28" s="26" t="n">
        <v>-106</v>
      </c>
      <c r="BL28" s="27" t="n">
        <v>1.943396</v>
      </c>
      <c r="BM28" s="28" t="n">
        <v>0.514563</v>
      </c>
      <c r="BN28" s="28" t="n">
        <v>0.5124379999999999</v>
      </c>
      <c r="BO28" s="28" t="n"/>
      <c r="BP28" s="25" t="n"/>
      <c r="BQ28" s="27" t="n">
        <v>1.943396</v>
      </c>
      <c r="BR28" s="28" t="n">
        <v>0.515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3d74b7d1bf3747a5</t>
        </is>
      </c>
      <c r="B29" s="24" t="inlineStr">
        <is>
          <t>2026-07-31T16:46:24.073866Z</t>
        </is>
      </c>
      <c r="C29" s="24" t="inlineStr">
        <is>
          <t>2026-07-31T14:20:00-0400</t>
        </is>
      </c>
      <c r="D29" s="24" t="inlineStr">
        <is>
          <t>401816339</t>
        </is>
      </c>
      <c r="E29" s="24" t="inlineStr">
        <is>
          <t>MLB</t>
        </is>
      </c>
      <c r="F29" s="24" t="inlineStr">
        <is>
          <t>New York Yankees</t>
        </is>
      </c>
      <c r="G29" s="24" t="inlineStr">
        <is>
          <t>Chicago Cubs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0.543986</v>
      </c>
      <c r="P29" s="28" t="n"/>
      <c r="Q29" s="28" t="n">
        <v>-0.051156</v>
      </c>
      <c r="R29" s="26" t="n">
        <v>0</v>
      </c>
      <c r="S29" s="29" t="n">
        <v>1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0</v>
      </c>
      <c r="Y29" s="25" t="n"/>
      <c r="Z29" s="26" t="n">
        <v>-147</v>
      </c>
      <c r="AA29" s="28" t="n">
        <v>0.595</v>
      </c>
      <c r="AB29" s="28" t="n">
        <v>-0.000142</v>
      </c>
      <c r="AC29" s="30" t="n">
        <v>-1</v>
      </c>
      <c r="AD29" s="24" t="inlineStr">
        <is>
          <t>2026-07-31T21:03:20.158261Z</t>
        </is>
      </c>
      <c r="AE29" s="31" t="inlineStr">
        <is>
          <t>Learned LR call at threshold 0.6242; executable ask 0.5950 (aec-mlb-nyy-chc-2026-07-31); model edge vs ask -0.0510.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mlb-nyy</t>
        </is>
      </c>
      <c r="AQ29" s="24" t="inlineStr">
        <is>
          <t>New York Yankees</t>
        </is>
      </c>
      <c r="AR29" s="24" t="inlineStr">
        <is>
          <t>New York Yankees</t>
        </is>
      </c>
      <c r="AS29" s="24" t="inlineStr">
        <is>
          <t>mlb-chc</t>
        </is>
      </c>
      <c r="AT29" s="24" t="inlineStr">
        <is>
          <t>Chicago Cubs</t>
        </is>
      </c>
      <c r="AU29" s="24" t="inlineStr">
        <is>
          <t>Chicago Cubs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e8343472130f370f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2026-07-31T16:45:32.204120Z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>
        <v>1.680272</v>
      </c>
      <c r="BR29" s="28" t="n">
        <v>0.595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0.5477638437</t>
        </is>
      </c>
      <c r="CD29" s="24" t="inlineStr">
        <is>
          <t>0.6277</t>
        </is>
      </c>
      <c r="CE29" s="24" t="inlineStr">
        <is>
          <t>0.986</t>
        </is>
      </c>
      <c r="CF29" s="24" t="inlineStr">
        <is>
          <t>1.014</t>
        </is>
      </c>
      <c r="CG29" s="24" t="inlineStr">
        <is>
          <t>-1.6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39009d7bd2e0407f</t>
        </is>
      </c>
      <c r="B30" s="24" t="inlineStr">
        <is>
          <t>2026-07-31T16:46:49.961054Z</t>
        </is>
      </c>
      <c r="C30" s="24" t="inlineStr">
        <is>
          <t>2026-07-31T18:20Z</t>
        </is>
      </c>
      <c r="D30" s="24" t="inlineStr">
        <is>
          <t>401816339</t>
        </is>
      </c>
      <c r="E30" s="24" t="inlineStr">
        <is>
          <t>MLB</t>
        </is>
      </c>
      <c r="F30" s="24" t="inlineStr">
        <is>
          <t>New York Yankees</t>
        </is>
      </c>
      <c r="G30" s="24" t="inlineStr">
        <is>
          <t>Chicago Cubs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-138</v>
      </c>
      <c r="M30" s="27" t="n">
        <v>1.724638</v>
      </c>
      <c r="N30" s="28" t="n">
        <v>0.579832</v>
      </c>
      <c r="O30" s="28" t="n">
        <v>0.538268</v>
      </c>
      <c r="P30" s="28" t="n">
        <v>0.042131</v>
      </c>
      <c r="Q30" s="28" t="n">
        <v>-0.041564</v>
      </c>
      <c r="R30" s="26" t="n">
        <v>4</v>
      </c>
      <c r="S30" s="29" t="n">
        <v>1</v>
      </c>
      <c r="T30" s="24" t="inlineStr">
        <is>
          <t>measured-edge-margin-v1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0</v>
      </c>
      <c r="Y30" s="25" t="n">
        <v>1.5</v>
      </c>
      <c r="Z30" s="26" t="n">
        <v>-138</v>
      </c>
      <c r="AA30" s="28" t="n">
        <v>0.58</v>
      </c>
      <c r="AB30" s="28" t="n">
        <v>0.000168</v>
      </c>
      <c r="AC30" s="30" t="n">
        <v>0.7246</v>
      </c>
      <c r="AD30" s="24" t="inlineStr">
        <is>
          <t>2026-07-31T21:03:20.724129Z</t>
        </is>
      </c>
      <c r="AE30" s="31" t="inlineStr">
        <is>
          <t>Measured Edge Margin: Trend Engine projected 4.18-5.00; raw selected-side p=0.5836, calibrated p=0.5383.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mlb-nyy</t>
        </is>
      </c>
      <c r="AQ30" s="24" t="inlineStr">
        <is>
          <t>New York Yankees</t>
        </is>
      </c>
      <c r="AR30" s="24" t="inlineStr">
        <is>
          <t>New York Yankees</t>
        </is>
      </c>
      <c r="AS30" s="24" t="inlineStr">
        <is>
          <t>mlb-chc</t>
        </is>
      </c>
      <c r="AT30" s="24" t="inlineStr">
        <is>
          <t>Chicago Cubs</t>
        </is>
      </c>
      <c r="AU30" s="24" t="inlineStr">
        <is>
          <t>Chicago Cubs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2bc2ce55b0d39a20103f724bbddbde5394909acd49297f52665b596a0ae3ae8b</t>
        </is>
      </c>
      <c r="BB30" s="24" t="inlineStr">
        <is>
          <t>flat_probability_shrinkage_toward_half</t>
        </is>
      </c>
      <c r="BC30" s="24" t="inlineStr">
        <is>
          <t>measured-edge-margin-v1</t>
        </is>
      </c>
      <c r="BD30" s="24" t="inlineStr">
        <is>
          <t>2bc2ce55b0d39a20103f724bbddbde5394909acd49297f52665b596a0ae3ae8b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2026-07-31T16:46:49.961054Z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-138</v>
      </c>
      <c r="BL30" s="27" t="n">
        <v>1.724638</v>
      </c>
      <c r="BM30" s="28" t="n">
        <v>0.579832</v>
      </c>
      <c r="BN30" s="28" t="n">
        <v>0.577114</v>
      </c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803a2df03dc04a1c</t>
        </is>
      </c>
      <c r="B31" s="24" t="inlineStr">
        <is>
          <t>2026-07-31T16:46:49.961054Z</t>
        </is>
      </c>
      <c r="C31" s="24" t="inlineStr">
        <is>
          <t>2026-07-31T18:20Z</t>
        </is>
      </c>
      <c r="D31" s="24" t="inlineStr">
        <is>
          <t>401816339</t>
        </is>
      </c>
      <c r="E31" s="24" t="inlineStr">
        <is>
          <t>MLB</t>
        </is>
      </c>
      <c r="F31" s="24" t="inlineStr">
        <is>
          <t>New York Yankees</t>
        </is>
      </c>
      <c r="G31" s="24" t="inlineStr">
        <is>
          <t>Chicago Cubs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-125</v>
      </c>
      <c r="M31" s="27" t="n">
        <v>1.8</v>
      </c>
      <c r="N31" s="28" t="n">
        <v>0.555556</v>
      </c>
      <c r="O31" s="28" t="n">
        <v>0.514138</v>
      </c>
      <c r="P31" s="28" t="n">
        <v>0.042131</v>
      </c>
      <c r="Q31" s="28" t="n">
        <v>-0.041418</v>
      </c>
      <c r="R31" s="26" t="n">
        <v>4</v>
      </c>
      <c r="S31" s="29" t="n">
        <v>1</v>
      </c>
      <c r="T31" s="24" t="inlineStr">
        <is>
          <t>measured-edge-totals-v1</t>
        </is>
      </c>
      <c r="U31" s="24" t="inlineStr">
        <is>
          <t>settled</t>
        </is>
      </c>
      <c r="V31" s="24" t="inlineStr">
        <is>
          <t>loss</t>
        </is>
      </c>
      <c r="W31" s="26" t="n">
        <v>2</v>
      </c>
      <c r="X31" s="26" t="n">
        <v>0</v>
      </c>
      <c r="Y31" s="25" t="n">
        <v>8.5</v>
      </c>
      <c r="Z31" s="26" t="n">
        <v>-125</v>
      </c>
      <c r="AA31" s="28" t="n">
        <v>0.555</v>
      </c>
      <c r="AB31" s="28" t="n">
        <v>-0.000556</v>
      </c>
      <c r="AC31" s="30" t="n">
        <v>-1</v>
      </c>
      <c r="AD31" s="24" t="inlineStr">
        <is>
          <t>2026-07-31T21:03:21.299218Z</t>
        </is>
      </c>
      <c r="AE31" s="31" t="inlineStr">
        <is>
          <t>Measured Edge Totals: Trend Engine projected 4.18-5.00; raw selected-side p=0.5305, calibrated p=0.5141.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mlb-nyy</t>
        </is>
      </c>
      <c r="AQ31" s="24" t="inlineStr">
        <is>
          <t>New York Yankees</t>
        </is>
      </c>
      <c r="AR31" s="24" t="inlineStr">
        <is>
          <t>New York Yankees</t>
        </is>
      </c>
      <c r="AS31" s="24" t="inlineStr">
        <is>
          <t>mlb-chc</t>
        </is>
      </c>
      <c r="AT31" s="24" t="inlineStr">
        <is>
          <t>Chicago Cubs</t>
        </is>
      </c>
      <c r="AU31" s="24" t="inlineStr">
        <is>
          <t>Chicago Cubs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cbc2c9bf5a9569a49e1902c816d96556d704cf10819ca3a9e927721685757d0b</t>
        </is>
      </c>
      <c r="BB31" s="24" t="inlineStr">
        <is>
          <t>flat_probability_shrinkage_toward_half</t>
        </is>
      </c>
      <c r="BC31" s="24" t="inlineStr">
        <is>
          <t>measured-edge-totals-v1</t>
        </is>
      </c>
      <c r="BD31" s="24" t="inlineStr">
        <is>
          <t>cbc2c9bf5a9569a49e1902c816d96556d704cf10819ca3a9e927721685757d0b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2026-07-31T16:46:49.961054Z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-125</v>
      </c>
      <c r="BL31" s="27" t="n">
        <v>1.8</v>
      </c>
      <c r="BM31" s="28" t="n">
        <v>0.555556</v>
      </c>
      <c r="BN31" s="28" t="n">
        <v>0.552239</v>
      </c>
      <c r="BO31" s="28" t="n"/>
      <c r="BP31" s="25" t="n"/>
      <c r="BQ31" s="27" t="n">
        <v>1.8</v>
      </c>
      <c r="BR31" s="28" t="n">
        <v>0.555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7a2edb1572dc4cd1</t>
        </is>
      </c>
      <c r="B32" s="24" t="inlineStr">
        <is>
          <t>2026-07-31T21:05:22.115641Z</t>
        </is>
      </c>
      <c r="C32" s="24" t="inlineStr">
        <is>
          <t>2026-07-31T18:10:00-0400</t>
        </is>
      </c>
      <c r="D32" s="24" t="inlineStr">
        <is>
          <t>401816336</t>
        </is>
      </c>
      <c r="E32" s="24" t="inlineStr">
        <is>
          <t>MLB</t>
        </is>
      </c>
      <c r="F32" s="24" t="inlineStr">
        <is>
          <t>Pittsburgh Pirates</t>
        </is>
      </c>
      <c r="G32" s="24" t="inlineStr">
        <is>
          <t>Cincinnati Reds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0.519691</v>
      </c>
      <c r="P32" s="28" t="n"/>
      <c r="Q32" s="28" t="n">
        <v>-0.01948</v>
      </c>
      <c r="R32" s="26" t="n">
        <v>11</v>
      </c>
      <c r="S32" s="29" t="n">
        <v>1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7</v>
      </c>
      <c r="X32" s="26" t="n">
        <v>8</v>
      </c>
      <c r="Y32" s="25" t="n"/>
      <c r="Z32" s="26" t="n">
        <v>-117</v>
      </c>
      <c r="AA32" s="28" t="n">
        <v>0.54</v>
      </c>
      <c r="AB32" s="28" t="n">
        <v>0.000829</v>
      </c>
      <c r="AC32" s="30" t="n">
        <v>-1</v>
      </c>
      <c r="AD32" s="24" t="inlineStr">
        <is>
          <t>2026-08-01T02:59:59.343995Z</t>
        </is>
      </c>
      <c r="AE32" s="31" t="inlineStr">
        <is>
          <t>Learned LR call at threshold 0.6242; executable ask 0.5400 (aec-mlb-pit-cin-2026-07-31); model edge vs ask -0.0203.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mlb-pit</t>
        </is>
      </c>
      <c r="AQ32" s="24" t="inlineStr">
        <is>
          <t>Pittsburgh Pirates</t>
        </is>
      </c>
      <c r="AR32" s="24" t="inlineStr">
        <is>
          <t>Pittsburgh Pirates</t>
        </is>
      </c>
      <c r="AS32" s="24" t="inlineStr">
        <is>
          <t>mlb-cin</t>
        </is>
      </c>
      <c r="AT32" s="24" t="inlineStr">
        <is>
          <t>Cincinnati Reds</t>
        </is>
      </c>
      <c r="AU32" s="24" t="inlineStr">
        <is>
          <t>Cincinnati Reds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87db1c842ab8959c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2026-07-31T21:04:14.582367Z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>
        <v>0.537313</v>
      </c>
      <c r="BO32" s="28" t="n"/>
      <c r="BP32" s="25" t="n"/>
      <c r="BQ32" s="27" t="n">
        <v>1.854701</v>
      </c>
      <c r="BR32" s="28" t="n">
        <v>0.54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0.4930079966</t>
        </is>
      </c>
      <c r="CD32" s="24" t="inlineStr">
        <is>
          <t>0.789352</t>
        </is>
      </c>
      <c r="CE32" s="24" t="inlineStr">
        <is>
          <t>1.036</t>
        </is>
      </c>
      <c r="CF32" s="24" t="inlineStr">
        <is>
          <t>1.0173</t>
        </is>
      </c>
      <c r="CG32" s="24" t="inlineStr">
        <is>
          <t>-1.2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cf884cdd45fa42a6</t>
        </is>
      </c>
      <c r="B33" s="24" t="inlineStr">
        <is>
          <t>2026-07-31T21:05:22.115641Z</t>
        </is>
      </c>
      <c r="C33" s="24" t="inlineStr">
        <is>
          <t>2026-07-31T19:05:00-0400</t>
        </is>
      </c>
      <c r="D33" s="24" t="inlineStr">
        <is>
          <t>401816335</t>
        </is>
      </c>
      <c r="E33" s="24" t="inlineStr">
        <is>
          <t>MLB</t>
        </is>
      </c>
      <c r="F33" s="24" t="inlineStr">
        <is>
          <t>Philadelphia Phillies</t>
        </is>
      </c>
      <c r="G33" s="24" t="inlineStr">
        <is>
          <t>Baltimore Orioles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106</v>
      </c>
      <c r="M33" s="27" t="n">
        <v>2.06</v>
      </c>
      <c r="N33" s="28" t="n">
        <v>0.485437</v>
      </c>
      <c r="O33" s="28" t="n">
        <v>0.509459</v>
      </c>
      <c r="P33" s="28" t="n"/>
      <c r="Q33" s="28" t="n">
        <v>0.024022</v>
      </c>
      <c r="R33" s="26" t="n">
        <v>33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6</v>
      </c>
      <c r="Y33" s="25" t="n"/>
      <c r="Z33" s="26" t="n">
        <v>106</v>
      </c>
      <c r="AA33" s="28" t="n">
        <v>0.485</v>
      </c>
      <c r="AB33" s="28" t="n">
        <v>-0.000437</v>
      </c>
      <c r="AC33" s="30" t="n">
        <v>-1</v>
      </c>
      <c r="AD33" s="24" t="inlineStr">
        <is>
          <t>2026-08-01T02:59:59.636597Z</t>
        </is>
      </c>
      <c r="AE33" s="31" t="inlineStr">
        <is>
          <t>Learned LR call at threshold 0.6242; executable ask 0.4850 (aec-mlb-phi-bal-2026-07-31); model edge vs ask +0.0245.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mlb-phi</t>
        </is>
      </c>
      <c r="AQ33" s="24" t="inlineStr">
        <is>
          <t>Philadelphia Phillies</t>
        </is>
      </c>
      <c r="AR33" s="24" t="inlineStr">
        <is>
          <t>Philadelphia Phillies</t>
        </is>
      </c>
      <c r="AS33" s="24" t="inlineStr">
        <is>
          <t>mlb-bal</t>
        </is>
      </c>
      <c r="AT33" s="24" t="inlineStr">
        <is>
          <t>Baltimore Orioles</t>
        </is>
      </c>
      <c r="AU33" s="24" t="inlineStr">
        <is>
          <t>Baltimore Orioles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1b69a14f3893f0c1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2026-07-31T21:04:15.613897Z</t>
        </is>
      </c>
      <c r="BI33" s="24" t="inlineStr">
        <is>
          <t>["same_event","same_team_same_day","same_league_same_day"]</t>
        </is>
      </c>
      <c r="BJ33" s="25" t="n"/>
      <c r="BK33" s="26" t="n">
        <v>106</v>
      </c>
      <c r="BL33" s="27" t="n">
        <v>2.06</v>
      </c>
      <c r="BM33" s="28" t="n">
        <v>0.485437</v>
      </c>
      <c r="BN33" s="28" t="n">
        <v>0.482587</v>
      </c>
      <c r="BO33" s="28" t="n"/>
      <c r="BP33" s="25" t="n"/>
      <c r="BQ33" s="27" t="n">
        <v>2.06</v>
      </c>
      <c r="BR33" s="28" t="n">
        <v>0.485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0.4867559615</t>
        </is>
      </c>
      <c r="CD33" s="24" t="inlineStr">
        <is>
          <t>0.736702</t>
        </is>
      </c>
      <c r="CE33" s="24" t="inlineStr">
        <is>
          <t>1.03</t>
        </is>
      </c>
      <c r="CF33" s="24" t="inlineStr">
        <is>
          <t>1.0165</t>
        </is>
      </c>
      <c r="CG33" s="24" t="inlineStr">
        <is>
          <t>3.2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b1dea9d31b774008</t>
        </is>
      </c>
      <c r="B34" s="24" t="inlineStr">
        <is>
          <t>2026-07-31T21:05:22.115641Z</t>
        </is>
      </c>
      <c r="C34" s="24" t="inlineStr">
        <is>
          <t>2026-07-31T19:07:00-0400</t>
        </is>
      </c>
      <c r="D34" s="24" t="inlineStr">
        <is>
          <t>401816337</t>
        </is>
      </c>
      <c r="E34" s="24" t="inlineStr">
        <is>
          <t>MLB</t>
        </is>
      </c>
      <c r="F34" s="24" t="inlineStr">
        <is>
          <t>St. Louis Cardinals</t>
        </is>
      </c>
      <c r="G34" s="24" t="inlineStr">
        <is>
          <t>Toronto Blue Jays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-170</v>
      </c>
      <c r="M34" s="27" t="n">
        <v>1.588235</v>
      </c>
      <c r="N34" s="28" t="n">
        <v>0.62963</v>
      </c>
      <c r="O34" s="28" t="n">
        <v>0.5350549999999999</v>
      </c>
      <c r="P34" s="28" t="n"/>
      <c r="Q34" s="28" t="n">
        <v>-0.09457500000000001</v>
      </c>
      <c r="R34" s="26" t="n">
        <v>0</v>
      </c>
      <c r="S34" s="29" t="n">
        <v>1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3</v>
      </c>
      <c r="Y34" s="25" t="n"/>
      <c r="Z34" s="26" t="n">
        <v>-170</v>
      </c>
      <c r="AA34" s="28" t="n">
        <v>0.63</v>
      </c>
      <c r="AB34" s="28" t="n">
        <v>0.00037</v>
      </c>
      <c r="AC34" s="30" t="n">
        <v>0.5881999999999999</v>
      </c>
      <c r="AD34" s="24" t="inlineStr">
        <is>
          <t>2026-08-01T02:59:59.922051Z</t>
        </is>
      </c>
      <c r="AE34" s="31" t="inlineStr">
        <is>
          <t>Learned LR call at threshold 0.6242; executable ask 0.6300 (aec-mlb-stl-tor-2026-07-31); model edge vs ask -0.0949.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mlb-stl</t>
        </is>
      </c>
      <c r="AQ34" s="24" t="inlineStr">
        <is>
          <t>St. Louis Cardinals</t>
        </is>
      </c>
      <c r="AR34" s="24" t="inlineStr">
        <is>
          <t>St. Louis Cardinals</t>
        </is>
      </c>
      <c r="AS34" s="24" t="inlineStr">
        <is>
          <t>mlb-tor</t>
        </is>
      </c>
      <c r="AT34" s="24" t="inlineStr">
        <is>
          <t>Toronto Blue Jays</t>
        </is>
      </c>
      <c r="AU34" s="24" t="inlineStr">
        <is>
          <t>Toronto Blue Jays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d656c6c15db18eba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2026-07-31T21:04:16.588388Z</t>
        </is>
      </c>
      <c r="BI34" s="24" t="inlineStr">
        <is>
          <t>["same_event","same_team_same_day","same_league_same_day"]</t>
        </is>
      </c>
      <c r="BJ34" s="25" t="n"/>
      <c r="BK34" s="26" t="n">
        <v>-170</v>
      </c>
      <c r="BL34" s="27" t="n">
        <v>1.588235</v>
      </c>
      <c r="BM34" s="28" t="n">
        <v>0.62963</v>
      </c>
      <c r="BN34" s="28" t="n">
        <v>0.626866</v>
      </c>
      <c r="BO34" s="28" t="n"/>
      <c r="BP34" s="25" t="n"/>
      <c r="BQ34" s="27" t="n">
        <v>1.588235</v>
      </c>
      <c r="BR34" s="28" t="n">
        <v>0.63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0.5524208033</t>
        </is>
      </c>
      <c r="CD34" s="24" t="inlineStr">
        <is>
          <t>0.784126</t>
        </is>
      </c>
      <c r="CE34" s="24" t="inlineStr">
        <is>
          <t>1.019</t>
        </is>
      </c>
      <c r="CF34" s="24" t="inlineStr">
        <is>
          <t>1</t>
        </is>
      </c>
      <c r="CG34" s="24" t="inlineStr">
        <is>
          <t>-0.8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594cf89dbb3142f3</t>
        </is>
      </c>
      <c r="B35" s="24" t="inlineStr">
        <is>
          <t>2026-07-31T21:05:22.115641Z</t>
        </is>
      </c>
      <c r="C35" s="24" t="inlineStr">
        <is>
          <t>2026-07-31T19:10:00-0400</t>
        </is>
      </c>
      <c r="D35" s="24" t="inlineStr">
        <is>
          <t>401816332</t>
        </is>
      </c>
      <c r="E35" s="24" t="inlineStr">
        <is>
          <t>MLB</t>
        </is>
      </c>
      <c r="F35" s="24" t="inlineStr">
        <is>
          <t>Arizona Diamondbacks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-130</v>
      </c>
      <c r="M35" s="27" t="n">
        <v>1.769231</v>
      </c>
      <c r="N35" s="28" t="n">
        <v>0.565217</v>
      </c>
      <c r="O35" s="28" t="n">
        <v>0.544258</v>
      </c>
      <c r="P35" s="28" t="n"/>
      <c r="Q35" s="28" t="n">
        <v>-0.020959</v>
      </c>
      <c r="R35" s="26" t="n">
        <v>11</v>
      </c>
      <c r="S35" s="29" t="n">
        <v>1</v>
      </c>
      <c r="T35" s="24" t="inlineStr">
        <is>
          <t>mlb-elo-trend-lr-v7</t>
        </is>
      </c>
      <c r="U35" s="24" t="inlineStr">
        <is>
          <t>settled</t>
        </is>
      </c>
      <c r="V35" s="24" t="inlineStr">
        <is>
          <t>loss</t>
        </is>
      </c>
      <c r="W35" s="26" t="n">
        <v>4</v>
      </c>
      <c r="X35" s="26" t="n">
        <v>1</v>
      </c>
      <c r="Y35" s="25" t="n"/>
      <c r="Z35" s="26" t="n">
        <v>-130</v>
      </c>
      <c r="AA35" s="28" t="n">
        <v>0.5649999999999999</v>
      </c>
      <c r="AB35" s="28" t="n">
        <v>-0.000217</v>
      </c>
      <c r="AC35" s="30" t="n">
        <v>-1</v>
      </c>
      <c r="AD35" s="24" t="inlineStr">
        <is>
          <t>2026-08-01T03:00:00.243425Z</t>
        </is>
      </c>
      <c r="AE35" s="31" t="inlineStr">
        <is>
          <t>Learned LR call at threshold 0.6242; executable ask 0.5650 (aec-mlb-az-cle-2026-07-31); model edge vs ask -0.0207.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mlb-ari</t>
        </is>
      </c>
      <c r="AQ35" s="24" t="inlineStr">
        <is>
          <t>Arizona Diamondbacks</t>
        </is>
      </c>
      <c r="AR35" s="24" t="inlineStr">
        <is>
          <t>Arizona Diamondbacks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464eef695bfbbdaa819ec6f5e4c5bd1068ed20b92915fb2677220ae91e20d8b6</t>
        </is>
      </c>
      <c r="BB35" s="24" t="inlineStr">
        <is>
          <t>learned_lr</t>
        </is>
      </c>
      <c r="BC35" s="24" t="inlineStr">
        <is>
          <t>mlb-elo-trend-lr-v7</t>
        </is>
      </c>
      <c r="BD35" s="24" t="inlineStr">
        <is>
          <t>464eef695bfbbdaa819ec6f5e4c5bd1068ed20b92915fb2677220ae91e20d8b6</t>
        </is>
      </c>
      <c r="BE35" s="24" t="inlineStr">
        <is>
          <t>c05f3921fd3daa13</t>
        </is>
      </c>
      <c r="BF35" s="24" t="inlineStr">
        <is>
          <t>1</t>
        </is>
      </c>
      <c r="BG35" s="24" t="inlineStr">
        <is>
          <t>mlb-elo-trend-lr-v7</t>
        </is>
      </c>
      <c r="BH35" s="24" t="inlineStr">
        <is>
          <t>2026-07-31T21:04:18.706060Z</t>
        </is>
      </c>
      <c r="BI35" s="24" t="inlineStr">
        <is>
          <t>["same_event","same_team_same_day","same_league_same_day"]</t>
        </is>
      </c>
      <c r="BJ35" s="25" t="n"/>
      <c r="BK35" s="26" t="n">
        <v>-130</v>
      </c>
      <c r="BL35" s="27" t="n">
        <v>1.769231</v>
      </c>
      <c r="BM35" s="28" t="n">
        <v>0.565217</v>
      </c>
      <c r="BN35" s="28" t="n">
        <v>0.562189</v>
      </c>
      <c r="BO35" s="28" t="n"/>
      <c r="BP35" s="25" t="n"/>
      <c r="BQ35" s="27" t="n">
        <v>1.769231</v>
      </c>
      <c r="BR35" s="28" t="n">
        <v>0.5649999999999999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0.5330748271</t>
        </is>
      </c>
      <c r="CD35" s="24" t="inlineStr">
        <is>
          <t>-0.52933</t>
        </is>
      </c>
      <c r="CE35" s="24" t="inlineStr">
        <is>
          <t>0.966</t>
        </is>
      </c>
      <c r="CF35" s="24" t="inlineStr">
        <is>
          <t>1.01</t>
        </is>
      </c>
      <c r="CG35" s="24" t="inlineStr">
        <is>
          <t>-0.4</t>
        </is>
      </c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64c9cf49c8c34227</t>
        </is>
      </c>
      <c r="B36" s="24" t="inlineStr">
        <is>
          <t>2026-07-31T21:05:22.115641Z</t>
        </is>
      </c>
      <c r="C36" s="24" t="inlineStr">
        <is>
          <t>2026-07-31T19:10:00-0400</t>
        </is>
      </c>
      <c r="D36" s="24" t="inlineStr">
        <is>
          <t>401816333</t>
        </is>
      </c>
      <c r="E36" s="24" t="inlineStr">
        <is>
          <t>MLB</t>
        </is>
      </c>
      <c r="F36" s="24" t="inlineStr">
        <is>
          <t>Chicago White Sox</t>
        </is>
      </c>
      <c r="G36" s="24" t="inlineStr">
        <is>
          <t>Tampa Bay Rays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-127</v>
      </c>
      <c r="M36" s="27" t="n">
        <v>1.787402</v>
      </c>
      <c r="N36" s="28" t="n">
        <v>0.5594710000000001</v>
      </c>
      <c r="O36" s="28" t="n">
        <v>0.559082</v>
      </c>
      <c r="P36" s="28" t="n"/>
      <c r="Q36" s="28" t="n">
        <v>-0.000389</v>
      </c>
      <c r="R36" s="26" t="n">
        <v>21</v>
      </c>
      <c r="S36" s="29" t="n">
        <v>1</v>
      </c>
      <c r="T36" s="24" t="inlineStr">
        <is>
          <t>mlb-elo-trend-lr-v7</t>
        </is>
      </c>
      <c r="U36" s="24" t="inlineStr">
        <is>
          <t>settled</t>
        </is>
      </c>
      <c r="V36" s="24" t="inlineStr">
        <is>
          <t>loss</t>
        </is>
      </c>
      <c r="W36" s="26" t="n">
        <v>6</v>
      </c>
      <c r="X36" s="26" t="n">
        <v>1</v>
      </c>
      <c r="Y36" s="25" t="n"/>
      <c r="Z36" s="26" t="n">
        <v>-127</v>
      </c>
      <c r="AA36" s="28" t="n">
        <v>0.5600000000000001</v>
      </c>
      <c r="AB36" s="28" t="n">
        <v>0.000529</v>
      </c>
      <c r="AC36" s="30" t="n">
        <v>-1</v>
      </c>
      <c r="AD36" s="24" t="inlineStr">
        <is>
          <t>2026-08-01T03:00:00.525886Z</t>
        </is>
      </c>
      <c r="AE36" s="31" t="inlineStr">
        <is>
          <t>Learned LR call at threshold 0.6242; executable ask 0.5600 (aec-mlb-cws-tb-2026-07-31); model edge vs ask -0.0009.</t>
        </is>
      </c>
      <c r="AF36" s="31" t="inlineStr">
        <is>
          <t>Learned model; shadow-qualified via operator override.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mlb-cws</t>
        </is>
      </c>
      <c r="AQ36" s="24" t="inlineStr">
        <is>
          <t>Chicago White Sox</t>
        </is>
      </c>
      <c r="AR36" s="24" t="inlineStr">
        <is>
          <t>Chicago White Sox</t>
        </is>
      </c>
      <c r="AS36" s="24" t="inlineStr">
        <is>
          <t>mlb-tb</t>
        </is>
      </c>
      <c r="AT36" s="24" t="inlineStr">
        <is>
          <t>Tampa Bay Rays</t>
        </is>
      </c>
      <c r="AU36" s="24" t="inlineStr">
        <is>
          <t>Tampa Bay Rays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464eef695bfbbdaa819ec6f5e4c5bd1068ed20b92915fb2677220ae91e20d8b6</t>
        </is>
      </c>
      <c r="BB36" s="24" t="inlineStr">
        <is>
          <t>learned_lr</t>
        </is>
      </c>
      <c r="BC36" s="24" t="inlineStr">
        <is>
          <t>mlb-elo-trend-lr-v7</t>
        </is>
      </c>
      <c r="BD36" s="24" t="inlineStr">
        <is>
          <t>464eef695bfbbdaa819ec6f5e4c5bd1068ed20b92915fb2677220ae91e20d8b6</t>
        </is>
      </c>
      <c r="BE36" s="24" t="inlineStr">
        <is>
          <t>a9ebd0a8f01e6140</t>
        </is>
      </c>
      <c r="BF36" s="24" t="inlineStr">
        <is>
          <t>1</t>
        </is>
      </c>
      <c r="BG36" s="24" t="inlineStr">
        <is>
          <t>mlb-elo-trend-lr-v7</t>
        </is>
      </c>
      <c r="BH36" s="24" t="inlineStr">
        <is>
          <t>2026-07-31T21:04:17.593587Z</t>
        </is>
      </c>
      <c r="BI36" s="24" t="inlineStr">
        <is>
          <t>["same_event","same_team_same_day","same_league_same_day"]</t>
        </is>
      </c>
      <c r="BJ36" s="25" t="n"/>
      <c r="BK36" s="26" t="n">
        <v>-127</v>
      </c>
      <c r="BL36" s="27" t="n">
        <v>1.787402</v>
      </c>
      <c r="BM36" s="28" t="n">
        <v>0.5594710000000001</v>
      </c>
      <c r="BN36" s="28" t="n">
        <v>0.557214</v>
      </c>
      <c r="BO36" s="28" t="n"/>
      <c r="BP36" s="25" t="n"/>
      <c r="BQ36" s="27" t="n">
        <v>1.787402</v>
      </c>
      <c r="BR36" s="28" t="n">
        <v>0.5600000000000001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0.5584762442</t>
        </is>
      </c>
      <c r="CD36" s="24" t="inlineStr">
        <is>
          <t>-0.438979</t>
        </is>
      </c>
      <c r="CE36" s="24" t="inlineStr">
        <is>
          <t>0.965</t>
        </is>
      </c>
      <c r="CF36" s="24" t="inlineStr">
        <is>
          <t>1</t>
        </is>
      </c>
      <c r="CG36" s="24" t="inlineStr">
        <is>
          <t>-2.4</t>
        </is>
      </c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fce5992c67c64f32</t>
        </is>
      </c>
      <c r="B37" s="24" t="inlineStr">
        <is>
          <t>2026-07-31T21:05:22.115641Z</t>
        </is>
      </c>
      <c r="C37" s="24" t="inlineStr">
        <is>
          <t>2026-07-31T19:10:00-0400</t>
        </is>
      </c>
      <c r="D37" s="24" t="inlineStr">
        <is>
          <t>401816334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New York Mets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-111</v>
      </c>
      <c r="M37" s="27" t="n">
        <v>1.900901</v>
      </c>
      <c r="N37" s="28" t="n">
        <v>0.526066</v>
      </c>
      <c r="O37" s="28" t="n">
        <v>0.515053</v>
      </c>
      <c r="P37" s="28" t="n"/>
      <c r="Q37" s="28" t="n">
        <v>-0.011013</v>
      </c>
      <c r="R37" s="26" t="n">
        <v>16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2</v>
      </c>
      <c r="Y37" s="25" t="n"/>
      <c r="Z37" s="26" t="n">
        <v>-111</v>
      </c>
      <c r="AA37" s="28" t="n">
        <v>0.525</v>
      </c>
      <c r="AB37" s="28" t="n">
        <v>-0.001066</v>
      </c>
      <c r="AC37" s="30" t="n">
        <v>-1</v>
      </c>
      <c r="AD37" s="24" t="inlineStr">
        <is>
          <t>2026-08-01T03:00:00.882259Z</t>
        </is>
      </c>
      <c r="AE37" s="31" t="inlineStr">
        <is>
          <t>Learned LR call at threshold 0.6242; executable ask 0.5250 (aec-mlb-mia-nym-2026-07-31); model edge vs ask -0.0099.</t>
        </is>
      </c>
      <c r="AF37" s="31" t="inlineStr">
        <is>
          <t>Learned model; shadow-qualified via operator override.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mlb-nym</t>
        </is>
      </c>
      <c r="AT37" s="24" t="inlineStr">
        <is>
          <t>New York Mets</t>
        </is>
      </c>
      <c r="AU37" s="24" t="inlineStr">
        <is>
          <t>New York Mets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7d687c1d1c8fffaf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2026-07-31T21:04:19.683836Z</t>
        </is>
      </c>
      <c r="BI37" s="24" t="inlineStr">
        <is>
          <t>["same_event","same_team_same_day","same_league_same_day"]</t>
        </is>
      </c>
      <c r="BJ37" s="25" t="n"/>
      <c r="BK37" s="26" t="n">
        <v>-111</v>
      </c>
      <c r="BL37" s="27" t="n">
        <v>1.900901</v>
      </c>
      <c r="BM37" s="28" t="n">
        <v>0.526066</v>
      </c>
      <c r="BN37" s="28" t="n">
        <v>0.522388</v>
      </c>
      <c r="BO37" s="28" t="n"/>
      <c r="BP37" s="25" t="n"/>
      <c r="BQ37" s="27" t="n">
        <v>1.900901</v>
      </c>
      <c r="BR37" s="28" t="n">
        <v>0.525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0.5114006859</t>
        </is>
      </c>
      <c r="CD37" s="24" t="inlineStr">
        <is>
          <t>0.280262</t>
        </is>
      </c>
      <c r="CE37" s="24" t="inlineStr">
        <is>
          <t>0.978</t>
        </is>
      </c>
      <c r="CF37" s="24" t="inlineStr">
        <is>
          <t>1.0066</t>
        </is>
      </c>
      <c r="CG37" s="24" t="inlineStr">
        <is>
          <t>-2.2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0406e869a5684c9e</t>
        </is>
      </c>
      <c r="B38" s="24" t="inlineStr">
        <is>
          <t>2026-07-31T21:05:22.115641Z</t>
        </is>
      </c>
      <c r="C38" s="24" t="inlineStr">
        <is>
          <t>2026-07-31T19:15:00-0400</t>
        </is>
      </c>
      <c r="D38" s="24" t="inlineStr">
        <is>
          <t>401816338</t>
        </is>
      </c>
      <c r="E38" s="24" t="inlineStr">
        <is>
          <t>MLB</t>
        </is>
      </c>
      <c r="F38" s="24" t="inlineStr">
        <is>
          <t>Washington Nationals</t>
        </is>
      </c>
      <c r="G38" s="24" t="inlineStr">
        <is>
          <t>Atlanta Braves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-111</v>
      </c>
      <c r="M38" s="27" t="n">
        <v>1.900901</v>
      </c>
      <c r="N38" s="28" t="n">
        <v>0.526066</v>
      </c>
      <c r="O38" s="28" t="n">
        <v>0.610339</v>
      </c>
      <c r="P38" s="28" t="n"/>
      <c r="Q38" s="28" t="n">
        <v>0.084273</v>
      </c>
      <c r="R38" s="26" t="n">
        <v>64</v>
      </c>
      <c r="S38" s="29" t="n">
        <v>1.5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6</v>
      </c>
      <c r="Y38" s="25" t="n"/>
      <c r="Z38" s="26" t="n">
        <v>-111</v>
      </c>
      <c r="AA38" s="28" t="n">
        <v>0.525</v>
      </c>
      <c r="AB38" s="28" t="n">
        <v>-0.001066</v>
      </c>
      <c r="AC38" s="30" t="n">
        <v>1.3514</v>
      </c>
      <c r="AD38" s="24" t="inlineStr">
        <is>
          <t>2026-08-01T03:00:01.166405Z</t>
        </is>
      </c>
      <c r="AE38" s="31" t="inlineStr">
        <is>
          <t>Learned LR call at threshold 0.6242; executable ask 0.5250 (aec-mlb-wsh-atl-2026-07-31); model edge vs ask +0.0853.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mlb-wsh</t>
        </is>
      </c>
      <c r="AQ38" s="24" t="inlineStr">
        <is>
          <t>Washington Nationals</t>
        </is>
      </c>
      <c r="AR38" s="24" t="inlineStr">
        <is>
          <t>Washington Nationals</t>
        </is>
      </c>
      <c r="AS38" s="24" t="inlineStr">
        <is>
          <t>mlb-atl</t>
        </is>
      </c>
      <c r="AT38" s="24" t="inlineStr">
        <is>
          <t>Atlanta Braves</t>
        </is>
      </c>
      <c r="AU38" s="24" t="inlineStr">
        <is>
          <t>Atlanta Braves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7862677c79c1ab1a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2026-07-31T21:04:20.645809Z</t>
        </is>
      </c>
      <c r="BI38" s="24" t="inlineStr">
        <is>
          <t>["same_event","same_team_same_day","same_league_same_day"]</t>
        </is>
      </c>
      <c r="BJ38" s="25" t="n"/>
      <c r="BK38" s="26" t="n">
        <v>-111</v>
      </c>
      <c r="BL38" s="27" t="n">
        <v>1.900901</v>
      </c>
      <c r="BM38" s="28" t="n">
        <v>0.526066</v>
      </c>
      <c r="BN38" s="28" t="n">
        <v>0.522388</v>
      </c>
      <c r="BO38" s="28" t="n"/>
      <c r="BP38" s="25" t="n"/>
      <c r="BQ38" s="27" t="n">
        <v>1.900901</v>
      </c>
      <c r="BR38" s="28" t="n">
        <v>0.525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0.6202589708</t>
        </is>
      </c>
      <c r="CD38" s="24" t="inlineStr">
        <is>
          <t>-0.247606</t>
        </is>
      </c>
      <c r="CE38" s="24" t="inlineStr">
        <is>
          <t>0.929</t>
        </is>
      </c>
      <c r="CF38" s="24" t="inlineStr">
        <is>
          <t>1.0189</t>
        </is>
      </c>
      <c r="CG38" s="24" t="inlineStr">
        <is>
          <t>-0.6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4889dd4f50bc4c81</t>
        </is>
      </c>
      <c r="B39" s="24" t="inlineStr">
        <is>
          <t>2026-07-31T21:05:54.725871Z</t>
        </is>
      </c>
      <c r="C39" s="24" t="inlineStr">
        <is>
          <t>2026-07-31T22:10Z</t>
        </is>
      </c>
      <c r="D39" s="24" t="inlineStr">
        <is>
          <t>401816336</t>
        </is>
      </c>
      <c r="E39" s="24" t="inlineStr">
        <is>
          <t>MLB</t>
        </is>
      </c>
      <c r="F39" s="24" t="inlineStr">
        <is>
          <t>Pittsburgh Pirates</t>
        </is>
      </c>
      <c r="G39" s="24" t="inlineStr">
        <is>
          <t>Cincinnati Reds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0.551836</v>
      </c>
      <c r="P39" s="28" t="n">
        <v>0.05172</v>
      </c>
      <c r="Q39" s="28" t="n">
        <v>-0.043306</v>
      </c>
      <c r="R39" s="26" t="n">
        <v>0</v>
      </c>
      <c r="S39" s="29" t="n">
        <v>1</v>
      </c>
      <c r="T39" s="24" t="inlineStr">
        <is>
          <t>measured-edge-margin-v1</t>
        </is>
      </c>
      <c r="U39" s="24" t="inlineStr">
        <is>
          <t>settled</t>
        </is>
      </c>
      <c r="V39" s="24" t="inlineStr">
        <is>
          <t>win</t>
        </is>
      </c>
      <c r="W39" s="26" t="n">
        <v>7</v>
      </c>
      <c r="X39" s="26" t="n">
        <v>8</v>
      </c>
      <c r="Y39" s="25" t="n">
        <v>1.5</v>
      </c>
      <c r="Z39" s="26" t="n">
        <v>-147</v>
      </c>
      <c r="AA39" s="28" t="n">
        <v>0.595</v>
      </c>
      <c r="AB39" s="28" t="n">
        <v>-0.000142</v>
      </c>
      <c r="AC39" s="30" t="n">
        <v>0.6803</v>
      </c>
      <c r="AD39" s="24" t="inlineStr">
        <is>
          <t>2026-08-01T03:00:01.450523Z</t>
        </is>
      </c>
      <c r="AE39" s="31" t="inlineStr">
        <is>
          <t>Measured Edge Margin: Trend Engine projected 4.89-4.80; raw selected-side p=0.6526, calibrated p=0.5518.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mlb-pit</t>
        </is>
      </c>
      <c r="AQ39" s="24" t="inlineStr">
        <is>
          <t>Pittsburgh Pirates</t>
        </is>
      </c>
      <c r="AR39" s="24" t="inlineStr">
        <is>
          <t>Pittsburgh Pirates</t>
        </is>
      </c>
      <c r="AS39" s="24" t="inlineStr">
        <is>
          <t>mlb-cin</t>
        </is>
      </c>
      <c r="AT39" s="24" t="inlineStr">
        <is>
          <t>Cincinnati Reds</t>
        </is>
      </c>
      <c r="AU39" s="24" t="inlineStr">
        <is>
          <t>Cincinnati Reds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2bc2ce55b0d39a20103f724bbddbde5394909acd49297f52665b596a0ae3ae8b</t>
        </is>
      </c>
      <c r="BB39" s="24" t="inlineStr">
        <is>
          <t>flat_probability_shrinkage_toward_half</t>
        </is>
      </c>
      <c r="BC39" s="24" t="inlineStr">
        <is>
          <t>measured-edge-margin-v1</t>
        </is>
      </c>
      <c r="BD39" s="24" t="inlineStr">
        <is>
          <t>2bc2ce55b0d39a20103f724bbddbde5394909acd49297f52665b596a0ae3ae8b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2026-07-31T21:05:54.725871Z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09c6d9696d4146c9</t>
        </is>
      </c>
      <c r="B40" s="24" t="inlineStr">
        <is>
          <t>2026-07-31T21:05:54.725871Z</t>
        </is>
      </c>
      <c r="C40" s="24" t="inlineStr">
        <is>
          <t>2026-07-31T22:10Z</t>
        </is>
      </c>
      <c r="D40" s="24" t="inlineStr">
        <is>
          <t>401816336</t>
        </is>
      </c>
      <c r="E40" s="24" t="inlineStr">
        <is>
          <t>MLB</t>
        </is>
      </c>
      <c r="F40" s="24" t="inlineStr">
        <is>
          <t>Pittsburgh Pirates</t>
        </is>
      </c>
      <c r="G40" s="24" t="inlineStr">
        <is>
          <t>Cincinnati Reds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-113</v>
      </c>
      <c r="M40" s="27" t="n">
        <v>1.884956</v>
      </c>
      <c r="N40" s="28" t="n">
        <v>0.530516</v>
      </c>
      <c r="O40" s="28" t="n">
        <v>0.6324419999999999</v>
      </c>
      <c r="P40" s="28" t="n">
        <v>0.05172</v>
      </c>
      <c r="Q40" s="28" t="n">
        <v>0.101926</v>
      </c>
      <c r="R40" s="26" t="n">
        <v>70</v>
      </c>
      <c r="S40" s="29" t="n">
        <v>1.5</v>
      </c>
      <c r="T40" s="24" t="inlineStr">
        <is>
          <t>measured-edge-totals-v1</t>
        </is>
      </c>
      <c r="U40" s="24" t="inlineStr">
        <is>
          <t>settled</t>
        </is>
      </c>
      <c r="V40" s="24" t="inlineStr">
        <is>
          <t>win</t>
        </is>
      </c>
      <c r="W40" s="26" t="n">
        <v>7</v>
      </c>
      <c r="X40" s="26" t="n">
        <v>8</v>
      </c>
      <c r="Y40" s="25" t="n">
        <v>7.5</v>
      </c>
      <c r="Z40" s="26" t="n">
        <v>-113</v>
      </c>
      <c r="AA40" s="28" t="n">
        <v>0.53</v>
      </c>
      <c r="AB40" s="28" t="n">
        <v>-0.000516</v>
      </c>
      <c r="AC40" s="30" t="n">
        <v>1.3274</v>
      </c>
      <c r="AD40" s="24" t="inlineStr">
        <is>
          <t>2026-08-01T03:00:01.732961Z</t>
        </is>
      </c>
      <c r="AE40" s="31" t="inlineStr">
        <is>
          <t>Measured Edge Totals: Trend Engine projected 4.89-4.80; raw selected-side p=0.6524, calibrated p=0.6324.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mlb-pit</t>
        </is>
      </c>
      <c r="AQ40" s="24" t="inlineStr">
        <is>
          <t>Pittsburgh Pirates</t>
        </is>
      </c>
      <c r="AR40" s="24" t="inlineStr">
        <is>
          <t>Pittsburgh Pirates</t>
        </is>
      </c>
      <c r="AS40" s="24" t="inlineStr">
        <is>
          <t>mlb-cin</t>
        </is>
      </c>
      <c r="AT40" s="24" t="inlineStr">
        <is>
          <t>Cincinnati Reds</t>
        </is>
      </c>
      <c r="AU40" s="24" t="inlineStr">
        <is>
          <t>Cincinnati Reds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cbc2c9bf5a9569a49e1902c816d96556d704cf10819ca3a9e927721685757d0b</t>
        </is>
      </c>
      <c r="BB40" s="24" t="inlineStr">
        <is>
          <t>flat_probability_shrinkage_toward_half</t>
        </is>
      </c>
      <c r="BC40" s="24" t="inlineStr">
        <is>
          <t>measured-edge-totals-v1</t>
        </is>
      </c>
      <c r="BD40" s="24" t="inlineStr">
        <is>
          <t>cbc2c9bf5a9569a49e1902c816d96556d704cf10819ca3a9e927721685757d0b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2026-07-31T21:05:54.725871Z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-113</v>
      </c>
      <c r="BL40" s="27" t="n">
        <v>1.884956</v>
      </c>
      <c r="BM40" s="28" t="n">
        <v>0.530516</v>
      </c>
      <c r="BN40" s="28" t="n">
        <v>0.527363</v>
      </c>
      <c r="BO40" s="28" t="n"/>
      <c r="BP40" s="25" t="n"/>
      <c r="BQ40" s="27" t="n">
        <v>1.884956</v>
      </c>
      <c r="BR40" s="28" t="n">
        <v>0.53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88fa924e18344065</t>
        </is>
      </c>
      <c r="B41" s="24" t="inlineStr">
        <is>
          <t>2026-07-31T21:05:54.725871Z</t>
        </is>
      </c>
      <c r="C41" s="24" t="inlineStr">
        <is>
          <t>2026-07-31T23:05Z</t>
        </is>
      </c>
      <c r="D41" s="24" t="inlineStr">
        <is>
          <t>401816335</t>
        </is>
      </c>
      <c r="E41" s="24" t="inlineStr">
        <is>
          <t>MLB</t>
        </is>
      </c>
      <c r="F41" s="24" t="inlineStr">
        <is>
          <t>Philadelphia Phillies</t>
        </is>
      </c>
      <c r="G41" s="24" t="inlineStr">
        <is>
          <t>Baltimore Orioles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-174</v>
      </c>
      <c r="M41" s="27" t="n">
        <v>1.574713</v>
      </c>
      <c r="N41" s="28" t="n">
        <v>0.635036</v>
      </c>
      <c r="O41" s="28" t="n">
        <v>0.570936</v>
      </c>
      <c r="P41" s="28" t="n">
        <v>0.042131</v>
      </c>
      <c r="Q41" s="28" t="n">
        <v>-0.0641</v>
      </c>
      <c r="R41" s="26" t="n">
        <v>0</v>
      </c>
      <c r="S41" s="29" t="n">
        <v>1.25</v>
      </c>
      <c r="T41" s="24" t="inlineStr">
        <is>
          <t>measured-edge-margin-v1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6</v>
      </c>
      <c r="Y41" s="25" t="n">
        <v>1.5</v>
      </c>
      <c r="Z41" s="26" t="n">
        <v>-174</v>
      </c>
      <c r="AA41" s="28" t="n">
        <v>0.635</v>
      </c>
      <c r="AB41" s="28" t="n">
        <v>-3.6e-05</v>
      </c>
      <c r="AC41" s="30" t="n">
        <v>0.7184</v>
      </c>
      <c r="AD41" s="24" t="inlineStr">
        <is>
          <t>2026-08-01T03:00:02.014813Z</t>
        </is>
      </c>
      <c r="AE41" s="31" t="inlineStr">
        <is>
          <t>Measured Edge Margin: Trend Engine projected 4.37-5.37; raw selected-side p=0.7498, calibrated p=0.5709.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mlb-phi</t>
        </is>
      </c>
      <c r="AQ41" s="24" t="inlineStr">
        <is>
          <t>Philadelphia Phillies</t>
        </is>
      </c>
      <c r="AR41" s="24" t="inlineStr">
        <is>
          <t>Philadelphia Phillies</t>
        </is>
      </c>
      <c r="AS41" s="24" t="inlineStr">
        <is>
          <t>mlb-bal</t>
        </is>
      </c>
      <c r="AT41" s="24" t="inlineStr">
        <is>
          <t>Baltimore Orioles</t>
        </is>
      </c>
      <c r="AU41" s="24" t="inlineStr">
        <is>
          <t>Baltimore Orioles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2bc2ce55b0d39a20103f724bbddbde5394909acd49297f52665b596a0ae3ae8b</t>
        </is>
      </c>
      <c r="BB41" s="24" t="inlineStr">
        <is>
          <t>flat_probability_shrinkage_toward_half</t>
        </is>
      </c>
      <c r="BC41" s="24" t="inlineStr">
        <is>
          <t>measured-edge-margin-v1</t>
        </is>
      </c>
      <c r="BD41" s="24" t="inlineStr">
        <is>
          <t>2bc2ce55b0d39a20103f724bbddbde5394909acd49297f52665b596a0ae3ae8b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2026-07-31T21:05:54.725871Z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-174</v>
      </c>
      <c r="BL41" s="27" t="n">
        <v>1.574713</v>
      </c>
      <c r="BM41" s="28" t="n">
        <v>0.635036</v>
      </c>
      <c r="BN41" s="28" t="n">
        <v>0.631841</v>
      </c>
      <c r="BO41" s="28" t="n"/>
      <c r="BP41" s="25" t="n"/>
      <c r="BQ41" s="27" t="n">
        <v>1.574713</v>
      </c>
      <c r="BR41" s="28" t="n">
        <v>0.635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1f3d7240b25b4b11</t>
        </is>
      </c>
      <c r="B42" s="24" t="inlineStr">
        <is>
          <t>2026-07-31T21:05:54.725871Z</t>
        </is>
      </c>
      <c r="C42" s="24" t="inlineStr">
        <is>
          <t>2026-07-31T23:05Z</t>
        </is>
      </c>
      <c r="D42" s="24" t="inlineStr">
        <is>
          <t>401816335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-113</v>
      </c>
      <c r="M42" s="27" t="n">
        <v>1.884956</v>
      </c>
      <c r="N42" s="28" t="n">
        <v>0.530516</v>
      </c>
      <c r="O42" s="28" t="n">
        <v>0.560121</v>
      </c>
      <c r="P42" s="28" t="n">
        <v>0.042131</v>
      </c>
      <c r="Q42" s="28" t="n">
        <v>0.029605</v>
      </c>
      <c r="R42" s="26" t="n">
        <v>40</v>
      </c>
      <c r="S42" s="29" t="n">
        <v>1</v>
      </c>
      <c r="T42" s="24" t="inlineStr">
        <is>
          <t>measured-edge-totals-v1</t>
        </is>
      </c>
      <c r="U42" s="24" t="inlineStr">
        <is>
          <t>settled</t>
        </is>
      </c>
      <c r="V42" s="24" t="inlineStr">
        <is>
          <t>win</t>
        </is>
      </c>
      <c r="W42" s="26" t="n">
        <v>4</v>
      </c>
      <c r="X42" s="26" t="n">
        <v>6</v>
      </c>
      <c r="Y42" s="25" t="n">
        <v>8.5</v>
      </c>
      <c r="Z42" s="26" t="n">
        <v>-113</v>
      </c>
      <c r="AA42" s="28" t="n">
        <v>0.53</v>
      </c>
      <c r="AB42" s="28" t="n">
        <v>-0.000516</v>
      </c>
      <c r="AC42" s="30" t="n">
        <v>0.885</v>
      </c>
      <c r="AD42" s="24" t="inlineStr">
        <is>
          <t>2026-08-01T03:00:02.298810Z</t>
        </is>
      </c>
      <c r="AE42" s="31" t="inlineStr">
        <is>
          <t>Measured Edge Totals: Trend Engine projected 4.37-5.37; raw selected-side p=0.5779, calibrated p=0.5601.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cbc2c9bf5a9569a49e1902c816d96556d704cf10819ca3a9e927721685757d0b</t>
        </is>
      </c>
      <c r="BB42" s="24" t="inlineStr">
        <is>
          <t>flat_probability_shrinkage_toward_half</t>
        </is>
      </c>
      <c r="BC42" s="24" t="inlineStr">
        <is>
          <t>measured-edge-totals-v1</t>
        </is>
      </c>
      <c r="BD42" s="24" t="inlineStr">
        <is>
          <t>cbc2c9bf5a9569a49e1902c816d96556d704cf10819ca3a9e927721685757d0b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2026-07-31T21:05:54.725871Z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-113</v>
      </c>
      <c r="BL42" s="27" t="n">
        <v>1.884956</v>
      </c>
      <c r="BM42" s="28" t="n">
        <v>0.530516</v>
      </c>
      <c r="BN42" s="28" t="n">
        <v>0.527363</v>
      </c>
      <c r="BO42" s="28" t="n"/>
      <c r="BP42" s="25" t="n"/>
      <c r="BQ42" s="27" t="n">
        <v>1.884956</v>
      </c>
      <c r="BR42" s="28" t="n">
        <v>0.53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c8a9a93e5a1743ba</t>
        </is>
      </c>
      <c r="B43" s="24" t="inlineStr">
        <is>
          <t>2026-07-31T21:05:54.725871Z</t>
        </is>
      </c>
      <c r="C43" s="24" t="inlineStr">
        <is>
          <t>2026-07-31T23:07Z</t>
        </is>
      </c>
      <c r="D43" s="24" t="inlineStr">
        <is>
          <t>401816337</t>
        </is>
      </c>
      <c r="E43" s="24" t="inlineStr">
        <is>
          <t>MLB</t>
        </is>
      </c>
      <c r="F43" s="24" t="inlineStr">
        <is>
          <t>St. Louis Cardinals</t>
        </is>
      </c>
      <c r="G43" s="24" t="inlineStr">
        <is>
          <t>Toronto Blue Jays</t>
        </is>
      </c>
      <c r="H43" s="24" t="inlineStr">
        <is>
          <t>spread</t>
        </is>
      </c>
      <c r="I43" s="24" t="inlineStr">
        <is>
          <t>away</t>
        </is>
      </c>
      <c r="J43" s="25" t="n">
        <v>1.5</v>
      </c>
      <c r="K43" s="24" t="inlineStr">
        <is>
          <t>polymarket_us</t>
        </is>
      </c>
      <c r="L43" s="26" t="n">
        <v>-127</v>
      </c>
      <c r="M43" s="27" t="n">
        <v>1.787402</v>
      </c>
      <c r="N43" s="28" t="n">
        <v>0.5594710000000001</v>
      </c>
      <c r="O43" s="28" t="n">
        <v>0.548083</v>
      </c>
      <c r="P43" s="28" t="n">
        <v>0.042131</v>
      </c>
      <c r="Q43" s="28" t="n">
        <v>-0.011388</v>
      </c>
      <c r="R43" s="26" t="n">
        <v>19</v>
      </c>
      <c r="S43" s="29" t="n">
        <v>1</v>
      </c>
      <c r="T43" s="24" t="inlineStr">
        <is>
          <t>measured-edge-margin-v1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3</v>
      </c>
      <c r="Y43" s="25" t="n">
        <v>1.5</v>
      </c>
      <c r="Z43" s="26" t="n">
        <v>-127</v>
      </c>
      <c r="AA43" s="28" t="n">
        <v>0.5600000000000001</v>
      </c>
      <c r="AB43" s="28" t="n">
        <v>0.000529</v>
      </c>
      <c r="AC43" s="30" t="n">
        <v>-1</v>
      </c>
      <c r="AD43" s="24" t="inlineStr">
        <is>
          <t>2026-08-01T03:00:02.581322Z</t>
        </is>
      </c>
      <c r="AE43" s="31" t="inlineStr">
        <is>
          <t>Measured Edge Margin: Trend Engine projected 3.92-4.35; raw selected-side p=0.6335, calibrated p=0.5481.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mlb-stl</t>
        </is>
      </c>
      <c r="AQ43" s="24" t="inlineStr">
        <is>
          <t>St. Louis Cardinals</t>
        </is>
      </c>
      <c r="AR43" s="24" t="inlineStr">
        <is>
          <t>St. Louis Cardinals</t>
        </is>
      </c>
      <c r="AS43" s="24" t="inlineStr">
        <is>
          <t>mlb-tor</t>
        </is>
      </c>
      <c r="AT43" s="24" t="inlineStr">
        <is>
          <t>Toronto Blue Jays</t>
        </is>
      </c>
      <c r="AU43" s="24" t="inlineStr">
        <is>
          <t>Toronto Blue Jays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2bc2ce55b0d39a20103f724bbddbde5394909acd49297f52665b596a0ae3ae8b</t>
        </is>
      </c>
      <c r="BB43" s="24" t="inlineStr">
        <is>
          <t>flat_probability_shrinkage_toward_half</t>
        </is>
      </c>
      <c r="BC43" s="24" t="inlineStr">
        <is>
          <t>measured-edge-margin-v1</t>
        </is>
      </c>
      <c r="BD43" s="24" t="inlineStr">
        <is>
          <t>2bc2ce55b0d39a20103f724bbddbde5394909acd49297f52665b596a0ae3ae8b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2026-07-31T21:05:54.725871Z</t>
        </is>
      </c>
      <c r="BI43" s="24" t="inlineStr">
        <is>
          <t>["same_event","same_team_same_day","same_league_same_day"]</t>
        </is>
      </c>
      <c r="BJ43" s="25" t="n">
        <v>1.5</v>
      </c>
      <c r="BK43" s="26" t="n">
        <v>-127</v>
      </c>
      <c r="BL43" s="27" t="n">
        <v>1.787402</v>
      </c>
      <c r="BM43" s="28" t="n">
        <v>0.5594710000000001</v>
      </c>
      <c r="BN43" s="28" t="n">
        <v>0.557214</v>
      </c>
      <c r="BO43" s="28" t="n"/>
      <c r="BP43" s="25" t="n"/>
      <c r="BQ43" s="27" t="n">
        <v>1.787402</v>
      </c>
      <c r="BR43" s="28" t="n">
        <v>0.5600000000000001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4618ba2b0f49412e</t>
        </is>
      </c>
      <c r="B44" s="24" t="inlineStr">
        <is>
          <t>2026-07-31T21:05:54.725871Z</t>
        </is>
      </c>
      <c r="C44" s="24" t="inlineStr">
        <is>
          <t>2026-07-31T23:07Z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total</t>
        </is>
      </c>
      <c r="I44" s="24" t="inlineStr">
        <is>
          <t>over</t>
        </is>
      </c>
      <c r="J44" s="25" t="n">
        <v>7.5</v>
      </c>
      <c r="K44" s="24" t="inlineStr">
        <is>
          <t>polymarket_us</t>
        </is>
      </c>
      <c r="L44" s="26" t="n">
        <v>102</v>
      </c>
      <c r="M44" s="27" t="n">
        <v>2.02</v>
      </c>
      <c r="N44" s="28" t="n">
        <v>0.49505</v>
      </c>
      <c r="O44" s="28" t="n">
        <v>0.508948</v>
      </c>
      <c r="P44" s="28" t="n">
        <v>0.042131</v>
      </c>
      <c r="Q44" s="28" t="n">
        <v>0.013898</v>
      </c>
      <c r="R44" s="26" t="n">
        <v>32</v>
      </c>
      <c r="S44" s="29" t="n">
        <v>1</v>
      </c>
      <c r="T44" s="24" t="inlineStr">
        <is>
          <t>measured-edge-totals-v1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3</v>
      </c>
      <c r="Y44" s="25" t="n">
        <v>7.5</v>
      </c>
      <c r="Z44" s="26" t="n">
        <v>102</v>
      </c>
      <c r="AA44" s="28" t="n">
        <v>0.495</v>
      </c>
      <c r="AB44" s="28" t="n">
        <v>-5e-05</v>
      </c>
      <c r="AC44" s="30" t="n">
        <v>-1</v>
      </c>
      <c r="AD44" s="24" t="inlineStr">
        <is>
          <t>2026-08-01T03:00:02.903756Z</t>
        </is>
      </c>
      <c r="AE44" s="31" t="inlineStr">
        <is>
          <t>Measured Edge Totals: Trend Engine projected 3.92-4.35; raw selected-side p=0.5252, calibrated p=0.5089.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cbc2c9bf5a9569a49e1902c816d96556d704cf10819ca3a9e927721685757d0b</t>
        </is>
      </c>
      <c r="BB44" s="24" t="inlineStr">
        <is>
          <t>flat_probability_shrinkage_toward_half</t>
        </is>
      </c>
      <c r="BC44" s="24" t="inlineStr">
        <is>
          <t>measured-edge-totals-v1</t>
        </is>
      </c>
      <c r="BD44" s="24" t="inlineStr">
        <is>
          <t>cbc2c9bf5a9569a49e1902c816d96556d704cf10819ca3a9e927721685757d0b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2026-07-31T21:05:54.725871Z</t>
        </is>
      </c>
      <c r="BI44" s="24" t="inlineStr">
        <is>
          <t>["same_event","same_team_same_day","same_league_same_day"]</t>
        </is>
      </c>
      <c r="BJ44" s="25" t="n">
        <v>7.5</v>
      </c>
      <c r="BK44" s="26" t="n">
        <v>102</v>
      </c>
      <c r="BL44" s="27" t="n">
        <v>2.02</v>
      </c>
      <c r="BM44" s="28" t="n">
        <v>0.49505</v>
      </c>
      <c r="BN44" s="28" t="n">
        <v>0.492537</v>
      </c>
      <c r="BO44" s="28" t="n"/>
      <c r="BP44" s="25" t="n"/>
      <c r="BQ44" s="27" t="n">
        <v>2.02</v>
      </c>
      <c r="BR44" s="28" t="n">
        <v>0.495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f193d89f2b5b4630</t>
        </is>
      </c>
      <c r="B45" s="24" t="inlineStr">
        <is>
          <t>2026-07-31T21:05:54.725871Z</t>
        </is>
      </c>
      <c r="C45" s="24" t="inlineStr">
        <is>
          <t>2026-07-31T23:10Z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spread</t>
        </is>
      </c>
      <c r="I45" s="24" t="inlineStr">
        <is>
          <t>away</t>
        </is>
      </c>
      <c r="J45" s="25" t="n">
        <v>1.5</v>
      </c>
      <c r="K45" s="24" t="inlineStr">
        <is>
          <t>polymarket_us</t>
        </is>
      </c>
      <c r="L45" s="26" t="n">
        <v>-163</v>
      </c>
      <c r="M45" s="27" t="n">
        <v>1.613497</v>
      </c>
      <c r="N45" s="28" t="n">
        <v>0.619772</v>
      </c>
      <c r="O45" s="28" t="n">
        <v>0.546432</v>
      </c>
      <c r="P45" s="28" t="n">
        <v>0.05172</v>
      </c>
      <c r="Q45" s="28" t="n">
        <v>-0.07334</v>
      </c>
      <c r="R45" s="26" t="n">
        <v>0</v>
      </c>
      <c r="S45" s="29" t="n">
        <v>1</v>
      </c>
      <c r="T45" s="24" t="inlineStr">
        <is>
          <t>measured-edge-margin-v1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1</v>
      </c>
      <c r="Y45" s="25" t="n">
        <v>1.5</v>
      </c>
      <c r="Z45" s="26" t="n">
        <v>-163</v>
      </c>
      <c r="AA45" s="28" t="n">
        <v>0.62</v>
      </c>
      <c r="AB45" s="28" t="n">
        <v>0.000228</v>
      </c>
      <c r="AC45" s="30" t="n">
        <v>0.6135</v>
      </c>
      <c r="AD45" s="24" t="inlineStr">
        <is>
          <t>2026-08-01T03:00:03.185273Z</t>
        </is>
      </c>
      <c r="AE45" s="31" t="inlineStr">
        <is>
          <t>Measured Edge Margin: Trend Engine projected 4.51-4.92; raw selected-side p=0.6251, calibrated p=0.5464.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2bc2ce55b0d39a20103f724bbddbde5394909acd49297f52665b596a0ae3ae8b</t>
        </is>
      </c>
      <c r="BB45" s="24" t="inlineStr">
        <is>
          <t>flat_probability_shrinkage_toward_half</t>
        </is>
      </c>
      <c r="BC45" s="24" t="inlineStr">
        <is>
          <t>measured-edge-margin-v1</t>
        </is>
      </c>
      <c r="BD45" s="24" t="inlineStr">
        <is>
          <t>2bc2ce55b0d39a20103f724bbddbde5394909acd49297f52665b596a0ae3ae8b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2026-07-31T21:05:54.725871Z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-163</v>
      </c>
      <c r="BL45" s="27" t="n">
        <v>1.613497</v>
      </c>
      <c r="BM45" s="28" t="n">
        <v>0.619772</v>
      </c>
      <c r="BN45" s="28" t="n">
        <v>0.616915</v>
      </c>
      <c r="BO45" s="28" t="n"/>
      <c r="BP45" s="25" t="n"/>
      <c r="BQ45" s="27" t="n">
        <v>1.613497</v>
      </c>
      <c r="BR45" s="28" t="n">
        <v>0.62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e8536835105045af</t>
        </is>
      </c>
      <c r="B46" s="24" t="inlineStr">
        <is>
          <t>2026-07-31T21:05:54.725871Z</t>
        </is>
      </c>
      <c r="C46" s="24" t="inlineStr">
        <is>
          <t>2026-07-31T23:10Z</t>
        </is>
      </c>
      <c r="D46" s="24" t="inlineStr">
        <is>
          <t>401816332</t>
        </is>
      </c>
      <c r="E46" s="24" t="inlineStr">
        <is>
          <t>MLB</t>
        </is>
      </c>
      <c r="F46" s="24" t="inlineStr">
        <is>
          <t>Arizona Diamondbacks</t>
        </is>
      </c>
      <c r="G46" s="24" t="inlineStr">
        <is>
          <t>Cleveland Guardians</t>
        </is>
      </c>
      <c r="H46" s="24" t="inlineStr">
        <is>
          <t>total</t>
        </is>
      </c>
      <c r="I46" s="24" t="inlineStr">
        <is>
          <t>over</t>
        </is>
      </c>
      <c r="J46" s="25" t="n">
        <v>8.5</v>
      </c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0.532618</v>
      </c>
      <c r="P46" s="28" t="n">
        <v>0.05172</v>
      </c>
      <c r="Q46" s="28" t="n">
        <v>0.013387</v>
      </c>
      <c r="R46" s="26" t="n">
        <v>26</v>
      </c>
      <c r="S46" s="29" t="n">
        <v>1</v>
      </c>
      <c r="T46" s="24" t="inlineStr">
        <is>
          <t>measured-edge-totals-v1</t>
        </is>
      </c>
      <c r="U46" s="24" t="inlineStr">
        <is>
          <t>settled</t>
        </is>
      </c>
      <c r="V46" s="24" t="inlineStr">
        <is>
          <t>loss</t>
        </is>
      </c>
      <c r="W46" s="26" t="n">
        <v>4</v>
      </c>
      <c r="X46" s="26" t="n">
        <v>1</v>
      </c>
      <c r="Y46" s="25" t="n">
        <v>8.5</v>
      </c>
      <c r="Z46" s="26" t="n">
        <v>-108</v>
      </c>
      <c r="AA46" s="28" t="n">
        <v>0.52</v>
      </c>
      <c r="AB46" s="28" t="n">
        <v>0.000769</v>
      </c>
      <c r="AC46" s="30" t="n">
        <v>-1</v>
      </c>
      <c r="AD46" s="24" t="inlineStr">
        <is>
          <t>2026-08-01T03:00:03.468829Z</t>
        </is>
      </c>
      <c r="AE46" s="31" t="inlineStr">
        <is>
          <t>Measured Edge Totals: Trend Engine projected 4.51-4.92; raw selected-side p=0.5495, calibrated p=0.5326.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mlb-ari</t>
        </is>
      </c>
      <c r="AQ46" s="24" t="inlineStr">
        <is>
          <t>Arizona Diamondbacks</t>
        </is>
      </c>
      <c r="AR46" s="24" t="inlineStr">
        <is>
          <t>Arizona Diamondbacks</t>
        </is>
      </c>
      <c r="AS46" s="24" t="inlineStr">
        <is>
          <t>mlb-cle</t>
        </is>
      </c>
      <c r="AT46" s="24" t="inlineStr">
        <is>
          <t>Cleveland Guardians</t>
        </is>
      </c>
      <c r="AU46" s="24" t="inlineStr">
        <is>
          <t>Cleveland Guardians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cbc2c9bf5a9569a49e1902c816d96556d704cf10819ca3a9e927721685757d0b</t>
        </is>
      </c>
      <c r="BB46" s="24" t="inlineStr">
        <is>
          <t>flat_probability_shrinkage_toward_half</t>
        </is>
      </c>
      <c r="BC46" s="24" t="inlineStr">
        <is>
          <t>measured-edge-totals-v1</t>
        </is>
      </c>
      <c r="BD46" s="24" t="inlineStr">
        <is>
          <t>cbc2c9bf5a9569a49e1902c816d96556d704cf10819ca3a9e927721685757d0b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2026-07-31T21:05:54.725871Z</t>
        </is>
      </c>
      <c r="BI46" s="24" t="inlineStr">
        <is>
          <t>["same_event","same_team_same_day","same_league_same_day"]</t>
        </is>
      </c>
      <c r="BJ46" s="25" t="n">
        <v>8.5</v>
      </c>
      <c r="BK46" s="26" t="n">
        <v>-108</v>
      </c>
      <c r="BL46" s="27" t="n">
        <v>1.925926</v>
      </c>
      <c r="BM46" s="28" t="n">
        <v>0.519231</v>
      </c>
      <c r="BN46" s="28" t="n">
        <v>0.517413</v>
      </c>
      <c r="BO46" s="28" t="n"/>
      <c r="BP46" s="25" t="n"/>
      <c r="BQ46" s="27" t="n">
        <v>1.925926</v>
      </c>
      <c r="BR46" s="28" t="n">
        <v>0.52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fea60726d7dd4e66</t>
        </is>
      </c>
      <c r="B47" s="24" t="inlineStr">
        <is>
          <t>2026-07-31T21:05:54.725871Z</t>
        </is>
      </c>
      <c r="C47" s="24" t="inlineStr">
        <is>
          <t>2026-07-31T23:10Z</t>
        </is>
      </c>
      <c r="D47" s="24" t="inlineStr">
        <is>
          <t>401816333</t>
        </is>
      </c>
      <c r="E47" s="24" t="inlineStr">
        <is>
          <t>MLB</t>
        </is>
      </c>
      <c r="F47" s="24" t="inlineStr">
        <is>
          <t>Chicago White Sox</t>
        </is>
      </c>
      <c r="G47" s="24" t="inlineStr">
        <is>
          <t>Tampa Bay Rays</t>
        </is>
      </c>
      <c r="H47" s="24" t="inlineStr">
        <is>
          <t>spread</t>
        </is>
      </c>
      <c r="I47" s="24" t="inlineStr">
        <is>
          <t>away</t>
        </is>
      </c>
      <c r="J47" s="25" t="n">
        <v>1.5</v>
      </c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0.5435140000000001</v>
      </c>
      <c r="P47" s="28" t="n">
        <v>0.042131</v>
      </c>
      <c r="Q47" s="28" t="n">
        <v>-0.07625800000000001</v>
      </c>
      <c r="R47" s="26" t="n">
        <v>0</v>
      </c>
      <c r="S47" s="29" t="n">
        <v>1</v>
      </c>
      <c r="T47" s="24" t="inlineStr">
        <is>
          <t>measured-edge-margin-v1</t>
        </is>
      </c>
      <c r="U47" s="24" t="inlineStr">
        <is>
          <t>settled</t>
        </is>
      </c>
      <c r="V47" s="24" t="inlineStr">
        <is>
          <t>win</t>
        </is>
      </c>
      <c r="W47" s="26" t="n">
        <v>6</v>
      </c>
      <c r="X47" s="26" t="n">
        <v>1</v>
      </c>
      <c r="Y47" s="25" t="n">
        <v>1.5</v>
      </c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2026-08-01T03:00:03.755966Z</t>
        </is>
      </c>
      <c r="AE47" s="31" t="inlineStr">
        <is>
          <t>Measured Edge Margin: Trend Engine projected 4.01-4.68; raw selected-side p=0.6102, calibrated p=0.5435.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mlb-cws</t>
        </is>
      </c>
      <c r="AQ47" s="24" t="inlineStr">
        <is>
          <t>Chicago White Sox</t>
        </is>
      </c>
      <c r="AR47" s="24" t="inlineStr">
        <is>
          <t>Chicago White Sox</t>
        </is>
      </c>
      <c r="AS47" s="24" t="inlineStr">
        <is>
          <t>mlb-tb</t>
        </is>
      </c>
      <c r="AT47" s="24" t="inlineStr">
        <is>
          <t>Tampa Bay Rays</t>
        </is>
      </c>
      <c r="AU47" s="24" t="inlineStr">
        <is>
          <t>Tampa Bay Rays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2bc2ce55b0d39a20103f724bbddbde5394909acd49297f52665b596a0ae3ae8b</t>
        </is>
      </c>
      <c r="BB47" s="24" t="inlineStr">
        <is>
          <t>flat_probability_shrinkage_toward_half</t>
        </is>
      </c>
      <c r="BC47" s="24" t="inlineStr">
        <is>
          <t>measured-edge-margin-v1</t>
        </is>
      </c>
      <c r="BD47" s="24" t="inlineStr">
        <is>
          <t>2bc2ce55b0d39a20103f724bbddbde5394909acd49297f52665b596a0ae3ae8b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2026-07-31T21:05:54.725871Z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-163</v>
      </c>
      <c r="BL47" s="27" t="n">
        <v>1.613497</v>
      </c>
      <c r="BM47" s="28" t="n">
        <v>0.619772</v>
      </c>
      <c r="BN47" s="28" t="n">
        <v>0.616915</v>
      </c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a00561c8b55b4b36</t>
        </is>
      </c>
      <c r="B48" s="24" t="inlineStr">
        <is>
          <t>2026-07-31T21:05:54.725871Z</t>
        </is>
      </c>
      <c r="C48" s="24" t="inlineStr">
        <is>
          <t>2026-07-31T23:10Z</t>
        </is>
      </c>
      <c r="D48" s="24" t="inlineStr">
        <is>
          <t>401816333</t>
        </is>
      </c>
      <c r="E48" s="24" t="inlineStr">
        <is>
          <t>MLB</t>
        </is>
      </c>
      <c r="F48" s="24" t="inlineStr">
        <is>
          <t>Chicago White Sox</t>
        </is>
      </c>
      <c r="G48" s="24" t="inlineStr">
        <is>
          <t>Tampa Bay Rays</t>
        </is>
      </c>
      <c r="H48" s="24" t="inlineStr">
        <is>
          <t>total</t>
        </is>
      </c>
      <c r="I48" s="24" t="inlineStr">
        <is>
          <t>under</t>
        </is>
      </c>
      <c r="J48" s="25" t="n">
        <v>8.5</v>
      </c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0.499878</v>
      </c>
      <c r="P48" s="28" t="n">
        <v>0.042131</v>
      </c>
      <c r="Q48" s="28" t="n">
        <v>-0.026188</v>
      </c>
      <c r="R48" s="26" t="n">
        <v>12</v>
      </c>
      <c r="S48" s="29" t="n">
        <v>1</v>
      </c>
      <c r="T48" s="24" t="inlineStr">
        <is>
          <t>measured-edge-totals-v1</t>
        </is>
      </c>
      <c r="U48" s="24" t="inlineStr">
        <is>
          <t>settled</t>
        </is>
      </c>
      <c r="V48" s="24" t="inlineStr">
        <is>
          <t>win</t>
        </is>
      </c>
      <c r="W48" s="26" t="n">
        <v>6</v>
      </c>
      <c r="X48" s="26" t="n">
        <v>1</v>
      </c>
      <c r="Y48" s="25" t="n">
        <v>8.5</v>
      </c>
      <c r="Z48" s="26" t="n">
        <v>-111</v>
      </c>
      <c r="AA48" s="28" t="n">
        <v>0.525</v>
      </c>
      <c r="AB48" s="28" t="n">
        <v>-0.001066</v>
      </c>
      <c r="AC48" s="30" t="n">
        <v>0.9009</v>
      </c>
      <c r="AD48" s="24" t="inlineStr">
        <is>
          <t>2026-08-01T03:00:04.037663Z</t>
        </is>
      </c>
      <c r="AE48" s="31" t="inlineStr">
        <is>
          <t>Measured Edge Totals: Trend Engine projected 4.01-4.68; raw selected-side p=0.5158, calibrated p=0.4999.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mlb-cws</t>
        </is>
      </c>
      <c r="AQ48" s="24" t="inlineStr">
        <is>
          <t>Chicago White Sox</t>
        </is>
      </c>
      <c r="AR48" s="24" t="inlineStr">
        <is>
          <t>Chicago White Sox</t>
        </is>
      </c>
      <c r="AS48" s="24" t="inlineStr">
        <is>
          <t>mlb-tb</t>
        </is>
      </c>
      <c r="AT48" s="24" t="inlineStr">
        <is>
          <t>Tampa Bay Rays</t>
        </is>
      </c>
      <c r="AU48" s="24" t="inlineStr">
        <is>
          <t>Tampa Bay Rays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cbc2c9bf5a9569a49e1902c816d96556d704cf10819ca3a9e927721685757d0b</t>
        </is>
      </c>
      <c r="BB48" s="24" t="inlineStr">
        <is>
          <t>flat_probability_shrinkage_toward_half</t>
        </is>
      </c>
      <c r="BC48" s="24" t="inlineStr">
        <is>
          <t>measured-edge-totals-v1</t>
        </is>
      </c>
      <c r="BD48" s="24" t="inlineStr">
        <is>
          <t>cbc2c9bf5a9569a49e1902c816d96556d704cf10819ca3a9e927721685757d0b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2026-07-31T21:05:54.725871Z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0ccd6aa020654ef6</t>
        </is>
      </c>
      <c r="B49" s="24" t="inlineStr">
        <is>
          <t>2026-07-31T21:05:54.725871Z</t>
        </is>
      </c>
      <c r="C49" s="24" t="inlineStr">
        <is>
          <t>2026-07-31T23:10Z</t>
        </is>
      </c>
      <c r="D49" s="24" t="inlineStr">
        <is>
          <t>401816334</t>
        </is>
      </c>
      <c r="E49" s="24" t="inlineStr">
        <is>
          <t>MLB</t>
        </is>
      </c>
      <c r="F49" s="24" t="inlineStr">
        <is>
          <t>Miami Marlins</t>
        </is>
      </c>
      <c r="G49" s="24" t="inlineStr">
        <is>
          <t>New York Mets</t>
        </is>
      </c>
      <c r="H49" s="24" t="inlineStr">
        <is>
          <t>spread</t>
        </is>
      </c>
      <c r="I49" s="24" t="inlineStr">
        <is>
          <t>away</t>
        </is>
      </c>
      <c r="J49" s="25" t="n">
        <v>1.5</v>
      </c>
      <c r="K49" s="24" t="inlineStr">
        <is>
          <t>polymarket_us</t>
        </is>
      </c>
      <c r="L49" s="26" t="n">
        <v>-182</v>
      </c>
      <c r="M49" s="27" t="n">
        <v>1.549451</v>
      </c>
      <c r="N49" s="28" t="n">
        <v>0.64539</v>
      </c>
      <c r="O49" s="28" t="n">
        <v>0.552976</v>
      </c>
      <c r="P49" s="28" t="n">
        <v>0.042131</v>
      </c>
      <c r="Q49" s="28" t="n">
        <v>-0.092414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5</v>
      </c>
      <c r="X49" s="26" t="n">
        <v>2</v>
      </c>
      <c r="Y49" s="25" t="n">
        <v>1.5</v>
      </c>
      <c r="Z49" s="26" t="n">
        <v>-182</v>
      </c>
      <c r="AA49" s="28" t="n">
        <v>0.645</v>
      </c>
      <c r="AB49" s="28" t="n">
        <v>-0.00039</v>
      </c>
      <c r="AC49" s="30" t="n">
        <v>0.5495</v>
      </c>
      <c r="AD49" s="24" t="inlineStr">
        <is>
          <t>2026-08-01T03:00:04.318189Z</t>
        </is>
      </c>
      <c r="AE49" s="31" t="inlineStr">
        <is>
          <t>Measured Edge Margin: Trend Engine projected 4.94-4.95; raw selected-side p=0.6584, calibrated p=0.5530.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mlb-mia</t>
        </is>
      </c>
      <c r="AQ49" s="24" t="inlineStr">
        <is>
          <t>Miami Marlins</t>
        </is>
      </c>
      <c r="AR49" s="24" t="inlineStr">
        <is>
          <t>Miami Marlins</t>
        </is>
      </c>
      <c r="AS49" s="24" t="inlineStr">
        <is>
          <t>mlb-nym</t>
        </is>
      </c>
      <c r="AT49" s="24" t="inlineStr">
        <is>
          <t>New York Mets</t>
        </is>
      </c>
      <c r="AU49" s="24" t="inlineStr">
        <is>
          <t>New York Mets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-182</v>
      </c>
      <c r="BL49" s="27" t="n">
        <v>1.549451</v>
      </c>
      <c r="BM49" s="28" t="n">
        <v>0.64539</v>
      </c>
      <c r="BN49" s="28" t="n">
        <v>0.641791</v>
      </c>
      <c r="BO49" s="28" t="n"/>
      <c r="BP49" s="25" t="n"/>
      <c r="BQ49" s="27" t="n">
        <v>1.549451</v>
      </c>
      <c r="BR49" s="28" t="n">
        <v>0.645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d5fc5592ab4341dd</t>
        </is>
      </c>
      <c r="B50" s="24" t="inlineStr">
        <is>
          <t>2026-07-31T21:05:54.725871Z</t>
        </is>
      </c>
      <c r="C50" s="24" t="inlineStr">
        <is>
          <t>2026-07-31T23:10Z</t>
        </is>
      </c>
      <c r="D50" s="24" t="inlineStr">
        <is>
          <t>401816334</t>
        </is>
      </c>
      <c r="E50" s="24" t="inlineStr">
        <is>
          <t>MLB</t>
        </is>
      </c>
      <c r="F50" s="24" t="inlineStr">
        <is>
          <t>Miami Marlins</t>
        </is>
      </c>
      <c r="G50" s="24" t="inlineStr">
        <is>
          <t>New York Mets</t>
        </is>
      </c>
      <c r="H50" s="24" t="inlineStr">
        <is>
          <t>total</t>
        </is>
      </c>
      <c r="I50" s="24" t="inlineStr">
        <is>
          <t>over</t>
        </is>
      </c>
      <c r="J50" s="25" t="n">
        <v>8.5</v>
      </c>
      <c r="K50" s="24" t="inlineStr">
        <is>
          <t>polymarket_us</t>
        </is>
      </c>
      <c r="L50" s="26" t="n">
        <v>-102</v>
      </c>
      <c r="M50" s="27" t="n">
        <v>1.980392</v>
      </c>
      <c r="N50" s="28" t="n">
        <v>0.50495</v>
      </c>
      <c r="O50" s="28" t="n">
        <v>0.5740420000000001</v>
      </c>
      <c r="P50" s="28" t="n">
        <v>0.042131</v>
      </c>
      <c r="Q50" s="28" t="n">
        <v>0.069092</v>
      </c>
      <c r="R50" s="26" t="n">
        <v>59</v>
      </c>
      <c r="S50" s="29" t="n">
        <v>1.25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>
        <v>8.5</v>
      </c>
      <c r="Z50" s="26" t="n">
        <v>-102</v>
      </c>
      <c r="AA50" s="28" t="n">
        <v>0.505</v>
      </c>
      <c r="AB50" s="28" t="n">
        <v>5e-05</v>
      </c>
      <c r="AC50" s="30" t="n">
        <v>-1.25</v>
      </c>
      <c r="AD50" s="24" t="inlineStr">
        <is>
          <t>2026-08-01T03:00:04.601965Z</t>
        </is>
      </c>
      <c r="AE50" s="31" t="inlineStr">
        <is>
          <t>Measured Edge Totals: Trend Engine projected 4.94-4.95; raw selected-side p=0.5923, calibrated p=0.5740.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mlb-mia</t>
        </is>
      </c>
      <c r="AQ50" s="24" t="inlineStr">
        <is>
          <t>Miami Marlins</t>
        </is>
      </c>
      <c r="AR50" s="24" t="inlineStr">
        <is>
          <t>Miami Marlins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8.5</v>
      </c>
      <c r="BK50" s="26" t="n">
        <v>-102</v>
      </c>
      <c r="BL50" s="27" t="n">
        <v>1.980392</v>
      </c>
      <c r="BM50" s="28" t="n">
        <v>0.50495</v>
      </c>
      <c r="BN50" s="28" t="n">
        <v>0.502488</v>
      </c>
      <c r="BO50" s="28" t="n"/>
      <c r="BP50" s="25" t="n"/>
      <c r="BQ50" s="27" t="n">
        <v>1.980392</v>
      </c>
      <c r="BR50" s="28" t="n">
        <v>0.505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b678fd28ca724674</t>
        </is>
      </c>
      <c r="B51" s="24" t="inlineStr">
        <is>
          <t>2026-07-31T21:05:54.725871Z</t>
        </is>
      </c>
      <c r="C51" s="24" t="inlineStr">
        <is>
          <t>2026-07-31T23:15Z</t>
        </is>
      </c>
      <c r="D51" s="24" t="inlineStr">
        <is>
          <t>401816338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Atlanta Braves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-182</v>
      </c>
      <c r="M51" s="27" t="n">
        <v>1.549451</v>
      </c>
      <c r="N51" s="28" t="n">
        <v>0.64539</v>
      </c>
      <c r="O51" s="28" t="n">
        <v>0.546226</v>
      </c>
      <c r="P51" s="28" t="n">
        <v>0.042131</v>
      </c>
      <c r="Q51" s="28" t="n">
        <v>-0.099164</v>
      </c>
      <c r="R51" s="26" t="n">
        <v>0</v>
      </c>
      <c r="S51" s="29" t="n">
        <v>1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2</v>
      </c>
      <c r="X51" s="26" t="n">
        <v>6</v>
      </c>
      <c r="Y51" s="25" t="n">
        <v>1.5</v>
      </c>
      <c r="Z51" s="26" t="n">
        <v>-182</v>
      </c>
      <c r="AA51" s="28" t="n">
        <v>0.645</v>
      </c>
      <c r="AB51" s="28" t="n">
        <v>-0.00039</v>
      </c>
      <c r="AC51" s="30" t="n">
        <v>0.5495</v>
      </c>
      <c r="AD51" s="24" t="inlineStr">
        <is>
          <t>2026-08-01T03:00:04.884635Z</t>
        </is>
      </c>
      <c r="AE51" s="31" t="inlineStr">
        <is>
          <t>Measured Edge Margin: Trend Engine projected 4.68-4.22; raw selected-side p=0.6240, calibrated p=0.5462.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mlb-atl</t>
        </is>
      </c>
      <c r="AT51" s="24" t="inlineStr">
        <is>
          <t>Atlanta Braves</t>
        </is>
      </c>
      <c r="AU51" s="24" t="inlineStr">
        <is>
          <t>Atlanta Braves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-182</v>
      </c>
      <c r="BL51" s="27" t="n">
        <v>1.549451</v>
      </c>
      <c r="BM51" s="28" t="n">
        <v>0.64539</v>
      </c>
      <c r="BN51" s="28" t="n">
        <v>0.641791</v>
      </c>
      <c r="BO51" s="28" t="n"/>
      <c r="BP51" s="25" t="n"/>
      <c r="BQ51" s="27" t="n">
        <v>1.549451</v>
      </c>
      <c r="BR51" s="28" t="n">
        <v>0.645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1d57acfaf49748c4</t>
        </is>
      </c>
      <c r="B52" s="24" t="inlineStr">
        <is>
          <t>2026-07-31T21:05:54.725871Z</t>
        </is>
      </c>
      <c r="C52" s="24" t="inlineStr">
        <is>
          <t>2026-07-31T23:15Z</t>
        </is>
      </c>
      <c r="D52" s="24" t="inlineStr">
        <is>
          <t>401816338</t>
        </is>
      </c>
      <c r="E52" s="24" t="inlineStr">
        <is>
          <t>MLB</t>
        </is>
      </c>
      <c r="F52" s="24" t="inlineStr">
        <is>
          <t>Washington Nationals</t>
        </is>
      </c>
      <c r="G52" s="24" t="inlineStr">
        <is>
          <t>Atlanta Braves</t>
        </is>
      </c>
      <c r="H52" s="24" t="inlineStr">
        <is>
          <t>total</t>
        </is>
      </c>
      <c r="I52" s="24" t="inlineStr">
        <is>
          <t>under</t>
        </is>
      </c>
      <c r="J52" s="25" t="n">
        <v>9.5</v>
      </c>
      <c r="K52" s="24" t="inlineStr">
        <is>
          <t>polymarket_us</t>
        </is>
      </c>
      <c r="L52" s="26" t="n">
        <v>-122</v>
      </c>
      <c r="M52" s="27" t="n">
        <v>1.819672</v>
      </c>
      <c r="N52" s="28" t="n">
        <v>0.54955</v>
      </c>
      <c r="O52" s="28" t="n">
        <v>0.586459</v>
      </c>
      <c r="P52" s="28" t="n">
        <v>0.042131</v>
      </c>
      <c r="Q52" s="28" t="n">
        <v>0.036909</v>
      </c>
      <c r="R52" s="26" t="n">
        <v>43</v>
      </c>
      <c r="S52" s="29" t="n">
        <v>1.25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6</v>
      </c>
      <c r="Y52" s="25" t="n">
        <v>9.5</v>
      </c>
      <c r="Z52" s="26" t="n">
        <v>-122</v>
      </c>
      <c r="AA52" s="28" t="n">
        <v>0.55</v>
      </c>
      <c r="AB52" s="28" t="n">
        <v>0.00045</v>
      </c>
      <c r="AC52" s="30" t="n">
        <v>1.0246</v>
      </c>
      <c r="AD52" s="24" t="inlineStr">
        <is>
          <t>2026-08-01T03:00:05.207093Z</t>
        </is>
      </c>
      <c r="AE52" s="31" t="inlineStr">
        <is>
          <t>Measured Edge Totals: Trend Engine projected 4.68-4.22; raw selected-side p=0.6050, calibrated p=0.5865.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mlb-wsh</t>
        </is>
      </c>
      <c r="AQ52" s="24" t="inlineStr">
        <is>
          <t>Washington Nationals</t>
        </is>
      </c>
      <c r="AR52" s="24" t="inlineStr">
        <is>
          <t>Washington Nationals</t>
        </is>
      </c>
      <c r="AS52" s="24" t="inlineStr">
        <is>
          <t>mlb-atl</t>
        </is>
      </c>
      <c r="AT52" s="24" t="inlineStr">
        <is>
          <t>Atlanta Braves</t>
        </is>
      </c>
      <c r="AU52" s="24" t="inlineStr">
        <is>
          <t>Atlanta Braves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9.5</v>
      </c>
      <c r="BK52" s="26" t="n">
        <v>-122</v>
      </c>
      <c r="BL52" s="27" t="n">
        <v>1.819672</v>
      </c>
      <c r="BM52" s="28" t="n">
        <v>0.54955</v>
      </c>
      <c r="BN52" s="28" t="n">
        <v>0.547264</v>
      </c>
      <c r="BO52" s="28" t="n"/>
      <c r="BP52" s="25" t="n"/>
      <c r="BQ52" s="27" t="n">
        <v>1.819672</v>
      </c>
      <c r="BR52" s="28" t="n">
        <v>0.55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f5699485189e4e76</t>
        </is>
      </c>
      <c r="B53" s="24" t="inlineStr">
        <is>
          <t>2026-07-31T23:29:42.171549Z</t>
        </is>
      </c>
      <c r="C53" s="24" t="inlineStr">
        <is>
          <t>2026-07-31T20:15:00-0400</t>
        </is>
      </c>
      <c r="D53" s="24" t="inlineStr">
        <is>
          <t>401816340</t>
        </is>
      </c>
      <c r="E53" s="24" t="inlineStr">
        <is>
          <t>MLB</t>
        </is>
      </c>
      <c r="F53" s="24" t="inlineStr">
        <is>
          <t>Texas Rangers</t>
        </is>
      </c>
      <c r="G53" s="24" t="inlineStr">
        <is>
          <t>Houston Astros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-117</v>
      </c>
      <c r="M53" s="27" t="n">
        <v>1.854701</v>
      </c>
      <c r="N53" s="28" t="n">
        <v>0.539171</v>
      </c>
      <c r="O53" s="28" t="n">
        <v>0.548061</v>
      </c>
      <c r="P53" s="28" t="n"/>
      <c r="Q53" s="28" t="n">
        <v>0.00889</v>
      </c>
      <c r="R53" s="26" t="n">
        <v>25</v>
      </c>
      <c r="S53" s="29" t="n">
        <v>1</v>
      </c>
      <c r="T53" s="24" t="inlineStr">
        <is>
          <t>mlb-elo-trend-lr-v7</t>
        </is>
      </c>
      <c r="U53" s="24" t="inlineStr">
        <is>
          <t>settled</t>
        </is>
      </c>
      <c r="V53" s="24" t="inlineStr">
        <is>
          <t>win</t>
        </is>
      </c>
      <c r="W53" s="26" t="n">
        <v>2</v>
      </c>
      <c r="X53" s="26" t="n">
        <v>11</v>
      </c>
      <c r="Y53" s="25" t="n"/>
      <c r="Z53" s="26" t="n">
        <v>-117</v>
      </c>
      <c r="AA53" s="28" t="n">
        <v>0.54</v>
      </c>
      <c r="AB53" s="28" t="n">
        <v>0.000829</v>
      </c>
      <c r="AC53" s="30" t="n">
        <v>0.8547</v>
      </c>
      <c r="AD53" s="24" t="inlineStr">
        <is>
          <t>2026-08-01T05:33:39.699571Z</t>
        </is>
      </c>
      <c r="AE53" s="31" t="inlineStr">
        <is>
          <t>Learned LR call at threshold 0.6242; executable ask 0.5400 (aec-mlb-tex-hou-2026-07-31); model edge vs ask +0.0081.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mlb-tex</t>
        </is>
      </c>
      <c r="AQ53" s="24" t="inlineStr">
        <is>
          <t>Texas Rangers</t>
        </is>
      </c>
      <c r="AR53" s="24" t="inlineStr">
        <is>
          <t>Texas Rangers</t>
        </is>
      </c>
      <c r="AS53" s="24" t="inlineStr">
        <is>
          <t>mlb-hou</t>
        </is>
      </c>
      <c r="AT53" s="24" t="inlineStr">
        <is>
          <t>Houston Astros</t>
        </is>
      </c>
      <c r="AU53" s="24" t="inlineStr">
        <is>
          <t>Houston Astros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464eef695bfbbdaa819ec6f5e4c5bd1068ed20b92915fb2677220ae91e20d8b6</t>
        </is>
      </c>
      <c r="BB53" s="24" t="inlineStr">
        <is>
          <t>learned_lr</t>
        </is>
      </c>
      <c r="BC53" s="24" t="inlineStr">
        <is>
          <t>mlb-elo-trend-lr-v7</t>
        </is>
      </c>
      <c r="BD53" s="24" t="inlineStr">
        <is>
          <t>464eef695bfbbdaa819ec6f5e4c5bd1068ed20b92915fb2677220ae91e20d8b6</t>
        </is>
      </c>
      <c r="BE53" s="24" t="inlineStr">
        <is>
          <t>524a0fd0934624ad</t>
        </is>
      </c>
      <c r="BF53" s="24" t="inlineStr">
        <is>
          <t>1</t>
        </is>
      </c>
      <c r="BG53" s="24" t="inlineStr">
        <is>
          <t>mlb-elo-trend-lr-v7</t>
        </is>
      </c>
      <c r="BH53" s="24" t="inlineStr">
        <is>
          <t>2026-07-31T23:29:18.070151Z</t>
        </is>
      </c>
      <c r="BI53" s="24" t="inlineStr">
        <is>
          <t>["same_event","same_team_same_day","same_league_same_day"]</t>
        </is>
      </c>
      <c r="BJ53" s="25" t="n"/>
      <c r="BK53" s="26" t="n">
        <v>-117</v>
      </c>
      <c r="BL53" s="27" t="n">
        <v>1.854701</v>
      </c>
      <c r="BM53" s="28" t="n">
        <v>0.539171</v>
      </c>
      <c r="BN53" s="28" t="n">
        <v>0.537313</v>
      </c>
      <c r="BO53" s="28" t="n"/>
      <c r="BP53" s="25" t="n"/>
      <c r="BQ53" s="27" t="n">
        <v>1.854701</v>
      </c>
      <c r="BR53" s="28" t="n">
        <v>0.54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0.5417596979</t>
        </is>
      </c>
      <c r="CD53" s="24" t="inlineStr">
        <is>
          <t>0.96412</t>
        </is>
      </c>
      <c r="CE53" s="24" t="inlineStr">
        <is>
          <t>0.956</t>
        </is>
      </c>
      <c r="CF53" s="24" t="inlineStr">
        <is>
          <t>1</t>
        </is>
      </c>
      <c r="CG53" s="24" t="inlineStr">
        <is>
          <t>2.2</t>
        </is>
      </c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a5d8df625d884626</t>
        </is>
      </c>
      <c r="B54" s="24" t="inlineStr">
        <is>
          <t>2026-07-31T23:29:42.171549Z</t>
        </is>
      </c>
      <c r="C54" s="24" t="inlineStr">
        <is>
          <t>2026-07-31T20:40:00-0400</t>
        </is>
      </c>
      <c r="D54" s="24" t="inlineStr">
        <is>
          <t>401816341</t>
        </is>
      </c>
      <c r="E54" s="24" t="inlineStr">
        <is>
          <t>MLB</t>
        </is>
      </c>
      <c r="F54" s="24" t="inlineStr">
        <is>
          <t>Kansas City Royals</t>
        </is>
      </c>
      <c r="G54" s="24" t="inlineStr">
        <is>
          <t>Colorado Rockies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-104</v>
      </c>
      <c r="M54" s="27" t="n">
        <v>1.961538</v>
      </c>
      <c r="N54" s="28" t="n">
        <v>0.509804</v>
      </c>
      <c r="O54" s="28" t="n">
        <v>0.5955</v>
      </c>
      <c r="P54" s="28" t="n"/>
      <c r="Q54" s="28" t="n">
        <v>0.08569599999999999</v>
      </c>
      <c r="R54" s="26" t="n">
        <v>64</v>
      </c>
      <c r="S54" s="29" t="n">
        <v>1.25</v>
      </c>
      <c r="T54" s="24" t="inlineStr">
        <is>
          <t>mlb-elo-trend-lr-v7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/>
      <c r="Z54" s="26" t="n">
        <v>-104</v>
      </c>
      <c r="AA54" s="28" t="n">
        <v>0.51</v>
      </c>
      <c r="AB54" s="28" t="n">
        <v>0.000196</v>
      </c>
      <c r="AC54" s="30" t="n">
        <v>-1.25</v>
      </c>
      <c r="AD54" s="24" t="inlineStr">
        <is>
          <t>2026-08-01T05:33:39.994911Z</t>
        </is>
      </c>
      <c r="AE54" s="31" t="inlineStr">
        <is>
          <t>Learned LR call at threshold 0.6242; executable ask 0.5100 (aec-mlb-kc-col-2026-07-31); model edge vs ask +0.0855.</t>
        </is>
      </c>
      <c r="AF54" s="31" t="inlineStr">
        <is>
          <t>Learned model; shadow-qualified via operator override.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mlb-kc</t>
        </is>
      </c>
      <c r="AQ54" s="24" t="inlineStr">
        <is>
          <t>Kansas City Royals</t>
        </is>
      </c>
      <c r="AR54" s="24" t="inlineStr">
        <is>
          <t>Kansas City Royals</t>
        </is>
      </c>
      <c r="AS54" s="24" t="inlineStr">
        <is>
          <t>mlb-col</t>
        </is>
      </c>
      <c r="AT54" s="24" t="inlineStr">
        <is>
          <t>Colorado Rockies</t>
        </is>
      </c>
      <c r="AU54" s="24" t="inlineStr">
        <is>
          <t>Colorado Rockies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464eef695bfbbdaa819ec6f5e4c5bd1068ed20b92915fb2677220ae91e20d8b6</t>
        </is>
      </c>
      <c r="BB54" s="24" t="inlineStr">
        <is>
          <t>learned_lr</t>
        </is>
      </c>
      <c r="BC54" s="24" t="inlineStr">
        <is>
          <t>mlb-elo-trend-lr-v7</t>
        </is>
      </c>
      <c r="BD54" s="24" t="inlineStr">
        <is>
          <t>464eef695bfbbdaa819ec6f5e4c5bd1068ed20b92915fb2677220ae91e20d8b6</t>
        </is>
      </c>
      <c r="BE54" s="24" t="inlineStr">
        <is>
          <t>923d07b1b3b0c2bd</t>
        </is>
      </c>
      <c r="BF54" s="24" t="inlineStr">
        <is>
          <t>1</t>
        </is>
      </c>
      <c r="BG54" s="24" t="inlineStr">
        <is>
          <t>mlb-elo-trend-lr-v7</t>
        </is>
      </c>
      <c r="BH54" s="24" t="inlineStr">
        <is>
          <t>2026-07-31T23:29:19.286255Z</t>
        </is>
      </c>
      <c r="BI54" s="24" t="inlineStr">
        <is>
          <t>["same_event","same_team_same_day","same_league_same_day"]</t>
        </is>
      </c>
      <c r="BJ54" s="25" t="n"/>
      <c r="BK54" s="26" t="n">
        <v>-104</v>
      </c>
      <c r="BL54" s="27" t="n">
        <v>1.961538</v>
      </c>
      <c r="BM54" s="28" t="n">
        <v>0.509804</v>
      </c>
      <c r="BN54" s="28" t="n">
        <v>0.507463</v>
      </c>
      <c r="BO54" s="28" t="n"/>
      <c r="BP54" s="25" t="n"/>
      <c r="BQ54" s="27" t="n">
        <v>1.961538</v>
      </c>
      <c r="BR54" s="28" t="n">
        <v>0.51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0.4263386442</t>
        </is>
      </c>
      <c r="CD54" s="24" t="inlineStr">
        <is>
          <t>-0.092509</t>
        </is>
      </c>
      <c r="CE54" s="24" t="inlineStr">
        <is>
          <t>1.193</t>
        </is>
      </c>
      <c r="CF54" s="24" t="inlineStr">
        <is>
          <t>1.0177</t>
        </is>
      </c>
      <c r="CG54" s="24" t="inlineStr">
        <is>
          <t>3.8</t>
        </is>
      </c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a2e6ce67dd9c4ecf</t>
        </is>
      </c>
      <c r="B55" s="24" t="inlineStr">
        <is>
          <t>2026-07-31T23:29:42.171549Z</t>
        </is>
      </c>
      <c r="C55" s="24" t="inlineStr">
        <is>
          <t>2026-07-31T21:38:00-0400</t>
        </is>
      </c>
      <c r="D55" s="24" t="inlineStr">
        <is>
          <t>401816344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Los Angeles Angels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-156</v>
      </c>
      <c r="M55" s="27" t="n">
        <v>1.641026</v>
      </c>
      <c r="N55" s="28" t="n">
        <v>0.609375</v>
      </c>
      <c r="O55" s="28" t="n">
        <v>0.623039</v>
      </c>
      <c r="P55" s="28" t="n"/>
      <c r="Q55" s="28" t="n">
        <v>0.013664</v>
      </c>
      <c r="R55" s="26" t="n">
        <v>28</v>
      </c>
      <c r="S55" s="29" t="n">
        <v>1.5</v>
      </c>
      <c r="T55" s="24" t="inlineStr">
        <is>
          <t>mlb-elo-trend-lr-v7</t>
        </is>
      </c>
      <c r="U55" s="24" t="inlineStr">
        <is>
          <t>settled</t>
        </is>
      </c>
      <c r="V55" s="24" t="inlineStr">
        <is>
          <t>win</t>
        </is>
      </c>
      <c r="W55" s="26" t="n">
        <v>6</v>
      </c>
      <c r="X55" s="26" t="n">
        <v>2</v>
      </c>
      <c r="Y55" s="25" t="n"/>
      <c r="Z55" s="26" t="n">
        <v>-156</v>
      </c>
      <c r="AA55" s="28" t="n">
        <v>0.61</v>
      </c>
      <c r="AB55" s="28" t="n">
        <v>0.000625</v>
      </c>
      <c r="AC55" s="30" t="n">
        <v>0.9615</v>
      </c>
      <c r="AD55" s="24" t="inlineStr">
        <is>
          <t>2026-08-01T05:33:40.292879Z</t>
        </is>
      </c>
      <c r="AE55" s="31" t="inlineStr">
        <is>
          <t>Learned LR call at threshold 0.6242; executable ask 0.6100 (aec-mlb-mil-laa-2026-07-31); model edge vs ask +0.0130.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mlb-laa</t>
        </is>
      </c>
      <c r="AT55" s="24" t="inlineStr">
        <is>
          <t>Los Angeles Angels</t>
        </is>
      </c>
      <c r="AU55" s="24" t="inlineStr">
        <is>
          <t>Los Angeles Angels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464eef695bfbbdaa819ec6f5e4c5bd1068ed20b92915fb2677220ae91e20d8b6</t>
        </is>
      </c>
      <c r="BB55" s="24" t="inlineStr">
        <is>
          <t>learned_lr</t>
        </is>
      </c>
      <c r="BC55" s="24" t="inlineStr">
        <is>
          <t>mlb-elo-trend-lr-v7</t>
        </is>
      </c>
      <c r="BD55" s="24" t="inlineStr">
        <is>
          <t>464eef695bfbbdaa819ec6f5e4c5bd1068ed20b92915fb2677220ae91e20d8b6</t>
        </is>
      </c>
      <c r="BE55" s="24" t="inlineStr">
        <is>
          <t>536a32a342b89fa6</t>
        </is>
      </c>
      <c r="BF55" s="24" t="inlineStr">
        <is>
          <t>1</t>
        </is>
      </c>
      <c r="BG55" s="24" t="inlineStr">
        <is>
          <t>mlb-elo-trend-lr-v7</t>
        </is>
      </c>
      <c r="BH55" s="24" t="inlineStr">
        <is>
          <t>2026-07-31T23:29:19.944430Z</t>
        </is>
      </c>
      <c r="BI55" s="24" t="inlineStr">
        <is>
          <t>["same_event","same_team_same_day","same_league_same_day"]</t>
        </is>
      </c>
      <c r="BJ55" s="25" t="n"/>
      <c r="BK55" s="26" t="n">
        <v>-156</v>
      </c>
      <c r="BL55" s="27" t="n">
        <v>1.641026</v>
      </c>
      <c r="BM55" s="28" t="n">
        <v>0.609375</v>
      </c>
      <c r="BN55" s="28" t="n">
        <v>0.606965</v>
      </c>
      <c r="BO55" s="28" t="n"/>
      <c r="BP55" s="25" t="n"/>
      <c r="BQ55" s="27" t="n">
        <v>1.641026</v>
      </c>
      <c r="BR55" s="28" t="n">
        <v>0.61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0.3355785191</t>
        </is>
      </c>
      <c r="CD55" s="24" t="inlineStr">
        <is>
          <t>-0.284241</t>
        </is>
      </c>
      <c r="CE55" s="24" t="inlineStr">
        <is>
          <t>1.01</t>
        </is>
      </c>
      <c r="CF55" s="24" t="inlineStr">
        <is>
          <t>1.0122</t>
        </is>
      </c>
      <c r="CG55" s="24" t="inlineStr">
        <is>
          <t>-0.4</t>
        </is>
      </c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7a057b5796e04b28</t>
        </is>
      </c>
      <c r="B56" s="24" t="inlineStr">
        <is>
          <t>2026-07-31T23:29:42.171549Z</t>
        </is>
      </c>
      <c r="C56" s="24" t="inlineStr">
        <is>
          <t>2026-07-31T21:40:00-0400</t>
        </is>
      </c>
      <c r="D56" s="24" t="inlineStr">
        <is>
          <t>401816343</t>
        </is>
      </c>
      <c r="E56" s="24" t="inlineStr">
        <is>
          <t>MLB</t>
        </is>
      </c>
      <c r="F56" s="24" t="inlineStr">
        <is>
          <t>Detroit Tigers</t>
        </is>
      </c>
      <c r="G56" s="24" t="inlineStr">
        <is>
          <t>Athletics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-130</v>
      </c>
      <c r="M56" s="27" t="n">
        <v>1.769231</v>
      </c>
      <c r="N56" s="28" t="n">
        <v>0.565217</v>
      </c>
      <c r="O56" s="28" t="n">
        <v>0.557314</v>
      </c>
      <c r="P56" s="28" t="n"/>
      <c r="Q56" s="28" t="n">
        <v>-0.007903</v>
      </c>
      <c r="R56" s="26" t="n">
        <v>18</v>
      </c>
      <c r="S56" s="29" t="n">
        <v>1</v>
      </c>
      <c r="T56" s="24" t="inlineStr">
        <is>
          <t>mlb-elo-trend-lr-v7</t>
        </is>
      </c>
      <c r="U56" s="24" t="inlineStr">
        <is>
          <t>settled</t>
        </is>
      </c>
      <c r="V56" s="24" t="inlineStr">
        <is>
          <t>win</t>
        </is>
      </c>
      <c r="W56" s="26" t="n">
        <v>13</v>
      </c>
      <c r="X56" s="26" t="n">
        <v>1</v>
      </c>
      <c r="Y56" s="25" t="n"/>
      <c r="Z56" s="26" t="n">
        <v>-130</v>
      </c>
      <c r="AA56" s="28" t="n">
        <v>0.5649999999999999</v>
      </c>
      <c r="AB56" s="28" t="n">
        <v>-0.000217</v>
      </c>
      <c r="AC56" s="30" t="n">
        <v>0.7692</v>
      </c>
      <c r="AD56" s="24" t="inlineStr">
        <is>
          <t>2026-08-01T05:33:41.180045Z</t>
        </is>
      </c>
      <c r="AE56" s="31" t="inlineStr">
        <is>
          <t>Learned LR call at threshold 0.6242; executable ask 0.5650 (aec-mlb-det-ath-2026-07-31); model edge vs ask -0.0077.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mlb-det</t>
        </is>
      </c>
      <c r="AQ56" s="24" t="inlineStr">
        <is>
          <t>Detroit Tigers</t>
        </is>
      </c>
      <c r="AR56" s="24" t="inlineStr">
        <is>
          <t>Detroit Tigers</t>
        </is>
      </c>
      <c r="AS56" s="24" t="inlineStr">
        <is>
          <t>mlb-ath</t>
        </is>
      </c>
      <c r="AT56" s="24" t="inlineStr">
        <is>
          <t>Athletics</t>
        </is>
      </c>
      <c r="AU56" s="24" t="inlineStr">
        <is>
          <t>Athletics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eaf96e9b22f1492f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2026-07-31T23:29:20.970194Z</t>
        </is>
      </c>
      <c r="BI56" s="24" t="inlineStr">
        <is>
          <t>["same_event","same_team_same_day","same_league_same_day"]</t>
        </is>
      </c>
      <c r="BJ56" s="25" t="n"/>
      <c r="BK56" s="26" t="n">
        <v>-130</v>
      </c>
      <c r="BL56" s="27" t="n">
        <v>1.769231</v>
      </c>
      <c r="BM56" s="28" t="n">
        <v>0.565217</v>
      </c>
      <c r="BN56" s="28" t="n">
        <v>0.562189</v>
      </c>
      <c r="BO56" s="28" t="n"/>
      <c r="BP56" s="25" t="n"/>
      <c r="BQ56" s="27" t="n">
        <v>1.769231</v>
      </c>
      <c r="BR56" s="28" t="n">
        <v>0.5649999999999999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0.4303979443</t>
        </is>
      </c>
      <c r="CD56" s="24" t="inlineStr">
        <is>
          <t>-2.346854</t>
        </is>
      </c>
      <c r="CE56" s="24" t="inlineStr">
        <is>
          <t>1.153</t>
        </is>
      </c>
      <c r="CF56" s="24" t="inlineStr">
        <is>
          <t>1.0239</t>
        </is>
      </c>
      <c r="CG56" s="24" t="inlineStr">
        <is>
          <t>0.6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6dda98bb166f4f4c</t>
        </is>
      </c>
      <c r="B57" s="24" t="inlineStr">
        <is>
          <t>2026-07-31T23:29:42.171549Z</t>
        </is>
      </c>
      <c r="C57" s="24" t="inlineStr">
        <is>
          <t>2026-07-31T21:45:00-0400</t>
        </is>
      </c>
      <c r="D57" s="24" t="inlineStr">
        <is>
          <t>401816346</t>
        </is>
      </c>
      <c r="E57" s="24" t="inlineStr">
        <is>
          <t>MLB</t>
        </is>
      </c>
      <c r="F57" s="24" t="inlineStr">
        <is>
          <t>San Francisco Giants</t>
        </is>
      </c>
      <c r="G57" s="24" t="inlineStr">
        <is>
          <t>San Diego Padres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0.594553</v>
      </c>
      <c r="P57" s="28" t="n"/>
      <c r="Q57" s="28" t="n">
        <v>0.014721</v>
      </c>
      <c r="R57" s="26" t="n">
        <v>29</v>
      </c>
      <c r="S57" s="29" t="n">
        <v>1.25</v>
      </c>
      <c r="T57" s="24" t="inlineStr">
        <is>
          <t>mlb-elo-trend-lr-v7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7</v>
      </c>
      <c r="Y57" s="25" t="n"/>
      <c r="Z57" s="26" t="n">
        <v>-138</v>
      </c>
      <c r="AA57" s="28" t="n">
        <v>0.58</v>
      </c>
      <c r="AB57" s="28" t="n">
        <v>0.000168</v>
      </c>
      <c r="AC57" s="30" t="n">
        <v>0.9058</v>
      </c>
      <c r="AD57" s="24" t="inlineStr">
        <is>
          <t>2026-08-01T05:33:41.504211Z</t>
        </is>
      </c>
      <c r="AE57" s="31" t="inlineStr">
        <is>
          <t>Learned LR call at threshold 0.6242; executable ask 0.5800 (aec-mlb-sf-sd-2026-07-31); model edge vs ask +0.0146.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mlb-sf</t>
        </is>
      </c>
      <c r="AQ57" s="24" t="inlineStr">
        <is>
          <t>San Francisco Giants</t>
        </is>
      </c>
      <c r="AR57" s="24" t="inlineStr">
        <is>
          <t>San Francisco Giants</t>
        </is>
      </c>
      <c r="AS57" s="24" t="inlineStr">
        <is>
          <t>mlb-sd</t>
        </is>
      </c>
      <c r="AT57" s="24" t="inlineStr">
        <is>
          <t>San Diego Padres</t>
        </is>
      </c>
      <c r="AU57" s="24" t="inlineStr">
        <is>
          <t>San Diego Padres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9df16cb5c93b6892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2026-07-31T23:29:22.107755Z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>
        <v>0.577114</v>
      </c>
      <c r="BO57" s="28" t="n"/>
      <c r="BP57" s="25" t="n"/>
      <c r="BQ57" s="27" t="n">
        <v>1.724638</v>
      </c>
      <c r="BR57" s="28" t="n">
        <v>0.58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0.5827558821</t>
        </is>
      </c>
      <c r="CD57" s="24" t="inlineStr">
        <is>
          <t>-1.601104</t>
        </is>
      </c>
      <c r="CE57" s="24" t="inlineStr">
        <is>
          <t>0.945</t>
        </is>
      </c>
      <c r="CF57" s="24" t="inlineStr">
        <is>
          <t>1.0049</t>
        </is>
      </c>
      <c r="CG57" s="24" t="inlineStr">
        <is>
          <t>-0.2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3cc74c950ced43ef</t>
        </is>
      </c>
      <c r="B58" s="24" t="inlineStr">
        <is>
          <t>2026-07-31T23:29:42.171549Z</t>
        </is>
      </c>
      <c r="C58" s="24" t="inlineStr">
        <is>
          <t>2026-07-31T22:10:00-0400</t>
        </is>
      </c>
      <c r="D58" s="24" t="inlineStr">
        <is>
          <t>401816342</t>
        </is>
      </c>
      <c r="E58" s="24" t="inlineStr">
        <is>
          <t>MLB</t>
        </is>
      </c>
      <c r="F58" s="24" t="inlineStr">
        <is>
          <t>Boston Red Sox</t>
        </is>
      </c>
      <c r="G58" s="24" t="inlineStr">
        <is>
          <t>Los Angeles Dodgers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-125</v>
      </c>
      <c r="M58" s="27" t="n">
        <v>1.8</v>
      </c>
      <c r="N58" s="28" t="n">
        <v>0.555556</v>
      </c>
      <c r="O58" s="28" t="n">
        <v>0.564527</v>
      </c>
      <c r="P58" s="28" t="n"/>
      <c r="Q58" s="28" t="n">
        <v>0.008971</v>
      </c>
      <c r="R58" s="26" t="n">
        <v>26</v>
      </c>
      <c r="S58" s="29" t="n">
        <v>1</v>
      </c>
      <c r="T58" s="24" t="inlineStr">
        <is>
          <t>mlb-elo-trend-lr-v7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4</v>
      </c>
      <c r="Y58" s="25" t="n"/>
      <c r="Z58" s="26" t="n">
        <v>-125</v>
      </c>
      <c r="AA58" s="28" t="n">
        <v>0.555</v>
      </c>
      <c r="AB58" s="28" t="n">
        <v>-0.000556</v>
      </c>
      <c r="AC58" s="30" t="n">
        <v>-1</v>
      </c>
      <c r="AD58" s="24" t="inlineStr">
        <is>
          <t>2026-08-01T05:33:41.816447Z</t>
        </is>
      </c>
      <c r="AE58" s="31" t="inlineStr">
        <is>
          <t>Learned LR call at threshold 0.6242; executable ask 0.5550 (aec-mlb-bos-lad-2026-07-31); model edge vs ask +0.0095.</t>
        </is>
      </c>
      <c r="AF58" s="31" t="inlineStr">
        <is>
          <t>Learned model; shadow-qualified via operator override.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mlb-bos</t>
        </is>
      </c>
      <c r="AQ58" s="24" t="inlineStr">
        <is>
          <t>Boston Red Sox</t>
        </is>
      </c>
      <c r="AR58" s="24" t="inlineStr">
        <is>
          <t>Boston Red Sox</t>
        </is>
      </c>
      <c r="AS58" s="24" t="inlineStr">
        <is>
          <t>mlb-lad</t>
        </is>
      </c>
      <c r="AT58" s="24" t="inlineStr">
        <is>
          <t>Los Angeles Dodgers</t>
        </is>
      </c>
      <c r="AU58" s="24" t="inlineStr">
        <is>
          <t>Los Angeles Dodgers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eadca7460f5bd810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2026-07-31T23:29:23.984993Z</t>
        </is>
      </c>
      <c r="BI58" s="24" t="inlineStr">
        <is>
          <t>["same_event","same_team_same_day","same_league_same_day"]</t>
        </is>
      </c>
      <c r="BJ58" s="25" t="n"/>
      <c r="BK58" s="26" t="n">
        <v>-125</v>
      </c>
      <c r="BL58" s="27" t="n">
        <v>1.8</v>
      </c>
      <c r="BM58" s="28" t="n">
        <v>0.555556</v>
      </c>
      <c r="BN58" s="28" t="n">
        <v>0.552239</v>
      </c>
      <c r="BO58" s="28" t="n"/>
      <c r="BP58" s="25" t="n"/>
      <c r="BQ58" s="27" t="n">
        <v>1.8</v>
      </c>
      <c r="BR58" s="28" t="n">
        <v>0.555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0.5626775445</t>
        </is>
      </c>
      <c r="CD58" s="24" t="inlineStr">
        <is>
          <t>0.365039</t>
        </is>
      </c>
      <c r="CE58" s="24" t="inlineStr">
        <is>
          <t>1.026</t>
        </is>
      </c>
      <c r="CF58" s="24" t="inlineStr">
        <is>
          <t>1.0057</t>
        </is>
      </c>
      <c r="CG58" s="24" t="inlineStr">
        <is>
          <t>2.2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f094a2aadd8b4718</t>
        </is>
      </c>
      <c r="B59" s="24" t="inlineStr">
        <is>
          <t>2026-07-31T23:29:42.171549Z</t>
        </is>
      </c>
      <c r="C59" s="24" t="inlineStr">
        <is>
          <t>2026-07-31T22:10:00-0400</t>
        </is>
      </c>
      <c r="D59" s="24" t="inlineStr">
        <is>
          <t>401816345</t>
        </is>
      </c>
      <c r="E59" s="24" t="inlineStr">
        <is>
          <t>MLB</t>
        </is>
      </c>
      <c r="F59" s="24" t="inlineStr">
        <is>
          <t>Minnesota Twins</t>
        </is>
      </c>
      <c r="G59" s="24" t="inlineStr">
        <is>
          <t>Seattle Mariners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0.5951070000000001</v>
      </c>
      <c r="P59" s="28" t="n"/>
      <c r="Q59" s="28" t="n">
        <v>-0.014268</v>
      </c>
      <c r="R59" s="26" t="n">
        <v>14</v>
      </c>
      <c r="S59" s="29" t="n">
        <v>1.25</v>
      </c>
      <c r="T59" s="24" t="inlineStr">
        <is>
          <t>mlb-elo-trend-lr-v7</t>
        </is>
      </c>
      <c r="U59" s="24" t="inlineStr">
        <is>
          <t>settled</t>
        </is>
      </c>
      <c r="V59" s="24" t="inlineStr">
        <is>
          <t>loss</t>
        </is>
      </c>
      <c r="W59" s="26" t="n">
        <v>5</v>
      </c>
      <c r="X59" s="26" t="n">
        <v>3</v>
      </c>
      <c r="Y59" s="25" t="n"/>
      <c r="Z59" s="26" t="n">
        <v>-156</v>
      </c>
      <c r="AA59" s="28" t="n">
        <v>0.61</v>
      </c>
      <c r="AB59" s="28" t="n">
        <v>0.000625</v>
      </c>
      <c r="AC59" s="30" t="n">
        <v>-1.25</v>
      </c>
      <c r="AD59" s="24" t="inlineStr">
        <is>
          <t>2026-08-01T05:33:42.121088Z</t>
        </is>
      </c>
      <c r="AE59" s="31" t="inlineStr">
        <is>
          <t>Learned LR call at threshold 0.6242; executable ask 0.6100 (aec-mlb-min-sea-2026-07-31); model edge vs ask -0.0149.</t>
        </is>
      </c>
      <c r="AF59" s="31" t="inlineStr">
        <is>
          <t>Learned model; shadow-qualified via operator override.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mlb-min</t>
        </is>
      </c>
      <c r="AQ59" s="24" t="inlineStr">
        <is>
          <t>Minnesota Twins</t>
        </is>
      </c>
      <c r="AR59" s="24" t="inlineStr">
        <is>
          <t>Minnesota Twins</t>
        </is>
      </c>
      <c r="AS59" s="24" t="inlineStr">
        <is>
          <t>mlb-sea</t>
        </is>
      </c>
      <c r="AT59" s="24" t="inlineStr">
        <is>
          <t>Seattle Mariners</t>
        </is>
      </c>
      <c r="AU59" s="24" t="inlineStr">
        <is>
          <t>Seattle Mariners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883ee144c0c8e904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2026-07-31T23:29:23.070250Z</t>
        </is>
      </c>
      <c r="BI59" s="24" t="inlineStr">
        <is>
          <t>["same_event","same_team_same_day","same_league_same_day"]</t>
        </is>
      </c>
      <c r="BJ59" s="25" t="n"/>
      <c r="BK59" s="26" t="n">
        <v>-156</v>
      </c>
      <c r="BL59" s="27" t="n">
        <v>1.641026</v>
      </c>
      <c r="BM59" s="28" t="n">
        <v>0.609375</v>
      </c>
      <c r="BN59" s="28" t="n">
        <v>0.606965</v>
      </c>
      <c r="BO59" s="28" t="n"/>
      <c r="BP59" s="25" t="n"/>
      <c r="BQ59" s="27" t="n">
        <v>1.641026</v>
      </c>
      <c r="BR59" s="28" t="n">
        <v>0.61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0.5861386615</t>
        </is>
      </c>
      <c r="CD59" s="24" t="inlineStr">
        <is>
          <t>1.241555</t>
        </is>
      </c>
      <c r="CE59" s="24" t="inlineStr">
        <is>
          <t>0.936</t>
        </is>
      </c>
      <c r="CF59" s="24" t="inlineStr">
        <is>
          <t>1</t>
        </is>
      </c>
      <c r="CG59" s="24" t="inlineStr">
        <is>
          <t>1.4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bcf76e7710a04234</t>
        </is>
      </c>
      <c r="B60" s="24" t="inlineStr">
        <is>
          <t>2026-07-31T23:29:57.351792Z</t>
        </is>
      </c>
      <c r="C60" s="24" t="inlineStr">
        <is>
          <t>2026-08-01T00:15Z</t>
        </is>
      </c>
      <c r="D60" s="24" t="inlineStr">
        <is>
          <t>401816340</t>
        </is>
      </c>
      <c r="E60" s="24" t="inlineStr">
        <is>
          <t>MLB</t>
        </is>
      </c>
      <c r="F60" s="24" t="inlineStr">
        <is>
          <t>Texas Rangers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-186</v>
      </c>
      <c r="M60" s="27" t="n">
        <v>1.537634</v>
      </c>
      <c r="N60" s="28" t="n">
        <v>0.65035</v>
      </c>
      <c r="O60" s="28" t="n">
        <v>0.554007</v>
      </c>
      <c r="P60" s="28" t="n">
        <v>0.05172</v>
      </c>
      <c r="Q60" s="28" t="n">
        <v>-0.096343</v>
      </c>
      <c r="R60" s="26" t="n">
        <v>0</v>
      </c>
      <c r="S60" s="29" t="n">
        <v>1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11</v>
      </c>
      <c r="Y60" s="25" t="n">
        <v>1.5</v>
      </c>
      <c r="Z60" s="26" t="n">
        <v>-186</v>
      </c>
      <c r="AA60" s="28" t="n">
        <v>0.65</v>
      </c>
      <c r="AB60" s="28" t="n">
        <v>-0.00035</v>
      </c>
      <c r="AC60" s="30" t="n">
        <v>-1</v>
      </c>
      <c r="AD60" s="24" t="inlineStr">
        <is>
          <t>2026-08-01T05:33:42.415820Z</t>
        </is>
      </c>
      <c r="AE60" s="31" t="inlineStr">
        <is>
          <t>Measured Edge Margin: Trend Engine projected 4.51-4.59; raw selected-side p=0.6636, calibrated p=0.5540.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mlb-tex</t>
        </is>
      </c>
      <c r="AQ60" s="24" t="inlineStr">
        <is>
          <t>Texas Rangers</t>
        </is>
      </c>
      <c r="AR60" s="24" t="inlineStr">
        <is>
          <t>Texas Rangers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2bc2ce55b0d39a20103f724bbddbde5394909acd49297f52665b596a0ae3ae8b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2bc2ce55b0d39a20103f724bbddbde5394909acd49297f52665b596a0ae3ae8b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2026-07-31T23:29:57.351792Z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-186</v>
      </c>
      <c r="BL60" s="27" t="n">
        <v>1.537634</v>
      </c>
      <c r="BM60" s="28" t="n">
        <v>0.65035</v>
      </c>
      <c r="BN60" s="28" t="n">
        <v>0.646766</v>
      </c>
      <c r="BO60" s="28" t="n"/>
      <c r="BP60" s="25" t="n"/>
      <c r="BQ60" s="27" t="n">
        <v>1.537634</v>
      </c>
      <c r="BR60" s="28" t="n">
        <v>0.65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c4e37775a1054297</t>
        </is>
      </c>
      <c r="B61" s="24" t="inlineStr">
        <is>
          <t>2026-07-31T23:29:57.351792Z</t>
        </is>
      </c>
      <c r="C61" s="24" t="inlineStr">
        <is>
          <t>2026-08-01T00:15Z</t>
        </is>
      </c>
      <c r="D61" s="24" t="inlineStr">
        <is>
          <t>401816340</t>
        </is>
      </c>
      <c r="E61" s="24" t="inlineStr">
        <is>
          <t>MLB</t>
        </is>
      </c>
      <c r="F61" s="24" t="inlineStr">
        <is>
          <t>Texas Rangers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over</t>
        </is>
      </c>
      <c r="J61" s="25" t="n">
        <v>7.5</v>
      </c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0.585683</v>
      </c>
      <c r="P61" s="28" t="n">
        <v>0.05172</v>
      </c>
      <c r="Q61" s="28" t="n">
        <v>0.085683</v>
      </c>
      <c r="R61" s="26" t="n">
        <v>62</v>
      </c>
      <c r="S61" s="29" t="n">
        <v>1.25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11</v>
      </c>
      <c r="Y61" s="25" t="n">
        <v>7.5</v>
      </c>
      <c r="Z61" s="26" t="n">
        <v>100</v>
      </c>
      <c r="AA61" s="28" t="n">
        <v>0.5</v>
      </c>
      <c r="AB61" s="28" t="n">
        <v>0</v>
      </c>
      <c r="AC61" s="30" t="n">
        <v>1.25</v>
      </c>
      <c r="AD61" s="24" t="inlineStr">
        <is>
          <t>2026-08-01T05:33:42.712220Z</t>
        </is>
      </c>
      <c r="AE61" s="31" t="inlineStr">
        <is>
          <t>Measured Edge Totals: Trend Engine projected 4.51-4.59; raw selected-side p=0.6042, calibrated p=0.5857.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mlb-tex</t>
        </is>
      </c>
      <c r="AQ61" s="24" t="inlineStr">
        <is>
          <t>Texas Rangers</t>
        </is>
      </c>
      <c r="AR61" s="24" t="inlineStr">
        <is>
          <t>Texas Rangers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cbc2c9bf5a9569a49e1902c816d96556d704cf10819ca3a9e927721685757d0b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cbc2c9bf5a9569a49e1902c816d96556d704cf10819ca3a9e927721685757d0b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2026-07-31T23:29:57.351792Z</t>
        </is>
      </c>
      <c r="BI61" s="24" t="inlineStr">
        <is>
          <t>["same_event","same_team_same_day","same_league_same_day"]</t>
        </is>
      </c>
      <c r="BJ61" s="25" t="n">
        <v>7.5</v>
      </c>
      <c r="BK61" s="26" t="n">
        <v>100</v>
      </c>
      <c r="BL61" s="27" t="n">
        <v>2</v>
      </c>
      <c r="BM61" s="28" t="n">
        <v>0.5</v>
      </c>
      <c r="BN61" s="28" t="n">
        <v>0.497512</v>
      </c>
      <c r="BO61" s="28" t="n"/>
      <c r="BP61" s="25" t="n"/>
      <c r="BQ61" s="27" t="n">
        <v>2</v>
      </c>
      <c r="BR61" s="28" t="n">
        <v>0.5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d1c24f4002f14130</t>
        </is>
      </c>
      <c r="B62" s="24" t="inlineStr">
        <is>
          <t>2026-07-31T23:29:57.351792Z</t>
        </is>
      </c>
      <c r="C62" s="24" t="inlineStr">
        <is>
          <t>2026-08-01T00:40Z</t>
        </is>
      </c>
      <c r="D62" s="24" t="inlineStr">
        <is>
          <t>401816341</t>
        </is>
      </c>
      <c r="E62" s="24" t="inlineStr">
        <is>
          <t>MLB</t>
        </is>
      </c>
      <c r="F62" s="24" t="inlineStr">
        <is>
          <t>Kansas City Royals</t>
        </is>
      </c>
      <c r="G62" s="24" t="inlineStr">
        <is>
          <t>Colorado Rockies</t>
        </is>
      </c>
      <c r="H62" s="24" t="inlineStr">
        <is>
          <t>spread</t>
        </is>
      </c>
      <c r="I62" s="24" t="inlineStr">
        <is>
          <t>home</t>
        </is>
      </c>
      <c r="J62" s="25" t="n">
        <v>1.5</v>
      </c>
      <c r="K62" s="24" t="inlineStr">
        <is>
          <t>polymarket_us</t>
        </is>
      </c>
      <c r="L62" s="26" t="n">
        <v>-147</v>
      </c>
      <c r="M62" s="27" t="n">
        <v>1.680272</v>
      </c>
      <c r="N62" s="28" t="n">
        <v>0.5951419999999999</v>
      </c>
      <c r="O62" s="28" t="n">
        <v>0.553329</v>
      </c>
      <c r="P62" s="28" t="n">
        <v>0.042131</v>
      </c>
      <c r="Q62" s="28" t="n">
        <v>-0.041813</v>
      </c>
      <c r="R62" s="26" t="n">
        <v>4</v>
      </c>
      <c r="S62" s="29" t="n">
        <v>1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3</v>
      </c>
      <c r="Y62" s="25" t="n">
        <v>1.5</v>
      </c>
      <c r="Z62" s="26" t="n">
        <v>-147</v>
      </c>
      <c r="AA62" s="28" t="n">
        <v>0.595</v>
      </c>
      <c r="AB62" s="28" t="n">
        <v>-0.000142</v>
      </c>
      <c r="AC62" s="30" t="n">
        <v>0.6803</v>
      </c>
      <c r="AD62" s="24" t="inlineStr">
        <is>
          <t>2026-08-01T05:33:43.009062Z</t>
        </is>
      </c>
      <c r="AE62" s="31" t="inlineStr">
        <is>
          <t>Measured Edge Margin: Trend Engine projected 4.93-4.90; raw selected-side p=0.6602, calibrated p=0.5533.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mlb-kc</t>
        </is>
      </c>
      <c r="AQ62" s="24" t="inlineStr">
        <is>
          <t>Kansas City Royals</t>
        </is>
      </c>
      <c r="AR62" s="24" t="inlineStr">
        <is>
          <t>Kansas City Royals</t>
        </is>
      </c>
      <c r="AS62" s="24" t="inlineStr">
        <is>
          <t>mlb-col</t>
        </is>
      </c>
      <c r="AT62" s="24" t="inlineStr">
        <is>
          <t>Colorado Rockies</t>
        </is>
      </c>
      <c r="AU62" s="24" t="inlineStr">
        <is>
          <t>Colorado Rockies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2bc2ce55b0d39a20103f724bbddbde5394909acd49297f52665b596a0ae3ae8b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2bc2ce55b0d39a20103f724bbddbde5394909acd49297f52665b596a0ae3ae8b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2026-07-31T23:29:57.351792Z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-147</v>
      </c>
      <c r="BL62" s="27" t="n">
        <v>1.680272</v>
      </c>
      <c r="BM62" s="28" t="n">
        <v>0.5951419999999999</v>
      </c>
      <c r="BN62" s="28" t="n">
        <v>0.59204</v>
      </c>
      <c r="BO62" s="28" t="n"/>
      <c r="BP62" s="25" t="n"/>
      <c r="BQ62" s="27" t="n">
        <v>1.680272</v>
      </c>
      <c r="BR62" s="28" t="n">
        <v>0.595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badc73ee4f424f71</t>
        </is>
      </c>
      <c r="B63" s="24" t="inlineStr">
        <is>
          <t>2026-07-31T23:29:57.351792Z</t>
        </is>
      </c>
      <c r="C63" s="24" t="inlineStr">
        <is>
          <t>2026-08-01T00:40Z</t>
        </is>
      </c>
      <c r="D63" s="24" t="inlineStr">
        <is>
          <t>401816341</t>
        </is>
      </c>
      <c r="E63" s="24" t="inlineStr">
        <is>
          <t>MLB</t>
        </is>
      </c>
      <c r="F63" s="24" t="inlineStr">
        <is>
          <t>Kansas City Royals</t>
        </is>
      </c>
      <c r="G63" s="24" t="inlineStr">
        <is>
          <t>Colorado Rockies</t>
        </is>
      </c>
      <c r="H63" s="24" t="inlineStr">
        <is>
          <t>total</t>
        </is>
      </c>
      <c r="I63" s="24" t="inlineStr">
        <is>
          <t>under</t>
        </is>
      </c>
      <c r="J63" s="25" t="n">
        <v>10.5</v>
      </c>
      <c r="K63" s="24" t="inlineStr">
        <is>
          <t>polymarket_us</t>
        </is>
      </c>
      <c r="L63" s="26" t="n">
        <v>120</v>
      </c>
      <c r="M63" s="27" t="n">
        <v>2.2</v>
      </c>
      <c r="N63" s="28" t="n">
        <v>0.454545</v>
      </c>
      <c r="O63" s="28" t="n">
        <v>0.577777</v>
      </c>
      <c r="P63" s="28" t="n">
        <v>0.042131</v>
      </c>
      <c r="Q63" s="28" t="n">
        <v>0.123232</v>
      </c>
      <c r="R63" s="26" t="n">
        <v>86</v>
      </c>
      <c r="S63" s="29" t="n">
        <v>1.25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3</v>
      </c>
      <c r="Y63" s="25" t="n">
        <v>10.5</v>
      </c>
      <c r="Z63" s="26" t="n">
        <v>120</v>
      </c>
      <c r="AA63" s="28" t="n">
        <v>0.455</v>
      </c>
      <c r="AB63" s="28" t="n">
        <v>0.000455</v>
      </c>
      <c r="AC63" s="30" t="n">
        <v>1.5</v>
      </c>
      <c r="AD63" s="24" t="inlineStr">
        <is>
          <t>2026-08-01T05:33:43.302748Z</t>
        </is>
      </c>
      <c r="AE63" s="31" t="inlineStr">
        <is>
          <t>Measured Edge Totals: Trend Engine projected 4.93-4.90; raw selected-side p=0.5961, calibrated p=0.5778.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mlb-kc</t>
        </is>
      </c>
      <c r="AQ63" s="24" t="inlineStr">
        <is>
          <t>Kansas City Royals</t>
        </is>
      </c>
      <c r="AR63" s="24" t="inlineStr">
        <is>
          <t>Kansas City Royals</t>
        </is>
      </c>
      <c r="AS63" s="24" t="inlineStr">
        <is>
          <t>mlb-col</t>
        </is>
      </c>
      <c r="AT63" s="24" t="inlineStr">
        <is>
          <t>Colorado Rockies</t>
        </is>
      </c>
      <c r="AU63" s="24" t="inlineStr">
        <is>
          <t>Colorado Rockies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cbc2c9bf5a9569a49e1902c816d96556d704cf10819ca3a9e927721685757d0b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cbc2c9bf5a9569a49e1902c816d96556d704cf10819ca3a9e927721685757d0b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2026-07-31T23:29:57.351792Z</t>
        </is>
      </c>
      <c r="BI63" s="24" t="inlineStr">
        <is>
          <t>["same_event","same_team_same_day","same_league_same_day"]</t>
        </is>
      </c>
      <c r="BJ63" s="25" t="n">
        <v>10.5</v>
      </c>
      <c r="BK63" s="26" t="n">
        <v>120</v>
      </c>
      <c r="BL63" s="27" t="n">
        <v>2.2</v>
      </c>
      <c r="BM63" s="28" t="n">
        <v>0.454545</v>
      </c>
      <c r="BN63" s="28" t="n">
        <v>0.452736</v>
      </c>
      <c r="BO63" s="28" t="n"/>
      <c r="BP63" s="25" t="n"/>
      <c r="BQ63" s="27" t="n">
        <v>2.2</v>
      </c>
      <c r="BR63" s="28" t="n">
        <v>0.455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0cd03f9c80a4493d</t>
        </is>
      </c>
      <c r="B64" s="24" t="inlineStr">
        <is>
          <t>2026-07-31T23:29:57.351792Z</t>
        </is>
      </c>
      <c r="C64" s="24" t="inlineStr">
        <is>
          <t>2026-08-01T01:38Z</t>
        </is>
      </c>
      <c r="D64" s="24" t="inlineStr">
        <is>
          <t>401816344</t>
        </is>
      </c>
      <c r="E64" s="24" t="inlineStr">
        <is>
          <t>MLB</t>
        </is>
      </c>
      <c r="F64" s="24" t="inlineStr">
        <is>
          <t>Milwaukee Brewers</t>
        </is>
      </c>
      <c r="G64" s="24" t="inlineStr">
        <is>
          <t>Los Angeles Angels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-102</v>
      </c>
      <c r="M64" s="27" t="n">
        <v>1.980392</v>
      </c>
      <c r="N64" s="28" t="n">
        <v>0.50495</v>
      </c>
      <c r="O64" s="28" t="n">
        <v>0.549557</v>
      </c>
      <c r="P64" s="28" t="n">
        <v>0.042131</v>
      </c>
      <c r="Q64" s="28" t="n">
        <v>0.044607</v>
      </c>
      <c r="R64" s="26" t="n">
        <v>47</v>
      </c>
      <c r="S64" s="29" t="n">
        <v>1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6</v>
      </c>
      <c r="X64" s="26" t="n">
        <v>2</v>
      </c>
      <c r="Y64" s="25" t="n">
        <v>1.5</v>
      </c>
      <c r="Z64" s="26" t="n">
        <v>-102</v>
      </c>
      <c r="AA64" s="28" t="n">
        <v>0.505</v>
      </c>
      <c r="AB64" s="28" t="n">
        <v>5e-05</v>
      </c>
      <c r="AC64" s="30" t="n">
        <v>-1</v>
      </c>
      <c r="AD64" s="24" t="inlineStr">
        <is>
          <t>2026-08-01T05:33:43.643410Z</t>
        </is>
      </c>
      <c r="AE64" s="31" t="inlineStr">
        <is>
          <t>Measured Edge Margin: Trend Engine projected 4.91-4.65; raw selected-side p=0.6410, calibrated p=0.5496.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mlb-mil</t>
        </is>
      </c>
      <c r="AQ64" s="24" t="inlineStr">
        <is>
          <t>Milwaukee Brewers</t>
        </is>
      </c>
      <c r="AR64" s="24" t="inlineStr">
        <is>
          <t>Milwaukee Brewers</t>
        </is>
      </c>
      <c r="AS64" s="24" t="inlineStr">
        <is>
          <t>mlb-laa</t>
        </is>
      </c>
      <c r="AT64" s="24" t="inlineStr">
        <is>
          <t>Los Angeles Angels</t>
        </is>
      </c>
      <c r="AU64" s="24" t="inlineStr">
        <is>
          <t>Los Angeles Angels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2bc2ce55b0d39a20103f724bbddbde5394909acd49297f52665b596a0ae3ae8b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2bc2ce55b0d39a20103f724bbddbde5394909acd49297f52665b596a0ae3ae8b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2026-07-31T23:29:57.351792Z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-102</v>
      </c>
      <c r="BL64" s="27" t="n">
        <v>1.980392</v>
      </c>
      <c r="BM64" s="28" t="n">
        <v>0.50495</v>
      </c>
      <c r="BN64" s="28" t="n">
        <v>0.502488</v>
      </c>
      <c r="BO64" s="28" t="n"/>
      <c r="BP64" s="25" t="n"/>
      <c r="BQ64" s="27" t="n">
        <v>1.980392</v>
      </c>
      <c r="BR64" s="28" t="n">
        <v>0.505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c6610733e3444d69</t>
        </is>
      </c>
      <c r="B65" s="24" t="inlineStr">
        <is>
          <t>2026-07-31T23:29:57.351792Z</t>
        </is>
      </c>
      <c r="C65" s="24" t="inlineStr">
        <is>
          <t>2026-08-01T01:38Z</t>
        </is>
      </c>
      <c r="D65" s="24" t="inlineStr">
        <is>
          <t>401816344</t>
        </is>
      </c>
      <c r="E65" s="24" t="inlineStr">
        <is>
          <t>MLB</t>
        </is>
      </c>
      <c r="F65" s="24" t="inlineStr">
        <is>
          <t>Milwaukee Brewers</t>
        </is>
      </c>
      <c r="G65" s="24" t="inlineStr">
        <is>
          <t>Los Angeles Angels</t>
        </is>
      </c>
      <c r="H65" s="24" t="inlineStr">
        <is>
          <t>total</t>
        </is>
      </c>
      <c r="I65" s="24" t="inlineStr">
        <is>
          <t>over</t>
        </is>
      </c>
      <c r="J65" s="25" t="n">
        <v>8.5</v>
      </c>
      <c r="K65" s="24" t="inlineStr">
        <is>
          <t>polymarket_us</t>
        </is>
      </c>
      <c r="L65" s="26" t="n">
        <v>-120</v>
      </c>
      <c r="M65" s="27" t="n">
        <v>1.833333</v>
      </c>
      <c r="N65" s="28" t="n">
        <v>0.545455</v>
      </c>
      <c r="O65" s="28" t="n">
        <v>0.543969</v>
      </c>
      <c r="P65" s="28" t="n">
        <v>0.042131</v>
      </c>
      <c r="Q65" s="28" t="n">
        <v>-0.001486</v>
      </c>
      <c r="R65" s="26" t="n">
        <v>24</v>
      </c>
      <c r="S65" s="29" t="n">
        <v>1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loss</t>
        </is>
      </c>
      <c r="W65" s="26" t="n">
        <v>6</v>
      </c>
      <c r="X65" s="26" t="n">
        <v>2</v>
      </c>
      <c r="Y65" s="25" t="n">
        <v>8.5</v>
      </c>
      <c r="Z65" s="26" t="n">
        <v>-120</v>
      </c>
      <c r="AA65" s="28" t="n">
        <v>0.545</v>
      </c>
      <c r="AB65" s="28" t="n">
        <v>-0.000455</v>
      </c>
      <c r="AC65" s="30" t="n">
        <v>-1</v>
      </c>
      <c r="AD65" s="24" t="inlineStr">
        <is>
          <t>2026-08-01T05:33:43.942073Z</t>
        </is>
      </c>
      <c r="AE65" s="31" t="inlineStr">
        <is>
          <t>Measured Edge Totals: Trend Engine projected 4.91-4.65; raw selected-side p=0.5613, calibrated p=0.5440.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mlb-mil</t>
        </is>
      </c>
      <c r="AQ65" s="24" t="inlineStr">
        <is>
          <t>Milwaukee Brewers</t>
        </is>
      </c>
      <c r="AR65" s="24" t="inlineStr">
        <is>
          <t>Milwaukee Brewers</t>
        </is>
      </c>
      <c r="AS65" s="24" t="inlineStr">
        <is>
          <t>mlb-laa</t>
        </is>
      </c>
      <c r="AT65" s="24" t="inlineStr">
        <is>
          <t>Los Angeles Angels</t>
        </is>
      </c>
      <c r="AU65" s="24" t="inlineStr">
        <is>
          <t>Los Angeles Angels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cbc2c9bf5a9569a49e1902c816d96556d704cf10819ca3a9e927721685757d0b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cbc2c9bf5a9569a49e1902c816d96556d704cf10819ca3a9e927721685757d0b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2026-07-31T23:29:57.351792Z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-120</v>
      </c>
      <c r="BL65" s="27" t="n">
        <v>1.833333</v>
      </c>
      <c r="BM65" s="28" t="n">
        <v>0.545455</v>
      </c>
      <c r="BN65" s="28" t="n">
        <v>0.542289</v>
      </c>
      <c r="BO65" s="28" t="n"/>
      <c r="BP65" s="25" t="n"/>
      <c r="BQ65" s="27" t="n">
        <v>1.833333</v>
      </c>
      <c r="BR65" s="28" t="n">
        <v>0.545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1daf7c1b3a3f48da</t>
        </is>
      </c>
      <c r="B66" s="24" t="inlineStr">
        <is>
          <t>2026-07-31T23:29:57.351792Z</t>
        </is>
      </c>
      <c r="C66" s="24" t="inlineStr">
        <is>
          <t>2026-08-01T01:40Z</t>
        </is>
      </c>
      <c r="D66" s="24" t="inlineStr">
        <is>
          <t>401816343</t>
        </is>
      </c>
      <c r="E66" s="24" t="inlineStr">
        <is>
          <t>MLB</t>
        </is>
      </c>
      <c r="F66" s="24" t="inlineStr">
        <is>
          <t>Detroit Tigers</t>
        </is>
      </c>
      <c r="G66" s="24" t="inlineStr">
        <is>
          <t>Athletics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-117</v>
      </c>
      <c r="M66" s="27" t="n">
        <v>1.854701</v>
      </c>
      <c r="N66" s="28" t="n">
        <v>0.539171</v>
      </c>
      <c r="O66" s="28" t="n">
        <v>0.541755</v>
      </c>
      <c r="P66" s="28" t="n">
        <v>0.042131</v>
      </c>
      <c r="Q66" s="28" t="n">
        <v>0.002584</v>
      </c>
      <c r="R66" s="26" t="n">
        <v>26</v>
      </c>
      <c r="S66" s="29" t="n">
        <v>1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13</v>
      </c>
      <c r="X66" s="26" t="n">
        <v>1</v>
      </c>
      <c r="Y66" s="25" t="n">
        <v>1.5</v>
      </c>
      <c r="Z66" s="26" t="n">
        <v>-117</v>
      </c>
      <c r="AA66" s="28" t="n">
        <v>0.54</v>
      </c>
      <c r="AB66" s="28" t="n">
        <v>0.000829</v>
      </c>
      <c r="AC66" s="30" t="n">
        <v>-1</v>
      </c>
      <c r="AD66" s="24" t="inlineStr">
        <is>
          <t>2026-08-01T05:33:44.245370Z</t>
        </is>
      </c>
      <c r="AE66" s="31" t="inlineStr">
        <is>
          <t>Measured Edge Margin: Trend Engine projected 5.24-4.63; raw selected-side p=0.6013, calibrated p=0.5418.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mlb-det</t>
        </is>
      </c>
      <c r="AQ66" s="24" t="inlineStr">
        <is>
          <t>Detroit Tigers</t>
        </is>
      </c>
      <c r="AR66" s="24" t="inlineStr">
        <is>
          <t>Detroit Tigers</t>
        </is>
      </c>
      <c r="AS66" s="24" t="inlineStr">
        <is>
          <t>mlb-ath</t>
        </is>
      </c>
      <c r="AT66" s="24" t="inlineStr">
        <is>
          <t>Athletics</t>
        </is>
      </c>
      <c r="AU66" s="24" t="inlineStr">
        <is>
          <t>Athletics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2bc2ce55b0d39a20103f724bbddbde5394909acd49297f52665b596a0ae3ae8b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2bc2ce55b0d39a20103f724bbddbde5394909acd49297f52665b596a0ae3ae8b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2026-07-31T23:29:57.351792Z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-117</v>
      </c>
      <c r="BL66" s="27" t="n">
        <v>1.854701</v>
      </c>
      <c r="BM66" s="28" t="n">
        <v>0.539171</v>
      </c>
      <c r="BN66" s="28" t="n">
        <v>0.537313</v>
      </c>
      <c r="BO66" s="28" t="n"/>
      <c r="BP66" s="25" t="n"/>
      <c r="BQ66" s="27" t="n">
        <v>1.854701</v>
      </c>
      <c r="BR66" s="28" t="n">
        <v>0.54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749fd1bc98e145c0</t>
        </is>
      </c>
      <c r="B67" s="24" t="inlineStr">
        <is>
          <t>2026-07-31T23:29:57.351792Z</t>
        </is>
      </c>
      <c r="C67" s="24" t="inlineStr">
        <is>
          <t>2026-08-01T01:40Z</t>
        </is>
      </c>
      <c r="D67" s="24" t="inlineStr">
        <is>
          <t>401816343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total</t>
        </is>
      </c>
      <c r="I67" s="24" t="inlineStr">
        <is>
          <t>under</t>
        </is>
      </c>
      <c r="J67" s="25" t="n">
        <v>10.5</v>
      </c>
      <c r="K67" s="24" t="inlineStr">
        <is>
          <t>polymarket_us</t>
        </is>
      </c>
      <c r="L67" s="26" t="n">
        <v>115</v>
      </c>
      <c r="M67" s="27" t="n">
        <v>2.15</v>
      </c>
      <c r="N67" s="28" t="n">
        <v>0.465116</v>
      </c>
      <c r="O67" s="28" t="n">
        <v>0.575933</v>
      </c>
      <c r="P67" s="28" t="n">
        <v>0.042131</v>
      </c>
      <c r="Q67" s="28" t="n">
        <v>0.110817</v>
      </c>
      <c r="R67" s="26" t="n">
        <v>80</v>
      </c>
      <c r="S67" s="29" t="n">
        <v>1.25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13</v>
      </c>
      <c r="X67" s="26" t="n">
        <v>1</v>
      </c>
      <c r="Y67" s="25" t="n">
        <v>10.5</v>
      </c>
      <c r="Z67" s="26" t="n">
        <v>115</v>
      </c>
      <c r="AA67" s="28" t="n">
        <v>0.465</v>
      </c>
      <c r="AB67" s="28" t="n">
        <v>-0.000116</v>
      </c>
      <c r="AC67" s="30" t="n">
        <v>-1.25</v>
      </c>
      <c r="AD67" s="24" t="inlineStr">
        <is>
          <t>2026-08-01T05:33:44.546852Z</t>
        </is>
      </c>
      <c r="AE67" s="31" t="inlineStr">
        <is>
          <t>Measured Edge Totals: Trend Engine projected 5.24-4.63; raw selected-side p=0.5942, calibrated p=0.5759.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cbc2c9bf5a9569a49e1902c816d96556d704cf10819ca3a9e927721685757d0b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cbc2c9bf5a9569a49e1902c816d96556d704cf10819ca3a9e927721685757d0b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2026-07-31T23:29:57.351792Z</t>
        </is>
      </c>
      <c r="BI67" s="24" t="inlineStr">
        <is>
          <t>["same_event","same_team_same_day","same_league_same_day"]</t>
        </is>
      </c>
      <c r="BJ67" s="25" t="n">
        <v>10.5</v>
      </c>
      <c r="BK67" s="26" t="n">
        <v>115</v>
      </c>
      <c r="BL67" s="27" t="n">
        <v>2.15</v>
      </c>
      <c r="BM67" s="28" t="n">
        <v>0.465116</v>
      </c>
      <c r="BN67" s="28" t="n">
        <v>0.462687</v>
      </c>
      <c r="BO67" s="28" t="n"/>
      <c r="BP67" s="25" t="n"/>
      <c r="BQ67" s="27" t="n">
        <v>2.15</v>
      </c>
      <c r="BR67" s="28" t="n">
        <v>0.465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85aff6219f50457d</t>
        </is>
      </c>
      <c r="B68" s="24" t="inlineStr">
        <is>
          <t>2026-07-31T23:29:57.351792Z</t>
        </is>
      </c>
      <c r="C68" s="24" t="inlineStr">
        <is>
          <t>2026-08-01T01:45Z</t>
        </is>
      </c>
      <c r="D68" s="24" t="inlineStr">
        <is>
          <t>401816346</t>
        </is>
      </c>
      <c r="E68" s="24" t="inlineStr">
        <is>
          <t>MLB</t>
        </is>
      </c>
      <c r="F68" s="24" t="inlineStr">
        <is>
          <t>San Francisco Giants</t>
        </is>
      </c>
      <c r="G68" s="24" t="inlineStr">
        <is>
          <t>San Diego Padres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-153</v>
      </c>
      <c r="M68" s="27" t="n">
        <v>1.653595</v>
      </c>
      <c r="N68" s="28" t="n">
        <v>0.604743</v>
      </c>
      <c r="O68" s="28" t="n">
        <v>0.547277</v>
      </c>
      <c r="P68" s="28" t="n">
        <v>0.05172</v>
      </c>
      <c r="Q68" s="28" t="n">
        <v>-0.057466</v>
      </c>
      <c r="R68" s="26" t="n">
        <v>0</v>
      </c>
      <c r="S68" s="29" t="n">
        <v>1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7</v>
      </c>
      <c r="Y68" s="25" t="n">
        <v>1.5</v>
      </c>
      <c r="Z68" s="26" t="n">
        <v>-153</v>
      </c>
      <c r="AA68" s="28" t="n">
        <v>0.605</v>
      </c>
      <c r="AB68" s="28" t="n">
        <v>0.000257</v>
      </c>
      <c r="AC68" s="30" t="n">
        <v>-1</v>
      </c>
      <c r="AD68" s="24" t="inlineStr">
        <is>
          <t>2026-08-01T05:33:44.866682Z</t>
        </is>
      </c>
      <c r="AE68" s="31" t="inlineStr">
        <is>
          <t>Measured Edge Margin: Trend Engine projected 4.29-4.73; raw selected-side p=0.6294, calibrated p=0.5473.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mlb-sf</t>
        </is>
      </c>
      <c r="AQ68" s="24" t="inlineStr">
        <is>
          <t>San Francisco Giants</t>
        </is>
      </c>
      <c r="AR68" s="24" t="inlineStr">
        <is>
          <t>San Francisco Giants</t>
        </is>
      </c>
      <c r="AS68" s="24" t="inlineStr">
        <is>
          <t>mlb-sd</t>
        </is>
      </c>
      <c r="AT68" s="24" t="inlineStr">
        <is>
          <t>San Diego Padres</t>
        </is>
      </c>
      <c r="AU68" s="24" t="inlineStr">
        <is>
          <t>San Diego Padres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2bc2ce55b0d39a20103f724bbddbde5394909acd49297f52665b596a0ae3ae8b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2bc2ce55b0d39a20103f724bbddbde5394909acd49297f52665b596a0ae3ae8b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2026-07-31T23:29:57.351792Z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-153</v>
      </c>
      <c r="BL68" s="27" t="n">
        <v>1.653595</v>
      </c>
      <c r="BM68" s="28" t="n">
        <v>0.604743</v>
      </c>
      <c r="BN68" s="28" t="n">
        <v>0.60199</v>
      </c>
      <c r="BO68" s="28" t="n"/>
      <c r="BP68" s="25" t="n"/>
      <c r="BQ68" s="27" t="n">
        <v>1.653595</v>
      </c>
      <c r="BR68" s="28" t="n">
        <v>0.605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8f72c0641b3f438a</t>
        </is>
      </c>
      <c r="B69" s="24" t="inlineStr">
        <is>
          <t>2026-07-31T23:29:57.351792Z</t>
        </is>
      </c>
      <c r="C69" s="24" t="inlineStr">
        <is>
          <t>2026-08-01T01:45Z</t>
        </is>
      </c>
      <c r="D69" s="24" t="inlineStr">
        <is>
          <t>401816346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total</t>
        </is>
      </c>
      <c r="I69" s="24" t="inlineStr">
        <is>
          <t>over</t>
        </is>
      </c>
      <c r="J69" s="25" t="n">
        <v>8.5</v>
      </c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0.50565</v>
      </c>
      <c r="P69" s="28" t="n">
        <v>0.05172</v>
      </c>
      <c r="Q69" s="28" t="n">
        <v>-0.004154</v>
      </c>
      <c r="R69" s="26" t="n">
        <v>17</v>
      </c>
      <c r="S69" s="29" t="n">
        <v>1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7</v>
      </c>
      <c r="Y69" s="25" t="n">
        <v>8.5</v>
      </c>
      <c r="Z69" s="26" t="n">
        <v>-104</v>
      </c>
      <c r="AA69" s="28" t="n">
        <v>0.51</v>
      </c>
      <c r="AB69" s="28" t="n">
        <v>0.000196</v>
      </c>
      <c r="AC69" s="30" t="n">
        <v>-1</v>
      </c>
      <c r="AD69" s="24" t="inlineStr">
        <is>
          <t>2026-08-01T05:33:45.178918Z</t>
        </is>
      </c>
      <c r="AE69" s="31" t="inlineStr">
        <is>
          <t>Measured Edge Totals: Trend Engine projected 4.29-4.73; raw selected-side p=0.5218, calibrated p=0.5056.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cbc2c9bf5a9569a49e1902c816d96556d704cf10819ca3a9e927721685757d0b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cbc2c9bf5a9569a49e1902c816d96556d704cf10819ca3a9e927721685757d0b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2026-07-31T23:29:57.351792Z</t>
        </is>
      </c>
      <c r="BI69" s="24" t="inlineStr">
        <is>
          <t>["same_event","same_team_same_day","same_league_same_day"]</t>
        </is>
      </c>
      <c r="BJ69" s="25" t="n">
        <v>8.5</v>
      </c>
      <c r="BK69" s="26" t="n">
        <v>-104</v>
      </c>
      <c r="BL69" s="27" t="n">
        <v>1.961538</v>
      </c>
      <c r="BM69" s="28" t="n">
        <v>0.509804</v>
      </c>
      <c r="BN69" s="28" t="n">
        <v>0.507463</v>
      </c>
      <c r="BO69" s="28" t="n"/>
      <c r="BP69" s="25" t="n"/>
      <c r="BQ69" s="27" t="n">
        <v>1.961538</v>
      </c>
      <c r="BR69" s="28" t="n">
        <v>0.51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332900b6d965481d</t>
        </is>
      </c>
      <c r="B70" s="24" t="inlineStr">
        <is>
          <t>2026-07-31T23:29:57.351792Z</t>
        </is>
      </c>
      <c r="C70" s="24" t="inlineStr">
        <is>
          <t>2026-08-01T02:10Z</t>
        </is>
      </c>
      <c r="D70" s="24" t="inlineStr">
        <is>
          <t>401816342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-178</v>
      </c>
      <c r="M70" s="27" t="n">
        <v>1.561798</v>
      </c>
      <c r="N70" s="28" t="n">
        <v>0.640288</v>
      </c>
      <c r="O70" s="28" t="n">
        <v>0.555903</v>
      </c>
      <c r="P70" s="28" t="n">
        <v>0.042131</v>
      </c>
      <c r="Q70" s="28" t="n">
        <v>-0.084385</v>
      </c>
      <c r="R70" s="26" t="n">
        <v>0</v>
      </c>
      <c r="S70" s="29" t="n">
        <v>1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9</v>
      </c>
      <c r="X70" s="26" t="n">
        <v>4</v>
      </c>
      <c r="Y70" s="25" t="n">
        <v>1.5</v>
      </c>
      <c r="Z70" s="26" t="n">
        <v>-178</v>
      </c>
      <c r="AA70" s="28" t="n">
        <v>0.64</v>
      </c>
      <c r="AB70" s="28" t="n">
        <v>-0.000288</v>
      </c>
      <c r="AC70" s="30" t="n">
        <v>0.5618</v>
      </c>
      <c r="AD70" s="24" t="inlineStr">
        <is>
          <t>2026-08-01T05:33:45.473501Z</t>
        </is>
      </c>
      <c r="AE70" s="31" t="inlineStr">
        <is>
          <t>Measured Edge Margin: Trend Engine projected 4.51-4.43; raw selected-side p=0.6733, calibrated p=0.5559.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2bc2ce55b0d39a20103f724bbddbde5394909acd49297f52665b596a0ae3ae8b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2bc2ce55b0d39a20103f724bbddbde5394909acd49297f52665b596a0ae3ae8b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2026-07-31T23:29:57.351792Z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-178</v>
      </c>
      <c r="BL70" s="27" t="n">
        <v>1.561798</v>
      </c>
      <c r="BM70" s="28" t="n">
        <v>0.640288</v>
      </c>
      <c r="BN70" s="28" t="n">
        <v>0.636816</v>
      </c>
      <c r="BO70" s="28" t="n"/>
      <c r="BP70" s="25" t="n"/>
      <c r="BQ70" s="27" t="n">
        <v>1.561798</v>
      </c>
      <c r="BR70" s="28" t="n">
        <v>0.64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7c1539ed2e204ea4</t>
        </is>
      </c>
      <c r="B71" s="24" t="inlineStr">
        <is>
          <t>2026-07-31T23:29:57.351792Z</t>
        </is>
      </c>
      <c r="C71" s="24" t="inlineStr">
        <is>
          <t>2026-08-01T02:10Z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total</t>
        </is>
      </c>
      <c r="I71" s="24" t="inlineStr">
        <is>
          <t>over</t>
        </is>
      </c>
      <c r="J71" s="25" t="n">
        <v>8.5</v>
      </c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0.492456</v>
      </c>
      <c r="P71" s="28" t="n">
        <v>0.042131</v>
      </c>
      <c r="Q71" s="28" t="n">
        <v>0.022972</v>
      </c>
      <c r="R71" s="26" t="n">
        <v>36</v>
      </c>
      <c r="S71" s="29" t="n">
        <v>1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9</v>
      </c>
      <c r="X71" s="26" t="n">
        <v>4</v>
      </c>
      <c r="Y71" s="25" t="n">
        <v>8.5</v>
      </c>
      <c r="Z71" s="26" t="n">
        <v>113</v>
      </c>
      <c r="AA71" s="28" t="n">
        <v>0.47</v>
      </c>
      <c r="AB71" s="28" t="n">
        <v>0.000516</v>
      </c>
      <c r="AC71" s="30" t="n">
        <v>1.13</v>
      </c>
      <c r="AD71" s="24" t="inlineStr">
        <is>
          <t>2026-08-01T05:33:45.765690Z</t>
        </is>
      </c>
      <c r="AE71" s="31" t="inlineStr">
        <is>
          <t>Measured Edge Totals: Trend Engine projected 4.51-4.43; raw selected-side p=0.5081, calibrated p=0.4925.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cbc2c9bf5a9569a49e1902c816d96556d704cf10819ca3a9e927721685757d0b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cbc2c9bf5a9569a49e1902c816d96556d704cf10819ca3a9e927721685757d0b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2026-07-31T23:29:57.351792Z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113</v>
      </c>
      <c r="BL71" s="27" t="n">
        <v>2.13</v>
      </c>
      <c r="BM71" s="28" t="n">
        <v>0.469484</v>
      </c>
      <c r="BN71" s="28" t="n">
        <v>0.467662</v>
      </c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1f026f8edb744cf0</t>
        </is>
      </c>
      <c r="B72" s="24" t="inlineStr">
        <is>
          <t>2026-07-31T23:29:57.351792Z</t>
        </is>
      </c>
      <c r="C72" s="24" t="inlineStr">
        <is>
          <t>2026-08-01T02:10Z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spread</t>
        </is>
      </c>
      <c r="I72" s="24" t="inlineStr">
        <is>
          <t>away</t>
        </is>
      </c>
      <c r="J72" s="25" t="n">
        <v>1.5</v>
      </c>
      <c r="K72" s="24" t="inlineStr">
        <is>
          <t>polymarket_us</t>
        </is>
      </c>
      <c r="L72" s="26" t="n">
        <v>-138</v>
      </c>
      <c r="M72" s="27" t="n">
        <v>1.724638</v>
      </c>
      <c r="N72" s="28" t="n">
        <v>0.579832</v>
      </c>
      <c r="O72" s="28" t="n">
        <v>0.54319</v>
      </c>
      <c r="P72" s="28" t="n">
        <v>0.042131</v>
      </c>
      <c r="Q72" s="28" t="n">
        <v>-0.036642</v>
      </c>
      <c r="R72" s="26" t="n">
        <v>6</v>
      </c>
      <c r="S72" s="29" t="n">
        <v>1</v>
      </c>
      <c r="T72" s="24" t="inlineStr">
        <is>
          <t>measured-edge-margin-v1</t>
        </is>
      </c>
      <c r="U72" s="24" t="inlineStr">
        <is>
          <t>settled</t>
        </is>
      </c>
      <c r="V72" s="24" t="inlineStr">
        <is>
          <t>win</t>
        </is>
      </c>
      <c r="W72" s="26" t="n">
        <v>5</v>
      </c>
      <c r="X72" s="26" t="n">
        <v>3</v>
      </c>
      <c r="Y72" s="25" t="n">
        <v>1.5</v>
      </c>
      <c r="Z72" s="26" t="n">
        <v>-138</v>
      </c>
      <c r="AA72" s="28" t="n">
        <v>0.58</v>
      </c>
      <c r="AB72" s="28" t="n">
        <v>0.000168</v>
      </c>
      <c r="AC72" s="30" t="n">
        <v>0.7246</v>
      </c>
      <c r="AD72" s="24" t="inlineStr">
        <is>
          <t>2026-08-01T05:33:46.062823Z</t>
        </is>
      </c>
      <c r="AE72" s="31" t="inlineStr">
        <is>
          <t>Measured Edge Margin: Trend Engine projected 4.36-4.92; raw selected-side p=0.6086, calibrated p=0.5432.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2bc2ce55b0d39a20103f724bbddbde5394909acd49297f52665b596a0ae3ae8b</t>
        </is>
      </c>
      <c r="BB72" s="24" t="inlineStr">
        <is>
          <t>flat_probability_shrinkage_toward_half</t>
        </is>
      </c>
      <c r="BC72" s="24" t="inlineStr">
        <is>
          <t>measured-edge-margin-v1</t>
        </is>
      </c>
      <c r="BD72" s="24" t="inlineStr">
        <is>
          <t>2bc2ce55b0d39a20103f724bbddbde5394909acd49297f52665b596a0ae3ae8b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2026-07-31T23:29:57.351792Z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-138</v>
      </c>
      <c r="BL72" s="27" t="n">
        <v>1.724638</v>
      </c>
      <c r="BM72" s="28" t="n">
        <v>0.579832</v>
      </c>
      <c r="BN72" s="28" t="n">
        <v>0.577114</v>
      </c>
      <c r="BO72" s="28" t="n"/>
      <c r="BP72" s="25" t="n"/>
      <c r="BQ72" s="27" t="n">
        <v>1.724638</v>
      </c>
      <c r="BR72" s="28" t="n">
        <v>0.58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fdb8dae6fb2c4054</t>
        </is>
      </c>
      <c r="B73" s="24" t="inlineStr">
        <is>
          <t>2026-07-31T23:29:57.351792Z</t>
        </is>
      </c>
      <c r="C73" s="24" t="inlineStr">
        <is>
          <t>2026-08-01T02:10Z</t>
        </is>
      </c>
      <c r="D73" s="24" t="inlineStr">
        <is>
          <t>401816345</t>
        </is>
      </c>
      <c r="E73" s="24" t="inlineStr">
        <is>
          <t>MLB</t>
        </is>
      </c>
      <c r="F73" s="24" t="inlineStr">
        <is>
          <t>Minnesota Twins</t>
        </is>
      </c>
      <c r="G73" s="24" t="inlineStr">
        <is>
          <t>Seattle Mariners</t>
        </is>
      </c>
      <c r="H73" s="24" t="inlineStr">
        <is>
          <t>total</t>
        </is>
      </c>
      <c r="I73" s="24" t="inlineStr">
        <is>
          <t>over</t>
        </is>
      </c>
      <c r="J73" s="25" t="n">
        <v>7.5</v>
      </c>
      <c r="K73" s="24" t="inlineStr">
        <is>
          <t>polymarket_us</t>
        </is>
      </c>
      <c r="L73" s="26" t="n">
        <v>-106</v>
      </c>
      <c r="M73" s="27" t="n">
        <v>1.943396</v>
      </c>
      <c r="N73" s="28" t="n">
        <v>0.514563</v>
      </c>
      <c r="O73" s="28" t="n">
        <v>0.588884</v>
      </c>
      <c r="P73" s="28" t="n">
        <v>0.042131</v>
      </c>
      <c r="Q73" s="28" t="n">
        <v>0.074321</v>
      </c>
      <c r="R73" s="26" t="n">
        <v>62</v>
      </c>
      <c r="S73" s="29" t="n">
        <v>1.25</v>
      </c>
      <c r="T73" s="24" t="inlineStr">
        <is>
          <t>measured-edge-totals-v1</t>
        </is>
      </c>
      <c r="U73" s="24" t="inlineStr">
        <is>
          <t>settled</t>
        </is>
      </c>
      <c r="V73" s="24" t="inlineStr">
        <is>
          <t>win</t>
        </is>
      </c>
      <c r="W73" s="26" t="n">
        <v>5</v>
      </c>
      <c r="X73" s="26" t="n">
        <v>3</v>
      </c>
      <c r="Y73" s="25" t="n">
        <v>7.5</v>
      </c>
      <c r="Z73" s="26" t="n">
        <v>-106</v>
      </c>
      <c r="AA73" s="28" t="n">
        <v>0.515</v>
      </c>
      <c r="AB73" s="28" t="n">
        <v>0.000437</v>
      </c>
      <c r="AC73" s="30" t="n">
        <v>1.1792</v>
      </c>
      <c r="AD73" s="24" t="inlineStr">
        <is>
          <t>2026-08-01T05:33:46.404912Z</t>
        </is>
      </c>
      <c r="AE73" s="31" t="inlineStr">
        <is>
          <t>Measured Edge Totals: Trend Engine projected 4.36-4.92; raw selected-side p=0.6076, calibrated p=0.5889.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mlb-min</t>
        </is>
      </c>
      <c r="AQ73" s="24" t="inlineStr">
        <is>
          <t>Minnesota Twins</t>
        </is>
      </c>
      <c r="AR73" s="24" t="inlineStr">
        <is>
          <t>Minnesota Twins</t>
        </is>
      </c>
      <c r="AS73" s="24" t="inlineStr">
        <is>
          <t>mlb-sea</t>
        </is>
      </c>
      <c r="AT73" s="24" t="inlineStr">
        <is>
          <t>Seattle Mariners</t>
        </is>
      </c>
      <c r="AU73" s="24" t="inlineStr">
        <is>
          <t>Seattle Mariners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cbc2c9bf5a9569a49e1902c816d96556d704cf10819ca3a9e927721685757d0b</t>
        </is>
      </c>
      <c r="BB73" s="24" t="inlineStr">
        <is>
          <t>flat_probability_shrinkage_toward_half</t>
        </is>
      </c>
      <c r="BC73" s="24" t="inlineStr">
        <is>
          <t>measured-edge-totals-v1</t>
        </is>
      </c>
      <c r="BD73" s="24" t="inlineStr">
        <is>
          <t>cbc2c9bf5a9569a49e1902c816d96556d704cf10819ca3a9e927721685757d0b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7.5</v>
      </c>
      <c r="BK73" s="26" t="n">
        <v>-106</v>
      </c>
      <c r="BL73" s="27" t="n">
        <v>1.943396</v>
      </c>
      <c r="BM73" s="28" t="n">
        <v>0.514563</v>
      </c>
      <c r="BN73" s="28" t="n">
        <v>0.5124379999999999</v>
      </c>
      <c r="BO73" s="28" t="n"/>
      <c r="BP73" s="25" t="n"/>
      <c r="BQ73" s="27" t="n">
        <v>1.943396</v>
      </c>
      <c r="BR73" s="28" t="n">
        <v>0.515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090523d0258d47a7</t>
        </is>
      </c>
      <c r="B74" s="24" t="inlineStr">
        <is>
          <t>2026-08-01T18:37:44.379324Z</t>
        </is>
      </c>
      <c r="C74" s="24" t="inlineStr">
        <is>
          <t>2026-08-01T15:07:00-0400</t>
        </is>
      </c>
      <c r="D74" s="24" t="inlineStr">
        <is>
          <t>401816352</t>
        </is>
      </c>
      <c r="E74" s="24" t="inlineStr">
        <is>
          <t>MLB</t>
        </is>
      </c>
      <c r="F74" s="24" t="inlineStr">
        <is>
          <t>St. Louis Cardinals</t>
        </is>
      </c>
      <c r="G74" s="24" t="inlineStr">
        <is>
          <t>Toronto Blue Jays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-153</v>
      </c>
      <c r="M74" s="27" t="n">
        <v>1.653595</v>
      </c>
      <c r="N74" s="28" t="n">
        <v>0.604743</v>
      </c>
      <c r="O74" s="28" t="n">
        <v>0.5354640000000001</v>
      </c>
      <c r="P74" s="28" t="n"/>
      <c r="Q74" s="28" t="n">
        <v>-0.06927899999999999</v>
      </c>
      <c r="R74" s="26" t="n">
        <v>0</v>
      </c>
      <c r="S74" s="29" t="n">
        <v>1</v>
      </c>
      <c r="T74" s="24" t="inlineStr">
        <is>
          <t>mlb-elo-trend-lr-v7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5</v>
      </c>
      <c r="Y74" s="25" t="n"/>
      <c r="Z74" s="26" t="n">
        <v>-153</v>
      </c>
      <c r="AA74" s="28" t="n">
        <v>0.605</v>
      </c>
      <c r="AB74" s="28" t="n">
        <v>0.000257</v>
      </c>
      <c r="AC74" s="30" t="n">
        <v>0.6536</v>
      </c>
      <c r="AD74" s="24" t="inlineStr">
        <is>
          <t>2026-08-01T23:50:52.446031Z</t>
        </is>
      </c>
      <c r="AE74" s="31" t="inlineStr">
        <is>
          <t>Learned LR call at threshold 0.6242; executable ask 0.6050 (aec-mlb-stl-tor-2026-08-01); model edge vs ask -0.0695.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mlb-stl</t>
        </is>
      </c>
      <c r="AQ74" s="24" t="inlineStr">
        <is>
          <t>St. Louis Cardinals</t>
        </is>
      </c>
      <c r="AR74" s="24" t="inlineStr">
        <is>
          <t>St. Louis Cardinals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464eef695bfbbdaa819ec6f5e4c5bd1068ed20b92915fb2677220ae91e20d8b6</t>
        </is>
      </c>
      <c r="BB74" s="24" t="inlineStr">
        <is>
          <t>learned_lr</t>
        </is>
      </c>
      <c r="BC74" s="24" t="inlineStr">
        <is>
          <t>mlb-elo-trend-lr-v7</t>
        </is>
      </c>
      <c r="BD74" s="24" t="inlineStr">
        <is>
          <t>464eef695bfbbdaa819ec6f5e4c5bd1068ed20b92915fb2677220ae91e20d8b6</t>
        </is>
      </c>
      <c r="BE74" s="24" t="inlineStr">
        <is>
          <t>a0f0dfbb182ff37a</t>
        </is>
      </c>
      <c r="BF74" s="24" t="inlineStr">
        <is>
          <t>1</t>
        </is>
      </c>
      <c r="BG74" s="24" t="inlineStr">
        <is>
          <t>mlb-elo-trend-lr-v7</t>
        </is>
      </c>
      <c r="BH74" s="24" t="inlineStr">
        <is>
          <t>2026-08-01T18:36:19.970556Z</t>
        </is>
      </c>
      <c r="BI74" s="24" t="inlineStr">
        <is>
          <t>["same_event","same_team_same_day","same_league_same_day"]</t>
        </is>
      </c>
      <c r="BJ74" s="25" t="n"/>
      <c r="BK74" s="26" t="n">
        <v>-153</v>
      </c>
      <c r="BL74" s="27" t="n">
        <v>1.653595</v>
      </c>
      <c r="BM74" s="28" t="n">
        <v>0.604743</v>
      </c>
      <c r="BN74" s="28" t="n">
        <v>0.60199</v>
      </c>
      <c r="BO74" s="28" t="n"/>
      <c r="BP74" s="25" t="n"/>
      <c r="BQ74" s="27" t="n">
        <v>1.653595</v>
      </c>
      <c r="BR74" s="28" t="n">
        <v>0.605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0.5579214953</t>
        </is>
      </c>
      <c r="CD74" s="24" t="inlineStr">
        <is>
          <t>0.999429</t>
        </is>
      </c>
      <c r="CE74" s="24" t="inlineStr">
        <is>
          <t>1.019</t>
        </is>
      </c>
      <c r="CF74" s="24" t="inlineStr">
        <is>
          <t>1</t>
        </is>
      </c>
      <c r="CG74" s="24" t="inlineStr">
        <is>
          <t>-1.4</t>
        </is>
      </c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4b1679abe3c34170</t>
        </is>
      </c>
      <c r="B75" s="24" t="inlineStr">
        <is>
          <t>2026-08-01T18:37:44.379324Z</t>
        </is>
      </c>
      <c r="C75" s="24" t="inlineStr">
        <is>
          <t>2026-08-01T16:10:00-0400</t>
        </is>
      </c>
      <c r="D75" s="24" t="inlineStr">
        <is>
          <t>401816348</t>
        </is>
      </c>
      <c r="E75" s="24" t="inlineStr">
        <is>
          <t>MLB</t>
        </is>
      </c>
      <c r="F75" s="24" t="inlineStr">
        <is>
          <t>Chicago White Sox</t>
        </is>
      </c>
      <c r="G75" s="24" t="inlineStr">
        <is>
          <t>Tampa Bay Rays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-156</v>
      </c>
      <c r="M75" s="27" t="n">
        <v>1.641026</v>
      </c>
      <c r="N75" s="28" t="n">
        <v>0.609375</v>
      </c>
      <c r="O75" s="28" t="n">
        <v>0.558419</v>
      </c>
      <c r="P75" s="28" t="n"/>
      <c r="Q75" s="28" t="n">
        <v>-0.050956</v>
      </c>
      <c r="R75" s="26" t="n">
        <v>0</v>
      </c>
      <c r="S75" s="29" t="n">
        <v>1</v>
      </c>
      <c r="T75" s="24" t="inlineStr">
        <is>
          <t>mlb-elo-trend-lr-v7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-156</v>
      </c>
      <c r="AA75" s="28" t="n">
        <v>0.61</v>
      </c>
      <c r="AB75" s="28" t="n">
        <v>0.000625</v>
      </c>
      <c r="AC75" s="30" t="n">
        <v>0.641</v>
      </c>
      <c r="AD75" s="24" t="inlineStr">
        <is>
          <t>2026-08-01T23:50:53.182001Z</t>
        </is>
      </c>
      <c r="AE75" s="31" t="inlineStr">
        <is>
          <t>Learned LR call at threshold 0.6242; executable ask 0.6100 (aec-mlb-cws-tb-2026-08-01); model edge vs ask -0.0516.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mlb-cws</t>
        </is>
      </c>
      <c r="AQ75" s="24" t="inlineStr">
        <is>
          <t>Chicago White Sox</t>
        </is>
      </c>
      <c r="AR75" s="24" t="inlineStr">
        <is>
          <t>Chicago White Sox</t>
        </is>
      </c>
      <c r="AS75" s="24" t="inlineStr">
        <is>
          <t>mlb-tb</t>
        </is>
      </c>
      <c r="AT75" s="24" t="inlineStr">
        <is>
          <t>Tampa Bay Rays</t>
        </is>
      </c>
      <c r="AU75" s="24" t="inlineStr">
        <is>
          <t>Tampa Bay Rays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464eef695bfbbdaa819ec6f5e4c5bd1068ed20b92915fb2677220ae91e20d8b6</t>
        </is>
      </c>
      <c r="BB75" s="24" t="inlineStr">
        <is>
          <t>learned_lr</t>
        </is>
      </c>
      <c r="BC75" s="24" t="inlineStr">
        <is>
          <t>mlb-elo-trend-lr-v7</t>
        </is>
      </c>
      <c r="BD75" s="24" t="inlineStr">
        <is>
          <t>464eef695bfbbdaa819ec6f5e4c5bd1068ed20b92915fb2677220ae91e20d8b6</t>
        </is>
      </c>
      <c r="BE75" s="24" t="inlineStr">
        <is>
          <t>ad676df45ee6e775</t>
        </is>
      </c>
      <c r="BF75" s="24" t="inlineStr">
        <is>
          <t>1</t>
        </is>
      </c>
      <c r="BG75" s="24" t="inlineStr">
        <is>
          <t>mlb-elo-trend-lr-v7</t>
        </is>
      </c>
      <c r="BH75" s="24" t="inlineStr">
        <is>
          <t>2026-08-01T18:36:22.182386Z</t>
        </is>
      </c>
      <c r="BI75" s="24" t="inlineStr">
        <is>
          <t>["same_event","same_team_same_day","same_league_same_day"]</t>
        </is>
      </c>
      <c r="BJ75" s="25" t="n"/>
      <c r="BK75" s="26" t="n">
        <v>-156</v>
      </c>
      <c r="BL75" s="27" t="n">
        <v>1.641026</v>
      </c>
      <c r="BM75" s="28" t="n">
        <v>0.609375</v>
      </c>
      <c r="BN75" s="28" t="n">
        <v>0.606965</v>
      </c>
      <c r="BO75" s="28" t="n"/>
      <c r="BP75" s="25" t="n"/>
      <c r="BQ75" s="27" t="n">
        <v>1.641026</v>
      </c>
      <c r="BR75" s="28" t="n">
        <v>0.61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0.5468687943</t>
        </is>
      </c>
      <c r="CD75" s="24" t="inlineStr">
        <is>
          <t>-1.164825</t>
        </is>
      </c>
      <c r="CE75" s="24" t="inlineStr">
        <is>
          <t>0.965</t>
        </is>
      </c>
      <c r="CF75" s="24" t="inlineStr">
        <is>
          <t>1</t>
        </is>
      </c>
      <c r="CG75" s="24" t="inlineStr">
        <is>
          <t>-1.4</t>
        </is>
      </c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ea6695362828438e</t>
        </is>
      </c>
      <c r="B76" s="24" t="inlineStr">
        <is>
          <t>2026-08-01T18:37:44.379324Z</t>
        </is>
      </c>
      <c r="C76" s="24" t="inlineStr">
        <is>
          <t>2026-08-01T16:10:00-0400</t>
        </is>
      </c>
      <c r="D76" s="24" t="inlineStr">
        <is>
          <t>401816349</t>
        </is>
      </c>
      <c r="E76" s="24" t="inlineStr">
        <is>
          <t>MLB</t>
        </is>
      </c>
      <c r="F76" s="24" t="inlineStr">
        <is>
          <t>Miami Marlins</t>
        </is>
      </c>
      <c r="G76" s="24" t="inlineStr">
        <is>
          <t>New York Mets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-122</v>
      </c>
      <c r="M76" s="27" t="n">
        <v>1.819672</v>
      </c>
      <c r="N76" s="28" t="n">
        <v>0.54955</v>
      </c>
      <c r="O76" s="28" t="n">
        <v>0.515788</v>
      </c>
      <c r="P76" s="28" t="n"/>
      <c r="Q76" s="28" t="n">
        <v>-0.033762</v>
      </c>
      <c r="R76" s="26" t="n">
        <v>4</v>
      </c>
      <c r="S76" s="29" t="n">
        <v>1</v>
      </c>
      <c r="T76" s="24" t="inlineStr">
        <is>
          <t>mlb-elo-trend-lr-v7</t>
        </is>
      </c>
      <c r="U76" s="24" t="inlineStr">
        <is>
          <t>settled</t>
        </is>
      </c>
      <c r="V76" s="24" t="inlineStr">
        <is>
          <t>loss</t>
        </is>
      </c>
      <c r="W76" s="26" t="n">
        <v>6</v>
      </c>
      <c r="X76" s="26" t="n">
        <v>2</v>
      </c>
      <c r="Y76" s="25" t="n"/>
      <c r="Z76" s="26" t="n">
        <v>-122</v>
      </c>
      <c r="AA76" s="28" t="n">
        <v>0.55</v>
      </c>
      <c r="AB76" s="28" t="n">
        <v>0.00045</v>
      </c>
      <c r="AC76" s="30" t="n">
        <v>-1</v>
      </c>
      <c r="AD76" s="24" t="inlineStr">
        <is>
          <t>2026-08-01T23:50:53.987612Z</t>
        </is>
      </c>
      <c r="AE76" s="31" t="inlineStr">
        <is>
          <t>Learned LR call at threshold 0.6242; executable ask 0.5500 (aec-mlb-mia-nym-2026-08-01); model edge vs ask -0.0342.</t>
        </is>
      </c>
      <c r="AF76" s="31" t="inlineStr">
        <is>
          <t>Learned model; shadow-qualified via operator override.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mlb-mia</t>
        </is>
      </c>
      <c r="AQ76" s="24" t="inlineStr">
        <is>
          <t>Miami Marlins</t>
        </is>
      </c>
      <c r="AR76" s="24" t="inlineStr">
        <is>
          <t>Miami Marlins</t>
        </is>
      </c>
      <c r="AS76" s="24" t="inlineStr">
        <is>
          <t>mlb-nym</t>
        </is>
      </c>
      <c r="AT76" s="24" t="inlineStr">
        <is>
          <t>New York Mets</t>
        </is>
      </c>
      <c r="AU76" s="24" t="inlineStr">
        <is>
          <t>New York Mets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464eef695bfbbdaa819ec6f5e4c5bd1068ed20b92915fb2677220ae91e20d8b6</t>
        </is>
      </c>
      <c r="BB76" s="24" t="inlineStr">
        <is>
          <t>learned_lr</t>
        </is>
      </c>
      <c r="BC76" s="24" t="inlineStr">
        <is>
          <t>mlb-elo-trend-lr-v7</t>
        </is>
      </c>
      <c r="BD76" s="24" t="inlineStr">
        <is>
          <t>464eef695bfbbdaa819ec6f5e4c5bd1068ed20b92915fb2677220ae91e20d8b6</t>
        </is>
      </c>
      <c r="BE76" s="24" t="inlineStr">
        <is>
          <t>8e71ffd6fce569a4</t>
        </is>
      </c>
      <c r="BF76" s="24" t="inlineStr">
        <is>
          <t>1</t>
        </is>
      </c>
      <c r="BG76" s="24" t="inlineStr">
        <is>
          <t>mlb-elo-trend-lr-v7</t>
        </is>
      </c>
      <c r="BH76" s="24" t="inlineStr">
        <is>
          <t>2026-08-01T18:36:23.073759Z</t>
        </is>
      </c>
      <c r="BI76" s="24" t="inlineStr">
        <is>
          <t>["same_event","same_team_same_day","same_league_same_day"]</t>
        </is>
      </c>
      <c r="BJ76" s="25" t="n"/>
      <c r="BK76" s="26" t="n">
        <v>-122</v>
      </c>
      <c r="BL76" s="27" t="n">
        <v>1.819672</v>
      </c>
      <c r="BM76" s="28" t="n">
        <v>0.54955</v>
      </c>
      <c r="BN76" s="28" t="n">
        <v>0.547264</v>
      </c>
      <c r="BO76" s="28" t="n"/>
      <c r="BP76" s="25" t="n"/>
      <c r="BQ76" s="27" t="n">
        <v>1.819672</v>
      </c>
      <c r="BR76" s="28" t="n">
        <v>0.55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0.5032110055</t>
        </is>
      </c>
      <c r="CD76" s="24" t="inlineStr">
        <is>
          <t>-0.346453</t>
        </is>
      </c>
      <c r="CE76" s="24" t="inlineStr">
        <is>
          <t>0.978</t>
        </is>
      </c>
      <c r="CF76" s="24" t="inlineStr">
        <is>
          <t>1.0209</t>
        </is>
      </c>
      <c r="CG76" s="24" t="inlineStr">
        <is>
          <t>-1.2</t>
        </is>
      </c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d303a55c7be64746</t>
        </is>
      </c>
      <c r="B77" s="24" t="inlineStr">
        <is>
          <t>2026-08-01T18:37:44.379324Z</t>
        </is>
      </c>
      <c r="C77" s="24" t="inlineStr">
        <is>
          <t>2026-08-01T16:10:00-0400</t>
        </is>
      </c>
      <c r="D77" s="24" t="inlineStr">
        <is>
          <t>401816360</t>
        </is>
      </c>
      <c r="E77" s="24" t="inlineStr">
        <is>
          <t>MLB</t>
        </is>
      </c>
      <c r="F77" s="24" t="inlineStr">
        <is>
          <t>Minnesota Twins</t>
        </is>
      </c>
      <c r="G77" s="24" t="inlineStr">
        <is>
          <t>Seattle Mariners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0.591702</v>
      </c>
      <c r="P77" s="28" t="n"/>
      <c r="Q77" s="28" t="n">
        <v>-0.017673</v>
      </c>
      <c r="R77" s="26" t="n">
        <v>12</v>
      </c>
      <c r="S77" s="29" t="n">
        <v>1.25</v>
      </c>
      <c r="T77" s="24" t="inlineStr">
        <is>
          <t>mlb-elo-trend-lr-v7</t>
        </is>
      </c>
      <c r="U77" s="24" t="inlineStr">
        <is>
          <t>settled</t>
        </is>
      </c>
      <c r="V77" s="24" t="inlineStr">
        <is>
          <t>win</t>
        </is>
      </c>
      <c r="W77" s="26" t="n">
        <v>3</v>
      </c>
      <c r="X77" s="26" t="n">
        <v>4</v>
      </c>
      <c r="Y77" s="25" t="n"/>
      <c r="Z77" s="26" t="n">
        <v>-156</v>
      </c>
      <c r="AA77" s="28" t="n">
        <v>0.61</v>
      </c>
      <c r="AB77" s="28" t="n">
        <v>0.000625</v>
      </c>
      <c r="AC77" s="30" t="n">
        <v>0.8013</v>
      </c>
      <c r="AD77" s="24" t="inlineStr">
        <is>
          <t>2026-08-01T23:50:54.713841Z</t>
        </is>
      </c>
      <c r="AE77" s="31" t="inlineStr">
        <is>
          <t>Learned LR call at threshold 0.6242; executable ask 0.6100 (aec-mlb-min-sea-2026-08-01); model edge vs ask -0.0183.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mlb-min</t>
        </is>
      </c>
      <c r="AQ77" s="24" t="inlineStr">
        <is>
          <t>Minnesota Twins</t>
        </is>
      </c>
      <c r="AR77" s="24" t="inlineStr">
        <is>
          <t>Minnesota Twins</t>
        </is>
      </c>
      <c r="AS77" s="24" t="inlineStr">
        <is>
          <t>mlb-sea</t>
        </is>
      </c>
      <c r="AT77" s="24" t="inlineStr">
        <is>
          <t>Seattle Mariners</t>
        </is>
      </c>
      <c r="AU77" s="24" t="inlineStr">
        <is>
          <t>Seattle Mariners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464eef695bfbbdaa819ec6f5e4c5bd1068ed20b92915fb2677220ae91e20d8b6</t>
        </is>
      </c>
      <c r="BB77" s="24" t="inlineStr">
        <is>
          <t>learned_lr</t>
        </is>
      </c>
      <c r="BC77" s="24" t="inlineStr">
        <is>
          <t>mlb-elo-trend-lr-v7</t>
        </is>
      </c>
      <c r="BD77" s="24" t="inlineStr">
        <is>
          <t>464eef695bfbbdaa819ec6f5e4c5bd1068ed20b92915fb2677220ae91e20d8b6</t>
        </is>
      </c>
      <c r="BE77" s="24" t="inlineStr">
        <is>
          <t>53175a4c13f251cb</t>
        </is>
      </c>
      <c r="BF77" s="24" t="inlineStr">
        <is>
          <t>1</t>
        </is>
      </c>
      <c r="BG77" s="24" t="inlineStr">
        <is>
          <t>mlb-elo-trend-lr-v7</t>
        </is>
      </c>
      <c r="BH77" s="24" t="inlineStr">
        <is>
          <t>2026-08-01T18:36:21.090185Z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>
        <v>0.606965</v>
      </c>
      <c r="BO77" s="28" t="n"/>
      <c r="BP77" s="25" t="n"/>
      <c r="BQ77" s="27" t="n">
        <v>1.641026</v>
      </c>
      <c r="BR77" s="28" t="n">
        <v>0.61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0.578722894</t>
        </is>
      </c>
      <c r="CD77" s="24" t="inlineStr">
        <is>
          <t>0.628201</t>
        </is>
      </c>
      <c r="CE77" s="24" t="inlineStr">
        <is>
          <t>0.936</t>
        </is>
      </c>
      <c r="CF77" s="24" t="inlineStr">
        <is>
          <t>1</t>
        </is>
      </c>
      <c r="CG77" s="24" t="inlineStr">
        <is>
          <t>1.2</t>
        </is>
      </c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dce89bd9695442a5</t>
        </is>
      </c>
      <c r="B78" s="24" t="inlineStr">
        <is>
          <t>2026-08-01T18:38:25.468461Z</t>
        </is>
      </c>
      <c r="C78" s="24" t="inlineStr">
        <is>
          <t>2026-08-01T19:07Z</t>
        </is>
      </c>
      <c r="D78" s="24" t="inlineStr">
        <is>
          <t>401816352</t>
        </is>
      </c>
      <c r="E78" s="24" t="inlineStr">
        <is>
          <t>MLB</t>
        </is>
      </c>
      <c r="F78" s="24" t="inlineStr">
        <is>
          <t>St. Louis Cardinals</t>
        </is>
      </c>
      <c r="G78" s="24" t="inlineStr">
        <is>
          <t>Toronto Blue Jays</t>
        </is>
      </c>
      <c r="H78" s="24" t="inlineStr">
        <is>
          <t>spread</t>
        </is>
      </c>
      <c r="I78" s="24" t="inlineStr">
        <is>
          <t>away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0.5529849999999999</v>
      </c>
      <c r="P78" s="28" t="n">
        <v>0.05172</v>
      </c>
      <c r="Q78" s="28" t="n">
        <v>-0.037179</v>
      </c>
      <c r="R78" s="26" t="n">
        <v>0</v>
      </c>
      <c r="S78" s="29" t="n">
        <v>1</v>
      </c>
      <c r="T78" s="24" t="inlineStr">
        <is>
          <t>measured-edge-margin-v1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5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</v>
      </c>
      <c r="AD78" s="24" t="inlineStr">
        <is>
          <t>2026-08-01T23:50:55.435425Z</t>
        </is>
      </c>
      <c r="AE78" s="31" t="inlineStr">
        <is>
          <t>Measured Edge Margin: Trend Engine projected 4.64-4.73; raw selected-side p=0.6584, calibrated p=0.5530.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mlb-stl</t>
        </is>
      </c>
      <c r="AQ78" s="24" t="inlineStr">
        <is>
          <t>St. Louis Cardinals</t>
        </is>
      </c>
      <c r="AR78" s="24" t="inlineStr">
        <is>
          <t>St. Louis Cardinals</t>
        </is>
      </c>
      <c r="AS78" s="24" t="inlineStr">
        <is>
          <t>mlb-tor</t>
        </is>
      </c>
      <c r="AT78" s="24" t="inlineStr">
        <is>
          <t>Toronto Blue Jays</t>
        </is>
      </c>
      <c r="AU78" s="24" t="inlineStr">
        <is>
          <t>Toronto Blue Jays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2bc2ce55b0d39a20103f724bbddbde5394909acd49297f52665b596a0ae3ae8b</t>
        </is>
      </c>
      <c r="BB78" s="24" t="inlineStr">
        <is>
          <t>flat_probability_shrinkage_toward_half</t>
        </is>
      </c>
      <c r="BC78" s="24" t="inlineStr">
        <is>
          <t>measured-edge-margin-v1</t>
        </is>
      </c>
      <c r="BD78" s="24" t="inlineStr">
        <is>
          <t>2bc2ce55b0d39a20103f724bbddbde5394909acd49297f52665b596a0ae3ae8b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2026-08-01T18:38:25.468461Z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fde80a4b2f894318</t>
        </is>
      </c>
      <c r="B79" s="24" t="inlineStr">
        <is>
          <t>2026-08-01T18:38:25.468461Z</t>
        </is>
      </c>
      <c r="C79" s="24" t="inlineStr">
        <is>
          <t>2026-08-01T19:07Z</t>
        </is>
      </c>
      <c r="D79" s="24" t="inlineStr">
        <is>
          <t>401816352</t>
        </is>
      </c>
      <c r="E79" s="24" t="inlineStr">
        <is>
          <t>MLB</t>
        </is>
      </c>
      <c r="F79" s="24" t="inlineStr">
        <is>
          <t>St. Louis Cardinals</t>
        </is>
      </c>
      <c r="G79" s="24" t="inlineStr">
        <is>
          <t>Toronto Blue Jays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111</v>
      </c>
      <c r="M79" s="27" t="n">
        <v>2.11</v>
      </c>
      <c r="N79" s="28" t="n">
        <v>0.473934</v>
      </c>
      <c r="O79" s="28" t="n">
        <v>0.528302</v>
      </c>
      <c r="P79" s="28" t="n">
        <v>0.05172</v>
      </c>
      <c r="Q79" s="28" t="n">
        <v>0.054368</v>
      </c>
      <c r="R79" s="26" t="n">
        <v>46</v>
      </c>
      <c r="S79" s="29" t="n">
        <v>1</v>
      </c>
      <c r="T79" s="24" t="inlineStr">
        <is>
          <t>measured-edge-totals-v1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5</v>
      </c>
      <c r="Y79" s="25" t="n">
        <v>8.5</v>
      </c>
      <c r="Z79" s="26" t="n">
        <v>111</v>
      </c>
      <c r="AA79" s="28" t="n">
        <v>0.475</v>
      </c>
      <c r="AB79" s="28" t="n">
        <v>0.001066</v>
      </c>
      <c r="AC79" s="30" t="n">
        <v>-1</v>
      </c>
      <c r="AD79" s="24" t="inlineStr">
        <is>
          <t>2026-08-01T23:50:56.176778Z</t>
        </is>
      </c>
      <c r="AE79" s="31" t="inlineStr">
        <is>
          <t>Measured Edge Totals: Trend Engine projected 4.64-4.73; raw selected-side p=0.5451, calibrated p=0.5283.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mlb-stl</t>
        </is>
      </c>
      <c r="AQ79" s="24" t="inlineStr">
        <is>
          <t>St. Louis Cardinals</t>
        </is>
      </c>
      <c r="AR79" s="24" t="inlineStr">
        <is>
          <t>St. Louis Cardinals</t>
        </is>
      </c>
      <c r="AS79" s="24" t="inlineStr">
        <is>
          <t>mlb-tor</t>
        </is>
      </c>
      <c r="AT79" s="24" t="inlineStr">
        <is>
          <t>Toronto Blue Jays</t>
        </is>
      </c>
      <c r="AU79" s="24" t="inlineStr">
        <is>
          <t>Toronto Blue Jays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cbc2c9bf5a9569a49e1902c816d96556d704cf10819ca3a9e927721685757d0b</t>
        </is>
      </c>
      <c r="BB79" s="24" t="inlineStr">
        <is>
          <t>flat_probability_shrinkage_toward_half</t>
        </is>
      </c>
      <c r="BC79" s="24" t="inlineStr">
        <is>
          <t>measured-edge-totals-v1</t>
        </is>
      </c>
      <c r="BD79" s="24" t="inlineStr">
        <is>
          <t>cbc2c9bf5a9569a49e1902c816d96556d704cf10819ca3a9e927721685757d0b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2026-08-01T18:38:25.468461Z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111</v>
      </c>
      <c r="BL79" s="27" t="n">
        <v>2.11</v>
      </c>
      <c r="BM79" s="28" t="n">
        <v>0.473934</v>
      </c>
      <c r="BN79" s="28" t="n">
        <v>0.472637</v>
      </c>
      <c r="BO79" s="28" t="n"/>
      <c r="BP79" s="25" t="n"/>
      <c r="BQ79" s="27" t="n">
        <v>2.11</v>
      </c>
      <c r="BR79" s="28" t="n">
        <v>0.475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53a2e3a55ed248f0</t>
        </is>
      </c>
      <c r="B80" s="24" t="inlineStr">
        <is>
          <t>2026-08-01T18:38:25.468461Z</t>
        </is>
      </c>
      <c r="C80" s="24" t="inlineStr">
        <is>
          <t>2026-08-01T20:10Z</t>
        </is>
      </c>
      <c r="D80" s="24" t="inlineStr">
        <is>
          <t>401816348</t>
        </is>
      </c>
      <c r="E80" s="24" t="inlineStr">
        <is>
          <t>MLB</t>
        </is>
      </c>
      <c r="F80" s="24" t="inlineStr">
        <is>
          <t>Chicago White Sox</t>
        </is>
      </c>
      <c r="G80" s="24" t="inlineStr">
        <is>
          <t>Tampa Bay Rays</t>
        </is>
      </c>
      <c r="H80" s="24" t="inlineStr">
        <is>
          <t>spread</t>
        </is>
      </c>
      <c r="I80" s="24" t="inlineStr">
        <is>
          <t>away</t>
        </is>
      </c>
      <c r="J80" s="25" t="n">
        <v>1.5</v>
      </c>
      <c r="K80" s="24" t="inlineStr">
        <is>
          <t>polymarket_us</t>
        </is>
      </c>
      <c r="L80" s="26" t="n">
        <v>-135</v>
      </c>
      <c r="M80" s="27" t="n">
        <v>1.740741</v>
      </c>
      <c r="N80" s="28" t="n">
        <v>0.574468</v>
      </c>
      <c r="O80" s="28" t="n">
        <v>0.556866</v>
      </c>
      <c r="P80" s="28" t="n">
        <v>0.042131</v>
      </c>
      <c r="Q80" s="28" t="n">
        <v>-0.017602</v>
      </c>
      <c r="R80" s="26" t="n">
        <v>16</v>
      </c>
      <c r="S80" s="29" t="n">
        <v>1</v>
      </c>
      <c r="T80" s="24" t="inlineStr">
        <is>
          <t>measured-edge-margin-v1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>
        <v>1.5</v>
      </c>
      <c r="Z80" s="26" t="n">
        <v>-135</v>
      </c>
      <c r="AA80" s="28" t="n">
        <v>0.575</v>
      </c>
      <c r="AB80" s="28" t="n">
        <v>0.000532</v>
      </c>
      <c r="AC80" s="30" t="n">
        <v>0.7407</v>
      </c>
      <c r="AD80" s="24" t="inlineStr">
        <is>
          <t>2026-08-01T23:50:56.898718Z</t>
        </is>
      </c>
      <c r="AE80" s="31" t="inlineStr">
        <is>
          <t>Measured Edge Margin: Trend Engine projected 4.52-4.44; raw selected-side p=0.6782, calibrated p=0.5569.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mlb-cws</t>
        </is>
      </c>
      <c r="AQ80" s="24" t="inlineStr">
        <is>
          <t>Chicago White Sox</t>
        </is>
      </c>
      <c r="AR80" s="24" t="inlineStr">
        <is>
          <t>Chicago White Sox</t>
        </is>
      </c>
      <c r="AS80" s="24" t="inlineStr">
        <is>
          <t>mlb-tb</t>
        </is>
      </c>
      <c r="AT80" s="24" t="inlineStr">
        <is>
          <t>Tampa Bay Rays</t>
        </is>
      </c>
      <c r="AU80" s="24" t="inlineStr">
        <is>
          <t>Tampa Bay Rays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2bc2ce55b0d39a20103f724bbddbde5394909acd49297f52665b596a0ae3ae8b</t>
        </is>
      </c>
      <c r="BB80" s="24" t="inlineStr">
        <is>
          <t>flat_probability_shrinkage_toward_half</t>
        </is>
      </c>
      <c r="BC80" s="24" t="inlineStr">
        <is>
          <t>measured-edge-margin-v1</t>
        </is>
      </c>
      <c r="BD80" s="24" t="inlineStr">
        <is>
          <t>2bc2ce55b0d39a20103f724bbddbde5394909acd49297f52665b596a0ae3ae8b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2026-08-01T18:38:25.468461Z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-135</v>
      </c>
      <c r="BL80" s="27" t="n">
        <v>1.740741</v>
      </c>
      <c r="BM80" s="28" t="n">
        <v>0.574468</v>
      </c>
      <c r="BN80" s="28" t="n">
        <v>0.572139</v>
      </c>
      <c r="BO80" s="28" t="n"/>
      <c r="BP80" s="25" t="n"/>
      <c r="BQ80" s="27" t="n">
        <v>1.740741</v>
      </c>
      <c r="BR80" s="28" t="n">
        <v>0.575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cc33b13ed9b840b9</t>
        </is>
      </c>
      <c r="B81" s="24" t="inlineStr">
        <is>
          <t>2026-08-01T18:38:25.468461Z</t>
        </is>
      </c>
      <c r="C81" s="24" t="inlineStr">
        <is>
          <t>2026-08-01T20:10Z</t>
        </is>
      </c>
      <c r="D81" s="24" t="inlineStr">
        <is>
          <t>401816348</t>
        </is>
      </c>
      <c r="E81" s="24" t="inlineStr">
        <is>
          <t>MLB</t>
        </is>
      </c>
      <c r="F81" s="24" t="inlineStr">
        <is>
          <t>Chicago White Sox</t>
        </is>
      </c>
      <c r="G81" s="24" t="inlineStr">
        <is>
          <t>Tampa Bay Rays</t>
        </is>
      </c>
      <c r="H81" s="24" t="inlineStr">
        <is>
          <t>total</t>
        </is>
      </c>
      <c r="I81" s="24" t="inlineStr">
        <is>
          <t>over</t>
        </is>
      </c>
      <c r="J81" s="25" t="n">
        <v>7.5</v>
      </c>
      <c r="K81" s="24" t="inlineStr">
        <is>
          <t>polymarket_us</t>
        </is>
      </c>
      <c r="L81" s="26" t="n">
        <v>100</v>
      </c>
      <c r="M81" s="27" t="n">
        <v>2</v>
      </c>
      <c r="N81" s="28" t="n">
        <v>0.5</v>
      </c>
      <c r="O81" s="28" t="n">
        <v>0.567639</v>
      </c>
      <c r="P81" s="28" t="n">
        <v>0.042131</v>
      </c>
      <c r="Q81" s="28" t="n">
        <v>0.067639</v>
      </c>
      <c r="R81" s="26" t="n">
        <v>59</v>
      </c>
      <c r="S81" s="29" t="n">
        <v>1.25</v>
      </c>
      <c r="T81" s="24" t="inlineStr">
        <is>
          <t>measured-edge-totals-v1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>
        <v>7.5</v>
      </c>
      <c r="Z81" s="26" t="n">
        <v>100</v>
      </c>
      <c r="AA81" s="28" t="n">
        <v>0.5</v>
      </c>
      <c r="AB81" s="28" t="n">
        <v>0</v>
      </c>
      <c r="AC81" s="30" t="n">
        <v>-1.25</v>
      </c>
      <c r="AD81" s="24" t="inlineStr">
        <is>
          <t>2026-08-01T23:50:57.728981Z</t>
        </is>
      </c>
      <c r="AE81" s="31" t="inlineStr">
        <is>
          <t>Measured Edge Totals: Trend Engine projected 4.52-4.44; raw selected-side p=0.5857, calibrated p=0.5676.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mlb-cws</t>
        </is>
      </c>
      <c r="AQ81" s="24" t="inlineStr">
        <is>
          <t>Chicago White Sox</t>
        </is>
      </c>
      <c r="AR81" s="24" t="inlineStr">
        <is>
          <t>Chicago White Sox</t>
        </is>
      </c>
      <c r="AS81" s="24" t="inlineStr">
        <is>
          <t>mlb-tb</t>
        </is>
      </c>
      <c r="AT81" s="24" t="inlineStr">
        <is>
          <t>Tampa Bay Rays</t>
        </is>
      </c>
      <c r="AU81" s="24" t="inlineStr">
        <is>
          <t>Tampa Bay Rays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cbc2c9bf5a9569a49e1902c816d96556d704cf10819ca3a9e927721685757d0b</t>
        </is>
      </c>
      <c r="BB81" s="24" t="inlineStr">
        <is>
          <t>flat_probability_shrinkage_toward_half</t>
        </is>
      </c>
      <c r="BC81" s="24" t="inlineStr">
        <is>
          <t>measured-edge-totals-v1</t>
        </is>
      </c>
      <c r="BD81" s="24" t="inlineStr">
        <is>
          <t>cbc2c9bf5a9569a49e1902c816d96556d704cf10819ca3a9e927721685757d0b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2026-08-01T18:38:25.468461Z</t>
        </is>
      </c>
      <c r="BI81" s="24" t="inlineStr">
        <is>
          <t>["same_event","same_team_same_day","same_league_same_day"]</t>
        </is>
      </c>
      <c r="BJ81" s="25" t="n">
        <v>7.5</v>
      </c>
      <c r="BK81" s="26" t="n">
        <v>100</v>
      </c>
      <c r="BL81" s="27" t="n">
        <v>2</v>
      </c>
      <c r="BM81" s="28" t="n">
        <v>0.5</v>
      </c>
      <c r="BN81" s="28" t="n">
        <v>0.497512</v>
      </c>
      <c r="BO81" s="28" t="n"/>
      <c r="BP81" s="25" t="n"/>
      <c r="BQ81" s="27" t="n">
        <v>2</v>
      </c>
      <c r="BR81" s="28" t="n">
        <v>0.5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d3fdf8f34a1b4649</t>
        </is>
      </c>
      <c r="B82" s="24" t="inlineStr">
        <is>
          <t>2026-08-01T18:38:25.468461Z</t>
        </is>
      </c>
      <c r="C82" s="24" t="inlineStr">
        <is>
          <t>2026-08-01T20:10Z</t>
        </is>
      </c>
      <c r="D82" s="24" t="inlineStr">
        <is>
          <t>401816349</t>
        </is>
      </c>
      <c r="E82" s="24" t="inlineStr">
        <is>
          <t>MLB</t>
        </is>
      </c>
      <c r="F82" s="24" t="inlineStr">
        <is>
          <t>Miami Marlins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-170</v>
      </c>
      <c r="M82" s="27" t="n">
        <v>1.588235</v>
      </c>
      <c r="N82" s="28" t="n">
        <v>0.62963</v>
      </c>
      <c r="O82" s="28" t="n">
        <v>0.544015</v>
      </c>
      <c r="P82" s="28" t="n">
        <v>0.05172</v>
      </c>
      <c r="Q82" s="28" t="n">
        <v>-0.085615</v>
      </c>
      <c r="R82" s="26" t="n">
        <v>0</v>
      </c>
      <c r="S82" s="29" t="n">
        <v>1</v>
      </c>
      <c r="T82" s="24" t="inlineStr">
        <is>
          <t>measured-edge-margin-v1</t>
        </is>
      </c>
      <c r="U82" s="24" t="inlineStr">
        <is>
          <t>settled</t>
        </is>
      </c>
      <c r="V82" s="24" t="inlineStr">
        <is>
          <t>win</t>
        </is>
      </c>
      <c r="W82" s="26" t="n">
        <v>6</v>
      </c>
      <c r="X82" s="26" t="n">
        <v>2</v>
      </c>
      <c r="Y82" s="25" t="n">
        <v>1.5</v>
      </c>
      <c r="Z82" s="26" t="n">
        <v>-170</v>
      </c>
      <c r="AA82" s="28" t="n">
        <v>0.63</v>
      </c>
      <c r="AB82" s="28" t="n">
        <v>0.00037</v>
      </c>
      <c r="AC82" s="30" t="n">
        <v>0.5881999999999999</v>
      </c>
      <c r="AD82" s="24" t="inlineStr">
        <is>
          <t>2026-08-01T23:50:58.540283Z</t>
        </is>
      </c>
      <c r="AE82" s="31" t="inlineStr">
        <is>
          <t>Measured Edge Margin: Trend Engine projected 4.21-4.73; raw selected-side p=0.6128, calibrated p=0.5440.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mlb-mia</t>
        </is>
      </c>
      <c r="AQ82" s="24" t="inlineStr">
        <is>
          <t>Miami Marlins</t>
        </is>
      </c>
      <c r="AR82" s="24" t="inlineStr">
        <is>
          <t>Miami Marlins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2bc2ce55b0d39a20103f724bbddbde5394909acd49297f52665b596a0ae3ae8b</t>
        </is>
      </c>
      <c r="BB82" s="24" t="inlineStr">
        <is>
          <t>flat_probability_shrinkage_toward_half</t>
        </is>
      </c>
      <c r="BC82" s="24" t="inlineStr">
        <is>
          <t>measured-edge-margin-v1</t>
        </is>
      </c>
      <c r="BD82" s="24" t="inlineStr">
        <is>
          <t>2bc2ce55b0d39a20103f724bbddbde5394909acd49297f52665b596a0ae3ae8b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2026-08-01T18:38:25.468461Z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-170</v>
      </c>
      <c r="BL82" s="27" t="n">
        <v>1.588235</v>
      </c>
      <c r="BM82" s="28" t="n">
        <v>0.62963</v>
      </c>
      <c r="BN82" s="28" t="n">
        <v>0.626866</v>
      </c>
      <c r="BO82" s="28" t="n"/>
      <c r="BP82" s="25" t="n"/>
      <c r="BQ82" s="27" t="n">
        <v>1.588235</v>
      </c>
      <c r="BR82" s="28" t="n">
        <v>0.63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31fc43af9c9848fa</t>
        </is>
      </c>
      <c r="B83" s="24" t="inlineStr">
        <is>
          <t>2026-08-01T18:38:25.468461Z</t>
        </is>
      </c>
      <c r="C83" s="24" t="inlineStr">
        <is>
          <t>2026-08-01T20:10Z</t>
        </is>
      </c>
      <c r="D83" s="24" t="inlineStr">
        <is>
          <t>401816349</t>
        </is>
      </c>
      <c r="E83" s="24" t="inlineStr">
        <is>
          <t>MLB</t>
        </is>
      </c>
      <c r="F83" s="24" t="inlineStr">
        <is>
          <t>Miami Marlins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-122</v>
      </c>
      <c r="M83" s="27" t="n">
        <v>1.819672</v>
      </c>
      <c r="N83" s="28" t="n">
        <v>0.54955</v>
      </c>
      <c r="O83" s="28" t="n">
        <v>0.488139</v>
      </c>
      <c r="P83" s="28" t="n">
        <v>0.05172</v>
      </c>
      <c r="Q83" s="28" t="n">
        <v>-0.061411</v>
      </c>
      <c r="R83" s="26" t="n">
        <v>0</v>
      </c>
      <c r="S83" s="29" t="n">
        <v>1</v>
      </c>
      <c r="T83" s="24" t="inlineStr">
        <is>
          <t>measured-edge-totals-v1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2</v>
      </c>
      <c r="Y83" s="25" t="n">
        <v>8.5</v>
      </c>
      <c r="Z83" s="26" t="n">
        <v>-122</v>
      </c>
      <c r="AA83" s="28" t="n">
        <v>0.55</v>
      </c>
      <c r="AB83" s="28" t="n">
        <v>0.00045</v>
      </c>
      <c r="AC83" s="30" t="n">
        <v>-1</v>
      </c>
      <c r="AD83" s="24" t="inlineStr">
        <is>
          <t>2026-08-01T23:50:59.262224Z</t>
        </is>
      </c>
      <c r="AE83" s="31" t="inlineStr">
        <is>
          <t>Measured Edge Totals: Trend Engine projected 4.21-4.73; raw selected-side p=0.5037, calibrated p=0.4881.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mlb-mia</t>
        </is>
      </c>
      <c r="AQ83" s="24" t="inlineStr">
        <is>
          <t>Miami Marlins</t>
        </is>
      </c>
      <c r="AR83" s="24" t="inlineStr">
        <is>
          <t>Miami Marlins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cbc2c9bf5a9569a49e1902c816d96556d704cf10819ca3a9e927721685757d0b</t>
        </is>
      </c>
      <c r="BB83" s="24" t="inlineStr">
        <is>
          <t>flat_probability_shrinkage_toward_half</t>
        </is>
      </c>
      <c r="BC83" s="24" t="inlineStr">
        <is>
          <t>measured-edge-totals-v1</t>
        </is>
      </c>
      <c r="BD83" s="24" t="inlineStr">
        <is>
          <t>cbc2c9bf5a9569a49e1902c816d96556d704cf10819ca3a9e927721685757d0b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2026-08-01T18:38:25.468461Z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-122</v>
      </c>
      <c r="BL83" s="27" t="n">
        <v>1.819672</v>
      </c>
      <c r="BM83" s="28" t="n">
        <v>0.54955</v>
      </c>
      <c r="BN83" s="28" t="n">
        <v>0.547264</v>
      </c>
      <c r="BO83" s="28" t="n"/>
      <c r="BP83" s="25" t="n"/>
      <c r="BQ83" s="27" t="n">
        <v>1.819672</v>
      </c>
      <c r="BR83" s="28" t="n">
        <v>0.55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ec83628205ea4fed</t>
        </is>
      </c>
      <c r="B84" s="24" t="inlineStr">
        <is>
          <t>2026-08-01T18:38:25.468461Z</t>
        </is>
      </c>
      <c r="C84" s="24" t="inlineStr">
        <is>
          <t>2026-08-01T20:10Z</t>
        </is>
      </c>
      <c r="D84" s="24" t="inlineStr">
        <is>
          <t>401816360</t>
        </is>
      </c>
      <c r="E84" s="24" t="inlineStr">
        <is>
          <t>MLB</t>
        </is>
      </c>
      <c r="F84" s="24" t="inlineStr">
        <is>
          <t>Minnesota Twins</t>
        </is>
      </c>
      <c r="G84" s="24" t="inlineStr">
        <is>
          <t>Seattle Mariners</t>
        </is>
      </c>
      <c r="H84" s="24" t="inlineStr">
        <is>
          <t>spread</t>
        </is>
      </c>
      <c r="I84" s="24" t="inlineStr">
        <is>
          <t>away</t>
        </is>
      </c>
      <c r="J84" s="25" t="n">
        <v>1.5</v>
      </c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0.548643</v>
      </c>
      <c r="P84" s="28" t="n">
        <v>0.042131</v>
      </c>
      <c r="Q84" s="28" t="n">
        <v>-0.041521</v>
      </c>
      <c r="R84" s="26" t="n">
        <v>4</v>
      </c>
      <c r="S84" s="29" t="n">
        <v>1</v>
      </c>
      <c r="T84" s="24" t="inlineStr">
        <is>
          <t>measured-edge-margin-v1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4</v>
      </c>
      <c r="Y84" s="25" t="n">
        <v>1.5</v>
      </c>
      <c r="Z84" s="26" t="n">
        <v>-144</v>
      </c>
      <c r="AA84" s="28" t="n">
        <v>0.59</v>
      </c>
      <c r="AB84" s="28" t="n">
        <v>-0.000164</v>
      </c>
      <c r="AC84" s="30" t="n">
        <v>0.6944</v>
      </c>
      <c r="AD84" s="24" t="inlineStr">
        <is>
          <t>2026-08-01T23:50:59.981913Z</t>
        </is>
      </c>
      <c r="AE84" s="31" t="inlineStr">
        <is>
          <t>Measured Edge Margin: Trend Engine projected 4.36-4.68; raw selected-side p=0.6363, calibrated p=0.5486.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mlb-min</t>
        </is>
      </c>
      <c r="AQ84" s="24" t="inlineStr">
        <is>
          <t>Minnesota Twins</t>
        </is>
      </c>
      <c r="AR84" s="24" t="inlineStr">
        <is>
          <t>Minnesota Twins</t>
        </is>
      </c>
      <c r="AS84" s="24" t="inlineStr">
        <is>
          <t>mlb-sea</t>
        </is>
      </c>
      <c r="AT84" s="24" t="inlineStr">
        <is>
          <t>Seattle Mariners</t>
        </is>
      </c>
      <c r="AU84" s="24" t="inlineStr">
        <is>
          <t>Seattle Mariners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2bc2ce55b0d39a20103f724bbddbde5394909acd49297f52665b596a0ae3ae8b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2bc2ce55b0d39a20103f724bbddbde5394909acd49297f52665b596a0ae3ae8b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2026-08-01T18:38:25.468461Z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-144</v>
      </c>
      <c r="BL84" s="27" t="n">
        <v>1.694444</v>
      </c>
      <c r="BM84" s="28" t="n">
        <v>0.590164</v>
      </c>
      <c r="BN84" s="28" t="n">
        <v>0.5870649999999999</v>
      </c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21428e43c77d4c5e</t>
        </is>
      </c>
      <c r="B85" s="24" t="inlineStr">
        <is>
          <t>2026-08-01T18:38:25.468461Z</t>
        </is>
      </c>
      <c r="C85" s="24" t="inlineStr">
        <is>
          <t>2026-08-01T20:10Z</t>
        </is>
      </c>
      <c r="D85" s="24" t="inlineStr">
        <is>
          <t>401816360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0.5787949999999999</v>
      </c>
      <c r="P85" s="28" t="n">
        <v>0.042131</v>
      </c>
      <c r="Q85" s="28" t="n">
        <v>0.117966</v>
      </c>
      <c r="R85" s="26" t="n">
        <v>84</v>
      </c>
      <c r="S85" s="29" t="n">
        <v>1.25</v>
      </c>
      <c r="T85" s="24" t="inlineStr">
        <is>
          <t>measured-edge-totals-v1</t>
        </is>
      </c>
      <c r="U85" s="24" t="inlineStr">
        <is>
          <t>settled</t>
        </is>
      </c>
      <c r="V85" s="24" t="inlineStr">
        <is>
          <t>loss</t>
        </is>
      </c>
      <c r="W85" s="26" t="n">
        <v>3</v>
      </c>
      <c r="X85" s="26" t="n">
        <v>4</v>
      </c>
      <c r="Y85" s="25" t="n">
        <v>7.5</v>
      </c>
      <c r="Z85" s="26" t="n">
        <v>117</v>
      </c>
      <c r="AA85" s="28" t="n">
        <v>0.46</v>
      </c>
      <c r="AB85" s="28" t="n">
        <v>-0.000829</v>
      </c>
      <c r="AC85" s="30" t="n">
        <v>-1.25</v>
      </c>
      <c r="AD85" s="24" t="inlineStr">
        <is>
          <t>2026-08-01T23:51:00.708985Z</t>
        </is>
      </c>
      <c r="AE85" s="31" t="inlineStr">
        <is>
          <t>Measured Edge Totals: Trend Engine projected 4.36-4.68; raw selected-side p=0.5971, calibrated p=0.5788.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cbc2c9bf5a9569a49e1902c816d96556d704cf10819ca3a9e927721685757d0b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cbc2c9bf5a9569a49e1902c816d96556d704cf10819ca3a9e927721685757d0b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2026-08-01T18:38:25.468461Z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117</v>
      </c>
      <c r="BL85" s="27" t="n">
        <v>2.17</v>
      </c>
      <c r="BM85" s="28" t="n">
        <v>0.460829</v>
      </c>
      <c r="BN85" s="28" t="n">
        <v>0.457711</v>
      </c>
      <c r="BO85" s="28" t="n"/>
      <c r="BP85" s="25" t="n"/>
      <c r="BQ85" s="27" t="n">
        <v>2.17</v>
      </c>
      <c r="BR85" s="28" t="n">
        <v>0.46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2469e3d27f3d4837</t>
        </is>
      </c>
      <c r="B86" s="24" t="inlineStr">
        <is>
          <t>2026-08-01T20:15:07.885436Z</t>
        </is>
      </c>
      <c r="C86" s="24" t="inlineStr">
        <is>
          <t>2026-08-01T18:40:00-0400</t>
        </is>
      </c>
      <c r="D86" s="24" t="inlineStr">
        <is>
          <t>401816351</t>
        </is>
      </c>
      <c r="E86" s="24" t="inlineStr">
        <is>
          <t>MLB</t>
        </is>
      </c>
      <c r="F86" s="24" t="inlineStr">
        <is>
          <t>Pittsburgh Pirates</t>
        </is>
      </c>
      <c r="G86" s="24" t="inlineStr">
        <is>
          <t>Cincinnati Reds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-113</v>
      </c>
      <c r="M86" s="27" t="n">
        <v>1.884956</v>
      </c>
      <c r="N86" s="28" t="n">
        <v>0.530516</v>
      </c>
      <c r="O86" s="28" t="n">
        <v>0.514401</v>
      </c>
      <c r="P86" s="28" t="n"/>
      <c r="Q86" s="28" t="n">
        <v>-0.016115</v>
      </c>
      <c r="R86" s="26" t="n">
        <v>14</v>
      </c>
      <c r="S86" s="29" t="n">
        <v>1</v>
      </c>
      <c r="T86" s="24" t="inlineStr">
        <is>
          <t>mlb-elo-trend-lr-v7</t>
        </is>
      </c>
      <c r="U86" s="24" t="inlineStr">
        <is>
          <t>settled</t>
        </is>
      </c>
      <c r="V86" s="24" t="inlineStr">
        <is>
          <t>win</t>
        </is>
      </c>
      <c r="W86" s="26" t="n">
        <v>4</v>
      </c>
      <c r="X86" s="26" t="n">
        <v>1</v>
      </c>
      <c r="Y86" s="25" t="n"/>
      <c r="Z86" s="26" t="n">
        <v>-113</v>
      </c>
      <c r="AA86" s="28" t="n">
        <v>0.53</v>
      </c>
      <c r="AB86" s="28" t="n">
        <v>-0.000516</v>
      </c>
      <c r="AC86" s="30" t="n">
        <v>0.885</v>
      </c>
      <c r="AD86" s="24" t="inlineStr">
        <is>
          <t>2026-08-02T03:25:53.630797Z</t>
        </is>
      </c>
      <c r="AE86" s="31" t="inlineStr">
        <is>
          <t>Learned LR call at threshold 0.6242; executable ask 0.5300 (aec-mlb-pit-cin-2026-08-01); model edge vs ask -0.0156.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mlb-pit</t>
        </is>
      </c>
      <c r="AQ86" s="24" t="inlineStr">
        <is>
          <t>Pittsburgh Pirates</t>
        </is>
      </c>
      <c r="AR86" s="24" t="inlineStr">
        <is>
          <t>Pittsburgh Pirates</t>
        </is>
      </c>
      <c r="AS86" s="24" t="inlineStr">
        <is>
          <t>mlb-cin</t>
        </is>
      </c>
      <c r="AT86" s="24" t="inlineStr">
        <is>
          <t>Cincinnati Reds</t>
        </is>
      </c>
      <c r="AU86" s="24" t="inlineStr">
        <is>
          <t>Cincinnati Reds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464eef695bfbbdaa819ec6f5e4c5bd1068ed20b92915fb2677220ae91e20d8b6</t>
        </is>
      </c>
      <c r="BB86" s="24" t="inlineStr">
        <is>
          <t>learned_lr</t>
        </is>
      </c>
      <c r="BC86" s="24" t="inlineStr">
        <is>
          <t>mlb-elo-trend-lr-v7</t>
        </is>
      </c>
      <c r="BD86" s="24" t="inlineStr">
        <is>
          <t>464eef695bfbbdaa819ec6f5e4c5bd1068ed20b92915fb2677220ae91e20d8b6</t>
        </is>
      </c>
      <c r="BE86" s="24" t="inlineStr">
        <is>
          <t>8c1940db78503612</t>
        </is>
      </c>
      <c r="BF86" s="24" t="inlineStr">
        <is>
          <t>1</t>
        </is>
      </c>
      <c r="BG86" s="24" t="inlineStr">
        <is>
          <t>mlb-elo-trend-lr-v7</t>
        </is>
      </c>
      <c r="BH86" s="24" t="inlineStr">
        <is>
          <t>2026-08-01T20:14:06.422794Z</t>
        </is>
      </c>
      <c r="BI86" s="24" t="inlineStr">
        <is>
          <t>["same_event","same_team_same_day","same_league_same_day"]</t>
        </is>
      </c>
      <c r="BJ86" s="25" t="n"/>
      <c r="BK86" s="26" t="n">
        <v>-113</v>
      </c>
      <c r="BL86" s="27" t="n">
        <v>1.884956</v>
      </c>
      <c r="BM86" s="28" t="n">
        <v>0.530516</v>
      </c>
      <c r="BN86" s="28" t="n">
        <v>0.527363</v>
      </c>
      <c r="BO86" s="28" t="n"/>
      <c r="BP86" s="25" t="n"/>
      <c r="BQ86" s="27" t="n">
        <v>1.884956</v>
      </c>
      <c r="BR86" s="28" t="n">
        <v>0.53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0.4970624032</t>
        </is>
      </c>
      <c r="CD86" s="24" t="inlineStr">
        <is>
          <t>1.00651</t>
        </is>
      </c>
      <c r="CE86" s="24" t="inlineStr">
        <is>
          <t>1.036</t>
        </is>
      </c>
      <c r="CF86" s="24" t="inlineStr">
        <is>
          <t>1.0084</t>
        </is>
      </c>
      <c r="CG86" s="24" t="inlineStr">
        <is>
          <t>-0.6</t>
        </is>
      </c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bdb8ee06112d422a</t>
        </is>
      </c>
      <c r="B87" s="24" t="inlineStr">
        <is>
          <t>2026-08-01T20:15:07.885436Z</t>
        </is>
      </c>
      <c r="C87" s="24" t="inlineStr">
        <is>
          <t>2026-08-01T19:05:00-0400</t>
        </is>
      </c>
      <c r="D87" s="24" t="inlineStr">
        <is>
          <t>401816350</t>
        </is>
      </c>
      <c r="E87" s="24" t="inlineStr">
        <is>
          <t>MLB</t>
        </is>
      </c>
      <c r="F87" s="24" t="inlineStr">
        <is>
          <t>Philadelphia Phillies</t>
        </is>
      </c>
      <c r="G87" s="24" t="inlineStr">
        <is>
          <t>Baltimore Orioles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-138</v>
      </c>
      <c r="M87" s="27" t="n">
        <v>1.724638</v>
      </c>
      <c r="N87" s="28" t="n">
        <v>0.579832</v>
      </c>
      <c r="O87" s="28" t="n">
        <v>0.513137</v>
      </c>
      <c r="P87" s="28" t="n"/>
      <c r="Q87" s="28" t="n">
        <v>-0.066695</v>
      </c>
      <c r="R87" s="26" t="n">
        <v>0</v>
      </c>
      <c r="S87" s="29" t="n">
        <v>1</v>
      </c>
      <c r="T87" s="24" t="inlineStr">
        <is>
          <t>mlb-elo-trend-lr-v7</t>
        </is>
      </c>
      <c r="U87" s="24" t="inlineStr">
        <is>
          <t>settled</t>
        </is>
      </c>
      <c r="V87" s="24" t="inlineStr">
        <is>
          <t>win</t>
        </is>
      </c>
      <c r="W87" s="26" t="n">
        <v>5</v>
      </c>
      <c r="X87" s="26" t="n">
        <v>0</v>
      </c>
      <c r="Y87" s="25" t="n"/>
      <c r="Z87" s="26" t="n">
        <v>-138</v>
      </c>
      <c r="AA87" s="28" t="n">
        <v>0.58</v>
      </c>
      <c r="AB87" s="28" t="n">
        <v>0.000168</v>
      </c>
      <c r="AC87" s="30" t="n">
        <v>0.7246</v>
      </c>
      <c r="AD87" s="24" t="inlineStr">
        <is>
          <t>2026-08-02T03:25:54.081558Z</t>
        </is>
      </c>
      <c r="AE87" s="31" t="inlineStr">
        <is>
          <t>Learned LR call at threshold 0.6242; executable ask 0.5800 (aec-mlb-phi-bal-2026-08-01); model edge vs ask -0.0669.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mlb-phi</t>
        </is>
      </c>
      <c r="AQ87" s="24" t="inlineStr">
        <is>
          <t>Philadelphia Phillies</t>
        </is>
      </c>
      <c r="AR87" s="24" t="inlineStr">
        <is>
          <t>Philadelphia Phillies</t>
        </is>
      </c>
      <c r="AS87" s="24" t="inlineStr">
        <is>
          <t>mlb-bal</t>
        </is>
      </c>
      <c r="AT87" s="24" t="inlineStr">
        <is>
          <t>Baltimore Orioles</t>
        </is>
      </c>
      <c r="AU87" s="24" t="inlineStr">
        <is>
          <t>Baltimore Orioles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464eef695bfbbdaa819ec6f5e4c5bd1068ed20b92915fb2677220ae91e20d8b6</t>
        </is>
      </c>
      <c r="BB87" s="24" t="inlineStr">
        <is>
          <t>learned_lr</t>
        </is>
      </c>
      <c r="BC87" s="24" t="inlineStr">
        <is>
          <t>mlb-elo-trend-lr-v7</t>
        </is>
      </c>
      <c r="BD87" s="24" t="inlineStr">
        <is>
          <t>464eef695bfbbdaa819ec6f5e4c5bd1068ed20b92915fb2677220ae91e20d8b6</t>
        </is>
      </c>
      <c r="BE87" s="24" t="inlineStr">
        <is>
          <t>d586eb6336d4b039</t>
        </is>
      </c>
      <c r="BF87" s="24" t="inlineStr">
        <is>
          <t>1</t>
        </is>
      </c>
      <c r="BG87" s="24" t="inlineStr">
        <is>
          <t>mlb-elo-trend-lr-v7</t>
        </is>
      </c>
      <c r="BH87" s="24" t="inlineStr">
        <is>
          <t>2026-08-01T20:14:07.264311Z</t>
        </is>
      </c>
      <c r="BI87" s="24" t="inlineStr">
        <is>
          <t>["same_event","same_team_same_day","same_league_same_day"]</t>
        </is>
      </c>
      <c r="BJ87" s="25" t="n"/>
      <c r="BK87" s="26" t="n">
        <v>-138</v>
      </c>
      <c r="BL87" s="27" t="n">
        <v>1.724638</v>
      </c>
      <c r="BM87" s="28" t="n">
        <v>0.579832</v>
      </c>
      <c r="BN87" s="28" t="n">
        <v>0.577114</v>
      </c>
      <c r="BO87" s="28" t="n"/>
      <c r="BP87" s="25" t="n"/>
      <c r="BQ87" s="27" t="n">
        <v>1.724638</v>
      </c>
      <c r="BR87" s="28" t="n">
        <v>0.58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0.4932721792</t>
        </is>
      </c>
      <c r="CD87" s="24" t="inlineStr">
        <is>
          <t>1.020825</t>
        </is>
      </c>
      <c r="CE87" s="24" t="inlineStr">
        <is>
          <t>1.03</t>
        </is>
      </c>
      <c r="CF87" s="24" t="inlineStr">
        <is>
          <t>1.0145</t>
        </is>
      </c>
      <c r="CG87" s="24" t="inlineStr">
        <is>
          <t>1.6</t>
        </is>
      </c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9afb3d9535a94f55</t>
        </is>
      </c>
      <c r="B88" s="24" t="inlineStr">
        <is>
          <t>2026-08-01T20:15:07.885436Z</t>
        </is>
      </c>
      <c r="C88" s="24" t="inlineStr">
        <is>
          <t>2026-08-01T19:10:00-0400</t>
        </is>
      </c>
      <c r="D88" s="24" t="inlineStr">
        <is>
          <t>401816355</t>
        </is>
      </c>
      <c r="E88" s="24" t="inlineStr">
        <is>
          <t>MLB</t>
        </is>
      </c>
      <c r="F88" s="24" t="inlineStr">
        <is>
          <t>Texas Rangers</t>
        </is>
      </c>
      <c r="G88" s="24" t="inlineStr">
        <is>
          <t>Houston Astros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115</v>
      </c>
      <c r="M88" s="27" t="n">
        <v>2.15</v>
      </c>
      <c r="N88" s="28" t="n">
        <v>0.465116</v>
      </c>
      <c r="O88" s="28" t="n">
        <v>0.542652</v>
      </c>
      <c r="P88" s="28" t="n"/>
      <c r="Q88" s="28" t="n">
        <v>0.07753599999999999</v>
      </c>
      <c r="R88" s="26" t="n">
        <v>60</v>
      </c>
      <c r="S88" s="29" t="n">
        <v>1</v>
      </c>
      <c r="T88" s="24" t="inlineStr">
        <is>
          <t>mlb-elo-trend-lr-v7</t>
        </is>
      </c>
      <c r="U88" s="24" t="inlineStr">
        <is>
          <t>settled</t>
        </is>
      </c>
      <c r="V88" s="24" t="inlineStr">
        <is>
          <t>win</t>
        </is>
      </c>
      <c r="W88" s="26" t="n">
        <v>4</v>
      </c>
      <c r="X88" s="26" t="n">
        <v>5</v>
      </c>
      <c r="Y88" s="25" t="n"/>
      <c r="Z88" s="26" t="n">
        <v>115</v>
      </c>
      <c r="AA88" s="28" t="n">
        <v>0.465</v>
      </c>
      <c r="AB88" s="28" t="n">
        <v>-0.000116</v>
      </c>
      <c r="AC88" s="30" t="n">
        <v>1.15</v>
      </c>
      <c r="AD88" s="24" t="inlineStr">
        <is>
          <t>2026-08-02T03:25:54.632517Z</t>
        </is>
      </c>
      <c r="AE88" s="31" t="inlineStr">
        <is>
          <t>Learned LR call at threshold 0.6242; executable ask 0.4650 (aec-mlb-tex-hou-2026-08-01); model edge vs ask +0.0777.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mlb-tex</t>
        </is>
      </c>
      <c r="AQ88" s="24" t="inlineStr">
        <is>
          <t>Texas Rangers</t>
        </is>
      </c>
      <c r="AR88" s="24" t="inlineStr">
        <is>
          <t>Texas Rangers</t>
        </is>
      </c>
      <c r="AS88" s="24" t="inlineStr">
        <is>
          <t>mlb-hou</t>
        </is>
      </c>
      <c r="AT88" s="24" t="inlineStr">
        <is>
          <t>Houston Astros</t>
        </is>
      </c>
      <c r="AU88" s="24" t="inlineStr">
        <is>
          <t>Houston Astros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464eef695bfbbdaa819ec6f5e4c5bd1068ed20b92915fb2677220ae91e20d8b6</t>
        </is>
      </c>
      <c r="BB88" s="24" t="inlineStr">
        <is>
          <t>learned_lr</t>
        </is>
      </c>
      <c r="BC88" s="24" t="inlineStr">
        <is>
          <t>mlb-elo-trend-lr-v7</t>
        </is>
      </c>
      <c r="BD88" s="24" t="inlineStr">
        <is>
          <t>464eef695bfbbdaa819ec6f5e4c5bd1068ed20b92915fb2677220ae91e20d8b6</t>
        </is>
      </c>
      <c r="BE88" s="24" t="inlineStr">
        <is>
          <t>f2965fa6c6fef7a3</t>
        </is>
      </c>
      <c r="BF88" s="24" t="inlineStr">
        <is>
          <t>1</t>
        </is>
      </c>
      <c r="BG88" s="24" t="inlineStr">
        <is>
          <t>mlb-elo-trend-lr-v7</t>
        </is>
      </c>
      <c r="BH88" s="24" t="inlineStr">
        <is>
          <t>2026-08-01T20:14:08.292559Z</t>
        </is>
      </c>
      <c r="BI88" s="24" t="inlineStr">
        <is>
          <t>["same_event","same_team_same_day","same_league_same_day"]</t>
        </is>
      </c>
      <c r="BJ88" s="25" t="n"/>
      <c r="BK88" s="26" t="n">
        <v>115</v>
      </c>
      <c r="BL88" s="27" t="n">
        <v>2.15</v>
      </c>
      <c r="BM88" s="28" t="n">
        <v>0.465116</v>
      </c>
      <c r="BN88" s="28" t="n">
        <v>0.462687</v>
      </c>
      <c r="BO88" s="28" t="n"/>
      <c r="BP88" s="25" t="n"/>
      <c r="BQ88" s="27" t="n">
        <v>2.15</v>
      </c>
      <c r="BR88" s="28" t="n">
        <v>0.465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0.5536392121</t>
        </is>
      </c>
      <c r="CD88" s="24" t="inlineStr">
        <is>
          <t>2.366358</t>
        </is>
      </c>
      <c r="CE88" s="24" t="inlineStr">
        <is>
          <t>0.956</t>
        </is>
      </c>
      <c r="CF88" s="24" t="inlineStr">
        <is>
          <t>1</t>
        </is>
      </c>
      <c r="CG88" s="24" t="inlineStr">
        <is>
          <t>0.6</t>
        </is>
      </c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80decdff0e21477d</t>
        </is>
      </c>
      <c r="B89" s="24" t="inlineStr">
        <is>
          <t>2026-08-01T20:15:07.885436Z</t>
        </is>
      </c>
      <c r="C89" s="24" t="inlineStr">
        <is>
          <t>2026-08-01T19:15:00-0400</t>
        </is>
      </c>
      <c r="D89" s="24" t="inlineStr">
        <is>
          <t>401816347</t>
        </is>
      </c>
      <c r="E89" s="24" t="inlineStr">
        <is>
          <t>MLB</t>
        </is>
      </c>
      <c r="F89" s="24" t="inlineStr">
        <is>
          <t>Arizona Diamondbacks</t>
        </is>
      </c>
      <c r="G89" s="24" t="inlineStr">
        <is>
          <t>Cleveland Guardians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0.534072</v>
      </c>
      <c r="P89" s="28" t="n"/>
      <c r="Q89" s="28" t="n">
        <v>-0.0857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loss</t>
        </is>
      </c>
      <c r="W89" s="26" t="n">
        <v>12</v>
      </c>
      <c r="X89" s="26" t="n">
        <v>8</v>
      </c>
      <c r="Y89" s="25" t="n"/>
      <c r="Z89" s="26" t="n">
        <v>-163</v>
      </c>
      <c r="AA89" s="28" t="n">
        <v>0.62</v>
      </c>
      <c r="AB89" s="28" t="n">
        <v>0.000228</v>
      </c>
      <c r="AC89" s="30" t="n">
        <v>-1</v>
      </c>
      <c r="AD89" s="24" t="inlineStr">
        <is>
          <t>2026-08-02T03:25:55.198220Z</t>
        </is>
      </c>
      <c r="AE89" s="31" t="inlineStr">
        <is>
          <t>Learned LR call at threshold 0.6242; executable ask 0.6200 (aec-mlb-az-cle-2026-08-01); model edge vs ask -0.0859.</t>
        </is>
      </c>
      <c r="AF89" s="31" t="inlineStr">
        <is>
          <t>Learned model; shadow-qualified via operator override.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mlb-ari</t>
        </is>
      </c>
      <c r="AQ89" s="24" t="inlineStr">
        <is>
          <t>Arizona Diamondbacks</t>
        </is>
      </c>
      <c r="AR89" s="24" t="inlineStr">
        <is>
          <t>Arizona Diamondbacks</t>
        </is>
      </c>
      <c r="AS89" s="24" t="inlineStr">
        <is>
          <t>mlb-cle</t>
        </is>
      </c>
      <c r="AT89" s="24" t="inlineStr">
        <is>
          <t>Cleveland Guardians</t>
        </is>
      </c>
      <c r="AU89" s="24" t="inlineStr">
        <is>
          <t>Cleveland Guardians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5291b1c09a366ec8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2026-08-01T20:14:10.378899Z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>
        <v>0.616915</v>
      </c>
      <c r="BO89" s="28" t="n"/>
      <c r="BP89" s="25" t="n"/>
      <c r="BQ89" s="27" t="n">
        <v>1.613497</v>
      </c>
      <c r="BR89" s="28" t="n">
        <v>0.62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0.5245055589</t>
        </is>
      </c>
      <c r="CD89" s="24" t="inlineStr">
        <is>
          <t>-0.916106</t>
        </is>
      </c>
      <c r="CE89" s="24" t="inlineStr">
        <is>
          <t>0.966</t>
        </is>
      </c>
      <c r="CF89" s="24" t="inlineStr">
        <is>
          <t>1.0098</t>
        </is>
      </c>
      <c r="CG89" s="24" t="inlineStr">
        <is>
          <t>-1.6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826ef427778d489b</t>
        </is>
      </c>
      <c r="B90" s="24" t="inlineStr">
        <is>
          <t>2026-08-01T20:15:07.885436Z</t>
        </is>
      </c>
      <c r="C90" s="24" t="inlineStr">
        <is>
          <t>2026-08-01T19:15:00-0400</t>
        </is>
      </c>
      <c r="D90" s="24" t="inlineStr">
        <is>
          <t>401816353</t>
        </is>
      </c>
      <c r="E90" s="24" t="inlineStr">
        <is>
          <t>MLB</t>
        </is>
      </c>
      <c r="F90" s="24" t="inlineStr">
        <is>
          <t>Washington Nationals</t>
        </is>
      </c>
      <c r="G90" s="24" t="inlineStr">
        <is>
          <t>Atlanta Braves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-160</v>
      </c>
      <c r="M90" s="27" t="n">
        <v>1.625</v>
      </c>
      <c r="N90" s="28" t="n">
        <v>0.615385</v>
      </c>
      <c r="O90" s="28" t="n">
        <v>0.6128</v>
      </c>
      <c r="P90" s="28" t="n"/>
      <c r="Q90" s="28" t="n">
        <v>-0.002585</v>
      </c>
      <c r="R90" s="26" t="n">
        <v>20</v>
      </c>
      <c r="S90" s="29" t="n">
        <v>1.5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3</v>
      </c>
      <c r="X90" s="26" t="n">
        <v>8</v>
      </c>
      <c r="Y90" s="25" t="n"/>
      <c r="Z90" s="26" t="n">
        <v>-160</v>
      </c>
      <c r="AA90" s="28" t="n">
        <v>0.615</v>
      </c>
      <c r="AB90" s="28" t="n">
        <v>-0.000385</v>
      </c>
      <c r="AC90" s="30" t="n">
        <v>0.9375</v>
      </c>
      <c r="AD90" s="24" t="inlineStr">
        <is>
          <t>2026-08-02T03:25:55.762276Z</t>
        </is>
      </c>
      <c r="AE90" s="31" t="inlineStr">
        <is>
          <t>Learned LR call at threshold 0.6242; executable ask 0.6150 (aec-mlb-wsh-atl-2026-08-01); model edge vs ask -0.0022.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mlb-wsh</t>
        </is>
      </c>
      <c r="AQ90" s="24" t="inlineStr">
        <is>
          <t>Washington Nationals</t>
        </is>
      </c>
      <c r="AR90" s="24" t="inlineStr">
        <is>
          <t>Washington Nationals</t>
        </is>
      </c>
      <c r="AS90" s="24" t="inlineStr">
        <is>
          <t>mlb-atl</t>
        </is>
      </c>
      <c r="AT90" s="24" t="inlineStr">
        <is>
          <t>Atlanta Braves</t>
        </is>
      </c>
      <c r="AU90" s="24" t="inlineStr">
        <is>
          <t>Atlanta Braves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d766ec0b9c7d91f2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2026-08-01T20:14:11.394186Z</t>
        </is>
      </c>
      <c r="BI90" s="24" t="inlineStr">
        <is>
          <t>["same_event","same_team_same_day","same_league_same_day"]</t>
        </is>
      </c>
      <c r="BJ90" s="25" t="n"/>
      <c r="BK90" s="26" t="n">
        <v>-160</v>
      </c>
      <c r="BL90" s="27" t="n">
        <v>1.625</v>
      </c>
      <c r="BM90" s="28" t="n">
        <v>0.615385</v>
      </c>
      <c r="BN90" s="28" t="n">
        <v>0.61194</v>
      </c>
      <c r="BO90" s="28" t="n"/>
      <c r="BP90" s="25" t="n"/>
      <c r="BQ90" s="27" t="n">
        <v>1.625</v>
      </c>
      <c r="BR90" s="28" t="n">
        <v>0.615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0.6266199013</t>
        </is>
      </c>
      <c r="CD90" s="24" t="inlineStr">
        <is>
          <t>0.430565</t>
        </is>
      </c>
      <c r="CE90" s="24" t="inlineStr">
        <is>
          <t>0.929</t>
        </is>
      </c>
      <c r="CF90" s="24" t="inlineStr">
        <is>
          <t>1.0145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33337a0a2b594340</t>
        </is>
      </c>
      <c r="B91" s="24" t="inlineStr">
        <is>
          <t>2026-08-01T20:15:07.885436Z</t>
        </is>
      </c>
      <c r="C91" s="24" t="inlineStr">
        <is>
          <t>2026-08-01T19:15:00-0400</t>
        </is>
      </c>
      <c r="D91" s="24" t="inlineStr">
        <is>
          <t>401816354</t>
        </is>
      </c>
      <c r="E91" s="24" t="inlineStr">
        <is>
          <t>MLB</t>
        </is>
      </c>
      <c r="F91" s="24" t="inlineStr">
        <is>
          <t>New York Yankees</t>
        </is>
      </c>
      <c r="G91" s="24" t="inlineStr">
        <is>
          <t>Chicago Cubs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-111</v>
      </c>
      <c r="M91" s="27" t="n">
        <v>1.900901</v>
      </c>
      <c r="N91" s="28" t="n">
        <v>0.526066</v>
      </c>
      <c r="O91" s="28" t="n">
        <v>0.546777</v>
      </c>
      <c r="P91" s="28" t="n"/>
      <c r="Q91" s="28" t="n">
        <v>0.020711</v>
      </c>
      <c r="R91" s="26" t="n">
        <v>32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win</t>
        </is>
      </c>
      <c r="W91" s="26" t="n">
        <v>2</v>
      </c>
      <c r="X91" s="26" t="n">
        <v>5</v>
      </c>
      <c r="Y91" s="25" t="n"/>
      <c r="Z91" s="26" t="n">
        <v>-111</v>
      </c>
      <c r="AA91" s="28" t="n">
        <v>0.525</v>
      </c>
      <c r="AB91" s="28" t="n">
        <v>-0.001066</v>
      </c>
      <c r="AC91" s="30" t="n">
        <v>0.9009</v>
      </c>
      <c r="AD91" s="24" t="inlineStr">
        <is>
          <t>2026-08-02T03:25:56.350258Z</t>
        </is>
      </c>
      <c r="AE91" s="31" t="inlineStr">
        <is>
          <t>Learned LR call at threshold 0.6242; executable ask 0.5250 (aec-mlb-nyy-chc-2026-08-01); model edge vs ask +0.0218.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mlb-nyy</t>
        </is>
      </c>
      <c r="AQ91" s="24" t="inlineStr">
        <is>
          <t>New York Yankees</t>
        </is>
      </c>
      <c r="AR91" s="24" t="inlineStr">
        <is>
          <t>New York Yankees</t>
        </is>
      </c>
      <c r="AS91" s="24" t="inlineStr">
        <is>
          <t>mlb-chc</t>
        </is>
      </c>
      <c r="AT91" s="24" t="inlineStr">
        <is>
          <t>Chicago Cubs</t>
        </is>
      </c>
      <c r="AU91" s="24" t="inlineStr">
        <is>
          <t>Chicago Cubs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7cb47d99adfeb29c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2026-08-01T20:14:09.257400Z</t>
        </is>
      </c>
      <c r="BI91" s="24" t="inlineStr">
        <is>
          <t>["same_event","same_team_same_day","same_league_same_day"]</t>
        </is>
      </c>
      <c r="BJ91" s="25" t="n"/>
      <c r="BK91" s="26" t="n">
        <v>-111</v>
      </c>
      <c r="BL91" s="27" t="n">
        <v>1.900901</v>
      </c>
      <c r="BM91" s="28" t="n">
        <v>0.526066</v>
      </c>
      <c r="BN91" s="28" t="n">
        <v>0.522388</v>
      </c>
      <c r="BO91" s="28" t="n"/>
      <c r="BP91" s="25" t="n"/>
      <c r="BQ91" s="27" t="n">
        <v>1.900901</v>
      </c>
      <c r="BR91" s="28" t="n">
        <v>0.525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0.5407844181</t>
        </is>
      </c>
      <c r="CD91" s="24" t="inlineStr">
        <is>
          <t>-0.04604</t>
        </is>
      </c>
      <c r="CE91" s="24" t="inlineStr">
        <is>
          <t>0.986</t>
        </is>
      </c>
      <c r="CF91" s="24" t="inlineStr">
        <is>
          <t>1.0117</t>
        </is>
      </c>
      <c r="CG91" s="24" t="inlineStr">
        <is>
          <t>-0.6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4aa24f315791436a</t>
        </is>
      </c>
      <c r="B92" s="24" t="inlineStr">
        <is>
          <t>2026-08-01T20:15:41.530944Z</t>
        </is>
      </c>
      <c r="C92" s="24" t="inlineStr">
        <is>
          <t>2026-08-01T22:40Z</t>
        </is>
      </c>
      <c r="D92" s="24" t="inlineStr">
        <is>
          <t>401816351</t>
        </is>
      </c>
      <c r="E92" s="24" t="inlineStr">
        <is>
          <t>MLB</t>
        </is>
      </c>
      <c r="F92" s="24" t="inlineStr">
        <is>
          <t>Pittsburgh Pirates</t>
        </is>
      </c>
      <c r="G92" s="24" t="inlineStr">
        <is>
          <t>Cincinnati Reds</t>
        </is>
      </c>
      <c r="H92" s="24" t="inlineStr">
        <is>
          <t>spread</t>
        </is>
      </c>
      <c r="I92" s="24" t="inlineStr">
        <is>
          <t>home</t>
        </is>
      </c>
      <c r="J92" s="25" t="n">
        <v>1.5</v>
      </c>
      <c r="K92" s="24" t="inlineStr">
        <is>
          <t>polymarket_us</t>
        </is>
      </c>
      <c r="L92" s="26" t="n">
        <v>-147</v>
      </c>
      <c r="M92" s="27" t="n">
        <v>1.680272</v>
      </c>
      <c r="N92" s="28" t="n">
        <v>0.5951419999999999</v>
      </c>
      <c r="O92" s="28" t="n">
        <v>0.641669</v>
      </c>
      <c r="P92" s="28" t="n">
        <v>0.042131</v>
      </c>
      <c r="Q92" s="28" t="n">
        <v>0.046527</v>
      </c>
      <c r="R92" s="26" t="n">
        <v>48</v>
      </c>
      <c r="S92" s="29" t="n">
        <v>1.75</v>
      </c>
      <c r="T92" s="24" t="inlineStr">
        <is>
          <t>measured-edge-margin-v2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1</v>
      </c>
      <c r="Y92" s="25" t="n">
        <v>1.5</v>
      </c>
      <c r="Z92" s="26" t="n">
        <v>-147</v>
      </c>
      <c r="AA92" s="28" t="n">
        <v>0.595</v>
      </c>
      <c r="AB92" s="28" t="n">
        <v>-0.000142</v>
      </c>
      <c r="AC92" s="30" t="n">
        <v>-1.75</v>
      </c>
      <c r="AD92" s="24" t="inlineStr">
        <is>
          <t>2026-08-02T03:25:57.031730Z</t>
        </is>
      </c>
      <c r="AE92" s="31" t="inlineStr">
        <is>
          <t>Measured Edge Margin: Trend Engine projected 4.48-5.03; raw selected-side p=0.7158, calibrated p=0.6417.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mlb-pit</t>
        </is>
      </c>
      <c r="AQ92" s="24" t="inlineStr">
        <is>
          <t>Pittsburgh Pirates</t>
        </is>
      </c>
      <c r="AR92" s="24" t="inlineStr">
        <is>
          <t>Pittsburgh Pirates</t>
        </is>
      </c>
      <c r="AS92" s="24" t="inlineStr">
        <is>
          <t>mlb-cin</t>
        </is>
      </c>
      <c r="AT92" s="24" t="inlineStr">
        <is>
          <t>Cincinnati Reds</t>
        </is>
      </c>
      <c r="AU92" s="24" t="inlineStr">
        <is>
          <t>Cincinnati Reds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8360b122264b796b0fb193095cfe4506c7e064e5f3f8c0a659aec41efd08dd25</t>
        </is>
      </c>
      <c r="BB92" s="24" t="inlineStr">
        <is>
          <t>flat_probability_shrinkage_toward_half</t>
        </is>
      </c>
      <c r="BC92" s="24" t="inlineStr">
        <is>
          <t>measured-edge-margin-v2</t>
        </is>
      </c>
      <c r="BD92" s="24" t="inlineStr">
        <is>
          <t>8360b122264b796b0fb193095cfe4506c7e064e5f3f8c0a659aec41efd08dd25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2026-08-01T20:15:41.530944Z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-147</v>
      </c>
      <c r="BL92" s="27" t="n">
        <v>1.680272</v>
      </c>
      <c r="BM92" s="28" t="n">
        <v>0.5951419999999999</v>
      </c>
      <c r="BN92" s="28" t="n">
        <v>0.59204</v>
      </c>
      <c r="BO92" s="28" t="n"/>
      <c r="BP92" s="25" t="n"/>
      <c r="BQ92" s="27" t="n">
        <v>1.680272</v>
      </c>
      <c r="BR92" s="28" t="n">
        <v>0.595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f8042d9d33e049b2</t>
        </is>
      </c>
      <c r="B93" s="24" t="inlineStr">
        <is>
          <t>2026-08-01T20:15:41.530944Z</t>
        </is>
      </c>
      <c r="C93" s="24" t="inlineStr">
        <is>
          <t>2026-08-01T22:40Z</t>
        </is>
      </c>
      <c r="D93" s="24" t="inlineStr">
        <is>
          <t>401816351</t>
        </is>
      </c>
      <c r="E93" s="24" t="inlineStr">
        <is>
          <t>MLB</t>
        </is>
      </c>
      <c r="F93" s="24" t="inlineStr">
        <is>
          <t>Pittsburgh Pirates</t>
        </is>
      </c>
      <c r="G93" s="24" t="inlineStr">
        <is>
          <t>Cincinnati Reds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106</v>
      </c>
      <c r="M93" s="27" t="n">
        <v>2.06</v>
      </c>
      <c r="N93" s="28" t="n">
        <v>0.485437</v>
      </c>
      <c r="O93" s="28" t="n">
        <v>0.529614</v>
      </c>
      <c r="P93" s="28" t="n">
        <v>0.042131</v>
      </c>
      <c r="Q93" s="28" t="n">
        <v>0.044177</v>
      </c>
      <c r="R93" s="26" t="n">
        <v>47</v>
      </c>
      <c r="S93" s="29" t="n">
        <v>1</v>
      </c>
      <c r="T93" s="24" t="inlineStr">
        <is>
          <t>measured-edge-totals-v2</t>
        </is>
      </c>
      <c r="U93" s="24" t="inlineStr">
        <is>
          <t>settled</t>
        </is>
      </c>
      <c r="V93" s="24" t="inlineStr">
        <is>
          <t>loss</t>
        </is>
      </c>
      <c r="W93" s="26" t="n">
        <v>4</v>
      </c>
      <c r="X93" s="26" t="n">
        <v>1</v>
      </c>
      <c r="Y93" s="25" t="n">
        <v>8.5</v>
      </c>
      <c r="Z93" s="26" t="n">
        <v>106</v>
      </c>
      <c r="AA93" s="28" t="n">
        <v>0.485</v>
      </c>
      <c r="AB93" s="28" t="n">
        <v>-0.000437</v>
      </c>
      <c r="AC93" s="30" t="n">
        <v>-1</v>
      </c>
      <c r="AD93" s="24" t="inlineStr">
        <is>
          <t>2026-08-02T03:25:57.664534Z</t>
        </is>
      </c>
      <c r="AE93" s="31" t="inlineStr">
        <is>
          <t>Measured Edge Totals: Trend Engine projected 4.48-5.03; raw selected-side p=0.5634, calibrated p=0.5296.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mlb-pit</t>
        </is>
      </c>
      <c r="AQ93" s="24" t="inlineStr">
        <is>
          <t>Pittsburgh Pirates</t>
        </is>
      </c>
      <c r="AR93" s="24" t="inlineStr">
        <is>
          <t>Pittsburgh Pirates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433578016242b27f9c1c7132cc6b5a2bcc7dd1b0234590c12a944455a88e71bd</t>
        </is>
      </c>
      <c r="BB93" s="24" t="inlineStr">
        <is>
          <t>flat_probability_shrinkage_toward_half</t>
        </is>
      </c>
      <c r="BC93" s="24" t="inlineStr">
        <is>
          <t>measured-edge-totals-v2</t>
        </is>
      </c>
      <c r="BD93" s="24" t="inlineStr">
        <is>
          <t>433578016242b27f9c1c7132cc6b5a2bcc7dd1b0234590c12a944455a88e71bd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2026-08-01T20:15:41.530944Z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106</v>
      </c>
      <c r="BL93" s="27" t="n">
        <v>2.06</v>
      </c>
      <c r="BM93" s="28" t="n">
        <v>0.485437</v>
      </c>
      <c r="BN93" s="28" t="n">
        <v>0.482587</v>
      </c>
      <c r="BO93" s="28" t="n"/>
      <c r="BP93" s="25" t="n"/>
      <c r="BQ93" s="27" t="n">
        <v>2.06</v>
      </c>
      <c r="BR93" s="28" t="n">
        <v>0.485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467a3dcd365542d4</t>
        </is>
      </c>
      <c r="B94" s="24" t="inlineStr">
        <is>
          <t>2026-08-01T20:15:41.530944Z</t>
        </is>
      </c>
      <c r="C94" s="24" t="inlineStr">
        <is>
          <t>2026-08-01T23:05Z</t>
        </is>
      </c>
      <c r="D94" s="24" t="inlineStr">
        <is>
          <t>401816350</t>
        </is>
      </c>
      <c r="E94" s="24" t="inlineStr">
        <is>
          <t>MLB</t>
        </is>
      </c>
      <c r="F94" s="24" t="inlineStr">
        <is>
          <t>Philadelphia Phillies</t>
        </is>
      </c>
      <c r="G94" s="24" t="inlineStr">
        <is>
          <t>Baltimore Orioles</t>
        </is>
      </c>
      <c r="H94" s="24" t="inlineStr">
        <is>
          <t>spread</t>
        </is>
      </c>
      <c r="I94" s="24" t="inlineStr">
        <is>
          <t>home</t>
        </is>
      </c>
      <c r="J94" s="25" t="n">
        <v>1.5</v>
      </c>
      <c r="K94" s="24" t="inlineStr">
        <is>
          <t>polymarket_us</t>
        </is>
      </c>
      <c r="L94" s="26" t="n">
        <v>-125</v>
      </c>
      <c r="M94" s="27" t="n">
        <v>1.8</v>
      </c>
      <c r="N94" s="28" t="n">
        <v>0.555556</v>
      </c>
      <c r="O94" s="28" t="n">
        <v>0.634813</v>
      </c>
      <c r="P94" s="28" t="n">
        <v>0.042131</v>
      </c>
      <c r="Q94" s="28" t="n">
        <v>0.07925699999999999</v>
      </c>
      <c r="R94" s="26" t="n">
        <v>64</v>
      </c>
      <c r="S94" s="29" t="n">
        <v>1.5</v>
      </c>
      <c r="T94" s="24" t="inlineStr">
        <is>
          <t>measured-edge-margin-v2</t>
        </is>
      </c>
      <c r="U94" s="24" t="inlineStr">
        <is>
          <t>settled</t>
        </is>
      </c>
      <c r="V94" s="24" t="inlineStr">
        <is>
          <t>loss</t>
        </is>
      </c>
      <c r="W94" s="26" t="n">
        <v>5</v>
      </c>
      <c r="X94" s="26" t="n">
        <v>0</v>
      </c>
      <c r="Y94" s="25" t="n">
        <v>1.5</v>
      </c>
      <c r="Z94" s="26" t="n">
        <v>-125</v>
      </c>
      <c r="AA94" s="28" t="n">
        <v>0.555</v>
      </c>
      <c r="AB94" s="28" t="n">
        <v>-0.000556</v>
      </c>
      <c r="AC94" s="30" t="n">
        <v>-1.5</v>
      </c>
      <c r="AD94" s="24" t="inlineStr">
        <is>
          <t>2026-08-02T03:25:58.270271Z</t>
        </is>
      </c>
      <c r="AE94" s="31" t="inlineStr">
        <is>
          <t>Measured Edge Margin: Trend Engine projected 4.43-4.91; raw selected-side p=0.7054, calibrated p=0.6348.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mlb-phi</t>
        </is>
      </c>
      <c r="AQ94" s="24" t="inlineStr">
        <is>
          <t>Philadelphia Phillies</t>
        </is>
      </c>
      <c r="AR94" s="24" t="inlineStr">
        <is>
          <t>Philadelphia Phillies</t>
        </is>
      </c>
      <c r="AS94" s="24" t="inlineStr">
        <is>
          <t>mlb-bal</t>
        </is>
      </c>
      <c r="AT94" s="24" t="inlineStr">
        <is>
          <t>Baltimore Orioles</t>
        </is>
      </c>
      <c r="AU94" s="24" t="inlineStr">
        <is>
          <t>Baltimore Orioles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8360b122264b796b0fb193095cfe4506c7e064e5f3f8c0a659aec41efd08dd25</t>
        </is>
      </c>
      <c r="BB94" s="24" t="inlineStr">
        <is>
          <t>flat_probability_shrinkage_toward_half</t>
        </is>
      </c>
      <c r="BC94" s="24" t="inlineStr">
        <is>
          <t>measured-edge-margin-v2</t>
        </is>
      </c>
      <c r="BD94" s="24" t="inlineStr">
        <is>
          <t>8360b122264b796b0fb193095cfe4506c7e064e5f3f8c0a659aec41efd08dd25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2026-08-01T20:15:41.530944Z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-125</v>
      </c>
      <c r="BL94" s="27" t="n">
        <v>1.8</v>
      </c>
      <c r="BM94" s="28" t="n">
        <v>0.555556</v>
      </c>
      <c r="BN94" s="28" t="n">
        <v>0.552239</v>
      </c>
      <c r="BO94" s="28" t="n"/>
      <c r="BP94" s="25" t="n"/>
      <c r="BQ94" s="27" t="n">
        <v>1.8</v>
      </c>
      <c r="BR94" s="28" t="n">
        <v>0.555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524e6e93080f4caf</t>
        </is>
      </c>
      <c r="B95" s="24" t="inlineStr">
        <is>
          <t>2026-08-01T20:15:41.530944Z</t>
        </is>
      </c>
      <c r="C95" s="24" t="inlineStr">
        <is>
          <t>2026-08-01T23:05Z</t>
        </is>
      </c>
      <c r="D95" s="24" t="inlineStr">
        <is>
          <t>401816350</t>
        </is>
      </c>
      <c r="E95" s="24" t="inlineStr">
        <is>
          <t>MLB</t>
        </is>
      </c>
      <c r="F95" s="24" t="inlineStr">
        <is>
          <t>Philadelphia Phillies</t>
        </is>
      </c>
      <c r="G95" s="24" t="inlineStr">
        <is>
          <t>Baltimore Orioles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111</v>
      </c>
      <c r="M95" s="27" t="n">
        <v>2.11</v>
      </c>
      <c r="N95" s="28" t="n">
        <v>0.473934</v>
      </c>
      <c r="O95" s="28" t="n">
        <v>0.523873</v>
      </c>
      <c r="P95" s="28" t="n">
        <v>0.042131</v>
      </c>
      <c r="Q95" s="28" t="n">
        <v>0.049939</v>
      </c>
      <c r="R95" s="26" t="n">
        <v>50</v>
      </c>
      <c r="S95" s="29" t="n">
        <v>1</v>
      </c>
      <c r="T95" s="24" t="inlineStr">
        <is>
          <t>measured-edge-totals-v2</t>
        </is>
      </c>
      <c r="U95" s="24" t="inlineStr">
        <is>
          <t>settled</t>
        </is>
      </c>
      <c r="V95" s="24" t="inlineStr">
        <is>
          <t>loss</t>
        </is>
      </c>
      <c r="W95" s="26" t="n">
        <v>5</v>
      </c>
      <c r="X95" s="26" t="n">
        <v>0</v>
      </c>
      <c r="Y95" s="25" t="n">
        <v>8.5</v>
      </c>
      <c r="Z95" s="26" t="n">
        <v>111</v>
      </c>
      <c r="AA95" s="28" t="n">
        <v>0.475</v>
      </c>
      <c r="AB95" s="28" t="n">
        <v>0.001066</v>
      </c>
      <c r="AC95" s="30" t="n">
        <v>-1</v>
      </c>
      <c r="AD95" s="24" t="inlineStr">
        <is>
          <t>2026-08-02T03:25:58.832776Z</t>
        </is>
      </c>
      <c r="AE95" s="31" t="inlineStr">
        <is>
          <t>Measured Edge Totals: Trend Engine projected 4.43-4.91; raw selected-side p=0.5466, calibrated p=0.5239.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mlb-phi</t>
        </is>
      </c>
      <c r="AQ95" s="24" t="inlineStr">
        <is>
          <t>Philadelphia Phillies</t>
        </is>
      </c>
      <c r="AR95" s="24" t="inlineStr">
        <is>
          <t>Philadelphia Phillies</t>
        </is>
      </c>
      <c r="AS95" s="24" t="inlineStr">
        <is>
          <t>mlb-bal</t>
        </is>
      </c>
      <c r="AT95" s="24" t="inlineStr">
        <is>
          <t>Baltimore Orioles</t>
        </is>
      </c>
      <c r="AU95" s="24" t="inlineStr">
        <is>
          <t>Baltimore Orioles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433578016242b27f9c1c7132cc6b5a2bcc7dd1b0234590c12a944455a88e71bd</t>
        </is>
      </c>
      <c r="BB95" s="24" t="inlineStr">
        <is>
          <t>flat_probability_shrinkage_toward_half</t>
        </is>
      </c>
      <c r="BC95" s="24" t="inlineStr">
        <is>
          <t>measured-edge-totals-v2</t>
        </is>
      </c>
      <c r="BD95" s="24" t="inlineStr">
        <is>
          <t>433578016242b27f9c1c7132cc6b5a2bcc7dd1b0234590c12a944455a88e71bd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2026-08-01T20:15:41.530944Z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111</v>
      </c>
      <c r="BL95" s="27" t="n">
        <v>2.11</v>
      </c>
      <c r="BM95" s="28" t="n">
        <v>0.473934</v>
      </c>
      <c r="BN95" s="28" t="n">
        <v>0.472637</v>
      </c>
      <c r="BO95" s="28" t="n"/>
      <c r="BP95" s="25" t="n"/>
      <c r="BQ95" s="27" t="n">
        <v>2.11</v>
      </c>
      <c r="BR95" s="28" t="n">
        <v>0.475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a4bc30a0261348a3</t>
        </is>
      </c>
      <c r="B96" s="24" t="inlineStr">
        <is>
          <t>2026-08-01T20:15:41.530944Z</t>
        </is>
      </c>
      <c r="C96" s="24" t="inlineStr">
        <is>
          <t>2026-08-01T23:10Z</t>
        </is>
      </c>
      <c r="D96" s="24" t="inlineStr">
        <is>
          <t>401816355</t>
        </is>
      </c>
      <c r="E96" s="24" t="inlineStr">
        <is>
          <t>MLB</t>
        </is>
      </c>
      <c r="F96" s="24" t="inlineStr">
        <is>
          <t>Texas Rangers</t>
        </is>
      </c>
      <c r="G96" s="24" t="inlineStr">
        <is>
          <t>Houston Astros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-147</v>
      </c>
      <c r="M96" s="27" t="n">
        <v>1.680272</v>
      </c>
      <c r="N96" s="28" t="n">
        <v>0.5951419999999999</v>
      </c>
      <c r="O96" s="28" t="n">
        <v>0.599055</v>
      </c>
      <c r="P96" s="28" t="n">
        <v>0.05172</v>
      </c>
      <c r="Q96" s="28" t="n">
        <v>0.003913</v>
      </c>
      <c r="R96" s="26" t="n">
        <v>21</v>
      </c>
      <c r="S96" s="29" t="n">
        <v>1.25</v>
      </c>
      <c r="T96" s="24" t="inlineStr">
        <is>
          <t>measured-edge-margin-v2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5</v>
      </c>
      <c r="Y96" s="25" t="n">
        <v>1.5</v>
      </c>
      <c r="Z96" s="26" t="n">
        <v>-147</v>
      </c>
      <c r="AA96" s="28" t="n">
        <v>0.595</v>
      </c>
      <c r="AB96" s="28" t="n">
        <v>-0.000142</v>
      </c>
      <c r="AC96" s="30" t="n">
        <v>0.8502999999999999</v>
      </c>
      <c r="AD96" s="24" t="inlineStr">
        <is>
          <t>2026-08-02T03:25:59.357983Z</t>
        </is>
      </c>
      <c r="AE96" s="31" t="inlineStr">
        <is>
          <t>Measured Edge Margin: Trend Engine projected 4.79-4.61; raw selected-side p=0.6509, calibrated p=0.5991.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mlb-tex</t>
        </is>
      </c>
      <c r="AQ96" s="24" t="inlineStr">
        <is>
          <t>Texas Rangers</t>
        </is>
      </c>
      <c r="AR96" s="24" t="inlineStr">
        <is>
          <t>Texas Rangers</t>
        </is>
      </c>
      <c r="AS96" s="24" t="inlineStr">
        <is>
          <t>mlb-hou</t>
        </is>
      </c>
      <c r="AT96" s="24" t="inlineStr">
        <is>
          <t>Houston Astros</t>
        </is>
      </c>
      <c r="AU96" s="24" t="inlineStr">
        <is>
          <t>Houston Astros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8360b122264b796b0fb193095cfe4506c7e064e5f3f8c0a659aec41efd08dd25</t>
        </is>
      </c>
      <c r="BB96" s="24" t="inlineStr">
        <is>
          <t>flat_probability_shrinkage_toward_half</t>
        </is>
      </c>
      <c r="BC96" s="24" t="inlineStr">
        <is>
          <t>measured-edge-margin-v2</t>
        </is>
      </c>
      <c r="BD96" s="24" t="inlineStr">
        <is>
          <t>8360b122264b796b0fb193095cfe4506c7e064e5f3f8c0a659aec41efd08dd25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2026-08-01T20:15:41.530944Z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-147</v>
      </c>
      <c r="BL96" s="27" t="n">
        <v>1.680272</v>
      </c>
      <c r="BM96" s="28" t="n">
        <v>0.5951419999999999</v>
      </c>
      <c r="BN96" s="28" t="n">
        <v>0.59204</v>
      </c>
      <c r="BO96" s="28" t="n"/>
      <c r="BP96" s="25" t="n"/>
      <c r="BQ96" s="27" t="n">
        <v>1.680272</v>
      </c>
      <c r="BR96" s="28" t="n">
        <v>0.595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a13b680f399c4008</t>
        </is>
      </c>
      <c r="B97" s="24" t="inlineStr">
        <is>
          <t>2026-08-01T20:15:41.530944Z</t>
        </is>
      </c>
      <c r="C97" s="24" t="inlineStr">
        <is>
          <t>2026-08-01T23:10Z</t>
        </is>
      </c>
      <c r="D97" s="24" t="inlineStr">
        <is>
          <t>401816355</t>
        </is>
      </c>
      <c r="E97" s="24" t="inlineStr">
        <is>
          <t>MLB</t>
        </is>
      </c>
      <c r="F97" s="24" t="inlineStr">
        <is>
          <t>Texas Rangers</t>
        </is>
      </c>
      <c r="G97" s="24" t="inlineStr">
        <is>
          <t>Houston Astros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106</v>
      </c>
      <c r="M97" s="27" t="n">
        <v>2.06</v>
      </c>
      <c r="N97" s="28" t="n">
        <v>0.485437</v>
      </c>
      <c r="O97" s="28" t="n">
        <v>0.526641</v>
      </c>
      <c r="P97" s="28" t="n">
        <v>0.05172</v>
      </c>
      <c r="Q97" s="28" t="n">
        <v>0.041204</v>
      </c>
      <c r="R97" s="26" t="n">
        <v>40</v>
      </c>
      <c r="S97" s="29" t="n">
        <v>1</v>
      </c>
      <c r="T97" s="24" t="inlineStr">
        <is>
          <t>measured-edge-totals-v2</t>
        </is>
      </c>
      <c r="U97" s="24" t="inlineStr">
        <is>
          <t>settled</t>
        </is>
      </c>
      <c r="V97" s="24" t="inlineStr">
        <is>
          <t>win</t>
        </is>
      </c>
      <c r="W97" s="26" t="n">
        <v>4</v>
      </c>
      <c r="X97" s="26" t="n">
        <v>5</v>
      </c>
      <c r="Y97" s="25" t="n">
        <v>8.5</v>
      </c>
      <c r="Z97" s="26" t="n">
        <v>106</v>
      </c>
      <c r="AA97" s="28" t="n">
        <v>0.485</v>
      </c>
      <c r="AB97" s="28" t="n">
        <v>-0.000437</v>
      </c>
      <c r="AC97" s="30" t="n">
        <v>1.06</v>
      </c>
      <c r="AD97" s="24" t="inlineStr">
        <is>
          <t>2026-08-02T03:25:59.884982Z</t>
        </is>
      </c>
      <c r="AE97" s="31" t="inlineStr">
        <is>
          <t>Measured Edge Totals: Trend Engine projected 4.79-4.61; raw selected-side p=0.5547, calibrated p=0.5266.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mlb-tex</t>
        </is>
      </c>
      <c r="AQ97" s="24" t="inlineStr">
        <is>
          <t>Texas Rangers</t>
        </is>
      </c>
      <c r="AR97" s="24" t="inlineStr">
        <is>
          <t>Texas Rangers</t>
        </is>
      </c>
      <c r="AS97" s="24" t="inlineStr">
        <is>
          <t>mlb-hou</t>
        </is>
      </c>
      <c r="AT97" s="24" t="inlineStr">
        <is>
          <t>Houston Astros</t>
        </is>
      </c>
      <c r="AU97" s="24" t="inlineStr">
        <is>
          <t>Houston Astros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433578016242b27f9c1c7132cc6b5a2bcc7dd1b0234590c12a944455a88e71bd</t>
        </is>
      </c>
      <c r="BB97" s="24" t="inlineStr">
        <is>
          <t>flat_probability_shrinkage_toward_half</t>
        </is>
      </c>
      <c r="BC97" s="24" t="inlineStr">
        <is>
          <t>measured-edge-totals-v2</t>
        </is>
      </c>
      <c r="BD97" s="24" t="inlineStr">
        <is>
          <t>433578016242b27f9c1c7132cc6b5a2bcc7dd1b0234590c12a944455a88e71bd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2026-08-01T20:15:41.530944Z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106</v>
      </c>
      <c r="BL97" s="27" t="n">
        <v>2.06</v>
      </c>
      <c r="BM97" s="28" t="n">
        <v>0.485437</v>
      </c>
      <c r="BN97" s="28" t="n">
        <v>0.482587</v>
      </c>
      <c r="BO97" s="28" t="n"/>
      <c r="BP97" s="25" t="n"/>
      <c r="BQ97" s="27" t="n">
        <v>2.06</v>
      </c>
      <c r="BR97" s="28" t="n">
        <v>0.485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025e6dfc254a4339</t>
        </is>
      </c>
      <c r="B98" s="24" t="inlineStr">
        <is>
          <t>2026-08-01T20:15:41.530944Z</t>
        </is>
      </c>
      <c r="C98" s="24" t="inlineStr">
        <is>
          <t>2026-08-01T23:15Z</t>
        </is>
      </c>
      <c r="D98" s="24" t="inlineStr">
        <is>
          <t>401816347</t>
        </is>
      </c>
      <c r="E98" s="24" t="inlineStr">
        <is>
          <t>MLB</t>
        </is>
      </c>
      <c r="F98" s="24" t="inlineStr">
        <is>
          <t>Arizona Diamondbacks</t>
        </is>
      </c>
      <c r="G98" s="24" t="inlineStr">
        <is>
          <t>Cleveland Guardians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-133</v>
      </c>
      <c r="M98" s="27" t="n">
        <v>1.75188</v>
      </c>
      <c r="N98" s="28" t="n">
        <v>0.570815</v>
      </c>
      <c r="O98" s="28" t="n">
        <v>0.567924</v>
      </c>
      <c r="P98" s="28" t="n">
        <v>0.05172</v>
      </c>
      <c r="Q98" s="28" t="n">
        <v>-0.002891</v>
      </c>
      <c r="R98" s="26" t="n">
        <v>18</v>
      </c>
      <c r="S98" s="29" t="n">
        <v>1</v>
      </c>
      <c r="T98" s="24" t="inlineStr">
        <is>
          <t>measured-edge-margin-v2</t>
        </is>
      </c>
      <c r="U98" s="24" t="inlineStr">
        <is>
          <t>settled</t>
        </is>
      </c>
      <c r="V98" s="24" t="inlineStr">
        <is>
          <t>win</t>
        </is>
      </c>
      <c r="W98" s="26" t="n">
        <v>12</v>
      </c>
      <c r="X98" s="26" t="n">
        <v>8</v>
      </c>
      <c r="Y98" s="25" t="n">
        <v>1.5</v>
      </c>
      <c r="Z98" s="26" t="n">
        <v>-133</v>
      </c>
      <c r="AA98" s="28" t="n">
        <v>0.57</v>
      </c>
      <c r="AB98" s="28" t="n">
        <v>-0.000815</v>
      </c>
      <c r="AC98" s="30" t="n">
        <v>0.7519</v>
      </c>
      <c r="AD98" s="24" t="inlineStr">
        <is>
          <t>2026-08-02T03:26:00.414987Z</t>
        </is>
      </c>
      <c r="AE98" s="31" t="inlineStr">
        <is>
          <t>Measured Edge Margin: Trend Engine projected 4.02-4.73; raw selected-side p=0.6035, calibrated p=0.5679.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mlb-ari</t>
        </is>
      </c>
      <c r="AQ98" s="24" t="inlineStr">
        <is>
          <t>Arizona Diamondbacks</t>
        </is>
      </c>
      <c r="AR98" s="24" t="inlineStr">
        <is>
          <t>Arizona Diamondbacks</t>
        </is>
      </c>
      <c r="AS98" s="24" t="inlineStr">
        <is>
          <t>mlb-cle</t>
        </is>
      </c>
      <c r="AT98" s="24" t="inlineStr">
        <is>
          <t>Cleveland Guardians</t>
        </is>
      </c>
      <c r="AU98" s="24" t="inlineStr">
        <is>
          <t>Cleveland Guardians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8360b122264b796b0fb193095cfe4506c7e064e5f3f8c0a659aec41efd08dd25</t>
        </is>
      </c>
      <c r="BB98" s="24" t="inlineStr">
        <is>
          <t>flat_probability_shrinkage_toward_half</t>
        </is>
      </c>
      <c r="BC98" s="24" t="inlineStr">
        <is>
          <t>measured-edge-margin-v2</t>
        </is>
      </c>
      <c r="BD98" s="24" t="inlineStr">
        <is>
          <t>8360b122264b796b0fb193095cfe4506c7e064e5f3f8c0a659aec41efd08dd25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2026-08-01T20:15:41.530944Z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-133</v>
      </c>
      <c r="BL98" s="27" t="n">
        <v>1.75188</v>
      </c>
      <c r="BM98" s="28" t="n">
        <v>0.570815</v>
      </c>
      <c r="BN98" s="28" t="n">
        <v>0.567164</v>
      </c>
      <c r="BO98" s="28" t="n"/>
      <c r="BP98" s="25" t="n"/>
      <c r="BQ98" s="27" t="n">
        <v>1.75188</v>
      </c>
      <c r="BR98" s="28" t="n">
        <v>0.57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e7eb99b6b7d34a9d</t>
        </is>
      </c>
      <c r="B99" s="24" t="inlineStr">
        <is>
          <t>2026-08-01T20:15:41.530944Z</t>
        </is>
      </c>
      <c r="C99" s="24" t="inlineStr">
        <is>
          <t>2026-08-01T23:15Z</t>
        </is>
      </c>
      <c r="D99" s="24" t="inlineStr">
        <is>
          <t>401816347</t>
        </is>
      </c>
      <c r="E99" s="24" t="inlineStr">
        <is>
          <t>MLB</t>
        </is>
      </c>
      <c r="F99" s="24" t="inlineStr">
        <is>
          <t>Arizona Diamondbacks</t>
        </is>
      </c>
      <c r="G99" s="24" t="inlineStr">
        <is>
          <t>Cleveland Guardians</t>
        </is>
      </c>
      <c r="H99" s="24" t="inlineStr">
        <is>
          <t>total</t>
        </is>
      </c>
      <c r="I99" s="24" t="inlineStr">
        <is>
          <t>under</t>
        </is>
      </c>
      <c r="J99" s="25" t="n">
        <v>8.5</v>
      </c>
      <c r="K99" s="24" t="inlineStr">
        <is>
          <t>polymarket_us</t>
        </is>
      </c>
      <c r="L99" s="26" t="n">
        <v>-111</v>
      </c>
      <c r="M99" s="27" t="n">
        <v>1.900901</v>
      </c>
      <c r="N99" s="28" t="n">
        <v>0.526066</v>
      </c>
      <c r="O99" s="28" t="n">
        <v>0.509231</v>
      </c>
      <c r="P99" s="28" t="n">
        <v>0.05172</v>
      </c>
      <c r="Q99" s="28" t="n">
        <v>-0.016835</v>
      </c>
      <c r="R99" s="26" t="n">
        <v>11</v>
      </c>
      <c r="S99" s="29" t="n">
        <v>1</v>
      </c>
      <c r="T99" s="24" t="inlineStr">
        <is>
          <t>measured-edge-totals-v2</t>
        </is>
      </c>
      <c r="U99" s="24" t="inlineStr">
        <is>
          <t>settled</t>
        </is>
      </c>
      <c r="V99" s="24" t="inlineStr">
        <is>
          <t>loss</t>
        </is>
      </c>
      <c r="W99" s="26" t="n">
        <v>12</v>
      </c>
      <c r="X99" s="26" t="n">
        <v>8</v>
      </c>
      <c r="Y99" s="25" t="n">
        <v>8.5</v>
      </c>
      <c r="Z99" s="26" t="n">
        <v>-111</v>
      </c>
      <c r="AA99" s="28" t="n">
        <v>0.525</v>
      </c>
      <c r="AB99" s="28" t="n">
        <v>-0.001066</v>
      </c>
      <c r="AC99" s="30" t="n">
        <v>-1</v>
      </c>
      <c r="AD99" s="24" t="inlineStr">
        <is>
          <t>2026-08-02T03:26:00.966797Z</t>
        </is>
      </c>
      <c r="AE99" s="31" t="inlineStr">
        <is>
          <t>Measured Edge Totals: Trend Engine projected 4.02-4.73; raw selected-side p=0.5038, calibrated p=0.5092.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mlb-ari</t>
        </is>
      </c>
      <c r="AQ99" s="24" t="inlineStr">
        <is>
          <t>Arizona Diamondbacks</t>
        </is>
      </c>
      <c r="AR99" s="24" t="inlineStr">
        <is>
          <t>Arizona Diamondbacks</t>
        </is>
      </c>
      <c r="AS99" s="24" t="inlineStr">
        <is>
          <t>mlb-cle</t>
        </is>
      </c>
      <c r="AT99" s="24" t="inlineStr">
        <is>
          <t>Cleveland Guardians</t>
        </is>
      </c>
      <c r="AU99" s="24" t="inlineStr">
        <is>
          <t>Cleveland Guardians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433578016242b27f9c1c7132cc6b5a2bcc7dd1b0234590c12a944455a88e71bd</t>
        </is>
      </c>
      <c r="BB99" s="24" t="inlineStr">
        <is>
          <t>flat_probability_shrinkage_toward_half</t>
        </is>
      </c>
      <c r="BC99" s="24" t="inlineStr">
        <is>
          <t>measured-edge-totals-v2</t>
        </is>
      </c>
      <c r="BD99" s="24" t="inlineStr">
        <is>
          <t>433578016242b27f9c1c7132cc6b5a2bcc7dd1b0234590c12a944455a88e71bd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2026-08-01T20:15:41.530944Z</t>
        </is>
      </c>
      <c r="BI99" s="24" t="inlineStr">
        <is>
          <t>["same_event","same_team_same_day","same_league_same_day"]</t>
        </is>
      </c>
      <c r="BJ99" s="25" t="n">
        <v>8.5</v>
      </c>
      <c r="BK99" s="26" t="n">
        <v>-111</v>
      </c>
      <c r="BL99" s="27" t="n">
        <v>1.900901</v>
      </c>
      <c r="BM99" s="28" t="n">
        <v>0.526066</v>
      </c>
      <c r="BN99" s="28" t="n">
        <v>0.522388</v>
      </c>
      <c r="BO99" s="28" t="n"/>
      <c r="BP99" s="25" t="n"/>
      <c r="BQ99" s="27" t="n">
        <v>1.900901</v>
      </c>
      <c r="BR99" s="28" t="n">
        <v>0.525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c6abafb6682c4b30</t>
        </is>
      </c>
      <c r="B100" s="24" t="inlineStr">
        <is>
          <t>2026-08-01T20:15:41.530944Z</t>
        </is>
      </c>
      <c r="C100" s="24" t="inlineStr">
        <is>
          <t>2026-08-01T23:15Z</t>
        </is>
      </c>
      <c r="D100" s="24" t="inlineStr">
        <is>
          <t>401816353</t>
        </is>
      </c>
      <c r="E100" s="24" t="inlineStr">
        <is>
          <t>MLB</t>
        </is>
      </c>
      <c r="F100" s="24" t="inlineStr">
        <is>
          <t>Washington Nationals</t>
        </is>
      </c>
      <c r="G100" s="24" t="inlineStr">
        <is>
          <t>Atlanta Braves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-127</v>
      </c>
      <c r="M100" s="27" t="n">
        <v>1.787402</v>
      </c>
      <c r="N100" s="28" t="n">
        <v>0.5594710000000001</v>
      </c>
      <c r="O100" s="28" t="n">
        <v>0.571729</v>
      </c>
      <c r="P100" s="28" t="n">
        <v>0.042131</v>
      </c>
      <c r="Q100" s="28" t="n">
        <v>0.012258</v>
      </c>
      <c r="R100" s="26" t="n">
        <v>31</v>
      </c>
      <c r="S100" s="29" t="n">
        <v>1.25</v>
      </c>
      <c r="T100" s="24" t="inlineStr">
        <is>
          <t>measured-edge-margin-v2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8</v>
      </c>
      <c r="Y100" s="25" t="n">
        <v>1.5</v>
      </c>
      <c r="Z100" s="26" t="n">
        <v>-127</v>
      </c>
      <c r="AA100" s="28" t="n">
        <v>0.5600000000000001</v>
      </c>
      <c r="AB100" s="28" t="n">
        <v>0.000529</v>
      </c>
      <c r="AC100" s="30" t="n">
        <v>-1.25</v>
      </c>
      <c r="AD100" s="24" t="inlineStr">
        <is>
          <t>2026-08-02T03:26:01.546903Z</t>
        </is>
      </c>
      <c r="AE100" s="31" t="inlineStr">
        <is>
          <t>Measured Edge Margin: Trend Engine projected 4.41-5.01; raw selected-side p=0.6092, calibrated p=0.5717.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mlb-wsh</t>
        </is>
      </c>
      <c r="AQ100" s="24" t="inlineStr">
        <is>
          <t>Washington Nationals</t>
        </is>
      </c>
      <c r="AR100" s="24" t="inlineStr">
        <is>
          <t>Washington Nationals</t>
        </is>
      </c>
      <c r="AS100" s="24" t="inlineStr">
        <is>
          <t>mlb-atl</t>
        </is>
      </c>
      <c r="AT100" s="24" t="inlineStr">
        <is>
          <t>Atlanta Braves</t>
        </is>
      </c>
      <c r="AU100" s="24" t="inlineStr">
        <is>
          <t>Atlanta Braves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8360b122264b796b0fb193095cfe4506c7e064e5f3f8c0a659aec41efd08dd25</t>
        </is>
      </c>
      <c r="BB100" s="24" t="inlineStr">
        <is>
          <t>flat_probability_shrinkage_toward_half</t>
        </is>
      </c>
      <c r="BC100" s="24" t="inlineStr">
        <is>
          <t>measured-edge-margin-v2</t>
        </is>
      </c>
      <c r="BD100" s="24" t="inlineStr">
        <is>
          <t>8360b122264b796b0fb193095cfe4506c7e064e5f3f8c0a659aec41efd08dd25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2026-08-01T20:15:41.530944Z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-127</v>
      </c>
      <c r="BL100" s="27" t="n">
        <v>1.787402</v>
      </c>
      <c r="BM100" s="28" t="n">
        <v>0.5594710000000001</v>
      </c>
      <c r="BN100" s="28" t="n">
        <v>0.557214</v>
      </c>
      <c r="BO100" s="28" t="n"/>
      <c r="BP100" s="25" t="n"/>
      <c r="BQ100" s="27" t="n">
        <v>1.787402</v>
      </c>
      <c r="BR100" s="28" t="n">
        <v>0.5600000000000001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n"/>
    </row>
    <row r="101" ht="36" customHeight="1">
      <c r="A101" s="24" t="inlineStr">
        <is>
          <t>6fb5c07d4adc473f</t>
        </is>
      </c>
      <c r="B101" s="24" t="inlineStr">
        <is>
          <t>2026-08-01T20:15:41.530944Z</t>
        </is>
      </c>
      <c r="C101" s="24" t="inlineStr">
        <is>
          <t>2026-08-01T23:15Z</t>
        </is>
      </c>
      <c r="D101" s="24" t="inlineStr">
        <is>
          <t>401816353</t>
        </is>
      </c>
      <c r="E101" s="24" t="inlineStr">
        <is>
          <t>MLB</t>
        </is>
      </c>
      <c r="F101" s="24" t="inlineStr">
        <is>
          <t>Washington Nationals</t>
        </is>
      </c>
      <c r="G101" s="24" t="inlineStr">
        <is>
          <t>Atlanta Braves</t>
        </is>
      </c>
      <c r="H101" s="24" t="inlineStr">
        <is>
          <t>total</t>
        </is>
      </c>
      <c r="I101" s="24" t="inlineStr">
        <is>
          <t>under</t>
        </is>
      </c>
      <c r="J101" s="25" t="n">
        <v>9.5</v>
      </c>
      <c r="K101" s="24" t="inlineStr">
        <is>
          <t>polymarket_us</t>
        </is>
      </c>
      <c r="L101" s="26" t="n">
        <v>-111</v>
      </c>
      <c r="M101" s="27" t="n">
        <v>1.900901</v>
      </c>
      <c r="N101" s="28" t="n">
        <v>0.526066</v>
      </c>
      <c r="O101" s="28" t="n">
        <v>0.527495</v>
      </c>
      <c r="P101" s="28" t="n">
        <v>0.042131</v>
      </c>
      <c r="Q101" s="28" t="n">
        <v>0.001429</v>
      </c>
      <c r="R101" s="26" t="n">
        <v>25</v>
      </c>
      <c r="S101" s="29" t="n">
        <v>1</v>
      </c>
      <c r="T101" s="24" t="inlineStr">
        <is>
          <t>measured-edge-totals-v2</t>
        </is>
      </c>
      <c r="U101" s="24" t="inlineStr">
        <is>
          <t>settled</t>
        </is>
      </c>
      <c r="V101" s="24" t="inlineStr">
        <is>
          <t>loss</t>
        </is>
      </c>
      <c r="W101" s="26" t="n">
        <v>3</v>
      </c>
      <c r="X101" s="26" t="n">
        <v>8</v>
      </c>
      <c r="Y101" s="25" t="n">
        <v>9.5</v>
      </c>
      <c r="Z101" s="26" t="n">
        <v>-111</v>
      </c>
      <c r="AA101" s="28" t="n">
        <v>0.525</v>
      </c>
      <c r="AB101" s="28" t="n">
        <v>-0.001066</v>
      </c>
      <c r="AC101" s="30" t="n">
        <v>-1</v>
      </c>
      <c r="AD101" s="24" t="inlineStr">
        <is>
          <t>2026-08-02T03:26:02.159533Z</t>
        </is>
      </c>
      <c r="AE101" s="31" t="inlineStr">
        <is>
          <t>Measured Edge Totals: Trend Engine projected 4.41-5.01; raw selected-side p=0.5572, calibrated p=0.5275.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mlb-wsh</t>
        </is>
      </c>
      <c r="AQ101" s="24" t="inlineStr">
        <is>
          <t>Washington Nationals</t>
        </is>
      </c>
      <c r="AR101" s="24" t="inlineStr">
        <is>
          <t>Washington Nationals</t>
        </is>
      </c>
      <c r="AS101" s="24" t="inlineStr">
        <is>
          <t>mlb-atl</t>
        </is>
      </c>
      <c r="AT101" s="24" t="inlineStr">
        <is>
          <t>Atlanta Braves</t>
        </is>
      </c>
      <c r="AU101" s="24" t="inlineStr">
        <is>
          <t>Atlanta Braves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433578016242b27f9c1c7132cc6b5a2bcc7dd1b0234590c12a944455a88e71bd</t>
        </is>
      </c>
      <c r="BB101" s="24" t="inlineStr">
        <is>
          <t>flat_probability_shrinkage_toward_half</t>
        </is>
      </c>
      <c r="BC101" s="24" t="inlineStr">
        <is>
          <t>measured-edge-totals-v2</t>
        </is>
      </c>
      <c r="BD101" s="24" t="inlineStr">
        <is>
          <t>433578016242b27f9c1c7132cc6b5a2bcc7dd1b0234590c12a944455a88e71bd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2026-08-01T20:15:41.530944Z</t>
        </is>
      </c>
      <c r="BI101" s="24" t="inlineStr">
        <is>
          <t>["same_event","same_team_same_day","same_league_same_day"]</t>
        </is>
      </c>
      <c r="BJ101" s="25" t="n">
        <v>9.5</v>
      </c>
      <c r="BK101" s="26" t="n">
        <v>-111</v>
      </c>
      <c r="BL101" s="27" t="n">
        <v>1.900901</v>
      </c>
      <c r="BM101" s="28" t="n">
        <v>0.526066</v>
      </c>
      <c r="BN101" s="28" t="n">
        <v>0.522388</v>
      </c>
      <c r="BO101" s="28" t="n"/>
      <c r="BP101" s="25" t="n"/>
      <c r="BQ101" s="27" t="n">
        <v>1.900901</v>
      </c>
      <c r="BR101" s="28" t="n">
        <v>0.525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n"/>
    </row>
    <row r="102" ht="36" customHeight="1">
      <c r="A102" s="24" t="inlineStr">
        <is>
          <t>65c158a1a4f34697</t>
        </is>
      </c>
      <c r="B102" s="24" t="inlineStr">
        <is>
          <t>2026-08-01T20:15:41.530944Z</t>
        </is>
      </c>
      <c r="C102" s="24" t="inlineStr">
        <is>
          <t>2026-08-01T23:15Z</t>
        </is>
      </c>
      <c r="D102" s="24" t="inlineStr">
        <is>
          <t>401816354</t>
        </is>
      </c>
      <c r="E102" s="24" t="inlineStr">
        <is>
          <t>MLB</t>
        </is>
      </c>
      <c r="F102" s="24" t="inlineStr">
        <is>
          <t>New York Yankees</t>
        </is>
      </c>
      <c r="G102" s="24" t="inlineStr">
        <is>
          <t>Chicago Cubs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0.608372</v>
      </c>
      <c r="P102" s="28" t="n">
        <v>0.042131</v>
      </c>
      <c r="Q102" s="28" t="n">
        <v>-0.051492</v>
      </c>
      <c r="R102" s="26" t="n">
        <v>0</v>
      </c>
      <c r="S102" s="29" t="n">
        <v>1.5</v>
      </c>
      <c r="T102" s="24" t="inlineStr">
        <is>
          <t>measured-edge-margin-v2</t>
        </is>
      </c>
      <c r="U102" s="24" t="inlineStr">
        <is>
          <t>settled</t>
        </is>
      </c>
      <c r="V102" s="24" t="inlineStr">
        <is>
          <t>win</t>
        </is>
      </c>
      <c r="W102" s="26" t="n">
        <v>2</v>
      </c>
      <c r="X102" s="26" t="n">
        <v>5</v>
      </c>
      <c r="Y102" s="25" t="n">
        <v>1.5</v>
      </c>
      <c r="Z102" s="26" t="n">
        <v>-194</v>
      </c>
      <c r="AA102" s="28" t="n">
        <v>0.66</v>
      </c>
      <c r="AB102" s="28" t="n">
        <v>0.000136</v>
      </c>
      <c r="AC102" s="30" t="n">
        <v>0.7732</v>
      </c>
      <c r="AD102" s="24" t="inlineStr">
        <is>
          <t>2026-08-02T03:26:02.756178Z</t>
        </is>
      </c>
      <c r="AE102" s="31" t="inlineStr">
        <is>
          <t>Measured Edge Margin: Trend Engine projected 4.74-4.76; raw selected-side p=0.6651, calibrated p=0.6084.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mlb-nyy</t>
        </is>
      </c>
      <c r="AQ102" s="24" t="inlineStr">
        <is>
          <t>New York Yankees</t>
        </is>
      </c>
      <c r="AR102" s="24" t="inlineStr">
        <is>
          <t>New York Yankees</t>
        </is>
      </c>
      <c r="AS102" s="24" t="inlineStr">
        <is>
          <t>mlb-chc</t>
        </is>
      </c>
      <c r="AT102" s="24" t="inlineStr">
        <is>
          <t>Chicago Cubs</t>
        </is>
      </c>
      <c r="AU102" s="24" t="inlineStr">
        <is>
          <t>Chicago Cubs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8360b122264b796b0fb193095cfe4506c7e064e5f3f8c0a659aec41efd08dd25</t>
        </is>
      </c>
      <c r="BB102" s="24" t="inlineStr">
        <is>
          <t>flat_probability_shrinkage_toward_half</t>
        </is>
      </c>
      <c r="BC102" s="24" t="inlineStr">
        <is>
          <t>measured-edge-margin-v2</t>
        </is>
      </c>
      <c r="BD102" s="24" t="inlineStr">
        <is>
          <t>8360b122264b796b0fb193095cfe4506c7e064e5f3f8c0a659aec41efd08dd25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2026-08-01T20:15:41.530944Z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-194</v>
      </c>
      <c r="BL102" s="27" t="n">
        <v>1.515464</v>
      </c>
      <c r="BM102" s="28" t="n">
        <v>0.659864</v>
      </c>
      <c r="BN102" s="28" t="n">
        <v>0.656716</v>
      </c>
      <c r="BO102" s="28" t="n"/>
      <c r="BP102" s="25" t="n"/>
      <c r="BQ102" s="27" t="n">
        <v>1.515464</v>
      </c>
      <c r="BR102" s="28" t="n">
        <v>0.66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n"/>
    </row>
    <row r="103" ht="36" customHeight="1">
      <c r="A103" s="24" t="inlineStr">
        <is>
          <t>dccae496dc9d4020</t>
        </is>
      </c>
      <c r="B103" s="24" t="inlineStr">
        <is>
          <t>2026-08-01T20:15:41.530944Z</t>
        </is>
      </c>
      <c r="C103" s="24" t="inlineStr">
        <is>
          <t>2026-08-01T23:15Z</t>
        </is>
      </c>
      <c r="D103" s="24" t="inlineStr">
        <is>
          <t>401816354</t>
        </is>
      </c>
      <c r="E103" s="24" t="inlineStr">
        <is>
          <t>MLB</t>
        </is>
      </c>
      <c r="F103" s="24" t="inlineStr">
        <is>
          <t>New York Yankees</t>
        </is>
      </c>
      <c r="G103" s="24" t="inlineStr">
        <is>
          <t>Chicago Cubs</t>
        </is>
      </c>
      <c r="H103" s="24" t="inlineStr">
        <is>
          <t>total</t>
        </is>
      </c>
      <c r="I103" s="24" t="inlineStr">
        <is>
          <t>over</t>
        </is>
      </c>
      <c r="J103" s="25" t="n">
        <v>6.5</v>
      </c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0.592316</v>
      </c>
      <c r="P103" s="28" t="n">
        <v>0.042131</v>
      </c>
      <c r="Q103" s="28" t="n">
        <v>0.122832</v>
      </c>
      <c r="R103" s="26" t="n">
        <v>86</v>
      </c>
      <c r="S103" s="29" t="n">
        <v>1.25</v>
      </c>
      <c r="T103" s="24" t="inlineStr">
        <is>
          <t>measured-edge-totals-v2</t>
        </is>
      </c>
      <c r="U103" s="24" t="inlineStr">
        <is>
          <t>settled</t>
        </is>
      </c>
      <c r="V103" s="24" t="inlineStr">
        <is>
          <t>win</t>
        </is>
      </c>
      <c r="W103" s="26" t="n">
        <v>2</v>
      </c>
      <c r="X103" s="26" t="n">
        <v>5</v>
      </c>
      <c r="Y103" s="25" t="n">
        <v>6.5</v>
      </c>
      <c r="Z103" s="26" t="n">
        <v>113</v>
      </c>
      <c r="AA103" s="28" t="n">
        <v>0.47</v>
      </c>
      <c r="AB103" s="28" t="n">
        <v>0.000516</v>
      </c>
      <c r="AC103" s="30" t="n">
        <v>1.4125</v>
      </c>
      <c r="AD103" s="24" t="inlineStr">
        <is>
          <t>2026-08-02T03:26:03.339275Z</t>
        </is>
      </c>
      <c r="AE103" s="31" t="inlineStr">
        <is>
          <t>Measured Edge Totals: Trend Engine projected 4.74-4.76; raw selected-side p=0.7469, calibrated p=0.5923.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mlb-nyy</t>
        </is>
      </c>
      <c r="AQ103" s="24" t="inlineStr">
        <is>
          <t>New York Yankees</t>
        </is>
      </c>
      <c r="AR103" s="24" t="inlineStr">
        <is>
          <t>New York Yankees</t>
        </is>
      </c>
      <c r="AS103" s="24" t="inlineStr">
        <is>
          <t>mlb-chc</t>
        </is>
      </c>
      <c r="AT103" s="24" t="inlineStr">
        <is>
          <t>Chicago Cubs</t>
        </is>
      </c>
      <c r="AU103" s="24" t="inlineStr">
        <is>
          <t>Chicago Cubs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433578016242b27f9c1c7132cc6b5a2bcc7dd1b0234590c12a944455a88e71bd</t>
        </is>
      </c>
      <c r="BB103" s="24" t="inlineStr">
        <is>
          <t>flat_probability_shrinkage_toward_half</t>
        </is>
      </c>
      <c r="BC103" s="24" t="inlineStr">
        <is>
          <t>measured-edge-totals-v2</t>
        </is>
      </c>
      <c r="BD103" s="24" t="inlineStr">
        <is>
          <t>433578016242b27f9c1c7132cc6b5a2bcc7dd1b0234590c12a944455a88e71bd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2026-08-01T20:15:41.530944Z</t>
        </is>
      </c>
      <c r="BI103" s="24" t="inlineStr">
        <is>
          <t>["same_event","same_team_same_day","same_league_same_day"]</t>
        </is>
      </c>
      <c r="BJ103" s="25" t="n">
        <v>6.5</v>
      </c>
      <c r="BK103" s="26" t="n">
        <v>113</v>
      </c>
      <c r="BL103" s="27" t="n">
        <v>2.13</v>
      </c>
      <c r="BM103" s="28" t="n">
        <v>0.469484</v>
      </c>
      <c r="BN103" s="28" t="n">
        <v>0.467662</v>
      </c>
      <c r="BO103" s="28" t="n"/>
      <c r="BP103" s="25" t="n"/>
      <c r="BQ103" s="27" t="n">
        <v>2.13</v>
      </c>
      <c r="BR103" s="28" t="n">
        <v>0.47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n"/>
    </row>
    <row r="104" ht="36" customHeight="1">
      <c r="A104" s="24" t="inlineStr">
        <is>
          <t>3b5841d83fef493f</t>
        </is>
      </c>
      <c r="B104" s="24" t="inlineStr">
        <is>
          <t>2026-08-01T23:52:21.502342Z</t>
        </is>
      </c>
      <c r="C104" s="24" t="inlineStr">
        <is>
          <t>2026-08-01T20:10:00-0400</t>
        </is>
      </c>
      <c r="D104" s="24" t="inlineStr">
        <is>
          <t>401816356</t>
        </is>
      </c>
      <c r="E104" s="24" t="inlineStr">
        <is>
          <t>MLB</t>
        </is>
      </c>
      <c r="F104" s="24" t="inlineStr">
        <is>
          <t>Kansas City Royals</t>
        </is>
      </c>
      <c r="G104" s="24" t="inlineStr">
        <is>
          <t>Colorado Rockies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115</v>
      </c>
      <c r="M104" s="27" t="n">
        <v>2.15</v>
      </c>
      <c r="N104" s="28" t="n">
        <v>0.465116</v>
      </c>
      <c r="O104" s="28" t="n">
        <v>0.59943</v>
      </c>
      <c r="P104" s="28" t="n"/>
      <c r="Q104" s="28" t="n">
        <v>0.134314</v>
      </c>
      <c r="R104" s="26" t="n">
        <v>88</v>
      </c>
      <c r="S104" s="29" t="n">
        <v>1.25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6</v>
      </c>
      <c r="X104" s="26" t="n">
        <v>12</v>
      </c>
      <c r="Y104" s="25" t="n"/>
      <c r="Z104" s="26" t="n">
        <v>115</v>
      </c>
      <c r="AA104" s="28" t="n">
        <v>0.465</v>
      </c>
      <c r="AB104" s="28" t="n">
        <v>-0.000116</v>
      </c>
      <c r="AC104" s="30" t="n">
        <v>-1.25</v>
      </c>
      <c r="AD104" s="24" t="inlineStr">
        <is>
          <t>2026-08-02T03:26:03.879357Z</t>
        </is>
      </c>
      <c r="AE104" s="31" t="inlineStr">
        <is>
          <t>Learned LR call at threshold 0.6242; executable ask 0.4650 (aec-mlb-kc-col-2026-08-01); model edge vs ask +0.1344.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mlb-kc</t>
        </is>
      </c>
      <c r="AQ104" s="24" t="inlineStr">
        <is>
          <t>Kansas City Royals</t>
        </is>
      </c>
      <c r="AR104" s="24" t="inlineStr">
        <is>
          <t>Kansas City Royals</t>
        </is>
      </c>
      <c r="AS104" s="24" t="inlineStr">
        <is>
          <t>mlb-col</t>
        </is>
      </c>
      <c r="AT104" s="24" t="inlineStr">
        <is>
          <t>Colorado Rockies</t>
        </is>
      </c>
      <c r="AU104" s="24" t="inlineStr">
        <is>
          <t>Colorado Rockies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f816e731583b605d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2026-08-01T23:51:47.419062Z</t>
        </is>
      </c>
      <c r="BI104" s="24" t="inlineStr">
        <is>
          <t>["same_event","same_team_same_day","same_league_same_day"]</t>
        </is>
      </c>
      <c r="BJ104" s="25" t="n"/>
      <c r="BK104" s="26" t="n">
        <v>115</v>
      </c>
      <c r="BL104" s="27" t="n">
        <v>2.15</v>
      </c>
      <c r="BM104" s="28" t="n">
        <v>0.465116</v>
      </c>
      <c r="BN104" s="28" t="n">
        <v>0.462687</v>
      </c>
      <c r="BO104" s="28" t="n"/>
      <c r="BP104" s="25" t="n"/>
      <c r="BQ104" s="27" t="n">
        <v>2.15</v>
      </c>
      <c r="BR104" s="28" t="n">
        <v>0.465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0.4336227344</t>
        </is>
      </c>
      <c r="CD104" s="24" t="inlineStr">
        <is>
          <t>0.282629</t>
        </is>
      </c>
      <c r="CE104" s="24" t="inlineStr">
        <is>
          <t>1.193</t>
        </is>
      </c>
      <c r="CF104" s="24" t="inlineStr">
        <is>
          <t>1.0257</t>
        </is>
      </c>
      <c r="CG104" s="24" t="inlineStr">
        <is>
          <t>2.2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n"/>
    </row>
    <row r="105" ht="36" customHeight="1">
      <c r="A105" s="24" t="inlineStr">
        <is>
          <t>49b9445418b14f77</t>
        </is>
      </c>
      <c r="B105" s="24" t="inlineStr">
        <is>
          <t>2026-08-01T23:52:21.502342Z</t>
        </is>
      </c>
      <c r="C105" s="24" t="inlineStr">
        <is>
          <t>2026-08-01T20:40:00-0400</t>
        </is>
      </c>
      <c r="D105" s="24" t="inlineStr">
        <is>
          <t>401816361</t>
        </is>
      </c>
      <c r="E105" s="24" t="inlineStr">
        <is>
          <t>MLB</t>
        </is>
      </c>
      <c r="F105" s="24" t="inlineStr">
        <is>
          <t>San Francisco Giants</t>
        </is>
      </c>
      <c r="G105" s="24" t="inlineStr">
        <is>
          <t>San Diego Padres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-141</v>
      </c>
      <c r="M105" s="27" t="n">
        <v>1.70922</v>
      </c>
      <c r="N105" s="28" t="n">
        <v>0.585062</v>
      </c>
      <c r="O105" s="28" t="n">
        <v>0.586302</v>
      </c>
      <c r="P105" s="28" t="n"/>
      <c r="Q105" s="28" t="n">
        <v>0.00124</v>
      </c>
      <c r="R105" s="26" t="n">
        <v>22</v>
      </c>
      <c r="S105" s="29" t="n">
        <v>1.25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5</v>
      </c>
      <c r="X105" s="26" t="n">
        <v>6</v>
      </c>
      <c r="Y105" s="25" t="n"/>
      <c r="Z105" s="26" t="n">
        <v>-141</v>
      </c>
      <c r="AA105" s="28" t="n">
        <v>0.585</v>
      </c>
      <c r="AB105" s="28" t="n">
        <v>-6.2e-05</v>
      </c>
      <c r="AC105" s="30" t="n">
        <v>0.8865</v>
      </c>
      <c r="AD105" s="24" t="inlineStr">
        <is>
          <t>2026-08-02T04:26:12.354214Z</t>
        </is>
      </c>
      <c r="AE105" s="31" t="inlineStr">
        <is>
          <t>Learned LR call at threshold 0.6242; executable ask 0.5850 (aec-mlb-sf-sd-2026-08-01); model edge vs ask +0.0013.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mlb-sf</t>
        </is>
      </c>
      <c r="AQ105" s="24" t="inlineStr">
        <is>
          <t>San Francisco Giants</t>
        </is>
      </c>
      <c r="AR105" s="24" t="inlineStr">
        <is>
          <t>San Francisco Giants</t>
        </is>
      </c>
      <c r="AS105" s="24" t="inlineStr">
        <is>
          <t>mlb-sd</t>
        </is>
      </c>
      <c r="AT105" s="24" t="inlineStr">
        <is>
          <t>San Diego Padres</t>
        </is>
      </c>
      <c r="AU105" s="24" t="inlineStr">
        <is>
          <t>San Diego Padres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3254957dc6cbdcf2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2026-08-01T23:51:48.315062Z</t>
        </is>
      </c>
      <c r="BI105" s="24" t="inlineStr">
        <is>
          <t>["same_event","same_team_same_day","same_league_same_day"]</t>
        </is>
      </c>
      <c r="BJ105" s="25" t="n"/>
      <c r="BK105" s="26" t="n">
        <v>-141</v>
      </c>
      <c r="BL105" s="27" t="n">
        <v>1.70922</v>
      </c>
      <c r="BM105" s="28" t="n">
        <v>0.585062</v>
      </c>
      <c r="BN105" s="28" t="n">
        <v>0.58209</v>
      </c>
      <c r="BO105" s="28" t="n"/>
      <c r="BP105" s="25" t="n"/>
      <c r="BQ105" s="27" t="n">
        <v>1.70922</v>
      </c>
      <c r="BR105" s="28" t="n">
        <v>0.585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0.5921899564</t>
        </is>
      </c>
      <c r="CD105" s="24" t="inlineStr">
        <is>
          <t>-0.027918</t>
        </is>
      </c>
      <c r="CE105" s="24" t="inlineStr">
        <is>
          <t>0.945</t>
        </is>
      </c>
      <c r="CF105" s="24" t="inlineStr">
        <is>
          <t>1.0097</t>
        </is>
      </c>
      <c r="CG105" s="24" t="inlineStr">
        <is>
          <t>-1.8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n"/>
    </row>
    <row r="106" ht="36" customHeight="1">
      <c r="A106" s="24" t="inlineStr">
        <is>
          <t>dac17ac452fb4da5</t>
        </is>
      </c>
      <c r="B106" s="24" t="inlineStr">
        <is>
          <t>2026-08-01T23:52:21.502342Z</t>
        </is>
      </c>
      <c r="C106" s="24" t="inlineStr">
        <is>
          <t>2026-08-01T21:10:00-0400</t>
        </is>
      </c>
      <c r="D106" s="24" t="inlineStr">
        <is>
          <t>401816357</t>
        </is>
      </c>
      <c r="E106" s="24" t="inlineStr">
        <is>
          <t>MLB</t>
        </is>
      </c>
      <c r="F106" s="24" t="inlineStr">
        <is>
          <t>Boston Red Sox</t>
        </is>
      </c>
      <c r="G106" s="24" t="inlineStr">
        <is>
          <t>Los Angeles Dodgers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-167</v>
      </c>
      <c r="M106" s="27" t="n">
        <v>1.598802</v>
      </c>
      <c r="N106" s="28" t="n">
        <v>0.625468</v>
      </c>
      <c r="O106" s="28" t="n">
        <v>0.561639</v>
      </c>
      <c r="P106" s="28" t="n"/>
      <c r="Q106" s="28" t="n">
        <v>-0.063829</v>
      </c>
      <c r="R106" s="26" t="n">
        <v>0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loss</t>
        </is>
      </c>
      <c r="W106" s="26" t="n">
        <v>3</v>
      </c>
      <c r="X106" s="26" t="n">
        <v>2</v>
      </c>
      <c r="Y106" s="25" t="n"/>
      <c r="Z106" s="26" t="n">
        <v>-167</v>
      </c>
      <c r="AA106" s="28" t="n">
        <v>0.625</v>
      </c>
      <c r="AB106" s="28" t="n">
        <v>-0.000468</v>
      </c>
      <c r="AC106" s="30" t="n">
        <v>-1</v>
      </c>
      <c r="AD106" s="24" t="inlineStr">
        <is>
          <t>2026-08-02T03:26:04.410132Z</t>
        </is>
      </c>
      <c r="AE106" s="31" t="inlineStr">
        <is>
          <t>Learned LR call at threshold 0.6242; executable ask 0.6250 (aec-mlb-bos-lad-2026-08-01); model edge vs ask -0.0634.</t>
        </is>
      </c>
      <c r="AF106" s="31" t="inlineStr">
        <is>
          <t>Learned model; shadow-qualified via operator override.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mlb-bos</t>
        </is>
      </c>
      <c r="AQ106" s="24" t="inlineStr">
        <is>
          <t>Boston Red Sox</t>
        </is>
      </c>
      <c r="AR106" s="24" t="inlineStr">
        <is>
          <t>Boston Red Sox</t>
        </is>
      </c>
      <c r="AS106" s="24" t="inlineStr">
        <is>
          <t>mlb-lad</t>
        </is>
      </c>
      <c r="AT106" s="24" t="inlineStr">
        <is>
          <t>Los Angeles Dodgers</t>
        </is>
      </c>
      <c r="AU106" s="24" t="inlineStr">
        <is>
          <t>Los Angeles Dodgers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066806f0bd99b27f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2026-08-01T23:51:49.237000Z</t>
        </is>
      </c>
      <c r="BI106" s="24" t="inlineStr">
        <is>
          <t>["same_event","same_team_same_day","same_league_same_day"]</t>
        </is>
      </c>
      <c r="BJ106" s="25" t="n"/>
      <c r="BK106" s="26" t="n">
        <v>-167</v>
      </c>
      <c r="BL106" s="27" t="n">
        <v>1.598802</v>
      </c>
      <c r="BM106" s="28" t="n">
        <v>0.625468</v>
      </c>
      <c r="BN106" s="28" t="n">
        <v>0.621891</v>
      </c>
      <c r="BO106" s="28" t="n"/>
      <c r="BP106" s="25" t="n"/>
      <c r="BQ106" s="27" t="n">
        <v>1.598802</v>
      </c>
      <c r="BR106" s="28" t="n">
        <v>0.625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0.5509882979</t>
        </is>
      </c>
      <c r="CD106" s="24" t="inlineStr">
        <is>
          <t>-0.724816</t>
        </is>
      </c>
      <c r="CE106" s="24" t="inlineStr">
        <is>
          <t>1.026</t>
        </is>
      </c>
      <c r="CF106" s="24" t="inlineStr">
        <is>
          <t>1.0134</t>
        </is>
      </c>
      <c r="CG106" s="24" t="inlineStr">
        <is>
          <t>2.4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n"/>
    </row>
    <row r="107" ht="36" customHeight="1">
      <c r="A107" s="24" t="inlineStr">
        <is>
          <t>34961301f0b6462c</t>
        </is>
      </c>
      <c r="B107" s="24" t="inlineStr">
        <is>
          <t>2026-08-01T23:52:21.502342Z</t>
        </is>
      </c>
      <c r="C107" s="24" t="inlineStr">
        <is>
          <t>2026-08-01T21:38:00-0400</t>
        </is>
      </c>
      <c r="D107" s="24" t="inlineStr">
        <is>
          <t>401816359</t>
        </is>
      </c>
      <c r="E107" s="24" t="inlineStr">
        <is>
          <t>MLB</t>
        </is>
      </c>
      <c r="F107" s="24" t="inlineStr">
        <is>
          <t>Milwaukee Brewers</t>
        </is>
      </c>
      <c r="G107" s="24" t="inlineStr">
        <is>
          <t>Los Angeles Angels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0.623445</v>
      </c>
      <c r="P107" s="28" t="n"/>
      <c r="Q107" s="28" t="n">
        <v>0.043613</v>
      </c>
      <c r="R107" s="26" t="n">
        <v>43</v>
      </c>
      <c r="S107" s="29" t="n">
        <v>1.5</v>
      </c>
      <c r="T107" s="24" t="inlineStr">
        <is>
          <t>mlb-elo-trend-lr-v7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1.087</v>
      </c>
      <c r="AD107" s="24" t="inlineStr">
        <is>
          <t>2026-08-02T04:26:13.049162Z</t>
        </is>
      </c>
      <c r="AE107" s="31" t="inlineStr">
        <is>
          <t>Learned LR call at threshold 0.6242; executable ask 0.5800 (aec-mlb-mil-laa-2026-08-01); model edge vs ask +0.0434.</t>
        </is>
      </c>
      <c r="AF107" s="31" t="inlineStr">
        <is>
          <t>Learned model; shadow-qualified via operator override.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mlb-mil</t>
        </is>
      </c>
      <c r="AQ107" s="24" t="inlineStr">
        <is>
          <t>Milwaukee Brewers</t>
        </is>
      </c>
      <c r="AR107" s="24" t="inlineStr">
        <is>
          <t>Milwaukee Brewers</t>
        </is>
      </c>
      <c r="AS107" s="24" t="inlineStr">
        <is>
          <t>mlb-laa</t>
        </is>
      </c>
      <c r="AT107" s="24" t="inlineStr">
        <is>
          <t>Los Angeles Angels</t>
        </is>
      </c>
      <c r="AU107" s="24" t="inlineStr">
        <is>
          <t>Los Angeles Angels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464eef695bfbbdaa819ec6f5e4c5bd1068ed20b92915fb2677220ae91e20d8b6</t>
        </is>
      </c>
      <c r="BB107" s="24" t="inlineStr">
        <is>
          <t>learned_lr</t>
        </is>
      </c>
      <c r="BC107" s="24" t="inlineStr">
        <is>
          <t>mlb-elo-trend-lr-v7</t>
        </is>
      </c>
      <c r="BD107" s="24" t="inlineStr">
        <is>
          <t>464eef695bfbbdaa819ec6f5e4c5bd1068ed20b92915fb2677220ae91e20d8b6</t>
        </is>
      </c>
      <c r="BE107" s="24" t="inlineStr">
        <is>
          <t>bf9d0c69dcbae233</t>
        </is>
      </c>
      <c r="BF107" s="24" t="inlineStr">
        <is>
          <t>1</t>
        </is>
      </c>
      <c r="BG107" s="24" t="inlineStr">
        <is>
          <t>mlb-elo-trend-lr-v7</t>
        </is>
      </c>
      <c r="BH107" s="24" t="inlineStr">
        <is>
          <t>2026-08-01T23:51:49.966869Z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>
        <v>0.577114</v>
      </c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0.3303372609</t>
        </is>
      </c>
      <c r="CD107" s="24" t="inlineStr">
        <is>
          <t>-0.606627</t>
        </is>
      </c>
      <c r="CE107" s="24" t="inlineStr">
        <is>
          <t>1.01</t>
        </is>
      </c>
      <c r="CF107" s="24" t="inlineStr">
        <is>
          <t>1.0096</t>
        </is>
      </c>
      <c r="CG107" s="24" t="inlineStr">
        <is>
          <t>0</t>
        </is>
      </c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n"/>
    </row>
    <row r="108" ht="36" customHeight="1">
      <c r="A108" s="24" t="inlineStr">
        <is>
          <t>906e1e669bac4779</t>
        </is>
      </c>
      <c r="B108" s="24" t="inlineStr">
        <is>
          <t>2026-08-01T23:52:21.502342Z</t>
        </is>
      </c>
      <c r="C108" s="24" t="inlineStr">
        <is>
          <t>2026-08-01T21:40:00-0400</t>
        </is>
      </c>
      <c r="D108" s="24" t="inlineStr">
        <is>
          <t>401816358</t>
        </is>
      </c>
      <c r="E108" s="24" t="inlineStr">
        <is>
          <t>MLB</t>
        </is>
      </c>
      <c r="F108" s="24" t="inlineStr">
        <is>
          <t>Detroit Tigers</t>
        </is>
      </c>
      <c r="G108" s="24" t="inlineStr">
        <is>
          <t>Athletics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-163</v>
      </c>
      <c r="M108" s="27" t="n">
        <v>1.613497</v>
      </c>
      <c r="N108" s="28" t="n">
        <v>0.619772</v>
      </c>
      <c r="O108" s="28" t="n">
        <v>0.55925</v>
      </c>
      <c r="P108" s="28" t="n"/>
      <c r="Q108" s="28" t="n">
        <v>-0.060522</v>
      </c>
      <c r="R108" s="26" t="n">
        <v>0</v>
      </c>
      <c r="S108" s="29" t="n">
        <v>1</v>
      </c>
      <c r="T108" s="24" t="inlineStr">
        <is>
          <t>mlb-elo-trend-lr-v7</t>
        </is>
      </c>
      <c r="U108" s="24" t="inlineStr">
        <is>
          <t>settled</t>
        </is>
      </c>
      <c r="V108" s="24" t="inlineStr">
        <is>
          <t>win</t>
        </is>
      </c>
      <c r="W108" s="26" t="n">
        <v>8</v>
      </c>
      <c r="X108" s="26" t="n">
        <v>6</v>
      </c>
      <c r="Y108" s="25" t="n"/>
      <c r="Z108" s="26" t="n">
        <v>-163</v>
      </c>
      <c r="AA108" s="28" t="n">
        <v>0.62</v>
      </c>
      <c r="AB108" s="28" t="n">
        <v>0.000228</v>
      </c>
      <c r="AC108" s="30" t="n">
        <v>0.6135</v>
      </c>
      <c r="AD108" s="24" t="inlineStr">
        <is>
          <t>2026-08-02T05:39:16.890092Z</t>
        </is>
      </c>
      <c r="AE108" s="31" t="inlineStr">
        <is>
          <t>Learned LR call at threshold 0.6242; executable ask 0.6200 (aec-mlb-det-ath-2026-08-01); model edge vs ask -0.0607.</t>
        </is>
      </c>
      <c r="AF108" s="31" t="inlineStr">
        <is>
          <t>Learned model; shadow-qualified via operator override.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mlb-det</t>
        </is>
      </c>
      <c r="AQ108" s="24" t="inlineStr">
        <is>
          <t>Detroit Tigers</t>
        </is>
      </c>
      <c r="AR108" s="24" t="inlineStr">
        <is>
          <t>Detroit Tigers</t>
        </is>
      </c>
      <c r="AS108" s="24" t="inlineStr">
        <is>
          <t>mlb-ath</t>
        </is>
      </c>
      <c r="AT108" s="24" t="inlineStr">
        <is>
          <t>Athletics</t>
        </is>
      </c>
      <c r="AU108" s="24" t="inlineStr">
        <is>
          <t>Athletics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464eef695bfbbdaa819ec6f5e4c5bd1068ed20b92915fb2677220ae91e20d8b6</t>
        </is>
      </c>
      <c r="BB108" s="24" t="inlineStr">
        <is>
          <t>learned_lr</t>
        </is>
      </c>
      <c r="BC108" s="24" t="inlineStr">
        <is>
          <t>mlb-elo-trend-lr-v7</t>
        </is>
      </c>
      <c r="BD108" s="24" t="inlineStr">
        <is>
          <t>464eef695bfbbdaa819ec6f5e4c5bd1068ed20b92915fb2677220ae91e20d8b6</t>
        </is>
      </c>
      <c r="BE108" s="24" t="inlineStr">
        <is>
          <t>c336d1fbc170b694</t>
        </is>
      </c>
      <c r="BF108" s="24" t="inlineStr">
        <is>
          <t>1</t>
        </is>
      </c>
      <c r="BG108" s="24" t="inlineStr">
        <is>
          <t>mlb-elo-trend-lr-v7</t>
        </is>
      </c>
      <c r="BH108" s="24" t="inlineStr">
        <is>
          <t>2026-08-01T23:51:51.085087Z</t>
        </is>
      </c>
      <c r="BI108" s="24" t="inlineStr">
        <is>
          <t>["same_event","same_team_same_day","same_league_same_day"]</t>
        </is>
      </c>
      <c r="BJ108" s="25" t="n"/>
      <c r="BK108" s="26" t="n">
        <v>-163</v>
      </c>
      <c r="BL108" s="27" t="n">
        <v>1.613497</v>
      </c>
      <c r="BM108" s="28" t="n">
        <v>0.619772</v>
      </c>
      <c r="BN108" s="28" t="n">
        <v>0.616915</v>
      </c>
      <c r="BO108" s="28" t="n"/>
      <c r="BP108" s="25" t="n"/>
      <c r="BQ108" s="27" t="n">
        <v>1.613497</v>
      </c>
      <c r="BR108" s="28" t="n">
        <v>0.62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inlineStr">
        <is>
          <t>0.4182489247</t>
        </is>
      </c>
      <c r="CD108" s="24" t="inlineStr">
        <is>
          <t>-3.451557</t>
        </is>
      </c>
      <c r="CE108" s="24" t="inlineStr">
        <is>
          <t>1.153</t>
        </is>
      </c>
      <c r="CF108" s="24" t="inlineStr">
        <is>
          <t>1.0254</t>
        </is>
      </c>
      <c r="CG108" s="24" t="inlineStr">
        <is>
          <t>1</t>
        </is>
      </c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n"/>
    </row>
    <row r="109" ht="36" customHeight="1">
      <c r="A109" s="24" t="inlineStr">
        <is>
          <t>a8302dcd85cc4351</t>
        </is>
      </c>
      <c r="B109" s="24" t="inlineStr">
        <is>
          <t>2026-08-01T23:52:39.479166Z</t>
        </is>
      </c>
      <c r="C109" s="24" t="inlineStr">
        <is>
          <t>2026-08-02T00:10Z</t>
        </is>
      </c>
      <c r="D109" s="24" t="inlineStr">
        <is>
          <t>401816356</t>
        </is>
      </c>
      <c r="E109" s="24" t="inlineStr">
        <is>
          <t>MLB</t>
        </is>
      </c>
      <c r="F109" s="24" t="inlineStr">
        <is>
          <t>Kansas City Royals</t>
        </is>
      </c>
      <c r="G109" s="24" t="inlineStr">
        <is>
          <t>Colorado Rockies</t>
        </is>
      </c>
      <c r="H109" s="24" t="inlineStr">
        <is>
          <t>spread</t>
        </is>
      </c>
      <c r="I109" s="24" t="inlineStr">
        <is>
          <t>away</t>
        </is>
      </c>
      <c r="J109" s="25" t="n">
        <v>1.5</v>
      </c>
      <c r="K109" s="24" t="inlineStr">
        <is>
          <t>polymarket_us</t>
        </is>
      </c>
      <c r="L109" s="26" t="n">
        <v>-167</v>
      </c>
      <c r="M109" s="27" t="n">
        <v>1.598802</v>
      </c>
      <c r="N109" s="28" t="n">
        <v>0.625468</v>
      </c>
      <c r="O109" s="28" t="n">
        <v>0.608274</v>
      </c>
      <c r="P109" s="28" t="n">
        <v>0.042131</v>
      </c>
      <c r="Q109" s="28" t="n">
        <v>-0.017194</v>
      </c>
      <c r="R109" s="26" t="n">
        <v>16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6</v>
      </c>
      <c r="X109" s="26" t="n">
        <v>12</v>
      </c>
      <c r="Y109" s="25" t="n">
        <v>1.5</v>
      </c>
      <c r="Z109" s="26" t="n">
        <v>-167</v>
      </c>
      <c r="AA109" s="28" t="n">
        <v>0.625</v>
      </c>
      <c r="AB109" s="28" t="n">
        <v>-0.000468</v>
      </c>
      <c r="AC109" s="30" t="n">
        <v>-1.5</v>
      </c>
      <c r="AD109" s="24" t="inlineStr">
        <is>
          <t>2026-08-02T03:26:04.987733Z</t>
        </is>
      </c>
      <c r="AE109" s="31" t="inlineStr">
        <is>
          <t>Measured Edge Margin: Trend Engine projected 5.10-5.03; raw selected-side p=0.6650, calibrated p=0.6083.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mlb-kc</t>
        </is>
      </c>
      <c r="AQ109" s="24" t="inlineStr">
        <is>
          <t>Kansas City Royals</t>
        </is>
      </c>
      <c r="AR109" s="24" t="inlineStr">
        <is>
          <t>Kansas City Royals</t>
        </is>
      </c>
      <c r="AS109" s="24" t="inlineStr">
        <is>
          <t>mlb-col</t>
        </is>
      </c>
      <c r="AT109" s="24" t="inlineStr">
        <is>
          <t>Colorado Rockies</t>
        </is>
      </c>
      <c r="AU109" s="24" t="inlineStr">
        <is>
          <t>Colorado Rockies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2026-08-01T23:52:39.479166Z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-167</v>
      </c>
      <c r="BL109" s="27" t="n">
        <v>1.598802</v>
      </c>
      <c r="BM109" s="28" t="n">
        <v>0.625468</v>
      </c>
      <c r="BN109" s="28" t="n">
        <v>0.621891</v>
      </c>
      <c r="BO109" s="28" t="n"/>
      <c r="BP109" s="25" t="n"/>
      <c r="BQ109" s="27" t="n">
        <v>1.598802</v>
      </c>
      <c r="BR109" s="28" t="n">
        <v>0.625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n"/>
    </row>
    <row r="110" ht="36" customHeight="1">
      <c r="A110" s="24" t="inlineStr">
        <is>
          <t>0f21a302528244cc</t>
        </is>
      </c>
      <c r="B110" s="24" t="inlineStr">
        <is>
          <t>2026-08-01T23:52:39.479166Z</t>
        </is>
      </c>
      <c r="C110" s="24" t="inlineStr">
        <is>
          <t>2026-08-02T00:10Z</t>
        </is>
      </c>
      <c r="D110" s="24" t="inlineStr">
        <is>
          <t>401816356</t>
        </is>
      </c>
      <c r="E110" s="24" t="inlineStr">
        <is>
          <t>MLB</t>
        </is>
      </c>
      <c r="F110" s="24" t="inlineStr">
        <is>
          <t>Kansas City Royals</t>
        </is>
      </c>
      <c r="G110" s="24" t="inlineStr">
        <is>
          <t>Colorado Rockies</t>
        </is>
      </c>
      <c r="H110" s="24" t="inlineStr">
        <is>
          <t>total</t>
        </is>
      </c>
      <c r="I110" s="24" t="inlineStr">
        <is>
          <t>under</t>
        </is>
      </c>
      <c r="J110" s="25" t="n">
        <v>11.5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0.561409</v>
      </c>
      <c r="P110" s="28" t="n">
        <v>0.042131</v>
      </c>
      <c r="Q110" s="28" t="n">
        <v>0.061409</v>
      </c>
      <c r="R110" s="26" t="n">
        <v>55</v>
      </c>
      <c r="S110" s="29" t="n">
        <v>1.25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6</v>
      </c>
      <c r="X110" s="26" t="n">
        <v>12</v>
      </c>
      <c r="Y110" s="25" t="n">
        <v>11.5</v>
      </c>
      <c r="Z110" s="26" t="n">
        <v>100</v>
      </c>
      <c r="AA110" s="28" t="n">
        <v>0.5</v>
      </c>
      <c r="AB110" s="28" t="n">
        <v>0</v>
      </c>
      <c r="AC110" s="30" t="n">
        <v>-1.25</v>
      </c>
      <c r="AD110" s="24" t="inlineStr">
        <is>
          <t>2026-08-02T03:26:05.548958Z</t>
        </is>
      </c>
      <c r="AE110" s="31" t="inlineStr">
        <is>
          <t>Measured Edge Totals: Trend Engine projected 5.10-5.03; raw selected-side p=0.6564, calibrated p=0.5614.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mlb-kc</t>
        </is>
      </c>
      <c r="AQ110" s="24" t="inlineStr">
        <is>
          <t>Kansas City Royals</t>
        </is>
      </c>
      <c r="AR110" s="24" t="inlineStr">
        <is>
          <t>Kansas City Royals</t>
        </is>
      </c>
      <c r="AS110" s="24" t="inlineStr">
        <is>
          <t>mlb-col</t>
        </is>
      </c>
      <c r="AT110" s="24" t="inlineStr">
        <is>
          <t>Colorado Rockies</t>
        </is>
      </c>
      <c r="AU110" s="24" t="inlineStr">
        <is>
          <t>Colorado Rockies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2026-08-01T23:52:39.479166Z</t>
        </is>
      </c>
      <c r="BI110" s="24" t="inlineStr">
        <is>
          <t>["same_event","same_team_same_day","same_league_same_day"]</t>
        </is>
      </c>
      <c r="BJ110" s="25" t="n">
        <v>11.5</v>
      </c>
      <c r="BK110" s="26" t="n">
        <v>100</v>
      </c>
      <c r="BL110" s="27" t="n">
        <v>2</v>
      </c>
      <c r="BM110" s="28" t="n">
        <v>0.5</v>
      </c>
      <c r="BN110" s="28" t="n">
        <v>0.497512</v>
      </c>
      <c r="BO110" s="28" t="n"/>
      <c r="BP110" s="25" t="n"/>
      <c r="BQ110" s="27" t="n">
        <v>2</v>
      </c>
      <c r="BR110" s="28" t="n">
        <v>0.5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n"/>
    </row>
    <row r="111" ht="36" customHeight="1">
      <c r="A111" s="24" t="inlineStr">
        <is>
          <t>cd2d9862386a4efc</t>
        </is>
      </c>
      <c r="B111" s="24" t="inlineStr">
        <is>
          <t>2026-08-01T23:52:39.479166Z</t>
        </is>
      </c>
      <c r="C111" s="24" t="inlineStr">
        <is>
          <t>2026-08-02T00:40Z</t>
        </is>
      </c>
      <c r="D111" s="24" t="inlineStr">
        <is>
          <t>401816361</t>
        </is>
      </c>
      <c r="E111" s="24" t="inlineStr">
        <is>
          <t>MLB</t>
        </is>
      </c>
      <c r="F111" s="24" t="inlineStr">
        <is>
          <t>San Francisco Giants</t>
        </is>
      </c>
      <c r="G111" s="24" t="inlineStr">
        <is>
          <t>San Diego Padres</t>
        </is>
      </c>
      <c r="H111" s="24" t="inlineStr">
        <is>
          <t>spread</t>
        </is>
      </c>
      <c r="I111" s="24" t="inlineStr">
        <is>
          <t>away</t>
        </is>
      </c>
      <c r="J111" s="25" t="n">
        <v>1.5</v>
      </c>
      <c r="K111" s="24" t="inlineStr">
        <is>
          <t>polymarket_us</t>
        </is>
      </c>
      <c r="L111" s="26" t="n">
        <v>-153</v>
      </c>
      <c r="M111" s="27" t="n">
        <v>1.653595</v>
      </c>
      <c r="N111" s="28" t="n">
        <v>0.604743</v>
      </c>
      <c r="O111" s="28" t="n">
        <v>0.621429</v>
      </c>
      <c r="P111" s="28" t="n">
        <v>0.042131</v>
      </c>
      <c r="Q111" s="28" t="n">
        <v>0.016686</v>
      </c>
      <c r="R111" s="26" t="n">
        <v>33</v>
      </c>
      <c r="S111" s="29" t="n">
        <v>1.5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5</v>
      </c>
      <c r="X111" s="26" t="n">
        <v>6</v>
      </c>
      <c r="Y111" s="25" t="n">
        <v>1.5</v>
      </c>
      <c r="Z111" s="26" t="n">
        <v>-153</v>
      </c>
      <c r="AA111" s="28" t="n">
        <v>0.605</v>
      </c>
      <c r="AB111" s="28" t="n">
        <v>0.000257</v>
      </c>
      <c r="AC111" s="30" t="n">
        <v>0.9804</v>
      </c>
      <c r="AD111" s="24" t="inlineStr">
        <is>
          <t>2026-08-02T04:26:13.568842Z</t>
        </is>
      </c>
      <c r="AE111" s="31" t="inlineStr">
        <is>
          <t>Measured Edge Margin: Trend Engine projected 4.97-4.72; raw selected-side p=0.6850, calibrated p=0.6214.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mlb-sf</t>
        </is>
      </c>
      <c r="AQ111" s="24" t="inlineStr">
        <is>
          <t>San Francisco Giants</t>
        </is>
      </c>
      <c r="AR111" s="24" t="inlineStr">
        <is>
          <t>San Francisco Giants</t>
        </is>
      </c>
      <c r="AS111" s="24" t="inlineStr">
        <is>
          <t>mlb-sd</t>
        </is>
      </c>
      <c r="AT111" s="24" t="inlineStr">
        <is>
          <t>San Diego Padres</t>
        </is>
      </c>
      <c r="AU111" s="24" t="inlineStr">
        <is>
          <t>San Diego Padres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2026-08-01T23:52:39.479166Z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-153</v>
      </c>
      <c r="BL111" s="27" t="n">
        <v>1.653595</v>
      </c>
      <c r="BM111" s="28" t="n">
        <v>0.604743</v>
      </c>
      <c r="BN111" s="28" t="n">
        <v>0.60199</v>
      </c>
      <c r="BO111" s="28" t="n"/>
      <c r="BP111" s="25" t="n"/>
      <c r="BQ111" s="27" t="n">
        <v>1.653595</v>
      </c>
      <c r="BR111" s="28" t="n">
        <v>0.605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n"/>
    </row>
    <row r="112" ht="36" customHeight="1">
      <c r="A112" s="24" t="inlineStr">
        <is>
          <t>460d3ac964b54fb9</t>
        </is>
      </c>
      <c r="B112" s="24" t="inlineStr">
        <is>
          <t>2026-08-01T23:52:39.479166Z</t>
        </is>
      </c>
      <c r="C112" s="24" t="inlineStr">
        <is>
          <t>2026-08-02T00:40Z</t>
        </is>
      </c>
      <c r="D112" s="24" t="inlineStr">
        <is>
          <t>401816361</t>
        </is>
      </c>
      <c r="E112" s="24" t="inlineStr">
        <is>
          <t>MLB</t>
        </is>
      </c>
      <c r="F112" s="24" t="inlineStr">
        <is>
          <t>San Francisco Giants</t>
        </is>
      </c>
      <c r="G112" s="24" t="inlineStr">
        <is>
          <t>San Diego Padres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108</v>
      </c>
      <c r="M112" s="27" t="n">
        <v>2.08</v>
      </c>
      <c r="N112" s="28" t="n">
        <v>0.480769</v>
      </c>
      <c r="O112" s="28" t="n">
        <v>0.5338000000000001</v>
      </c>
      <c r="P112" s="28" t="n">
        <v>0.042131</v>
      </c>
      <c r="Q112" s="28" t="n">
        <v>0.053031</v>
      </c>
      <c r="R112" s="26" t="n">
        <v>51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5</v>
      </c>
      <c r="X112" s="26" t="n">
        <v>6</v>
      </c>
      <c r="Y112" s="25" t="n">
        <v>8.5</v>
      </c>
      <c r="Z112" s="26" t="n">
        <v>108</v>
      </c>
      <c r="AA112" s="28" t="n">
        <v>0.48</v>
      </c>
      <c r="AB112" s="28" t="n">
        <v>-0.000769</v>
      </c>
      <c r="AC112" s="30" t="n">
        <v>1.08</v>
      </c>
      <c r="AD112" s="24" t="inlineStr">
        <is>
          <t>2026-08-02T04:26:14.039588Z</t>
        </is>
      </c>
      <c r="AE112" s="31" t="inlineStr">
        <is>
          <t>Measured Edge Totals: Trend Engine projected 4.97-4.72; raw selected-side p=0.5756, calibrated p=0.5338.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mlb-sf</t>
        </is>
      </c>
      <c r="AQ112" s="24" t="inlineStr">
        <is>
          <t>San Francisco Giants</t>
        </is>
      </c>
      <c r="AR112" s="24" t="inlineStr">
        <is>
          <t>San Francisco Giants</t>
        </is>
      </c>
      <c r="AS112" s="24" t="inlineStr">
        <is>
          <t>mlb-sd</t>
        </is>
      </c>
      <c r="AT112" s="24" t="inlineStr">
        <is>
          <t>San Diego Padres</t>
        </is>
      </c>
      <c r="AU112" s="24" t="inlineStr">
        <is>
          <t>San Diego Padres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2026-08-01T23:52:39.479166Z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108</v>
      </c>
      <c r="BL112" s="27" t="n">
        <v>2.08</v>
      </c>
      <c r="BM112" s="28" t="n">
        <v>0.480769</v>
      </c>
      <c r="BN112" s="28" t="n">
        <v>0.477612</v>
      </c>
      <c r="BO112" s="28" t="n"/>
      <c r="BP112" s="25" t="n"/>
      <c r="BQ112" s="27" t="n">
        <v>2.08</v>
      </c>
      <c r="BR112" s="28" t="n">
        <v>0.48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n"/>
    </row>
    <row r="113" ht="36" customHeight="1">
      <c r="A113" s="24" t="inlineStr">
        <is>
          <t>33bd68b7d7af45d1</t>
        </is>
      </c>
      <c r="B113" s="24" t="inlineStr">
        <is>
          <t>2026-08-01T23:52:39.479166Z</t>
        </is>
      </c>
      <c r="C113" s="24" t="inlineStr">
        <is>
          <t>2026-08-02T01:10Z</t>
        </is>
      </c>
      <c r="D113" s="24" t="inlineStr">
        <is>
          <t>401816357</t>
        </is>
      </c>
      <c r="E113" s="24" t="inlineStr">
        <is>
          <t>MLB</t>
        </is>
      </c>
      <c r="F113" s="24" t="inlineStr">
        <is>
          <t>Boston Red Sox</t>
        </is>
      </c>
      <c r="G113" s="24" t="inlineStr">
        <is>
          <t>Los Angeles Dodgers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-138</v>
      </c>
      <c r="M113" s="27" t="n">
        <v>1.724638</v>
      </c>
      <c r="N113" s="28" t="n">
        <v>0.579832</v>
      </c>
      <c r="O113" s="28" t="n">
        <v>0.5855399999999999</v>
      </c>
      <c r="P113" s="28" t="n">
        <v>0.042131</v>
      </c>
      <c r="Q113" s="28" t="n">
        <v>0.005708</v>
      </c>
      <c r="R113" s="26" t="n">
        <v>28</v>
      </c>
      <c r="S113" s="29" t="n">
        <v>1.25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3</v>
      </c>
      <c r="X113" s="26" t="n">
        <v>2</v>
      </c>
      <c r="Y113" s="25" t="n">
        <v>1.5</v>
      </c>
      <c r="Z113" s="26" t="n">
        <v>-138</v>
      </c>
      <c r="AA113" s="28" t="n">
        <v>0.58</v>
      </c>
      <c r="AB113" s="28" t="n">
        <v>0.000168</v>
      </c>
      <c r="AC113" s="30" t="n">
        <v>0.9058</v>
      </c>
      <c r="AD113" s="24" t="inlineStr">
        <is>
          <t>2026-08-02T03:26:06.086063Z</t>
        </is>
      </c>
      <c r="AE113" s="31" t="inlineStr">
        <is>
          <t>Measured Edge Margin: Trend Engine projected 4.26-4.73; raw selected-side p=0.6303, calibrated p=0.5855.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mlb-bos</t>
        </is>
      </c>
      <c r="AQ113" s="24" t="inlineStr">
        <is>
          <t>Boston Red Sox</t>
        </is>
      </c>
      <c r="AR113" s="24" t="inlineStr">
        <is>
          <t>Boston Red Sox</t>
        </is>
      </c>
      <c r="AS113" s="24" t="inlineStr">
        <is>
          <t>mlb-lad</t>
        </is>
      </c>
      <c r="AT113" s="24" t="inlineStr">
        <is>
          <t>Los Angeles Dodgers</t>
        </is>
      </c>
      <c r="AU113" s="24" t="inlineStr">
        <is>
          <t>Los Angeles Dodgers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2026-08-01T23:52:39.479166Z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-138</v>
      </c>
      <c r="BL113" s="27" t="n">
        <v>1.724638</v>
      </c>
      <c r="BM113" s="28" t="n">
        <v>0.579832</v>
      </c>
      <c r="BN113" s="28" t="n">
        <v>0.577114</v>
      </c>
      <c r="BO113" s="28" t="n"/>
      <c r="BP113" s="25" t="n"/>
      <c r="BQ113" s="27" t="n">
        <v>1.724638</v>
      </c>
      <c r="BR113" s="28" t="n">
        <v>0.58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n"/>
    </row>
    <row r="114" ht="36" customHeight="1">
      <c r="A114" s="24" t="inlineStr">
        <is>
          <t>fd4b348108b34346</t>
        </is>
      </c>
      <c r="B114" s="24" t="inlineStr">
        <is>
          <t>2026-08-01T23:52:39.479166Z</t>
        </is>
      </c>
      <c r="C114" s="24" t="inlineStr">
        <is>
          <t>2026-08-02T01:10Z</t>
        </is>
      </c>
      <c r="D114" s="24" t="inlineStr">
        <is>
          <t>401816357</t>
        </is>
      </c>
      <c r="E114" s="24" t="inlineStr">
        <is>
          <t>MLB</t>
        </is>
      </c>
      <c r="F114" s="24" t="inlineStr">
        <is>
          <t>Boston Red Sox</t>
        </is>
      </c>
      <c r="G114" s="24" t="inlineStr">
        <is>
          <t>Los Angeles Dodgers</t>
        </is>
      </c>
      <c r="H114" s="24" t="inlineStr">
        <is>
          <t>total</t>
        </is>
      </c>
      <c r="I114" s="24" t="inlineStr">
        <is>
          <t>over</t>
        </is>
      </c>
      <c r="J114" s="25" t="n">
        <v>7.5</v>
      </c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0.536875</v>
      </c>
      <c r="P114" s="28" t="n">
        <v>0.042131</v>
      </c>
      <c r="Q114" s="28" t="n">
        <v>0.076046</v>
      </c>
      <c r="R114" s="26" t="n">
        <v>63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3</v>
      </c>
      <c r="X114" s="26" t="n">
        <v>2</v>
      </c>
      <c r="Y114" s="25" t="n">
        <v>7.5</v>
      </c>
      <c r="Z114" s="26" t="n">
        <v>117</v>
      </c>
      <c r="AA114" s="28" t="n">
        <v>0.46</v>
      </c>
      <c r="AB114" s="28" t="n">
        <v>-0.000829</v>
      </c>
      <c r="AC114" s="30" t="n">
        <v>-1</v>
      </c>
      <c r="AD114" s="24" t="inlineStr">
        <is>
          <t>2026-08-02T03:26:06.617227Z</t>
        </is>
      </c>
      <c r="AE114" s="31" t="inlineStr">
        <is>
          <t>Measured Edge Totals: Trend Engine projected 4.26-4.73; raw selected-side p=0.5847, calibrated p=0.5369.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mlb-bos</t>
        </is>
      </c>
      <c r="AQ114" s="24" t="inlineStr">
        <is>
          <t>Boston Red Sox</t>
        </is>
      </c>
      <c r="AR114" s="24" t="inlineStr">
        <is>
          <t>Boston Red Sox</t>
        </is>
      </c>
      <c r="AS114" s="24" t="inlineStr">
        <is>
          <t>mlb-lad</t>
        </is>
      </c>
      <c r="AT114" s="24" t="inlineStr">
        <is>
          <t>Los Angeles Dodgers</t>
        </is>
      </c>
      <c r="AU114" s="24" t="inlineStr">
        <is>
          <t>Los Angeles Dodgers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2026-08-01T23:52:39.479166Z</t>
        </is>
      </c>
      <c r="BI114" s="24" t="inlineStr">
        <is>
          <t>["same_event","same_team_same_day","same_league_same_day"]</t>
        </is>
      </c>
      <c r="BJ114" s="25" t="n">
        <v>7.5</v>
      </c>
      <c r="BK114" s="26" t="n">
        <v>117</v>
      </c>
      <c r="BL114" s="27" t="n">
        <v>2.17</v>
      </c>
      <c r="BM114" s="28" t="n">
        <v>0.460829</v>
      </c>
      <c r="BN114" s="28" t="n">
        <v>0.457711</v>
      </c>
      <c r="BO114" s="28" t="n"/>
      <c r="BP114" s="25" t="n"/>
      <c r="BQ114" s="27" t="n">
        <v>2.17</v>
      </c>
      <c r="BR114" s="28" t="n">
        <v>0.46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n"/>
    </row>
    <row r="115" ht="36" customHeight="1">
      <c r="A115" s="24" t="inlineStr">
        <is>
          <t>a68808b3454d43b2</t>
        </is>
      </c>
      <c r="B115" s="24" t="inlineStr">
        <is>
          <t>2026-08-01T23:52:39.479166Z</t>
        </is>
      </c>
      <c r="C115" s="24" t="inlineStr">
        <is>
          <t>2026-08-02T01:38Z</t>
        </is>
      </c>
      <c r="D115" s="24" t="inlineStr">
        <is>
          <t>401816359</t>
        </is>
      </c>
      <c r="E115" s="24" t="inlineStr">
        <is>
          <t>MLB</t>
        </is>
      </c>
      <c r="F115" s="24" t="inlineStr">
        <is>
          <t>Milwaukee Brewers</t>
        </is>
      </c>
      <c r="G115" s="24" t="inlineStr">
        <is>
          <t>Los Angeles Angels</t>
        </is>
      </c>
      <c r="H115" s="24" t="inlineStr">
        <is>
          <t>spread</t>
        </is>
      </c>
      <c r="I115" s="24" t="inlineStr">
        <is>
          <t>home</t>
        </is>
      </c>
      <c r="J115" s="25" t="n">
        <v>1.5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0.6323530000000001</v>
      </c>
      <c r="P115" s="28" t="n">
        <v>0.042131</v>
      </c>
      <c r="Q115" s="28" t="n">
        <v>0.093182</v>
      </c>
      <c r="R115" s="26" t="n">
        <v>71</v>
      </c>
      <c r="S115" s="29" t="n">
        <v>1.5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1</v>
      </c>
      <c r="Y115" s="25" t="n">
        <v>1.5</v>
      </c>
      <c r="Z115" s="26" t="n">
        <v>-117</v>
      </c>
      <c r="AA115" s="28" t="n">
        <v>0.54</v>
      </c>
      <c r="AB115" s="28" t="n">
        <v>0.000829</v>
      </c>
      <c r="AC115" s="30" t="n">
        <v>-1.5</v>
      </c>
      <c r="AD115" s="24" t="inlineStr">
        <is>
          <t>2026-08-02T04:26:14.595420Z</t>
        </is>
      </c>
      <c r="AE115" s="31" t="inlineStr">
        <is>
          <t>Measured Edge Margin: Trend Engine projected 4.46-4.83; raw selected-side p=0.7016, calibrated p=0.6324.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mlb-mil</t>
        </is>
      </c>
      <c r="AQ115" s="24" t="inlineStr">
        <is>
          <t>Milwaukee Brewers</t>
        </is>
      </c>
      <c r="AR115" s="24" t="inlineStr">
        <is>
          <t>Milwaukee Brewers</t>
        </is>
      </c>
      <c r="AS115" s="24" t="inlineStr">
        <is>
          <t>mlb-laa</t>
        </is>
      </c>
      <c r="AT115" s="24" t="inlineStr">
        <is>
          <t>Los Angeles Angels</t>
        </is>
      </c>
      <c r="AU115" s="24" t="inlineStr">
        <is>
          <t>Los Angeles Angels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2026-08-01T23:52:39.479166Z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n"/>
    </row>
    <row r="116" ht="36" customHeight="1">
      <c r="A116" s="24" t="inlineStr">
        <is>
          <t>2476d7cf9c294516</t>
        </is>
      </c>
      <c r="B116" s="24" t="inlineStr">
        <is>
          <t>2026-08-01T23:52:39.479166Z</t>
        </is>
      </c>
      <c r="C116" s="24" t="inlineStr">
        <is>
          <t>2026-08-02T01:38Z</t>
        </is>
      </c>
      <c r="D116" s="24" t="inlineStr">
        <is>
          <t>401816359</t>
        </is>
      </c>
      <c r="E116" s="24" t="inlineStr">
        <is>
          <t>MLB</t>
        </is>
      </c>
      <c r="F116" s="24" t="inlineStr">
        <is>
          <t>Milwaukee Brewers</t>
        </is>
      </c>
      <c r="G116" s="24" t="inlineStr">
        <is>
          <t>Los Angeles Angels</t>
        </is>
      </c>
      <c r="H116" s="24" t="inlineStr">
        <is>
          <t>total</t>
        </is>
      </c>
      <c r="I116" s="24" t="inlineStr">
        <is>
          <t>over</t>
        </is>
      </c>
      <c r="J116" s="25" t="n">
        <v>8.5</v>
      </c>
      <c r="K116" s="24" t="inlineStr">
        <is>
          <t>polymarket_us</t>
        </is>
      </c>
      <c r="L116" s="26" t="n">
        <v>-120</v>
      </c>
      <c r="M116" s="27" t="n">
        <v>1.833333</v>
      </c>
      <c r="N116" s="28" t="n">
        <v>0.545455</v>
      </c>
      <c r="O116" s="28" t="n">
        <v>0.521054</v>
      </c>
      <c r="P116" s="28" t="n">
        <v>0.042131</v>
      </c>
      <c r="Q116" s="28" t="n">
        <v>-0.024401</v>
      </c>
      <c r="R116" s="26" t="n">
        <v>13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1</v>
      </c>
      <c r="Y116" s="25" t="n">
        <v>8.5</v>
      </c>
      <c r="Z116" s="26" t="n">
        <v>-120</v>
      </c>
      <c r="AA116" s="28" t="n">
        <v>0.545</v>
      </c>
      <c r="AB116" s="28" t="n">
        <v>-0.000455</v>
      </c>
      <c r="AC116" s="30" t="n">
        <v>-1</v>
      </c>
      <c r="AD116" s="24" t="inlineStr">
        <is>
          <t>2026-08-02T04:26:15.051688Z</t>
        </is>
      </c>
      <c r="AE116" s="31" t="inlineStr">
        <is>
          <t>Measured Edge Totals: Trend Engine projected 4.46-4.83; raw selected-side p=0.5383, calibrated p=0.5211.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mlb-mil</t>
        </is>
      </c>
      <c r="AQ116" s="24" t="inlineStr">
        <is>
          <t>Milwaukee Brewers</t>
        </is>
      </c>
      <c r="AR116" s="24" t="inlineStr">
        <is>
          <t>Milwaukee Brewers</t>
        </is>
      </c>
      <c r="AS116" s="24" t="inlineStr">
        <is>
          <t>mlb-laa</t>
        </is>
      </c>
      <c r="AT116" s="24" t="inlineStr">
        <is>
          <t>Los Angeles Angels</t>
        </is>
      </c>
      <c r="AU116" s="24" t="inlineStr">
        <is>
          <t>Los Angeles Angels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2026-08-01T23:52:39.479166Z</t>
        </is>
      </c>
      <c r="BI116" s="24" t="inlineStr">
        <is>
          <t>["same_event","same_team_same_day","same_league_same_day"]</t>
        </is>
      </c>
      <c r="BJ116" s="25" t="n">
        <v>8.5</v>
      </c>
      <c r="BK116" s="26" t="n">
        <v>-120</v>
      </c>
      <c r="BL116" s="27" t="n">
        <v>1.833333</v>
      </c>
      <c r="BM116" s="28" t="n">
        <v>0.545455</v>
      </c>
      <c r="BN116" s="28" t="n">
        <v>0.542289</v>
      </c>
      <c r="BO116" s="28" t="n"/>
      <c r="BP116" s="25" t="n"/>
      <c r="BQ116" s="27" t="n">
        <v>1.833333</v>
      </c>
      <c r="BR116" s="28" t="n">
        <v>0.545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n"/>
    </row>
    <row r="117" ht="36" customHeight="1">
      <c r="A117" s="24" t="inlineStr">
        <is>
          <t>6c913b248fc5448c</t>
        </is>
      </c>
      <c r="B117" s="24" t="inlineStr">
        <is>
          <t>2026-08-01T23:52:39.479166Z</t>
        </is>
      </c>
      <c r="C117" s="24" t="inlineStr">
        <is>
          <t>2026-08-02T01:40Z</t>
        </is>
      </c>
      <c r="D117" s="24" t="inlineStr">
        <is>
          <t>401816358</t>
        </is>
      </c>
      <c r="E117" s="24" t="inlineStr">
        <is>
          <t>MLB</t>
        </is>
      </c>
      <c r="F117" s="24" t="inlineStr">
        <is>
          <t>Detroit Tigers</t>
        </is>
      </c>
      <c r="G117" s="24" t="inlineStr">
        <is>
          <t>Athletics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106</v>
      </c>
      <c r="M117" s="27" t="n">
        <v>2.06</v>
      </c>
      <c r="N117" s="28" t="n">
        <v>0.485437</v>
      </c>
      <c r="O117" s="28" t="n">
        <v>0.605321</v>
      </c>
      <c r="P117" s="28" t="n">
        <v>0.042131</v>
      </c>
      <c r="Q117" s="28" t="n">
        <v>0.119884</v>
      </c>
      <c r="R117" s="26" t="n">
        <v>85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loss</t>
        </is>
      </c>
      <c r="W117" s="26" t="n">
        <v>8</v>
      </c>
      <c r="X117" s="26" t="n">
        <v>6</v>
      </c>
      <c r="Y117" s="25" t="n">
        <v>1.5</v>
      </c>
      <c r="Z117" s="26" t="n">
        <v>106</v>
      </c>
      <c r="AA117" s="28" t="n">
        <v>0.485</v>
      </c>
      <c r="AB117" s="28" t="n">
        <v>-0.000437</v>
      </c>
      <c r="AC117" s="30" t="n">
        <v>-1.5</v>
      </c>
      <c r="AD117" s="24" t="inlineStr">
        <is>
          <t>2026-08-02T05:39:17.917036Z</t>
        </is>
      </c>
      <c r="AE117" s="31" t="inlineStr">
        <is>
          <t>Measured Edge Margin: Trend Engine projected 5.11-5.12; raw selected-side p=0.6604, calibrated p=0.6053.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mlb-det</t>
        </is>
      </c>
      <c r="AQ117" s="24" t="inlineStr">
        <is>
          <t>Detroit Tigers</t>
        </is>
      </c>
      <c r="AR117" s="24" t="inlineStr">
        <is>
          <t>Detroit Tigers</t>
        </is>
      </c>
      <c r="AS117" s="24" t="inlineStr">
        <is>
          <t>mlb-ath</t>
        </is>
      </c>
      <c r="AT117" s="24" t="inlineStr">
        <is>
          <t>Athletics</t>
        </is>
      </c>
      <c r="AU117" s="24" t="inlineStr">
        <is>
          <t>Athletics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2026-08-01T23:52:39.479166Z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106</v>
      </c>
      <c r="BL117" s="27" t="n">
        <v>2.06</v>
      </c>
      <c r="BM117" s="28" t="n">
        <v>0.485437</v>
      </c>
      <c r="BN117" s="28" t="n">
        <v>0.482587</v>
      </c>
      <c r="BO117" s="28" t="n"/>
      <c r="BP117" s="25" t="n"/>
      <c r="BQ117" s="27" t="n">
        <v>2.06</v>
      </c>
      <c r="BR117" s="28" t="n">
        <v>0.485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n"/>
    </row>
    <row r="118" ht="36" customHeight="1">
      <c r="A118" s="24" t="inlineStr">
        <is>
          <t>76c280e71b0f4b3b</t>
        </is>
      </c>
      <c r="B118" s="24" t="inlineStr">
        <is>
          <t>2026-08-01T23:52:39.479166Z</t>
        </is>
      </c>
      <c r="C118" s="24" t="inlineStr">
        <is>
          <t>2026-08-02T01:40Z</t>
        </is>
      </c>
      <c r="D118" s="24" t="inlineStr">
        <is>
          <t>401816358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Athletics</t>
        </is>
      </c>
      <c r="H118" s="24" t="inlineStr">
        <is>
          <t>total</t>
        </is>
      </c>
      <c r="I118" s="24" t="inlineStr">
        <is>
          <t>under</t>
        </is>
      </c>
      <c r="J118" s="25" t="n">
        <v>10.5</v>
      </c>
      <c r="K118" s="24" t="inlineStr">
        <is>
          <t>polymarket_us</t>
        </is>
      </c>
      <c r="L118" s="26" t="n">
        <v>-108</v>
      </c>
      <c r="M118" s="27" t="n">
        <v>1.925926</v>
      </c>
      <c r="N118" s="28" t="n">
        <v>0.519231</v>
      </c>
      <c r="O118" s="28" t="n">
        <v>0.526846</v>
      </c>
      <c r="P118" s="28" t="n">
        <v>0.042131</v>
      </c>
      <c r="Q118" s="28" t="n">
        <v>0.007615</v>
      </c>
      <c r="R118" s="26" t="n">
        <v>29</v>
      </c>
      <c r="S118" s="29" t="n">
        <v>1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loss</t>
        </is>
      </c>
      <c r="W118" s="26" t="n">
        <v>8</v>
      </c>
      <c r="X118" s="26" t="n">
        <v>6</v>
      </c>
      <c r="Y118" s="25" t="n">
        <v>10.5</v>
      </c>
      <c r="Z118" s="26" t="n">
        <v>-108</v>
      </c>
      <c r="AA118" s="28" t="n">
        <v>0.52</v>
      </c>
      <c r="AB118" s="28" t="n">
        <v>0.000769</v>
      </c>
      <c r="AC118" s="30" t="n">
        <v>-1</v>
      </c>
      <c r="AD118" s="24" t="inlineStr">
        <is>
          <t>2026-08-02T05:39:18.942737Z</t>
        </is>
      </c>
      <c r="AE118" s="31" t="inlineStr">
        <is>
          <t>Measured Edge Totals: Trend Engine projected 5.11-5.12; raw selected-side p=0.5553, calibrated p=0.5268.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mlb-ath</t>
        </is>
      </c>
      <c r="AT118" s="24" t="inlineStr">
        <is>
          <t>Athletics</t>
        </is>
      </c>
      <c r="AU118" s="24" t="inlineStr">
        <is>
          <t>Athletics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2026-08-01T23:52:39.479166Z</t>
        </is>
      </c>
      <c r="BI118" s="24" t="inlineStr">
        <is>
          <t>["same_event","same_team_same_day","same_league_same_day"]</t>
        </is>
      </c>
      <c r="BJ118" s="25" t="n">
        <v>10.5</v>
      </c>
      <c r="BK118" s="26" t="n">
        <v>-108</v>
      </c>
      <c r="BL118" s="27" t="n">
        <v>1.925926</v>
      </c>
      <c r="BM118" s="28" t="n">
        <v>0.519231</v>
      </c>
      <c r="BN118" s="28" t="n">
        <v>0.517413</v>
      </c>
      <c r="BO118" s="28" t="n"/>
      <c r="BP118" s="25" t="n"/>
      <c r="BQ118" s="27" t="n">
        <v>1.925926</v>
      </c>
      <c r="BR118" s="28" t="n">
        <v>0.52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n"/>
    </row>
    <row r="119" ht="36" customHeight="1">
      <c r="A119" s="24" t="inlineStr">
        <is>
          <t>e8b9477dbc3f4279</t>
        </is>
      </c>
      <c r="B119" s="24" t="inlineStr">
        <is>
          <t>2026-08-02T17:27:52.928541Z</t>
        </is>
      </c>
      <c r="C119" s="24" t="inlineStr">
        <is>
          <t>2026-08-02T13:35:00-0400</t>
        </is>
      </c>
      <c r="D119" s="24" t="inlineStr">
        <is>
          <t>401816365</t>
        </is>
      </c>
      <c r="E119" s="24" t="inlineStr">
        <is>
          <t>MLB</t>
        </is>
      </c>
      <c r="F119" s="24" t="inlineStr">
        <is>
          <t>Philadelphia Phillies</t>
        </is>
      </c>
      <c r="G119" s="24" t="inlineStr">
        <is>
          <t>Baltimore Orioles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-130</v>
      </c>
      <c r="M119" s="27" t="n">
        <v>1.769231</v>
      </c>
      <c r="N119" s="28" t="n">
        <v>0.565217</v>
      </c>
      <c r="O119" s="28" t="n">
        <v>0.510159</v>
      </c>
      <c r="P119" s="28" t="n"/>
      <c r="Q119" s="28" t="n">
        <v>-0.055058</v>
      </c>
      <c r="R119" s="26" t="n">
        <v>0</v>
      </c>
      <c r="S119" s="29" t="n">
        <v>1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win</t>
        </is>
      </c>
      <c r="W119" s="26" t="n">
        <v>8</v>
      </c>
      <c r="X119" s="26" t="n">
        <v>0</v>
      </c>
      <c r="Y119" s="25" t="n"/>
      <c r="Z119" s="26" t="n">
        <v>-133</v>
      </c>
      <c r="AA119" s="28" t="n">
        <v>0.57</v>
      </c>
      <c r="AB119" s="28" t="n">
        <v>0.004783</v>
      </c>
      <c r="AC119" s="30" t="n">
        <v>0.7692</v>
      </c>
      <c r="AD119" s="24" t="inlineStr">
        <is>
          <t>2026-08-02T23:12:00.522783Z</t>
        </is>
      </c>
      <c r="AE119" s="31" t="inlineStr">
        <is>
          <t>Learned LR call at threshold 0.6242; executable ask 0.5650 (aec-mlb-phi-bal-2026-08-02); model edge vs ask -0.0548.</t>
        </is>
      </c>
      <c r="AF119" s="31" t="inlineStr">
        <is>
          <t>Learned model; shadow-qualified via operator override.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mlb-phi</t>
        </is>
      </c>
      <c r="AQ119" s="24" t="inlineStr">
        <is>
          <t>Philadelphia Phillies</t>
        </is>
      </c>
      <c r="AR119" s="24" t="inlineStr">
        <is>
          <t>Philadelphia Phillies</t>
        </is>
      </c>
      <c r="AS119" s="24" t="inlineStr">
        <is>
          <t>mlb-bal</t>
        </is>
      </c>
      <c r="AT119" s="24" t="inlineStr">
        <is>
          <t>Baltimore Orioles</t>
        </is>
      </c>
      <c r="AU119" s="24" t="inlineStr">
        <is>
          <t>Baltimore Orioles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49479e987644e024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2026-08-02T17:26:18.691417Z</t>
        </is>
      </c>
      <c r="BI119" s="24" t="inlineStr">
        <is>
          <t>["same_event","same_team_same_day","same_league_same_day"]</t>
        </is>
      </c>
      <c r="BJ119" s="25" t="n"/>
      <c r="BK119" s="26" t="n">
        <v>-130</v>
      </c>
      <c r="BL119" s="27" t="n">
        <v>1.769231</v>
      </c>
      <c r="BM119" s="28" t="n">
        <v>0.565217</v>
      </c>
      <c r="BN119" s="28" t="n">
        <v>0.562189</v>
      </c>
      <c r="BO119" s="28" t="n"/>
      <c r="BP119" s="25" t="n"/>
      <c r="BQ119" s="27" t="n">
        <v>1.75188</v>
      </c>
      <c r="BR119" s="28" t="n">
        <v>0.57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0.4831243511</t>
        </is>
      </c>
      <c r="CD119" s="24" t="inlineStr">
        <is>
          <t>-0.050102</t>
        </is>
      </c>
      <c r="CE119" s="24" t="inlineStr">
        <is>
          <t>1.03</t>
        </is>
      </c>
      <c r="CF119" s="24" t="inlineStr">
        <is>
          <t>1.019</t>
        </is>
      </c>
      <c r="CG119" s="24" t="inlineStr">
        <is>
          <t>2.8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inlineStr">
        <is>
          <t>0.510159</t>
        </is>
      </c>
      <c r="CS119" s="24" t="inlineStr">
        <is>
          <t>False</t>
        </is>
      </c>
    </row>
    <row r="120" ht="36" customHeight="1">
      <c r="A120" s="24" t="inlineStr">
        <is>
          <t>54fd030403e949ac</t>
        </is>
      </c>
      <c r="B120" s="24" t="inlineStr">
        <is>
          <t>2026-08-02T17:27:52.928541Z</t>
        </is>
      </c>
      <c r="C120" s="24" t="inlineStr">
        <is>
          <t>2026-08-02T13:35:00-0400</t>
        </is>
      </c>
      <c r="D120" s="24" t="inlineStr">
        <is>
          <t>401816368</t>
        </is>
      </c>
      <c r="E120" s="24" t="inlineStr">
        <is>
          <t>MLB</t>
        </is>
      </c>
      <c r="F120" s="24" t="inlineStr">
        <is>
          <t>Washington Nationals</t>
        </is>
      </c>
      <c r="G120" s="24" t="inlineStr">
        <is>
          <t>Atlanta Braves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0.600464</v>
      </c>
      <c r="P120" s="28" t="n"/>
      <c r="Q120" s="28" t="n">
        <v>0.050914</v>
      </c>
      <c r="R120" s="26" t="n">
        <v>47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1.0246</v>
      </c>
      <c r="AD120" s="24" t="inlineStr">
        <is>
          <t>2026-08-02T23:12:01.611733Z</t>
        </is>
      </c>
      <c r="AE120" s="31" t="inlineStr">
        <is>
          <t>Learned LR call at threshold 0.6242; executable ask 0.5500 (aec-mlb-wsh-atl-2026-08-02); model edge vs ask +0.0505.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mlb-wsh</t>
        </is>
      </c>
      <c r="AQ120" s="24" t="inlineStr">
        <is>
          <t>Washington Nationals</t>
        </is>
      </c>
      <c r="AR120" s="24" t="inlineStr">
        <is>
          <t>Washington Nationals</t>
        </is>
      </c>
      <c r="AS120" s="24" t="inlineStr">
        <is>
          <t>mlb-atl</t>
        </is>
      </c>
      <c r="AT120" s="24" t="inlineStr">
        <is>
          <t>Atlanta Braves</t>
        </is>
      </c>
      <c r="AU120" s="24" t="inlineStr">
        <is>
          <t>Atlanta Braves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73dc550984f25411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2026-08-02T17:26:19.692469Z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>
        <v>0.547264</v>
      </c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0.6335187094</t>
        </is>
      </c>
      <c r="CD120" s="24" t="inlineStr">
        <is>
          <t>1.061773</t>
        </is>
      </c>
      <c r="CE120" s="24" t="inlineStr">
        <is>
          <t>0.929</t>
        </is>
      </c>
      <c r="CF120" s="24" t="inlineStr">
        <is>
          <t>1.0183</t>
        </is>
      </c>
      <c r="CG120" s="24" t="inlineStr">
        <is>
          <t>-3.6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inlineStr">
        <is>
          <t>0.600464</t>
        </is>
      </c>
      <c r="CS120" s="24" t="inlineStr">
        <is>
          <t>True</t>
        </is>
      </c>
    </row>
    <row r="121" ht="36" customHeight="1">
      <c r="A121" s="24" t="inlineStr">
        <is>
          <t>1ab367e6297947f8</t>
        </is>
      </c>
      <c r="B121" s="24" t="inlineStr">
        <is>
          <t>2026-08-02T17:27:52.928541Z</t>
        </is>
      </c>
      <c r="C121" s="24" t="inlineStr">
        <is>
          <t>2026-08-02T13:37:00-0400</t>
        </is>
      </c>
      <c r="D121" s="24" t="inlineStr">
        <is>
          <t>401816367</t>
        </is>
      </c>
      <c r="E121" s="24" t="inlineStr">
        <is>
          <t>MLB</t>
        </is>
      </c>
      <c r="F121" s="24" t="inlineStr">
        <is>
          <t>St. Louis Cardinals</t>
        </is>
      </c>
      <c r="G121" s="24" t="inlineStr">
        <is>
          <t>Toronto Blue Jays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-120</v>
      </c>
      <c r="M121" s="27" t="n">
        <v>1.833333</v>
      </c>
      <c r="N121" s="28" t="n">
        <v>0.545455</v>
      </c>
      <c r="O121" s="28" t="n">
        <v>0.536276</v>
      </c>
      <c r="P121" s="28" t="n"/>
      <c r="Q121" s="28" t="n">
        <v>-0.009179</v>
      </c>
      <c r="R121" s="26" t="n">
        <v>17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5</v>
      </c>
      <c r="X121" s="26" t="n">
        <v>1</v>
      </c>
      <c r="Y121" s="25" t="n"/>
      <c r="Z121" s="26" t="n">
        <v>-122</v>
      </c>
      <c r="AA121" s="28" t="n">
        <v>0.55</v>
      </c>
      <c r="AB121" s="28" t="n">
        <v>0.004545</v>
      </c>
      <c r="AC121" s="30" t="n">
        <v>-1</v>
      </c>
      <c r="AD121" s="24" t="inlineStr">
        <is>
          <t>2026-08-02T23:12:02.726740Z</t>
        </is>
      </c>
      <c r="AE121" s="31" t="inlineStr">
        <is>
          <t>Learned LR call at threshold 0.6242; executable ask 0.5450 (aec-mlb-stl-tor-2026-08-02); model edge vs ask -0.0087.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mlb-stl</t>
        </is>
      </c>
      <c r="AQ121" s="24" t="inlineStr">
        <is>
          <t>St. Louis Cardinals</t>
        </is>
      </c>
      <c r="AR121" s="24" t="inlineStr">
        <is>
          <t>St. Louis Cardinals</t>
        </is>
      </c>
      <c r="AS121" s="24" t="inlineStr">
        <is>
          <t>mlb-tor</t>
        </is>
      </c>
      <c r="AT121" s="24" t="inlineStr">
        <is>
          <t>Toronto Blue Jays</t>
        </is>
      </c>
      <c r="AU121" s="24" t="inlineStr">
        <is>
          <t>Toronto Blue Jays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429c13d4c562f5e8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2026-08-02T17:26:20.623512Z</t>
        </is>
      </c>
      <c r="BI121" s="24" t="inlineStr">
        <is>
          <t>["same_event","same_team_same_day","same_league_same_day"]</t>
        </is>
      </c>
      <c r="BJ121" s="25" t="n"/>
      <c r="BK121" s="26" t="n">
        <v>-120</v>
      </c>
      <c r="BL121" s="27" t="n">
        <v>1.833333</v>
      </c>
      <c r="BM121" s="28" t="n">
        <v>0.545455</v>
      </c>
      <c r="BN121" s="28" t="n">
        <v>0.542289</v>
      </c>
      <c r="BO121" s="28" t="n"/>
      <c r="BP121" s="25" t="n"/>
      <c r="BQ121" s="27" t="n">
        <v>1.819672</v>
      </c>
      <c r="BR121" s="28" t="n">
        <v>0.55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0.5658417148</t>
        </is>
      </c>
      <c r="CD121" s="24" t="inlineStr">
        <is>
          <t>1.499161</t>
        </is>
      </c>
      <c r="CE121" s="24" t="inlineStr">
        <is>
          <t>1.019</t>
        </is>
      </c>
      <c r="CF121" s="24" t="inlineStr">
        <is>
          <t>1.0</t>
        </is>
      </c>
      <c r="CG121" s="24" t="inlineStr">
        <is>
          <t>-2.0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inlineStr">
        <is>
          <t>0.536276</t>
        </is>
      </c>
      <c r="CS121" s="24" t="inlineStr">
        <is>
          <t>False</t>
        </is>
      </c>
    </row>
    <row r="122" ht="36" customHeight="1">
      <c r="A122" s="24" t="inlineStr">
        <is>
          <t>b81757c406fb4c1a</t>
        </is>
      </c>
      <c r="B122" s="24" t="inlineStr">
        <is>
          <t>2026-08-02T17:28:55.256054Z</t>
        </is>
      </c>
      <c r="C122" s="24" t="inlineStr">
        <is>
          <t>2026-08-02T17:35Z</t>
        </is>
      </c>
      <c r="D122" s="24" t="inlineStr">
        <is>
          <t>401816365</t>
        </is>
      </c>
      <c r="E122" s="24" t="inlineStr">
        <is>
          <t>MLB</t>
        </is>
      </c>
      <c r="F122" s="24" t="inlineStr">
        <is>
          <t>Philadelphia Phillies</t>
        </is>
      </c>
      <c r="G122" s="24" t="inlineStr">
        <is>
          <t>Baltimore Orioles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-130</v>
      </c>
      <c r="M122" s="27" t="n">
        <v>1.769231</v>
      </c>
      <c r="N122" s="28" t="n">
        <v>0.565217</v>
      </c>
      <c r="O122" s="28" t="n">
        <v>0.614868</v>
      </c>
      <c r="P122" s="28" t="n">
        <v>0.042131</v>
      </c>
      <c r="Q122" s="28" t="n">
        <v>0.049651</v>
      </c>
      <c r="R122" s="26" t="n">
        <v>51</v>
      </c>
      <c r="S122" s="29" t="n">
        <v>1.5</v>
      </c>
      <c r="T122" s="24" t="inlineStr">
        <is>
          <t>measured-edge-margin-v2</t>
        </is>
      </c>
      <c r="U122" s="24" t="inlineStr">
        <is>
          <t>settled</t>
        </is>
      </c>
      <c r="V122" s="24" t="inlineStr">
        <is>
          <t>loss</t>
        </is>
      </c>
      <c r="W122" s="26" t="n">
        <v>8</v>
      </c>
      <c r="X122" s="26" t="n">
        <v>0</v>
      </c>
      <c r="Y122" s="25" t="n">
        <v>1.5</v>
      </c>
      <c r="Z122" s="26" t="n">
        <v>-130</v>
      </c>
      <c r="AA122" s="28" t="n">
        <v>0.5649999999999999</v>
      </c>
      <c r="AB122" s="28" t="n">
        <v>-0.000217</v>
      </c>
      <c r="AC122" s="30" t="n">
        <v>-1.5</v>
      </c>
      <c r="AD122" s="24" t="inlineStr">
        <is>
          <t>2026-08-02T23:12:03.800599Z</t>
        </is>
      </c>
      <c r="AE122" s="31" t="inlineStr">
        <is>
          <t>Measured Edge Margin: Trend Engine projected 4.52-4.52; raw selected-side p=0.6750, calibrated p=0.6149.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mlb-phi</t>
        </is>
      </c>
      <c r="AQ122" s="24" t="inlineStr">
        <is>
          <t>Philadelphia Phillies</t>
        </is>
      </c>
      <c r="AR122" s="24" t="inlineStr">
        <is>
          <t>Philadelphia Phillies</t>
        </is>
      </c>
      <c r="AS122" s="24" t="inlineStr">
        <is>
          <t>mlb-bal</t>
        </is>
      </c>
      <c r="AT122" s="24" t="inlineStr">
        <is>
          <t>Baltimore Orioles</t>
        </is>
      </c>
      <c r="AU122" s="24" t="inlineStr">
        <is>
          <t>Baltimore Orioles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8360b122264b796b0fb193095cfe4506c7e064e5f3f8c0a659aec41efd08dd25</t>
        </is>
      </c>
      <c r="BB122" s="24" t="inlineStr">
        <is>
          <t>flat_probability_shrinkage_toward_half</t>
        </is>
      </c>
      <c r="BC122" s="24" t="inlineStr">
        <is>
          <t>measured-edge-margin-v2</t>
        </is>
      </c>
      <c r="BD122" s="24" t="inlineStr">
        <is>
          <t>8360b122264b796b0fb193095cfe4506c7e064e5f3f8c0a659aec41efd08dd25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2026-08-02T17:28:55.256054Z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-130</v>
      </c>
      <c r="BL122" s="27" t="n">
        <v>1.769231</v>
      </c>
      <c r="BM122" s="28" t="n">
        <v>0.565217</v>
      </c>
      <c r="BN122" s="28" t="n">
        <v>0.562189</v>
      </c>
      <c r="BO122" s="28" t="n"/>
      <c r="BP122" s="25" t="n"/>
      <c r="BQ122" s="27" t="n">
        <v>1.769231</v>
      </c>
      <c r="BR122" s="28" t="n">
        <v>0.5649999999999999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145da2fc85314d6a</t>
        </is>
      </c>
      <c r="B123" s="24" t="inlineStr">
        <is>
          <t>2026-08-02T17:28:55.256054Z</t>
        </is>
      </c>
      <c r="C123" s="24" t="inlineStr">
        <is>
          <t>2026-08-02T17:35Z</t>
        </is>
      </c>
      <c r="D123" s="24" t="inlineStr">
        <is>
          <t>401816365</t>
        </is>
      </c>
      <c r="E123" s="24" t="inlineStr">
        <is>
          <t>MLB</t>
        </is>
      </c>
      <c r="F123" s="24" t="inlineStr">
        <is>
          <t>Philadelphia Phillies</t>
        </is>
      </c>
      <c r="G123" s="24" t="inlineStr">
        <is>
          <t>Baltimore Orioles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113</v>
      </c>
      <c r="M123" s="27" t="n">
        <v>2.13</v>
      </c>
      <c r="N123" s="28" t="n">
        <v>0.469484</v>
      </c>
      <c r="O123" s="28" t="n">
        <v>0.515126</v>
      </c>
      <c r="P123" s="28" t="n">
        <v>0.042131</v>
      </c>
      <c r="Q123" s="28" t="n">
        <v>0.045642</v>
      </c>
      <c r="R123" s="26" t="n">
        <v>48</v>
      </c>
      <c r="S123" s="29" t="n">
        <v>1</v>
      </c>
      <c r="T123" s="24" t="inlineStr">
        <is>
          <t>measured-edge-totals-v2</t>
        </is>
      </c>
      <c r="U123" s="24" t="inlineStr">
        <is>
          <t>settled</t>
        </is>
      </c>
      <c r="V123" s="24" t="inlineStr">
        <is>
          <t>loss</t>
        </is>
      </c>
      <c r="W123" s="26" t="n">
        <v>8</v>
      </c>
      <c r="X123" s="26" t="n">
        <v>0</v>
      </c>
      <c r="Y123" s="25" t="n">
        <v>8.5</v>
      </c>
      <c r="Z123" s="26" t="n">
        <v>113</v>
      </c>
      <c r="AA123" s="28" t="n">
        <v>0.47</v>
      </c>
      <c r="AB123" s="28" t="n">
        <v>0.000516</v>
      </c>
      <c r="AC123" s="30" t="n">
        <v>-1</v>
      </c>
      <c r="AD123" s="24" t="inlineStr">
        <is>
          <t>2026-08-02T23:12:04.928375Z</t>
        </is>
      </c>
      <c r="AE123" s="31" t="inlineStr">
        <is>
          <t>Measured Edge Totals: Trend Engine projected 4.52-4.52; raw selected-side p=0.5210,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mlb-phi</t>
        </is>
      </c>
      <c r="AQ123" s="24" t="inlineStr">
        <is>
          <t>Philadelphia Phillies</t>
        </is>
      </c>
      <c r="AR123" s="24" t="inlineStr">
        <is>
          <t>Philadelphia Phillies</t>
        </is>
      </c>
      <c r="AS123" s="24" t="inlineStr">
        <is>
          <t>mlb-bal</t>
        </is>
      </c>
      <c r="AT123" s="24" t="inlineStr">
        <is>
          <t>Baltimore Orioles</t>
        </is>
      </c>
      <c r="AU123" s="24" t="inlineStr">
        <is>
          <t>Baltimore Orioles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433578016242b27f9c1c7132cc6b5a2bcc7dd1b0234590c12a944455a88e71bd</t>
        </is>
      </c>
      <c r="BB123" s="24" t="inlineStr">
        <is>
          <t>flat_probability_shrinkage_toward_half</t>
        </is>
      </c>
      <c r="BC123" s="24" t="inlineStr">
        <is>
          <t>measured-edge-totals-v2</t>
        </is>
      </c>
      <c r="BD123" s="24" t="inlineStr">
        <is>
          <t>433578016242b27f9c1c7132cc6b5a2bcc7dd1b0234590c12a944455a88e71bd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2026-08-02T17:28:55.256054Z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113</v>
      </c>
      <c r="BL123" s="27" t="n">
        <v>2.13</v>
      </c>
      <c r="BM123" s="28" t="n">
        <v>0.469484</v>
      </c>
      <c r="BN123" s="28" t="n">
        <v>0.467662</v>
      </c>
      <c r="BO123" s="28" t="n"/>
      <c r="BP123" s="25" t="n"/>
      <c r="BQ123" s="27" t="n">
        <v>2.13</v>
      </c>
      <c r="BR123" s="28" t="n">
        <v>0.47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014742c6476a4e41</t>
        </is>
      </c>
      <c r="B124" s="24" t="inlineStr">
        <is>
          <t>2026-08-02T17:28:55.256054Z</t>
        </is>
      </c>
      <c r="C124" s="24" t="inlineStr">
        <is>
          <t>2026-08-02T17:35Z</t>
        </is>
      </c>
      <c r="D124" s="24" t="inlineStr">
        <is>
          <t>401816368</t>
        </is>
      </c>
      <c r="E124" s="24" t="inlineStr">
        <is>
          <t>MLB</t>
        </is>
      </c>
      <c r="F124" s="24" t="inlineStr">
        <is>
          <t>Washington Nationals</t>
        </is>
      </c>
      <c r="G124" s="24" t="inlineStr">
        <is>
          <t>Atlanta Braves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0.612965</v>
      </c>
      <c r="P124" s="28" t="n">
        <v>0.042131</v>
      </c>
      <c r="Q124" s="28" t="n">
        <v>-0.027323</v>
      </c>
      <c r="R124" s="26" t="n">
        <v>13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2</v>
      </c>
      <c r="X124" s="26" t="n">
        <v>4</v>
      </c>
      <c r="Y124" s="25" t="n">
        <v>1.5</v>
      </c>
      <c r="Z124" s="26" t="n">
        <v>-178</v>
      </c>
      <c r="AA124" s="28" t="n">
        <v>0.64</v>
      </c>
      <c r="AB124" s="28" t="n">
        <v>-0.000288</v>
      </c>
      <c r="AC124" s="30" t="n">
        <v>-1.5</v>
      </c>
      <c r="AD124" s="24" t="inlineStr">
        <is>
          <t>2026-08-02T23:12:06.017458Z</t>
        </is>
      </c>
      <c r="AE124" s="31" t="inlineStr">
        <is>
          <t>Measured Edge Margin: Trend Engine projected 4.45-4.46; raw selected-side p=0.6721, calibrated p=0.6130.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mlb-wsh</t>
        </is>
      </c>
      <c r="AQ124" s="24" t="inlineStr">
        <is>
          <t>Washington Nationals</t>
        </is>
      </c>
      <c r="AR124" s="24" t="inlineStr">
        <is>
          <t>Washington Nationals</t>
        </is>
      </c>
      <c r="AS124" s="24" t="inlineStr">
        <is>
          <t>mlb-atl</t>
        </is>
      </c>
      <c r="AT124" s="24" t="inlineStr">
        <is>
          <t>Atlanta Braves</t>
        </is>
      </c>
      <c r="AU124" s="24" t="inlineStr">
        <is>
          <t>Atlanta Braves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2026-08-02T17:28:55.256054Z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-178</v>
      </c>
      <c r="BL124" s="27" t="n">
        <v>1.561798</v>
      </c>
      <c r="BM124" s="28" t="n">
        <v>0.640288</v>
      </c>
      <c r="BN124" s="28" t="n">
        <v>0.636816</v>
      </c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c6c5a977e85247da</t>
        </is>
      </c>
      <c r="B125" s="24" t="inlineStr">
        <is>
          <t>2026-08-02T17:28:55.256054Z</t>
        </is>
      </c>
      <c r="C125" s="24" t="inlineStr">
        <is>
          <t>2026-08-02T17:35Z</t>
        </is>
      </c>
      <c r="D125" s="24" t="inlineStr">
        <is>
          <t>401816368</t>
        </is>
      </c>
      <c r="E125" s="24" t="inlineStr">
        <is>
          <t>MLB</t>
        </is>
      </c>
      <c r="F125" s="24" t="inlineStr">
        <is>
          <t>Washington Nationals</t>
        </is>
      </c>
      <c r="G125" s="24" t="inlineStr">
        <is>
          <t>Atlanta Braves</t>
        </is>
      </c>
      <c r="H125" s="24" t="inlineStr">
        <is>
          <t>total</t>
        </is>
      </c>
      <c r="I125" s="24" t="inlineStr">
        <is>
          <t>over</t>
        </is>
      </c>
      <c r="J125" s="25" t="n">
        <v>8.5</v>
      </c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0.510393</v>
      </c>
      <c r="P125" s="28" t="n">
        <v>0.042131</v>
      </c>
      <c r="Q125" s="28" t="n">
        <v>-0.039157</v>
      </c>
      <c r="R125" s="26" t="n">
        <v>6</v>
      </c>
      <c r="S125" s="29" t="n">
        <v>1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2</v>
      </c>
      <c r="X125" s="26" t="n">
        <v>4</v>
      </c>
      <c r="Y125" s="25" t="n">
        <v>8.5</v>
      </c>
      <c r="Z125" s="26" t="n">
        <v>-122</v>
      </c>
      <c r="AA125" s="28" t="n">
        <v>0.55</v>
      </c>
      <c r="AB125" s="28" t="n">
        <v>0.00045</v>
      </c>
      <c r="AC125" s="30" t="n">
        <v>-1</v>
      </c>
      <c r="AD125" s="24" t="inlineStr">
        <is>
          <t>2026-08-02T23:12:07.151869Z</t>
        </is>
      </c>
      <c r="AE125" s="31" t="inlineStr">
        <is>
          <t>Measured Edge Totals: Trend Engine projected 4.45-4.46; raw selected-side p=0.5071, calibrated p=0.5104.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mlb-wsh</t>
        </is>
      </c>
      <c r="AQ125" s="24" t="inlineStr">
        <is>
          <t>Washington Nationals</t>
        </is>
      </c>
      <c r="AR125" s="24" t="inlineStr">
        <is>
          <t>Washington Nationals</t>
        </is>
      </c>
      <c r="AS125" s="24" t="inlineStr">
        <is>
          <t>mlb-atl</t>
        </is>
      </c>
      <c r="AT125" s="24" t="inlineStr">
        <is>
          <t>Atlanta Braves</t>
        </is>
      </c>
      <c r="AU125" s="24" t="inlineStr">
        <is>
          <t>Atlanta Braves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2026-08-02T17:28:55.256054Z</t>
        </is>
      </c>
      <c r="BI125" s="24" t="inlineStr">
        <is>
          <t>["same_event","same_team_same_day","same_league_same_day"]</t>
        </is>
      </c>
      <c r="BJ125" s="25" t="n">
        <v>8.5</v>
      </c>
      <c r="BK125" s="26" t="n">
        <v>-122</v>
      </c>
      <c r="BL125" s="27" t="n">
        <v>1.819672</v>
      </c>
      <c r="BM125" s="28" t="n">
        <v>0.54955</v>
      </c>
      <c r="BN125" s="28" t="n">
        <v>0.547264</v>
      </c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</row>
    <row r="126" ht="36" customHeight="1">
      <c r="A126" s="24" t="inlineStr">
        <is>
          <t>a813a5e00c514edc</t>
        </is>
      </c>
      <c r="B126" s="24" t="inlineStr">
        <is>
          <t>2026-08-02T17:28:55.256054Z</t>
        </is>
      </c>
      <c r="C126" s="24" t="inlineStr">
        <is>
          <t>2026-08-02T17:37Z</t>
        </is>
      </c>
      <c r="D126" s="24" t="inlineStr">
        <is>
          <t>401816367</t>
        </is>
      </c>
      <c r="E126" s="24" t="inlineStr">
        <is>
          <t>MLB</t>
        </is>
      </c>
      <c r="F126" s="24" t="inlineStr">
        <is>
          <t>St. Louis Cardinals</t>
        </is>
      </c>
      <c r="G126" s="24" t="inlineStr">
        <is>
          <t>Toronto Blue Jays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-174</v>
      </c>
      <c r="M126" s="27" t="n">
        <v>1.574713</v>
      </c>
      <c r="N126" s="28" t="n">
        <v>0.635036</v>
      </c>
      <c r="O126" s="28" t="n">
        <v>0.6256930000000001</v>
      </c>
      <c r="P126" s="28" t="n">
        <v>0.05172</v>
      </c>
      <c r="Q126" s="28" t="n">
        <v>-0.009343000000000001</v>
      </c>
      <c r="R126" s="26" t="n">
        <v>16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1</v>
      </c>
      <c r="Y126" s="25" t="n">
        <v>1.5</v>
      </c>
      <c r="Z126" s="26" t="n">
        <v>-174</v>
      </c>
      <c r="AA126" s="28" t="n">
        <v>0.635</v>
      </c>
      <c r="AB126" s="28" t="n">
        <v>-3.6e-05</v>
      </c>
      <c r="AC126" s="30" t="n">
        <v>0.8621</v>
      </c>
      <c r="AD126" s="24" t="inlineStr">
        <is>
          <t>2026-08-02T23:12:08.233178Z</t>
        </is>
      </c>
      <c r="AE126" s="31" t="inlineStr">
        <is>
          <t>Measured Edge Margin: Trend Engine projected 5.24-4.85; raw selected-side p=0.6915, calibrated p=0.6257.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mlb-stl</t>
        </is>
      </c>
      <c r="AQ126" s="24" t="inlineStr">
        <is>
          <t>St. Louis Cardinals</t>
        </is>
      </c>
      <c r="AR126" s="24" t="inlineStr">
        <is>
          <t>St. Louis Cardinals</t>
        </is>
      </c>
      <c r="AS126" s="24" t="inlineStr">
        <is>
          <t>mlb-tor</t>
        </is>
      </c>
      <c r="AT126" s="24" t="inlineStr">
        <is>
          <t>Toronto Blue Jays</t>
        </is>
      </c>
      <c r="AU126" s="24" t="inlineStr">
        <is>
          <t>Toronto Blue Jays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2026-08-02T17:28:55.256054Z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-174</v>
      </c>
      <c r="BL126" s="27" t="n">
        <v>1.574713</v>
      </c>
      <c r="BM126" s="28" t="n">
        <v>0.635036</v>
      </c>
      <c r="BN126" s="28" t="n">
        <v>0.631841</v>
      </c>
      <c r="BO126" s="28" t="n"/>
      <c r="BP126" s="25" t="n"/>
      <c r="BQ126" s="27" t="n">
        <v>1.574713</v>
      </c>
      <c r="BR126" s="28" t="n">
        <v>0.635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</row>
    <row r="127" ht="36" customHeight="1">
      <c r="A127" s="24" t="inlineStr">
        <is>
          <t>61ff584adf8e4aee</t>
        </is>
      </c>
      <c r="B127" s="24" t="inlineStr">
        <is>
          <t>2026-08-02T17:28:55.256054Z</t>
        </is>
      </c>
      <c r="C127" s="24" t="inlineStr">
        <is>
          <t>2026-08-02T17:37Z</t>
        </is>
      </c>
      <c r="D127" s="24" t="inlineStr">
        <is>
          <t>401816367</t>
        </is>
      </c>
      <c r="E127" s="24" t="inlineStr">
        <is>
          <t>MLB</t>
        </is>
      </c>
      <c r="F127" s="24" t="inlineStr">
        <is>
          <t>St. Louis Cardinals</t>
        </is>
      </c>
      <c r="G127" s="24" t="inlineStr">
        <is>
          <t>Toronto Blue Jays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-106</v>
      </c>
      <c r="M127" s="27" t="n">
        <v>1.943396</v>
      </c>
      <c r="N127" s="28" t="n">
        <v>0.514563</v>
      </c>
      <c r="O127" s="28" t="n">
        <v>0.5447340000000001</v>
      </c>
      <c r="P127" s="28" t="n">
        <v>0.05172</v>
      </c>
      <c r="Q127" s="28" t="n">
        <v>0.030171</v>
      </c>
      <c r="R127" s="26" t="n">
        <v>35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loss</t>
        </is>
      </c>
      <c r="W127" s="26" t="n">
        <v>5</v>
      </c>
      <c r="X127" s="26" t="n">
        <v>1</v>
      </c>
      <c r="Y127" s="25" t="n">
        <v>8.5</v>
      </c>
      <c r="Z127" s="26" t="n">
        <v>-106</v>
      </c>
      <c r="AA127" s="28" t="n">
        <v>0.515</v>
      </c>
      <c r="AB127" s="28" t="n">
        <v>0.000437</v>
      </c>
      <c r="AC127" s="30" t="n">
        <v>-1</v>
      </c>
      <c r="AD127" s="24" t="inlineStr">
        <is>
          <t>2026-08-02T23:12:09.363602Z</t>
        </is>
      </c>
      <c r="AE127" s="31" t="inlineStr">
        <is>
          <t>Measured Edge Totals: Trend Engine projected 5.24-4.85; raw selected-side p=0.6077, calibrated p=0.5447.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mlb-stl</t>
        </is>
      </c>
      <c r="AQ127" s="24" t="inlineStr">
        <is>
          <t>St. Louis Cardinals</t>
        </is>
      </c>
      <c r="AR127" s="24" t="inlineStr">
        <is>
          <t>St. Louis Cardinals</t>
        </is>
      </c>
      <c r="AS127" s="24" t="inlineStr">
        <is>
          <t>mlb-tor</t>
        </is>
      </c>
      <c r="AT127" s="24" t="inlineStr">
        <is>
          <t>Toronto Blue Jays</t>
        </is>
      </c>
      <c r="AU127" s="24" t="inlineStr">
        <is>
          <t>Toronto Blue Jays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2026-08-02T17:28:55.256054Z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-106</v>
      </c>
      <c r="BL127" s="27" t="n">
        <v>1.943396</v>
      </c>
      <c r="BM127" s="28" t="n">
        <v>0.514563</v>
      </c>
      <c r="BN127" s="28" t="n">
        <v>0.5124379999999999</v>
      </c>
      <c r="BO127" s="28" t="n"/>
      <c r="BP127" s="25" t="n"/>
      <c r="BQ127" s="27" t="n">
        <v>1.943396</v>
      </c>
      <c r="BR127" s="28" t="n">
        <v>0.515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1a5947e15dc34e52</t>
        </is>
      </c>
      <c r="B128" s="24" t="inlineStr">
        <is>
          <t>2026-08-02T17:39:31.703776Z</t>
        </is>
      </c>
      <c r="C128" s="24" t="inlineStr">
        <is>
          <t>2026-08-02T13:40:00-0400</t>
        </is>
      </c>
      <c r="D128" s="24" t="inlineStr">
        <is>
          <t>401816362</t>
        </is>
      </c>
      <c r="E128" s="24" t="inlineStr">
        <is>
          <t>MLB</t>
        </is>
      </c>
      <c r="F128" s="24" t="inlineStr">
        <is>
          <t>Arizona Diamondbacks</t>
        </is>
      </c>
      <c r="G128" s="24" t="inlineStr">
        <is>
          <t>Cleveland Guardians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-167</v>
      </c>
      <c r="M128" s="27" t="n">
        <v>1.598802</v>
      </c>
      <c r="N128" s="28" t="n">
        <v>0.625468</v>
      </c>
      <c r="O128" s="28" t="n">
        <v>0.541975</v>
      </c>
      <c r="P128" s="28" t="n"/>
      <c r="Q128" s="28" t="n">
        <v>-0.083493</v>
      </c>
      <c r="R128" s="26" t="n">
        <v>0</v>
      </c>
      <c r="S128" s="29" t="n">
        <v>1</v>
      </c>
      <c r="T128" s="24" t="inlineStr">
        <is>
          <t>mlb-elo-trend-lr-v7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5</v>
      </c>
      <c r="Y128" s="25" t="n"/>
      <c r="Z128" s="26" t="n">
        <v>-167</v>
      </c>
      <c r="AA128" s="28" t="n">
        <v>0.625</v>
      </c>
      <c r="AB128" s="28" t="n">
        <v>-0.000468</v>
      </c>
      <c r="AC128" s="30" t="n">
        <v>0.5988</v>
      </c>
      <c r="AD128" s="24" t="inlineStr">
        <is>
          <t>2026-08-02T23:12:10.448598Z</t>
        </is>
      </c>
      <c r="AE128" s="31" t="inlineStr">
        <is>
          <t>Learned LR call at threshold 0.6242; executable ask 0.6250 (aec-mlb-az-cle-2026-08-02); model edge vs ask -0.0830.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mlb-ari</t>
        </is>
      </c>
      <c r="AQ128" s="24" t="inlineStr">
        <is>
          <t>Arizona Diamondbacks</t>
        </is>
      </c>
      <c r="AR128" s="24" t="inlineStr">
        <is>
          <t>Arizona Diamondbacks</t>
        </is>
      </c>
      <c r="AS128" s="24" t="inlineStr">
        <is>
          <t>mlb-cle</t>
        </is>
      </c>
      <c r="AT128" s="24" t="inlineStr">
        <is>
          <t>Cleveland Guardians</t>
        </is>
      </c>
      <c r="AU128" s="24" t="inlineStr">
        <is>
          <t>Cleveland Guardians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464eef695bfbbdaa819ec6f5e4c5bd1068ed20b92915fb2677220ae91e20d8b6</t>
        </is>
      </c>
      <c r="BB128" s="24" t="inlineStr">
        <is>
          <t>learned_lr</t>
        </is>
      </c>
      <c r="BC128" s="24" t="inlineStr">
        <is>
          <t>mlb-elo-trend-lr-v7</t>
        </is>
      </c>
      <c r="BD128" s="24" t="inlineStr">
        <is>
          <t>464eef695bfbbdaa819ec6f5e4c5bd1068ed20b92915fb2677220ae91e20d8b6</t>
        </is>
      </c>
      <c r="BE128" s="24" t="inlineStr">
        <is>
          <t>3abf364aadf2cd68</t>
        </is>
      </c>
      <c r="BF128" s="24" t="inlineStr">
        <is>
          <t>1</t>
        </is>
      </c>
      <c r="BG128" s="24" t="inlineStr">
        <is>
          <t>mlb-elo-trend-lr-v7</t>
        </is>
      </c>
      <c r="BH128" s="24" t="inlineStr">
        <is>
          <t>2026-08-02T17:38:04.655437Z</t>
        </is>
      </c>
      <c r="BI128" s="24" t="inlineStr">
        <is>
          <t>["same_event","same_team_same_day","same_league_same_day"]</t>
        </is>
      </c>
      <c r="BJ128" s="25" t="n"/>
      <c r="BK128" s="26" t="n">
        <v>-167</v>
      </c>
      <c r="BL128" s="27" t="n">
        <v>1.598802</v>
      </c>
      <c r="BM128" s="28" t="n">
        <v>0.625468</v>
      </c>
      <c r="BN128" s="28" t="n">
        <v>0.621891</v>
      </c>
      <c r="BO128" s="28" t="n"/>
      <c r="BP128" s="25" t="n"/>
      <c r="BQ128" s="27" t="n">
        <v>1.598802</v>
      </c>
      <c r="BR128" s="28" t="n">
        <v>0.625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0.5147263352</t>
        </is>
      </c>
      <c r="CD128" s="24" t="inlineStr">
        <is>
          <t>-1.620545</t>
        </is>
      </c>
      <c r="CE128" s="24" t="inlineStr">
        <is>
          <t>0.966</t>
        </is>
      </c>
      <c r="CF128" s="24" t="inlineStr">
        <is>
          <t>1.012</t>
        </is>
      </c>
      <c r="CG128" s="24" t="inlineStr">
        <is>
          <t>1.0</t>
        </is>
      </c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inlineStr">
        <is>
          <t>0.541975</t>
        </is>
      </c>
      <c r="CS128" s="24" t="inlineStr">
        <is>
          <t>False</t>
        </is>
      </c>
    </row>
    <row r="129" ht="36" customHeight="1">
      <c r="A129" s="24" t="inlineStr">
        <is>
          <t>c40c23fc56004fd9</t>
        </is>
      </c>
      <c r="B129" s="24" t="inlineStr">
        <is>
          <t>2026-08-02T17:39:31.703776Z</t>
        </is>
      </c>
      <c r="C129" s="24" t="inlineStr">
        <is>
          <t>2026-08-02T13:40:00-0400</t>
        </is>
      </c>
      <c r="D129" s="24" t="inlineStr">
        <is>
          <t>401816363</t>
        </is>
      </c>
      <c r="E129" s="24" t="inlineStr">
        <is>
          <t>MLB</t>
        </is>
      </c>
      <c r="F129" s="24" t="inlineStr">
        <is>
          <t>Chicago White Sox</t>
        </is>
      </c>
      <c r="G129" s="24" t="inlineStr">
        <is>
          <t>Tampa Bay Rays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0.565508</v>
      </c>
      <c r="P129" s="28" t="n"/>
      <c r="Q129" s="28" t="n">
        <v>-0.014324</v>
      </c>
      <c r="R129" s="26" t="n">
        <v>14</v>
      </c>
      <c r="S129" s="29" t="n">
        <v>1</v>
      </c>
      <c r="T129" s="24" t="inlineStr">
        <is>
          <t>mlb-elo-trend-lr-v7</t>
        </is>
      </c>
      <c r="U129" s="24" t="inlineStr">
        <is>
          <t>settled</t>
        </is>
      </c>
      <c r="V129" s="24" t="inlineStr">
        <is>
          <t>loss</t>
        </is>
      </c>
      <c r="W129" s="26" t="n">
        <v>9</v>
      </c>
      <c r="X129" s="26" t="n">
        <v>1</v>
      </c>
      <c r="Y129" s="25" t="n"/>
      <c r="Z129" s="26" t="n">
        <v>-138</v>
      </c>
      <c r="AA129" s="28" t="n">
        <v>0.58</v>
      </c>
      <c r="AB129" s="28" t="n">
        <v>0.000168</v>
      </c>
      <c r="AC129" s="30" t="n">
        <v>-1</v>
      </c>
      <c r="AD129" s="24" t="inlineStr">
        <is>
          <t>2026-08-02T23:12:11.578863Z</t>
        </is>
      </c>
      <c r="AE129" s="31" t="inlineStr">
        <is>
          <t>Learned LR call at threshold 0.6242; executable ask 0.5800 (aec-mlb-cws-tb-2026-08-02); model edge vs ask -0.0145.</t>
        </is>
      </c>
      <c r="AF129" s="31" t="inlineStr">
        <is>
          <t>Learned model; shadow-qualified via operator override.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mlb-cws</t>
        </is>
      </c>
      <c r="AQ129" s="24" t="inlineStr">
        <is>
          <t>Chicago White Sox</t>
        </is>
      </c>
      <c r="AR129" s="24" t="inlineStr">
        <is>
          <t>Chicago White Sox</t>
        </is>
      </c>
      <c r="AS129" s="24" t="inlineStr">
        <is>
          <t>mlb-tb</t>
        </is>
      </c>
      <c r="AT129" s="24" t="inlineStr">
        <is>
          <t>Tampa Bay Rays</t>
        </is>
      </c>
      <c r="AU129" s="24" t="inlineStr">
        <is>
          <t>Tampa Bay Rays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464eef695bfbbdaa819ec6f5e4c5bd1068ed20b92915fb2677220ae91e20d8b6</t>
        </is>
      </c>
      <c r="BB129" s="24" t="inlineStr">
        <is>
          <t>learned_lr</t>
        </is>
      </c>
      <c r="BC129" s="24" t="inlineStr">
        <is>
          <t>mlb-elo-trend-lr-v7</t>
        </is>
      </c>
      <c r="BD129" s="24" t="inlineStr">
        <is>
          <t>464eef695bfbbdaa819ec6f5e4c5bd1068ed20b92915fb2677220ae91e20d8b6</t>
        </is>
      </c>
      <c r="BE129" s="24" t="inlineStr">
        <is>
          <t>adafae297aed5d6c</t>
        </is>
      </c>
      <c r="BF129" s="24" t="inlineStr">
        <is>
          <t>1</t>
        </is>
      </c>
      <c r="BG129" s="24" t="inlineStr">
        <is>
          <t>mlb-elo-trend-lr-v7</t>
        </is>
      </c>
      <c r="BH129" s="24" t="inlineStr">
        <is>
          <t>2026-08-02T17:38:07.328919Z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>
        <v>0.577114</v>
      </c>
      <c r="BO129" s="28" t="n"/>
      <c r="BP129" s="25" t="n"/>
      <c r="BQ129" s="27" t="n">
        <v>1.724638</v>
      </c>
      <c r="BR129" s="28" t="n">
        <v>0.58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0.5503982216</t>
        </is>
      </c>
      <c r="CD129" s="24" t="inlineStr">
        <is>
          <t>-0.597101</t>
        </is>
      </c>
      <c r="CE129" s="24" t="inlineStr">
        <is>
          <t>0.965</t>
        </is>
      </c>
      <c r="CF129" s="24" t="inlineStr">
        <is>
          <t>1.0</t>
        </is>
      </c>
      <c r="CG129" s="24" t="inlineStr">
        <is>
          <t>0.2</t>
        </is>
      </c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inlineStr">
        <is>
          <t>0.565508</t>
        </is>
      </c>
      <c r="CS129" s="24" t="inlineStr">
        <is>
          <t>False</t>
        </is>
      </c>
    </row>
    <row r="130" ht="36" customHeight="1">
      <c r="A130" s="24" t="inlineStr">
        <is>
          <t>5f844f505785403d</t>
        </is>
      </c>
      <c r="B130" s="24" t="inlineStr">
        <is>
          <t>2026-08-02T17:39:31.703776Z</t>
        </is>
      </c>
      <c r="C130" s="24" t="inlineStr">
        <is>
          <t>2026-08-02T13:40:00-0400</t>
        </is>
      </c>
      <c r="D130" s="24" t="inlineStr">
        <is>
          <t>401816364</t>
        </is>
      </c>
      <c r="E130" s="24" t="inlineStr">
        <is>
          <t>MLB</t>
        </is>
      </c>
      <c r="F130" s="24" t="inlineStr">
        <is>
          <t>Miami Marlins</t>
        </is>
      </c>
      <c r="G130" s="24" t="inlineStr">
        <is>
          <t>New York Mets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111</v>
      </c>
      <c r="M130" s="27" t="n">
        <v>2.11</v>
      </c>
      <c r="N130" s="28" t="n">
        <v>0.473934</v>
      </c>
      <c r="O130" s="28" t="n">
        <v>0.519289</v>
      </c>
      <c r="P130" s="28" t="n"/>
      <c r="Q130" s="28" t="n">
        <v>0.045355</v>
      </c>
      <c r="R130" s="26" t="n">
        <v>43</v>
      </c>
      <c r="S130" s="29" t="n">
        <v>1</v>
      </c>
      <c r="T130" s="24" t="inlineStr">
        <is>
          <t>mlb-elo-trend-lr-v7</t>
        </is>
      </c>
      <c r="U130" s="24" t="inlineStr">
        <is>
          <t>settled</t>
        </is>
      </c>
      <c r="V130" s="24" t="inlineStr">
        <is>
          <t>loss</t>
        </is>
      </c>
      <c r="W130" s="26" t="n">
        <v>2</v>
      </c>
      <c r="X130" s="26" t="n">
        <v>0</v>
      </c>
      <c r="Y130" s="25" t="n"/>
      <c r="Z130" s="26" t="n">
        <v>111</v>
      </c>
      <c r="AA130" s="28" t="n">
        <v>0.475</v>
      </c>
      <c r="AB130" s="28" t="n">
        <v>0.001066</v>
      </c>
      <c r="AC130" s="30" t="n">
        <v>-1</v>
      </c>
      <c r="AD130" s="24" t="inlineStr">
        <is>
          <t>2026-08-02T23:12:12.670399Z</t>
        </is>
      </c>
      <c r="AE130" s="31" t="inlineStr">
        <is>
          <t>Learned LR call at threshold 0.6242; executable ask 0.4750 (aec-mlb-mia-nym-2026-08-02); model edge vs ask +0.0443.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mlb-mia</t>
        </is>
      </c>
      <c r="AQ130" s="24" t="inlineStr">
        <is>
          <t>Miami Marlins</t>
        </is>
      </c>
      <c r="AR130" s="24" t="inlineStr">
        <is>
          <t>Miami Marlins</t>
        </is>
      </c>
      <c r="AS130" s="24" t="inlineStr">
        <is>
          <t>mlb-nym</t>
        </is>
      </c>
      <c r="AT130" s="24" t="inlineStr">
        <is>
          <t>New York Mets</t>
        </is>
      </c>
      <c r="AU130" s="24" t="inlineStr">
        <is>
          <t>New York Mets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464eef695bfbbdaa819ec6f5e4c5bd1068ed20b92915fb2677220ae91e20d8b6</t>
        </is>
      </c>
      <c r="BB130" s="24" t="inlineStr">
        <is>
          <t>learned_lr</t>
        </is>
      </c>
      <c r="BC130" s="24" t="inlineStr">
        <is>
          <t>mlb-elo-trend-lr-v7</t>
        </is>
      </c>
      <c r="BD130" s="24" t="inlineStr">
        <is>
          <t>464eef695bfbbdaa819ec6f5e4c5bd1068ed20b92915fb2677220ae91e20d8b6</t>
        </is>
      </c>
      <c r="BE130" s="24" t="inlineStr">
        <is>
          <t>4f285de198a5830f</t>
        </is>
      </c>
      <c r="BF130" s="24" t="inlineStr">
        <is>
          <t>1</t>
        </is>
      </c>
      <c r="BG130" s="24" t="inlineStr">
        <is>
          <t>mlb-elo-trend-lr-v7</t>
        </is>
      </c>
      <c r="BH130" s="24" t="inlineStr">
        <is>
          <t>2026-08-02T17:38:06.224274Z</t>
        </is>
      </c>
      <c r="BI130" s="24" t="inlineStr">
        <is>
          <t>["same_event","same_team_same_day","same_league_same_day"]</t>
        </is>
      </c>
      <c r="BJ130" s="25" t="n"/>
      <c r="BK130" s="26" t="n">
        <v>111</v>
      </c>
      <c r="BL130" s="27" t="n">
        <v>2.11</v>
      </c>
      <c r="BM130" s="28" t="n">
        <v>0.473934</v>
      </c>
      <c r="BN130" s="28" t="n">
        <v>0.472637</v>
      </c>
      <c r="BO130" s="28" t="n"/>
      <c r="BP130" s="25" t="n"/>
      <c r="BQ130" s="27" t="n">
        <v>2.11</v>
      </c>
      <c r="BR130" s="28" t="n">
        <v>0.475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0.4938777222</t>
        </is>
      </c>
      <c r="CD130" s="24" t="inlineStr">
        <is>
          <t>-0.998113</t>
        </is>
      </c>
      <c r="CE130" s="24" t="inlineStr">
        <is>
          <t>0.978</t>
        </is>
      </c>
      <c r="CF130" s="24" t="inlineStr">
        <is>
          <t>1.0209</t>
        </is>
      </c>
      <c r="CG130" s="24" t="inlineStr">
        <is>
          <t>0.4</t>
        </is>
      </c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inlineStr">
        <is>
          <t>0.519289</t>
        </is>
      </c>
      <c r="CS130" s="24" t="inlineStr">
        <is>
          <t>True</t>
        </is>
      </c>
    </row>
    <row r="131" ht="36" customHeight="1">
      <c r="A131" s="24" t="inlineStr">
        <is>
          <t>f188688d85494d56</t>
        </is>
      </c>
      <c r="B131" s="24" t="inlineStr">
        <is>
          <t>2026-08-02T17:39:31.703776Z</t>
        </is>
      </c>
      <c r="C131" s="24" t="inlineStr">
        <is>
          <t>2026-08-02T13:40:00-0400</t>
        </is>
      </c>
      <c r="D131" s="24" t="inlineStr">
        <is>
          <t>401816366</t>
        </is>
      </c>
      <c r="E131" s="24" t="inlineStr">
        <is>
          <t>MLB</t>
        </is>
      </c>
      <c r="F131" s="24" t="inlineStr">
        <is>
          <t>Pittsburgh Pirates</t>
        </is>
      </c>
      <c r="G131" s="24" t="inlineStr">
        <is>
          <t>Cincinnati Reds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127</v>
      </c>
      <c r="M131" s="27" t="n">
        <v>2.27</v>
      </c>
      <c r="N131" s="28" t="n">
        <v>0.440529</v>
      </c>
      <c r="O131" s="28" t="n">
        <v>0.518519</v>
      </c>
      <c r="P131" s="28" t="n"/>
      <c r="Q131" s="28" t="n">
        <v>0.07799</v>
      </c>
      <c r="R131" s="26" t="n">
        <v>60</v>
      </c>
      <c r="S131" s="29" t="n">
        <v>1</v>
      </c>
      <c r="T131" s="24" t="inlineStr">
        <is>
          <t>mlb-elo-trend-lr-v7</t>
        </is>
      </c>
      <c r="U131" s="24" t="inlineStr">
        <is>
          <t>settled</t>
        </is>
      </c>
      <c r="V131" s="24" t="inlineStr">
        <is>
          <t>loss</t>
        </is>
      </c>
      <c r="W131" s="26" t="n">
        <v>2</v>
      </c>
      <c r="X131" s="26" t="n">
        <v>10</v>
      </c>
      <c r="Y131" s="25" t="n"/>
      <c r="Z131" s="26" t="n">
        <v>127</v>
      </c>
      <c r="AA131" s="28" t="n">
        <v>0.44</v>
      </c>
      <c r="AB131" s="28" t="n">
        <v>-0.000529</v>
      </c>
      <c r="AC131" s="30" t="n">
        <v>-1</v>
      </c>
      <c r="AD131" s="24" t="inlineStr">
        <is>
          <t>2026-08-02T23:12:13.814559Z</t>
        </is>
      </c>
      <c r="AE131" s="31" t="inlineStr">
        <is>
          <t>Learned LR call at threshold 0.6242; executable ask 0.4400 (aec-mlb-pit-cin-2026-08-02); model edge vs ask +0.0785.</t>
        </is>
      </c>
      <c r="AF131" s="31" t="inlineStr">
        <is>
          <t>Learned model; shadow-qualified via operator override.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mlb-pit</t>
        </is>
      </c>
      <c r="AQ131" s="24" t="inlineStr">
        <is>
          <t>Pittsburgh Pirates</t>
        </is>
      </c>
      <c r="AR131" s="24" t="inlineStr">
        <is>
          <t>Pittsburgh Pirates</t>
        </is>
      </c>
      <c r="AS131" s="24" t="inlineStr">
        <is>
          <t>mlb-cin</t>
        </is>
      </c>
      <c r="AT131" s="24" t="inlineStr">
        <is>
          <t>Cincinnati Reds</t>
        </is>
      </c>
      <c r="AU131" s="24" t="inlineStr">
        <is>
          <t>Cincinnati Reds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464eef695bfbbdaa819ec6f5e4c5bd1068ed20b92915fb2677220ae91e20d8b6</t>
        </is>
      </c>
      <c r="BB131" s="24" t="inlineStr">
        <is>
          <t>learned_lr</t>
        </is>
      </c>
      <c r="BC131" s="24" t="inlineStr">
        <is>
          <t>mlb-elo-trend-lr-v7</t>
        </is>
      </c>
      <c r="BD131" s="24" t="inlineStr">
        <is>
          <t>464eef695bfbbdaa819ec6f5e4c5bd1068ed20b92915fb2677220ae91e20d8b6</t>
        </is>
      </c>
      <c r="BE131" s="24" t="inlineStr">
        <is>
          <t>2316e9a0ae11b344</t>
        </is>
      </c>
      <c r="BF131" s="24" t="inlineStr">
        <is>
          <t>1</t>
        </is>
      </c>
      <c r="BG131" s="24" t="inlineStr">
        <is>
          <t>mlb-elo-trend-lr-v7</t>
        </is>
      </c>
      <c r="BH131" s="24" t="inlineStr">
        <is>
          <t>2026-08-02T17:38:05.375042Z</t>
        </is>
      </c>
      <c r="BI131" s="24" t="inlineStr">
        <is>
          <t>["same_event","same_team_same_day","same_league_same_day"]</t>
        </is>
      </c>
      <c r="BJ131" s="25" t="n"/>
      <c r="BK131" s="26" t="n">
        <v>127</v>
      </c>
      <c r="BL131" s="27" t="n">
        <v>2.27</v>
      </c>
      <c r="BM131" s="28" t="n">
        <v>0.440529</v>
      </c>
      <c r="BN131" s="28" t="n">
        <v>0.437811</v>
      </c>
      <c r="BO131" s="28" t="n"/>
      <c r="BP131" s="25" t="n"/>
      <c r="BQ131" s="27" t="n">
        <v>2.27</v>
      </c>
      <c r="BR131" s="28" t="n">
        <v>0.44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0.4891381657</t>
        </is>
      </c>
      <c r="CD131" s="24" t="inlineStr">
        <is>
          <t>0.471311</t>
        </is>
      </c>
      <c r="CE131" s="24" t="inlineStr">
        <is>
          <t>1.036</t>
        </is>
      </c>
      <c r="CF131" s="24" t="inlineStr">
        <is>
          <t>1.0043</t>
        </is>
      </c>
      <c r="CG131" s="24" t="inlineStr">
        <is>
          <t>-0.8</t>
        </is>
      </c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inlineStr">
        <is>
          <t>0.518519</t>
        </is>
      </c>
      <c r="CS131" s="24" t="inlineStr">
        <is>
          <t>True</t>
        </is>
      </c>
    </row>
    <row r="132" ht="36" customHeight="1">
      <c r="A132" s="24" t="inlineStr">
        <is>
          <t>af4a64dfc1ca4135</t>
        </is>
      </c>
      <c r="B132" s="24" t="inlineStr">
        <is>
          <t>2026-08-02T18:09:00.555377Z</t>
        </is>
      </c>
      <c r="C132" s="24" t="inlineStr">
        <is>
          <t>2026-08-02T14:10:00-0400</t>
        </is>
      </c>
      <c r="D132" s="24" t="inlineStr">
        <is>
          <t>401816370</t>
        </is>
      </c>
      <c r="E132" s="24" t="inlineStr">
        <is>
          <t>MLB</t>
        </is>
      </c>
      <c r="F132" s="24" t="inlineStr">
        <is>
          <t>Texas Rangers</t>
        </is>
      </c>
      <c r="G132" s="24" t="inlineStr">
        <is>
          <t>Houston Astros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-127</v>
      </c>
      <c r="M132" s="27" t="n">
        <v>1.787402</v>
      </c>
      <c r="N132" s="28" t="n">
        <v>0.5594710000000001</v>
      </c>
      <c r="O132" s="28" t="n">
        <v>0.538187</v>
      </c>
      <c r="P132" s="28" t="n"/>
      <c r="Q132" s="28" t="n">
        <v>-0.021284</v>
      </c>
      <c r="R132" s="26" t="n">
        <v>10</v>
      </c>
      <c r="S132" s="29" t="n">
        <v>1</v>
      </c>
      <c r="T132" s="24" t="inlineStr">
        <is>
          <t>mlb-elo-trend-lr-v7</t>
        </is>
      </c>
      <c r="U132" s="24" t="inlineStr">
        <is>
          <t>settled</t>
        </is>
      </c>
      <c r="V132" s="24" t="inlineStr">
        <is>
          <t>win</t>
        </is>
      </c>
      <c r="W132" s="26" t="n">
        <v>3</v>
      </c>
      <c r="X132" s="26" t="n">
        <v>7</v>
      </c>
      <c r="Y132" s="25" t="n"/>
      <c r="Z132" s="26" t="n">
        <v>-127</v>
      </c>
      <c r="AA132" s="28" t="n">
        <v>0.5600000000000001</v>
      </c>
      <c r="AB132" s="28" t="n">
        <v>0.000529</v>
      </c>
      <c r="AC132" s="30" t="n">
        <v>0.7874</v>
      </c>
      <c r="AD132" s="24" t="inlineStr">
        <is>
          <t>2026-08-02T23:12:20.622465Z</t>
        </is>
      </c>
      <c r="AE132" s="31" t="inlineStr">
        <is>
          <t>Learned LR call at threshold 0.6242; executable ask 0.5600 (aec-mlb-tex-hou-2026-08-02); model edge vs ask -0.0218.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mlb-tex</t>
        </is>
      </c>
      <c r="AQ132" s="24" t="inlineStr">
        <is>
          <t>Texas Rangers</t>
        </is>
      </c>
      <c r="AR132" s="24" t="inlineStr">
        <is>
          <t>Texas Rangers</t>
        </is>
      </c>
      <c r="AS132" s="24" t="inlineStr">
        <is>
          <t>mlb-hou</t>
        </is>
      </c>
      <c r="AT132" s="24" t="inlineStr">
        <is>
          <t>Houston Astros</t>
        </is>
      </c>
      <c r="AU132" s="24" t="inlineStr">
        <is>
          <t>Houston Astros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464eef695bfbbdaa819ec6f5e4c5bd1068ed20b92915fb2677220ae91e20d8b6</t>
        </is>
      </c>
      <c r="BB132" s="24" t="inlineStr">
        <is>
          <t>learned_lr</t>
        </is>
      </c>
      <c r="BC132" s="24" t="inlineStr">
        <is>
          <t>mlb-elo-trend-lr-v7</t>
        </is>
      </c>
      <c r="BD132" s="24" t="inlineStr">
        <is>
          <t>464eef695bfbbdaa819ec6f5e4c5bd1068ed20b92915fb2677220ae91e20d8b6</t>
        </is>
      </c>
      <c r="BE132" s="24" t="inlineStr">
        <is>
          <t>2d42dfba300c1668</t>
        </is>
      </c>
      <c r="BF132" s="24" t="inlineStr">
        <is>
          <t>1</t>
        </is>
      </c>
      <c r="BG132" s="24" t="inlineStr">
        <is>
          <t>mlb-elo-trend-lr-v7</t>
        </is>
      </c>
      <c r="BH132" s="24" t="inlineStr">
        <is>
          <t>2026-08-02T18:07:38.400166Z</t>
        </is>
      </c>
      <c r="BI132" s="24" t="inlineStr">
        <is>
          <t>["same_event","same_team_same_day","same_league_same_day"]</t>
        </is>
      </c>
      <c r="BJ132" s="25" t="n"/>
      <c r="BK132" s="26" t="n">
        <v>-127</v>
      </c>
      <c r="BL132" s="27" t="n">
        <v>1.787402</v>
      </c>
      <c r="BM132" s="28" t="n">
        <v>0.5594710000000001</v>
      </c>
      <c r="BN132" s="28" t="n">
        <v>0.557214</v>
      </c>
      <c r="BO132" s="28" t="n"/>
      <c r="BP132" s="25" t="n"/>
      <c r="BQ132" s="27" t="n">
        <v>1.787402</v>
      </c>
      <c r="BR132" s="28" t="n">
        <v>0.5600000000000001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0.5570987062</t>
        </is>
      </c>
      <c r="CD132" s="24" t="inlineStr">
        <is>
          <t>1.976345</t>
        </is>
      </c>
      <c r="CE132" s="24" t="inlineStr">
        <is>
          <t>0.956</t>
        </is>
      </c>
      <c r="CF132" s="24" t="inlineStr">
        <is>
          <t>1.0</t>
        </is>
      </c>
      <c r="CG132" s="24" t="inlineStr">
        <is>
          <t>-1.4</t>
        </is>
      </c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inlineStr">
        <is>
          <t>0.538187</t>
        </is>
      </c>
      <c r="CS132" s="24" t="inlineStr">
        <is>
          <t>False</t>
        </is>
      </c>
    </row>
    <row r="133" ht="36" customHeight="1">
      <c r="A133" s="24" t="inlineStr">
        <is>
          <t>952aed5c390d427c</t>
        </is>
      </c>
      <c r="B133" s="24" t="inlineStr">
        <is>
          <t>2026-08-02T18:09:00.555377Z</t>
        </is>
      </c>
      <c r="C133" s="24" t="inlineStr">
        <is>
          <t>2026-08-02T14:20:00-0400</t>
        </is>
      </c>
      <c r="D133" s="24" t="inlineStr">
        <is>
          <t>401816369</t>
        </is>
      </c>
      <c r="E133" s="24" t="inlineStr">
        <is>
          <t>MLB</t>
        </is>
      </c>
      <c r="F133" s="24" t="inlineStr">
        <is>
          <t>New York Yankees</t>
        </is>
      </c>
      <c r="G133" s="24" t="inlineStr">
        <is>
          <t>Chicago Cubs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108</v>
      </c>
      <c r="M133" s="27" t="n">
        <v>2.08</v>
      </c>
      <c r="N133" s="28" t="n">
        <v>0.480769</v>
      </c>
      <c r="O133" s="28" t="n">
        <v>0.549522</v>
      </c>
      <c r="P133" s="28" t="n"/>
      <c r="Q133" s="28" t="n">
        <v>0.06875299999999999</v>
      </c>
      <c r="R133" s="26" t="n">
        <v>56</v>
      </c>
      <c r="S133" s="29" t="n">
        <v>1</v>
      </c>
      <c r="T133" s="24" t="inlineStr">
        <is>
          <t>mlb-elo-trend-lr-v7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1</v>
      </c>
      <c r="Y133" s="25" t="n"/>
      <c r="Z133" s="26" t="n">
        <v>108</v>
      </c>
      <c r="AA133" s="28" t="n">
        <v>0.48</v>
      </c>
      <c r="AB133" s="28" t="n">
        <v>-0.000769</v>
      </c>
      <c r="AC133" s="30" t="n">
        <v>-1</v>
      </c>
      <c r="AD133" s="24" t="inlineStr">
        <is>
          <t>2026-08-02T23:12:21.757354Z</t>
        </is>
      </c>
      <c r="AE133" s="31" t="inlineStr">
        <is>
          <t>Learned LR call at threshold 0.6242; executable ask 0.4800 (aec-mlb-nyy-chc-2026-08-02); model edge vs ask +0.0695.</t>
        </is>
      </c>
      <c r="AF133" s="31" t="inlineStr">
        <is>
          <t>Learned model; shadow-qualified via operator override.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mlb-nyy</t>
        </is>
      </c>
      <c r="AQ133" s="24" t="inlineStr">
        <is>
          <t>New York Yankees</t>
        </is>
      </c>
      <c r="AR133" s="24" t="inlineStr">
        <is>
          <t>New York Yankees</t>
        </is>
      </c>
      <c r="AS133" s="24" t="inlineStr">
        <is>
          <t>mlb-chc</t>
        </is>
      </c>
      <c r="AT133" s="24" t="inlineStr">
        <is>
          <t>Chicago Cubs</t>
        </is>
      </c>
      <c r="AU133" s="24" t="inlineStr">
        <is>
          <t>Chicago Cubs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464eef695bfbbdaa819ec6f5e4c5bd1068ed20b92915fb2677220ae91e20d8b6</t>
        </is>
      </c>
      <c r="BB133" s="24" t="inlineStr">
        <is>
          <t>learned_lr</t>
        </is>
      </c>
      <c r="BC133" s="24" t="inlineStr">
        <is>
          <t>mlb-elo-trend-lr-v7</t>
        </is>
      </c>
      <c r="BD133" s="24" t="inlineStr">
        <is>
          <t>464eef695bfbbdaa819ec6f5e4c5bd1068ed20b92915fb2677220ae91e20d8b6</t>
        </is>
      </c>
      <c r="BE133" s="24" t="inlineStr">
        <is>
          <t>6803e5ed5586b9a1</t>
        </is>
      </c>
      <c r="BF133" s="24" t="inlineStr">
        <is>
          <t>1</t>
        </is>
      </c>
      <c r="BG133" s="24" t="inlineStr">
        <is>
          <t>mlb-elo-trend-lr-v7</t>
        </is>
      </c>
      <c r="BH133" s="24" t="inlineStr">
        <is>
          <t>2026-08-02T18:07:39.064650Z</t>
        </is>
      </c>
      <c r="BI133" s="24" t="inlineStr">
        <is>
          <t>["same_event","same_team_same_day","same_league_same_day"]</t>
        </is>
      </c>
      <c r="BJ133" s="25" t="n"/>
      <c r="BK133" s="26" t="n">
        <v>108</v>
      </c>
      <c r="BL133" s="27" t="n">
        <v>2.08</v>
      </c>
      <c r="BM133" s="28" t="n">
        <v>0.480769</v>
      </c>
      <c r="BN133" s="28" t="n">
        <v>0.477612</v>
      </c>
      <c r="BO133" s="28" t="n"/>
      <c r="BP133" s="25" t="n"/>
      <c r="BQ133" s="27" t="n">
        <v>2.08</v>
      </c>
      <c r="BR133" s="28" t="n">
        <v>0.48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0.5479631024</t>
        </is>
      </c>
      <c r="CD133" s="24" t="inlineStr">
        <is>
          <t>0.358864</t>
        </is>
      </c>
      <c r="CE133" s="24" t="inlineStr">
        <is>
          <t>0.986</t>
        </is>
      </c>
      <c r="CF133" s="24" t="inlineStr">
        <is>
          <t>1.0082</t>
        </is>
      </c>
      <c r="CG133" s="24" t="inlineStr">
        <is>
          <t>-0.8</t>
        </is>
      </c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inlineStr">
        <is>
          <t>0.549522</t>
        </is>
      </c>
      <c r="CS133" s="24" t="inlineStr">
        <is>
          <t>True</t>
        </is>
      </c>
    </row>
    <row r="134" ht="36" customHeight="1">
      <c r="A134" s="24" t="inlineStr">
        <is>
          <t>ac87eb76de434213</t>
        </is>
      </c>
      <c r="B134" s="24" t="inlineStr">
        <is>
          <t>2026-08-02T18:09:31.256815Z</t>
        </is>
      </c>
      <c r="C134" s="24" t="inlineStr">
        <is>
          <t>2026-08-02T18:10Z</t>
        </is>
      </c>
      <c r="D134" s="24" t="inlineStr">
        <is>
          <t>401816370</t>
        </is>
      </c>
      <c r="E134" s="24" t="inlineStr">
        <is>
          <t>MLB</t>
        </is>
      </c>
      <c r="F134" s="24" t="inlineStr">
        <is>
          <t>Texas Rangers</t>
        </is>
      </c>
      <c r="G134" s="24" t="inlineStr">
        <is>
          <t>Houston Astros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-167</v>
      </c>
      <c r="M134" s="27" t="n">
        <v>1.598802</v>
      </c>
      <c r="N134" s="28" t="n">
        <v>0.625468</v>
      </c>
      <c r="O134" s="28" t="n">
        <v>0.580882</v>
      </c>
      <c r="P134" s="28" t="n">
        <v>0.042131</v>
      </c>
      <c r="Q134" s="28" t="n">
        <v>-0.044586</v>
      </c>
      <c r="R134" s="26" t="n">
        <v>4</v>
      </c>
      <c r="S134" s="29" t="n">
        <v>1.25</v>
      </c>
      <c r="T134" s="24" t="inlineStr">
        <is>
          <t>measured-edge-margin-v2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7</v>
      </c>
      <c r="Y134" s="25" t="n">
        <v>1.5</v>
      </c>
      <c r="Z134" s="26" t="n">
        <v>-167</v>
      </c>
      <c r="AA134" s="28" t="n">
        <v>0.625</v>
      </c>
      <c r="AB134" s="28" t="n">
        <v>-0.000468</v>
      </c>
      <c r="AC134" s="30" t="n">
        <v>-1.25</v>
      </c>
      <c r="AD134" s="24" t="inlineStr">
        <is>
          <t>2026-08-02T23:12:22.851902Z</t>
        </is>
      </c>
      <c r="AE134" s="31" t="inlineStr">
        <is>
          <t>Measured Edge Margin: Trend Engine projected 4.10-4.64; raw selected-side p=0.6232, calibrated p=0.5809.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mlb-tex</t>
        </is>
      </c>
      <c r="AQ134" s="24" t="inlineStr">
        <is>
          <t>Texas Rangers</t>
        </is>
      </c>
      <c r="AR134" s="24" t="inlineStr">
        <is>
          <t>Texas Rangers</t>
        </is>
      </c>
      <c r="AS134" s="24" t="inlineStr">
        <is>
          <t>mlb-hou</t>
        </is>
      </c>
      <c r="AT134" s="24" t="inlineStr">
        <is>
          <t>Houston Astros</t>
        </is>
      </c>
      <c r="AU134" s="24" t="inlineStr">
        <is>
          <t>Houston Astros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8360b122264b796b0fb193095cfe4506c7e064e5f3f8c0a659aec41efd08dd25</t>
        </is>
      </c>
      <c r="BB134" s="24" t="inlineStr">
        <is>
          <t>flat_probability_shrinkage_toward_half</t>
        </is>
      </c>
      <c r="BC134" s="24" t="inlineStr">
        <is>
          <t>measured-edge-margin-v2</t>
        </is>
      </c>
      <c r="BD134" s="24" t="inlineStr">
        <is>
          <t>8360b122264b796b0fb193095cfe4506c7e064e5f3f8c0a659aec41efd08dd25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2026-08-02T18:09:31.256815Z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-167</v>
      </c>
      <c r="BL134" s="27" t="n">
        <v>1.598802</v>
      </c>
      <c r="BM134" s="28" t="n">
        <v>0.625468</v>
      </c>
      <c r="BN134" s="28" t="n">
        <v>0.621891</v>
      </c>
      <c r="BO134" s="28" t="n"/>
      <c r="BP134" s="25" t="n"/>
      <c r="BQ134" s="27" t="n">
        <v>1.598802</v>
      </c>
      <c r="BR134" s="28" t="n">
        <v>0.625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cb4e24c3081d483a</t>
        </is>
      </c>
      <c r="B135" s="24" t="inlineStr">
        <is>
          <t>2026-08-02T18:09:31.256815Z</t>
        </is>
      </c>
      <c r="C135" s="24" t="inlineStr">
        <is>
          <t>2026-08-02T18:10Z</t>
        </is>
      </c>
      <c r="D135" s="24" t="inlineStr">
        <is>
          <t>401816370</t>
        </is>
      </c>
      <c r="E135" s="24" t="inlineStr">
        <is>
          <t>MLB</t>
        </is>
      </c>
      <c r="F135" s="24" t="inlineStr">
        <is>
          <t>Texas Rangers</t>
        </is>
      </c>
      <c r="G135" s="24" t="inlineStr">
        <is>
          <t>Houston Astros</t>
        </is>
      </c>
      <c r="H135" s="24" t="inlineStr">
        <is>
          <t>total</t>
        </is>
      </c>
      <c r="I135" s="24" t="inlineStr">
        <is>
          <t>under</t>
        </is>
      </c>
      <c r="J135" s="25" t="n">
        <v>8.5</v>
      </c>
      <c r="K135" s="24" t="inlineStr">
        <is>
          <t>polymarket_us</t>
        </is>
      </c>
      <c r="L135" s="26" t="n">
        <v>-102</v>
      </c>
      <c r="M135" s="27" t="n">
        <v>1.980392</v>
      </c>
      <c r="N135" s="28" t="n">
        <v>0.50495</v>
      </c>
      <c r="O135" s="28" t="n">
        <v>0.511521</v>
      </c>
      <c r="P135" s="28" t="n">
        <v>0.042131</v>
      </c>
      <c r="Q135" s="28" t="n">
        <v>0.006571</v>
      </c>
      <c r="R135" s="26" t="n">
        <v>29</v>
      </c>
      <c r="S135" s="29" t="n">
        <v>1</v>
      </c>
      <c r="T135" s="24" t="inlineStr">
        <is>
          <t>measured-edge-totals-v2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7</v>
      </c>
      <c r="Y135" s="25" t="n">
        <v>8.5</v>
      </c>
      <c r="Z135" s="26" t="n">
        <v>-102</v>
      </c>
      <c r="AA135" s="28" t="n">
        <v>0.505</v>
      </c>
      <c r="AB135" s="28" t="n">
        <v>5e-05</v>
      </c>
      <c r="AC135" s="30" t="n">
        <v>-1</v>
      </c>
      <c r="AD135" s="24" t="inlineStr">
        <is>
          <t>2026-08-02T23:12:23.986126Z</t>
        </is>
      </c>
      <c r="AE135" s="31" t="inlineStr">
        <is>
          <t>Measured Edge Totals: Trend Engine projected 4.10-4.64; raw selected-side p=0.5104, calibrated p=0.5115.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mlb-tex</t>
        </is>
      </c>
      <c r="AQ135" s="24" t="inlineStr">
        <is>
          <t>Texas Rangers</t>
        </is>
      </c>
      <c r="AR135" s="24" t="inlineStr">
        <is>
          <t>Texas Rangers</t>
        </is>
      </c>
      <c r="AS135" s="24" t="inlineStr">
        <is>
          <t>mlb-hou</t>
        </is>
      </c>
      <c r="AT135" s="24" t="inlineStr">
        <is>
          <t>Houston Astros</t>
        </is>
      </c>
      <c r="AU135" s="24" t="inlineStr">
        <is>
          <t>Houston Astros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433578016242b27f9c1c7132cc6b5a2bcc7dd1b0234590c12a944455a88e71bd</t>
        </is>
      </c>
      <c r="BB135" s="24" t="inlineStr">
        <is>
          <t>flat_probability_shrinkage_toward_half</t>
        </is>
      </c>
      <c r="BC135" s="24" t="inlineStr">
        <is>
          <t>measured-edge-totals-v2</t>
        </is>
      </c>
      <c r="BD135" s="24" t="inlineStr">
        <is>
          <t>433578016242b27f9c1c7132cc6b5a2bcc7dd1b0234590c12a944455a88e71bd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2026-08-02T18:09:31.256815Z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-102</v>
      </c>
      <c r="BL135" s="27" t="n">
        <v>1.980392</v>
      </c>
      <c r="BM135" s="28" t="n">
        <v>0.50495</v>
      </c>
      <c r="BN135" s="28" t="n">
        <v>0.502488</v>
      </c>
      <c r="BO135" s="28" t="n"/>
      <c r="BP135" s="25" t="n"/>
      <c r="BQ135" s="27" t="n">
        <v>1.980392</v>
      </c>
      <c r="BR135" s="28" t="n">
        <v>0.505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ac690661b6a74444</t>
        </is>
      </c>
      <c r="B136" s="24" t="inlineStr">
        <is>
          <t>2026-08-02T18:09:31.256815Z</t>
        </is>
      </c>
      <c r="C136" s="24" t="inlineStr">
        <is>
          <t>2026-08-02T18:20Z</t>
        </is>
      </c>
      <c r="D136" s="24" t="inlineStr">
        <is>
          <t>401816369</t>
        </is>
      </c>
      <c r="E136" s="24" t="inlineStr">
        <is>
          <t>MLB</t>
        </is>
      </c>
      <c r="F136" s="24" t="inlineStr">
        <is>
          <t>New York Yankees</t>
        </is>
      </c>
      <c r="G136" s="24" t="inlineStr">
        <is>
          <t>Chicago Cubs</t>
        </is>
      </c>
      <c r="H136" s="24" t="inlineStr">
        <is>
          <t>spread</t>
        </is>
      </c>
      <c r="I136" s="24" t="inlineStr">
        <is>
          <t>home</t>
        </is>
      </c>
      <c r="J136" s="25" t="n">
        <v>1.5</v>
      </c>
      <c r="K136" s="24" t="inlineStr">
        <is>
          <t>polymarket_us</t>
        </is>
      </c>
      <c r="L136" s="26" t="n">
        <v>-167</v>
      </c>
      <c r="M136" s="27" t="n">
        <v>1.598802</v>
      </c>
      <c r="N136" s="28" t="n">
        <v>0.625468</v>
      </c>
      <c r="O136" s="28" t="n">
        <v>0.605256</v>
      </c>
      <c r="P136" s="28" t="n">
        <v>0.042131</v>
      </c>
      <c r="Q136" s="28" t="n">
        <v>-0.020212</v>
      </c>
      <c r="R136" s="26" t="n">
        <v>16</v>
      </c>
      <c r="S136" s="29" t="n">
        <v>1.5</v>
      </c>
      <c r="T136" s="24" t="inlineStr">
        <is>
          <t>measured-edge-margin-v2</t>
        </is>
      </c>
      <c r="U136" s="24" t="inlineStr">
        <is>
          <t>settled</t>
        </is>
      </c>
      <c r="V136" s="24" t="inlineStr">
        <is>
          <t>win</t>
        </is>
      </c>
      <c r="W136" s="26" t="n">
        <v>2</v>
      </c>
      <c r="X136" s="26" t="n">
        <v>1</v>
      </c>
      <c r="Y136" s="25" t="n">
        <v>1.5</v>
      </c>
      <c r="Z136" s="26" t="n">
        <v>-167</v>
      </c>
      <c r="AA136" s="28" t="n">
        <v>0.625</v>
      </c>
      <c r="AB136" s="28" t="n">
        <v>-0.000468</v>
      </c>
      <c r="AC136" s="30" t="n">
        <v>0.8982</v>
      </c>
      <c r="AD136" s="24" t="inlineStr">
        <is>
          <t>2026-08-02T23:12:25.091893Z</t>
        </is>
      </c>
      <c r="AE136" s="31" t="inlineStr">
        <is>
          <t>Measured Edge Margin: Trend Engine projected 4.57-4.52; raw selected-side p=0.6603, calibrated p=0.6053.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mlb-nyy</t>
        </is>
      </c>
      <c r="AQ136" s="24" t="inlineStr">
        <is>
          <t>New York Yankees</t>
        </is>
      </c>
      <c r="AR136" s="24" t="inlineStr">
        <is>
          <t>New York Yankees</t>
        </is>
      </c>
      <c r="AS136" s="24" t="inlineStr">
        <is>
          <t>mlb-chc</t>
        </is>
      </c>
      <c r="AT136" s="24" t="inlineStr">
        <is>
          <t>Chicago Cubs</t>
        </is>
      </c>
      <c r="AU136" s="24" t="inlineStr">
        <is>
          <t>Chicago Cubs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8360b122264b796b0fb193095cfe4506c7e064e5f3f8c0a659aec41efd08dd25</t>
        </is>
      </c>
      <c r="BB136" s="24" t="inlineStr">
        <is>
          <t>flat_probability_shrinkage_toward_half</t>
        </is>
      </c>
      <c r="BC136" s="24" t="inlineStr">
        <is>
          <t>measured-edge-margin-v2</t>
        </is>
      </c>
      <c r="BD136" s="24" t="inlineStr">
        <is>
          <t>8360b122264b796b0fb193095cfe4506c7e064e5f3f8c0a659aec41efd08dd25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2026-08-02T18:09:31.256815Z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-167</v>
      </c>
      <c r="BL136" s="27" t="n">
        <v>1.598802</v>
      </c>
      <c r="BM136" s="28" t="n">
        <v>0.625468</v>
      </c>
      <c r="BN136" s="28" t="n">
        <v>0.621891</v>
      </c>
      <c r="BO136" s="28" t="n"/>
      <c r="BP136" s="25" t="n"/>
      <c r="BQ136" s="27" t="n">
        <v>1.598802</v>
      </c>
      <c r="BR136" s="28" t="n">
        <v>0.625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ce34ac3954c145e3</t>
        </is>
      </c>
      <c r="B137" s="24" t="inlineStr">
        <is>
          <t>2026-08-02T18:09:31.256815Z</t>
        </is>
      </c>
      <c r="C137" s="24" t="inlineStr">
        <is>
          <t>2026-08-02T18:20Z</t>
        </is>
      </c>
      <c r="D137" s="24" t="inlineStr">
        <is>
          <t>401816369</t>
        </is>
      </c>
      <c r="E137" s="24" t="inlineStr">
        <is>
          <t>MLB</t>
        </is>
      </c>
      <c r="F137" s="24" t="inlineStr">
        <is>
          <t>New York Yankees</t>
        </is>
      </c>
      <c r="G137" s="24" t="inlineStr">
        <is>
          <t>Chicago Cubs</t>
        </is>
      </c>
      <c r="H137" s="24" t="inlineStr">
        <is>
          <t>total</t>
        </is>
      </c>
      <c r="I137" s="24" t="inlineStr">
        <is>
          <t>over</t>
        </is>
      </c>
      <c r="J137" s="25" t="n">
        <v>6.5</v>
      </c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0.584337</v>
      </c>
      <c r="P137" s="28" t="n">
        <v>0.042131</v>
      </c>
      <c r="Q137" s="28" t="n">
        <v>0.053821</v>
      </c>
      <c r="R137" s="26" t="n">
        <v>53</v>
      </c>
      <c r="S137" s="29" t="n">
        <v>1.25</v>
      </c>
      <c r="T137" s="24" t="inlineStr">
        <is>
          <t>measured-edge-totals-v2</t>
        </is>
      </c>
      <c r="U137" s="24" t="inlineStr">
        <is>
          <t>settled</t>
        </is>
      </c>
      <c r="V137" s="24" t="inlineStr">
        <is>
          <t>loss</t>
        </is>
      </c>
      <c r="W137" s="26" t="n">
        <v>2</v>
      </c>
      <c r="X137" s="26" t="n">
        <v>1</v>
      </c>
      <c r="Y137" s="25" t="n">
        <v>6.5</v>
      </c>
      <c r="Z137" s="26" t="n">
        <v>-113</v>
      </c>
      <c r="AA137" s="28" t="n">
        <v>0.53</v>
      </c>
      <c r="AB137" s="28" t="n">
        <v>-0.000516</v>
      </c>
      <c r="AC137" s="30" t="n">
        <v>-1.25</v>
      </c>
      <c r="AD137" s="24" t="inlineStr">
        <is>
          <t>2026-08-02T23:12:26.233540Z</t>
        </is>
      </c>
      <c r="AE137" s="31" t="inlineStr">
        <is>
          <t>Measured Edge Totals: Trend Engine projected 4.57-4.52; raw selected-side p=0.7236, calibrated p=0.5843.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mlb-nyy</t>
        </is>
      </c>
      <c r="AQ137" s="24" t="inlineStr">
        <is>
          <t>New York Yankees</t>
        </is>
      </c>
      <c r="AR137" s="24" t="inlineStr">
        <is>
          <t>New York Yankees</t>
        </is>
      </c>
      <c r="AS137" s="24" t="inlineStr">
        <is>
          <t>mlb-chc</t>
        </is>
      </c>
      <c r="AT137" s="24" t="inlineStr">
        <is>
          <t>Chicago Cubs</t>
        </is>
      </c>
      <c r="AU137" s="24" t="inlineStr">
        <is>
          <t>Chicago Cubs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433578016242b27f9c1c7132cc6b5a2bcc7dd1b0234590c12a944455a88e71bd</t>
        </is>
      </c>
      <c r="BB137" s="24" t="inlineStr">
        <is>
          <t>flat_probability_shrinkage_toward_half</t>
        </is>
      </c>
      <c r="BC137" s="24" t="inlineStr">
        <is>
          <t>measured-edge-totals-v2</t>
        </is>
      </c>
      <c r="BD137" s="24" t="inlineStr">
        <is>
          <t>433578016242b27f9c1c7132cc6b5a2bcc7dd1b0234590c12a944455a88e71bd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2026-08-02T18:09:31.256815Z</t>
        </is>
      </c>
      <c r="BI137" s="24" t="inlineStr">
        <is>
          <t>["same_event","same_team_same_day","same_league_same_day"]</t>
        </is>
      </c>
      <c r="BJ137" s="25" t="n">
        <v>6.5</v>
      </c>
      <c r="BK137" s="26" t="n">
        <v>-113</v>
      </c>
      <c r="BL137" s="27" t="n">
        <v>1.884956</v>
      </c>
      <c r="BM137" s="28" t="n">
        <v>0.530516</v>
      </c>
      <c r="BN137" s="28" t="n">
        <v>0.527363</v>
      </c>
      <c r="BO137" s="28" t="n"/>
      <c r="BP137" s="25" t="n"/>
      <c r="BQ137" s="27" t="n">
        <v>1.884956</v>
      </c>
      <c r="BR137" s="28" t="n">
        <v>0.53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b11eddceb4fd45a8</t>
        </is>
      </c>
      <c r="B138" s="24" t="inlineStr">
        <is>
          <t>2026-08-02T18:46:13.612768Z</t>
        </is>
      </c>
      <c r="C138" s="24" t="inlineStr">
        <is>
          <t>2026-08-02T15:10:00-0400</t>
        </is>
      </c>
      <c r="D138" s="24" t="inlineStr">
        <is>
          <t>401816371</t>
        </is>
      </c>
      <c r="E138" s="24" t="inlineStr">
        <is>
          <t>MLB</t>
        </is>
      </c>
      <c r="F138" s="24" t="inlineStr">
        <is>
          <t>Kansas City Royals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115</v>
      </c>
      <c r="M138" s="27" t="n">
        <v>2.15</v>
      </c>
      <c r="N138" s="28" t="n">
        <v>0.465116</v>
      </c>
      <c r="O138" s="28" t="n">
        <v>0.60003</v>
      </c>
      <c r="P138" s="28" t="n"/>
      <c r="Q138" s="28" t="n">
        <v>0.134914</v>
      </c>
      <c r="R138" s="26" t="n">
        <v>89</v>
      </c>
      <c r="S138" s="29" t="n">
        <v>1.25</v>
      </c>
      <c r="T138" s="24" t="inlineStr">
        <is>
          <t>mlb-elo-trend-lr-v7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8</v>
      </c>
      <c r="Y138" s="25" t="n"/>
      <c r="Z138" s="26" t="n">
        <v>115</v>
      </c>
      <c r="AA138" s="28" t="n">
        <v>0.465</v>
      </c>
      <c r="AB138" s="28" t="n">
        <v>-0.000116</v>
      </c>
      <c r="AC138" s="30" t="n">
        <v>-1.25</v>
      </c>
      <c r="AD138" s="24" t="inlineStr">
        <is>
          <t>2026-08-02T23:12:28.579132Z</t>
        </is>
      </c>
      <c r="AE138" s="31" t="inlineStr">
        <is>
          <t>Learned LR call at threshold 0.6242; executable ask 0.4650 (aec-mlb-kc-col-2026-08-02); model edge vs ask +0.1350.</t>
        </is>
      </c>
      <c r="AF138" s="31" t="inlineStr">
        <is>
          <t>Learned model; shadow-qualified via operator override.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mlb-kc</t>
        </is>
      </c>
      <c r="AQ138" s="24" t="inlineStr">
        <is>
          <t>Kansas City Royals</t>
        </is>
      </c>
      <c r="AR138" s="24" t="inlineStr">
        <is>
          <t>Kansas City Royals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464eef695bfbbdaa819ec6f5e4c5bd1068ed20b92915fb2677220ae91e20d8b6</t>
        </is>
      </c>
      <c r="BB138" s="24" t="inlineStr">
        <is>
          <t>learned_lr</t>
        </is>
      </c>
      <c r="BC138" s="24" t="inlineStr">
        <is>
          <t>mlb-elo-trend-lr-v7</t>
        </is>
      </c>
      <c r="BD138" s="24" t="inlineStr">
        <is>
          <t>464eef695bfbbdaa819ec6f5e4c5bd1068ed20b92915fb2677220ae91e20d8b6</t>
        </is>
      </c>
      <c r="BE138" s="24" t="inlineStr">
        <is>
          <t>07cce04c03d59f93</t>
        </is>
      </c>
      <c r="BF138" s="24" t="inlineStr">
        <is>
          <t>1</t>
        </is>
      </c>
      <c r="BG138" s="24" t="inlineStr">
        <is>
          <t>mlb-elo-trend-lr-v7</t>
        </is>
      </c>
      <c r="BH138" s="24" t="inlineStr">
        <is>
          <t>2026-08-02T18:44:40.063102Z</t>
        </is>
      </c>
      <c r="BI138" s="24" t="inlineStr">
        <is>
          <t>["same_event","same_team_same_day","same_league_same_day"]</t>
        </is>
      </c>
      <c r="BJ138" s="25" t="n"/>
      <c r="BK138" s="26" t="n">
        <v>115</v>
      </c>
      <c r="BL138" s="27" t="n">
        <v>2.15</v>
      </c>
      <c r="BM138" s="28" t="n">
        <v>0.465116</v>
      </c>
      <c r="BN138" s="28" t="n">
        <v>0.462687</v>
      </c>
      <c r="BO138" s="28" t="n"/>
      <c r="BP138" s="25" t="n"/>
      <c r="BQ138" s="27" t="n">
        <v>2.15</v>
      </c>
      <c r="BR138" s="28" t="n">
        <v>0.465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0.4463973804</t>
        </is>
      </c>
      <c r="CD138" s="24" t="inlineStr">
        <is>
          <t>1.55286</t>
        </is>
      </c>
      <c r="CE138" s="24" t="inlineStr">
        <is>
          <t>1.193</t>
        </is>
      </c>
      <c r="CF138" s="24" t="inlineStr">
        <is>
          <t>1.0309</t>
        </is>
      </c>
      <c r="CG138" s="24" t="inlineStr">
        <is>
          <t>1.4</t>
        </is>
      </c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inlineStr">
        <is>
          <t>0.60003</t>
        </is>
      </c>
      <c r="CS138" s="24" t="inlineStr">
        <is>
          <t>True</t>
        </is>
      </c>
    </row>
    <row r="139" ht="36" customHeight="1">
      <c r="A139" s="24" t="inlineStr">
        <is>
          <t>7cef1116f3f84429</t>
        </is>
      </c>
      <c r="B139" s="24" t="inlineStr">
        <is>
          <t>2026-08-02T18:46:13.612768Z</t>
        </is>
      </c>
      <c r="C139" s="24" t="inlineStr">
        <is>
          <t>2026-08-02T15:15:00-0400</t>
        </is>
      </c>
      <c r="D139" s="24" t="inlineStr">
        <is>
          <t>401816374</t>
        </is>
      </c>
      <c r="E139" s="24" t="inlineStr">
        <is>
          <t>MLB</t>
        </is>
      </c>
      <c r="F139" s="24" t="inlineStr">
        <is>
          <t>Milwaukee Brewers</t>
        </is>
      </c>
      <c r="G139" s="24" t="inlineStr">
        <is>
          <t>Los Angeles Angels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-208</v>
      </c>
      <c r="M139" s="27" t="n">
        <v>1.480769</v>
      </c>
      <c r="N139" s="28" t="n">
        <v>0.675325</v>
      </c>
      <c r="O139" s="28" t="n">
        <v>0.625602</v>
      </c>
      <c r="P139" s="28" t="n"/>
      <c r="Q139" s="28" t="n">
        <v>-0.049723</v>
      </c>
      <c r="R139" s="26" t="n">
        <v>0</v>
      </c>
      <c r="S139" s="29" t="n">
        <v>1.5</v>
      </c>
      <c r="T139" s="24" t="inlineStr">
        <is>
          <t>mlb-elo-trend-lr-v7</t>
        </is>
      </c>
      <c r="U139" s="24" t="inlineStr">
        <is>
          <t>settled</t>
        </is>
      </c>
      <c r="V139" s="24" t="inlineStr">
        <is>
          <t>loss</t>
        </is>
      </c>
      <c r="W139" s="26" t="n">
        <v>0</v>
      </c>
      <c r="X139" s="26" t="n">
        <v>3</v>
      </c>
      <c r="Y139" s="25" t="n"/>
      <c r="Z139" s="26" t="n">
        <v>-208</v>
      </c>
      <c r="AA139" s="28" t="n">
        <v>0.675</v>
      </c>
      <c r="AB139" s="28" t="n">
        <v>-0.000325</v>
      </c>
      <c r="AC139" s="30" t="n">
        <v>-1.5</v>
      </c>
      <c r="AD139" s="24" t="inlineStr">
        <is>
          <t>2026-08-02T23:12:29.672621Z</t>
        </is>
      </c>
      <c r="AE139" s="31" t="inlineStr">
        <is>
          <t>Learned LR call at threshold 0.6242; executable ask 0.6750 (aec-mlb-mil-laa-2026-08-02); model edge vs ask -0.0494.</t>
        </is>
      </c>
      <c r="AF139" s="31" t="inlineStr">
        <is>
          <t>Learned model; shadow-qualified via operator override.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mlb-mil</t>
        </is>
      </c>
      <c r="AQ139" s="24" t="inlineStr">
        <is>
          <t>Milwaukee Brewers</t>
        </is>
      </c>
      <c r="AR139" s="24" t="inlineStr">
        <is>
          <t>Milwaukee Brewers</t>
        </is>
      </c>
      <c r="AS139" s="24" t="inlineStr">
        <is>
          <t>mlb-laa</t>
        </is>
      </c>
      <c r="AT139" s="24" t="inlineStr">
        <is>
          <t>Los Angeles Angels</t>
        </is>
      </c>
      <c r="AU139" s="24" t="inlineStr">
        <is>
          <t>Los Angeles Angels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464eef695bfbbdaa819ec6f5e4c5bd1068ed20b92915fb2677220ae91e20d8b6</t>
        </is>
      </c>
      <c r="BB139" s="24" t="inlineStr">
        <is>
          <t>learned_lr</t>
        </is>
      </c>
      <c r="BC139" s="24" t="inlineStr">
        <is>
          <t>mlb-elo-trend-lr-v7</t>
        </is>
      </c>
      <c r="BD139" s="24" t="inlineStr">
        <is>
          <t>464eef695bfbbdaa819ec6f5e4c5bd1068ed20b92915fb2677220ae91e20d8b6</t>
        </is>
      </c>
      <c r="BE139" s="24" t="inlineStr">
        <is>
          <t>6989455cd566cbdd</t>
        </is>
      </c>
      <c r="BF139" s="24" t="inlineStr">
        <is>
          <t>1</t>
        </is>
      </c>
      <c r="BG139" s="24" t="inlineStr">
        <is>
          <t>mlb-elo-trend-lr-v7</t>
        </is>
      </c>
      <c r="BH139" s="24" t="inlineStr">
        <is>
          <t>2026-08-02T18:44:40.713780Z</t>
        </is>
      </c>
      <c r="BI139" s="24" t="inlineStr">
        <is>
          <t>["same_event","same_team_same_day","same_league_same_day"]</t>
        </is>
      </c>
      <c r="BJ139" s="25" t="n"/>
      <c r="BK139" s="26" t="n">
        <v>-208</v>
      </c>
      <c r="BL139" s="27" t="n">
        <v>1.480769</v>
      </c>
      <c r="BM139" s="28" t="n">
        <v>0.675325</v>
      </c>
      <c r="BN139" s="28" t="n">
        <v>0.671642</v>
      </c>
      <c r="BO139" s="28" t="n"/>
      <c r="BP139" s="25" t="n"/>
      <c r="BQ139" s="27" t="n">
        <v>1.480769</v>
      </c>
      <c r="BR139" s="28" t="n">
        <v>0.675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0.3268450055</t>
        </is>
      </c>
      <c r="CD139" s="24" t="inlineStr">
        <is>
          <t>-0.59379</t>
        </is>
      </c>
      <c r="CE139" s="24" t="inlineStr">
        <is>
          <t>1.01</t>
        </is>
      </c>
      <c r="CF139" s="24" t="inlineStr">
        <is>
          <t>1.0174</t>
        </is>
      </c>
      <c r="CG139" s="24" t="inlineStr">
        <is>
          <t>0.2</t>
        </is>
      </c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inlineStr">
        <is>
          <t>0.625602</t>
        </is>
      </c>
      <c r="CS139" s="24" t="inlineStr">
        <is>
          <t>False</t>
        </is>
      </c>
    </row>
    <row r="140" ht="36" customHeight="1">
      <c r="A140" s="24" t="inlineStr">
        <is>
          <t>893aed80d14f4303</t>
        </is>
      </c>
      <c r="B140" s="24" t="inlineStr">
        <is>
          <t>2026-08-02T18:46:36.549310Z</t>
        </is>
      </c>
      <c r="C140" s="24" t="inlineStr">
        <is>
          <t>2026-08-02T19:10Z</t>
        </is>
      </c>
      <c r="D140" s="24" t="inlineStr">
        <is>
          <t>401816371</t>
        </is>
      </c>
      <c r="E140" s="24" t="inlineStr">
        <is>
          <t>MLB</t>
        </is>
      </c>
      <c r="F140" s="24" t="inlineStr">
        <is>
          <t>Kansas City Royals</t>
        </is>
      </c>
      <c r="G140" s="24" t="inlineStr">
        <is>
          <t>Colorado Rockies</t>
        </is>
      </c>
      <c r="H140" s="24" t="inlineStr">
        <is>
          <t>spread</t>
        </is>
      </c>
      <c r="I140" s="24" t="inlineStr">
        <is>
          <t>away</t>
        </is>
      </c>
      <c r="J140" s="25" t="n">
        <v>1.5</v>
      </c>
      <c r="K140" s="24" t="inlineStr">
        <is>
          <t>polymarket_us</t>
        </is>
      </c>
      <c r="L140" s="26" t="n">
        <v>-163</v>
      </c>
      <c r="M140" s="27" t="n">
        <v>1.613497</v>
      </c>
      <c r="N140" s="28" t="n">
        <v>0.619772</v>
      </c>
      <c r="O140" s="28" t="n">
        <v>0.629958</v>
      </c>
      <c r="P140" s="28" t="n">
        <v>0.042131</v>
      </c>
      <c r="Q140" s="28" t="n">
        <v>0.010186</v>
      </c>
      <c r="R140" s="26" t="n">
        <v>31</v>
      </c>
      <c r="S140" s="29" t="n">
        <v>1.5</v>
      </c>
      <c r="T140" s="24" t="inlineStr">
        <is>
          <t>measured-edge-margin-v2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8</v>
      </c>
      <c r="Y140" s="25" t="n">
        <v>1.5</v>
      </c>
      <c r="Z140" s="26" t="n">
        <v>-163</v>
      </c>
      <c r="AA140" s="28" t="n">
        <v>0.62</v>
      </c>
      <c r="AB140" s="28" t="n">
        <v>0.000228</v>
      </c>
      <c r="AC140" s="30" t="n">
        <v>-1.5</v>
      </c>
      <c r="AD140" s="24" t="inlineStr">
        <is>
          <t>2026-08-02T23:12:30.832483Z</t>
        </is>
      </c>
      <c r="AE140" s="31" t="inlineStr">
        <is>
          <t>Measured Edge Margin: Trend Engine projected 5.90-5.32; raw selected-side p=0.6980, calibrated p=0.6300.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mlb-kc</t>
        </is>
      </c>
      <c r="AQ140" s="24" t="inlineStr">
        <is>
          <t>Kansas City Royals</t>
        </is>
      </c>
      <c r="AR140" s="24" t="inlineStr">
        <is>
          <t>Kansas City Royals</t>
        </is>
      </c>
      <c r="AS140" s="24" t="inlineStr">
        <is>
          <t>mlb-col</t>
        </is>
      </c>
      <c r="AT140" s="24" t="inlineStr">
        <is>
          <t>Colorado Rockies</t>
        </is>
      </c>
      <c r="AU140" s="24" t="inlineStr">
        <is>
          <t>Colorado Rockies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8360b122264b796b0fb193095cfe4506c7e064e5f3f8c0a659aec41efd08dd25</t>
        </is>
      </c>
      <c r="BB140" s="24" t="inlineStr">
        <is>
          <t>flat_probability_shrinkage_toward_half</t>
        </is>
      </c>
      <c r="BC140" s="24" t="inlineStr">
        <is>
          <t>measured-edge-margin-v2</t>
        </is>
      </c>
      <c r="BD140" s="24" t="inlineStr">
        <is>
          <t>8360b122264b796b0fb193095cfe4506c7e064e5f3f8c0a659aec41efd08dd25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2026-08-02T18:46:36.549310Z</t>
        </is>
      </c>
      <c r="BI140" s="24" t="inlineStr">
        <is>
          <t>["same_event","same_team_same_day","same_league_same_day"]</t>
        </is>
      </c>
      <c r="BJ140" s="25" t="n">
        <v>1.5</v>
      </c>
      <c r="BK140" s="26" t="n">
        <v>-163</v>
      </c>
      <c r="BL140" s="27" t="n">
        <v>1.613497</v>
      </c>
      <c r="BM140" s="28" t="n">
        <v>0.619772</v>
      </c>
      <c r="BN140" s="28" t="n">
        <v>0.616915</v>
      </c>
      <c r="BO140" s="28" t="n"/>
      <c r="BP140" s="25" t="n"/>
      <c r="BQ140" s="27" t="n">
        <v>1.613497</v>
      </c>
      <c r="BR140" s="28" t="n">
        <v>0.62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71780c61364048ed</t>
        </is>
      </c>
      <c r="B141" s="24" t="inlineStr">
        <is>
          <t>2026-08-02T18:46:36.549310Z</t>
        </is>
      </c>
      <c r="C141" s="24" t="inlineStr">
        <is>
          <t>2026-08-02T19:10Z</t>
        </is>
      </c>
      <c r="D141" s="24" t="inlineStr">
        <is>
          <t>401816371</t>
        </is>
      </c>
      <c r="E141" s="24" t="inlineStr">
        <is>
          <t>MLB</t>
        </is>
      </c>
      <c r="F141" s="24" t="inlineStr">
        <is>
          <t>Kansas City Royals</t>
        </is>
      </c>
      <c r="G141" s="24" t="inlineStr">
        <is>
          <t>Colorado Rockies</t>
        </is>
      </c>
      <c r="H141" s="24" t="inlineStr">
        <is>
          <t>total</t>
        </is>
      </c>
      <c r="I141" s="24" t="inlineStr">
        <is>
          <t>under</t>
        </is>
      </c>
      <c r="J141" s="25" t="n">
        <v>11.5</v>
      </c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0.533133</v>
      </c>
      <c r="P141" s="28" t="n">
        <v>0.042131</v>
      </c>
      <c r="Q141" s="28" t="n">
        <v>0.023329</v>
      </c>
      <c r="R141" s="26" t="n">
        <v>38</v>
      </c>
      <c r="S141" s="29" t="n">
        <v>1</v>
      </c>
      <c r="T141" s="24" t="inlineStr">
        <is>
          <t>measured-edge-totals-v2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8</v>
      </c>
      <c r="Y141" s="25" t="n">
        <v>11.5</v>
      </c>
      <c r="Z141" s="26" t="n">
        <v>-104</v>
      </c>
      <c r="AA141" s="28" t="n">
        <v>0.51</v>
      </c>
      <c r="AB141" s="28" t="n">
        <v>0.000196</v>
      </c>
      <c r="AC141" s="30" t="n">
        <v>0.9615</v>
      </c>
      <c r="AD141" s="24" t="inlineStr">
        <is>
          <t>2026-08-02T23:12:31.933250Z</t>
        </is>
      </c>
      <c r="AE141" s="31" t="inlineStr">
        <is>
          <t>Measured Edge Totals: Trend Engine projected 5.90-5.32; raw selected-side p=0.5737, calibrated p=0.5331.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mlb-kc</t>
        </is>
      </c>
      <c r="AQ141" s="24" t="inlineStr">
        <is>
          <t>Kansas City Royals</t>
        </is>
      </c>
      <c r="AR141" s="24" t="inlineStr">
        <is>
          <t>Kansas City Royals</t>
        </is>
      </c>
      <c r="AS141" s="24" t="inlineStr">
        <is>
          <t>mlb-col</t>
        </is>
      </c>
      <c r="AT141" s="24" t="inlineStr">
        <is>
          <t>Colorado Rockies</t>
        </is>
      </c>
      <c r="AU141" s="24" t="inlineStr">
        <is>
          <t>Colorado Rockies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433578016242b27f9c1c7132cc6b5a2bcc7dd1b0234590c12a944455a88e71bd</t>
        </is>
      </c>
      <c r="BB141" s="24" t="inlineStr">
        <is>
          <t>flat_probability_shrinkage_toward_half</t>
        </is>
      </c>
      <c r="BC141" s="24" t="inlineStr">
        <is>
          <t>measured-edge-totals-v2</t>
        </is>
      </c>
      <c r="BD141" s="24" t="inlineStr">
        <is>
          <t>433578016242b27f9c1c7132cc6b5a2bcc7dd1b0234590c12a944455a88e71bd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2026-08-02T18:46:36.549310Z</t>
        </is>
      </c>
      <c r="BI141" s="24" t="inlineStr">
        <is>
          <t>["same_event","same_team_same_day","same_league_same_day"]</t>
        </is>
      </c>
      <c r="BJ141" s="25" t="n">
        <v>11.5</v>
      </c>
      <c r="BK141" s="26" t="n">
        <v>-104</v>
      </c>
      <c r="BL141" s="27" t="n">
        <v>1.961538</v>
      </c>
      <c r="BM141" s="28" t="n">
        <v>0.509804</v>
      </c>
      <c r="BN141" s="28" t="n">
        <v>0.507463</v>
      </c>
      <c r="BO141" s="28" t="n"/>
      <c r="BP141" s="25" t="n"/>
      <c r="BQ141" s="27" t="n">
        <v>1.961538</v>
      </c>
      <c r="BR141" s="28" t="n">
        <v>0.51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28aa277eb09e4ad9</t>
        </is>
      </c>
      <c r="B142" s="24" t="inlineStr">
        <is>
          <t>2026-08-02T18:46:36.549310Z</t>
        </is>
      </c>
      <c r="C142" s="24" t="inlineStr">
        <is>
          <t>2026-08-02T19:15Z</t>
        </is>
      </c>
      <c r="D142" s="24" t="inlineStr">
        <is>
          <t>401816374</t>
        </is>
      </c>
      <c r="E142" s="24" t="inlineStr">
        <is>
          <t>MLB</t>
        </is>
      </c>
      <c r="F142" s="24" t="inlineStr">
        <is>
          <t>Milwaukee Brewers</t>
        </is>
      </c>
      <c r="G142" s="24" t="inlineStr">
        <is>
          <t>Los Angeles Angels</t>
        </is>
      </c>
      <c r="H142" s="24" t="inlineStr">
        <is>
          <t>spread</t>
        </is>
      </c>
      <c r="I142" s="24" t="inlineStr">
        <is>
          <t>home</t>
        </is>
      </c>
      <c r="J142" s="25" t="n">
        <v>1.5</v>
      </c>
      <c r="K142" s="24" t="inlineStr">
        <is>
          <t>polymarket_us</t>
        </is>
      </c>
      <c r="L142" s="26" t="n">
        <v>117</v>
      </c>
      <c r="M142" s="27" t="n">
        <v>2.17</v>
      </c>
      <c r="N142" s="28" t="n">
        <v>0.460829</v>
      </c>
      <c r="O142" s="28" t="n">
        <v>0.5552280000000001</v>
      </c>
      <c r="P142" s="28" t="n">
        <v>0.042131</v>
      </c>
      <c r="Q142" s="28" t="n">
        <v>0.094399</v>
      </c>
      <c r="R142" s="26" t="n">
        <v>73</v>
      </c>
      <c r="S142" s="29" t="n">
        <v>1</v>
      </c>
      <c r="T142" s="24" t="inlineStr">
        <is>
          <t>measured-edge-margin-v2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3</v>
      </c>
      <c r="Y142" s="25" t="n">
        <v>1.5</v>
      </c>
      <c r="Z142" s="26" t="n">
        <v>117</v>
      </c>
      <c r="AA142" s="28" t="n">
        <v>0.46</v>
      </c>
      <c r="AB142" s="28" t="n">
        <v>-0.000829</v>
      </c>
      <c r="AC142" s="30" t="n">
        <v>1.17</v>
      </c>
      <c r="AD142" s="24" t="inlineStr">
        <is>
          <t>2026-08-02T23:12:33.081655Z</t>
        </is>
      </c>
      <c r="AE142" s="31" t="inlineStr">
        <is>
          <t>Measured Edge Margin: Trend Engine projected 4.07-3.09; raw selected-side p=0.5841, calibrated p=0.5552.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mlb-mil</t>
        </is>
      </c>
      <c r="AQ142" s="24" t="inlineStr">
        <is>
          <t>Milwaukee Brewers</t>
        </is>
      </c>
      <c r="AR142" s="24" t="inlineStr">
        <is>
          <t>Milwaukee Brewers</t>
        </is>
      </c>
      <c r="AS142" s="24" t="inlineStr">
        <is>
          <t>mlb-laa</t>
        </is>
      </c>
      <c r="AT142" s="24" t="inlineStr">
        <is>
          <t>Los Angeles Angels</t>
        </is>
      </c>
      <c r="AU142" s="24" t="inlineStr">
        <is>
          <t>Los Angeles Angels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8360b122264b796b0fb193095cfe4506c7e064e5f3f8c0a659aec41efd08dd25</t>
        </is>
      </c>
      <c r="BB142" s="24" t="inlineStr">
        <is>
          <t>flat_probability_shrinkage_toward_half</t>
        </is>
      </c>
      <c r="BC142" s="24" t="inlineStr">
        <is>
          <t>measured-edge-margin-v2</t>
        </is>
      </c>
      <c r="BD142" s="24" t="inlineStr">
        <is>
          <t>8360b122264b796b0fb193095cfe4506c7e064e5f3f8c0a659aec41efd08dd25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2026-08-02T18:46:36.549310Z</t>
        </is>
      </c>
      <c r="BI142" s="24" t="inlineStr">
        <is>
          <t>["same_event","same_team_same_day","same_league_same_day"]</t>
        </is>
      </c>
      <c r="BJ142" s="25" t="n">
        <v>1.5</v>
      </c>
      <c r="BK142" s="26" t="n">
        <v>117</v>
      </c>
      <c r="BL142" s="27" t="n">
        <v>2.17</v>
      </c>
      <c r="BM142" s="28" t="n">
        <v>0.460829</v>
      </c>
      <c r="BN142" s="28" t="n">
        <v>0.457711</v>
      </c>
      <c r="BO142" s="28" t="n"/>
      <c r="BP142" s="25" t="n"/>
      <c r="BQ142" s="27" t="n">
        <v>2.17</v>
      </c>
      <c r="BR142" s="28" t="n">
        <v>0.46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56326cb336554bf2</t>
        </is>
      </c>
      <c r="B143" s="24" t="inlineStr">
        <is>
          <t>2026-08-02T18:46:36.549310Z</t>
        </is>
      </c>
      <c r="C143" s="24" t="inlineStr">
        <is>
          <t>2026-08-02T19:15Z</t>
        </is>
      </c>
      <c r="D143" s="24" t="inlineStr">
        <is>
          <t>401816374</t>
        </is>
      </c>
      <c r="E143" s="24" t="inlineStr">
        <is>
          <t>MLB</t>
        </is>
      </c>
      <c r="F143" s="24" t="inlineStr">
        <is>
          <t>Milwaukee Brewers</t>
        </is>
      </c>
      <c r="G143" s="24" t="inlineStr">
        <is>
          <t>Los Angeles Angels</t>
        </is>
      </c>
      <c r="H143" s="24" t="inlineStr">
        <is>
          <t>total</t>
        </is>
      </c>
      <c r="I143" s="24" t="inlineStr">
        <is>
          <t>under</t>
        </is>
      </c>
      <c r="J143" s="25" t="n">
        <v>7.5</v>
      </c>
      <c r="K143" s="24" t="inlineStr">
        <is>
          <t>polymarket_us</t>
        </is>
      </c>
      <c r="L143" s="26" t="n">
        <v>-108</v>
      </c>
      <c r="M143" s="27" t="n">
        <v>1.925926</v>
      </c>
      <c r="N143" s="28" t="n">
        <v>0.519231</v>
      </c>
      <c r="O143" s="28" t="n">
        <v>0.537285</v>
      </c>
      <c r="P143" s="28" t="n">
        <v>0.042131</v>
      </c>
      <c r="Q143" s="28" t="n">
        <v>0.018054</v>
      </c>
      <c r="R143" s="26" t="n">
        <v>35</v>
      </c>
      <c r="S143" s="29" t="n">
        <v>1</v>
      </c>
      <c r="T143" s="24" t="inlineStr">
        <is>
          <t>measured-edge-totals-v2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3</v>
      </c>
      <c r="Y143" s="25" t="n">
        <v>7.5</v>
      </c>
      <c r="Z143" s="26" t="n">
        <v>-108</v>
      </c>
      <c r="AA143" s="28" t="n">
        <v>0.52</v>
      </c>
      <c r="AB143" s="28" t="n">
        <v>0.000769</v>
      </c>
      <c r="AC143" s="30" t="n">
        <v>0.9258999999999999</v>
      </c>
      <c r="AD143" s="24" t="inlineStr">
        <is>
          <t>2026-08-02T23:12:34.186731Z</t>
        </is>
      </c>
      <c r="AE143" s="31" t="inlineStr">
        <is>
          <t>Measured Edge Totals: Trend Engine projected 4.07-3.09; raw selected-side p=0.5858, calibrated p=0.5373.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mlb-mil</t>
        </is>
      </c>
      <c r="AQ143" s="24" t="inlineStr">
        <is>
          <t>Milwaukee Brewers</t>
        </is>
      </c>
      <c r="AR143" s="24" t="inlineStr">
        <is>
          <t>Milwaukee Brewers</t>
        </is>
      </c>
      <c r="AS143" s="24" t="inlineStr">
        <is>
          <t>mlb-laa</t>
        </is>
      </c>
      <c r="AT143" s="24" t="inlineStr">
        <is>
          <t>Los Angeles Angels</t>
        </is>
      </c>
      <c r="AU143" s="24" t="inlineStr">
        <is>
          <t>Los Angeles Angels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433578016242b27f9c1c7132cc6b5a2bcc7dd1b0234590c12a944455a88e71bd</t>
        </is>
      </c>
      <c r="BB143" s="24" t="inlineStr">
        <is>
          <t>flat_probability_shrinkage_toward_half</t>
        </is>
      </c>
      <c r="BC143" s="24" t="inlineStr">
        <is>
          <t>measured-edge-totals-v2</t>
        </is>
      </c>
      <c r="BD143" s="24" t="inlineStr">
        <is>
          <t>433578016242b27f9c1c7132cc6b5a2bcc7dd1b0234590c12a944455a88e71bd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2026-08-02T18:46:36.549310Z</t>
        </is>
      </c>
      <c r="BI143" s="24" t="inlineStr">
        <is>
          <t>["same_event","same_team_same_day","same_league_same_day"]</t>
        </is>
      </c>
      <c r="BJ143" s="25" t="n">
        <v>7.5</v>
      </c>
      <c r="BK143" s="26" t="n">
        <v>-108</v>
      </c>
      <c r="BL143" s="27" t="n">
        <v>1.925926</v>
      </c>
      <c r="BM143" s="28" t="n">
        <v>0.519231</v>
      </c>
      <c r="BN143" s="28" t="n">
        <v>0.517413</v>
      </c>
      <c r="BO143" s="28" t="n"/>
      <c r="BP143" s="25" t="n"/>
      <c r="BQ143" s="27" t="n">
        <v>1.925926</v>
      </c>
      <c r="BR143" s="28" t="n">
        <v>0.52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92a0e910a4d643a0</t>
        </is>
      </c>
      <c r="B144" s="24" t="inlineStr">
        <is>
          <t>2026-08-02T19:28:41.982598Z</t>
        </is>
      </c>
      <c r="C144" s="24" t="inlineStr">
        <is>
          <t>2026-08-02T16:05:00-0400</t>
        </is>
      </c>
      <c r="D144" s="24" t="inlineStr">
        <is>
          <t>401816373</t>
        </is>
      </c>
      <c r="E144" s="24" t="inlineStr">
        <is>
          <t>MLB</t>
        </is>
      </c>
      <c r="F144" s="24" t="inlineStr">
        <is>
          <t>Detroit Tigers</t>
        </is>
      </c>
      <c r="G144" s="24" t="inlineStr">
        <is>
          <t>Athletics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-115</v>
      </c>
      <c r="M144" s="27" t="n">
        <v>1.869565</v>
      </c>
      <c r="N144" s="28" t="n">
        <v>0.534884</v>
      </c>
      <c r="O144" s="28" t="n">
        <v>0.559378</v>
      </c>
      <c r="P144" s="28" t="n"/>
      <c r="Q144" s="28" t="n">
        <v>0.024494</v>
      </c>
      <c r="R144" s="26" t="n">
        <v>34</v>
      </c>
      <c r="S144" s="29" t="n">
        <v>1</v>
      </c>
      <c r="T144" s="24" t="inlineStr">
        <is>
          <t>mlb-elo-trend-lr-v7</t>
        </is>
      </c>
      <c r="U144" s="24" t="inlineStr">
        <is>
          <t>settled</t>
        </is>
      </c>
      <c r="V144" s="24" t="inlineStr">
        <is>
          <t>win</t>
        </is>
      </c>
      <c r="W144" s="26" t="n">
        <v>11</v>
      </c>
      <c r="X144" s="26" t="n">
        <v>0</v>
      </c>
      <c r="Y144" s="25" t="n"/>
      <c r="Z144" s="26" t="n">
        <v>-115</v>
      </c>
      <c r="AA144" s="28" t="n">
        <v>0.535</v>
      </c>
      <c r="AB144" s="28" t="n">
        <v>0.000116</v>
      </c>
      <c r="AC144" s="30" t="n">
        <v>0.8696</v>
      </c>
      <c r="AD144" s="24" t="inlineStr">
        <is>
          <t>2026-08-03T02:34:10.065548Z</t>
        </is>
      </c>
      <c r="AE144" s="31" t="inlineStr">
        <is>
          <t>Learned LR call at threshold 0.6242; executable ask 0.5350 (aec-mlb-det-ath-2026-08-02); model edge vs ask +0.0244.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mlb-det</t>
        </is>
      </c>
      <c r="AQ144" s="24" t="inlineStr">
        <is>
          <t>Detroit Tigers</t>
        </is>
      </c>
      <c r="AR144" s="24" t="inlineStr">
        <is>
          <t>Detroit Tigers</t>
        </is>
      </c>
      <c r="AS144" s="24" t="inlineStr">
        <is>
          <t>mlb-ath</t>
        </is>
      </c>
      <c r="AT144" s="24" t="inlineStr">
        <is>
          <t>Athletics</t>
        </is>
      </c>
      <c r="AU144" s="24" t="inlineStr">
        <is>
          <t>Athletics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464eef695bfbbdaa819ec6f5e4c5bd1068ed20b92915fb2677220ae91e20d8b6</t>
        </is>
      </c>
      <c r="BB144" s="24" t="inlineStr">
        <is>
          <t>learned_lr</t>
        </is>
      </c>
      <c r="BC144" s="24" t="inlineStr">
        <is>
          <t>mlb-elo-trend-lr-v7</t>
        </is>
      </c>
      <c r="BD144" s="24" t="inlineStr">
        <is>
          <t>464eef695bfbbdaa819ec6f5e4c5bd1068ed20b92915fb2677220ae91e20d8b6</t>
        </is>
      </c>
      <c r="BE144" s="24" t="inlineStr">
        <is>
          <t>cae2c55128a7fa45</t>
        </is>
      </c>
      <c r="BF144" s="24" t="inlineStr">
        <is>
          <t>1</t>
        </is>
      </c>
      <c r="BG144" s="24" t="inlineStr">
        <is>
          <t>mlb-elo-trend-lr-v7</t>
        </is>
      </c>
      <c r="BH144" s="24" t="inlineStr">
        <is>
          <t>2026-08-02T19:27:34.287912Z</t>
        </is>
      </c>
      <c r="BI144" s="24" t="inlineStr">
        <is>
          <t>["same_event","same_team_same_day","same_league_same_day"]</t>
        </is>
      </c>
      <c r="BJ144" s="25" t="n"/>
      <c r="BK144" s="26" t="n">
        <v>-115</v>
      </c>
      <c r="BL144" s="27" t="n">
        <v>1.869565</v>
      </c>
      <c r="BM144" s="28" t="n">
        <v>0.534884</v>
      </c>
      <c r="BN144" s="28" t="n">
        <v>0.532338</v>
      </c>
      <c r="BO144" s="28" t="n"/>
      <c r="BP144" s="25" t="n"/>
      <c r="BQ144" s="27" t="n">
        <v>1.869565</v>
      </c>
      <c r="BR144" s="28" t="n">
        <v>0.535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0.4182489247</t>
        </is>
      </c>
      <c r="CD144" s="24" t="inlineStr">
        <is>
          <t>-3.449013</t>
        </is>
      </c>
      <c r="CE144" s="24" t="inlineStr">
        <is>
          <t>1.153</t>
        </is>
      </c>
      <c r="CF144" s="24" t="inlineStr">
        <is>
          <t>1.0276</t>
        </is>
      </c>
      <c r="CG144" s="24" t="inlineStr">
        <is>
          <t>1.0</t>
        </is>
      </c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inlineStr">
        <is>
          <t>0.559378</t>
        </is>
      </c>
      <c r="CS144" s="24" t="inlineStr">
        <is>
          <t>True</t>
        </is>
      </c>
    </row>
    <row r="145" ht="36" customHeight="1">
      <c r="A145" s="24" t="inlineStr">
        <is>
          <t>6123232040ed4c6a</t>
        </is>
      </c>
      <c r="B145" s="24" t="inlineStr">
        <is>
          <t>2026-08-02T19:28:41.982598Z</t>
        </is>
      </c>
      <c r="C145" s="24" t="inlineStr">
        <is>
          <t>2026-08-02T16:10:00-0400</t>
        </is>
      </c>
      <c r="D145" s="24" t="inlineStr">
        <is>
          <t>401816375</t>
        </is>
      </c>
      <c r="E145" s="24" t="inlineStr">
        <is>
          <t>MLB</t>
        </is>
      </c>
      <c r="F145" s="24" t="inlineStr">
        <is>
          <t>Minnesota Twins</t>
        </is>
      </c>
      <c r="G145" s="24" t="inlineStr">
        <is>
          <t>Seattle Mariners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-130</v>
      </c>
      <c r="M145" s="27" t="n">
        <v>1.769231</v>
      </c>
      <c r="N145" s="28" t="n">
        <v>0.565217</v>
      </c>
      <c r="O145" s="28" t="n">
        <v>0.596425</v>
      </c>
      <c r="P145" s="28" t="n"/>
      <c r="Q145" s="28" t="n">
        <v>0.031208</v>
      </c>
      <c r="R145" s="26" t="n">
        <v>37</v>
      </c>
      <c r="S145" s="29" t="n">
        <v>1.25</v>
      </c>
      <c r="T145" s="24" t="inlineStr">
        <is>
          <t>mlb-elo-trend-lr-v7</t>
        </is>
      </c>
      <c r="U145" s="24" t="inlineStr">
        <is>
          <t>settled</t>
        </is>
      </c>
      <c r="V145" s="24" t="inlineStr">
        <is>
          <t>win</t>
        </is>
      </c>
      <c r="W145" s="26" t="n">
        <v>6</v>
      </c>
      <c r="X145" s="26" t="n">
        <v>7</v>
      </c>
      <c r="Y145" s="25" t="n"/>
      <c r="Z145" s="26" t="n">
        <v>-130</v>
      </c>
      <c r="AA145" s="28" t="n">
        <v>0.5649999999999999</v>
      </c>
      <c r="AB145" s="28" t="n">
        <v>-0.000217</v>
      </c>
      <c r="AC145" s="30" t="n">
        <v>0.9615</v>
      </c>
      <c r="AD145" s="24" t="inlineStr">
        <is>
          <t>2026-08-02T23:12:46.830757Z</t>
        </is>
      </c>
      <c r="AE145" s="31" t="inlineStr">
        <is>
          <t>Learned LR call at threshold 0.6242; executable ask 0.5650 (aec-mlb-min-sea-2026-08-02); model edge vs ask +0.0314.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mlb-min</t>
        </is>
      </c>
      <c r="AQ145" s="24" t="inlineStr">
        <is>
          <t>Minnesota Twins</t>
        </is>
      </c>
      <c r="AR145" s="24" t="inlineStr">
        <is>
          <t>Minnesota Twins</t>
        </is>
      </c>
      <c r="AS145" s="24" t="inlineStr">
        <is>
          <t>mlb-sea</t>
        </is>
      </c>
      <c r="AT145" s="24" t="inlineStr">
        <is>
          <t>Seattle Mariners</t>
        </is>
      </c>
      <c r="AU145" s="24" t="inlineStr">
        <is>
          <t>Seattle Mariners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464eef695bfbbdaa819ec6f5e4c5bd1068ed20b92915fb2677220ae91e20d8b6</t>
        </is>
      </c>
      <c r="BB145" s="24" t="inlineStr">
        <is>
          <t>learned_lr</t>
        </is>
      </c>
      <c r="BC145" s="24" t="inlineStr">
        <is>
          <t>mlb-elo-trend-lr-v7</t>
        </is>
      </c>
      <c r="BD145" s="24" t="inlineStr">
        <is>
          <t>464eef695bfbbdaa819ec6f5e4c5bd1068ed20b92915fb2677220ae91e20d8b6</t>
        </is>
      </c>
      <c r="BE145" s="24" t="inlineStr">
        <is>
          <t>e58bfb84888a3f7a</t>
        </is>
      </c>
      <c r="BF145" s="24" t="inlineStr">
        <is>
          <t>1</t>
        </is>
      </c>
      <c r="BG145" s="24" t="inlineStr">
        <is>
          <t>mlb-elo-trend-lr-v7</t>
        </is>
      </c>
      <c r="BH145" s="24" t="inlineStr">
        <is>
          <t>2026-08-02T19:27:36.298456Z</t>
        </is>
      </c>
      <c r="BI145" s="24" t="inlineStr">
        <is>
          <t>["same_event","same_team_same_day","same_league_same_day"]</t>
        </is>
      </c>
      <c r="BJ145" s="25" t="n"/>
      <c r="BK145" s="26" t="n">
        <v>-130</v>
      </c>
      <c r="BL145" s="27" t="n">
        <v>1.769231</v>
      </c>
      <c r="BM145" s="28" t="n">
        <v>0.565217</v>
      </c>
      <c r="BN145" s="28" t="n">
        <v>0.562189</v>
      </c>
      <c r="BO145" s="28" t="n"/>
      <c r="BP145" s="25" t="n"/>
      <c r="BQ145" s="27" t="n">
        <v>1.769231</v>
      </c>
      <c r="BR145" s="28" t="n">
        <v>0.5649999999999999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0.5819178739</t>
        </is>
      </c>
      <c r="CD145" s="24" t="inlineStr">
        <is>
          <t>0.703281</t>
        </is>
      </c>
      <c r="CE145" s="24" t="inlineStr">
        <is>
          <t>0.936</t>
        </is>
      </c>
      <c r="CF145" s="24" t="inlineStr">
        <is>
          <t>1.0</t>
        </is>
      </c>
      <c r="CG145" s="24" t="inlineStr">
        <is>
          <t>1.8</t>
        </is>
      </c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inlineStr">
        <is>
          <t>0.596425</t>
        </is>
      </c>
      <c r="CS145" s="24" t="inlineStr">
        <is>
          <t>True</t>
        </is>
      </c>
    </row>
    <row r="146" ht="36" customHeight="1">
      <c r="A146" s="24" t="inlineStr">
        <is>
          <t>aa98c1e4a4aa471b</t>
        </is>
      </c>
      <c r="B146" s="24" t="inlineStr">
        <is>
          <t>2026-08-02T19:28:41.982598Z</t>
        </is>
      </c>
      <c r="C146" s="24" t="inlineStr">
        <is>
          <t>2026-08-02T16:10:00-0400</t>
        </is>
      </c>
      <c r="D146" s="24" t="inlineStr">
        <is>
          <t>401816376</t>
        </is>
      </c>
      <c r="E146" s="24" t="inlineStr">
        <is>
          <t>MLB</t>
        </is>
      </c>
      <c r="F146" s="24" t="inlineStr">
        <is>
          <t>San Francisco Giants</t>
        </is>
      </c>
      <c r="G146" s="24" t="inlineStr">
        <is>
          <t>San Diego Padres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-120</v>
      </c>
      <c r="M146" s="27" t="n">
        <v>1.833333</v>
      </c>
      <c r="N146" s="28" t="n">
        <v>0.545455</v>
      </c>
      <c r="O146" s="28" t="n">
        <v>0.589226</v>
      </c>
      <c r="P146" s="28" t="n"/>
      <c r="Q146" s="28" t="n">
        <v>0.043771</v>
      </c>
      <c r="R146" s="26" t="n">
        <v>43</v>
      </c>
      <c r="S146" s="29" t="n">
        <v>1.25</v>
      </c>
      <c r="T146" s="24" t="inlineStr">
        <is>
          <t>mlb-elo-trend-lr-v7</t>
        </is>
      </c>
      <c r="U146" s="24" t="inlineStr">
        <is>
          <t>settled</t>
        </is>
      </c>
      <c r="V146" s="24" t="inlineStr">
        <is>
          <t>win</t>
        </is>
      </c>
      <c r="W146" s="26" t="n">
        <v>4</v>
      </c>
      <c r="X146" s="26" t="n">
        <v>5</v>
      </c>
      <c r="Y146" s="25" t="n"/>
      <c r="Z146" s="26" t="n">
        <v>-120</v>
      </c>
      <c r="AA146" s="28" t="n">
        <v>0.545</v>
      </c>
      <c r="AB146" s="28" t="n">
        <v>-0.000455</v>
      </c>
      <c r="AC146" s="30" t="n">
        <v>1.0417</v>
      </c>
      <c r="AD146" s="24" t="inlineStr">
        <is>
          <t>2026-08-03T02:34:12.634407Z</t>
        </is>
      </c>
      <c r="AE146" s="31" t="inlineStr">
        <is>
          <t>Learned LR call at threshold 0.6242; executable ask 0.5450 (aec-mlb-sf-sd-2026-08-02); model edge vs ask +0.0442.</t>
        </is>
      </c>
      <c r="AF146" s="31" t="inlineStr">
        <is>
          <t>Learned model; shadow-qualified via operator override.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mlb-sf</t>
        </is>
      </c>
      <c r="AQ146" s="24" t="inlineStr">
        <is>
          <t>San Francisco Giants</t>
        </is>
      </c>
      <c r="AR146" s="24" t="inlineStr">
        <is>
          <t>San Francisco Giants</t>
        </is>
      </c>
      <c r="AS146" s="24" t="inlineStr">
        <is>
          <t>mlb-sd</t>
        </is>
      </c>
      <c r="AT146" s="24" t="inlineStr">
        <is>
          <t>San Diego Padres</t>
        </is>
      </c>
      <c r="AU146" s="24" t="inlineStr">
        <is>
          <t>San Diego Padres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464eef695bfbbdaa819ec6f5e4c5bd1068ed20b92915fb2677220ae91e20d8b6</t>
        </is>
      </c>
      <c r="BB146" s="24" t="inlineStr">
        <is>
          <t>learned_lr</t>
        </is>
      </c>
      <c r="BC146" s="24" t="inlineStr">
        <is>
          <t>mlb-elo-trend-lr-v7</t>
        </is>
      </c>
      <c r="BD146" s="24" t="inlineStr">
        <is>
          <t>464eef695bfbbdaa819ec6f5e4c5bd1068ed20b92915fb2677220ae91e20d8b6</t>
        </is>
      </c>
      <c r="BE146" s="24" t="inlineStr">
        <is>
          <t>8b5b12a8cace3be8</t>
        </is>
      </c>
      <c r="BF146" s="24" t="inlineStr">
        <is>
          <t>1</t>
        </is>
      </c>
      <c r="BG146" s="24" t="inlineStr">
        <is>
          <t>mlb-elo-trend-lr-v7</t>
        </is>
      </c>
      <c r="BH146" s="24" t="inlineStr">
        <is>
          <t>2026-08-02T19:27:35.275071Z</t>
        </is>
      </c>
      <c r="BI146" s="24" t="inlineStr">
        <is>
          <t>["same_event","same_team_same_day","same_league_same_day"]</t>
        </is>
      </c>
      <c r="BJ146" s="25" t="n"/>
      <c r="BK146" s="26" t="n">
        <v>-120</v>
      </c>
      <c r="BL146" s="27" t="n">
        <v>1.833333</v>
      </c>
      <c r="BM146" s="28" t="n">
        <v>0.545455</v>
      </c>
      <c r="BN146" s="28" t="n">
        <v>0.542289</v>
      </c>
      <c r="BO146" s="28" t="n"/>
      <c r="BP146" s="25" t="n"/>
      <c r="BQ146" s="27" t="n">
        <v>1.833333</v>
      </c>
      <c r="BR146" s="28" t="n">
        <v>0.545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0.5952401601</t>
        </is>
      </c>
      <c r="CD146" s="24" t="inlineStr">
        <is>
          <t>0.046644</t>
        </is>
      </c>
      <c r="CE146" s="24" t="inlineStr">
        <is>
          <t>0.945</t>
        </is>
      </c>
      <c r="CF146" s="24" t="inlineStr">
        <is>
          <t>1.0081</t>
        </is>
      </c>
      <c r="CG146" s="24" t="inlineStr">
        <is>
          <t>-1.6</t>
        </is>
      </c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inlineStr">
        <is>
          <t>0.589226</t>
        </is>
      </c>
      <c r="CS146" s="24" t="inlineStr">
        <is>
          <t>True</t>
        </is>
      </c>
    </row>
    <row r="147" ht="36" customHeight="1">
      <c r="A147" s="24" t="inlineStr">
        <is>
          <t>cdbfd00aaf6c4a27</t>
        </is>
      </c>
      <c r="B147" s="24" t="inlineStr">
        <is>
          <t>2026-08-02T19:28:59.526399Z</t>
        </is>
      </c>
      <c r="C147" s="24" t="inlineStr">
        <is>
          <t>2026-08-02T20:05Z</t>
        </is>
      </c>
      <c r="D147" s="24" t="inlineStr">
        <is>
          <t>401816373</t>
        </is>
      </c>
      <c r="E147" s="24" t="inlineStr">
        <is>
          <t>MLB</t>
        </is>
      </c>
      <c r="F147" s="24" t="inlineStr">
        <is>
          <t>Detroit Tigers</t>
        </is>
      </c>
      <c r="G147" s="24" t="inlineStr">
        <is>
          <t>Athletics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-141</v>
      </c>
      <c r="M147" s="27" t="n">
        <v>1.70922</v>
      </c>
      <c r="N147" s="28" t="n">
        <v>0.585062</v>
      </c>
      <c r="O147" s="28" t="n">
        <v>0.522653</v>
      </c>
      <c r="P147" s="28" t="n">
        <v>0.042131</v>
      </c>
      <c r="Q147" s="28" t="n">
        <v>-0.062409</v>
      </c>
      <c r="R147" s="26" t="n">
        <v>0</v>
      </c>
      <c r="S147" s="29" t="n">
        <v>1</v>
      </c>
      <c r="T147" s="24" t="inlineStr">
        <is>
          <t>measured-edge-margin-v2</t>
        </is>
      </c>
      <c r="U147" s="24" t="inlineStr">
        <is>
          <t>settled</t>
        </is>
      </c>
      <c r="V147" s="24" t="inlineStr">
        <is>
          <t>loss</t>
        </is>
      </c>
      <c r="W147" s="26" t="n">
        <v>11</v>
      </c>
      <c r="X147" s="26" t="n">
        <v>0</v>
      </c>
      <c r="Y147" s="25" t="n">
        <v>1.5</v>
      </c>
      <c r="Z147" s="26" t="n">
        <v>-141</v>
      </c>
      <c r="AA147" s="28" t="n">
        <v>0.585</v>
      </c>
      <c r="AB147" s="28" t="n">
        <v>-6.2e-05</v>
      </c>
      <c r="AC147" s="30" t="n">
        <v>-1</v>
      </c>
      <c r="AD147" s="24" t="inlineStr">
        <is>
          <t>2026-08-03T02:34:13.756296Z</t>
        </is>
      </c>
      <c r="AE147" s="31" t="inlineStr">
        <is>
          <t>Measured Edge Margin: Trend Engine projected 5.88-4.54; raw selected-side p=0.5344, calibrated p=0.5227.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mlb-det</t>
        </is>
      </c>
      <c r="AQ147" s="24" t="inlineStr">
        <is>
          <t>Detroit Tigers</t>
        </is>
      </c>
      <c r="AR147" s="24" t="inlineStr">
        <is>
          <t>Detroit Tigers</t>
        </is>
      </c>
      <c r="AS147" s="24" t="inlineStr">
        <is>
          <t>mlb-ath</t>
        </is>
      </c>
      <c r="AT147" s="24" t="inlineStr">
        <is>
          <t>Athletics</t>
        </is>
      </c>
      <c r="AU147" s="24" t="inlineStr">
        <is>
          <t>Athletics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8360b122264b796b0fb193095cfe4506c7e064e5f3f8c0a659aec41efd08dd25</t>
        </is>
      </c>
      <c r="BB147" s="24" t="inlineStr">
        <is>
          <t>flat_probability_shrinkage_toward_half</t>
        </is>
      </c>
      <c r="BC147" s="24" t="inlineStr">
        <is>
          <t>measured-edge-margin-v2</t>
        </is>
      </c>
      <c r="BD147" s="24" t="inlineStr">
        <is>
          <t>8360b122264b796b0fb193095cfe4506c7e064e5f3f8c0a659aec41efd08dd25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2026-08-02T19:28:59.526399Z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-141</v>
      </c>
      <c r="BL147" s="27" t="n">
        <v>1.70922</v>
      </c>
      <c r="BM147" s="28" t="n">
        <v>0.585062</v>
      </c>
      <c r="BN147" s="28" t="n">
        <v>0.58209</v>
      </c>
      <c r="BO147" s="28" t="n"/>
      <c r="BP147" s="25" t="n"/>
      <c r="BQ147" s="27" t="n">
        <v>1.70922</v>
      </c>
      <c r="BR147" s="28" t="n">
        <v>0.585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</row>
    <row r="148" ht="36" customHeight="1">
      <c r="A148" s="24" t="inlineStr">
        <is>
          <t>a1d6630d03e4477e</t>
        </is>
      </c>
      <c r="B148" s="24" t="inlineStr">
        <is>
          <t>2026-08-02T19:28:59.526399Z</t>
        </is>
      </c>
      <c r="C148" s="24" t="inlineStr">
        <is>
          <t>2026-08-02T20:05Z</t>
        </is>
      </c>
      <c r="D148" s="24" t="inlineStr">
        <is>
          <t>401816373</t>
        </is>
      </c>
      <c r="E148" s="24" t="inlineStr">
        <is>
          <t>MLB</t>
        </is>
      </c>
      <c r="F148" s="24" t="inlineStr">
        <is>
          <t>Detroit Tigers</t>
        </is>
      </c>
      <c r="G148" s="24" t="inlineStr">
        <is>
          <t>Athletics</t>
        </is>
      </c>
      <c r="H148" s="24" t="inlineStr">
        <is>
          <t>total</t>
        </is>
      </c>
      <c r="I148" s="24" t="inlineStr">
        <is>
          <t>under</t>
        </is>
      </c>
      <c r="J148" s="25" t="n">
        <v>10.5</v>
      </c>
      <c r="K148" s="24" t="inlineStr">
        <is>
          <t>polymarket_us</t>
        </is>
      </c>
      <c r="L148" s="26" t="n">
        <v>-117</v>
      </c>
      <c r="M148" s="27" t="n">
        <v>1.854701</v>
      </c>
      <c r="N148" s="28" t="n">
        <v>0.539171</v>
      </c>
      <c r="O148" s="28" t="n">
        <v>0.522079</v>
      </c>
      <c r="P148" s="28" t="n">
        <v>0.042131</v>
      </c>
      <c r="Q148" s="28" t="n">
        <v>-0.017092</v>
      </c>
      <c r="R148" s="26" t="n">
        <v>17</v>
      </c>
      <c r="S148" s="29" t="n">
        <v>1</v>
      </c>
      <c r="T148" s="24" t="inlineStr">
        <is>
          <t>measured-edge-totals-v2</t>
        </is>
      </c>
      <c r="U148" s="24" t="inlineStr">
        <is>
          <t>settled</t>
        </is>
      </c>
      <c r="V148" s="24" t="inlineStr">
        <is>
          <t>loss</t>
        </is>
      </c>
      <c r="W148" s="26" t="n">
        <v>11</v>
      </c>
      <c r="X148" s="26" t="n">
        <v>0</v>
      </c>
      <c r="Y148" s="25" t="n">
        <v>10.5</v>
      </c>
      <c r="Z148" s="26" t="n">
        <v>-117</v>
      </c>
      <c r="AA148" s="28" t="n">
        <v>0.54</v>
      </c>
      <c r="AB148" s="28" t="n">
        <v>0.000829</v>
      </c>
      <c r="AC148" s="30" t="n">
        <v>-1</v>
      </c>
      <c r="AD148" s="24" t="inlineStr">
        <is>
          <t>2026-08-03T02:34:14.851515Z</t>
        </is>
      </c>
      <c r="AE148" s="31" t="inlineStr">
        <is>
          <t>Measured Edge Totals: Trend Engine projected 5.88-4.54; raw selected-side p=0.5413, calibrated p=0.5221.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mlb-det</t>
        </is>
      </c>
      <c r="AQ148" s="24" t="inlineStr">
        <is>
          <t>Detroit Tigers</t>
        </is>
      </c>
      <c r="AR148" s="24" t="inlineStr">
        <is>
          <t>Detroit Tigers</t>
        </is>
      </c>
      <c r="AS148" s="24" t="inlineStr">
        <is>
          <t>mlb-ath</t>
        </is>
      </c>
      <c r="AT148" s="24" t="inlineStr">
        <is>
          <t>Athletics</t>
        </is>
      </c>
      <c r="AU148" s="24" t="inlineStr">
        <is>
          <t>Athletics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433578016242b27f9c1c7132cc6b5a2bcc7dd1b0234590c12a944455a88e71bd</t>
        </is>
      </c>
      <c r="BB148" s="24" t="inlineStr">
        <is>
          <t>flat_probability_shrinkage_toward_half</t>
        </is>
      </c>
      <c r="BC148" s="24" t="inlineStr">
        <is>
          <t>measured-edge-totals-v2</t>
        </is>
      </c>
      <c r="BD148" s="24" t="inlineStr">
        <is>
          <t>433578016242b27f9c1c7132cc6b5a2bcc7dd1b0234590c12a944455a88e71bd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2026-08-02T19:28:59.526399Z</t>
        </is>
      </c>
      <c r="BI148" s="24" t="inlineStr">
        <is>
          <t>["same_event","same_team_same_day","same_league_same_day"]</t>
        </is>
      </c>
      <c r="BJ148" s="25" t="n">
        <v>10.5</v>
      </c>
      <c r="BK148" s="26" t="n">
        <v>-117</v>
      </c>
      <c r="BL148" s="27" t="n">
        <v>1.854701</v>
      </c>
      <c r="BM148" s="28" t="n">
        <v>0.539171</v>
      </c>
      <c r="BN148" s="28" t="n">
        <v>0.537313</v>
      </c>
      <c r="BO148" s="28" t="n"/>
      <c r="BP148" s="25" t="n"/>
      <c r="BQ148" s="27" t="n">
        <v>1.854701</v>
      </c>
      <c r="BR148" s="28" t="n">
        <v>0.54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e163ce20f3ce438f</t>
        </is>
      </c>
      <c r="B149" s="24" t="inlineStr">
        <is>
          <t>2026-08-02T19:28:59.526399Z</t>
        </is>
      </c>
      <c r="C149" s="24" t="inlineStr">
        <is>
          <t>2026-08-02T20:10Z</t>
        </is>
      </c>
      <c r="D149" s="24" t="inlineStr">
        <is>
          <t>401816375</t>
        </is>
      </c>
      <c r="E149" s="24" t="inlineStr">
        <is>
          <t>MLB</t>
        </is>
      </c>
      <c r="F149" s="24" t="inlineStr">
        <is>
          <t>Minnesota Twins</t>
        </is>
      </c>
      <c r="G149" s="24" t="inlineStr">
        <is>
          <t>Seattle Mariners</t>
        </is>
      </c>
      <c r="H149" s="24" t="inlineStr">
        <is>
          <t>spread</t>
        </is>
      </c>
      <c r="I149" s="24" t="inlineStr">
        <is>
          <t>away</t>
        </is>
      </c>
      <c r="J149" s="25" t="n">
        <v>1.5</v>
      </c>
      <c r="K149" s="24" t="inlineStr">
        <is>
          <t>polymarket_us</t>
        </is>
      </c>
      <c r="L149" s="26" t="n">
        <v>-174</v>
      </c>
      <c r="M149" s="27" t="n">
        <v>1.574713</v>
      </c>
      <c r="N149" s="28" t="n">
        <v>0.635036</v>
      </c>
      <c r="O149" s="28" t="n">
        <v>0.628678</v>
      </c>
      <c r="P149" s="28" t="n">
        <v>0.042131</v>
      </c>
      <c r="Q149" s="28" t="n">
        <v>-0.006358</v>
      </c>
      <c r="R149" s="26" t="n">
        <v>23</v>
      </c>
      <c r="S149" s="29" t="n">
        <v>1.5</v>
      </c>
      <c r="T149" s="24" t="inlineStr">
        <is>
          <t>measured-edge-margin-v2</t>
        </is>
      </c>
      <c r="U149" s="24" t="inlineStr">
        <is>
          <t>settled</t>
        </is>
      </c>
      <c r="V149" s="24" t="inlineStr">
        <is>
          <t>win</t>
        </is>
      </c>
      <c r="W149" s="26" t="n">
        <v>6</v>
      </c>
      <c r="X149" s="26" t="n">
        <v>7</v>
      </c>
      <c r="Y149" s="25" t="n">
        <v>1.5</v>
      </c>
      <c r="Z149" s="26" t="n">
        <v>-174</v>
      </c>
      <c r="AA149" s="28" t="n">
        <v>0.635</v>
      </c>
      <c r="AB149" s="28" t="n">
        <v>-3.6e-05</v>
      </c>
      <c r="AC149" s="30" t="n">
        <v>0.8621</v>
      </c>
      <c r="AD149" s="24" t="inlineStr">
        <is>
          <t>2026-08-02T23:12:47.970975Z</t>
        </is>
      </c>
      <c r="AE149" s="31" t="inlineStr">
        <is>
          <t>Measured Edge Margin: Trend Engine projected 4.08-3.93; raw selected-side p=0.6960, calibrated p=0.6287.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mlb-min</t>
        </is>
      </c>
      <c r="AQ149" s="24" t="inlineStr">
        <is>
          <t>Minnesota Twins</t>
        </is>
      </c>
      <c r="AR149" s="24" t="inlineStr">
        <is>
          <t>Minnesota Twins</t>
        </is>
      </c>
      <c r="AS149" s="24" t="inlineStr">
        <is>
          <t>mlb-sea</t>
        </is>
      </c>
      <c r="AT149" s="24" t="inlineStr">
        <is>
          <t>Seattle Mariners</t>
        </is>
      </c>
      <c r="AU149" s="24" t="inlineStr">
        <is>
          <t>Seattle Mariners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8360b122264b796b0fb193095cfe4506c7e064e5f3f8c0a659aec41efd08dd25</t>
        </is>
      </c>
      <c r="BB149" s="24" t="inlineStr">
        <is>
          <t>flat_probability_shrinkage_toward_half</t>
        </is>
      </c>
      <c r="BC149" s="24" t="inlineStr">
        <is>
          <t>measured-edge-margin-v2</t>
        </is>
      </c>
      <c r="BD149" s="24" t="inlineStr">
        <is>
          <t>8360b122264b796b0fb193095cfe4506c7e064e5f3f8c0a659aec41efd08dd25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2026-08-02T19:28:59.526399Z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-174</v>
      </c>
      <c r="BL149" s="27" t="n">
        <v>1.574713</v>
      </c>
      <c r="BM149" s="28" t="n">
        <v>0.635036</v>
      </c>
      <c r="BN149" s="28" t="n">
        <v>0.631841</v>
      </c>
      <c r="BO149" s="28" t="n"/>
      <c r="BP149" s="25" t="n"/>
      <c r="BQ149" s="27" t="n">
        <v>1.574713</v>
      </c>
      <c r="BR149" s="28" t="n">
        <v>0.635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</row>
    <row r="150" ht="36" customHeight="1">
      <c r="A150" s="24" t="inlineStr">
        <is>
          <t>a5491aaa9b244458</t>
        </is>
      </c>
      <c r="B150" s="24" t="inlineStr">
        <is>
          <t>2026-08-02T19:28:59.526399Z</t>
        </is>
      </c>
      <c r="C150" s="24" t="inlineStr">
        <is>
          <t>2026-08-02T20:10Z</t>
        </is>
      </c>
      <c r="D150" s="24" t="inlineStr">
        <is>
          <t>401816375</t>
        </is>
      </c>
      <c r="E150" s="24" t="inlineStr">
        <is>
          <t>MLB</t>
        </is>
      </c>
      <c r="F150" s="24" t="inlineStr">
        <is>
          <t>Minnesota Twins</t>
        </is>
      </c>
      <c r="G150" s="24" t="inlineStr">
        <is>
          <t>Seattle Mariners</t>
        </is>
      </c>
      <c r="H150" s="24" t="inlineStr">
        <is>
          <t>total</t>
        </is>
      </c>
      <c r="I150" s="24" t="inlineStr">
        <is>
          <t>over</t>
        </is>
      </c>
      <c r="J150" s="25" t="n">
        <v>6.5</v>
      </c>
      <c r="K150" s="24" t="inlineStr">
        <is>
          <t>polymarket_us</t>
        </is>
      </c>
      <c r="L150" s="26" t="n">
        <v>-127</v>
      </c>
      <c r="M150" s="27" t="n">
        <v>1.787402</v>
      </c>
      <c r="N150" s="28" t="n">
        <v>0.5594710000000001</v>
      </c>
      <c r="O150" s="28" t="n">
        <v>0.554985</v>
      </c>
      <c r="P150" s="28" t="n">
        <v>0.042131</v>
      </c>
      <c r="Q150" s="28" t="n">
        <v>-0.004486</v>
      </c>
      <c r="R150" s="26" t="n">
        <v>24</v>
      </c>
      <c r="S150" s="29" t="n">
        <v>1</v>
      </c>
      <c r="T150" s="24" t="inlineStr">
        <is>
          <t>measured-edge-totals-v2</t>
        </is>
      </c>
      <c r="U150" s="24" t="inlineStr">
        <is>
          <t>settled</t>
        </is>
      </c>
      <c r="V150" s="24" t="inlineStr">
        <is>
          <t>win</t>
        </is>
      </c>
      <c r="W150" s="26" t="n">
        <v>6</v>
      </c>
      <c r="X150" s="26" t="n">
        <v>7</v>
      </c>
      <c r="Y150" s="25" t="n">
        <v>6.5</v>
      </c>
      <c r="Z150" s="26" t="n">
        <v>-127</v>
      </c>
      <c r="AA150" s="28" t="n">
        <v>0.5600000000000001</v>
      </c>
      <c r="AB150" s="28" t="n">
        <v>0.000529</v>
      </c>
      <c r="AC150" s="30" t="n">
        <v>0.7874</v>
      </c>
      <c r="AD150" s="24" t="inlineStr">
        <is>
          <t>2026-08-02T23:12:49.078464Z</t>
        </is>
      </c>
      <c r="AE150" s="31" t="inlineStr">
        <is>
          <t>Measured Edge Totals: Trend Engine projected 4.08-3.93; raw selected-side p=0.6377, calibrated p=0.5550.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mlb-min</t>
        </is>
      </c>
      <c r="AQ150" s="24" t="inlineStr">
        <is>
          <t>Minnesota Twins</t>
        </is>
      </c>
      <c r="AR150" s="24" t="inlineStr">
        <is>
          <t>Minnesota Twins</t>
        </is>
      </c>
      <c r="AS150" s="24" t="inlineStr">
        <is>
          <t>mlb-sea</t>
        </is>
      </c>
      <c r="AT150" s="24" t="inlineStr">
        <is>
          <t>Seattle Mariners</t>
        </is>
      </c>
      <c r="AU150" s="24" t="inlineStr">
        <is>
          <t>Seattle Mariners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433578016242b27f9c1c7132cc6b5a2bcc7dd1b0234590c12a944455a88e71bd</t>
        </is>
      </c>
      <c r="BB150" s="24" t="inlineStr">
        <is>
          <t>flat_probability_shrinkage_toward_half</t>
        </is>
      </c>
      <c r="BC150" s="24" t="inlineStr">
        <is>
          <t>measured-edge-totals-v2</t>
        </is>
      </c>
      <c r="BD150" s="24" t="inlineStr">
        <is>
          <t>433578016242b27f9c1c7132cc6b5a2bcc7dd1b0234590c12a944455a88e71bd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2026-08-02T19:28:59.526399Z</t>
        </is>
      </c>
      <c r="BI150" s="24" t="inlineStr">
        <is>
          <t>["same_event","same_team_same_day","same_league_same_day"]</t>
        </is>
      </c>
      <c r="BJ150" s="25" t="n">
        <v>6.5</v>
      </c>
      <c r="BK150" s="26" t="n">
        <v>-127</v>
      </c>
      <c r="BL150" s="27" t="n">
        <v>1.787402</v>
      </c>
      <c r="BM150" s="28" t="n">
        <v>0.5594710000000001</v>
      </c>
      <c r="BN150" s="28" t="n">
        <v>0.557214</v>
      </c>
      <c r="BO150" s="28" t="n"/>
      <c r="BP150" s="25" t="n"/>
      <c r="BQ150" s="27" t="n">
        <v>1.787402</v>
      </c>
      <c r="BR150" s="28" t="n">
        <v>0.5600000000000001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4e1c56d8d61e407f</t>
        </is>
      </c>
      <c r="B151" s="24" t="inlineStr">
        <is>
          <t>2026-08-02T19:28:59.526399Z</t>
        </is>
      </c>
      <c r="C151" s="24" t="inlineStr">
        <is>
          <t>2026-08-02T20:10Z</t>
        </is>
      </c>
      <c r="D151" s="24" t="inlineStr">
        <is>
          <t>401816376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San Diego Padres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-182</v>
      </c>
      <c r="M151" s="27" t="n">
        <v>1.549451</v>
      </c>
      <c r="N151" s="28" t="n">
        <v>0.64539</v>
      </c>
      <c r="O151" s="28" t="n">
        <v>0.60355</v>
      </c>
      <c r="P151" s="28" t="n">
        <v>0.042131</v>
      </c>
      <c r="Q151" s="28" t="n">
        <v>-0.04184</v>
      </c>
      <c r="R151" s="26" t="n">
        <v>6</v>
      </c>
      <c r="S151" s="29" t="n">
        <v>1.5</v>
      </c>
      <c r="T151" s="24" t="inlineStr">
        <is>
          <t>measured-edge-margin-v2</t>
        </is>
      </c>
      <c r="U151" s="24" t="inlineStr">
        <is>
          <t>settled</t>
        </is>
      </c>
      <c r="V151" s="24" t="inlineStr">
        <is>
          <t>win</t>
        </is>
      </c>
      <c r="W151" s="26" t="n">
        <v>4</v>
      </c>
      <c r="X151" s="26" t="n">
        <v>5</v>
      </c>
      <c r="Y151" s="25" t="n">
        <v>1.5</v>
      </c>
      <c r="Z151" s="26" t="n">
        <v>-182</v>
      </c>
      <c r="AA151" s="28" t="n">
        <v>0.645</v>
      </c>
      <c r="AB151" s="28" t="n">
        <v>-0.00039</v>
      </c>
      <c r="AC151" s="30" t="n">
        <v>0.8242</v>
      </c>
      <c r="AD151" s="24" t="inlineStr">
        <is>
          <t>2026-08-03T02:34:15.985871Z</t>
        </is>
      </c>
      <c r="AE151" s="31" t="inlineStr">
        <is>
          <t>Measured Edge Margin: Trend Engine projected 4.68-4.77; raw selected-side p=0.6577, calibrated p=0.6035.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mlb-sd</t>
        </is>
      </c>
      <c r="AT151" s="24" t="inlineStr">
        <is>
          <t>San Diego Padres</t>
        </is>
      </c>
      <c r="AU151" s="24" t="inlineStr">
        <is>
          <t>San Diego Padres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8360b122264b796b0fb193095cfe4506c7e064e5f3f8c0a659aec41efd08dd25</t>
        </is>
      </c>
      <c r="BB151" s="24" t="inlineStr">
        <is>
          <t>flat_probability_shrinkage_toward_half</t>
        </is>
      </c>
      <c r="BC151" s="24" t="inlineStr">
        <is>
          <t>measured-edge-margin-v2</t>
        </is>
      </c>
      <c r="BD151" s="24" t="inlineStr">
        <is>
          <t>8360b122264b796b0fb193095cfe4506c7e064e5f3f8c0a659aec41efd08dd25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2026-08-02T19:28:59.526399Z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-182</v>
      </c>
      <c r="BL151" s="27" t="n">
        <v>1.549451</v>
      </c>
      <c r="BM151" s="28" t="n">
        <v>0.64539</v>
      </c>
      <c r="BN151" s="28" t="n">
        <v>0.641791</v>
      </c>
      <c r="BO151" s="28" t="n"/>
      <c r="BP151" s="25" t="n"/>
      <c r="BQ151" s="27" t="n">
        <v>1.549451</v>
      </c>
      <c r="BR151" s="28" t="n">
        <v>0.645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</row>
    <row r="152" ht="36" customHeight="1">
      <c r="A152" s="24" t="inlineStr">
        <is>
          <t>9e0052b003c34b20</t>
        </is>
      </c>
      <c r="B152" s="24" t="inlineStr">
        <is>
          <t>2026-08-02T19:28:59.526399Z</t>
        </is>
      </c>
      <c r="C152" s="24" t="inlineStr">
        <is>
          <t>2026-08-02T20:10Z</t>
        </is>
      </c>
      <c r="D152" s="24" t="inlineStr">
        <is>
          <t>401816376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San Diego Padres</t>
        </is>
      </c>
      <c r="H152" s="24" t="inlineStr">
        <is>
          <t>total</t>
        </is>
      </c>
      <c r="I152" s="24" t="inlineStr">
        <is>
          <t>over</t>
        </is>
      </c>
      <c r="J152" s="25" t="n">
        <v>7.5</v>
      </c>
      <c r="K152" s="24" t="inlineStr">
        <is>
          <t>polymarket_us</t>
        </is>
      </c>
      <c r="L152" s="26" t="n">
        <v>-120</v>
      </c>
      <c r="M152" s="27" t="n">
        <v>1.833333</v>
      </c>
      <c r="N152" s="28" t="n">
        <v>0.545455</v>
      </c>
      <c r="O152" s="28" t="n">
        <v>0.553687</v>
      </c>
      <c r="P152" s="28" t="n">
        <v>0.042131</v>
      </c>
      <c r="Q152" s="28" t="n">
        <v>0.008232</v>
      </c>
      <c r="R152" s="26" t="n">
        <v>30</v>
      </c>
      <c r="S152" s="29" t="n">
        <v>1</v>
      </c>
      <c r="T152" s="24" t="inlineStr">
        <is>
          <t>measured-edge-totals-v2</t>
        </is>
      </c>
      <c r="U152" s="24" t="inlineStr">
        <is>
          <t>settled</t>
        </is>
      </c>
      <c r="V152" s="24" t="inlineStr">
        <is>
          <t>win</t>
        </is>
      </c>
      <c r="W152" s="26" t="n">
        <v>4</v>
      </c>
      <c r="X152" s="26" t="n">
        <v>5</v>
      </c>
      <c r="Y152" s="25" t="n">
        <v>7.5</v>
      </c>
      <c r="Z152" s="26" t="n">
        <v>-120</v>
      </c>
      <c r="AA152" s="28" t="n">
        <v>0.545</v>
      </c>
      <c r="AB152" s="28" t="n">
        <v>-0.000455</v>
      </c>
      <c r="AC152" s="30" t="n">
        <v>0.8333</v>
      </c>
      <c r="AD152" s="24" t="inlineStr">
        <is>
          <t>2026-08-03T02:34:17.084403Z</t>
        </is>
      </c>
      <c r="AE152" s="31" t="inlineStr">
        <is>
          <t>Measured Edge Totals: Trend Engine projected 4.68-4.77; raw selected-side p=0.6339, calibrated p=0.5537.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mlb-sd</t>
        </is>
      </c>
      <c r="AT152" s="24" t="inlineStr">
        <is>
          <t>San Diego Padres</t>
        </is>
      </c>
      <c r="AU152" s="24" t="inlineStr">
        <is>
          <t>San Diego Padres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433578016242b27f9c1c7132cc6b5a2bcc7dd1b0234590c12a944455a88e71bd</t>
        </is>
      </c>
      <c r="BB152" s="24" t="inlineStr">
        <is>
          <t>flat_probability_shrinkage_toward_half</t>
        </is>
      </c>
      <c r="BC152" s="24" t="inlineStr">
        <is>
          <t>measured-edge-totals-v2</t>
        </is>
      </c>
      <c r="BD152" s="24" t="inlineStr">
        <is>
          <t>433578016242b27f9c1c7132cc6b5a2bcc7dd1b0234590c12a944455a88e71bd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2026-08-02T19:28:59.526399Z</t>
        </is>
      </c>
      <c r="BI152" s="24" t="inlineStr">
        <is>
          <t>["same_event","same_team_same_day","same_league_same_day"]</t>
        </is>
      </c>
      <c r="BJ152" s="25" t="n">
        <v>7.5</v>
      </c>
      <c r="BK152" s="26" t="n">
        <v>-120</v>
      </c>
      <c r="BL152" s="27" t="n">
        <v>1.833333</v>
      </c>
      <c r="BM152" s="28" t="n">
        <v>0.545455</v>
      </c>
      <c r="BN152" s="28" t="n">
        <v>0.542289</v>
      </c>
      <c r="BO152" s="28" t="n"/>
      <c r="BP152" s="25" t="n"/>
      <c r="BQ152" s="27" t="n">
        <v>1.833333</v>
      </c>
      <c r="BR152" s="28" t="n">
        <v>0.545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</row>
    <row r="153" ht="36" customHeight="1">
      <c r="A153" s="24" t="inlineStr">
        <is>
          <t>d533b1a254e941d5</t>
        </is>
      </c>
      <c r="B153" s="24" t="inlineStr">
        <is>
          <t>2026-08-02T23:14:34.350495Z</t>
        </is>
      </c>
      <c r="C153" s="24" t="inlineStr">
        <is>
          <t>2026-08-02T19:20:00-0400</t>
        </is>
      </c>
      <c r="D153" s="24" t="inlineStr">
        <is>
          <t>401816372</t>
        </is>
      </c>
      <c r="E153" s="24" t="inlineStr">
        <is>
          <t>MLB</t>
        </is>
      </c>
      <c r="F153" s="24" t="inlineStr">
        <is>
          <t>Boston Red Sox</t>
        </is>
      </c>
      <c r="G153" s="24" t="inlineStr">
        <is>
          <t>Los Angeles Dodgers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-167</v>
      </c>
      <c r="M153" s="27" t="n">
        <v>1.598802</v>
      </c>
      <c r="N153" s="28" t="n">
        <v>0.625468</v>
      </c>
      <c r="O153" s="28" t="n">
        <v>0.559308</v>
      </c>
      <c r="P153" s="28" t="n"/>
      <c r="Q153" s="28" t="n">
        <v>-0.06616</v>
      </c>
      <c r="R153" s="26" t="n">
        <v>0</v>
      </c>
      <c r="S153" s="29" t="n">
        <v>1</v>
      </c>
      <c r="T153" s="24" t="inlineStr">
        <is>
          <t>mlb-elo-trend-lr-v7</t>
        </is>
      </c>
      <c r="U153" s="24" t="inlineStr">
        <is>
          <t>settled</t>
        </is>
      </c>
      <c r="V153" s="24" t="inlineStr">
        <is>
          <t>loss</t>
        </is>
      </c>
      <c r="W153" s="26" t="n">
        <v>8</v>
      </c>
      <c r="X153" s="26" t="n">
        <v>4</v>
      </c>
      <c r="Y153" s="25" t="n"/>
      <c r="Z153" s="26" t="n">
        <v>-167</v>
      </c>
      <c r="AA153" s="28" t="n">
        <v>0.625</v>
      </c>
      <c r="AB153" s="28" t="n">
        <v>-0.000468</v>
      </c>
      <c r="AC153" s="30" t="n">
        <v>-1</v>
      </c>
      <c r="AD153" s="24" t="inlineStr">
        <is>
          <t>2026-08-03T02:34:28.136049Z</t>
        </is>
      </c>
      <c r="AE153" s="31" t="inlineStr">
        <is>
          <t>Learned LR call at threshold 0.6242; executable ask 0.6250 (aec-mlb-bos-lad-2026-08-02); model edge vs ask -0.0657.</t>
        </is>
      </c>
      <c r="AF153" s="31" t="inlineStr">
        <is>
          <t>Learned model; shadow-qualified via operator override.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mlb-bos</t>
        </is>
      </c>
      <c r="AQ153" s="24" t="inlineStr">
        <is>
          <t>Boston Red Sox</t>
        </is>
      </c>
      <c r="AR153" s="24" t="inlineStr">
        <is>
          <t>Boston Red Sox</t>
        </is>
      </c>
      <c r="AS153" s="24" t="inlineStr">
        <is>
          <t>mlb-lad</t>
        </is>
      </c>
      <c r="AT153" s="24" t="inlineStr">
        <is>
          <t>Los Angeles Dodgers</t>
        </is>
      </c>
      <c r="AU153" s="24" t="inlineStr">
        <is>
          <t>Los Angeles Dodgers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464eef695bfbbdaa819ec6f5e4c5bd1068ed20b92915fb2677220ae91e20d8b6</t>
        </is>
      </c>
      <c r="BB153" s="24" t="inlineStr">
        <is>
          <t>learned_lr</t>
        </is>
      </c>
      <c r="BC153" s="24" t="inlineStr">
        <is>
          <t>mlb-elo-trend-lr-v7</t>
        </is>
      </c>
      <c r="BD153" s="24" t="inlineStr">
        <is>
          <t>464eef695bfbbdaa819ec6f5e4c5bd1068ed20b92915fb2677220ae91e20d8b6</t>
        </is>
      </c>
      <c r="BE153" s="24" t="inlineStr">
        <is>
          <t>26820627b20594e9</t>
        </is>
      </c>
      <c r="BF153" s="24" t="inlineStr">
        <is>
          <t>1</t>
        </is>
      </c>
      <c r="BG153" s="24" t="inlineStr">
        <is>
          <t>mlb-elo-trend-lr-v7</t>
        </is>
      </c>
      <c r="BH153" s="24" t="inlineStr">
        <is>
          <t>2026-08-02T23:13:56.204079Z</t>
        </is>
      </c>
      <c r="BI153" s="24" t="inlineStr">
        <is>
          <t>["same_event","same_team_same_day","same_league_same_day"]</t>
        </is>
      </c>
      <c r="BJ153" s="25" t="n"/>
      <c r="BK153" s="26" t="n">
        <v>-167</v>
      </c>
      <c r="BL153" s="27" t="n">
        <v>1.598802</v>
      </c>
      <c r="BM153" s="28" t="n">
        <v>0.625468</v>
      </c>
      <c r="BN153" s="28" t="n">
        <v>0.621891</v>
      </c>
      <c r="BO153" s="28" t="n"/>
      <c r="BP153" s="25" t="n"/>
      <c r="BQ153" s="27" t="n">
        <v>1.598802</v>
      </c>
      <c r="BR153" s="28" t="n">
        <v>0.625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inlineStr">
        <is>
          <t>0.5465616607</t>
        </is>
      </c>
      <c r="CD153" s="24" t="inlineStr">
        <is>
          <t>-0.812713</t>
        </is>
      </c>
      <c r="CE153" s="24" t="inlineStr">
        <is>
          <t>1.026</t>
        </is>
      </c>
      <c r="CF153" s="24" t="inlineStr">
        <is>
          <t>1.0186</t>
        </is>
      </c>
      <c r="CG153" s="24" t="inlineStr">
        <is>
          <t>2.6</t>
        </is>
      </c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inlineStr">
        <is>
          <t>0.559308</t>
        </is>
      </c>
      <c r="CS153" s="24" t="inlineStr">
        <is>
          <t>False</t>
        </is>
      </c>
    </row>
    <row r="154" ht="36" customHeight="1">
      <c r="A154" s="24" t="inlineStr">
        <is>
          <t>333c1308d7d242f9</t>
        </is>
      </c>
      <c r="B154" s="24" t="inlineStr">
        <is>
          <t>2026-08-02T23:14:42.456082Z</t>
        </is>
      </c>
      <c r="C154" s="24" t="inlineStr">
        <is>
          <t>2026-08-02T23:20Z</t>
        </is>
      </c>
      <c r="D154" s="24" t="inlineStr">
        <is>
          <t>401816372</t>
        </is>
      </c>
      <c r="E154" s="24" t="inlineStr">
        <is>
          <t>MLB</t>
        </is>
      </c>
      <c r="F154" s="24" t="inlineStr">
        <is>
          <t>Boston Red Sox</t>
        </is>
      </c>
      <c r="G154" s="24" t="inlineStr">
        <is>
          <t>Los Angeles Dodgers</t>
        </is>
      </c>
      <c r="H154" s="24" t="inlineStr">
        <is>
          <t>spread</t>
        </is>
      </c>
      <c r="I154" s="24" t="inlineStr">
        <is>
          <t>away</t>
        </is>
      </c>
      <c r="J154" s="25" t="n">
        <v>1.5</v>
      </c>
      <c r="K154" s="24" t="inlineStr">
        <is>
          <t>polymarket_us</t>
        </is>
      </c>
      <c r="L154" s="26" t="n">
        <v>-130</v>
      </c>
      <c r="M154" s="27" t="n">
        <v>1.769231</v>
      </c>
      <c r="N154" s="28" t="n">
        <v>0.565217</v>
      </c>
      <c r="O154" s="28" t="n">
        <v>0.660959</v>
      </c>
      <c r="P154" s="28" t="n">
        <v>0.042131</v>
      </c>
      <c r="Q154" s="28" t="n">
        <v>0.09574199999999999</v>
      </c>
      <c r="R154" s="26" t="n">
        <v>74</v>
      </c>
      <c r="S154" s="29" t="n">
        <v>1.75</v>
      </c>
      <c r="T154" s="24" t="inlineStr">
        <is>
          <t>measured-edge-margin-v2</t>
        </is>
      </c>
      <c r="U154" s="24" t="inlineStr">
        <is>
          <t>settled</t>
        </is>
      </c>
      <c r="V154" s="24" t="inlineStr">
        <is>
          <t>win</t>
        </is>
      </c>
      <c r="W154" s="26" t="n">
        <v>8</v>
      </c>
      <c r="X154" s="26" t="n">
        <v>4</v>
      </c>
      <c r="Y154" s="25" t="n">
        <v>1.5</v>
      </c>
      <c r="Z154" s="26" t="n">
        <v>-130</v>
      </c>
      <c r="AA154" s="28" t="n">
        <v>0.5649999999999999</v>
      </c>
      <c r="AB154" s="28" t="n">
        <v>-0.000217</v>
      </c>
      <c r="AC154" s="30" t="n">
        <v>1.3462</v>
      </c>
      <c r="AD154" s="24" t="inlineStr">
        <is>
          <t>2026-08-03T02:34:29.280935Z</t>
        </is>
      </c>
      <c r="AE154" s="31" t="inlineStr">
        <is>
          <t>Measured Edge Margin: Trend Engine projected 4.69-3.91; raw selected-side p=0.7452, calibrated p=0.6610.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mlb-bos</t>
        </is>
      </c>
      <c r="AQ154" s="24" t="inlineStr">
        <is>
          <t>Boston Red Sox</t>
        </is>
      </c>
      <c r="AR154" s="24" t="inlineStr">
        <is>
          <t>Boston Red Sox</t>
        </is>
      </c>
      <c r="AS154" s="24" t="inlineStr">
        <is>
          <t>mlb-lad</t>
        </is>
      </c>
      <c r="AT154" s="24" t="inlineStr">
        <is>
          <t>Los Angeles Dodgers</t>
        </is>
      </c>
      <c r="AU154" s="24" t="inlineStr">
        <is>
          <t>Los Angeles Dodgers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8360b122264b796b0fb193095cfe4506c7e064e5f3f8c0a659aec41efd08dd25</t>
        </is>
      </c>
      <c r="BB154" s="24" t="inlineStr">
        <is>
          <t>flat_probability_shrinkage_toward_half</t>
        </is>
      </c>
      <c r="BC154" s="24" t="inlineStr">
        <is>
          <t>measured-edge-margin-v2</t>
        </is>
      </c>
      <c r="BD154" s="24" t="inlineStr">
        <is>
          <t>8360b122264b796b0fb193095cfe4506c7e064e5f3f8c0a659aec41efd08dd25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2026-08-02T23:14:42.456082Z</t>
        </is>
      </c>
      <c r="BI154" s="24" t="inlineStr">
        <is>
          <t>["same_event","same_team_same_day","same_league_same_day"]</t>
        </is>
      </c>
      <c r="BJ154" s="25" t="n">
        <v>1.5</v>
      </c>
      <c r="BK154" s="26" t="n">
        <v>-130</v>
      </c>
      <c r="BL154" s="27" t="n">
        <v>1.769231</v>
      </c>
      <c r="BM154" s="28" t="n">
        <v>0.565217</v>
      </c>
      <c r="BN154" s="28" t="n">
        <v>0.562189</v>
      </c>
      <c r="BO154" s="28" t="n"/>
      <c r="BP154" s="25" t="n"/>
      <c r="BQ154" s="27" t="n">
        <v>1.769231</v>
      </c>
      <c r="BR154" s="28" t="n">
        <v>0.5649999999999999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</row>
    <row r="155" ht="36" customHeight="1">
      <c r="A155" s="24" t="inlineStr">
        <is>
          <t>37962c1231a749de</t>
        </is>
      </c>
      <c r="B155" s="24" t="inlineStr">
        <is>
          <t>2026-08-02T23:14:42.456082Z</t>
        </is>
      </c>
      <c r="C155" s="24" t="inlineStr">
        <is>
          <t>2026-08-02T23:20Z</t>
        </is>
      </c>
      <c r="D155" s="24" t="inlineStr">
        <is>
          <t>401816372</t>
        </is>
      </c>
      <c r="E155" s="24" t="inlineStr">
        <is>
          <t>MLB</t>
        </is>
      </c>
      <c r="F155" s="24" t="inlineStr">
        <is>
          <t>Boston Red Sox</t>
        </is>
      </c>
      <c r="G155" s="24" t="inlineStr">
        <is>
          <t>Los Angeles Dodgers</t>
        </is>
      </c>
      <c r="H155" s="24" t="inlineStr">
        <is>
          <t>total</t>
        </is>
      </c>
      <c r="I155" s="24" t="inlineStr">
        <is>
          <t>under</t>
        </is>
      </c>
      <c r="J155" s="25" t="n">
        <v>8.5</v>
      </c>
      <c r="K155" s="24" t="inlineStr">
        <is>
          <t>polymarket_us</t>
        </is>
      </c>
      <c r="L155" s="26" t="n">
        <v>-102</v>
      </c>
      <c r="M155" s="27" t="n">
        <v>1.980392</v>
      </c>
      <c r="N155" s="28" t="n">
        <v>0.50495</v>
      </c>
      <c r="O155" s="28" t="n">
        <v>0.516783</v>
      </c>
      <c r="P155" s="28" t="n">
        <v>0.042131</v>
      </c>
      <c r="Q155" s="28" t="n">
        <v>0.011833</v>
      </c>
      <c r="R155" s="26" t="n">
        <v>32</v>
      </c>
      <c r="S155" s="29" t="n">
        <v>1</v>
      </c>
      <c r="T155" s="24" t="inlineStr">
        <is>
          <t>measured-edge-totals-v2</t>
        </is>
      </c>
      <c r="U155" s="24" t="inlineStr">
        <is>
          <t>settled</t>
        </is>
      </c>
      <c r="V155" s="24" t="inlineStr">
        <is>
          <t>loss</t>
        </is>
      </c>
      <c r="W155" s="26" t="n">
        <v>8</v>
      </c>
      <c r="X155" s="26" t="n">
        <v>4</v>
      </c>
      <c r="Y155" s="25" t="n">
        <v>8.5</v>
      </c>
      <c r="Z155" s="26" t="n">
        <v>-102</v>
      </c>
      <c r="AA155" s="28" t="n">
        <v>0.505</v>
      </c>
      <c r="AB155" s="28" t="n">
        <v>5e-05</v>
      </c>
      <c r="AC155" s="30" t="n">
        <v>-1</v>
      </c>
      <c r="AD155" s="24" t="inlineStr">
        <is>
          <t>2026-08-03T02:34:30.384400Z</t>
        </is>
      </c>
      <c r="AE155" s="31" t="inlineStr">
        <is>
          <t>Measured Edge Totals: Trend Engine projected 4.69-3.91; raw selected-side p=0.5259, calibrated p=0.5168.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mlb-bos</t>
        </is>
      </c>
      <c r="AQ155" s="24" t="inlineStr">
        <is>
          <t>Boston Red Sox</t>
        </is>
      </c>
      <c r="AR155" s="24" t="inlineStr">
        <is>
          <t>Boston Red Sox</t>
        </is>
      </c>
      <c r="AS155" s="24" t="inlineStr">
        <is>
          <t>mlb-lad</t>
        </is>
      </c>
      <c r="AT155" s="24" t="inlineStr">
        <is>
          <t>Los Angeles Dodgers</t>
        </is>
      </c>
      <c r="AU155" s="24" t="inlineStr">
        <is>
          <t>Los Angeles Dodgers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433578016242b27f9c1c7132cc6b5a2bcc7dd1b0234590c12a944455a88e71bd</t>
        </is>
      </c>
      <c r="BB155" s="24" t="inlineStr">
        <is>
          <t>flat_probability_shrinkage_toward_half</t>
        </is>
      </c>
      <c r="BC155" s="24" t="inlineStr">
        <is>
          <t>measured-edge-totals-v2</t>
        </is>
      </c>
      <c r="BD155" s="24" t="inlineStr">
        <is>
          <t>433578016242b27f9c1c7132cc6b5a2bcc7dd1b0234590c12a944455a88e71bd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2026-08-02T23:14:42.456082Z</t>
        </is>
      </c>
      <c r="BI155" s="24" t="inlineStr">
        <is>
          <t>["same_event","same_team_same_day","same_league_same_day"]</t>
        </is>
      </c>
      <c r="BJ155" s="25" t="n">
        <v>8.5</v>
      </c>
      <c r="BK155" s="26" t="n">
        <v>-102</v>
      </c>
      <c r="BL155" s="27" t="n">
        <v>1.980392</v>
      </c>
      <c r="BM155" s="28" t="n">
        <v>0.50495</v>
      </c>
      <c r="BN155" s="28" t="n">
        <v>0.502488</v>
      </c>
      <c r="BO155" s="28" t="n"/>
      <c r="BP155" s="25" t="n"/>
      <c r="BQ155" s="27" t="n">
        <v>1.980392</v>
      </c>
      <c r="BR155" s="28" t="n">
        <v>0.505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c559d43152394936</t>
        </is>
      </c>
      <c r="B156" s="24" t="inlineStr">
        <is>
          <t>2026-08-03T19:53:17.543566Z</t>
        </is>
      </c>
      <c r="C156" s="24" t="inlineStr">
        <is>
          <t>2026-08-03T18:40:00-0400</t>
        </is>
      </c>
      <c r="D156" s="24" t="inlineStr">
        <is>
          <t>401816378</t>
        </is>
      </c>
      <c r="E156" s="24" t="inlineStr">
        <is>
          <t>MLB</t>
        </is>
      </c>
      <c r="F156" s="24" t="inlineStr">
        <is>
          <t>Washington Nationals</t>
        </is>
      </c>
      <c r="G156" s="24" t="inlineStr">
        <is>
          <t>Philadelphia Phillies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-144</v>
      </c>
      <c r="M156" s="27" t="n">
        <v>1.694444</v>
      </c>
      <c r="N156" s="28" t="n">
        <v>0.590164</v>
      </c>
      <c r="O156" s="28" t="n">
        <v>0.580684</v>
      </c>
      <c r="P156" s="28" t="n"/>
      <c r="Q156" s="28" t="n">
        <v>-0.009480000000000001</v>
      </c>
      <c r="R156" s="26" t="n">
        <v>17</v>
      </c>
      <c r="S156" s="29" t="n">
        <v>0</v>
      </c>
      <c r="T156" s="24" t="inlineStr">
        <is>
          <t>mlb-elo-trend-lr-v7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6</v>
      </c>
      <c r="Y156" s="25" t="n"/>
      <c r="Z156" s="26" t="n">
        <v>-144</v>
      </c>
      <c r="AA156" s="28" t="n">
        <v>0.59</v>
      </c>
      <c r="AB156" s="28" t="n">
        <v>-0.000164</v>
      </c>
      <c r="AC156" s="30" t="n">
        <v>0</v>
      </c>
      <c r="AD156" s="24" t="inlineStr">
        <is>
          <t>2026-08-04T01:58:30.299664Z</t>
        </is>
      </c>
      <c r="AE156" s="31" t="inlineStr">
        <is>
          <t>Learned LR call at threshold 0.6242; executable ask 0.5900 (aec-mlb-wsh-phi-2026-08-03); model edge vs ask -0.0093.</t>
        </is>
      </c>
      <c r="AF156" s="31" t="inlineStr">
        <is>
          <t>Learned model; shadow-qualified via operator override.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NO_CALL_BELOW_LEARNED_CONFIDENCE</t>
        </is>
      </c>
      <c r="AP156" s="24" t="inlineStr">
        <is>
          <t>mlb-wsh</t>
        </is>
      </c>
      <c r="AQ156" s="24" t="inlineStr">
        <is>
          <t>Washington Nationals</t>
        </is>
      </c>
      <c r="AR156" s="24" t="inlineStr">
        <is>
          <t>Washington Nationals</t>
        </is>
      </c>
      <c r="AS156" s="24" t="inlineStr">
        <is>
          <t>mlb-phi</t>
        </is>
      </c>
      <c r="AT156" s="24" t="inlineStr">
        <is>
          <t>Philadelphia Phillies</t>
        </is>
      </c>
      <c r="AU156" s="24" t="inlineStr">
        <is>
          <t>Philadelphia Phillies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464eef695bfbbdaa819ec6f5e4c5bd1068ed20b92915fb2677220ae91e20d8b6</t>
        </is>
      </c>
      <c r="BB156" s="24" t="inlineStr">
        <is>
          <t>learned_lr</t>
        </is>
      </c>
      <c r="BC156" s="24" t="inlineStr">
        <is>
          <t>mlb-elo-trend-lr-v7</t>
        </is>
      </c>
      <c r="BD156" s="24" t="inlineStr">
        <is>
          <t>464eef695bfbbdaa819ec6f5e4c5bd1068ed20b92915fb2677220ae91e20d8b6</t>
        </is>
      </c>
      <c r="BE156" s="24" t="inlineStr">
        <is>
          <t>baad173905698358</t>
        </is>
      </c>
      <c r="BF156" s="24" t="inlineStr">
        <is>
          <t>1</t>
        </is>
      </c>
      <c r="BG156" s="24" t="inlineStr">
        <is>
          <t>mlb-elo-trend-lr-v7</t>
        </is>
      </c>
      <c r="BH156" s="24" t="inlineStr">
        <is>
          <t>2026-08-03T19:52:28.680032Z</t>
        </is>
      </c>
      <c r="BI156" s="24" t="inlineStr">
        <is>
          <t>["same_event","same_team_same_day","same_league_same_day"]</t>
        </is>
      </c>
      <c r="BJ156" s="25" t="n"/>
      <c r="BK156" s="26" t="n">
        <v>-144</v>
      </c>
      <c r="BL156" s="27" t="n">
        <v>1.694444</v>
      </c>
      <c r="BM156" s="28" t="n">
        <v>0.590164</v>
      </c>
      <c r="BN156" s="28" t="n">
        <v>0.5870649999999999</v>
      </c>
      <c r="BO156" s="28" t="n"/>
      <c r="BP156" s="25" t="n"/>
      <c r="BQ156" s="27" t="n">
        <v>1.694444</v>
      </c>
      <c r="BR156" s="28" t="n">
        <v>0.59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inlineStr">
        <is>
          <t>0.6336233127</t>
        </is>
      </c>
      <c r="CD156" s="24" t="inlineStr">
        <is>
          <t>1.918934</t>
        </is>
      </c>
      <c r="CE156" s="24" t="inlineStr">
        <is>
          <t>1.018</t>
        </is>
      </c>
      <c r="CF156" s="24" t="inlineStr">
        <is>
          <t>1.0102</t>
        </is>
      </c>
      <c r="CG156" s="24" t="inlineStr">
        <is>
          <t>-2.6</t>
        </is>
      </c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inlineStr">
        <is>
          <t>0.580684</t>
        </is>
      </c>
      <c r="CS156" s="24" t="inlineStr">
        <is>
          <t>False</t>
        </is>
      </c>
    </row>
    <row r="157" ht="36" customHeight="1">
      <c r="A157" s="24" t="inlineStr">
        <is>
          <t>418c833428434fc8</t>
        </is>
      </c>
      <c r="B157" s="24" t="inlineStr">
        <is>
          <t>2026-08-03T19:53:28.238725Z</t>
        </is>
      </c>
      <c r="C157" s="24" t="inlineStr">
        <is>
          <t>2026-08-03T22:40Z</t>
        </is>
      </c>
      <c r="D157" s="24" t="inlineStr">
        <is>
          <t>401816378</t>
        </is>
      </c>
      <c r="E157" s="24" t="inlineStr">
        <is>
          <t>MLB</t>
        </is>
      </c>
      <c r="F157" s="24" t="inlineStr">
        <is>
          <t>Washington Nationals</t>
        </is>
      </c>
      <c r="G157" s="24" t="inlineStr">
        <is>
          <t>Philadelphia Phillies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-147</v>
      </c>
      <c r="M157" s="27" t="n">
        <v>1.680272</v>
      </c>
      <c r="N157" s="28" t="n">
        <v>0.5951419999999999</v>
      </c>
      <c r="O157" s="28" t="n">
        <v>0.590231</v>
      </c>
      <c r="P157" s="28" t="n">
        <v>0.042131</v>
      </c>
      <c r="Q157" s="28" t="n">
        <v>-0.004911</v>
      </c>
      <c r="R157" s="26" t="n">
        <v>24</v>
      </c>
      <c r="S157" s="29" t="n">
        <v>1.25</v>
      </c>
      <c r="T157" s="24" t="inlineStr">
        <is>
          <t>measured-edge-margin-v2</t>
        </is>
      </c>
      <c r="U157" s="24" t="inlineStr">
        <is>
          <t>settled</t>
        </is>
      </c>
      <c r="V157" s="24" t="inlineStr">
        <is>
          <t>loss</t>
        </is>
      </c>
      <c r="W157" s="26" t="n">
        <v>3</v>
      </c>
      <c r="X157" s="26" t="n">
        <v>6</v>
      </c>
      <c r="Y157" s="25" t="n">
        <v>1.5</v>
      </c>
      <c r="Z157" s="26" t="n">
        <v>-147</v>
      </c>
      <c r="AA157" s="28" t="n">
        <v>0.595</v>
      </c>
      <c r="AB157" s="28" t="n">
        <v>-0.000142</v>
      </c>
      <c r="AC157" s="30" t="n">
        <v>-1.25</v>
      </c>
      <c r="AD157" s="24" t="inlineStr">
        <is>
          <t>2026-08-04T01:58:30.986228Z</t>
        </is>
      </c>
      <c r="AE157" s="31" t="inlineStr">
        <is>
          <t>Measured Edge Margin: Trend Engine projected 4.77-5.05; raw selected-side p=0.6374, calibrated p=0.5902.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mlb-wsh</t>
        </is>
      </c>
      <c r="AQ157" s="24" t="inlineStr">
        <is>
          <t>Washington Nationals</t>
        </is>
      </c>
      <c r="AR157" s="24" t="inlineStr">
        <is>
          <t>Washington Nationals</t>
        </is>
      </c>
      <c r="AS157" s="24" t="inlineStr">
        <is>
          <t>mlb-phi</t>
        </is>
      </c>
      <c r="AT157" s="24" t="inlineStr">
        <is>
          <t>Philadelphia Phillies</t>
        </is>
      </c>
      <c r="AU157" s="24" t="inlineStr">
        <is>
          <t>Philadelphia Phillies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8360b122264b796b0fb193095cfe4506c7e064e5f3f8c0a659aec41efd08dd25</t>
        </is>
      </c>
      <c r="BB157" s="24" t="inlineStr">
        <is>
          <t>flat_probability_shrinkage_toward_half</t>
        </is>
      </c>
      <c r="BC157" s="24" t="inlineStr">
        <is>
          <t>measured-edge-margin-v2</t>
        </is>
      </c>
      <c r="BD157" s="24" t="inlineStr">
        <is>
          <t>8360b122264b796b0fb193095cfe4506c7e064e5f3f8c0a659aec41efd08dd25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2026-08-03T19:53:28.238725Z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-147</v>
      </c>
      <c r="BL157" s="27" t="n">
        <v>1.680272</v>
      </c>
      <c r="BM157" s="28" t="n">
        <v>0.5951419999999999</v>
      </c>
      <c r="BN157" s="28" t="n">
        <v>0.59204</v>
      </c>
      <c r="BO157" s="28" t="n"/>
      <c r="BP157" s="25" t="n"/>
      <c r="BQ157" s="27" t="n">
        <v>1.680272</v>
      </c>
      <c r="BR157" s="28" t="n">
        <v>0.595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ad7dc638e1fd4f3e</t>
        </is>
      </c>
      <c r="B158" s="24" t="inlineStr">
        <is>
          <t>2026-08-03T19:53:28.238725Z</t>
        </is>
      </c>
      <c r="C158" s="24" t="inlineStr">
        <is>
          <t>2026-08-03T22:40Z</t>
        </is>
      </c>
      <c r="D158" s="24" t="inlineStr">
        <is>
          <t>401816378</t>
        </is>
      </c>
      <c r="E158" s="24" t="inlineStr">
        <is>
          <t>MLB</t>
        </is>
      </c>
      <c r="F158" s="24" t="inlineStr">
        <is>
          <t>Washington Nationals</t>
        </is>
      </c>
      <c r="G158" s="24" t="inlineStr">
        <is>
          <t>Philadelphia Phillies</t>
        </is>
      </c>
      <c r="H158" s="24" t="inlineStr">
        <is>
          <t>total</t>
        </is>
      </c>
      <c r="I158" s="24" t="inlineStr">
        <is>
          <t>under</t>
        </is>
      </c>
      <c r="J158" s="25" t="n">
        <v>9.5</v>
      </c>
      <c r="K158" s="24" t="inlineStr">
        <is>
          <t>polymarket_us</t>
        </is>
      </c>
      <c r="L158" s="26" t="n">
        <v>-115</v>
      </c>
      <c r="M158" s="27" t="n">
        <v>1.869565</v>
      </c>
      <c r="N158" s="28" t="n">
        <v>0.534884</v>
      </c>
      <c r="O158" s="28" t="n">
        <v>0.514391</v>
      </c>
      <c r="P158" s="28" t="n">
        <v>0.042131</v>
      </c>
      <c r="Q158" s="28" t="n">
        <v>-0.020493</v>
      </c>
      <c r="R158" s="26" t="n">
        <v>16</v>
      </c>
      <c r="S158" s="29" t="n">
        <v>1</v>
      </c>
      <c r="T158" s="24" t="inlineStr">
        <is>
          <t>measured-edge-totals-v2</t>
        </is>
      </c>
      <c r="U158" s="24" t="inlineStr">
        <is>
          <t>settled</t>
        </is>
      </c>
      <c r="V158" s="24" t="inlineStr">
        <is>
          <t>win</t>
        </is>
      </c>
      <c r="W158" s="26" t="n">
        <v>3</v>
      </c>
      <c r="X158" s="26" t="n">
        <v>6</v>
      </c>
      <c r="Y158" s="25" t="n">
        <v>9.5</v>
      </c>
      <c r="Z158" s="26" t="n">
        <v>-115</v>
      </c>
      <c r="AA158" s="28" t="n">
        <v>0.535</v>
      </c>
      <c r="AB158" s="28" t="n">
        <v>0.000116</v>
      </c>
      <c r="AC158" s="30" t="n">
        <v>0.8696</v>
      </c>
      <c r="AD158" s="24" t="inlineStr">
        <is>
          <t>2026-08-04T01:58:31.646648Z</t>
        </is>
      </c>
      <c r="AE158" s="31" t="inlineStr">
        <is>
          <t>Measured Edge Totals: Trend Engine projected 4.77-5.05; raw selected-side p=0.5189, calibrated p=0.5144.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mlb-wsh</t>
        </is>
      </c>
      <c r="AQ158" s="24" t="inlineStr">
        <is>
          <t>Washington Nationals</t>
        </is>
      </c>
      <c r="AR158" s="24" t="inlineStr">
        <is>
          <t>Washington Nationals</t>
        </is>
      </c>
      <c r="AS158" s="24" t="inlineStr">
        <is>
          <t>mlb-phi</t>
        </is>
      </c>
      <c r="AT158" s="24" t="inlineStr">
        <is>
          <t>Philadelphia Phillies</t>
        </is>
      </c>
      <c r="AU158" s="24" t="inlineStr">
        <is>
          <t>Philadelphia Phillies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433578016242b27f9c1c7132cc6b5a2bcc7dd1b0234590c12a944455a88e71bd</t>
        </is>
      </c>
      <c r="BB158" s="24" t="inlineStr">
        <is>
          <t>flat_probability_shrinkage_toward_half</t>
        </is>
      </c>
      <c r="BC158" s="24" t="inlineStr">
        <is>
          <t>measured-edge-totals-v2</t>
        </is>
      </c>
      <c r="BD158" s="24" t="inlineStr">
        <is>
          <t>433578016242b27f9c1c7132cc6b5a2bcc7dd1b0234590c12a944455a88e71bd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2026-08-03T19:53:28.238725Z</t>
        </is>
      </c>
      <c r="BI158" s="24" t="inlineStr">
        <is>
          <t>["same_event","same_team_same_day","same_league_same_day"]</t>
        </is>
      </c>
      <c r="BJ158" s="25" t="n">
        <v>9.5</v>
      </c>
      <c r="BK158" s="26" t="n">
        <v>-115</v>
      </c>
      <c r="BL158" s="27" t="n">
        <v>1.869565</v>
      </c>
      <c r="BM158" s="28" t="n">
        <v>0.534884</v>
      </c>
      <c r="BN158" s="28" t="n">
        <v>0.532338</v>
      </c>
      <c r="BO158" s="28" t="n"/>
      <c r="BP158" s="25" t="n"/>
      <c r="BQ158" s="27" t="n">
        <v>1.869565</v>
      </c>
      <c r="BR158" s="28" t="n">
        <v>0.535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920016b8e9b64530</t>
        </is>
      </c>
      <c r="B159" s="24" t="inlineStr">
        <is>
          <t>2026-08-03T22:56:28.208831Z</t>
        </is>
      </c>
      <c r="C159" s="24" t="inlineStr">
        <is>
          <t>2026-08-03T19:05:00-0400</t>
        </is>
      </c>
      <c r="D159" s="24" t="inlineStr">
        <is>
          <t>401816377</t>
        </is>
      </c>
      <c r="E159" s="24" t="inlineStr">
        <is>
          <t>MLB</t>
        </is>
      </c>
      <c r="F159" s="24" t="inlineStr">
        <is>
          <t>St. Louis Cardinals</t>
        </is>
      </c>
      <c r="G159" s="24" t="inlineStr">
        <is>
          <t>New York Yankees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-213</v>
      </c>
      <c r="M159" s="27" t="n">
        <v>1.469484</v>
      </c>
      <c r="N159" s="28" t="n">
        <v>0.680511</v>
      </c>
      <c r="O159" s="28" t="n">
        <v>0.587948</v>
      </c>
      <c r="P159" s="28" t="n"/>
      <c r="Q159" s="28" t="n">
        <v>-0.09256300000000001</v>
      </c>
      <c r="R159" s="26" t="n">
        <v>0</v>
      </c>
      <c r="S159" s="29" t="n">
        <v>0</v>
      </c>
      <c r="T159" s="24" t="inlineStr">
        <is>
          <t>mlb-elo-trend-lr-v7</t>
        </is>
      </c>
      <c r="U159" s="24" t="inlineStr">
        <is>
          <t>settled</t>
        </is>
      </c>
      <c r="V159" s="24" t="inlineStr">
        <is>
          <t>loss</t>
        </is>
      </c>
      <c r="W159" s="26" t="n">
        <v>13</v>
      </c>
      <c r="X159" s="26" t="n">
        <v>7</v>
      </c>
      <c r="Y159" s="25" t="n"/>
      <c r="Z159" s="26" t="n">
        <v>-213</v>
      </c>
      <c r="AA159" s="28" t="n">
        <v>0.68</v>
      </c>
      <c r="AB159" s="28" t="n">
        <v>-0.000511</v>
      </c>
      <c r="AC159" s="30" t="n">
        <v>0</v>
      </c>
      <c r="AD159" s="24" t="inlineStr">
        <is>
          <t>2026-08-04T03:57:53.088023Z</t>
        </is>
      </c>
      <c r="AE159" s="31" t="inlineStr">
        <is>
          <t>Learned LR call at threshold 0.6242; executable ask 0.6800 (aec-mlb-stl-nyy-2026-08-03); model edge vs ask -0.0921.</t>
        </is>
      </c>
      <c r="AF159" s="31" t="inlineStr">
        <is>
          <t>Learned model; shadow-qualified via operator override.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NO_CALL_BELOW_LEARNED_CONFIDENCE</t>
        </is>
      </c>
      <c r="AP159" s="24" t="inlineStr">
        <is>
          <t>mlb-stl</t>
        </is>
      </c>
      <c r="AQ159" s="24" t="inlineStr">
        <is>
          <t>St. Louis Cardinals</t>
        </is>
      </c>
      <c r="AR159" s="24" t="inlineStr">
        <is>
          <t>St. Louis Cardinals</t>
        </is>
      </c>
      <c r="AS159" s="24" t="inlineStr">
        <is>
          <t>mlb-nyy</t>
        </is>
      </c>
      <c r="AT159" s="24" t="inlineStr">
        <is>
          <t>New York Yankees</t>
        </is>
      </c>
      <c r="AU159" s="24" t="inlineStr">
        <is>
          <t>New York Yankees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464eef695bfbbdaa819ec6f5e4c5bd1068ed20b92915fb2677220ae91e20d8b6</t>
        </is>
      </c>
      <c r="BB159" s="24" t="inlineStr">
        <is>
          <t>learned_lr</t>
        </is>
      </c>
      <c r="BC159" s="24" t="inlineStr">
        <is>
          <t>mlb-elo-trend-lr-v7</t>
        </is>
      </c>
      <c r="BD159" s="24" t="inlineStr">
        <is>
          <t>464eef695bfbbdaa819ec6f5e4c5bd1068ed20b92915fb2677220ae91e20d8b6</t>
        </is>
      </c>
      <c r="BE159" s="24" t="inlineStr">
        <is>
          <t>303d615638dc9014</t>
        </is>
      </c>
      <c r="BF159" s="24" t="inlineStr">
        <is>
          <t>1</t>
        </is>
      </c>
      <c r="BG159" s="24" t="inlineStr">
        <is>
          <t>mlb-elo-trend-lr-v7</t>
        </is>
      </c>
      <c r="BH159" s="24" t="inlineStr">
        <is>
          <t>2026-08-03T22:55:59.402774Z</t>
        </is>
      </c>
      <c r="BI159" s="24" t="inlineStr">
        <is>
          <t>["same_event","same_team_same_day","same_league_same_day"]</t>
        </is>
      </c>
      <c r="BJ159" s="25" t="n"/>
      <c r="BK159" s="26" t="n">
        <v>-213</v>
      </c>
      <c r="BL159" s="27" t="n">
        <v>1.469484</v>
      </c>
      <c r="BM159" s="28" t="n">
        <v>0.680511</v>
      </c>
      <c r="BN159" s="28" t="n">
        <v>0.676617</v>
      </c>
      <c r="BO159" s="28" t="n"/>
      <c r="BP159" s="25" t="n"/>
      <c r="BQ159" s="27" t="n">
        <v>1.469484</v>
      </c>
      <c r="BR159" s="28" t="n">
        <v>0.68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inlineStr">
        <is>
          <t>0.6151773259</t>
        </is>
      </c>
      <c r="CD159" s="24" t="inlineStr">
        <is>
          <t>0.043055</t>
        </is>
      </c>
      <c r="CE159" s="24" t="inlineStr">
        <is>
          <t>1.012</t>
        </is>
      </c>
      <c r="CF159" s="24" t="inlineStr">
        <is>
          <t>1.0067</t>
        </is>
      </c>
      <c r="CG159" s="24" t="inlineStr">
        <is>
          <t>-0.2</t>
        </is>
      </c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inlineStr">
        <is>
          <t>0.587948</t>
        </is>
      </c>
      <c r="CS159" s="24" t="inlineStr">
        <is>
          <t>False</t>
        </is>
      </c>
    </row>
    <row r="160" ht="36" customHeight="1">
      <c r="A160" s="24" t="inlineStr">
        <is>
          <t>b47af519335c4c5f</t>
        </is>
      </c>
      <c r="B160" s="24" t="inlineStr">
        <is>
          <t>2026-08-03T22:56:28.208831Z</t>
        </is>
      </c>
      <c r="C160" s="24" t="inlineStr">
        <is>
          <t>2026-08-03T19:40:00-0400</t>
        </is>
      </c>
      <c r="D160" s="24" t="inlineStr">
        <is>
          <t>401816380</t>
        </is>
      </c>
      <c r="E160" s="24" t="inlineStr">
        <is>
          <t>MLB</t>
        </is>
      </c>
      <c r="F160" s="24" t="inlineStr">
        <is>
          <t>Pittsburgh Pirates</t>
        </is>
      </c>
      <c r="G160" s="24" t="inlineStr">
        <is>
          <t>Milwaukee Brewers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-141</v>
      </c>
      <c r="M160" s="27" t="n">
        <v>1.70922</v>
      </c>
      <c r="N160" s="28" t="n">
        <v>0.585062</v>
      </c>
      <c r="O160" s="28" t="n">
        <v>0.606371</v>
      </c>
      <c r="P160" s="28" t="n"/>
      <c r="Q160" s="28" t="n">
        <v>0.021309</v>
      </c>
      <c r="R160" s="26" t="n">
        <v>32</v>
      </c>
      <c r="S160" s="29" t="n">
        <v>0</v>
      </c>
      <c r="T160" s="24" t="inlineStr">
        <is>
          <t>mlb-elo-trend-lr-v7</t>
        </is>
      </c>
      <c r="U160" s="24" t="inlineStr">
        <is>
          <t>settled</t>
        </is>
      </c>
      <c r="V160" s="24" t="inlineStr">
        <is>
          <t>loss</t>
        </is>
      </c>
      <c r="W160" s="26" t="n">
        <v>4</v>
      </c>
      <c r="X160" s="26" t="n">
        <v>3</v>
      </c>
      <c r="Y160" s="25" t="n"/>
      <c r="Z160" s="26" t="n">
        <v>-141</v>
      </c>
      <c r="AA160" s="28" t="n">
        <v>0.585</v>
      </c>
      <c r="AB160" s="28" t="n">
        <v>-6.2e-05</v>
      </c>
      <c r="AC160" s="30" t="n">
        <v>0</v>
      </c>
      <c r="AD160" s="24" t="inlineStr">
        <is>
          <t>2026-08-04T03:57:53.806736Z</t>
        </is>
      </c>
      <c r="AE160" s="31" t="inlineStr">
        <is>
          <t>Learned LR call at threshold 0.6242; executable ask 0.5850 (aec-mlb-pit-mil-2026-08-03); model edge vs ask +0.0214.</t>
        </is>
      </c>
      <c r="AF160" s="31" t="inlineStr">
        <is>
          <t>Learned model; shadow-qualified via operator override.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NO_CALL_BELOW_LEARNED_CONFIDENCE</t>
        </is>
      </c>
      <c r="AP160" s="24" t="inlineStr">
        <is>
          <t>mlb-pit</t>
        </is>
      </c>
      <c r="AQ160" s="24" t="inlineStr">
        <is>
          <t>Pittsburgh Pirates</t>
        </is>
      </c>
      <c r="AR160" s="24" t="inlineStr">
        <is>
          <t>Pittsburgh Pirates</t>
        </is>
      </c>
      <c r="AS160" s="24" t="inlineStr">
        <is>
          <t>mlb-mil</t>
        </is>
      </c>
      <c r="AT160" s="24" t="inlineStr">
        <is>
          <t>Milwaukee Brewers</t>
        </is>
      </c>
      <c r="AU160" s="24" t="inlineStr">
        <is>
          <t>Milwaukee Brewers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464eef695bfbbdaa819ec6f5e4c5bd1068ed20b92915fb2677220ae91e20d8b6</t>
        </is>
      </c>
      <c r="BB160" s="24" t="inlineStr">
        <is>
          <t>learned_lr</t>
        </is>
      </c>
      <c r="BC160" s="24" t="inlineStr">
        <is>
          <t>mlb-elo-trend-lr-v7</t>
        </is>
      </c>
      <c r="BD160" s="24" t="inlineStr">
        <is>
          <t>464eef695bfbbdaa819ec6f5e4c5bd1068ed20b92915fb2677220ae91e20d8b6</t>
        </is>
      </c>
      <c r="BE160" s="24" t="inlineStr">
        <is>
          <t>d0fd79047bd5a808</t>
        </is>
      </c>
      <c r="BF160" s="24" t="inlineStr">
        <is>
          <t>1</t>
        </is>
      </c>
      <c r="BG160" s="24" t="inlineStr">
        <is>
          <t>mlb-elo-trend-lr-v7</t>
        </is>
      </c>
      <c r="BH160" s="24" t="inlineStr">
        <is>
          <t>2026-08-03T22:55:59.951180Z</t>
        </is>
      </c>
      <c r="BI160" s="24" t="inlineStr">
        <is>
          <t>["same_event","same_team_same_day","same_league_same_day"]</t>
        </is>
      </c>
      <c r="BJ160" s="25" t="n"/>
      <c r="BK160" s="26" t="n">
        <v>-141</v>
      </c>
      <c r="BL160" s="27" t="n">
        <v>1.70922</v>
      </c>
      <c r="BM160" s="28" t="n">
        <v>0.585062</v>
      </c>
      <c r="BN160" s="28" t="n">
        <v>0.58209</v>
      </c>
      <c r="BO160" s="28" t="n"/>
      <c r="BP160" s="25" t="n"/>
      <c r="BQ160" s="27" t="n">
        <v>1.70922</v>
      </c>
      <c r="BR160" s="28" t="n">
        <v>0.585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inlineStr">
        <is>
          <t>0.6290548244</t>
        </is>
      </c>
      <c r="CD160" s="24" t="inlineStr">
        <is>
          <t>0.091236</t>
        </is>
      </c>
      <c r="CE160" s="24" t="inlineStr">
        <is>
          <t>0.997</t>
        </is>
      </c>
      <c r="CF160" s="24" t="inlineStr">
        <is>
          <t>1.0</t>
        </is>
      </c>
      <c r="CG160" s="24" t="inlineStr">
        <is>
          <t>-0.2</t>
        </is>
      </c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inlineStr">
        <is>
          <t>0.606371</t>
        </is>
      </c>
      <c r="CS160" s="24" t="inlineStr">
        <is>
          <t>True</t>
        </is>
      </c>
    </row>
    <row r="161" ht="36" customHeight="1">
      <c r="A161" s="24" t="inlineStr">
        <is>
          <t>ec2c4fb8e89a4486</t>
        </is>
      </c>
      <c r="B161" s="24" t="inlineStr">
        <is>
          <t>2026-08-03T22:56:28.208831Z</t>
        </is>
      </c>
      <c r="C161" s="24" t="inlineStr">
        <is>
          <t>2026-08-03T20:00:00-0400</t>
        </is>
      </c>
      <c r="D161" s="24" t="inlineStr">
        <is>
          <t>401816381</t>
        </is>
      </c>
      <c r="E161" s="24" t="inlineStr">
        <is>
          <t>MLB</t>
        </is>
      </c>
      <c r="F161" s="24" t="inlineStr">
        <is>
          <t>San Francisco Giants</t>
        </is>
      </c>
      <c r="G161" s="24" t="inlineStr">
        <is>
          <t>Texas Rangers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-122</v>
      </c>
      <c r="M161" s="27" t="n">
        <v>1.819672</v>
      </c>
      <c r="N161" s="28" t="n">
        <v>0.54955</v>
      </c>
      <c r="O161" s="28" t="n">
        <v>0.582299</v>
      </c>
      <c r="P161" s="28" t="n"/>
      <c r="Q161" s="28" t="n">
        <v>0.032749</v>
      </c>
      <c r="R161" s="26" t="n">
        <v>38</v>
      </c>
      <c r="S161" s="29" t="n">
        <v>0</v>
      </c>
      <c r="T161" s="24" t="inlineStr">
        <is>
          <t>mlb-elo-trend-lr-v7</t>
        </is>
      </c>
      <c r="U161" s="24" t="inlineStr">
        <is>
          <t>settled</t>
        </is>
      </c>
      <c r="V161" s="24" t="inlineStr">
        <is>
          <t>loss</t>
        </is>
      </c>
      <c r="W161" s="26" t="n">
        <v>5</v>
      </c>
      <c r="X161" s="26" t="n">
        <v>1</v>
      </c>
      <c r="Y161" s="25" t="n"/>
      <c r="Z161" s="26" t="n">
        <v>-122</v>
      </c>
      <c r="AA161" s="28" t="n">
        <v>0.55</v>
      </c>
      <c r="AB161" s="28" t="n">
        <v>0.00045</v>
      </c>
      <c r="AC161" s="30" t="n">
        <v>0</v>
      </c>
      <c r="AD161" s="24" t="inlineStr">
        <is>
          <t>2026-08-04T03:57:54.524081Z</t>
        </is>
      </c>
      <c r="AE161" s="31" t="inlineStr">
        <is>
          <t>Learned LR call at threshold 0.6242; executable ask 0.5500 (aec-mlb-sf-tex-2026-08-03); model edge vs ask +0.0323.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NO_CALL_BELOW_LEARNED_CONFIDENCE</t>
        </is>
      </c>
      <c r="AP161" s="24" t="inlineStr">
        <is>
          <t>mlb-sf</t>
        </is>
      </c>
      <c r="AQ161" s="24" t="inlineStr">
        <is>
          <t>San Francisco Giants</t>
        </is>
      </c>
      <c r="AR161" s="24" t="inlineStr">
        <is>
          <t>San Francisco Giants</t>
        </is>
      </c>
      <c r="AS161" s="24" t="inlineStr">
        <is>
          <t>mlb-tex</t>
        </is>
      </c>
      <c r="AT161" s="24" t="inlineStr">
        <is>
          <t>Texas Rangers</t>
        </is>
      </c>
      <c r="AU161" s="24" t="inlineStr">
        <is>
          <t>Texas Rangers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464eef695bfbbdaa819ec6f5e4c5bd1068ed20b92915fb2677220ae91e20d8b6</t>
        </is>
      </c>
      <c r="BB161" s="24" t="inlineStr">
        <is>
          <t>learned_lr</t>
        </is>
      </c>
      <c r="BC161" s="24" t="inlineStr">
        <is>
          <t>mlb-elo-trend-lr-v7</t>
        </is>
      </c>
      <c r="BD161" s="24" t="inlineStr">
        <is>
          <t>464eef695bfbbdaa819ec6f5e4c5bd1068ed20b92915fb2677220ae91e20d8b6</t>
        </is>
      </c>
      <c r="BE161" s="24" t="inlineStr">
        <is>
          <t>006597019de6f543</t>
        </is>
      </c>
      <c r="BF161" s="24" t="inlineStr">
        <is>
          <t>1</t>
        </is>
      </c>
      <c r="BG161" s="24" t="inlineStr">
        <is>
          <t>mlb-elo-trend-lr-v7</t>
        </is>
      </c>
      <c r="BH161" s="24" t="inlineStr">
        <is>
          <t>2026-08-03T22:56:00.423208Z</t>
        </is>
      </c>
      <c r="BI161" s="24" t="inlineStr">
        <is>
          <t>["same_event","same_team_same_day","same_league_same_day"]</t>
        </is>
      </c>
      <c r="BJ161" s="25" t="n"/>
      <c r="BK161" s="26" t="n">
        <v>-122</v>
      </c>
      <c r="BL161" s="27" t="n">
        <v>1.819672</v>
      </c>
      <c r="BM161" s="28" t="n">
        <v>0.54955</v>
      </c>
      <c r="BN161" s="28" t="n">
        <v>0.547264</v>
      </c>
      <c r="BO161" s="28" t="n"/>
      <c r="BP161" s="25" t="n"/>
      <c r="BQ161" s="27" t="n">
        <v>1.819672</v>
      </c>
      <c r="BR161" s="28" t="n">
        <v>0.55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0.5388012475</t>
        </is>
      </c>
      <c r="CD161" s="24" t="inlineStr">
        <is>
          <t>-1.547836</t>
        </is>
      </c>
      <c r="CE161" s="24" t="inlineStr">
        <is>
          <t>0.912</t>
        </is>
      </c>
      <c r="CF161" s="24" t="inlineStr">
        <is>
          <t>1.0</t>
        </is>
      </c>
      <c r="CG161" s="24" t="inlineStr">
        <is>
          <t>0.0</t>
        </is>
      </c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inlineStr">
        <is>
          <t>0.582299</t>
        </is>
      </c>
      <c r="CS161" s="24" t="inlineStr">
        <is>
          <t>True</t>
        </is>
      </c>
    </row>
    <row r="162" ht="36" customHeight="1">
      <c r="A162" s="24" t="inlineStr">
        <is>
          <t>c64ee8bc61814568</t>
        </is>
      </c>
      <c r="B162" s="24" t="inlineStr">
        <is>
          <t>2026-08-03T22:56:28.208831Z</t>
        </is>
      </c>
      <c r="C162" s="24" t="inlineStr">
        <is>
          <t>2026-08-03T20:05:00-0400</t>
        </is>
      </c>
      <c r="D162" s="24" t="inlineStr">
        <is>
          <t>401816379</t>
        </is>
      </c>
      <c r="E162" s="24" t="inlineStr">
        <is>
          <t>MLB</t>
        </is>
      </c>
      <c r="F162" s="24" t="inlineStr">
        <is>
          <t>Los Angeles Dodgers</t>
        </is>
      </c>
      <c r="G162" s="24" t="inlineStr">
        <is>
          <t>Chicago Cubs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115</v>
      </c>
      <c r="M162" s="27" t="n">
        <v>2.15</v>
      </c>
      <c r="N162" s="28" t="n">
        <v>0.465116</v>
      </c>
      <c r="O162" s="28" t="n">
        <v>0.507802</v>
      </c>
      <c r="P162" s="28" t="n"/>
      <c r="Q162" s="28" t="n">
        <v>0.042686</v>
      </c>
      <c r="R162" s="26" t="n">
        <v>43</v>
      </c>
      <c r="S162" s="29" t="n">
        <v>0</v>
      </c>
      <c r="T162" s="24" t="inlineStr">
        <is>
          <t>mlb-elo-trend-lr-v7</t>
        </is>
      </c>
      <c r="U162" s="24" t="inlineStr">
        <is>
          <t>settled</t>
        </is>
      </c>
      <c r="V162" s="24" t="inlineStr">
        <is>
          <t>win</t>
        </is>
      </c>
      <c r="W162" s="26" t="n">
        <v>5</v>
      </c>
      <c r="X162" s="26" t="n">
        <v>10</v>
      </c>
      <c r="Y162" s="25" t="n"/>
      <c r="Z162" s="26" t="n">
        <v>115</v>
      </c>
      <c r="AA162" s="28" t="n">
        <v>0.465</v>
      </c>
      <c r="AB162" s="28" t="n">
        <v>-0.000116</v>
      </c>
      <c r="AC162" s="30" t="n">
        <v>0</v>
      </c>
      <c r="AD162" s="24" t="inlineStr">
        <is>
          <t>2026-08-04T03:57:55.225860Z</t>
        </is>
      </c>
      <c r="AE162" s="31" t="inlineStr">
        <is>
          <t>Learned LR call at threshold 0.6242; executable ask 0.4650 (aec-mlb-lad-chc-2026-08-03); model edge vs ask +0.0428.</t>
        </is>
      </c>
      <c r="AF162" s="31" t="inlineStr">
        <is>
          <t>Learned model; shadow-qualified via operator override.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NO_CALL_BELOW_LEARNED_CONFIDENCE</t>
        </is>
      </c>
      <c r="AP162" s="24" t="inlineStr">
        <is>
          <t>mlb-lad</t>
        </is>
      </c>
      <c r="AQ162" s="24" t="inlineStr">
        <is>
          <t>Los Angeles Dodgers</t>
        </is>
      </c>
      <c r="AR162" s="24" t="inlineStr">
        <is>
          <t>Los Angeles Dodgers</t>
        </is>
      </c>
      <c r="AS162" s="24" t="inlineStr">
        <is>
          <t>mlb-chc</t>
        </is>
      </c>
      <c r="AT162" s="24" t="inlineStr">
        <is>
          <t>Chicago Cubs</t>
        </is>
      </c>
      <c r="AU162" s="24" t="inlineStr">
        <is>
          <t>Chicago Cubs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464eef695bfbbdaa819ec6f5e4c5bd1068ed20b92915fb2677220ae91e20d8b6</t>
        </is>
      </c>
      <c r="BB162" s="24" t="inlineStr">
        <is>
          <t>learned_lr</t>
        </is>
      </c>
      <c r="BC162" s="24" t="inlineStr">
        <is>
          <t>mlb-elo-trend-lr-v7</t>
        </is>
      </c>
      <c r="BD162" s="24" t="inlineStr">
        <is>
          <t>464eef695bfbbdaa819ec6f5e4c5bd1068ed20b92915fb2677220ae91e20d8b6</t>
        </is>
      </c>
      <c r="BE162" s="24" t="inlineStr">
        <is>
          <t>fe34ef10ca318e7d</t>
        </is>
      </c>
      <c r="BF162" s="24" t="inlineStr">
        <is>
          <t>1</t>
        </is>
      </c>
      <c r="BG162" s="24" t="inlineStr">
        <is>
          <t>mlb-elo-trend-lr-v7</t>
        </is>
      </c>
      <c r="BH162" s="24" t="inlineStr">
        <is>
          <t>2026-08-03T22:56:00.880405Z</t>
        </is>
      </c>
      <c r="BI162" s="24" t="inlineStr">
        <is>
          <t>["same_event","same_team_same_day","same_league_same_day"]</t>
        </is>
      </c>
      <c r="BJ162" s="25" t="n"/>
      <c r="BK162" s="26" t="n">
        <v>115</v>
      </c>
      <c r="BL162" s="27" t="n">
        <v>2.15</v>
      </c>
      <c r="BM162" s="28" t="n">
        <v>0.465116</v>
      </c>
      <c r="BN162" s="28" t="n">
        <v>0.462687</v>
      </c>
      <c r="BO162" s="28" t="n"/>
      <c r="BP162" s="25" t="n"/>
      <c r="BQ162" s="27" t="n">
        <v>2.15</v>
      </c>
      <c r="BR162" s="28" t="n">
        <v>0.465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inlineStr">
        <is>
          <t>0.5062615639</t>
        </is>
      </c>
      <c r="CD162" s="24" t="inlineStr">
        <is>
          <t>-0.710471</t>
        </is>
      </c>
      <c r="CE162" s="24" t="inlineStr">
        <is>
          <t>0.986</t>
        </is>
      </c>
      <c r="CF162" s="24" t="inlineStr">
        <is>
          <t>1.0027</t>
        </is>
      </c>
      <c r="CG162" s="24" t="inlineStr">
        <is>
          <t>-3.6</t>
        </is>
      </c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inlineStr">
        <is>
          <t>0.507802</t>
        </is>
      </c>
      <c r="CS162" s="24" t="inlineStr">
        <is>
          <t>True</t>
        </is>
      </c>
    </row>
    <row r="163" ht="36" customHeight="1">
      <c r="A163" s="24" t="inlineStr">
        <is>
          <t>683dc4b79b1f4a09</t>
        </is>
      </c>
      <c r="B163" s="24" t="inlineStr">
        <is>
          <t>2026-08-03T22:56:28.208831Z</t>
        </is>
      </c>
      <c r="C163" s="24" t="inlineStr">
        <is>
          <t>2026-08-03T20:10:00-0400</t>
        </is>
      </c>
      <c r="D163" s="24" t="inlineStr">
        <is>
          <t>401816382</t>
        </is>
      </c>
      <c r="E163" s="24" t="inlineStr">
        <is>
          <t>MLB</t>
        </is>
      </c>
      <c r="F163" s="24" t="inlineStr">
        <is>
          <t>Toronto Blue Jays</t>
        </is>
      </c>
      <c r="G163" s="24" t="inlineStr">
        <is>
          <t>Houston Astros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0.535416</v>
      </c>
      <c r="P163" s="28" t="n"/>
      <c r="Q163" s="28" t="n">
        <v>-0.024055</v>
      </c>
      <c r="R163" s="26" t="n">
        <v>9</v>
      </c>
      <c r="S163" s="29" t="n">
        <v>0</v>
      </c>
      <c r="T163" s="24" t="inlineStr">
        <is>
          <t>mlb-elo-trend-lr-v7</t>
        </is>
      </c>
      <c r="U163" s="24" t="inlineStr">
        <is>
          <t>settled</t>
        </is>
      </c>
      <c r="V163" s="24" t="inlineStr">
        <is>
          <t>loss</t>
        </is>
      </c>
      <c r="W163" s="26" t="n">
        <v>3</v>
      </c>
      <c r="X163" s="26" t="n">
        <v>1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</v>
      </c>
      <c r="AD163" s="24" t="inlineStr">
        <is>
          <t>2026-08-04T03:57:55.970221Z</t>
        </is>
      </c>
      <c r="AE163" s="31" t="inlineStr">
        <is>
          <t>Learned LR call at threshold 0.6242; executable ask 0.5600 (aec-mlb-tor-hou-2026-08-03); model edge vs ask -0.0246.</t>
        </is>
      </c>
      <c r="AF163" s="31" t="inlineStr">
        <is>
          <t>Learned model; shadow-qualified via operator override.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NO_CALL_BELOW_LEARNED_CONFIDENCE</t>
        </is>
      </c>
      <c r="AP163" s="24" t="inlineStr">
        <is>
          <t>mlb-tor</t>
        </is>
      </c>
      <c r="AQ163" s="24" t="inlineStr">
        <is>
          <t>Toronto Blue Jays</t>
        </is>
      </c>
      <c r="AR163" s="24" t="inlineStr">
        <is>
          <t>Toronto Blue Jays</t>
        </is>
      </c>
      <c r="AS163" s="24" t="inlineStr">
        <is>
          <t>mlb-hou</t>
        </is>
      </c>
      <c r="AT163" s="24" t="inlineStr">
        <is>
          <t>Houston Astros</t>
        </is>
      </c>
      <c r="AU163" s="24" t="inlineStr">
        <is>
          <t>Houston Astros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464eef695bfbbdaa819ec6f5e4c5bd1068ed20b92915fb2677220ae91e20d8b6</t>
        </is>
      </c>
      <c r="BB163" s="24" t="inlineStr">
        <is>
          <t>learned_lr</t>
        </is>
      </c>
      <c r="BC163" s="24" t="inlineStr">
        <is>
          <t>mlb-elo-trend-lr-v7</t>
        </is>
      </c>
      <c r="BD163" s="24" t="inlineStr">
        <is>
          <t>464eef695bfbbdaa819ec6f5e4c5bd1068ed20b92915fb2677220ae91e20d8b6</t>
        </is>
      </c>
      <c r="BE163" s="24" t="inlineStr">
        <is>
          <t>73f9f144b97b20da</t>
        </is>
      </c>
      <c r="BF163" s="24" t="inlineStr">
        <is>
          <t>1</t>
        </is>
      </c>
      <c r="BG163" s="24" t="inlineStr">
        <is>
          <t>mlb-elo-trend-lr-v7</t>
        </is>
      </c>
      <c r="BH163" s="24" t="inlineStr">
        <is>
          <t>2026-08-03T22:56:01.367242Z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>
        <v>0.557214</v>
      </c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inlineStr">
        <is>
          <t>0.5381361986</t>
        </is>
      </c>
      <c r="CD163" s="24" t="inlineStr">
        <is>
          <t>2.137741</t>
        </is>
      </c>
      <c r="CE163" s="24" t="inlineStr">
        <is>
          <t>0.956</t>
        </is>
      </c>
      <c r="CF163" s="24" t="inlineStr">
        <is>
          <t>1.0</t>
        </is>
      </c>
      <c r="CG163" s="24" t="inlineStr">
        <is>
          <t>-0.4</t>
        </is>
      </c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inlineStr">
        <is>
          <t>0.535416</t>
        </is>
      </c>
      <c r="CS163" s="24" t="inlineStr">
        <is>
          <t>False</t>
        </is>
      </c>
    </row>
    <row r="164" ht="36" customHeight="1">
      <c r="A164" s="24" t="inlineStr">
        <is>
          <t>5d9b907c62fe4672</t>
        </is>
      </c>
      <c r="B164" s="24" t="inlineStr">
        <is>
          <t>2026-08-03T22:56:28.208831Z</t>
        </is>
      </c>
      <c r="C164" s="24" t="inlineStr">
        <is>
          <t>2026-08-03T20:40:00-0400</t>
        </is>
      </c>
      <c r="D164" s="24" t="inlineStr">
        <is>
          <t>401816383</t>
        </is>
      </c>
      <c r="E164" s="24" t="inlineStr">
        <is>
          <t>MLB</t>
        </is>
      </c>
      <c r="F164" s="24" t="inlineStr">
        <is>
          <t>Tampa Bay Rays</t>
        </is>
      </c>
      <c r="G164" s="24" t="inlineStr">
        <is>
          <t>Colorado Rockies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-170</v>
      </c>
      <c r="M164" s="27" t="n">
        <v>1.588235</v>
      </c>
      <c r="N164" s="28" t="n">
        <v>0.62963</v>
      </c>
      <c r="O164" s="28" t="n">
        <v>0.6482059999999999</v>
      </c>
      <c r="P164" s="28" t="n"/>
      <c r="Q164" s="28" t="n">
        <v>0.018576</v>
      </c>
      <c r="R164" s="26" t="n">
        <v>31</v>
      </c>
      <c r="S164" s="29" t="n">
        <v>1.75</v>
      </c>
      <c r="T164" s="24" t="inlineStr">
        <is>
          <t>mlb-elo-trend-lr-v7</t>
        </is>
      </c>
      <c r="U164" s="24" t="inlineStr">
        <is>
          <t>settled</t>
        </is>
      </c>
      <c r="V164" s="24" t="inlineStr">
        <is>
          <t>win</t>
        </is>
      </c>
      <c r="W164" s="26" t="n">
        <v>13</v>
      </c>
      <c r="X164" s="26" t="n">
        <v>9</v>
      </c>
      <c r="Y164" s="25" t="n"/>
      <c r="Z164" s="26" t="n">
        <v>-170</v>
      </c>
      <c r="AA164" s="28" t="n">
        <v>0.63</v>
      </c>
      <c r="AB164" s="28" t="n">
        <v>0.00037</v>
      </c>
      <c r="AC164" s="30" t="n">
        <v>1.0294</v>
      </c>
      <c r="AD164" s="24" t="inlineStr">
        <is>
          <t>2026-08-04T03:57:56.671622Z</t>
        </is>
      </c>
      <c r="AE164" s="31" t="inlineStr">
        <is>
          <t>Learned LR call at threshold 0.6242; executable ask 0.6300 (aec-mlb-tb-col-2026-08-03); model edge vs ask +0.0182.</t>
        </is>
      </c>
      <c r="AF164" s="31" t="inlineStr">
        <is>
          <t>Learned model; shadow-qualified via operator override.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3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mlb-tb</t>
        </is>
      </c>
      <c r="AQ164" s="24" t="inlineStr">
        <is>
          <t>Tampa Bay Rays</t>
        </is>
      </c>
      <c r="AR164" s="24" t="inlineStr">
        <is>
          <t>Tampa Bay Rays</t>
        </is>
      </c>
      <c r="AS164" s="24" t="inlineStr">
        <is>
          <t>mlb-col</t>
        </is>
      </c>
      <c r="AT164" s="24" t="inlineStr">
        <is>
          <t>Colorado Rockies</t>
        </is>
      </c>
      <c r="AU164" s="24" t="inlineStr">
        <is>
          <t>Colorado Rockies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464eef695bfbbdaa819ec6f5e4c5bd1068ed20b92915fb2677220ae91e20d8b6</t>
        </is>
      </c>
      <c r="BB164" s="24" t="inlineStr">
        <is>
          <t>learned_lr</t>
        </is>
      </c>
      <c r="BC164" s="24" t="inlineStr">
        <is>
          <t>mlb-elo-trend-lr-v7</t>
        </is>
      </c>
      <c r="BD164" s="24" t="inlineStr">
        <is>
          <t>464eef695bfbbdaa819ec6f5e4c5bd1068ed20b92915fb2677220ae91e20d8b6</t>
        </is>
      </c>
      <c r="BE164" s="24" t="inlineStr">
        <is>
          <t>d8aa2e63047d9809</t>
        </is>
      </c>
      <c r="BF164" s="24" t="inlineStr">
        <is>
          <t>1</t>
        </is>
      </c>
      <c r="BG164" s="24" t="inlineStr">
        <is>
          <t>mlb-elo-trend-lr-v7</t>
        </is>
      </c>
      <c r="BH164" s="24" t="inlineStr">
        <is>
          <t>2026-08-03T22:56:01.752802Z</t>
        </is>
      </c>
      <c r="BI164" s="24" t="inlineStr">
        <is>
          <t>["same_event","same_team_same_day","same_league_same_day"]</t>
        </is>
      </c>
      <c r="BJ164" s="25" t="n"/>
      <c r="BK164" s="26" t="n">
        <v>-170</v>
      </c>
      <c r="BL164" s="27" t="n">
        <v>1.588235</v>
      </c>
      <c r="BM164" s="28" t="n">
        <v>0.62963</v>
      </c>
      <c r="BN164" s="28" t="n">
        <v>0.626866</v>
      </c>
      <c r="BO164" s="28" t="n"/>
      <c r="BP164" s="25" t="n"/>
      <c r="BQ164" s="27" t="n">
        <v>1.588235</v>
      </c>
      <c r="BR164" s="28" t="n">
        <v>0.63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inlineStr">
        <is>
          <t>0.3824194159</t>
        </is>
      </c>
      <c r="CD164" s="24" t="inlineStr">
        <is>
          <t>2.647689</t>
        </is>
      </c>
      <c r="CE164" s="24" t="inlineStr">
        <is>
          <t>1.193</t>
        </is>
      </c>
      <c r="CF164" s="24" t="inlineStr">
        <is>
          <t>1.0225</t>
        </is>
      </c>
      <c r="CG164" s="24" t="inlineStr">
        <is>
          <t>0.4</t>
        </is>
      </c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inlineStr">
        <is>
          <t>0.648206</t>
        </is>
      </c>
      <c r="CS164" s="24" t="inlineStr">
        <is>
          <t>True</t>
        </is>
      </c>
    </row>
    <row r="165" ht="36" customHeight="1">
      <c r="A165" s="24" t="inlineStr">
        <is>
          <t>d61d2619aa6c4943</t>
        </is>
      </c>
      <c r="B165" s="24" t="inlineStr">
        <is>
          <t>2026-08-03T22:56:28.208831Z</t>
        </is>
      </c>
      <c r="C165" s="24" t="inlineStr">
        <is>
          <t>2026-08-03T21:40:00-0400</t>
        </is>
      </c>
      <c r="D165" s="24" t="inlineStr">
        <is>
          <t>401815079</t>
        </is>
      </c>
      <c r="E165" s="24" t="inlineStr">
        <is>
          <t>MLB</t>
        </is>
      </c>
      <c r="F165" s="24" t="inlineStr">
        <is>
          <t>San Diego Padres</t>
        </is>
      </c>
      <c r="G165" s="24" t="inlineStr">
        <is>
          <t>Arizona Diamondbacks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-106</v>
      </c>
      <c r="M165" s="27" t="n">
        <v>1.943396</v>
      </c>
      <c r="N165" s="28" t="n">
        <v>0.514563</v>
      </c>
      <c r="O165" s="28" t="n">
        <v>0.502816</v>
      </c>
      <c r="P165" s="28" t="n"/>
      <c r="Q165" s="28" t="n">
        <v>-0.011747</v>
      </c>
      <c r="R165" s="26" t="n">
        <v>15</v>
      </c>
      <c r="S165" s="29" t="n">
        <v>0</v>
      </c>
      <c r="T165" s="24" t="inlineStr">
        <is>
          <t>mlb-elo-trend-lr-v7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5</v>
      </c>
      <c r="Y165" s="25" t="n"/>
      <c r="Z165" s="26" t="n">
        <v>-106</v>
      </c>
      <c r="AA165" s="28" t="n">
        <v>0.515</v>
      </c>
      <c r="AB165" s="28" t="n">
        <v>0.000437</v>
      </c>
      <c r="AC165" s="30" t="n">
        <v>0</v>
      </c>
      <c r="AD165" s="24" t="inlineStr">
        <is>
          <t>2026-08-04T05:15:17.299023Z</t>
        </is>
      </c>
      <c r="AE165" s="31" t="inlineStr">
        <is>
          <t>Learned LR call at threshold 0.6242; executable ask 0.5150 (aec-mlb-sd-az-2026-08-03); model edge vs ask -0.0122.</t>
        </is>
      </c>
      <c r="AF165" s="31" t="inlineStr">
        <is>
          <t>Learned model; shadow-qualified via operator override.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NO_CALL_BELOW_LEARNED_CONFIDENCE</t>
        </is>
      </c>
      <c r="AP165" s="24" t="inlineStr">
        <is>
          <t>mlb-sd</t>
        </is>
      </c>
      <c r="AQ165" s="24" t="inlineStr">
        <is>
          <t>San Diego Padres</t>
        </is>
      </c>
      <c r="AR165" s="24" t="inlineStr">
        <is>
          <t>San Diego Padres</t>
        </is>
      </c>
      <c r="AS165" s="24" t="inlineStr">
        <is>
          <t>mlb-ari</t>
        </is>
      </c>
      <c r="AT165" s="24" t="inlineStr">
        <is>
          <t>Arizona Diamondbacks</t>
        </is>
      </c>
      <c r="AU165" s="24" t="inlineStr">
        <is>
          <t>Arizona Diamondbacks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464eef695bfbbdaa819ec6f5e4c5bd1068ed20b92915fb2677220ae91e20d8b6</t>
        </is>
      </c>
      <c r="BB165" s="24" t="inlineStr">
        <is>
          <t>learned_lr</t>
        </is>
      </c>
      <c r="BC165" s="24" t="inlineStr">
        <is>
          <t>mlb-elo-trend-lr-v7</t>
        </is>
      </c>
      <c r="BD165" s="24" t="inlineStr">
        <is>
          <t>464eef695bfbbdaa819ec6f5e4c5bd1068ed20b92915fb2677220ae91e20d8b6</t>
        </is>
      </c>
      <c r="BE165" s="24" t="inlineStr">
        <is>
          <t>b574167fe977dcae</t>
        </is>
      </c>
      <c r="BF165" s="24" t="inlineStr">
        <is>
          <t>1</t>
        </is>
      </c>
      <c r="BG165" s="24" t="inlineStr">
        <is>
          <t>mlb-elo-trend-lr-v7</t>
        </is>
      </c>
      <c r="BH165" s="24" t="inlineStr">
        <is>
          <t>2026-08-03T22:56:02.302897Z</t>
        </is>
      </c>
      <c r="BI165" s="24" t="inlineStr">
        <is>
          <t>["same_event","same_team_same_day","same_league_same_day"]</t>
        </is>
      </c>
      <c r="BJ165" s="25" t="n"/>
      <c r="BK165" s="26" t="n">
        <v>-106</v>
      </c>
      <c r="BL165" s="27" t="n">
        <v>1.943396</v>
      </c>
      <c r="BM165" s="28" t="n">
        <v>0.514563</v>
      </c>
      <c r="BN165" s="28" t="n">
        <v>0.5124379999999999</v>
      </c>
      <c r="BO165" s="28" t="n"/>
      <c r="BP165" s="25" t="n"/>
      <c r="BQ165" s="27" t="n">
        <v>1.943396</v>
      </c>
      <c r="BR165" s="28" t="n">
        <v>0.515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inlineStr">
        <is>
          <t>0.5239966198</t>
        </is>
      </c>
      <c r="CD165" s="24" t="inlineStr">
        <is>
          <t>-0.272561</t>
        </is>
      </c>
      <c r="CE165" s="24" t="inlineStr">
        <is>
          <t>1.097</t>
        </is>
      </c>
      <c r="CF165" s="24" t="inlineStr">
        <is>
          <t>1.0</t>
        </is>
      </c>
      <c r="CG165" s="24" t="inlineStr">
        <is>
          <t>0.8</t>
        </is>
      </c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inlineStr">
        <is>
          <t>0.502816</t>
        </is>
      </c>
      <c r="CS165" s="24" t="inlineStr">
        <is>
          <t>False</t>
        </is>
      </c>
    </row>
    <row r="166" ht="36" customHeight="1">
      <c r="A166" s="24" t="inlineStr">
        <is>
          <t>5dc826f3993c4731</t>
        </is>
      </c>
      <c r="B166" s="24" t="inlineStr">
        <is>
          <t>2026-08-03T22:56:38.586421Z</t>
        </is>
      </c>
      <c r="C166" s="24" t="inlineStr">
        <is>
          <t>2026-08-03T23:05Z</t>
        </is>
      </c>
      <c r="D166" s="24" t="inlineStr">
        <is>
          <t>401816377</t>
        </is>
      </c>
      <c r="E166" s="24" t="inlineStr">
        <is>
          <t>MLB</t>
        </is>
      </c>
      <c r="F166" s="24" t="inlineStr">
        <is>
          <t>St. Louis Cardinals</t>
        </is>
      </c>
      <c r="G166" s="24" t="inlineStr">
        <is>
          <t>New York Yankees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106</v>
      </c>
      <c r="M166" s="27" t="n">
        <v>2.06</v>
      </c>
      <c r="N166" s="28" t="n">
        <v>0.485437</v>
      </c>
      <c r="O166" s="28" t="n">
        <v>0.522193</v>
      </c>
      <c r="P166" s="28" t="n">
        <v>0.042131</v>
      </c>
      <c r="Q166" s="28" t="n">
        <v>0.036756</v>
      </c>
      <c r="R166" s="26" t="n">
        <v>45</v>
      </c>
      <c r="S166" s="29" t="n">
        <v>1</v>
      </c>
      <c r="T166" s="24" t="inlineStr">
        <is>
          <t>measured-edge-margin-v2</t>
        </is>
      </c>
      <c r="U166" s="24" t="inlineStr">
        <is>
          <t>settled</t>
        </is>
      </c>
      <c r="V166" s="24" t="inlineStr">
        <is>
          <t>win</t>
        </is>
      </c>
      <c r="W166" s="26" t="n">
        <v>13</v>
      </c>
      <c r="X166" s="26" t="n">
        <v>7</v>
      </c>
      <c r="Y166" s="25" t="n">
        <v>1.5</v>
      </c>
      <c r="Z166" s="26" t="n">
        <v>106</v>
      </c>
      <c r="AA166" s="28" t="n">
        <v>0.485</v>
      </c>
      <c r="AB166" s="28" t="n">
        <v>-0.000437</v>
      </c>
      <c r="AC166" s="30" t="n">
        <v>1.06</v>
      </c>
      <c r="AD166" s="24" t="inlineStr">
        <is>
          <t>2026-08-04T03:57:57.930528Z</t>
        </is>
      </c>
      <c r="AE166" s="31" t="inlineStr">
        <is>
          <t>Measured Edge Margin: Trend Engine projected 3.04-4.45; raw selected-side p=0.5337, calibrated p=0.5222.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mlb-stl</t>
        </is>
      </c>
      <c r="AQ166" s="24" t="inlineStr">
        <is>
          <t>St. Louis Cardinals</t>
        </is>
      </c>
      <c r="AR166" s="24" t="inlineStr">
        <is>
          <t>St. Louis Cardinals</t>
        </is>
      </c>
      <c r="AS166" s="24" t="inlineStr">
        <is>
          <t>mlb-nyy</t>
        </is>
      </c>
      <c r="AT166" s="24" t="inlineStr">
        <is>
          <t>New York Yankees</t>
        </is>
      </c>
      <c r="AU166" s="24" t="inlineStr">
        <is>
          <t>New York Yankees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8360b122264b796b0fb193095cfe4506c7e064e5f3f8c0a659aec41efd08dd25</t>
        </is>
      </c>
      <c r="BB166" s="24" t="inlineStr">
        <is>
          <t>flat_probability_shrinkage_toward_half</t>
        </is>
      </c>
      <c r="BC166" s="24" t="inlineStr">
        <is>
          <t>measured-edge-margin-v2</t>
        </is>
      </c>
      <c r="BD166" s="24" t="inlineStr">
        <is>
          <t>8360b122264b796b0fb193095cfe4506c7e064e5f3f8c0a659aec41efd08dd25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2026-08-03T22:56:38.586421Z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106</v>
      </c>
      <c r="BL166" s="27" t="n">
        <v>2.06</v>
      </c>
      <c r="BM166" s="28" t="n">
        <v>0.485437</v>
      </c>
      <c r="BN166" s="28" t="n">
        <v>0.482587</v>
      </c>
      <c r="BO166" s="28" t="n"/>
      <c r="BP166" s="25" t="n"/>
      <c r="BQ166" s="27" t="n">
        <v>2.06</v>
      </c>
      <c r="BR166" s="28" t="n">
        <v>0.485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571d19c7ef8f4c92</t>
        </is>
      </c>
      <c r="B167" s="24" t="inlineStr">
        <is>
          <t>2026-08-03T22:56:38.586421Z</t>
        </is>
      </c>
      <c r="C167" s="24" t="inlineStr">
        <is>
          <t>2026-08-03T23:05Z</t>
        </is>
      </c>
      <c r="D167" s="24" t="inlineStr">
        <is>
          <t>401816377</t>
        </is>
      </c>
      <c r="E167" s="24" t="inlineStr">
        <is>
          <t>MLB</t>
        </is>
      </c>
      <c r="F167" s="24" t="inlineStr">
        <is>
          <t>St. Louis Cardinals</t>
        </is>
      </c>
      <c r="G167" s="24" t="inlineStr">
        <is>
          <t>New York Yankees</t>
        </is>
      </c>
      <c r="H167" s="24" t="inlineStr">
        <is>
          <t>total</t>
        </is>
      </c>
      <c r="I167" s="24" t="inlineStr">
        <is>
          <t>under</t>
        </is>
      </c>
      <c r="J167" s="25" t="n">
        <v>7.5</v>
      </c>
      <c r="K167" s="24" t="inlineStr">
        <is>
          <t>polymarket_us</t>
        </is>
      </c>
      <c r="L167" s="26" t="n">
        <v>115</v>
      </c>
      <c r="M167" s="27" t="n">
        <v>2.15</v>
      </c>
      <c r="N167" s="28" t="n">
        <v>0.465116</v>
      </c>
      <c r="O167" s="28" t="n">
        <v>0.526111</v>
      </c>
      <c r="P167" s="28" t="n">
        <v>0.042131</v>
      </c>
      <c r="Q167" s="28" t="n">
        <v>0.060995</v>
      </c>
      <c r="R167" s="26" t="n">
        <v>56</v>
      </c>
      <c r="S167" s="29" t="n">
        <v>1</v>
      </c>
      <c r="T167" s="24" t="inlineStr">
        <is>
          <t>measured-edge-totals-v2</t>
        </is>
      </c>
      <c r="U167" s="24" t="inlineStr">
        <is>
          <t>settled</t>
        </is>
      </c>
      <c r="V167" s="24" t="inlineStr">
        <is>
          <t>loss</t>
        </is>
      </c>
      <c r="W167" s="26" t="n">
        <v>13</v>
      </c>
      <c r="X167" s="26" t="n">
        <v>7</v>
      </c>
      <c r="Y167" s="25" t="n">
        <v>7.5</v>
      </c>
      <c r="Z167" s="26" t="n">
        <v>115</v>
      </c>
      <c r="AA167" s="28" t="n">
        <v>0.465</v>
      </c>
      <c r="AB167" s="28" t="n">
        <v>-0.000116</v>
      </c>
      <c r="AC167" s="30" t="n">
        <v>-1</v>
      </c>
      <c r="AD167" s="24" t="inlineStr">
        <is>
          <t>2026-08-04T03:57:58.697107Z</t>
        </is>
      </c>
      <c r="AE167" s="31" t="inlineStr">
        <is>
          <t>Measured Edge Totals: Trend Engine projected 3.04-4.45; raw selected-side p=0.5532, calibrated p=0.5261.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mlb-stl</t>
        </is>
      </c>
      <c r="AQ167" s="24" t="inlineStr">
        <is>
          <t>St. Louis Cardinals</t>
        </is>
      </c>
      <c r="AR167" s="24" t="inlineStr">
        <is>
          <t>St. Louis Cardinals</t>
        </is>
      </c>
      <c r="AS167" s="24" t="inlineStr">
        <is>
          <t>mlb-nyy</t>
        </is>
      </c>
      <c r="AT167" s="24" t="inlineStr">
        <is>
          <t>New York Yankees</t>
        </is>
      </c>
      <c r="AU167" s="24" t="inlineStr">
        <is>
          <t>New York Yankees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433578016242b27f9c1c7132cc6b5a2bcc7dd1b0234590c12a944455a88e71bd</t>
        </is>
      </c>
      <c r="BB167" s="24" t="inlineStr">
        <is>
          <t>flat_probability_shrinkage_toward_half</t>
        </is>
      </c>
      <c r="BC167" s="24" t="inlineStr">
        <is>
          <t>measured-edge-totals-v2</t>
        </is>
      </c>
      <c r="BD167" s="24" t="inlineStr">
        <is>
          <t>433578016242b27f9c1c7132cc6b5a2bcc7dd1b0234590c12a944455a88e71bd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2026-08-03T22:56:38.586421Z</t>
        </is>
      </c>
      <c r="BI167" s="24" t="inlineStr">
        <is>
          <t>["same_event","same_team_same_day","same_league_same_day"]</t>
        </is>
      </c>
      <c r="BJ167" s="25" t="n">
        <v>7.5</v>
      </c>
      <c r="BK167" s="26" t="n">
        <v>115</v>
      </c>
      <c r="BL167" s="27" t="n">
        <v>2.15</v>
      </c>
      <c r="BM167" s="28" t="n">
        <v>0.465116</v>
      </c>
      <c r="BN167" s="28" t="n">
        <v>0.462687</v>
      </c>
      <c r="BO167" s="28" t="n"/>
      <c r="BP167" s="25" t="n"/>
      <c r="BQ167" s="27" t="n">
        <v>2.15</v>
      </c>
      <c r="BR167" s="28" t="n">
        <v>0.465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</row>
    <row r="168" ht="36" customHeight="1">
      <c r="A168" s="24" t="inlineStr">
        <is>
          <t>93f160d49f254896</t>
        </is>
      </c>
      <c r="B168" s="24" t="inlineStr">
        <is>
          <t>2026-08-03T22:56:38.586421Z</t>
        </is>
      </c>
      <c r="C168" s="24" t="inlineStr">
        <is>
          <t>2026-08-03T23:40Z</t>
        </is>
      </c>
      <c r="D168" s="24" t="inlineStr">
        <is>
          <t>401816380</t>
        </is>
      </c>
      <c r="E168" s="24" t="inlineStr">
        <is>
          <t>MLB</t>
        </is>
      </c>
      <c r="F168" s="24" t="inlineStr">
        <is>
          <t>Pittsburgh Pirates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-153</v>
      </c>
      <c r="M168" s="27" t="n">
        <v>1.653595</v>
      </c>
      <c r="N168" s="28" t="n">
        <v>0.604743</v>
      </c>
      <c r="O168" s="28" t="n">
        <v>0.579668</v>
      </c>
      <c r="P168" s="28" t="n">
        <v>0.042131</v>
      </c>
      <c r="Q168" s="28" t="n">
        <v>-0.025075</v>
      </c>
      <c r="R168" s="26" t="n">
        <v>14</v>
      </c>
      <c r="S168" s="29" t="n">
        <v>1.25</v>
      </c>
      <c r="T168" s="24" t="inlineStr">
        <is>
          <t>measured-edge-margin-v2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3</v>
      </c>
      <c r="Y168" s="25" t="n">
        <v>1.5</v>
      </c>
      <c r="Z168" s="26" t="n">
        <v>-153</v>
      </c>
      <c r="AA168" s="28" t="n">
        <v>0.605</v>
      </c>
      <c r="AB168" s="28" t="n">
        <v>0.000257</v>
      </c>
      <c r="AC168" s="30" t="n">
        <v>0.8169999999999999</v>
      </c>
      <c r="AD168" s="24" t="inlineStr">
        <is>
          <t>2026-08-04T03:57:59.428202Z</t>
        </is>
      </c>
      <c r="AE168" s="31" t="inlineStr">
        <is>
          <t>Measured Edge Margin: Trend Engine projected 4.45-4.93; raw selected-side p=0.6213, calibrated p=0.5797.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mlb-pit</t>
        </is>
      </c>
      <c r="AQ168" s="24" t="inlineStr">
        <is>
          <t>Pittsburgh Pirates</t>
        </is>
      </c>
      <c r="AR168" s="24" t="inlineStr">
        <is>
          <t>Pittsburgh Pirates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8360b122264b796b0fb193095cfe4506c7e064e5f3f8c0a659aec41efd08dd25</t>
        </is>
      </c>
      <c r="BB168" s="24" t="inlineStr">
        <is>
          <t>flat_probability_shrinkage_toward_half</t>
        </is>
      </c>
      <c r="BC168" s="24" t="inlineStr">
        <is>
          <t>measured-edge-margin-v2</t>
        </is>
      </c>
      <c r="BD168" s="24" t="inlineStr">
        <is>
          <t>8360b122264b796b0fb193095cfe4506c7e064e5f3f8c0a659aec41efd08dd25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2026-08-03T22:56:38.586421Z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-153</v>
      </c>
      <c r="BL168" s="27" t="n">
        <v>1.653595</v>
      </c>
      <c r="BM168" s="28" t="n">
        <v>0.604743</v>
      </c>
      <c r="BN168" s="28" t="n">
        <v>0.60199</v>
      </c>
      <c r="BO168" s="28" t="n"/>
      <c r="BP168" s="25" t="n"/>
      <c r="BQ168" s="27" t="n">
        <v>1.653595</v>
      </c>
      <c r="BR168" s="28" t="n">
        <v>0.605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054f69d3c6744f59</t>
        </is>
      </c>
      <c r="B169" s="24" t="inlineStr">
        <is>
          <t>2026-08-03T22:56:38.586421Z</t>
        </is>
      </c>
      <c r="C169" s="24" t="inlineStr">
        <is>
          <t>2026-08-03T23:40Z</t>
        </is>
      </c>
      <c r="D169" s="24" t="inlineStr">
        <is>
          <t>401816380</t>
        </is>
      </c>
      <c r="E169" s="24" t="inlineStr">
        <is>
          <t>MLB</t>
        </is>
      </c>
      <c r="F169" s="24" t="inlineStr">
        <is>
          <t>Pittsburgh Pirates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8.5</v>
      </c>
      <c r="K169" s="24" t="inlineStr">
        <is>
          <t>polymarket_us</t>
        </is>
      </c>
      <c r="L169" s="26" t="n">
        <v>104</v>
      </c>
      <c r="M169" s="27" t="n">
        <v>2.04</v>
      </c>
      <c r="N169" s="28" t="n">
        <v>0.490196</v>
      </c>
      <c r="O169" s="28" t="n">
        <v>0.522643</v>
      </c>
      <c r="P169" s="28" t="n">
        <v>0.042131</v>
      </c>
      <c r="Q169" s="28" t="n">
        <v>0.032447</v>
      </c>
      <c r="R169" s="26" t="n">
        <v>42</v>
      </c>
      <c r="S169" s="29" t="n">
        <v>1</v>
      </c>
      <c r="T169" s="24" t="inlineStr">
        <is>
          <t>measured-edge-totals-v2</t>
        </is>
      </c>
      <c r="U169" s="24" t="inlineStr">
        <is>
          <t>settled</t>
        </is>
      </c>
      <c r="V169" s="24" t="inlineStr">
        <is>
          <t>loss</t>
        </is>
      </c>
      <c r="W169" s="26" t="n">
        <v>4</v>
      </c>
      <c r="X169" s="26" t="n">
        <v>3</v>
      </c>
      <c r="Y169" s="25" t="n">
        <v>8.5</v>
      </c>
      <c r="Z169" s="26" t="n">
        <v>104</v>
      </c>
      <c r="AA169" s="28" t="n">
        <v>0.49</v>
      </c>
      <c r="AB169" s="28" t="n">
        <v>-0.000196</v>
      </c>
      <c r="AC169" s="30" t="n">
        <v>-1</v>
      </c>
      <c r="AD169" s="24" t="inlineStr">
        <is>
          <t>2026-08-04T03:58:00.162716Z</t>
        </is>
      </c>
      <c r="AE169" s="31" t="inlineStr">
        <is>
          <t>Measured Edge Totals: Trend Engine projected 4.45-4.93; raw selected-side p=0.5430, calibrated p=0.5226.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3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mlb-pit</t>
        </is>
      </c>
      <c r="AQ169" s="24" t="inlineStr">
        <is>
          <t>Pittsburgh Pirates</t>
        </is>
      </c>
      <c r="AR169" s="24" t="inlineStr">
        <is>
          <t>Pittsburgh Pirates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433578016242b27f9c1c7132cc6b5a2bcc7dd1b0234590c12a944455a88e71bd</t>
        </is>
      </c>
      <c r="BB169" s="24" t="inlineStr">
        <is>
          <t>flat_probability_shrinkage_toward_half</t>
        </is>
      </c>
      <c r="BC169" s="24" t="inlineStr">
        <is>
          <t>measured-edge-totals-v2</t>
        </is>
      </c>
      <c r="BD169" s="24" t="inlineStr">
        <is>
          <t>433578016242b27f9c1c7132cc6b5a2bcc7dd1b0234590c12a944455a88e71bd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2026-08-03T22:56:38.586421Z</t>
        </is>
      </c>
      <c r="BI169" s="24" t="inlineStr">
        <is>
          <t>["same_event","same_team_same_day","same_league_same_day"]</t>
        </is>
      </c>
      <c r="BJ169" s="25" t="n">
        <v>8.5</v>
      </c>
      <c r="BK169" s="26" t="n">
        <v>104</v>
      </c>
      <c r="BL169" s="27" t="n">
        <v>2.04</v>
      </c>
      <c r="BM169" s="28" t="n">
        <v>0.490196</v>
      </c>
      <c r="BN169" s="28" t="n">
        <v>0.487562</v>
      </c>
      <c r="BO169" s="28" t="n"/>
      <c r="BP169" s="25" t="n"/>
      <c r="BQ169" s="27" t="n">
        <v>2.04</v>
      </c>
      <c r="BR169" s="28" t="n">
        <v>0.49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</row>
    <row r="170" ht="36" customHeight="1">
      <c r="A170" s="24" t="inlineStr">
        <is>
          <t>43a6b0cf685a4f16</t>
        </is>
      </c>
      <c r="B170" s="24" t="inlineStr">
        <is>
          <t>2026-08-03T22:56:38.586421Z</t>
        </is>
      </c>
      <c r="C170" s="24" t="inlineStr">
        <is>
          <t>2026-08-04T00:00Z</t>
        </is>
      </c>
      <c r="D170" s="24" t="inlineStr">
        <is>
          <t>401816381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Texas Rangers</t>
        </is>
      </c>
      <c r="H170" s="24" t="inlineStr">
        <is>
          <t>spread</t>
        </is>
      </c>
      <c r="I170" s="24" t="inlineStr">
        <is>
          <t>away</t>
        </is>
      </c>
      <c r="J170" s="25" t="n">
        <v>1.5</v>
      </c>
      <c r="K170" s="24" t="inlineStr">
        <is>
          <t>polymarket_us</t>
        </is>
      </c>
      <c r="L170" s="26" t="n">
        <v>-186</v>
      </c>
      <c r="M170" s="27" t="n">
        <v>1.537634</v>
      </c>
      <c r="N170" s="28" t="n">
        <v>0.65035</v>
      </c>
      <c r="O170" s="28" t="n">
        <v>0.596234</v>
      </c>
      <c r="P170" s="28" t="n">
        <v>0.042131</v>
      </c>
      <c r="Q170" s="28" t="n">
        <v>-0.054116</v>
      </c>
      <c r="R170" s="26" t="n">
        <v>0</v>
      </c>
      <c r="S170" s="29" t="n">
        <v>1.25</v>
      </c>
      <c r="T170" s="24" t="inlineStr">
        <is>
          <t>measured-edge-margin-v2</t>
        </is>
      </c>
      <c r="U170" s="24" t="inlineStr">
        <is>
          <t>settled</t>
        </is>
      </c>
      <c r="V170" s="24" t="inlineStr">
        <is>
          <t>win</t>
        </is>
      </c>
      <c r="W170" s="26" t="n">
        <v>5</v>
      </c>
      <c r="X170" s="26" t="n">
        <v>1</v>
      </c>
      <c r="Y170" s="25" t="n">
        <v>1.5</v>
      </c>
      <c r="Z170" s="26" t="n">
        <v>-186</v>
      </c>
      <c r="AA170" s="28" t="n">
        <v>0.65</v>
      </c>
      <c r="AB170" s="28" t="n">
        <v>-0.00035</v>
      </c>
      <c r="AC170" s="30" t="n">
        <v>0.672</v>
      </c>
      <c r="AD170" s="24" t="inlineStr">
        <is>
          <t>2026-08-04T03:58:00.884434Z</t>
        </is>
      </c>
      <c r="AE170" s="31" t="inlineStr">
        <is>
          <t>Measured Edge Margin: Trend Engine projected 4.50-4.74; raw selected-side p=0.6466, calibrated p=0.5962.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mlb-tex</t>
        </is>
      </c>
      <c r="AT170" s="24" t="inlineStr">
        <is>
          <t>Texas Rangers</t>
        </is>
      </c>
      <c r="AU170" s="24" t="inlineStr">
        <is>
          <t>Texas Rangers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8360b122264b796b0fb193095cfe4506c7e064e5f3f8c0a659aec41efd08dd25</t>
        </is>
      </c>
      <c r="BB170" s="24" t="inlineStr">
        <is>
          <t>flat_probability_shrinkage_toward_half</t>
        </is>
      </c>
      <c r="BC170" s="24" t="inlineStr">
        <is>
          <t>measured-edge-margin-v2</t>
        </is>
      </c>
      <c r="BD170" s="24" t="inlineStr">
        <is>
          <t>8360b122264b796b0fb193095cfe4506c7e064e5f3f8c0a659aec41efd08dd25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2026-08-03T22:56:38.586421Z</t>
        </is>
      </c>
      <c r="BI170" s="24" t="inlineStr">
        <is>
          <t>["same_event","same_team_same_day","same_league_same_day"]</t>
        </is>
      </c>
      <c r="BJ170" s="25" t="n">
        <v>1.5</v>
      </c>
      <c r="BK170" s="26" t="n">
        <v>-186</v>
      </c>
      <c r="BL170" s="27" t="n">
        <v>1.537634</v>
      </c>
      <c r="BM170" s="28" t="n">
        <v>0.65035</v>
      </c>
      <c r="BN170" s="28" t="n">
        <v>0.646766</v>
      </c>
      <c r="BO170" s="28" t="n"/>
      <c r="BP170" s="25" t="n"/>
      <c r="BQ170" s="27" t="n">
        <v>1.537634</v>
      </c>
      <c r="BR170" s="28" t="n">
        <v>0.65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</row>
    <row r="171" ht="36" customHeight="1">
      <c r="A171" s="24" t="inlineStr">
        <is>
          <t>2c52ef0f9cc246c1</t>
        </is>
      </c>
      <c r="B171" s="24" t="inlineStr">
        <is>
          <t>2026-08-03T22:56:38.586421Z</t>
        </is>
      </c>
      <c r="C171" s="24" t="inlineStr">
        <is>
          <t>2026-08-04T00:00Z</t>
        </is>
      </c>
      <c r="D171" s="24" t="inlineStr">
        <is>
          <t>401816381</t>
        </is>
      </c>
      <c r="E171" s="24" t="inlineStr">
        <is>
          <t>MLB</t>
        </is>
      </c>
      <c r="F171" s="24" t="inlineStr">
        <is>
          <t>San Francisco Giants</t>
        </is>
      </c>
      <c r="G171" s="24" t="inlineStr">
        <is>
          <t>Texas Rangers</t>
        </is>
      </c>
      <c r="H171" s="24" t="inlineStr">
        <is>
          <t>total</t>
        </is>
      </c>
      <c r="I171" s="24" t="inlineStr">
        <is>
          <t>over</t>
        </is>
      </c>
      <c r="J171" s="25" t="n">
        <v>7.5</v>
      </c>
      <c r="K171" s="24" t="inlineStr">
        <is>
          <t>polymarket_us</t>
        </is>
      </c>
      <c r="L171" s="26" t="n">
        <v>-120</v>
      </c>
      <c r="M171" s="27" t="n">
        <v>1.833333</v>
      </c>
      <c r="N171" s="28" t="n">
        <v>0.545455</v>
      </c>
      <c r="O171" s="28" t="n">
        <v>0.5452979999999999</v>
      </c>
      <c r="P171" s="28" t="n">
        <v>0.042131</v>
      </c>
      <c r="Q171" s="28" t="n">
        <v>-0.000157</v>
      </c>
      <c r="R171" s="26" t="n">
        <v>26</v>
      </c>
      <c r="S171" s="29" t="n">
        <v>1</v>
      </c>
      <c r="T171" s="24" t="inlineStr">
        <is>
          <t>measured-edge-totals-v2</t>
        </is>
      </c>
      <c r="U171" s="24" t="inlineStr">
        <is>
          <t>settled</t>
        </is>
      </c>
      <c r="V171" s="24" t="inlineStr">
        <is>
          <t>loss</t>
        </is>
      </c>
      <c r="W171" s="26" t="n">
        <v>5</v>
      </c>
      <c r="X171" s="26" t="n">
        <v>1</v>
      </c>
      <c r="Y171" s="25" t="n">
        <v>7.5</v>
      </c>
      <c r="Z171" s="26" t="n">
        <v>-120</v>
      </c>
      <c r="AA171" s="28" t="n">
        <v>0.545</v>
      </c>
      <c r="AB171" s="28" t="n">
        <v>-0.000455</v>
      </c>
      <c r="AC171" s="30" t="n">
        <v>-1</v>
      </c>
      <c r="AD171" s="24" t="inlineStr">
        <is>
          <t>2026-08-04T03:58:01.655703Z</t>
        </is>
      </c>
      <c r="AE171" s="31" t="inlineStr">
        <is>
          <t>Measured Edge Totals: Trend Engine projected 4.50-4.74; raw selected-side p=0.6093, calibrated p=0.5453.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3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mlb-sf</t>
        </is>
      </c>
      <c r="AQ171" s="24" t="inlineStr">
        <is>
          <t>San Francisco Giants</t>
        </is>
      </c>
      <c r="AR171" s="24" t="inlineStr">
        <is>
          <t>San Francisco Giants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433578016242b27f9c1c7132cc6b5a2bcc7dd1b0234590c12a944455a88e71bd</t>
        </is>
      </c>
      <c r="BB171" s="24" t="inlineStr">
        <is>
          <t>flat_probability_shrinkage_toward_half</t>
        </is>
      </c>
      <c r="BC171" s="24" t="inlineStr">
        <is>
          <t>measured-edge-totals-v2</t>
        </is>
      </c>
      <c r="BD171" s="24" t="inlineStr">
        <is>
          <t>433578016242b27f9c1c7132cc6b5a2bcc7dd1b0234590c12a944455a88e71bd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2026-08-03T22:56:38.586421Z</t>
        </is>
      </c>
      <c r="BI171" s="24" t="inlineStr">
        <is>
          <t>["same_event","same_team_same_day","same_league_same_day"]</t>
        </is>
      </c>
      <c r="BJ171" s="25" t="n">
        <v>7.5</v>
      </c>
      <c r="BK171" s="26" t="n">
        <v>-120</v>
      </c>
      <c r="BL171" s="27" t="n">
        <v>1.833333</v>
      </c>
      <c r="BM171" s="28" t="n">
        <v>0.545455</v>
      </c>
      <c r="BN171" s="28" t="n">
        <v>0.542289</v>
      </c>
      <c r="BO171" s="28" t="n"/>
      <c r="BP171" s="25" t="n"/>
      <c r="BQ171" s="27" t="n">
        <v>1.833333</v>
      </c>
      <c r="BR171" s="28" t="n">
        <v>0.545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5f8261ece40d442e</t>
        </is>
      </c>
      <c r="B172" s="24" t="inlineStr">
        <is>
          <t>2026-08-03T22:56:38.586421Z</t>
        </is>
      </c>
      <c r="C172" s="24" t="inlineStr">
        <is>
          <t>2026-08-04T00:05Z</t>
        </is>
      </c>
      <c r="D172" s="24" t="inlineStr">
        <is>
          <t>401816379</t>
        </is>
      </c>
      <c r="E172" s="24" t="inlineStr">
        <is>
          <t>MLB</t>
        </is>
      </c>
      <c r="F172" s="24" t="inlineStr">
        <is>
          <t>Los Angeles Dodgers</t>
        </is>
      </c>
      <c r="G172" s="24" t="inlineStr">
        <is>
          <t>Chicago Cubs</t>
        </is>
      </c>
      <c r="H172" s="24" t="inlineStr">
        <is>
          <t>spread</t>
        </is>
      </c>
      <c r="I172" s="24" t="inlineStr">
        <is>
          <t>home</t>
        </is>
      </c>
      <c r="J172" s="25" t="n">
        <v>1.5</v>
      </c>
      <c r="K172" s="24" t="inlineStr">
        <is>
          <t>polymarket_us</t>
        </is>
      </c>
      <c r="L172" s="26" t="n">
        <v>-147</v>
      </c>
      <c r="M172" s="27" t="n">
        <v>1.680272</v>
      </c>
      <c r="N172" s="28" t="n">
        <v>0.5951419999999999</v>
      </c>
      <c r="O172" s="28" t="n">
        <v>0.651609</v>
      </c>
      <c r="P172" s="28" t="n">
        <v>0.042131</v>
      </c>
      <c r="Q172" s="28" t="n">
        <v>0.056467</v>
      </c>
      <c r="R172" s="26" t="n">
        <v>55</v>
      </c>
      <c r="S172" s="29" t="n">
        <v>1.75</v>
      </c>
      <c r="T172" s="24" t="inlineStr">
        <is>
          <t>measured-edge-margin-v2</t>
        </is>
      </c>
      <c r="U172" s="24" t="inlineStr">
        <is>
          <t>settled</t>
        </is>
      </c>
      <c r="V172" s="24" t="inlineStr">
        <is>
          <t>win</t>
        </is>
      </c>
      <c r="W172" s="26" t="n">
        <v>5</v>
      </c>
      <c r="X172" s="26" t="n">
        <v>10</v>
      </c>
      <c r="Y172" s="25" t="n">
        <v>1.5</v>
      </c>
      <c r="Z172" s="26" t="n">
        <v>-147</v>
      </c>
      <c r="AA172" s="28" t="n">
        <v>0.595</v>
      </c>
      <c r="AB172" s="28" t="n">
        <v>-0.000142</v>
      </c>
      <c r="AC172" s="30" t="n">
        <v>1.1905</v>
      </c>
      <c r="AD172" s="24" t="inlineStr">
        <is>
          <t>2026-08-04T03:58:02.362545Z</t>
        </is>
      </c>
      <c r="AE172" s="31" t="inlineStr">
        <is>
          <t>Measured Edge Margin: Trend Engine projected 3.69-4.17; raw selected-side p=0.7310, calibrated p=0.6516.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mlb-lad</t>
        </is>
      </c>
      <c r="AQ172" s="24" t="inlineStr">
        <is>
          <t>Los Angeles Dodgers</t>
        </is>
      </c>
      <c r="AR172" s="24" t="inlineStr">
        <is>
          <t>Los Angeles Dodgers</t>
        </is>
      </c>
      <c r="AS172" s="24" t="inlineStr">
        <is>
          <t>mlb-chc</t>
        </is>
      </c>
      <c r="AT172" s="24" t="inlineStr">
        <is>
          <t>Chicago Cubs</t>
        </is>
      </c>
      <c r="AU172" s="24" t="inlineStr">
        <is>
          <t>Chicago Cubs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8360b122264b796b0fb193095cfe4506c7e064e5f3f8c0a659aec41efd08dd25</t>
        </is>
      </c>
      <c r="BB172" s="24" t="inlineStr">
        <is>
          <t>flat_probability_shrinkage_toward_half</t>
        </is>
      </c>
      <c r="BC172" s="24" t="inlineStr">
        <is>
          <t>measured-edge-margin-v2</t>
        </is>
      </c>
      <c r="BD172" s="24" t="inlineStr">
        <is>
          <t>8360b122264b796b0fb193095cfe4506c7e064e5f3f8c0a659aec41efd08dd25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2026-08-03T22:56:38.586421Z</t>
        </is>
      </c>
      <c r="BI172" s="24" t="inlineStr">
        <is>
          <t>["same_event","same_team_same_day","same_league_same_day"]</t>
        </is>
      </c>
      <c r="BJ172" s="25" t="n">
        <v>1.5</v>
      </c>
      <c r="BK172" s="26" t="n">
        <v>-147</v>
      </c>
      <c r="BL172" s="27" t="n">
        <v>1.680272</v>
      </c>
      <c r="BM172" s="28" t="n">
        <v>0.5951419999999999</v>
      </c>
      <c r="BN172" s="28" t="n">
        <v>0.59204</v>
      </c>
      <c r="BO172" s="28" t="n"/>
      <c r="BP172" s="25" t="n"/>
      <c r="BQ172" s="27" t="n">
        <v>1.680272</v>
      </c>
      <c r="BR172" s="28" t="n">
        <v>0.595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6e29118b7f614c8c</t>
        </is>
      </c>
      <c r="B173" s="24" t="inlineStr">
        <is>
          <t>2026-08-03T22:56:38.586421Z</t>
        </is>
      </c>
      <c r="C173" s="24" t="inlineStr">
        <is>
          <t>2026-08-04T00:05Z</t>
        </is>
      </c>
      <c r="D173" s="24" t="inlineStr">
        <is>
          <t>401816379</t>
        </is>
      </c>
      <c r="E173" s="24" t="inlineStr">
        <is>
          <t>MLB</t>
        </is>
      </c>
      <c r="F173" s="24" t="inlineStr">
        <is>
          <t>Los Angeles Dodgers</t>
        </is>
      </c>
      <c r="G173" s="24" t="inlineStr">
        <is>
          <t>Chicago Cubs</t>
        </is>
      </c>
      <c r="H173" s="24" t="inlineStr">
        <is>
          <t>total</t>
        </is>
      </c>
      <c r="I173" s="24" t="inlineStr">
        <is>
          <t>under</t>
        </is>
      </c>
      <c r="J173" s="25" t="n">
        <v>7.5</v>
      </c>
      <c r="K173" s="24" t="inlineStr">
        <is>
          <t>polymarket_us</t>
        </is>
      </c>
      <c r="L173" s="26" t="n">
        <v>120</v>
      </c>
      <c r="M173" s="27" t="n">
        <v>2.2</v>
      </c>
      <c r="N173" s="28" t="n">
        <v>0.454545</v>
      </c>
      <c r="O173" s="28" t="n">
        <v>0.514357</v>
      </c>
      <c r="P173" s="28" t="n">
        <v>0.042131</v>
      </c>
      <c r="Q173" s="28" t="n">
        <v>0.059812</v>
      </c>
      <c r="R173" s="26" t="n">
        <v>56</v>
      </c>
      <c r="S173" s="29" t="n">
        <v>1</v>
      </c>
      <c r="T173" s="24" t="inlineStr">
        <is>
          <t>measured-edge-totals-v2</t>
        </is>
      </c>
      <c r="U173" s="24" t="inlineStr">
        <is>
          <t>settled</t>
        </is>
      </c>
      <c r="V173" s="24" t="inlineStr">
        <is>
          <t>loss</t>
        </is>
      </c>
      <c r="W173" s="26" t="n">
        <v>5</v>
      </c>
      <c r="X173" s="26" t="n">
        <v>10</v>
      </c>
      <c r="Y173" s="25" t="n">
        <v>7.5</v>
      </c>
      <c r="Z173" s="26" t="n">
        <v>120</v>
      </c>
      <c r="AA173" s="28" t="n">
        <v>0.455</v>
      </c>
      <c r="AB173" s="28" t="n">
        <v>0.000455</v>
      </c>
      <c r="AC173" s="30" t="n">
        <v>-1</v>
      </c>
      <c r="AD173" s="24" t="inlineStr">
        <is>
          <t>2026-08-04T03:58:03.051432Z</t>
        </is>
      </c>
      <c r="AE173" s="31" t="inlineStr">
        <is>
          <t>Measured Edge Totals: Trend Engine projected 3.69-4.17; raw selected-side p=0.5188, calibrated p=0.5144.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mlb-lad</t>
        </is>
      </c>
      <c r="AQ173" s="24" t="inlineStr">
        <is>
          <t>Los Angeles Dodgers</t>
        </is>
      </c>
      <c r="AR173" s="24" t="inlineStr">
        <is>
          <t>Los Angeles Dodgers</t>
        </is>
      </c>
      <c r="AS173" s="24" t="inlineStr">
        <is>
          <t>mlb-chc</t>
        </is>
      </c>
      <c r="AT173" s="24" t="inlineStr">
        <is>
          <t>Chicago Cubs</t>
        </is>
      </c>
      <c r="AU173" s="24" t="inlineStr">
        <is>
          <t>Chicago Cubs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433578016242b27f9c1c7132cc6b5a2bcc7dd1b0234590c12a944455a88e71bd</t>
        </is>
      </c>
      <c r="BB173" s="24" t="inlineStr">
        <is>
          <t>flat_probability_shrinkage_toward_half</t>
        </is>
      </c>
      <c r="BC173" s="24" t="inlineStr">
        <is>
          <t>measured-edge-totals-v2</t>
        </is>
      </c>
      <c r="BD173" s="24" t="inlineStr">
        <is>
          <t>433578016242b27f9c1c7132cc6b5a2bcc7dd1b0234590c12a944455a88e71bd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2026-08-03T22:56:38.586421Z</t>
        </is>
      </c>
      <c r="BI173" s="24" t="inlineStr">
        <is>
          <t>["same_event","same_team_same_day","same_league_same_day"]</t>
        </is>
      </c>
      <c r="BJ173" s="25" t="n">
        <v>7.5</v>
      </c>
      <c r="BK173" s="26" t="n">
        <v>120</v>
      </c>
      <c r="BL173" s="27" t="n">
        <v>2.2</v>
      </c>
      <c r="BM173" s="28" t="n">
        <v>0.454545</v>
      </c>
      <c r="BN173" s="28" t="n">
        <v>0.452736</v>
      </c>
      <c r="BO173" s="28" t="n"/>
      <c r="BP173" s="25" t="n"/>
      <c r="BQ173" s="27" t="n">
        <v>2.2</v>
      </c>
      <c r="BR173" s="28" t="n">
        <v>0.455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</row>
    <row r="174" ht="36" customHeight="1">
      <c r="A174" s="24" t="inlineStr">
        <is>
          <t>c888eadccc884d10</t>
        </is>
      </c>
      <c r="B174" s="24" t="inlineStr">
        <is>
          <t>2026-08-03T22:56:38.586421Z</t>
        </is>
      </c>
      <c r="C174" s="24" t="inlineStr">
        <is>
          <t>2026-08-04T00:10Z</t>
        </is>
      </c>
      <c r="D174" s="24" t="inlineStr">
        <is>
          <t>401816382</t>
        </is>
      </c>
      <c r="E174" s="24" t="inlineStr">
        <is>
          <t>MLB</t>
        </is>
      </c>
      <c r="F174" s="24" t="inlineStr">
        <is>
          <t>Toronto Blue Jays</t>
        </is>
      </c>
      <c r="G174" s="24" t="inlineStr">
        <is>
          <t>Houston Astros</t>
        </is>
      </c>
      <c r="H174" s="24" t="inlineStr">
        <is>
          <t>spread</t>
        </is>
      </c>
      <c r="I174" s="24" t="inlineStr">
        <is>
          <t>away</t>
        </is>
      </c>
      <c r="J174" s="25" t="n">
        <v>1.5</v>
      </c>
      <c r="K174" s="24" t="inlineStr">
        <is>
          <t>polymarket_us</t>
        </is>
      </c>
      <c r="L174" s="26" t="n">
        <v>-156</v>
      </c>
      <c r="M174" s="27" t="n">
        <v>1.641026</v>
      </c>
      <c r="N174" s="28" t="n">
        <v>0.609375</v>
      </c>
      <c r="O174" s="28" t="n">
        <v>0.533577</v>
      </c>
      <c r="P174" s="28" t="n">
        <v>0.05172</v>
      </c>
      <c r="Q174" s="28" t="n">
        <v>-0.075798</v>
      </c>
      <c r="R174" s="26" t="n">
        <v>0</v>
      </c>
      <c r="S174" s="29" t="n">
        <v>1</v>
      </c>
      <c r="T174" s="24" t="inlineStr">
        <is>
          <t>measured-edge-margin-v2</t>
        </is>
      </c>
      <c r="U174" s="24" t="inlineStr">
        <is>
          <t>settled</t>
        </is>
      </c>
      <c r="V174" s="24" t="inlineStr">
        <is>
          <t>win</t>
        </is>
      </c>
      <c r="W174" s="26" t="n">
        <v>3</v>
      </c>
      <c r="X174" s="26" t="n">
        <v>1</v>
      </c>
      <c r="Y174" s="25" t="n">
        <v>1.5</v>
      </c>
      <c r="Z174" s="26" t="n">
        <v>-156</v>
      </c>
      <c r="AA174" s="28" t="n">
        <v>0.61</v>
      </c>
      <c r="AB174" s="28" t="n">
        <v>0.000625</v>
      </c>
      <c r="AC174" s="30" t="n">
        <v>0.641</v>
      </c>
      <c r="AD174" s="24" t="inlineStr">
        <is>
          <t>2026-08-04T03:58:03.763570Z</t>
        </is>
      </c>
      <c r="AE174" s="31" t="inlineStr">
        <is>
          <t>Measured Edge Margin: Trend Engine projected 4.45-5.54; raw selected-side p=0.5511, calibrated p=0.5336.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mlb-tor</t>
        </is>
      </c>
      <c r="AQ174" s="24" t="inlineStr">
        <is>
          <t>Toronto Blue Jays</t>
        </is>
      </c>
      <c r="AR174" s="24" t="inlineStr">
        <is>
          <t>Toronto Blue Jays</t>
        </is>
      </c>
      <c r="AS174" s="24" t="inlineStr">
        <is>
          <t>mlb-hou</t>
        </is>
      </c>
      <c r="AT174" s="24" t="inlineStr">
        <is>
          <t>Houston Astros</t>
        </is>
      </c>
      <c r="AU174" s="24" t="inlineStr">
        <is>
          <t>Houston Astros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8360b122264b796b0fb193095cfe4506c7e064e5f3f8c0a659aec41efd08dd25</t>
        </is>
      </c>
      <c r="BB174" s="24" t="inlineStr">
        <is>
          <t>flat_probability_shrinkage_toward_half</t>
        </is>
      </c>
      <c r="BC174" s="24" t="inlineStr">
        <is>
          <t>measured-edge-margin-v2</t>
        </is>
      </c>
      <c r="BD174" s="24" t="inlineStr">
        <is>
          <t>8360b122264b796b0fb193095cfe4506c7e064e5f3f8c0a659aec41efd08dd25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2026-08-03T22:56:38.586421Z</t>
        </is>
      </c>
      <c r="BI174" s="24" t="inlineStr">
        <is>
          <t>["same_event","same_team_same_day","same_league_same_day"]</t>
        </is>
      </c>
      <c r="BJ174" s="25" t="n">
        <v>1.5</v>
      </c>
      <c r="BK174" s="26" t="n">
        <v>-156</v>
      </c>
      <c r="BL174" s="27" t="n">
        <v>1.641026</v>
      </c>
      <c r="BM174" s="28" t="n">
        <v>0.609375</v>
      </c>
      <c r="BN174" s="28" t="n">
        <v>0.606965</v>
      </c>
      <c r="BO174" s="28" t="n"/>
      <c r="BP174" s="25" t="n"/>
      <c r="BQ174" s="27" t="n">
        <v>1.641026</v>
      </c>
      <c r="BR174" s="28" t="n">
        <v>0.61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f1eb989b76e9462d</t>
        </is>
      </c>
      <c r="B175" s="24" t="inlineStr">
        <is>
          <t>2026-08-03T22:56:38.586421Z</t>
        </is>
      </c>
      <c r="C175" s="24" t="inlineStr">
        <is>
          <t>2026-08-04T00:10Z</t>
        </is>
      </c>
      <c r="D175" s="24" t="inlineStr">
        <is>
          <t>401816382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Houston Astros</t>
        </is>
      </c>
      <c r="H175" s="24" t="inlineStr">
        <is>
          <t>total</t>
        </is>
      </c>
      <c r="I175" s="24" t="inlineStr">
        <is>
          <t>under</t>
        </is>
      </c>
      <c r="J175" s="25" t="n">
        <v>9.5</v>
      </c>
      <c r="K175" s="24" t="inlineStr">
        <is>
          <t>polymarket_us</t>
        </is>
      </c>
      <c r="L175" s="26" t="n">
        <v>-115</v>
      </c>
      <c r="M175" s="27" t="n">
        <v>1.869565</v>
      </c>
      <c r="N175" s="28" t="n">
        <v>0.534884</v>
      </c>
      <c r="O175" s="28" t="n">
        <v>0.511777</v>
      </c>
      <c r="P175" s="28" t="n">
        <v>0.05172</v>
      </c>
      <c r="Q175" s="28" t="n">
        <v>-0.023107</v>
      </c>
      <c r="R175" s="26" t="n">
        <v>9</v>
      </c>
      <c r="S175" s="29" t="n">
        <v>1</v>
      </c>
      <c r="T175" s="24" t="inlineStr">
        <is>
          <t>measured-edge-totals-v2</t>
        </is>
      </c>
      <c r="U175" s="24" t="inlineStr">
        <is>
          <t>settled</t>
        </is>
      </c>
      <c r="V175" s="24" t="inlineStr">
        <is>
          <t>win</t>
        </is>
      </c>
      <c r="W175" s="26" t="n">
        <v>3</v>
      </c>
      <c r="X175" s="26" t="n">
        <v>1</v>
      </c>
      <c r="Y175" s="25" t="n">
        <v>9.5</v>
      </c>
      <c r="Z175" s="26" t="n">
        <v>-115</v>
      </c>
      <c r="AA175" s="28" t="n">
        <v>0.535</v>
      </c>
      <c r="AB175" s="28" t="n">
        <v>0.000116</v>
      </c>
      <c r="AC175" s="30" t="n">
        <v>0.8696</v>
      </c>
      <c r="AD175" s="24" t="inlineStr">
        <is>
          <t>2026-08-04T03:58:04.496859Z</t>
        </is>
      </c>
      <c r="AE175" s="31" t="inlineStr">
        <is>
          <t>Measured Edge Totals: Trend Engine projected 4.45-5.54; raw selected-side p=0.5112, calibrated p=0.5118.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mlb-hou</t>
        </is>
      </c>
      <c r="AT175" s="24" t="inlineStr">
        <is>
          <t>Houston Astros</t>
        </is>
      </c>
      <c r="AU175" s="24" t="inlineStr">
        <is>
          <t>Houston Astros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433578016242b27f9c1c7132cc6b5a2bcc7dd1b0234590c12a944455a88e71bd</t>
        </is>
      </c>
      <c r="BB175" s="24" t="inlineStr">
        <is>
          <t>flat_probability_shrinkage_toward_half</t>
        </is>
      </c>
      <c r="BC175" s="24" t="inlineStr">
        <is>
          <t>measured-edge-totals-v2</t>
        </is>
      </c>
      <c r="BD175" s="24" t="inlineStr">
        <is>
          <t>433578016242b27f9c1c7132cc6b5a2bcc7dd1b0234590c12a944455a88e71bd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2026-08-03T22:56:38.586421Z</t>
        </is>
      </c>
      <c r="BI175" s="24" t="inlineStr">
        <is>
          <t>["same_event","same_team_same_day","same_league_same_day"]</t>
        </is>
      </c>
      <c r="BJ175" s="25" t="n">
        <v>9.5</v>
      </c>
      <c r="BK175" s="26" t="n">
        <v>-115</v>
      </c>
      <c r="BL175" s="27" t="n">
        <v>1.869565</v>
      </c>
      <c r="BM175" s="28" t="n">
        <v>0.534884</v>
      </c>
      <c r="BN175" s="28" t="n">
        <v>0.532338</v>
      </c>
      <c r="BO175" s="28" t="n"/>
      <c r="BP175" s="25" t="n"/>
      <c r="BQ175" s="27" t="n">
        <v>1.869565</v>
      </c>
      <c r="BR175" s="28" t="n">
        <v>0.535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</row>
    <row r="176" ht="36" customHeight="1">
      <c r="A176" s="24" t="inlineStr">
        <is>
          <t>a4753f38fd7e4d60</t>
        </is>
      </c>
      <c r="B176" s="24" t="inlineStr">
        <is>
          <t>2026-08-03T22:56:38.586421Z</t>
        </is>
      </c>
      <c r="C176" s="24" t="inlineStr">
        <is>
          <t>2026-08-04T00:40Z</t>
        </is>
      </c>
      <c r="D176" s="24" t="inlineStr">
        <is>
          <t>401816383</t>
        </is>
      </c>
      <c r="E176" s="24" t="inlineStr">
        <is>
          <t>MLB</t>
        </is>
      </c>
      <c r="F176" s="24" t="inlineStr">
        <is>
          <t>Tampa Bay Rays</t>
        </is>
      </c>
      <c r="G176" s="24" t="inlineStr">
        <is>
          <t>Colorado Rockies</t>
        </is>
      </c>
      <c r="H176" s="24" t="inlineStr">
        <is>
          <t>spread</t>
        </is>
      </c>
      <c r="I176" s="24" t="inlineStr">
        <is>
          <t>home</t>
        </is>
      </c>
      <c r="J176" s="25" t="n">
        <v>1.5</v>
      </c>
      <c r="K176" s="24" t="inlineStr">
        <is>
          <t>polymarket_us</t>
        </is>
      </c>
      <c r="L176" s="26" t="n">
        <v>108</v>
      </c>
      <c r="M176" s="27" t="n">
        <v>2.08</v>
      </c>
      <c r="N176" s="28" t="n">
        <v>0.480769</v>
      </c>
      <c r="O176" s="28" t="n">
        <v>0.623102</v>
      </c>
      <c r="P176" s="28" t="n">
        <v>0.042131</v>
      </c>
      <c r="Q176" s="28" t="n">
        <v>0.142333</v>
      </c>
      <c r="R176" s="26" t="n">
        <v>97</v>
      </c>
      <c r="S176" s="29" t="n">
        <v>1.5</v>
      </c>
      <c r="T176" s="24" t="inlineStr">
        <is>
          <t>measured-edge-margin-v2</t>
        </is>
      </c>
      <c r="U176" s="24" t="inlineStr">
        <is>
          <t>settled</t>
        </is>
      </c>
      <c r="V176" s="24" t="inlineStr">
        <is>
          <t>loss</t>
        </is>
      </c>
      <c r="W176" s="26" t="n">
        <v>13</v>
      </c>
      <c r="X176" s="26" t="n">
        <v>9</v>
      </c>
      <c r="Y176" s="25" t="n">
        <v>1.5</v>
      </c>
      <c r="Z176" s="26" t="n">
        <v>108</v>
      </c>
      <c r="AA176" s="28" t="n">
        <v>0.48</v>
      </c>
      <c r="AB176" s="28" t="n">
        <v>-0.000769</v>
      </c>
      <c r="AC176" s="30" t="n">
        <v>-1.5</v>
      </c>
      <c r="AD176" s="24" t="inlineStr">
        <is>
          <t>2026-08-04T03:58:05.180395Z</t>
        </is>
      </c>
      <c r="AE176" s="31" t="inlineStr">
        <is>
          <t>Measured Edge Margin: Trend Engine projected 5.20-5.67; raw selected-side p=0.6875, calibrated p=0.6231.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3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mlb-tb</t>
        </is>
      </c>
      <c r="AQ176" s="24" t="inlineStr">
        <is>
          <t>Tampa Bay Rays</t>
        </is>
      </c>
      <c r="AR176" s="24" t="inlineStr">
        <is>
          <t>Tampa Bay Rays</t>
        </is>
      </c>
      <c r="AS176" s="24" t="inlineStr">
        <is>
          <t>mlb-col</t>
        </is>
      </c>
      <c r="AT176" s="24" t="inlineStr">
        <is>
          <t>Colorado Rockies</t>
        </is>
      </c>
      <c r="AU176" s="24" t="inlineStr">
        <is>
          <t>Colorado Rockies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8360b122264b796b0fb193095cfe4506c7e064e5f3f8c0a659aec41efd08dd25</t>
        </is>
      </c>
      <c r="BB176" s="24" t="inlineStr">
        <is>
          <t>flat_probability_shrinkage_toward_half</t>
        </is>
      </c>
      <c r="BC176" s="24" t="inlineStr">
        <is>
          <t>measured-edge-margin-v2</t>
        </is>
      </c>
      <c r="BD176" s="24" t="inlineStr">
        <is>
          <t>8360b122264b796b0fb193095cfe4506c7e064e5f3f8c0a659aec41efd08dd25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2026-08-03T22:56:38.586421Z</t>
        </is>
      </c>
      <c r="BI176" s="24" t="inlineStr">
        <is>
          <t>["same_event","same_team_same_day","same_league_same_day"]</t>
        </is>
      </c>
      <c r="BJ176" s="25" t="n">
        <v>1.5</v>
      </c>
      <c r="BK176" s="26" t="n">
        <v>108</v>
      </c>
      <c r="BL176" s="27" t="n">
        <v>2.08</v>
      </c>
      <c r="BM176" s="28" t="n">
        <v>0.480769</v>
      </c>
      <c r="BN176" s="28" t="n">
        <v>0.477612</v>
      </c>
      <c r="BO176" s="28" t="n"/>
      <c r="BP176" s="25" t="n"/>
      <c r="BQ176" s="27" t="n">
        <v>2.08</v>
      </c>
      <c r="BR176" s="28" t="n">
        <v>0.48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</row>
    <row r="177" ht="36" customHeight="1">
      <c r="A177" s="24" t="inlineStr">
        <is>
          <t>ffa417ff10f94d92</t>
        </is>
      </c>
      <c r="B177" s="24" t="inlineStr">
        <is>
          <t>2026-08-03T22:56:38.586421Z</t>
        </is>
      </c>
      <c r="C177" s="24" t="inlineStr">
        <is>
          <t>2026-08-04T00:40Z</t>
        </is>
      </c>
      <c r="D177" s="24" t="inlineStr">
        <is>
          <t>401816383</t>
        </is>
      </c>
      <c r="E177" s="24" t="inlineStr">
        <is>
          <t>MLB</t>
        </is>
      </c>
      <c r="F177" s="24" t="inlineStr">
        <is>
          <t>Tampa Bay Rays</t>
        </is>
      </c>
      <c r="G177" s="24" t="inlineStr">
        <is>
          <t>Colorado Rockies</t>
        </is>
      </c>
      <c r="H177" s="24" t="inlineStr">
        <is>
          <t>total</t>
        </is>
      </c>
      <c r="I177" s="24" t="inlineStr">
        <is>
          <t>under</t>
        </is>
      </c>
      <c r="J177" s="25" t="n">
        <v>11.5</v>
      </c>
      <c r="K177" s="24" t="inlineStr">
        <is>
          <t>polymarket_us</t>
        </is>
      </c>
      <c r="L177" s="26" t="n">
        <v>-111</v>
      </c>
      <c r="M177" s="27" t="n">
        <v>1.900901</v>
      </c>
      <c r="N177" s="28" t="n">
        <v>0.526066</v>
      </c>
      <c r="O177" s="28" t="n">
        <v>0.542428</v>
      </c>
      <c r="P177" s="28" t="n">
        <v>0.042131</v>
      </c>
      <c r="Q177" s="28" t="n">
        <v>0.016362</v>
      </c>
      <c r="R177" s="26" t="n">
        <v>35</v>
      </c>
      <c r="S177" s="29" t="n">
        <v>1</v>
      </c>
      <c r="T177" s="24" t="inlineStr">
        <is>
          <t>measured-edge-totals-v2</t>
        </is>
      </c>
      <c r="U177" s="24" t="inlineStr">
        <is>
          <t>settled</t>
        </is>
      </c>
      <c r="V177" s="24" t="inlineStr">
        <is>
          <t>loss</t>
        </is>
      </c>
      <c r="W177" s="26" t="n">
        <v>13</v>
      </c>
      <c r="X177" s="26" t="n">
        <v>9</v>
      </c>
      <c r="Y177" s="25" t="n">
        <v>11.5</v>
      </c>
      <c r="Z177" s="26" t="n">
        <v>-111</v>
      </c>
      <c r="AA177" s="28" t="n">
        <v>0.525</v>
      </c>
      <c r="AB177" s="28" t="n">
        <v>-0.001066</v>
      </c>
      <c r="AC177" s="30" t="n">
        <v>-1</v>
      </c>
      <c r="AD177" s="24" t="inlineStr">
        <is>
          <t>2026-08-04T03:58:05.874905Z</t>
        </is>
      </c>
      <c r="AE177" s="31" t="inlineStr">
        <is>
          <t>Measured Edge Totals: Trend Engine projected 5.20-5.67; raw selected-side p=0.6009, calibrated p=0.5424.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3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mlb-tb</t>
        </is>
      </c>
      <c r="AQ177" s="24" t="inlineStr">
        <is>
          <t>Tampa Bay Rays</t>
        </is>
      </c>
      <c r="AR177" s="24" t="inlineStr">
        <is>
          <t>Tampa Bay Rays</t>
        </is>
      </c>
      <c r="AS177" s="24" t="inlineStr">
        <is>
          <t>mlb-col</t>
        </is>
      </c>
      <c r="AT177" s="24" t="inlineStr">
        <is>
          <t>Colorado Rockies</t>
        </is>
      </c>
      <c r="AU177" s="24" t="inlineStr">
        <is>
          <t>Colorado Rockies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433578016242b27f9c1c7132cc6b5a2bcc7dd1b0234590c12a944455a88e71bd</t>
        </is>
      </c>
      <c r="BB177" s="24" t="inlineStr">
        <is>
          <t>flat_probability_shrinkage_toward_half</t>
        </is>
      </c>
      <c r="BC177" s="24" t="inlineStr">
        <is>
          <t>measured-edge-totals-v2</t>
        </is>
      </c>
      <c r="BD177" s="24" t="inlineStr">
        <is>
          <t>433578016242b27f9c1c7132cc6b5a2bcc7dd1b0234590c12a944455a88e71bd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2026-08-03T22:56:38.586421Z</t>
        </is>
      </c>
      <c r="BI177" s="24" t="inlineStr">
        <is>
          <t>["same_event","same_team_same_day","same_league_same_day"]</t>
        </is>
      </c>
      <c r="BJ177" s="25" t="n">
        <v>11.5</v>
      </c>
      <c r="BK177" s="26" t="n">
        <v>-111</v>
      </c>
      <c r="BL177" s="27" t="n">
        <v>1.900901</v>
      </c>
      <c r="BM177" s="28" t="n">
        <v>0.526066</v>
      </c>
      <c r="BN177" s="28" t="n">
        <v>0.522388</v>
      </c>
      <c r="BO177" s="28" t="n"/>
      <c r="BP177" s="25" t="n"/>
      <c r="BQ177" s="27" t="n">
        <v>1.900901</v>
      </c>
      <c r="BR177" s="28" t="n">
        <v>0.525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</row>
    <row r="178" ht="36" customHeight="1">
      <c r="A178" s="24" t="inlineStr">
        <is>
          <t>31fdb83f8b4c4d64</t>
        </is>
      </c>
      <c r="B178" s="24" t="inlineStr">
        <is>
          <t>2026-08-03T22:56:38.586421Z</t>
        </is>
      </c>
      <c r="C178" s="24" t="inlineStr">
        <is>
          <t>2026-08-04T01:40Z</t>
        </is>
      </c>
      <c r="D178" s="24" t="inlineStr">
        <is>
          <t>401815079</t>
        </is>
      </c>
      <c r="E178" s="24" t="inlineStr">
        <is>
          <t>MLB</t>
        </is>
      </c>
      <c r="F178" s="24" t="inlineStr">
        <is>
          <t>San Diego Padres</t>
        </is>
      </c>
      <c r="G178" s="24" t="inlineStr">
        <is>
          <t>Arizona Diamondbacks</t>
        </is>
      </c>
      <c r="H178" s="24" t="inlineStr">
        <is>
          <t>spread</t>
        </is>
      </c>
      <c r="I178" s="24" t="inlineStr">
        <is>
          <t>home</t>
        </is>
      </c>
      <c r="J178" s="25" t="n">
        <v>1.5</v>
      </c>
      <c r="K178" s="24" t="inlineStr">
        <is>
          <t>polymarket_us</t>
        </is>
      </c>
      <c r="L178" s="26" t="n">
        <v>-174</v>
      </c>
      <c r="M178" s="27" t="n">
        <v>1.574713</v>
      </c>
      <c r="N178" s="28" t="n">
        <v>0.635036</v>
      </c>
      <c r="O178" s="28" t="n">
        <v>0.625824</v>
      </c>
      <c r="P178" s="28" t="n">
        <v>0.042131</v>
      </c>
      <c r="Q178" s="28" t="n">
        <v>-0.009212</v>
      </c>
      <c r="R178" s="26" t="n">
        <v>22</v>
      </c>
      <c r="S178" s="29" t="n">
        <v>1.5</v>
      </c>
      <c r="T178" s="24" t="inlineStr">
        <is>
          <t>measured-edge-margin-v2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5</v>
      </c>
      <c r="Y178" s="25" t="n">
        <v>1.5</v>
      </c>
      <c r="Z178" s="26" t="n">
        <v>-174</v>
      </c>
      <c r="AA178" s="28" t="n">
        <v>0.635</v>
      </c>
      <c r="AB178" s="28" t="n">
        <v>-3.6e-05</v>
      </c>
      <c r="AC178" s="30" t="n">
        <v>0.8621</v>
      </c>
      <c r="AD178" s="24" t="inlineStr">
        <is>
          <t>2026-08-04T05:15:17.970643Z</t>
        </is>
      </c>
      <c r="AE178" s="31" t="inlineStr">
        <is>
          <t>Measured Edge Margin: Trend Engine projected 4.26-4.48; raw selected-side p=0.6917, calibrated p=0.6258.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3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mlb-sd</t>
        </is>
      </c>
      <c r="AQ178" s="24" t="inlineStr">
        <is>
          <t>San Diego Padres</t>
        </is>
      </c>
      <c r="AR178" s="24" t="inlineStr">
        <is>
          <t>San Diego Padres</t>
        </is>
      </c>
      <c r="AS178" s="24" t="inlineStr">
        <is>
          <t>mlb-ari</t>
        </is>
      </c>
      <c r="AT178" s="24" t="inlineStr">
        <is>
          <t>Arizona Diamondbacks</t>
        </is>
      </c>
      <c r="AU178" s="24" t="inlineStr">
        <is>
          <t>Arizona Diamondbacks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8360b122264b796b0fb193095cfe4506c7e064e5f3f8c0a659aec41efd08dd25</t>
        </is>
      </c>
      <c r="BB178" s="24" t="inlineStr">
        <is>
          <t>flat_probability_shrinkage_toward_half</t>
        </is>
      </c>
      <c r="BC178" s="24" t="inlineStr">
        <is>
          <t>measured-edge-margin-v2</t>
        </is>
      </c>
      <c r="BD178" s="24" t="inlineStr">
        <is>
          <t>8360b122264b796b0fb193095cfe4506c7e064e5f3f8c0a659aec41efd08dd25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2026-08-03T22:56:38.586421Z</t>
        </is>
      </c>
      <c r="BI178" s="24" t="inlineStr">
        <is>
          <t>["same_event","same_team_same_day","same_league_same_day"]</t>
        </is>
      </c>
      <c r="BJ178" s="25" t="n">
        <v>1.5</v>
      </c>
      <c r="BK178" s="26" t="n">
        <v>-174</v>
      </c>
      <c r="BL178" s="27" t="n">
        <v>1.574713</v>
      </c>
      <c r="BM178" s="28" t="n">
        <v>0.635036</v>
      </c>
      <c r="BN178" s="28" t="n">
        <v>0.631841</v>
      </c>
      <c r="BO178" s="28" t="n"/>
      <c r="BP178" s="25" t="n"/>
      <c r="BQ178" s="27" t="n">
        <v>1.574713</v>
      </c>
      <c r="BR178" s="28" t="n">
        <v>0.635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b788ccf3ae75456d</t>
        </is>
      </c>
      <c r="B179" s="24" t="inlineStr">
        <is>
          <t>2026-08-03T22:56:38.586421Z</t>
        </is>
      </c>
      <c r="C179" s="24" t="inlineStr">
        <is>
          <t>2026-08-04T01:40Z</t>
        </is>
      </c>
      <c r="D179" s="24" t="inlineStr">
        <is>
          <t>401815079</t>
        </is>
      </c>
      <c r="E179" s="24" t="inlineStr">
        <is>
          <t>MLB</t>
        </is>
      </c>
      <c r="F179" s="24" t="inlineStr">
        <is>
          <t>San Diego Padres</t>
        </is>
      </c>
      <c r="G179" s="24" t="inlineStr">
        <is>
          <t>Arizona Diamondbacks</t>
        </is>
      </c>
      <c r="H179" s="24" t="inlineStr">
        <is>
          <t>total</t>
        </is>
      </c>
      <c r="I179" s="24" t="inlineStr">
        <is>
          <t>under</t>
        </is>
      </c>
      <c r="J179" s="25" t="n">
        <v>8.5</v>
      </c>
      <c r="K179" s="24" t="inlineStr">
        <is>
          <t>polymarket_us</t>
        </is>
      </c>
      <c r="L179" s="26" t="n">
        <v>115</v>
      </c>
      <c r="M179" s="27" t="n">
        <v>2.15</v>
      </c>
      <c r="N179" s="28" t="n">
        <v>0.465116</v>
      </c>
      <c r="O179" s="28" t="n">
        <v>0.510872</v>
      </c>
      <c r="P179" s="28" t="n">
        <v>0.042131</v>
      </c>
      <c r="Q179" s="28" t="n">
        <v>0.045756</v>
      </c>
      <c r="R179" s="26" t="n">
        <v>49</v>
      </c>
      <c r="S179" s="29" t="n">
        <v>1</v>
      </c>
      <c r="T179" s="24" t="inlineStr">
        <is>
          <t>measured-edge-totals-v2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5</v>
      </c>
      <c r="Y179" s="25" t="n">
        <v>8.5</v>
      </c>
      <c r="Z179" s="26" t="n">
        <v>115</v>
      </c>
      <c r="AA179" s="28" t="n">
        <v>0.465</v>
      </c>
      <c r="AB179" s="28" t="n">
        <v>-0.000116</v>
      </c>
      <c r="AC179" s="30" t="n">
        <v>1.15</v>
      </c>
      <c r="AD179" s="24" t="inlineStr">
        <is>
          <t>2026-08-04T05:15:18.668080Z</t>
        </is>
      </c>
      <c r="AE179" s="31" t="inlineStr">
        <is>
          <t>Measured Edge Totals: Trend Engine projected 4.26-4.48; raw selected-side p=0.5085, calibrated p=0.5109.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mlb-sd</t>
        </is>
      </c>
      <c r="AQ179" s="24" t="inlineStr">
        <is>
          <t>San Diego Padres</t>
        </is>
      </c>
      <c r="AR179" s="24" t="inlineStr">
        <is>
          <t>San Diego Padres</t>
        </is>
      </c>
      <c r="AS179" s="24" t="inlineStr">
        <is>
          <t>mlb-ari</t>
        </is>
      </c>
      <c r="AT179" s="24" t="inlineStr">
        <is>
          <t>Arizona Diamondbacks</t>
        </is>
      </c>
      <c r="AU179" s="24" t="inlineStr">
        <is>
          <t>Arizona Diamondbacks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433578016242b27f9c1c7132cc6b5a2bcc7dd1b0234590c12a944455a88e71bd</t>
        </is>
      </c>
      <c r="BB179" s="24" t="inlineStr">
        <is>
          <t>flat_probability_shrinkage_toward_half</t>
        </is>
      </c>
      <c r="BC179" s="24" t="inlineStr">
        <is>
          <t>measured-edge-totals-v2</t>
        </is>
      </c>
      <c r="BD179" s="24" t="inlineStr">
        <is>
          <t>433578016242b27f9c1c7132cc6b5a2bcc7dd1b0234590c12a944455a88e71bd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2026-08-03T22:56:38.586421Z</t>
        </is>
      </c>
      <c r="BI179" s="24" t="inlineStr">
        <is>
          <t>["same_event","same_team_same_day","same_league_same_day"]</t>
        </is>
      </c>
      <c r="BJ179" s="25" t="n">
        <v>8.5</v>
      </c>
      <c r="BK179" s="26" t="n">
        <v>115</v>
      </c>
      <c r="BL179" s="27" t="n">
        <v>2.15</v>
      </c>
      <c r="BM179" s="28" t="n">
        <v>0.465116</v>
      </c>
      <c r="BN179" s="28" t="n">
        <v>0.462687</v>
      </c>
      <c r="BO179" s="28" t="n"/>
      <c r="BP179" s="25" t="n"/>
      <c r="BQ179" s="27" t="n">
        <v>2.15</v>
      </c>
      <c r="BR179" s="28" t="n">
        <v>0.465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9fcf54808265454b</t>
        </is>
      </c>
      <c r="B180" s="24" t="inlineStr">
        <is>
          <t>2026-08-05T01:07:48.070985Z</t>
        </is>
      </c>
      <c r="C180" s="24" t="inlineStr">
        <is>
          <t>2026-08-04T21:40:00-0400</t>
        </is>
      </c>
      <c r="D180" s="24" t="inlineStr">
        <is>
          <t>401816397</t>
        </is>
      </c>
      <c r="E180" s="24" t="inlineStr">
        <is>
          <t>MLB</t>
        </is>
      </c>
      <c r="F180" s="24" t="inlineStr">
        <is>
          <t>Detroit Tigers</t>
        </is>
      </c>
      <c r="G180" s="24" t="inlineStr">
        <is>
          <t>Seattle Mariners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-115</v>
      </c>
      <c r="M180" s="27" t="n">
        <v>1.869565</v>
      </c>
      <c r="N180" s="28" t="n">
        <v>0.534884</v>
      </c>
      <c r="O180" s="28" t="n">
        <v>0.545643</v>
      </c>
      <c r="P180" s="28" t="n"/>
      <c r="Q180" s="28" t="n">
        <v>0.010759</v>
      </c>
      <c r="R180" s="26" t="n">
        <v>27</v>
      </c>
      <c r="S180" s="29" t="n">
        <v>0</v>
      </c>
      <c r="T180" s="24" t="inlineStr">
        <is>
          <t>mlb-elo-trend-lr-v8</t>
        </is>
      </c>
      <c r="U180" s="24" t="inlineStr">
        <is>
          <t>settled</t>
        </is>
      </c>
      <c r="V180" s="24" t="inlineStr">
        <is>
          <t>loss</t>
        </is>
      </c>
      <c r="W180" s="26" t="n">
        <v>8</v>
      </c>
      <c r="X180" s="26" t="n">
        <v>0</v>
      </c>
      <c r="Y180" s="25" t="n"/>
      <c r="Z180" s="26" t="n">
        <v>-115</v>
      </c>
      <c r="AA180" s="28" t="n">
        <v>0.535</v>
      </c>
      <c r="AB180" s="28" t="n">
        <v>0.000116</v>
      </c>
      <c r="AC180" s="30" t="n">
        <v>0</v>
      </c>
      <c r="AD180" s="24" t="inlineStr">
        <is>
          <t>2026-08-05T04:21:31.515245Z</t>
        </is>
      </c>
      <c r="AE180" s="31" t="inlineStr">
        <is>
          <t>Learned LR call at threshold 0.5873; executable ask 0.5350 (aec-mlb-det-sea-2026-08-04); model edge vs ask +0.0106.</t>
        </is>
      </c>
      <c r="AF180" s="31" t="inlineStr">
        <is>
          <t>Learned model; shadow-qualified via operator override.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NO_CALL_BELOW_LEARNED_CONFIDENCE</t>
        </is>
      </c>
      <c r="AP180" s="24" t="inlineStr">
        <is>
          <t>mlb-det</t>
        </is>
      </c>
      <c r="AQ180" s="24" t="inlineStr">
        <is>
          <t>Detroit Tigers</t>
        </is>
      </c>
      <c r="AR180" s="24" t="inlineStr">
        <is>
          <t>Detroit Tigers</t>
        </is>
      </c>
      <c r="AS180" s="24" t="inlineStr">
        <is>
          <t>mlb-sea</t>
        </is>
      </c>
      <c r="AT180" s="24" t="inlineStr">
        <is>
          <t>Seattle Mariners</t>
        </is>
      </c>
      <c r="AU180" s="24" t="inlineStr">
        <is>
          <t>Seattle Mariners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6a5c79541b0e50cb9f7318270e63d5ccc65cbd7bc53a019748ff772d49de5075</t>
        </is>
      </c>
      <c r="BB180" s="24" t="inlineStr">
        <is>
          <t>learned_lr</t>
        </is>
      </c>
      <c r="BC180" s="24" t="inlineStr">
        <is>
          <t>mlb-elo-trend-lr-v8</t>
        </is>
      </c>
      <c r="BD180" s="24" t="inlineStr">
        <is>
          <t>6a5c79541b0e50cb9f7318270e63d5ccc65cbd7bc53a019748ff772d49de5075</t>
        </is>
      </c>
      <c r="BE180" s="24" t="inlineStr">
        <is>
          <t>74edfb020976515b</t>
        </is>
      </c>
      <c r="BF180" s="24" t="inlineStr">
        <is>
          <t>1</t>
        </is>
      </c>
      <c r="BG180" s="24" t="inlineStr">
        <is>
          <t>mlb-elo-trend-lr-v8</t>
        </is>
      </c>
      <c r="BH180" s="24" t="inlineStr">
        <is>
          <t>2026-08-05T01:07:10.847192Z</t>
        </is>
      </c>
      <c r="BI180" s="24" t="inlineStr">
        <is>
          <t>["same_event","same_team_same_day","same_league_same_day"]</t>
        </is>
      </c>
      <c r="BJ180" s="25" t="n"/>
      <c r="BK180" s="26" t="n">
        <v>-115</v>
      </c>
      <c r="BL180" s="27" t="n">
        <v>1.869565</v>
      </c>
      <c r="BM180" s="28" t="n">
        <v>0.534884</v>
      </c>
      <c r="BN180" s="28" t="n">
        <v>0.532338</v>
      </c>
      <c r="BO180" s="28" t="n"/>
      <c r="BP180" s="25" t="n"/>
      <c r="BQ180" s="27" t="n">
        <v>1.869565</v>
      </c>
      <c r="BR180" s="28" t="n">
        <v>0.535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inlineStr">
        <is>
          <t>0.5187867444</t>
        </is>
      </c>
      <c r="CD180" s="24" t="inlineStr">
        <is>
          <t>-2.251026</t>
        </is>
      </c>
      <c r="CE180" s="24" t="inlineStr">
        <is>
          <t>0.936</t>
        </is>
      </c>
      <c r="CF180" s="24" t="inlineStr">
        <is>
          <t>1.0</t>
        </is>
      </c>
      <c r="CG180" s="24" t="n"/>
      <c r="CH180" s="24" t="n"/>
      <c r="CI180" s="24" t="n"/>
      <c r="CJ180" s="24" t="inlineStr">
        <is>
          <t>-0.995971</t>
        </is>
      </c>
      <c r="CK180" s="24" t="n"/>
      <c r="CL180" s="24" t="inlineStr">
        <is>
          <t>0.290771</t>
        </is>
      </c>
      <c r="CM180" s="24" t="inlineStr">
        <is>
          <t>3.6429</t>
        </is>
      </c>
      <c r="CN180" s="24" t="n"/>
      <c r="CO180" s="24" t="n"/>
      <c r="CP180" s="24" t="n"/>
      <c r="CQ180" s="24" t="n"/>
      <c r="CR180" s="24" t="inlineStr">
        <is>
          <t>0.545643</t>
        </is>
      </c>
      <c r="CS180" s="24" t="inlineStr">
        <is>
          <t>True</t>
        </is>
      </c>
    </row>
    <row r="181" ht="36" customHeight="1">
      <c r="A181" s="24" t="inlineStr">
        <is>
          <t>b8aa6ed09819434f</t>
        </is>
      </c>
      <c r="B181" s="24" t="inlineStr">
        <is>
          <t>2026-08-05T01:07:48.070985Z</t>
        </is>
      </c>
      <c r="C181" s="24" t="inlineStr">
        <is>
          <t>2026-08-04T21:40:00-0400</t>
        </is>
      </c>
      <c r="D181" s="24" t="inlineStr">
        <is>
          <t>401816398</t>
        </is>
      </c>
      <c r="E181" s="24" t="inlineStr">
        <is>
          <t>MLB</t>
        </is>
      </c>
      <c r="F181" s="24" t="inlineStr">
        <is>
          <t>San Diego Padres</t>
        </is>
      </c>
      <c r="G181" s="24" t="inlineStr">
        <is>
          <t>Arizona Diamondbacks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-111</v>
      </c>
      <c r="M181" s="27" t="n">
        <v>1.900901</v>
      </c>
      <c r="N181" s="28" t="n">
        <v>0.526066</v>
      </c>
      <c r="O181" s="28" t="n">
        <v>0.503922</v>
      </c>
      <c r="P181" s="28" t="n"/>
      <c r="Q181" s="28" t="n">
        <v>-0.022144</v>
      </c>
      <c r="R181" s="26" t="n">
        <v>11</v>
      </c>
      <c r="S181" s="29" t="n">
        <v>0</v>
      </c>
      <c r="T181" s="24" t="inlineStr">
        <is>
          <t>mlb-elo-trend-lr-v8</t>
        </is>
      </c>
      <c r="U181" s="24" t="inlineStr">
        <is>
          <t>settled</t>
        </is>
      </c>
      <c r="V181" s="24" t="inlineStr">
        <is>
          <t>loss</t>
        </is>
      </c>
      <c r="W181" s="26" t="n">
        <v>9</v>
      </c>
      <c r="X181" s="26" t="n">
        <v>4</v>
      </c>
      <c r="Y181" s="25" t="n"/>
      <c r="Z181" s="26" t="n">
        <v>-111</v>
      </c>
      <c r="AA181" s="28" t="n">
        <v>0.525</v>
      </c>
      <c r="AB181" s="28" t="n">
        <v>-0.001066</v>
      </c>
      <c r="AC181" s="30" t="n">
        <v>0</v>
      </c>
      <c r="AD181" s="24" t="inlineStr">
        <is>
          <t>2026-08-05T04:33:05.042051Z</t>
        </is>
      </c>
      <c r="AE181" s="31" t="inlineStr">
        <is>
          <t>Learned LR call at threshold 0.5873; executable ask 0.5250 (aec-mlb-sd-az-2026-08-04); model edge vs ask -0.0211. NOTE: NO_CALL_STARTER_ERA_GAP_INSUFFICIENT_HISTORY unavailable for this game — defaulted to neutral, other features used normally.</t>
        </is>
      </c>
      <c r="AF181" s="31" t="inlineStr">
        <is>
          <t>Learned model; shadow-qualified via operator override.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NO_CALL_BELOW_LEARNED_CONFIDENCE</t>
        </is>
      </c>
      <c r="AP181" s="24" t="inlineStr">
        <is>
          <t>mlb-sd</t>
        </is>
      </c>
      <c r="AQ181" s="24" t="inlineStr">
        <is>
          <t>San Diego Padres</t>
        </is>
      </c>
      <c r="AR181" s="24" t="inlineStr">
        <is>
          <t>San Diego Padres</t>
        </is>
      </c>
      <c r="AS181" s="24" t="inlineStr">
        <is>
          <t>mlb-ari</t>
        </is>
      </c>
      <c r="AT181" s="24" t="inlineStr">
        <is>
          <t>Arizona Diamondbacks</t>
        </is>
      </c>
      <c r="AU181" s="24" t="inlineStr">
        <is>
          <t>Arizona Diamondbacks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6a5c79541b0e50cb9f7318270e63d5ccc65cbd7bc53a019748ff772d49de5075</t>
        </is>
      </c>
      <c r="BB181" s="24" t="inlineStr">
        <is>
          <t>learned_lr</t>
        </is>
      </c>
      <c r="BC181" s="24" t="inlineStr">
        <is>
          <t>mlb-elo-trend-lr-v8</t>
        </is>
      </c>
      <c r="BD181" s="24" t="inlineStr">
        <is>
          <t>6a5c79541b0e50cb9f7318270e63d5ccc65cbd7bc53a019748ff772d49de5075</t>
        </is>
      </c>
      <c r="BE181" s="24" t="inlineStr">
        <is>
          <t>3a529a8e501822ee</t>
        </is>
      </c>
      <c r="BF181" s="24" t="inlineStr">
        <is>
          <t>1</t>
        </is>
      </c>
      <c r="BG181" s="24" t="inlineStr">
        <is>
          <t>mlb-elo-trend-lr-v8</t>
        </is>
      </c>
      <c r="BH181" s="24" t="inlineStr">
        <is>
          <t>2026-08-05T01:07:10.040602Z</t>
        </is>
      </c>
      <c r="BI181" s="24" t="inlineStr">
        <is>
          <t>["same_event","same_team_same_day","same_league_same_day"]</t>
        </is>
      </c>
      <c r="BJ181" s="25" t="n"/>
      <c r="BK181" s="26" t="n">
        <v>-111</v>
      </c>
      <c r="BL181" s="27" t="n">
        <v>1.900901</v>
      </c>
      <c r="BM181" s="28" t="n">
        <v>0.526066</v>
      </c>
      <c r="BN181" s="28" t="n">
        <v>0.522388</v>
      </c>
      <c r="BO181" s="28" t="n"/>
      <c r="BP181" s="25" t="n"/>
      <c r="BQ181" s="27" t="n">
        <v>1.900901</v>
      </c>
      <c r="BR181" s="28" t="n">
        <v>0.525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inlineStr">
        <is>
          <t>0.5327218645</t>
        </is>
      </c>
      <c r="CD181" s="24" t="inlineStr">
        <is>
          <t>0.544571</t>
        </is>
      </c>
      <c r="CE181" s="24" t="inlineStr">
        <is>
          <t>1.097</t>
        </is>
      </c>
      <c r="CF181" s="24" t="inlineStr">
        <is>
          <t>1.0</t>
        </is>
      </c>
      <c r="CG181" s="24" t="n"/>
      <c r="CH181" s="24" t="n"/>
      <c r="CI181" s="24" t="inlineStr">
        <is>
          <t>NO_CALL_STARTER_ERA_GAP_INSUFFICIENT_HISTORY</t>
        </is>
      </c>
      <c r="CJ181" s="24" t="inlineStr">
        <is>
          <t>-0.127634</t>
        </is>
      </c>
      <c r="CK181" s="24" t="n"/>
      <c r="CL181" s="24" t="inlineStr">
        <is>
          <t>-0.132604</t>
        </is>
      </c>
      <c r="CM181" s="24" t="inlineStr">
        <is>
          <t>0.0</t>
        </is>
      </c>
      <c r="CN181" s="24" t="n"/>
      <c r="CO181" s="24" t="n"/>
      <c r="CP181" s="24" t="n"/>
      <c r="CQ181" s="24" t="n"/>
      <c r="CR181" s="24" t="inlineStr">
        <is>
          <t>0.503922</t>
        </is>
      </c>
      <c r="CS181" s="24" t="inlineStr">
        <is>
          <t>False</t>
        </is>
      </c>
    </row>
    <row r="182" ht="36" customHeight="1">
      <c r="A182" s="24" t="inlineStr">
        <is>
          <t>b21e9d25933d4f7e</t>
        </is>
      </c>
      <c r="B182" s="24" t="inlineStr">
        <is>
          <t>2026-08-05T01:08:02.646600Z</t>
        </is>
      </c>
      <c r="C182" s="24" t="inlineStr">
        <is>
          <t>2026-08-05T01:40Z</t>
        </is>
      </c>
      <c r="D182" s="24" t="inlineStr">
        <is>
          <t>401816397</t>
        </is>
      </c>
      <c r="E182" s="24" t="inlineStr">
        <is>
          <t>MLB</t>
        </is>
      </c>
      <c r="F182" s="24" t="inlineStr">
        <is>
          <t>Detroit Tigers</t>
        </is>
      </c>
      <c r="G182" s="24" t="inlineStr">
        <is>
          <t>Seattle Mariners</t>
        </is>
      </c>
      <c r="H182" s="24" t="inlineStr">
        <is>
          <t>spread</t>
        </is>
      </c>
      <c r="I182" s="24" t="inlineStr">
        <is>
          <t>away</t>
        </is>
      </c>
      <c r="J182" s="25" t="n">
        <v>1.5</v>
      </c>
      <c r="K182" s="24" t="inlineStr">
        <is>
          <t>polymarket_us</t>
        </is>
      </c>
      <c r="L182" s="26" t="n">
        <v>-186</v>
      </c>
      <c r="M182" s="27" t="n">
        <v>1.537634</v>
      </c>
      <c r="N182" s="28" t="n">
        <v>0.65035</v>
      </c>
      <c r="O182" s="28" t="n">
        <v>0.657369</v>
      </c>
      <c r="P182" s="28" t="n">
        <v>0.042131</v>
      </c>
      <c r="Q182" s="28" t="n">
        <v>0.007019</v>
      </c>
      <c r="R182" s="26" t="n">
        <v>30</v>
      </c>
      <c r="S182" s="29" t="n">
        <v>1.75</v>
      </c>
      <c r="T182" s="24" t="inlineStr">
        <is>
          <t>measured-edge-margin-v3</t>
        </is>
      </c>
      <c r="U182" s="24" t="inlineStr">
        <is>
          <t>settled</t>
        </is>
      </c>
      <c r="V182" s="24" t="inlineStr">
        <is>
          <t>win</t>
        </is>
      </c>
      <c r="W182" s="26" t="n">
        <v>8</v>
      </c>
      <c r="X182" s="26" t="n">
        <v>0</v>
      </c>
      <c r="Y182" s="25" t="n">
        <v>1.5</v>
      </c>
      <c r="Z182" s="26" t="n">
        <v>-186</v>
      </c>
      <c r="AA182" s="28" t="n">
        <v>0.65</v>
      </c>
      <c r="AB182" s="28" t="n">
        <v>-0.00035</v>
      </c>
      <c r="AC182" s="30" t="n">
        <v>0.9409</v>
      </c>
      <c r="AD182" s="24" t="inlineStr">
        <is>
          <t>2026-08-05T04:21:32.934275Z</t>
        </is>
      </c>
      <c r="AE182" s="31" t="inlineStr">
        <is>
          <t>Measured Edge Margin: Trend Engine projected 4.19-3.76; raw selected-side p=0.7309, calibrated p=0.6574.</t>
        </is>
      </c>
      <c r="AF182" s="31" t="inlineStr">
        <is>
          <t>Research-only; lineup, bullpen, park, weather, xFIP, and wRC+ may be neutral fallbacks; market availability and BBO depth may change before first pitch.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mlb-det</t>
        </is>
      </c>
      <c r="AQ182" s="24" t="inlineStr">
        <is>
          <t>Detroit Tigers</t>
        </is>
      </c>
      <c r="AR182" s="24" t="inlineStr">
        <is>
          <t>Detroit Tigers</t>
        </is>
      </c>
      <c r="AS182" s="24" t="inlineStr">
        <is>
          <t>mlb-sea</t>
        </is>
      </c>
      <c r="AT182" s="24" t="inlineStr">
        <is>
          <t>Seattle Mariners</t>
        </is>
      </c>
      <c r="AU182" s="24" t="inlineStr">
        <is>
          <t>Seattle Mariners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dd339a2eed50d7d83ab2127837995ddab82e879afd27f5414bb6c1f9cd60ba4c</t>
        </is>
      </c>
      <c r="BB182" s="24" t="inlineStr">
        <is>
          <t>flat_probability_shrinkage_toward_half</t>
        </is>
      </c>
      <c r="BC182" s="24" t="inlineStr">
        <is>
          <t>measured-edge-margin-v3</t>
        </is>
      </c>
      <c r="BD182" s="24" t="inlineStr">
        <is>
          <t>dd339a2eed50d7d83ab2127837995ddab82e879afd27f5414bb6c1f9cd60ba4c</t>
        </is>
      </c>
      <c r="BE182" s="24" t="inlineStr">
        <is>
          <t>v3</t>
        </is>
      </c>
      <c r="BF182" s="24" t="inlineStr">
        <is>
          <t>1</t>
        </is>
      </c>
      <c r="BG182" s="24" t="inlineStr">
        <is>
          <t>measured-edge-paired-v1</t>
        </is>
      </c>
      <c r="BH182" s="24" t="inlineStr">
        <is>
          <t>2026-08-05T01:08:02.646600Z</t>
        </is>
      </c>
      <c r="BI182" s="24" t="inlineStr">
        <is>
          <t>["same_event","same_team_same_day","same_league_same_day"]</t>
        </is>
      </c>
      <c r="BJ182" s="25" t="n">
        <v>1.5</v>
      </c>
      <c r="BK182" s="26" t="n">
        <v>-186</v>
      </c>
      <c r="BL182" s="27" t="n">
        <v>1.537634</v>
      </c>
      <c r="BM182" s="28" t="n">
        <v>0.65035</v>
      </c>
      <c r="BN182" s="28" t="n">
        <v>0.646766</v>
      </c>
      <c r="BO182" s="28" t="n"/>
      <c r="BP182" s="25" t="n"/>
      <c r="BQ182" s="27" t="n">
        <v>1.537634</v>
      </c>
      <c r="BR182" s="28" t="n">
        <v>0.65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</row>
    <row r="183" ht="36" customHeight="1">
      <c r="A183" s="24" t="inlineStr">
        <is>
          <t>2d565b8615ed40c2</t>
        </is>
      </c>
      <c r="B183" s="24" t="inlineStr">
        <is>
          <t>2026-08-05T01:08:02.646600Z</t>
        </is>
      </c>
      <c r="C183" s="24" t="inlineStr">
        <is>
          <t>2026-08-05T01:40Z</t>
        </is>
      </c>
      <c r="D183" s="24" t="inlineStr">
        <is>
          <t>401816397</t>
        </is>
      </c>
      <c r="E183" s="24" t="inlineStr">
        <is>
          <t>MLB</t>
        </is>
      </c>
      <c r="F183" s="24" t="inlineStr">
        <is>
          <t>Detroit Tigers</t>
        </is>
      </c>
      <c r="G183" s="24" t="inlineStr">
        <is>
          <t>Seattle Mariners</t>
        </is>
      </c>
      <c r="H183" s="24" t="inlineStr">
        <is>
          <t>total</t>
        </is>
      </c>
      <c r="I183" s="24" t="inlineStr">
        <is>
          <t>under</t>
        </is>
      </c>
      <c r="J183" s="25" t="n">
        <v>7.5</v>
      </c>
      <c r="K183" s="24" t="inlineStr">
        <is>
          <t>polymarket_us</t>
        </is>
      </c>
      <c r="L183" s="26" t="n">
        <v>108</v>
      </c>
      <c r="M183" s="27" t="n">
        <v>2.08</v>
      </c>
      <c r="N183" s="28" t="n">
        <v>0.480769</v>
      </c>
      <c r="O183" s="28" t="n">
        <v>0.506992</v>
      </c>
      <c r="P183" s="28" t="n">
        <v>0.042131</v>
      </c>
      <c r="Q183" s="28" t="n">
        <v>0.026223</v>
      </c>
      <c r="R183" s="26" t="n">
        <v>39</v>
      </c>
      <c r="S183" s="29" t="n">
        <v>1</v>
      </c>
      <c r="T183" s="24" t="inlineStr">
        <is>
          <t>measured-edge-totals-v3</t>
        </is>
      </c>
      <c r="U183" s="24" t="inlineStr">
        <is>
          <t>settled</t>
        </is>
      </c>
      <c r="V183" s="24" t="inlineStr">
        <is>
          <t>loss</t>
        </is>
      </c>
      <c r="W183" s="26" t="n">
        <v>8</v>
      </c>
      <c r="X183" s="26" t="n">
        <v>0</v>
      </c>
      <c r="Y183" s="25" t="n">
        <v>7.5</v>
      </c>
      <c r="Z183" s="26" t="n">
        <v>108</v>
      </c>
      <c r="AA183" s="28" t="n">
        <v>0.48</v>
      </c>
      <c r="AB183" s="28" t="n">
        <v>-0.000769</v>
      </c>
      <c r="AC183" s="30" t="n">
        <v>-1</v>
      </c>
      <c r="AD183" s="24" t="inlineStr">
        <is>
          <t>2026-08-05T04:21:33.630214Z</t>
        </is>
      </c>
      <c r="AE183" s="31" t="inlineStr">
        <is>
          <t>Measured Edge Totals: Trend Engine projected 4.19-3.76; raw selected-side p=0.5048, calibrated p=0.5070.</t>
        </is>
      </c>
      <c r="AF183" s="31" t="inlineStr">
        <is>
          <t>Research-only; lineup, bullpen, park, weather, xFIP, and wRC+ may be neutral fallbacks; market availability and BBO depth may change before first pitch.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3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mlb-det</t>
        </is>
      </c>
      <c r="AQ183" s="24" t="inlineStr">
        <is>
          <t>Detroit Tigers</t>
        </is>
      </c>
      <c r="AR183" s="24" t="inlineStr">
        <is>
          <t>Detroit Tigers</t>
        </is>
      </c>
      <c r="AS183" s="24" t="inlineStr">
        <is>
          <t>mlb-sea</t>
        </is>
      </c>
      <c r="AT183" s="24" t="inlineStr">
        <is>
          <t>Seattle Mariners</t>
        </is>
      </c>
      <c r="AU183" s="24" t="inlineStr">
        <is>
          <t>Seattle Mariners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95b84332c75d2ce54036eb8de6ada9c78d0f80228c50825c0347281a8b9b49c7</t>
        </is>
      </c>
      <c r="BB183" s="24" t="inlineStr">
        <is>
          <t>flat_probability_shrinkage_toward_half</t>
        </is>
      </c>
      <c r="BC183" s="24" t="inlineStr">
        <is>
          <t>measured-edge-totals-v3</t>
        </is>
      </c>
      <c r="BD183" s="24" t="inlineStr">
        <is>
          <t>95b84332c75d2ce54036eb8de6ada9c78d0f80228c50825c0347281a8b9b49c7</t>
        </is>
      </c>
      <c r="BE183" s="24" t="inlineStr">
        <is>
          <t>v3</t>
        </is>
      </c>
      <c r="BF183" s="24" t="inlineStr">
        <is>
          <t>1</t>
        </is>
      </c>
      <c r="BG183" s="24" t="inlineStr">
        <is>
          <t>measured-edge-paired-v1</t>
        </is>
      </c>
      <c r="BH183" s="24" t="inlineStr">
        <is>
          <t>2026-08-05T01:08:02.646600Z</t>
        </is>
      </c>
      <c r="BI183" s="24" t="inlineStr">
        <is>
          <t>["same_event","same_team_same_day","same_league_same_day"]</t>
        </is>
      </c>
      <c r="BJ183" s="25" t="n">
        <v>7.5</v>
      </c>
      <c r="BK183" s="26" t="n">
        <v>108</v>
      </c>
      <c r="BL183" s="27" t="n">
        <v>2.08</v>
      </c>
      <c r="BM183" s="28" t="n">
        <v>0.480769</v>
      </c>
      <c r="BN183" s="28" t="n">
        <v>0.477612</v>
      </c>
      <c r="BO183" s="28" t="n"/>
      <c r="BP183" s="25" t="n"/>
      <c r="BQ183" s="27" t="n">
        <v>2.08</v>
      </c>
      <c r="BR183" s="28" t="n">
        <v>0.48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</row>
    <row r="184" ht="36" customHeight="1">
      <c r="A184" s="24" t="inlineStr">
        <is>
          <t>0dfed54d71af4b80</t>
        </is>
      </c>
      <c r="B184" s="24" t="inlineStr">
        <is>
          <t>2026-08-05T01:08:02.646600Z</t>
        </is>
      </c>
      <c r="C184" s="24" t="inlineStr">
        <is>
          <t>2026-08-05T01:40Z</t>
        </is>
      </c>
      <c r="D184" s="24" t="inlineStr">
        <is>
          <t>401816398</t>
        </is>
      </c>
      <c r="E184" s="24" t="inlineStr">
        <is>
          <t>MLB</t>
        </is>
      </c>
      <c r="F184" s="24" t="inlineStr">
        <is>
          <t>San Diego Padres</t>
        </is>
      </c>
      <c r="G184" s="24" t="inlineStr">
        <is>
          <t>Arizona Diamondbacks</t>
        </is>
      </c>
      <c r="H184" s="24" t="inlineStr">
        <is>
          <t>spread</t>
        </is>
      </c>
      <c r="I184" s="24" t="inlineStr">
        <is>
          <t>home</t>
        </is>
      </c>
      <c r="J184" s="25" t="n">
        <v>1.5</v>
      </c>
      <c r="K184" s="24" t="inlineStr">
        <is>
          <t>polymarket_us</t>
        </is>
      </c>
      <c r="L184" s="26" t="n">
        <v>-182</v>
      </c>
      <c r="M184" s="27" t="n">
        <v>1.549451</v>
      </c>
      <c r="N184" s="28" t="n">
        <v>0.64539</v>
      </c>
      <c r="O184" s="28" t="n">
        <v>0.655325</v>
      </c>
      <c r="P184" s="28" t="n">
        <v>0.042131</v>
      </c>
      <c r="Q184" s="28" t="n">
        <v>0.009934999999999999</v>
      </c>
      <c r="R184" s="26" t="n">
        <v>31</v>
      </c>
      <c r="S184" s="29" t="n">
        <v>1.75</v>
      </c>
      <c r="T184" s="24" t="inlineStr">
        <is>
          <t>measured-edge-margin-v3</t>
        </is>
      </c>
      <c r="U184" s="24" t="inlineStr">
        <is>
          <t>settled</t>
        </is>
      </c>
      <c r="V184" s="24" t="inlineStr">
        <is>
          <t>loss</t>
        </is>
      </c>
      <c r="W184" s="26" t="n">
        <v>9</v>
      </c>
      <c r="X184" s="26" t="n">
        <v>4</v>
      </c>
      <c r="Y184" s="25" t="n">
        <v>1.5</v>
      </c>
      <c r="Z184" s="26" t="n">
        <v>-182</v>
      </c>
      <c r="AA184" s="28" t="n">
        <v>0.645</v>
      </c>
      <c r="AB184" s="28" t="n">
        <v>-0.00039</v>
      </c>
      <c r="AC184" s="30" t="n">
        <v>-1.75</v>
      </c>
      <c r="AD184" s="24" t="inlineStr">
        <is>
          <t>2026-08-05T04:33:06.029965Z</t>
        </is>
      </c>
      <c r="AE184" s="31" t="inlineStr">
        <is>
          <t>Measured Edge Margin: Trend Engine projected 4.22-4.93; raw selected-side p=0.7279, calibrated p=0.6553.</t>
        </is>
      </c>
      <c r="AF184" s="31" t="inlineStr">
        <is>
          <t>Research-only; lineup, bullpen, park, weather, xFIP, and wRC+ may be neutral fallbacks; market availability and BBO depth may change before first pitch.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3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mlb-sd</t>
        </is>
      </c>
      <c r="AQ184" s="24" t="inlineStr">
        <is>
          <t>San Diego Padres</t>
        </is>
      </c>
      <c r="AR184" s="24" t="inlineStr">
        <is>
          <t>San Diego Padres</t>
        </is>
      </c>
      <c r="AS184" s="24" t="inlineStr">
        <is>
          <t>mlb-ari</t>
        </is>
      </c>
      <c r="AT184" s="24" t="inlineStr">
        <is>
          <t>Arizona Diamondbacks</t>
        </is>
      </c>
      <c r="AU184" s="24" t="inlineStr">
        <is>
          <t>Arizona Diamondbacks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dd339a2eed50d7d83ab2127837995ddab82e879afd27f5414bb6c1f9cd60ba4c</t>
        </is>
      </c>
      <c r="BB184" s="24" t="inlineStr">
        <is>
          <t>flat_probability_shrinkage_toward_half</t>
        </is>
      </c>
      <c r="BC184" s="24" t="inlineStr">
        <is>
          <t>measured-edge-margin-v3</t>
        </is>
      </c>
      <c r="BD184" s="24" t="inlineStr">
        <is>
          <t>dd339a2eed50d7d83ab2127837995ddab82e879afd27f5414bb6c1f9cd60ba4c</t>
        </is>
      </c>
      <c r="BE184" s="24" t="inlineStr">
        <is>
          <t>v3</t>
        </is>
      </c>
      <c r="BF184" s="24" t="inlineStr">
        <is>
          <t>1</t>
        </is>
      </c>
      <c r="BG184" s="24" t="inlineStr">
        <is>
          <t>measured-edge-paired-v1</t>
        </is>
      </c>
      <c r="BH184" s="24" t="inlineStr">
        <is>
          <t>2026-08-05T01:08:02.646600Z</t>
        </is>
      </c>
      <c r="BI184" s="24" t="inlineStr">
        <is>
          <t>["same_event","same_team_same_day","same_league_same_day"]</t>
        </is>
      </c>
      <c r="BJ184" s="25" t="n">
        <v>1.5</v>
      </c>
      <c r="BK184" s="26" t="n">
        <v>-182</v>
      </c>
      <c r="BL184" s="27" t="n">
        <v>1.549451</v>
      </c>
      <c r="BM184" s="28" t="n">
        <v>0.64539</v>
      </c>
      <c r="BN184" s="28" t="n">
        <v>0.641791</v>
      </c>
      <c r="BO184" s="28" t="n"/>
      <c r="BP184" s="25" t="n"/>
      <c r="BQ184" s="27" t="n">
        <v>1.549451</v>
      </c>
      <c r="BR184" s="28" t="n">
        <v>0.645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7d4d006e125c4411</t>
        </is>
      </c>
      <c r="B185" s="24" t="inlineStr">
        <is>
          <t>2026-08-05T01:08:02.646600Z</t>
        </is>
      </c>
      <c r="C185" s="24" t="inlineStr">
        <is>
          <t>2026-08-05T01:40Z</t>
        </is>
      </c>
      <c r="D185" s="24" t="inlineStr">
        <is>
          <t>401816398</t>
        </is>
      </c>
      <c r="E185" s="24" t="inlineStr">
        <is>
          <t>MLB</t>
        </is>
      </c>
      <c r="F185" s="24" t="inlineStr">
        <is>
          <t>San Diego Padres</t>
        </is>
      </c>
      <c r="G185" s="24" t="inlineStr">
        <is>
          <t>Arizona Diamondbacks</t>
        </is>
      </c>
      <c r="H185" s="24" t="inlineStr">
        <is>
          <t>total</t>
        </is>
      </c>
      <c r="I185" s="24" t="inlineStr">
        <is>
          <t>over</t>
        </is>
      </c>
      <c r="J185" s="25" t="n">
        <v>8.5</v>
      </c>
      <c r="K185" s="24" t="inlineStr">
        <is>
          <t>polymarket_us</t>
        </is>
      </c>
      <c r="L185" s="26" t="n">
        <v>-117</v>
      </c>
      <c r="M185" s="27" t="n">
        <v>1.854701</v>
      </c>
      <c r="N185" s="28" t="n">
        <v>0.539171</v>
      </c>
      <c r="O185" s="28" t="n">
        <v>0.512594</v>
      </c>
      <c r="P185" s="28" t="n">
        <v>0.042131</v>
      </c>
      <c r="Q185" s="28" t="n">
        <v>-0.026577</v>
      </c>
      <c r="R185" s="26" t="n">
        <v>12</v>
      </c>
      <c r="S185" s="29" t="n">
        <v>1</v>
      </c>
      <c r="T185" s="24" t="inlineStr">
        <is>
          <t>measured-edge-totals-v3</t>
        </is>
      </c>
      <c r="U185" s="24" t="inlineStr">
        <is>
          <t>settled</t>
        </is>
      </c>
      <c r="V185" s="24" t="inlineStr">
        <is>
          <t>win</t>
        </is>
      </c>
      <c r="W185" s="26" t="n">
        <v>9</v>
      </c>
      <c r="X185" s="26" t="n">
        <v>4</v>
      </c>
      <c r="Y185" s="25" t="n">
        <v>8.5</v>
      </c>
      <c r="Z185" s="26" t="n">
        <v>-117</v>
      </c>
      <c r="AA185" s="28" t="n">
        <v>0.54</v>
      </c>
      <c r="AB185" s="28" t="n">
        <v>0.000829</v>
      </c>
      <c r="AC185" s="30" t="n">
        <v>0.8547</v>
      </c>
      <c r="AD185" s="24" t="inlineStr">
        <is>
          <t>2026-08-05T04:33:07.208006Z</t>
        </is>
      </c>
      <c r="AE185" s="31" t="inlineStr">
        <is>
          <t>Measured Edge Totals: Trend Engine projected 4.22-4.93; raw selected-side p=0.5273, calibrated p=0.5126.</t>
        </is>
      </c>
      <c r="AF185" s="31" t="inlineStr">
        <is>
          <t>Research-only; lineup, bullpen, park, weather, xFIP, and wRC+ may be neutral fallbacks; market availability and BBO depth may change before first pitch.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mlb-sd</t>
        </is>
      </c>
      <c r="AQ185" s="24" t="inlineStr">
        <is>
          <t>San Diego Padres</t>
        </is>
      </c>
      <c r="AR185" s="24" t="inlineStr">
        <is>
          <t>San Diego Padres</t>
        </is>
      </c>
      <c r="AS185" s="24" t="inlineStr">
        <is>
          <t>mlb-ari</t>
        </is>
      </c>
      <c r="AT185" s="24" t="inlineStr">
        <is>
          <t>Arizona Diamondbacks</t>
        </is>
      </c>
      <c r="AU185" s="24" t="inlineStr">
        <is>
          <t>Arizona Diamondbacks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95b84332c75d2ce54036eb8de6ada9c78d0f80228c50825c0347281a8b9b49c7</t>
        </is>
      </c>
      <c r="BB185" s="24" t="inlineStr">
        <is>
          <t>flat_probability_shrinkage_toward_half</t>
        </is>
      </c>
      <c r="BC185" s="24" t="inlineStr">
        <is>
          <t>measured-edge-totals-v3</t>
        </is>
      </c>
      <c r="BD185" s="24" t="inlineStr">
        <is>
          <t>95b84332c75d2ce54036eb8de6ada9c78d0f80228c50825c0347281a8b9b49c7</t>
        </is>
      </c>
      <c r="BE185" s="24" t="inlineStr">
        <is>
          <t>v3</t>
        </is>
      </c>
      <c r="BF185" s="24" t="inlineStr">
        <is>
          <t>1</t>
        </is>
      </c>
      <c r="BG185" s="24" t="inlineStr">
        <is>
          <t>measured-edge-paired-v1</t>
        </is>
      </c>
      <c r="BH185" s="24" t="inlineStr">
        <is>
          <t>2026-08-05T01:08:02.646600Z</t>
        </is>
      </c>
      <c r="BI185" s="24" t="inlineStr">
        <is>
          <t>["same_event","same_team_same_day","same_league_same_day"]</t>
        </is>
      </c>
      <c r="BJ185" s="25" t="n">
        <v>8.5</v>
      </c>
      <c r="BK185" s="26" t="n">
        <v>-117</v>
      </c>
      <c r="BL185" s="27" t="n">
        <v>1.854701</v>
      </c>
      <c r="BM185" s="28" t="n">
        <v>0.539171</v>
      </c>
      <c r="BN185" s="28" t="n">
        <v>0.537313</v>
      </c>
      <c r="BO185" s="28" t="n"/>
      <c r="BP185" s="25" t="n"/>
      <c r="BQ185" s="27" t="n">
        <v>1.854701</v>
      </c>
      <c r="BR185" s="28" t="n">
        <v>0.54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</row>
    <row r="186" ht="36" customHeight="1">
      <c r="A186" s="24" t="inlineStr">
        <is>
          <t>cb0fc956437b4b98</t>
        </is>
      </c>
      <c r="B186" s="24" t="inlineStr">
        <is>
          <t>2026-08-05T17:02:59.358484Z</t>
        </is>
      </c>
      <c r="C186" s="24" t="inlineStr">
        <is>
          <t>2026-08-05T14:10:00-0400</t>
        </is>
      </c>
      <c r="D186" s="24" t="inlineStr">
        <is>
          <t>401816410</t>
        </is>
      </c>
      <c r="E186" s="24" t="inlineStr">
        <is>
          <t>MLB</t>
        </is>
      </c>
      <c r="F186" s="24" t="inlineStr">
        <is>
          <t>Toronto Blue Jays</t>
        </is>
      </c>
      <c r="G186" s="24" t="inlineStr">
        <is>
          <t>Houston Astros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-208</v>
      </c>
      <c r="M186" s="27" t="n">
        <v>1.480769</v>
      </c>
      <c r="N186" s="28" t="n">
        <v>0.675325</v>
      </c>
      <c r="O186" s="28" t="n">
        <v>0.543314</v>
      </c>
      <c r="P186" s="28" t="n"/>
      <c r="Q186" s="28" t="n">
        <v>-0.132011</v>
      </c>
      <c r="R186" s="26" t="n">
        <v>0</v>
      </c>
      <c r="S186" s="29" t="n">
        <v>0</v>
      </c>
      <c r="T186" s="24" t="inlineStr">
        <is>
          <t>mlb-elo-trend-lr-v8</t>
        </is>
      </c>
      <c r="U186" s="24" t="inlineStr">
        <is>
          <t>settled</t>
        </is>
      </c>
      <c r="V186" s="24" t="inlineStr">
        <is>
          <t>loss</t>
        </is>
      </c>
      <c r="W186" s="26" t="n">
        <v>5</v>
      </c>
      <c r="X186" s="26" t="n">
        <v>4</v>
      </c>
      <c r="Y186" s="25" t="n"/>
      <c r="Z186" s="26" t="n">
        <v>-208</v>
      </c>
      <c r="AA186" s="28" t="n">
        <v>0.675</v>
      </c>
      <c r="AB186" s="28" t="n">
        <v>-0.000325</v>
      </c>
      <c r="AC186" s="30" t="n">
        <v>0</v>
      </c>
      <c r="AD186" s="24" t="inlineStr">
        <is>
          <t>2026-08-06T00:20:19.922813Z</t>
        </is>
      </c>
      <c r="AE186" s="31" t="inlineStr">
        <is>
          <t>Learned LR call at threshold 0.5873; executable ask 0.6750 (aec-mlb-tor-hou-2026-08-05); model edge vs ask -0.1317.</t>
        </is>
      </c>
      <c r="AF186" s="31" t="inlineStr">
        <is>
          <t>Learned model; shadow-qualified via operator override.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NO_CALL_WINNER_OVERVALUED</t>
        </is>
      </c>
      <c r="AP186" s="24" t="inlineStr">
        <is>
          <t>mlb-tor</t>
        </is>
      </c>
      <c r="AQ186" s="24" t="inlineStr">
        <is>
          <t>Toronto Blue Jays</t>
        </is>
      </c>
      <c r="AR186" s="24" t="inlineStr">
        <is>
          <t>Toronto Blue Jays</t>
        </is>
      </c>
      <c r="AS186" s="24" t="inlineStr">
        <is>
          <t>mlb-hou</t>
        </is>
      </c>
      <c r="AT186" s="24" t="inlineStr">
        <is>
          <t>Houston Astros</t>
        </is>
      </c>
      <c r="AU186" s="24" t="inlineStr">
        <is>
          <t>Houston Astros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6a5c79541b0e50cb9f7318270e63d5ccc65cbd7bc53a019748ff772d49de5075</t>
        </is>
      </c>
      <c r="BB186" s="24" t="inlineStr">
        <is>
          <t>learned_lr</t>
        </is>
      </c>
      <c r="BC186" s="24" t="inlineStr">
        <is>
          <t>mlb-elo-trend-lr-v8</t>
        </is>
      </c>
      <c r="BD186" s="24" t="inlineStr">
        <is>
          <t>6a5c79541b0e50cb9f7318270e63d5ccc65cbd7bc53a019748ff772d49de5075</t>
        </is>
      </c>
      <c r="BE186" s="24" t="inlineStr">
        <is>
          <t>7363e92b2bdde372</t>
        </is>
      </c>
      <c r="BF186" s="24" t="inlineStr">
        <is>
          <t>1</t>
        </is>
      </c>
      <c r="BG186" s="24" t="inlineStr">
        <is>
          <t>mlb-elo-trend-lr-v8</t>
        </is>
      </c>
      <c r="BH186" s="24" t="inlineStr">
        <is>
          <t>2026-08-05T17:01:43.592867Z</t>
        </is>
      </c>
      <c r="BI186" s="24" t="inlineStr">
        <is>
          <t>["same_event","same_team_same_day","same_league_same_day"]</t>
        </is>
      </c>
      <c r="BJ186" s="25" t="n"/>
      <c r="BK186" s="26" t="n">
        <v>-208</v>
      </c>
      <c r="BL186" s="27" t="n">
        <v>1.480769</v>
      </c>
      <c r="BM186" s="28" t="n">
        <v>0.675325</v>
      </c>
      <c r="BN186" s="28" t="n">
        <v>0.671642</v>
      </c>
      <c r="BO186" s="28" t="n"/>
      <c r="BP186" s="25" t="n"/>
      <c r="BQ186" s="27" t="n">
        <v>1.480769</v>
      </c>
      <c r="BR186" s="28" t="n">
        <v>0.675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inlineStr">
        <is>
          <t>0.540804065</t>
        </is>
      </c>
      <c r="CD186" s="24" t="inlineStr">
        <is>
          <t>1.610075</t>
        </is>
      </c>
      <c r="CE186" s="24" t="inlineStr">
        <is>
          <t>0.956</t>
        </is>
      </c>
      <c r="CF186" s="24" t="inlineStr">
        <is>
          <t>1.0</t>
        </is>
      </c>
      <c r="CG186" s="24" t="n"/>
      <c r="CH186" s="24" t="n"/>
      <c r="CI186" s="24" t="n"/>
      <c r="CJ186" s="24" t="inlineStr">
        <is>
          <t>0.674406</t>
        </is>
      </c>
      <c r="CK186" s="24" t="n"/>
      <c r="CL186" s="24" t="inlineStr">
        <is>
          <t>-0.128115</t>
        </is>
      </c>
      <c r="CM186" s="24" t="inlineStr">
        <is>
          <t>-1.6882</t>
        </is>
      </c>
      <c r="CN186" s="24" t="n"/>
      <c r="CO186" s="24" t="n"/>
      <c r="CP186" s="24" t="n"/>
      <c r="CQ186" s="24" t="n"/>
      <c r="CR186" s="24" t="inlineStr">
        <is>
          <t>0.543314</t>
        </is>
      </c>
      <c r="CS186" s="24" t="inlineStr">
        <is>
          <t>False</t>
        </is>
      </c>
    </row>
    <row r="187" ht="36" customHeight="1">
      <c r="A187" s="24" t="inlineStr">
        <is>
          <t>c2bb6b803c7a46aa</t>
        </is>
      </c>
      <c r="B187" s="24" t="inlineStr">
        <is>
          <t>2026-08-05T17:02:59.358484Z</t>
        </is>
      </c>
      <c r="C187" s="24" t="inlineStr">
        <is>
          <t>2026-08-05T14:20:00-0400</t>
        </is>
      </c>
      <c r="D187" s="24" t="inlineStr">
        <is>
          <t>401816406</t>
        </is>
      </c>
      <c r="E187" s="24" t="inlineStr">
        <is>
          <t>MLB</t>
        </is>
      </c>
      <c r="F187" s="24" t="inlineStr">
        <is>
          <t>Los Angeles Dodgers</t>
        </is>
      </c>
      <c r="G187" s="24" t="inlineStr">
        <is>
          <t>Chicago Cubs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-111</v>
      </c>
      <c r="M187" s="27" t="n">
        <v>1.900901</v>
      </c>
      <c r="N187" s="28" t="n">
        <v>0.526066</v>
      </c>
      <c r="O187" s="28" t="n">
        <v>0.522292</v>
      </c>
      <c r="P187" s="28" t="n"/>
      <c r="Q187" s="28" t="n">
        <v>-0.003774</v>
      </c>
      <c r="R187" s="26" t="n">
        <v>20</v>
      </c>
      <c r="S187" s="29" t="n">
        <v>0</v>
      </c>
      <c r="T187" s="24" t="inlineStr">
        <is>
          <t>mlb-elo-trend-lr-v8</t>
        </is>
      </c>
      <c r="U187" s="24" t="inlineStr">
        <is>
          <t>settled</t>
        </is>
      </c>
      <c r="V187" s="24" t="inlineStr">
        <is>
          <t>win</t>
        </is>
      </c>
      <c r="W187" s="26" t="n">
        <v>6</v>
      </c>
      <c r="X187" s="26" t="n">
        <v>7</v>
      </c>
      <c r="Y187" s="25" t="n"/>
      <c r="Z187" s="26" t="n">
        <v>-111</v>
      </c>
      <c r="AA187" s="28" t="n">
        <v>0.525</v>
      </c>
      <c r="AB187" s="28" t="n">
        <v>-0.001066</v>
      </c>
      <c r="AC187" s="30" t="n">
        <v>0</v>
      </c>
      <c r="AD187" s="24" t="inlineStr">
        <is>
          <t>2026-08-06T00:20:20.833011Z</t>
        </is>
      </c>
      <c r="AE187" s="31" t="inlineStr">
        <is>
          <t>Learned LR call at threshold 0.5873; executable ask 0.5250 (aec-mlb-lad-chc-2026-08-05); model edge vs ask -0.0027.</t>
        </is>
      </c>
      <c r="AF187" s="31" t="inlineStr">
        <is>
          <t>Learned model; shadow-qualified via operator override.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NO_CALL_WINNER_OVERVALUED</t>
        </is>
      </c>
      <c r="AP187" s="24" t="inlineStr">
        <is>
          <t>mlb-lad</t>
        </is>
      </c>
      <c r="AQ187" s="24" t="inlineStr">
        <is>
          <t>Los Angeles Dodgers</t>
        </is>
      </c>
      <c r="AR187" s="24" t="inlineStr">
        <is>
          <t>Los Angeles Dodgers</t>
        </is>
      </c>
      <c r="AS187" s="24" t="inlineStr">
        <is>
          <t>mlb-chc</t>
        </is>
      </c>
      <c r="AT187" s="24" t="inlineStr">
        <is>
          <t>Chicago Cubs</t>
        </is>
      </c>
      <c r="AU187" s="24" t="inlineStr">
        <is>
          <t>Chicago Cubs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6a5c79541b0e50cb9f7318270e63d5ccc65cbd7bc53a019748ff772d49de5075</t>
        </is>
      </c>
      <c r="BB187" s="24" t="inlineStr">
        <is>
          <t>learned_lr</t>
        </is>
      </c>
      <c r="BC187" s="24" t="inlineStr">
        <is>
          <t>mlb-elo-trend-lr-v8</t>
        </is>
      </c>
      <c r="BD187" s="24" t="inlineStr">
        <is>
          <t>6a5c79541b0e50cb9f7318270e63d5ccc65cbd7bc53a019748ff772d49de5075</t>
        </is>
      </c>
      <c r="BE187" s="24" t="inlineStr">
        <is>
          <t>cd121ba990e73d6d</t>
        </is>
      </c>
      <c r="BF187" s="24" t="inlineStr">
        <is>
          <t>1</t>
        </is>
      </c>
      <c r="BG187" s="24" t="inlineStr">
        <is>
          <t>mlb-elo-trend-lr-v8</t>
        </is>
      </c>
      <c r="BH187" s="24" t="inlineStr">
        <is>
          <t>2026-08-05T17:01:44.118953Z</t>
        </is>
      </c>
      <c r="BI187" s="24" t="inlineStr">
        <is>
          <t>["same_event","same_team_same_day","same_league_same_day"]</t>
        </is>
      </c>
      <c r="BJ187" s="25" t="n"/>
      <c r="BK187" s="26" t="n">
        <v>-111</v>
      </c>
      <c r="BL187" s="27" t="n">
        <v>1.900901</v>
      </c>
      <c r="BM187" s="28" t="n">
        <v>0.526066</v>
      </c>
      <c r="BN187" s="28" t="n">
        <v>0.522388</v>
      </c>
      <c r="BO187" s="28" t="n"/>
      <c r="BP187" s="25" t="n"/>
      <c r="BQ187" s="27" t="n">
        <v>1.900901</v>
      </c>
      <c r="BR187" s="28" t="n">
        <v>0.525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inlineStr">
        <is>
          <t>0.5253192927</t>
        </is>
      </c>
      <c r="CD187" s="24" t="inlineStr">
        <is>
          <t>0.944189</t>
        </is>
      </c>
      <c r="CE187" s="24" t="inlineStr">
        <is>
          <t>0.986</t>
        </is>
      </c>
      <c r="CF187" s="24" t="inlineStr">
        <is>
          <t>1.0097</t>
        </is>
      </c>
      <c r="CG187" s="24" t="n"/>
      <c r="CH187" s="24" t="n"/>
      <c r="CI187" s="24" t="n"/>
      <c r="CJ187" s="24" t="inlineStr">
        <is>
          <t>2.898558</t>
        </is>
      </c>
      <c r="CK187" s="24" t="n"/>
      <c r="CL187" s="24" t="inlineStr">
        <is>
          <t>-0.233791</t>
        </is>
      </c>
      <c r="CM187" s="24" t="inlineStr">
        <is>
          <t>-1.2706</t>
        </is>
      </c>
      <c r="CN187" s="24" t="n"/>
      <c r="CO187" s="24" t="n"/>
      <c r="CP187" s="24" t="n"/>
      <c r="CQ187" s="24" t="n"/>
      <c r="CR187" s="24" t="inlineStr">
        <is>
          <t>0.522292</t>
        </is>
      </c>
      <c r="CS187" s="24" t="inlineStr">
        <is>
          <t>False</t>
        </is>
      </c>
    </row>
    <row r="188" ht="36" customHeight="1">
      <c r="A188" s="24" t="inlineStr">
        <is>
          <t>265eccfc10c94e3e</t>
        </is>
      </c>
      <c r="B188" s="24" t="inlineStr">
        <is>
          <t>2026-08-05T17:02:59.358484Z</t>
        </is>
      </c>
      <c r="C188" s="24" t="inlineStr">
        <is>
          <t>2026-08-05T14:35:00-0400</t>
        </is>
      </c>
      <c r="D188" s="24" t="inlineStr">
        <is>
          <t>401816409</t>
        </is>
      </c>
      <c r="E188" s="24" t="inlineStr">
        <is>
          <t>MLB</t>
        </is>
      </c>
      <c r="F188" s="24" t="inlineStr">
        <is>
          <t>San Francisco Giants</t>
        </is>
      </c>
      <c r="G188" s="24" t="inlineStr">
        <is>
          <t>Texas Rangers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-153</v>
      </c>
      <c r="M188" s="27" t="n">
        <v>1.653595</v>
      </c>
      <c r="N188" s="28" t="n">
        <v>0.604743</v>
      </c>
      <c r="O188" s="28" t="n">
        <v>0.585182</v>
      </c>
      <c r="P188" s="28" t="n"/>
      <c r="Q188" s="28" t="n">
        <v>-0.019561</v>
      </c>
      <c r="R188" s="26" t="n">
        <v>12</v>
      </c>
      <c r="S188" s="29" t="n">
        <v>0</v>
      </c>
      <c r="T188" s="24" t="inlineStr">
        <is>
          <t>mlb-elo-trend-lr-v8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6</v>
      </c>
      <c r="Y188" s="25" t="n"/>
      <c r="Z188" s="26" t="n">
        <v>-153</v>
      </c>
      <c r="AA188" s="28" t="n">
        <v>0.605</v>
      </c>
      <c r="AB188" s="28" t="n">
        <v>0.000257</v>
      </c>
      <c r="AC188" s="30" t="n">
        <v>0</v>
      </c>
      <c r="AD188" s="24" t="inlineStr">
        <is>
          <t>2026-08-06T00:20:21.687592Z</t>
        </is>
      </c>
      <c r="AE188" s="31" t="inlineStr">
        <is>
          <t>Learned LR call at threshold 0.5873; executable ask 0.6050 (aec-mlb-sf-tex-2026-08-05); model edge vs ask -0.0198.</t>
        </is>
      </c>
      <c r="AF188" s="31" t="inlineStr">
        <is>
          <t>Learned model; shadow-qualified via operator override.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NO_CALL_WINNER_OVERVALUED</t>
        </is>
      </c>
      <c r="AP188" s="24" t="inlineStr">
        <is>
          <t>mlb-sf</t>
        </is>
      </c>
      <c r="AQ188" s="24" t="inlineStr">
        <is>
          <t>San Francisco Giants</t>
        </is>
      </c>
      <c r="AR188" s="24" t="inlineStr">
        <is>
          <t>San Francisco Giants</t>
        </is>
      </c>
      <c r="AS188" s="24" t="inlineStr">
        <is>
          <t>mlb-tex</t>
        </is>
      </c>
      <c r="AT188" s="24" t="inlineStr">
        <is>
          <t>Texas Rangers</t>
        </is>
      </c>
      <c r="AU188" s="24" t="inlineStr">
        <is>
          <t>Texas Rangers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6a5c79541b0e50cb9f7318270e63d5ccc65cbd7bc53a019748ff772d49de5075</t>
        </is>
      </c>
      <c r="BB188" s="24" t="inlineStr">
        <is>
          <t>learned_lr</t>
        </is>
      </c>
      <c r="BC188" s="24" t="inlineStr">
        <is>
          <t>mlb-elo-trend-lr-v8</t>
        </is>
      </c>
      <c r="BD188" s="24" t="inlineStr">
        <is>
          <t>6a5c79541b0e50cb9f7318270e63d5ccc65cbd7bc53a019748ff772d49de5075</t>
        </is>
      </c>
      <c r="BE188" s="24" t="inlineStr">
        <is>
          <t>b14707c8a9267bdd</t>
        </is>
      </c>
      <c r="BF188" s="24" t="inlineStr">
        <is>
          <t>1</t>
        </is>
      </c>
      <c r="BG188" s="24" t="inlineStr">
        <is>
          <t>mlb-elo-trend-lr-v8</t>
        </is>
      </c>
      <c r="BH188" s="24" t="inlineStr">
        <is>
          <t>2026-08-05T17:01:44.692636Z</t>
        </is>
      </c>
      <c r="BI188" s="24" t="inlineStr">
        <is>
          <t>["same_event","same_team_same_day","same_league_same_day"]</t>
        </is>
      </c>
      <c r="BJ188" s="25" t="n"/>
      <c r="BK188" s="26" t="n">
        <v>-153</v>
      </c>
      <c r="BL188" s="27" t="n">
        <v>1.653595</v>
      </c>
      <c r="BM188" s="28" t="n">
        <v>0.604743</v>
      </c>
      <c r="BN188" s="28" t="n">
        <v>0.60199</v>
      </c>
      <c r="BO188" s="28" t="n"/>
      <c r="BP188" s="25" t="n"/>
      <c r="BQ188" s="27" t="n">
        <v>1.653595</v>
      </c>
      <c r="BR188" s="28" t="n">
        <v>0.605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inlineStr">
        <is>
          <t>0.5324528355</t>
        </is>
      </c>
      <c r="CD188" s="24" t="inlineStr">
        <is>
          <t>-1.3294</t>
        </is>
      </c>
      <c r="CE188" s="24" t="inlineStr">
        <is>
          <t>0.912</t>
        </is>
      </c>
      <c r="CF188" s="24" t="inlineStr">
        <is>
          <t>1.0</t>
        </is>
      </c>
      <c r="CG188" s="24" t="n"/>
      <c r="CH188" s="24" t="n"/>
      <c r="CI188" s="24" t="n"/>
      <c r="CJ188" s="24" t="inlineStr">
        <is>
          <t>-0.362485</t>
        </is>
      </c>
      <c r="CK188" s="24" t="n"/>
      <c r="CL188" s="24" t="inlineStr">
        <is>
          <t>0.552499</t>
        </is>
      </c>
      <c r="CM188" s="24" t="inlineStr">
        <is>
          <t>-0.6122</t>
        </is>
      </c>
      <c r="CN188" s="24" t="n"/>
      <c r="CO188" s="24" t="n"/>
      <c r="CP188" s="24" t="n"/>
      <c r="CQ188" s="24" t="n"/>
      <c r="CR188" s="24" t="inlineStr">
        <is>
          <t>0.585182</t>
        </is>
      </c>
      <c r="CS188" s="24" t="inlineStr">
        <is>
          <t>False</t>
        </is>
      </c>
    </row>
    <row r="189" ht="36" customHeight="1">
      <c r="A189" s="24" t="inlineStr">
        <is>
          <t>32b5459c62254d6a</t>
        </is>
      </c>
      <c r="B189" s="24" t="inlineStr">
        <is>
          <t>2026-08-05T17:02:59.358484Z</t>
        </is>
      </c>
      <c r="C189" s="24" t="inlineStr">
        <is>
          <t>2026-08-05T15:10:00-0400</t>
        </is>
      </c>
      <c r="D189" s="24" t="inlineStr">
        <is>
          <t>401816411</t>
        </is>
      </c>
      <c r="E189" s="24" t="inlineStr">
        <is>
          <t>MLB</t>
        </is>
      </c>
      <c r="F189" s="24" t="inlineStr">
        <is>
          <t>Tampa Bay Rays</t>
        </is>
      </c>
      <c r="G189" s="24" t="inlineStr">
        <is>
          <t>Colorado Rockies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-153</v>
      </c>
      <c r="M189" s="27" t="n">
        <v>1.653595</v>
      </c>
      <c r="N189" s="28" t="n">
        <v>0.604743</v>
      </c>
      <c r="O189" s="28" t="n">
        <v>0.6508969999999999</v>
      </c>
      <c r="P189" s="28" t="n"/>
      <c r="Q189" s="28" t="n">
        <v>0.046154</v>
      </c>
      <c r="R189" s="26" t="n">
        <v>44</v>
      </c>
      <c r="S189" s="29" t="n">
        <v>0</v>
      </c>
      <c r="T189" s="24" t="inlineStr">
        <is>
          <t>mlb-elo-trend-lr-v8</t>
        </is>
      </c>
      <c r="U189" s="24" t="inlineStr">
        <is>
          <t>settled</t>
        </is>
      </c>
      <c r="V189" s="24" t="inlineStr">
        <is>
          <t>win</t>
        </is>
      </c>
      <c r="W189" s="26" t="n">
        <v>4</v>
      </c>
      <c r="X189" s="26" t="n">
        <v>0</v>
      </c>
      <c r="Y189" s="25" t="n"/>
      <c r="Z189" s="26" t="n">
        <v>-153</v>
      </c>
      <c r="AA189" s="28" t="n">
        <v>0.605</v>
      </c>
      <c r="AB189" s="28" t="n">
        <v>0.000257</v>
      </c>
      <c r="AC189" s="30" t="n">
        <v>0</v>
      </c>
      <c r="AD189" s="24" t="inlineStr">
        <is>
          <t>2026-08-06T00:20:22.552849Z</t>
        </is>
      </c>
      <c r="AE189" s="31" t="inlineStr">
        <is>
          <t>Learned LR call at threshold 0.5873; executable ask 0.6050 (aec-mlb-tb-col-2026-08-05); model edge vs ask +0.0459.</t>
        </is>
      </c>
      <c r="AF189" s="31" t="inlineStr">
        <is>
          <t>Learned model; shadow-qualified via operator override.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NO_CALL_WINNER_OVERVALUED</t>
        </is>
      </c>
      <c r="AP189" s="24" t="inlineStr">
        <is>
          <t>mlb-tb</t>
        </is>
      </c>
      <c r="AQ189" s="24" t="inlineStr">
        <is>
          <t>Tampa Bay Rays</t>
        </is>
      </c>
      <c r="AR189" s="24" t="inlineStr">
        <is>
          <t>Tampa Bay Rays</t>
        </is>
      </c>
      <c r="AS189" s="24" t="inlineStr">
        <is>
          <t>mlb-col</t>
        </is>
      </c>
      <c r="AT189" s="24" t="inlineStr">
        <is>
          <t>Colorado Rockies</t>
        </is>
      </c>
      <c r="AU189" s="24" t="inlineStr">
        <is>
          <t>Colorado Rockies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6a5c79541b0e50cb9f7318270e63d5ccc65cbd7bc53a019748ff772d49de5075</t>
        </is>
      </c>
      <c r="BB189" s="24" t="inlineStr">
        <is>
          <t>learned_lr</t>
        </is>
      </c>
      <c r="BC189" s="24" t="inlineStr">
        <is>
          <t>mlb-elo-trend-lr-v8</t>
        </is>
      </c>
      <c r="BD189" s="24" t="inlineStr">
        <is>
          <t>6a5c79541b0e50cb9f7318270e63d5ccc65cbd7bc53a019748ff772d49de5075</t>
        </is>
      </c>
      <c r="BE189" s="24" t="inlineStr">
        <is>
          <t>bad8c8f6d9c491bf</t>
        </is>
      </c>
      <c r="BF189" s="24" t="inlineStr">
        <is>
          <t>1</t>
        </is>
      </c>
      <c r="BG189" s="24" t="inlineStr">
        <is>
          <t>mlb-elo-trend-lr-v8</t>
        </is>
      </c>
      <c r="BH189" s="24" t="inlineStr">
        <is>
          <t>2026-08-05T17:01:45.186103Z</t>
        </is>
      </c>
      <c r="BI189" s="24" t="inlineStr">
        <is>
          <t>["same_event","same_team_same_day","same_league_same_day"]</t>
        </is>
      </c>
      <c r="BJ189" s="25" t="n"/>
      <c r="BK189" s="26" t="n">
        <v>-153</v>
      </c>
      <c r="BL189" s="27" t="n">
        <v>1.653595</v>
      </c>
      <c r="BM189" s="28" t="n">
        <v>0.604743</v>
      </c>
      <c r="BN189" s="28" t="n">
        <v>0.60199</v>
      </c>
      <c r="BO189" s="28" t="n"/>
      <c r="BP189" s="25" t="n"/>
      <c r="BQ189" s="27" t="n">
        <v>1.653595</v>
      </c>
      <c r="BR189" s="28" t="n">
        <v>0.605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inlineStr">
        <is>
          <t>0.3717088646</t>
        </is>
      </c>
      <c r="CD189" s="24" t="inlineStr">
        <is>
          <t>1.48701</t>
        </is>
      </c>
      <c r="CE189" s="24" t="inlineStr">
        <is>
          <t>1.193</t>
        </is>
      </c>
      <c r="CF189" s="24" t="inlineStr">
        <is>
          <t>1.0028</t>
        </is>
      </c>
      <c r="CG189" s="24" t="n"/>
      <c r="CH189" s="24" t="n"/>
      <c r="CI189" s="24" t="n"/>
      <c r="CJ189" s="24" t="inlineStr">
        <is>
          <t>0.458973</t>
        </is>
      </c>
      <c r="CK189" s="24" t="n"/>
      <c r="CL189" s="24" t="inlineStr">
        <is>
          <t>0.032773</t>
        </is>
      </c>
      <c r="CM189" s="24" t="inlineStr">
        <is>
          <t>3.3324</t>
        </is>
      </c>
      <c r="CN189" s="24" t="n"/>
      <c r="CO189" s="24" t="n"/>
      <c r="CP189" s="24" t="n"/>
      <c r="CQ189" s="24" t="n"/>
      <c r="CR189" s="24" t="inlineStr">
        <is>
          <t>0.650897</t>
        </is>
      </c>
      <c r="CS189" s="24" t="inlineStr">
        <is>
          <t>True</t>
        </is>
      </c>
    </row>
    <row r="190" ht="36" customHeight="1">
      <c r="A190" s="24" t="inlineStr">
        <is>
          <t>d6a4490a20d84ed8</t>
        </is>
      </c>
      <c r="B190" s="24" t="inlineStr">
        <is>
          <t>2026-08-05T17:03:21.201331Z</t>
        </is>
      </c>
      <c r="C190" s="24" t="inlineStr">
        <is>
          <t>2026-08-05T18:10Z</t>
        </is>
      </c>
      <c r="D190" s="24" t="inlineStr">
        <is>
          <t>401816410</t>
        </is>
      </c>
      <c r="E190" s="24" t="inlineStr">
        <is>
          <t>MLB</t>
        </is>
      </c>
      <c r="F190" s="24" t="inlineStr">
        <is>
          <t>Toronto Blue Jays</t>
        </is>
      </c>
      <c r="G190" s="24" t="inlineStr">
        <is>
          <t>Houston Astros</t>
        </is>
      </c>
      <c r="H190" s="24" t="inlineStr">
        <is>
          <t>spread</t>
        </is>
      </c>
      <c r="I190" s="24" t="inlineStr">
        <is>
          <t>home</t>
        </is>
      </c>
      <c r="J190" s="25" t="n">
        <v>-1.5</v>
      </c>
      <c r="K190" s="24" t="inlineStr">
        <is>
          <t>polymarket_us</t>
        </is>
      </c>
      <c r="L190" s="26" t="n">
        <v>-104</v>
      </c>
      <c r="M190" s="27" t="n">
        <v>1.961538</v>
      </c>
      <c r="N190" s="28" t="n">
        <v>0.509804</v>
      </c>
      <c r="O190" s="28" t="n">
        <v>0.443716</v>
      </c>
      <c r="P190" s="28" t="n">
        <v>0.042131</v>
      </c>
      <c r="Q190" s="28" t="n">
        <v>-0.06608799999999999</v>
      </c>
      <c r="R190" s="26" t="n">
        <v>0</v>
      </c>
      <c r="S190" s="29" t="n">
        <v>0</v>
      </c>
      <c r="T190" s="24" t="inlineStr">
        <is>
          <t>measured-edge-margin-v3</t>
        </is>
      </c>
      <c r="U190" s="24" t="inlineStr">
        <is>
          <t>settled</t>
        </is>
      </c>
      <c r="V190" s="24" t="inlineStr">
        <is>
          <t>loss</t>
        </is>
      </c>
      <c r="W190" s="26" t="n">
        <v>5</v>
      </c>
      <c r="X190" s="26" t="n">
        <v>4</v>
      </c>
      <c r="Y190" s="25" t="n">
        <v>-1.5</v>
      </c>
      <c r="Z190" s="26" t="n">
        <v>-104</v>
      </c>
      <c r="AA190" s="28" t="n">
        <v>0.51</v>
      </c>
      <c r="AB190" s="28" t="n">
        <v>0.000196</v>
      </c>
      <c r="AC190" s="30" t="n">
        <v>0</v>
      </c>
      <c r="AD190" s="24" t="inlineStr">
        <is>
          <t>2026-08-06T00:20:23.453362Z</t>
        </is>
      </c>
      <c r="AE190" s="31" t="inlineStr">
        <is>
          <t>Measured Edge Margin: Trend Engine projected 4.45-5.29; raw selected-side p=0.4174, calibrated p=0.4437.</t>
        </is>
      </c>
      <c r="AF190" s="31" t="inlineStr">
        <is>
          <t>Research-only; lineup, bullpen, park, weather, xFIP, and wRC+ may be neutral fallbacks; market availability and BBO depth may change before first pitch.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NO_CALL_WINNER_OVERVALUED</t>
        </is>
      </c>
      <c r="AP190" s="24" t="inlineStr">
        <is>
          <t>mlb-tor</t>
        </is>
      </c>
      <c r="AQ190" s="24" t="inlineStr">
        <is>
          <t>Toronto Blue Jays</t>
        </is>
      </c>
      <c r="AR190" s="24" t="inlineStr">
        <is>
          <t>Toronto Blue Jays</t>
        </is>
      </c>
      <c r="AS190" s="24" t="inlineStr">
        <is>
          <t>mlb-hou</t>
        </is>
      </c>
      <c r="AT190" s="24" t="inlineStr">
        <is>
          <t>Houston Astros</t>
        </is>
      </c>
      <c r="AU190" s="24" t="inlineStr">
        <is>
          <t>Houston Astros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dd339a2eed50d7d83ab2127837995ddab82e879afd27f5414bb6c1f9cd60ba4c</t>
        </is>
      </c>
      <c r="BB190" s="24" t="inlineStr">
        <is>
          <t>flat_probability_shrinkage_toward_half</t>
        </is>
      </c>
      <c r="BC190" s="24" t="inlineStr">
        <is>
          <t>measured-edge-margin-v3</t>
        </is>
      </c>
      <c r="BD190" s="24" t="inlineStr">
        <is>
          <t>dd339a2eed50d7d83ab2127837995ddab82e879afd27f5414bb6c1f9cd60ba4c</t>
        </is>
      </c>
      <c r="BE190" s="24" t="inlineStr">
        <is>
          <t>v3</t>
        </is>
      </c>
      <c r="BF190" s="24" t="inlineStr">
        <is>
          <t>1</t>
        </is>
      </c>
      <c r="BG190" s="24" t="inlineStr">
        <is>
          <t>measured-edge-paired-v1</t>
        </is>
      </c>
      <c r="BH190" s="24" t="inlineStr">
        <is>
          <t>2026-08-05T17:03:21.201331Z</t>
        </is>
      </c>
      <c r="BI190" s="24" t="inlineStr">
        <is>
          <t>["same_event","same_team_same_day","same_league_same_day"]</t>
        </is>
      </c>
      <c r="BJ190" s="25" t="n">
        <v>-1.5</v>
      </c>
      <c r="BK190" s="26" t="n">
        <v>-104</v>
      </c>
      <c r="BL190" s="27" t="n">
        <v>1.961538</v>
      </c>
      <c r="BM190" s="28" t="n">
        <v>0.509804</v>
      </c>
      <c r="BN190" s="28" t="n">
        <v>0.507463</v>
      </c>
      <c r="BO190" s="28" t="n"/>
      <c r="BP190" s="25" t="n"/>
      <c r="BQ190" s="27" t="n">
        <v>1.961538</v>
      </c>
      <c r="BR190" s="28" t="n">
        <v>0.51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</row>
    <row r="191" ht="36" customHeight="1">
      <c r="A191" s="24" t="inlineStr">
        <is>
          <t>8d9d3d1572a04460</t>
        </is>
      </c>
      <c r="B191" s="24" t="inlineStr">
        <is>
          <t>2026-08-05T17:03:21.201331Z</t>
        </is>
      </c>
      <c r="C191" s="24" t="inlineStr">
        <is>
          <t>2026-08-05T18:10Z</t>
        </is>
      </c>
      <c r="D191" s="24" t="inlineStr">
        <is>
          <t>401816410</t>
        </is>
      </c>
      <c r="E191" s="24" t="inlineStr">
        <is>
          <t>MLB</t>
        </is>
      </c>
      <c r="F191" s="24" t="inlineStr">
        <is>
          <t>Toronto Blue Jays</t>
        </is>
      </c>
      <c r="G191" s="24" t="inlineStr">
        <is>
          <t>Houston Astros</t>
        </is>
      </c>
      <c r="H191" s="24" t="inlineStr">
        <is>
          <t>total</t>
        </is>
      </c>
      <c r="I191" s="24" t="inlineStr">
        <is>
          <t>over</t>
        </is>
      </c>
      <c r="J191" s="25" t="n">
        <v>8.5</v>
      </c>
      <c r="K191" s="24" t="inlineStr">
        <is>
          <t>polymarket_us</t>
        </is>
      </c>
      <c r="L191" s="26" t="n">
        <v>115</v>
      </c>
      <c r="M191" s="27" t="n">
        <v>2.15</v>
      </c>
      <c r="N191" s="28" t="n">
        <v>0.465116</v>
      </c>
      <c r="O191" s="28" t="n">
        <v>0.524616</v>
      </c>
      <c r="P191" s="28" t="n">
        <v>0.042131</v>
      </c>
      <c r="Q191" s="28" t="n">
        <v>0.0595</v>
      </c>
      <c r="R191" s="26" t="n">
        <v>56</v>
      </c>
      <c r="S191" s="29" t="n">
        <v>0</v>
      </c>
      <c r="T191" s="24" t="inlineStr">
        <is>
          <t>measured-edge-totals-v3</t>
        </is>
      </c>
      <c r="U191" s="24" t="inlineStr">
        <is>
          <t>settled</t>
        </is>
      </c>
      <c r="V191" s="24" t="inlineStr">
        <is>
          <t>win</t>
        </is>
      </c>
      <c r="W191" s="26" t="n">
        <v>5</v>
      </c>
      <c r="X191" s="26" t="n">
        <v>4</v>
      </c>
      <c r="Y191" s="25" t="n">
        <v>8.5</v>
      </c>
      <c r="Z191" s="26" t="n">
        <v>115</v>
      </c>
      <c r="AA191" s="28" t="n">
        <v>0.465</v>
      </c>
      <c r="AB191" s="28" t="n">
        <v>-0.000116</v>
      </c>
      <c r="AC191" s="30" t="n">
        <v>0</v>
      </c>
      <c r="AD191" s="24" t="inlineStr">
        <is>
          <t>2026-08-06T00:20:24.337619Z</t>
        </is>
      </c>
      <c r="AE191" s="31" t="inlineStr">
        <is>
          <t>Measured Edge Totals: Trend Engine projected 4.45-5.29; raw selected-side p=0.5757, calibrated p=0.5246.</t>
        </is>
      </c>
      <c r="AF191" s="31" t="inlineStr">
        <is>
          <t>Research-only; lineup, bullpen, park, weather, xFIP, and wRC+ may be neutral fallbacks; market availability and BBO depth may change before first pitch.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NO_CALL_WINNER_OVERVALUED</t>
        </is>
      </c>
      <c r="AP191" s="24" t="inlineStr">
        <is>
          <t>mlb-tor</t>
        </is>
      </c>
      <c r="AQ191" s="24" t="inlineStr">
        <is>
          <t>Toronto Blue Jays</t>
        </is>
      </c>
      <c r="AR191" s="24" t="inlineStr">
        <is>
          <t>Toronto Blue Jays</t>
        </is>
      </c>
      <c r="AS191" s="24" t="inlineStr">
        <is>
          <t>mlb-hou</t>
        </is>
      </c>
      <c r="AT191" s="24" t="inlineStr">
        <is>
          <t>Houston Astros</t>
        </is>
      </c>
      <c r="AU191" s="24" t="inlineStr">
        <is>
          <t>Houston Astros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95b84332c75d2ce54036eb8de6ada9c78d0f80228c50825c0347281a8b9b49c7</t>
        </is>
      </c>
      <c r="BB191" s="24" t="inlineStr">
        <is>
          <t>flat_probability_shrinkage_toward_half</t>
        </is>
      </c>
      <c r="BC191" s="24" t="inlineStr">
        <is>
          <t>measured-edge-totals-v3</t>
        </is>
      </c>
      <c r="BD191" s="24" t="inlineStr">
        <is>
          <t>95b84332c75d2ce54036eb8de6ada9c78d0f80228c50825c0347281a8b9b49c7</t>
        </is>
      </c>
      <c r="BE191" s="24" t="inlineStr">
        <is>
          <t>v3</t>
        </is>
      </c>
      <c r="BF191" s="24" t="inlineStr">
        <is>
          <t>1</t>
        </is>
      </c>
      <c r="BG191" s="24" t="inlineStr">
        <is>
          <t>measured-edge-paired-v1</t>
        </is>
      </c>
      <c r="BH191" s="24" t="inlineStr">
        <is>
          <t>2026-08-05T17:03:21.201331Z</t>
        </is>
      </c>
      <c r="BI191" s="24" t="inlineStr">
        <is>
          <t>["same_event","same_team_same_day","same_league_same_day"]</t>
        </is>
      </c>
      <c r="BJ191" s="25" t="n">
        <v>8.5</v>
      </c>
      <c r="BK191" s="26" t="n">
        <v>115</v>
      </c>
      <c r="BL191" s="27" t="n">
        <v>2.15</v>
      </c>
      <c r="BM191" s="28" t="n">
        <v>0.465116</v>
      </c>
      <c r="BN191" s="28" t="n">
        <v>0.462687</v>
      </c>
      <c r="BO191" s="28" t="n"/>
      <c r="BP191" s="25" t="n"/>
      <c r="BQ191" s="27" t="n">
        <v>2.15</v>
      </c>
      <c r="BR191" s="28" t="n">
        <v>0.465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</row>
    <row r="192" ht="36" customHeight="1">
      <c r="A192" s="24" t="inlineStr">
        <is>
          <t>1070572256ac4a03</t>
        </is>
      </c>
      <c r="B192" s="24" t="inlineStr">
        <is>
          <t>2026-08-05T17:03:21.201331Z</t>
        </is>
      </c>
      <c r="C192" s="24" t="inlineStr">
        <is>
          <t>2026-08-05T18:20Z</t>
        </is>
      </c>
      <c r="D192" s="24" t="inlineStr">
        <is>
          <t>401816406</t>
        </is>
      </c>
      <c r="E192" s="24" t="inlineStr">
        <is>
          <t>MLB</t>
        </is>
      </c>
      <c r="F192" s="24" t="inlineStr">
        <is>
          <t>Los Angeles Dodgers</t>
        </is>
      </c>
      <c r="G192" s="24" t="inlineStr">
        <is>
          <t>Chicago Cubs</t>
        </is>
      </c>
      <c r="H192" s="24" t="inlineStr">
        <is>
          <t>spread</t>
        </is>
      </c>
      <c r="I192" s="24" t="inlineStr">
        <is>
          <t>home</t>
        </is>
      </c>
      <c r="J192" s="25" t="n">
        <v>-1.5</v>
      </c>
      <c r="K192" s="24" t="inlineStr">
        <is>
          <t>polymarket_us</t>
        </is>
      </c>
      <c r="L192" s="26" t="n">
        <v>167</v>
      </c>
      <c r="M192" s="27" t="n">
        <v>2.67</v>
      </c>
      <c r="N192" s="28" t="n">
        <v>0.374532</v>
      </c>
      <c r="O192" s="28" t="n">
        <v>0.427431</v>
      </c>
      <c r="P192" s="28" t="n">
        <v>0.042131</v>
      </c>
      <c r="Q192" s="28" t="n">
        <v>0.052899</v>
      </c>
      <c r="R192" s="26" t="n">
        <v>52</v>
      </c>
      <c r="S192" s="29" t="n">
        <v>0</v>
      </c>
      <c r="T192" s="24" t="inlineStr">
        <is>
          <t>measured-edge-margin-v3</t>
        </is>
      </c>
      <c r="U192" s="24" t="inlineStr">
        <is>
          <t>settled</t>
        </is>
      </c>
      <c r="V192" s="24" t="inlineStr">
        <is>
          <t>loss</t>
        </is>
      </c>
      <c r="W192" s="26" t="n">
        <v>6</v>
      </c>
      <c r="X192" s="26" t="n">
        <v>7</v>
      </c>
      <c r="Y192" s="25" t="n">
        <v>-1.5</v>
      </c>
      <c r="Z192" s="26" t="n">
        <v>167</v>
      </c>
      <c r="AA192" s="28" t="n">
        <v>0.375</v>
      </c>
      <c r="AB192" s="28" t="n">
        <v>0.000468</v>
      </c>
      <c r="AC192" s="30" t="n">
        <v>0</v>
      </c>
      <c r="AD192" s="24" t="inlineStr">
        <is>
          <t>2026-08-06T00:20:25.263663Z</t>
        </is>
      </c>
      <c r="AE192" s="31" t="inlineStr">
        <is>
          <t>Measured Edge Margin: Trend Engine projected 3.96-4.59; raw selected-side p=0.3935, calibrated p=0.4274.</t>
        </is>
      </c>
      <c r="AF192" s="31" t="inlineStr">
        <is>
          <t>Research-only; lineup, bullpen, park, weather, xFIP, and wRC+ may be neutral fallbacks; market availability and BBO depth may change before first pitch.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NO_CALL_WINNER_OVERVALUED</t>
        </is>
      </c>
      <c r="AP192" s="24" t="inlineStr">
        <is>
          <t>mlb-lad</t>
        </is>
      </c>
      <c r="AQ192" s="24" t="inlineStr">
        <is>
          <t>Los Angeles Dodgers</t>
        </is>
      </c>
      <c r="AR192" s="24" t="inlineStr">
        <is>
          <t>Los Angeles Dodgers</t>
        </is>
      </c>
      <c r="AS192" s="24" t="inlineStr">
        <is>
          <t>mlb-chc</t>
        </is>
      </c>
      <c r="AT192" s="24" t="inlineStr">
        <is>
          <t>Chicago Cubs</t>
        </is>
      </c>
      <c r="AU192" s="24" t="inlineStr">
        <is>
          <t>Chicago Cubs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dd339a2eed50d7d83ab2127837995ddab82e879afd27f5414bb6c1f9cd60ba4c</t>
        </is>
      </c>
      <c r="BB192" s="24" t="inlineStr">
        <is>
          <t>flat_probability_shrinkage_toward_half</t>
        </is>
      </c>
      <c r="BC192" s="24" t="inlineStr">
        <is>
          <t>measured-edge-margin-v3</t>
        </is>
      </c>
      <c r="BD192" s="24" t="inlineStr">
        <is>
          <t>dd339a2eed50d7d83ab2127837995ddab82e879afd27f5414bb6c1f9cd60ba4c</t>
        </is>
      </c>
      <c r="BE192" s="24" t="inlineStr">
        <is>
          <t>v3</t>
        </is>
      </c>
      <c r="BF192" s="24" t="inlineStr">
        <is>
          <t>1</t>
        </is>
      </c>
      <c r="BG192" s="24" t="inlineStr">
        <is>
          <t>measured-edge-paired-v1</t>
        </is>
      </c>
      <c r="BH192" s="24" t="inlineStr">
        <is>
          <t>2026-08-05T17:03:21.201331Z</t>
        </is>
      </c>
      <c r="BI192" s="24" t="inlineStr">
        <is>
          <t>["same_event","same_team_same_day","same_league_same_day"]</t>
        </is>
      </c>
      <c r="BJ192" s="25" t="n">
        <v>-1.5</v>
      </c>
      <c r="BK192" s="26" t="n">
        <v>167</v>
      </c>
      <c r="BL192" s="27" t="n">
        <v>2.67</v>
      </c>
      <c r="BM192" s="28" t="n">
        <v>0.374532</v>
      </c>
      <c r="BN192" s="28" t="n">
        <v>0.373134</v>
      </c>
      <c r="BO192" s="28" t="n"/>
      <c r="BP192" s="25" t="n"/>
      <c r="BQ192" s="27" t="n">
        <v>2.67</v>
      </c>
      <c r="BR192" s="28" t="n">
        <v>0.375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</row>
    <row r="193" ht="36" customHeight="1">
      <c r="A193" s="24" t="inlineStr">
        <is>
          <t>a5b1c89015a74283</t>
        </is>
      </c>
      <c r="B193" s="24" t="inlineStr">
        <is>
          <t>2026-08-05T17:03:21.201331Z</t>
        </is>
      </c>
      <c r="C193" s="24" t="inlineStr">
        <is>
          <t>2026-08-05T18:20Z</t>
        </is>
      </c>
      <c r="D193" s="24" t="inlineStr">
        <is>
          <t>401816406</t>
        </is>
      </c>
      <c r="E193" s="24" t="inlineStr">
        <is>
          <t>MLB</t>
        </is>
      </c>
      <c r="F193" s="24" t="inlineStr">
        <is>
          <t>Los Angeles Dodgers</t>
        </is>
      </c>
      <c r="G193" s="24" t="inlineStr">
        <is>
          <t>Chicago Cubs</t>
        </is>
      </c>
      <c r="H193" s="24" t="inlineStr">
        <is>
          <t>total</t>
        </is>
      </c>
      <c r="I193" s="24" t="inlineStr">
        <is>
          <t>under</t>
        </is>
      </c>
      <c r="J193" s="25" t="n">
        <v>9.5</v>
      </c>
      <c r="K193" s="24" t="inlineStr">
        <is>
          <t>polymarket_us</t>
        </is>
      </c>
      <c r="L193" s="26" t="n">
        <v>111</v>
      </c>
      <c r="M193" s="27" t="n">
        <v>2.11</v>
      </c>
      <c r="N193" s="28" t="n">
        <v>0.473934</v>
      </c>
      <c r="O193" s="28" t="n">
        <v>0.540402</v>
      </c>
      <c r="P193" s="28" t="n">
        <v>0.042131</v>
      </c>
      <c r="Q193" s="28" t="n">
        <v>0.066468</v>
      </c>
      <c r="R193" s="26" t="n">
        <v>59</v>
      </c>
      <c r="S193" s="29" t="n">
        <v>0</v>
      </c>
      <c r="T193" s="24" t="inlineStr">
        <is>
          <t>measured-edge-totals-v3</t>
        </is>
      </c>
      <c r="U193" s="24" t="inlineStr">
        <is>
          <t>settled</t>
        </is>
      </c>
      <c r="V193" s="24" t="inlineStr">
        <is>
          <t>loss</t>
        </is>
      </c>
      <c r="W193" s="26" t="n">
        <v>6</v>
      </c>
      <c r="X193" s="26" t="n">
        <v>7</v>
      </c>
      <c r="Y193" s="25" t="n">
        <v>9.5</v>
      </c>
      <c r="Z193" s="26" t="n">
        <v>111</v>
      </c>
      <c r="AA193" s="28" t="n">
        <v>0.475</v>
      </c>
      <c r="AB193" s="28" t="n">
        <v>0.001066</v>
      </c>
      <c r="AC193" s="30" t="n">
        <v>0</v>
      </c>
      <c r="AD193" s="24" t="inlineStr">
        <is>
          <t>2026-08-06T00:20:26.119807Z</t>
        </is>
      </c>
      <c r="AE193" s="31" t="inlineStr">
        <is>
          <t>Measured Edge Totals: Trend Engine projected 3.96-4.59; raw selected-side p=0.6393, calibrated p=0.5404.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NO_CALL_WINNER_OVERVALUED</t>
        </is>
      </c>
      <c r="AP193" s="24" t="inlineStr">
        <is>
          <t>mlb-lad</t>
        </is>
      </c>
      <c r="AQ193" s="24" t="inlineStr">
        <is>
          <t>Los Angeles Dodgers</t>
        </is>
      </c>
      <c r="AR193" s="24" t="inlineStr">
        <is>
          <t>Los Angeles Dodgers</t>
        </is>
      </c>
      <c r="AS193" s="24" t="inlineStr">
        <is>
          <t>mlb-chc</t>
        </is>
      </c>
      <c r="AT193" s="24" t="inlineStr">
        <is>
          <t>Chicago Cubs</t>
        </is>
      </c>
      <c r="AU193" s="24" t="inlineStr">
        <is>
          <t>Chicago Cubs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95b84332c75d2ce54036eb8de6ada9c78d0f80228c50825c0347281a8b9b49c7</t>
        </is>
      </c>
      <c r="BB193" s="24" t="inlineStr">
        <is>
          <t>flat_probability_shrinkage_toward_half</t>
        </is>
      </c>
      <c r="BC193" s="24" t="inlineStr">
        <is>
          <t>measured-edge-totals-v3</t>
        </is>
      </c>
      <c r="BD193" s="24" t="inlineStr">
        <is>
          <t>95b84332c75d2ce54036eb8de6ada9c78d0f80228c50825c0347281a8b9b49c7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2026-08-05T17:03:21.201331Z</t>
        </is>
      </c>
      <c r="BI193" s="24" t="inlineStr">
        <is>
          <t>["same_event","same_team_same_day","same_league_same_day"]</t>
        </is>
      </c>
      <c r="BJ193" s="25" t="n">
        <v>9.5</v>
      </c>
      <c r="BK193" s="26" t="n">
        <v>111</v>
      </c>
      <c r="BL193" s="27" t="n">
        <v>2.11</v>
      </c>
      <c r="BM193" s="28" t="n">
        <v>0.473934</v>
      </c>
      <c r="BN193" s="28" t="n">
        <v>0.472637</v>
      </c>
      <c r="BO193" s="28" t="n"/>
      <c r="BP193" s="25" t="n"/>
      <c r="BQ193" s="27" t="n">
        <v>2.11</v>
      </c>
      <c r="BR193" s="28" t="n">
        <v>0.475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8bf63ca660e2496e</t>
        </is>
      </c>
      <c r="B194" s="24" t="inlineStr">
        <is>
          <t>2026-08-05T17:03:21.201331Z</t>
        </is>
      </c>
      <c r="C194" s="24" t="inlineStr">
        <is>
          <t>2026-08-05T18:35Z</t>
        </is>
      </c>
      <c r="D194" s="24" t="inlineStr">
        <is>
          <t>401816409</t>
        </is>
      </c>
      <c r="E194" s="24" t="inlineStr">
        <is>
          <t>MLB</t>
        </is>
      </c>
      <c r="F194" s="24" t="inlineStr">
        <is>
          <t>San Francisco Giants</t>
        </is>
      </c>
      <c r="G194" s="24" t="inlineStr">
        <is>
          <t>Texas Rangers</t>
        </is>
      </c>
      <c r="H194" s="24" t="inlineStr">
        <is>
          <t>spread</t>
        </is>
      </c>
      <c r="I194" s="24" t="inlineStr">
        <is>
          <t>home</t>
        </is>
      </c>
      <c r="J194" s="25" t="n">
        <v>-1.5</v>
      </c>
      <c r="K194" s="24" t="inlineStr">
        <is>
          <t>polymarket_us</t>
        </is>
      </c>
      <c r="L194" s="26" t="n">
        <v>135</v>
      </c>
      <c r="M194" s="27" t="n">
        <v>2.35</v>
      </c>
      <c r="N194" s="28" t="n">
        <v>0.425532</v>
      </c>
      <c r="O194" s="28" t="n">
        <v>0.408522</v>
      </c>
      <c r="P194" s="28" t="n">
        <v>0.05172</v>
      </c>
      <c r="Q194" s="28" t="n">
        <v>-0.01701</v>
      </c>
      <c r="R194" s="26" t="n">
        <v>12</v>
      </c>
      <c r="S194" s="29" t="n">
        <v>0</v>
      </c>
      <c r="T194" s="24" t="inlineStr">
        <is>
          <t>measured-edge-margin-v3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6</v>
      </c>
      <c r="Y194" s="25" t="n">
        <v>-1.5</v>
      </c>
      <c r="Z194" s="26" t="n">
        <v>135</v>
      </c>
      <c r="AA194" s="28" t="n">
        <v>0.425</v>
      </c>
      <c r="AB194" s="28" t="n">
        <v>-0.000532</v>
      </c>
      <c r="AC194" s="30" t="n">
        <v>0</v>
      </c>
      <c r="AD194" s="24" t="inlineStr">
        <is>
          <t>2026-08-06T00:20:26.985641Z</t>
        </is>
      </c>
      <c r="AE194" s="31" t="inlineStr">
        <is>
          <t>Measured Edge Margin: Trend Engine projected 4.57-4.92; raw selected-side p=0.3658, calibrated p=0.4085.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NO_CALL_WINNER_OVERVALUED</t>
        </is>
      </c>
      <c r="AP194" s="24" t="inlineStr">
        <is>
          <t>mlb-sf</t>
        </is>
      </c>
      <c r="AQ194" s="24" t="inlineStr">
        <is>
          <t>San Francisco Giants</t>
        </is>
      </c>
      <c r="AR194" s="24" t="inlineStr">
        <is>
          <t>San Francisco Giants</t>
        </is>
      </c>
      <c r="AS194" s="24" t="inlineStr">
        <is>
          <t>mlb-tex</t>
        </is>
      </c>
      <c r="AT194" s="24" t="inlineStr">
        <is>
          <t>Texas Rangers</t>
        </is>
      </c>
      <c r="AU194" s="24" t="inlineStr">
        <is>
          <t>Texas Rangers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dd339a2eed50d7d83ab2127837995ddab82e879afd27f5414bb6c1f9cd60ba4c</t>
        </is>
      </c>
      <c r="BB194" s="24" t="inlineStr">
        <is>
          <t>flat_probability_shrinkage_toward_half</t>
        </is>
      </c>
      <c r="BC194" s="24" t="inlineStr">
        <is>
          <t>measured-edge-margin-v3</t>
        </is>
      </c>
      <c r="BD194" s="24" t="inlineStr">
        <is>
          <t>dd339a2eed50d7d83ab2127837995ddab82e879afd27f5414bb6c1f9cd60ba4c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2026-08-05T17:03:21.201331Z</t>
        </is>
      </c>
      <c r="BI194" s="24" t="inlineStr">
        <is>
          <t>["same_event","same_team_same_day","same_league_same_day"]</t>
        </is>
      </c>
      <c r="BJ194" s="25" t="n">
        <v>-1.5</v>
      </c>
      <c r="BK194" s="26" t="n">
        <v>135</v>
      </c>
      <c r="BL194" s="27" t="n">
        <v>2.35</v>
      </c>
      <c r="BM194" s="28" t="n">
        <v>0.425532</v>
      </c>
      <c r="BN194" s="28" t="n">
        <v>0.422886</v>
      </c>
      <c r="BO194" s="28" t="n"/>
      <c r="BP194" s="25" t="n"/>
      <c r="BQ194" s="27" t="n">
        <v>2.35</v>
      </c>
      <c r="BR194" s="28" t="n">
        <v>0.425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False</t>
        </is>
      </c>
    </row>
    <row r="195" ht="36" customHeight="1">
      <c r="A195" s="24" t="inlineStr">
        <is>
          <t>dad1f3922eae467a</t>
        </is>
      </c>
      <c r="B195" s="24" t="inlineStr">
        <is>
          <t>2026-08-05T17:03:21.201331Z</t>
        </is>
      </c>
      <c r="C195" s="24" t="inlineStr">
        <is>
          <t>2026-08-05T18:35Z</t>
        </is>
      </c>
      <c r="D195" s="24" t="inlineStr">
        <is>
          <t>401816409</t>
        </is>
      </c>
      <c r="E195" s="24" t="inlineStr">
        <is>
          <t>MLB</t>
        </is>
      </c>
      <c r="F195" s="24" t="inlineStr">
        <is>
          <t>San Francisco Giants</t>
        </is>
      </c>
      <c r="G195" s="24" t="inlineStr">
        <is>
          <t>Texas Rangers</t>
        </is>
      </c>
      <c r="H195" s="24" t="inlineStr">
        <is>
          <t>total</t>
        </is>
      </c>
      <c r="I195" s="24" t="inlineStr">
        <is>
          <t>over</t>
        </is>
      </c>
      <c r="J195" s="25" t="n">
        <v>8.5</v>
      </c>
      <c r="K195" s="24" t="inlineStr">
        <is>
          <t>polymarket_us</t>
        </is>
      </c>
      <c r="L195" s="26" t="n">
        <v>102</v>
      </c>
      <c r="M195" s="27" t="n">
        <v>2.02</v>
      </c>
      <c r="N195" s="28" t="n">
        <v>0.49505</v>
      </c>
      <c r="O195" s="28" t="n">
        <v>0.519474</v>
      </c>
      <c r="P195" s="28" t="n">
        <v>0.05172</v>
      </c>
      <c r="Q195" s="28" t="n">
        <v>0.024424</v>
      </c>
      <c r="R195" s="26" t="n">
        <v>32</v>
      </c>
      <c r="S195" s="29" t="n">
        <v>0</v>
      </c>
      <c r="T195" s="24" t="inlineStr">
        <is>
          <t>measured-edge-totals-v3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6</v>
      </c>
      <c r="Y195" s="25" t="n">
        <v>8.5</v>
      </c>
      <c r="Z195" s="26" t="n">
        <v>102</v>
      </c>
      <c r="AA195" s="28" t="n">
        <v>0.495</v>
      </c>
      <c r="AB195" s="28" t="n">
        <v>-5e-05</v>
      </c>
      <c r="AC195" s="30" t="n">
        <v>0</v>
      </c>
      <c r="AD195" s="24" t="inlineStr">
        <is>
          <t>2026-08-06T00:20:27.888586Z</t>
        </is>
      </c>
      <c r="AE195" s="31" t="inlineStr">
        <is>
          <t>Measured Edge Totals: Trend Engine projected 4.57-4.92; raw selected-side p=0.5551, calibrated p=0.5195.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NO_CALL_WINNER_OVERVALUED</t>
        </is>
      </c>
      <c r="AP195" s="24" t="inlineStr">
        <is>
          <t>mlb-sf</t>
        </is>
      </c>
      <c r="AQ195" s="24" t="inlineStr">
        <is>
          <t>San Francisco Giants</t>
        </is>
      </c>
      <c r="AR195" s="24" t="inlineStr">
        <is>
          <t>San Francisco Giants</t>
        </is>
      </c>
      <c r="AS195" s="24" t="inlineStr">
        <is>
          <t>mlb-tex</t>
        </is>
      </c>
      <c r="AT195" s="24" t="inlineStr">
        <is>
          <t>Texas Rangers</t>
        </is>
      </c>
      <c r="AU195" s="24" t="inlineStr">
        <is>
          <t>Texas Rangers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95b84332c75d2ce54036eb8de6ada9c78d0f80228c50825c0347281a8b9b49c7</t>
        </is>
      </c>
      <c r="BB195" s="24" t="inlineStr">
        <is>
          <t>flat_probability_shrinkage_toward_half</t>
        </is>
      </c>
      <c r="BC195" s="24" t="inlineStr">
        <is>
          <t>measured-edge-totals-v3</t>
        </is>
      </c>
      <c r="BD195" s="24" t="inlineStr">
        <is>
          <t>95b84332c75d2ce54036eb8de6ada9c78d0f80228c50825c0347281a8b9b49c7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2026-08-05T17:03:21.201331Z</t>
        </is>
      </c>
      <c r="BI195" s="24" t="inlineStr">
        <is>
          <t>["same_event","same_team_same_day","same_league_same_day"]</t>
        </is>
      </c>
      <c r="BJ195" s="25" t="n">
        <v>8.5</v>
      </c>
      <c r="BK195" s="26" t="n">
        <v>102</v>
      </c>
      <c r="BL195" s="27" t="n">
        <v>2.02</v>
      </c>
      <c r="BM195" s="28" t="n">
        <v>0.49505</v>
      </c>
      <c r="BN195" s="28" t="n">
        <v>0.492537</v>
      </c>
      <c r="BO195" s="28" t="n"/>
      <c r="BP195" s="25" t="n"/>
      <c r="BQ195" s="27" t="n">
        <v>2.02</v>
      </c>
      <c r="BR195" s="28" t="n">
        <v>0.495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</row>
    <row r="196" ht="36" customHeight="1">
      <c r="A196" s="24" t="inlineStr">
        <is>
          <t>f91d5786d1e14a82</t>
        </is>
      </c>
      <c r="B196" s="24" t="inlineStr">
        <is>
          <t>2026-08-05T17:03:21.201331Z</t>
        </is>
      </c>
      <c r="C196" s="24" t="inlineStr">
        <is>
          <t>2026-08-05T19:10Z</t>
        </is>
      </c>
      <c r="D196" s="24" t="inlineStr">
        <is>
          <t>401816411</t>
        </is>
      </c>
      <c r="E196" s="24" t="inlineStr">
        <is>
          <t>MLB</t>
        </is>
      </c>
      <c r="F196" s="24" t="inlineStr">
        <is>
          <t>Tampa Bay Rays</t>
        </is>
      </c>
      <c r="G196" s="24" t="inlineStr">
        <is>
          <t>Colorado Rockies</t>
        </is>
      </c>
      <c r="H196" s="24" t="inlineStr">
        <is>
          <t>spread</t>
        </is>
      </c>
      <c r="I196" s="24" t="inlineStr">
        <is>
          <t>away</t>
        </is>
      </c>
      <c r="J196" s="25" t="n">
        <v>-1.5</v>
      </c>
      <c r="K196" s="24" t="inlineStr">
        <is>
          <t>polymarket_us</t>
        </is>
      </c>
      <c r="L196" s="26" t="n">
        <v>-104</v>
      </c>
      <c r="M196" s="27" t="n">
        <v>1.961538</v>
      </c>
      <c r="N196" s="28" t="n">
        <v>0.509804</v>
      </c>
      <c r="O196" s="28" t="n">
        <v>0.392543</v>
      </c>
      <c r="P196" s="28" t="n">
        <v>0.042131</v>
      </c>
      <c r="Q196" s="28" t="n">
        <v>-0.117261</v>
      </c>
      <c r="R196" s="26" t="n">
        <v>0</v>
      </c>
      <c r="S196" s="29" t="n">
        <v>0</v>
      </c>
      <c r="T196" s="24" t="inlineStr">
        <is>
          <t>measured-edge-margin-v3</t>
        </is>
      </c>
      <c r="U196" s="24" t="inlineStr">
        <is>
          <t>settled</t>
        </is>
      </c>
      <c r="V196" s="24" t="inlineStr">
        <is>
          <t>win</t>
        </is>
      </c>
      <c r="W196" s="26" t="n">
        <v>4</v>
      </c>
      <c r="X196" s="26" t="n">
        <v>0</v>
      </c>
      <c r="Y196" s="25" t="n">
        <v>-1.5</v>
      </c>
      <c r="Z196" s="26" t="n">
        <v>-104</v>
      </c>
      <c r="AA196" s="28" t="n">
        <v>0.51</v>
      </c>
      <c r="AB196" s="28" t="n">
        <v>0.000196</v>
      </c>
      <c r="AC196" s="30" t="n">
        <v>0</v>
      </c>
      <c r="AD196" s="24" t="inlineStr">
        <is>
          <t>2026-08-06T00:20:28.753241Z</t>
        </is>
      </c>
      <c r="AE196" s="31" t="inlineStr">
        <is>
          <t>Measured Edge Margin: Trend Engine projected 4.81-4.66; raw selected-side p=0.3423, calibrated p=0.3925.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NO_CALL_WINNER_OVERVALUED</t>
        </is>
      </c>
      <c r="AP196" s="24" t="inlineStr">
        <is>
          <t>mlb-tb</t>
        </is>
      </c>
      <c r="AQ196" s="24" t="inlineStr">
        <is>
          <t>Tampa Bay Rays</t>
        </is>
      </c>
      <c r="AR196" s="24" t="inlineStr">
        <is>
          <t>Tampa Bay Rays</t>
        </is>
      </c>
      <c r="AS196" s="24" t="inlineStr">
        <is>
          <t>mlb-col</t>
        </is>
      </c>
      <c r="AT196" s="24" t="inlineStr">
        <is>
          <t>Colorado Rockies</t>
        </is>
      </c>
      <c r="AU196" s="24" t="inlineStr">
        <is>
          <t>Colorado Rockies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dd339a2eed50d7d83ab2127837995ddab82e879afd27f5414bb6c1f9cd60ba4c</t>
        </is>
      </c>
      <c r="BB196" s="24" t="inlineStr">
        <is>
          <t>flat_probability_shrinkage_toward_half</t>
        </is>
      </c>
      <c r="BC196" s="24" t="inlineStr">
        <is>
          <t>measured-edge-margin-v3</t>
        </is>
      </c>
      <c r="BD196" s="24" t="inlineStr">
        <is>
          <t>dd339a2eed50d7d83ab2127837995ddab82e879afd27f5414bb6c1f9cd60ba4c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2026-08-05T17:03:21.201331Z</t>
        </is>
      </c>
      <c r="BI196" s="24" t="inlineStr">
        <is>
          <t>["same_event","same_team_same_day","same_league_same_day"]</t>
        </is>
      </c>
      <c r="BJ196" s="25" t="n">
        <v>-1.5</v>
      </c>
      <c r="BK196" s="26" t="n">
        <v>-104</v>
      </c>
      <c r="BL196" s="27" t="n">
        <v>1.961538</v>
      </c>
      <c r="BM196" s="28" t="n">
        <v>0.509804</v>
      </c>
      <c r="BN196" s="28" t="n">
        <v>0.507463</v>
      </c>
      <c r="BO196" s="28" t="n"/>
      <c r="BP196" s="25" t="n"/>
      <c r="BQ196" s="27" t="n">
        <v>1.961538</v>
      </c>
      <c r="BR196" s="28" t="n">
        <v>0.51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</row>
    <row r="197" ht="36" customHeight="1">
      <c r="A197" s="24" t="inlineStr">
        <is>
          <t>f6b281bdc6ff4eed</t>
        </is>
      </c>
      <c r="B197" s="24" t="inlineStr">
        <is>
          <t>2026-08-05T17:03:21.201331Z</t>
        </is>
      </c>
      <c r="C197" s="24" t="inlineStr">
        <is>
          <t>2026-08-05T19:10Z</t>
        </is>
      </c>
      <c r="D197" s="24" t="inlineStr">
        <is>
          <t>401816411</t>
        </is>
      </c>
      <c r="E197" s="24" t="inlineStr">
        <is>
          <t>MLB</t>
        </is>
      </c>
      <c r="F197" s="24" t="inlineStr">
        <is>
          <t>Tampa Bay Rays</t>
        </is>
      </c>
      <c r="G197" s="24" t="inlineStr">
        <is>
          <t>Colorado Rockies</t>
        </is>
      </c>
      <c r="H197" s="24" t="inlineStr">
        <is>
          <t>total</t>
        </is>
      </c>
      <c r="I197" s="24" t="inlineStr">
        <is>
          <t>under</t>
        </is>
      </c>
      <c r="J197" s="25" t="n">
        <v>11.5</v>
      </c>
      <c r="K197" s="24" t="inlineStr">
        <is>
          <t>polymarket_us</t>
        </is>
      </c>
      <c r="L197" s="26" t="n">
        <v>-115</v>
      </c>
      <c r="M197" s="27" t="n">
        <v>1.869565</v>
      </c>
      <c r="N197" s="28" t="n">
        <v>0.534884</v>
      </c>
      <c r="O197" s="28" t="n">
        <v>0.559082</v>
      </c>
      <c r="P197" s="28" t="n">
        <v>0.042131</v>
      </c>
      <c r="Q197" s="28" t="n">
        <v>0.024198</v>
      </c>
      <c r="R197" s="26" t="n">
        <v>38</v>
      </c>
      <c r="S197" s="29" t="n">
        <v>0</v>
      </c>
      <c r="T197" s="24" t="inlineStr">
        <is>
          <t>measured-edge-totals-v3</t>
        </is>
      </c>
      <c r="U197" s="24" t="inlineStr">
        <is>
          <t>settled</t>
        </is>
      </c>
      <c r="V197" s="24" t="inlineStr">
        <is>
          <t>win</t>
        </is>
      </c>
      <c r="W197" s="26" t="n">
        <v>4</v>
      </c>
      <c r="X197" s="26" t="n">
        <v>0</v>
      </c>
      <c r="Y197" s="25" t="n">
        <v>11.5</v>
      </c>
      <c r="Z197" s="26" t="n">
        <v>-115</v>
      </c>
      <c r="AA197" s="28" t="n">
        <v>0.535</v>
      </c>
      <c r="AB197" s="28" t="n">
        <v>0.000116</v>
      </c>
      <c r="AC197" s="30" t="n">
        <v>0</v>
      </c>
      <c r="AD197" s="24" t="inlineStr">
        <is>
          <t>2026-08-06T00:20:29.653425Z</t>
        </is>
      </c>
      <c r="AE197" s="31" t="inlineStr">
        <is>
          <t>Measured Edge Totals: Trend Engine projected 4.81-4.66; raw selected-side p=0.7145, calibrated p=0.5591.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NO_CALL_WINNER_OVERVALUED</t>
        </is>
      </c>
      <c r="AP197" s="24" t="inlineStr">
        <is>
          <t>mlb-tb</t>
        </is>
      </c>
      <c r="AQ197" s="24" t="inlineStr">
        <is>
          <t>Tampa Bay Rays</t>
        </is>
      </c>
      <c r="AR197" s="24" t="inlineStr">
        <is>
          <t>Tampa Bay Rays</t>
        </is>
      </c>
      <c r="AS197" s="24" t="inlineStr">
        <is>
          <t>mlb-col</t>
        </is>
      </c>
      <c r="AT197" s="24" t="inlineStr">
        <is>
          <t>Colorado Rockies</t>
        </is>
      </c>
      <c r="AU197" s="24" t="inlineStr">
        <is>
          <t>Colorado Rockies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95b84332c75d2ce54036eb8de6ada9c78d0f80228c50825c0347281a8b9b49c7</t>
        </is>
      </c>
      <c r="BB197" s="24" t="inlineStr">
        <is>
          <t>flat_probability_shrinkage_toward_half</t>
        </is>
      </c>
      <c r="BC197" s="24" t="inlineStr">
        <is>
          <t>measured-edge-totals-v3</t>
        </is>
      </c>
      <c r="BD197" s="24" t="inlineStr">
        <is>
          <t>95b84332c75d2ce54036eb8de6ada9c78d0f80228c50825c0347281a8b9b49c7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2026-08-05T17:03:21.201331Z</t>
        </is>
      </c>
      <c r="BI197" s="24" t="inlineStr">
        <is>
          <t>["same_event","same_team_same_day","same_league_same_day"]</t>
        </is>
      </c>
      <c r="BJ197" s="25" t="n">
        <v>11.5</v>
      </c>
      <c r="BK197" s="26" t="n">
        <v>-115</v>
      </c>
      <c r="BL197" s="27" t="n">
        <v>1.869565</v>
      </c>
      <c r="BM197" s="28" t="n">
        <v>0.534884</v>
      </c>
      <c r="BN197" s="28" t="n">
        <v>0.532338</v>
      </c>
      <c r="BO197" s="28" t="n"/>
      <c r="BP197" s="25" t="n"/>
      <c r="BQ197" s="27" t="n">
        <v>1.869565</v>
      </c>
      <c r="BR197" s="28" t="n">
        <v>0.535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fb14f9f9b366492b</t>
        </is>
      </c>
      <c r="B198" s="24" t="inlineStr">
        <is>
          <t>2026-08-05T21:01:20.386769Z</t>
        </is>
      </c>
      <c r="C198" s="24" t="inlineStr">
        <is>
          <t>2026-08-05T18:35:00-0400</t>
        </is>
      </c>
      <c r="D198" s="24" t="inlineStr">
        <is>
          <t>401816399</t>
        </is>
      </c>
      <c r="E198" s="24" t="inlineStr">
        <is>
          <t>MLB</t>
        </is>
      </c>
      <c r="F198" s="24" t="inlineStr">
        <is>
          <t>Los Angeles Angels</t>
        </is>
      </c>
      <c r="G198" s="24" t="inlineStr">
        <is>
          <t>Baltimore Orioles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-125</v>
      </c>
      <c r="M198" s="27" t="n">
        <v>1.8</v>
      </c>
      <c r="N198" s="28" t="n">
        <v>0.555556</v>
      </c>
      <c r="O198" s="28" t="n">
        <v>0.620128</v>
      </c>
      <c r="P198" s="28" t="n"/>
      <c r="Q198" s="28" t="n">
        <v>0.064572</v>
      </c>
      <c r="R198" s="26" t="n">
        <v>54</v>
      </c>
      <c r="S198" s="29" t="n">
        <v>0</v>
      </c>
      <c r="T198" s="24" t="inlineStr">
        <is>
          <t>mlb-elo-trend-lr-v8</t>
        </is>
      </c>
      <c r="U198" s="24" t="inlineStr">
        <is>
          <t>settled</t>
        </is>
      </c>
      <c r="V198" s="24" t="inlineStr">
        <is>
          <t>win</t>
        </is>
      </c>
      <c r="W198" s="26" t="n">
        <v>2</v>
      </c>
      <c r="X198" s="26" t="n">
        <v>5</v>
      </c>
      <c r="Y198" s="25" t="n"/>
      <c r="Z198" s="26" t="n">
        <v>-125</v>
      </c>
      <c r="AA198" s="28" t="n">
        <v>0.555</v>
      </c>
      <c r="AB198" s="28" t="n">
        <v>-0.000556</v>
      </c>
      <c r="AC198" s="30" t="n">
        <v>0</v>
      </c>
      <c r="AD198" s="24" t="inlineStr">
        <is>
          <t>2026-08-06T03:25:38.681711Z</t>
        </is>
      </c>
      <c r="AE198" s="31" t="inlineStr">
        <is>
          <t>Learned LR call at threshold 0.5873; executable ask 0.5550 (aec-mlb-laa-bal-2026-08-05); model edge vs ask +0.0651.</t>
        </is>
      </c>
      <c r="AF198" s="31" t="inlineStr">
        <is>
          <t>Learned model; shadow-qualified via operator override.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NO_CALL_WINNER_OVERVALUED</t>
        </is>
      </c>
      <c r="AP198" s="24" t="inlineStr">
        <is>
          <t>mlb-laa</t>
        </is>
      </c>
      <c r="AQ198" s="24" t="inlineStr">
        <is>
          <t>Los Angeles Angels</t>
        </is>
      </c>
      <c r="AR198" s="24" t="inlineStr">
        <is>
          <t>Los Angeles Angels</t>
        </is>
      </c>
      <c r="AS198" s="24" t="inlineStr">
        <is>
          <t>mlb-bal</t>
        </is>
      </c>
      <c r="AT198" s="24" t="inlineStr">
        <is>
          <t>Baltimore Orioles</t>
        </is>
      </c>
      <c r="AU198" s="24" t="inlineStr">
        <is>
          <t>Baltimore Orioles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6a5c79541b0e50cb9f7318270e63d5ccc65cbd7bc53a019748ff772d49de5075</t>
        </is>
      </c>
      <c r="BB198" s="24" t="inlineStr">
        <is>
          <t>learned_lr</t>
        </is>
      </c>
      <c r="BC198" s="24" t="inlineStr">
        <is>
          <t>mlb-elo-trend-lr-v8</t>
        </is>
      </c>
      <c r="BD198" s="24" t="inlineStr">
        <is>
          <t>6a5c79541b0e50cb9f7318270e63d5ccc65cbd7bc53a019748ff772d49de5075</t>
        </is>
      </c>
      <c r="BE198" s="24" t="inlineStr">
        <is>
          <t>733906b627a19369</t>
        </is>
      </c>
      <c r="BF198" s="24" t="inlineStr">
        <is>
          <t>1</t>
        </is>
      </c>
      <c r="BG198" s="24" t="inlineStr">
        <is>
          <t>mlb-elo-trend-lr-v8</t>
        </is>
      </c>
      <c r="BH198" s="24" t="inlineStr">
        <is>
          <t>2026-08-05T21:00:45.060709Z</t>
        </is>
      </c>
      <c r="BI198" s="24" t="inlineStr">
        <is>
          <t>["same_event","same_team_same_day","same_league_same_day"]</t>
        </is>
      </c>
      <c r="BJ198" s="25" t="n"/>
      <c r="BK198" s="26" t="n">
        <v>-125</v>
      </c>
      <c r="BL198" s="27" t="n">
        <v>1.8</v>
      </c>
      <c r="BM198" s="28" t="n">
        <v>0.555556</v>
      </c>
      <c r="BN198" s="28" t="n">
        <v>0.552239</v>
      </c>
      <c r="BO198" s="28" t="n"/>
      <c r="BP198" s="25" t="n"/>
      <c r="BQ198" s="27" t="n">
        <v>1.8</v>
      </c>
      <c r="BR198" s="28" t="n">
        <v>0.555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inlineStr">
        <is>
          <t>0.6265993564</t>
        </is>
      </c>
      <c r="CD198" s="24" t="inlineStr">
        <is>
          <t>0.186002</t>
        </is>
      </c>
      <c r="CE198" s="24" t="inlineStr">
        <is>
          <t>1.03</t>
        </is>
      </c>
      <c r="CF198" s="24" t="inlineStr">
        <is>
          <t>1.0124</t>
        </is>
      </c>
      <c r="CG198" s="24" t="n"/>
      <c r="CH198" s="24" t="n"/>
      <c r="CI198" s="24" t="n"/>
      <c r="CJ198" s="24" t="inlineStr">
        <is>
          <t>-1.60185</t>
        </is>
      </c>
      <c r="CK198" s="24" t="n"/>
      <c r="CL198" s="24" t="inlineStr">
        <is>
          <t>0.070802</t>
        </is>
      </c>
      <c r="CM198" s="24" t="inlineStr">
        <is>
          <t>-4.8571</t>
        </is>
      </c>
      <c r="CN198" s="24" t="n"/>
      <c r="CO198" s="24" t="n"/>
      <c r="CP198" s="24" t="n"/>
      <c r="CQ198" s="24" t="n"/>
      <c r="CR198" s="24" t="inlineStr">
        <is>
          <t>0.620128</t>
        </is>
      </c>
      <c r="CS198" s="24" t="inlineStr">
        <is>
          <t>True</t>
        </is>
      </c>
    </row>
    <row r="199" ht="36" customHeight="1">
      <c r="A199" s="24" t="inlineStr">
        <is>
          <t>45514563121b4834</t>
        </is>
      </c>
      <c r="B199" s="24" t="inlineStr">
        <is>
          <t>2026-08-05T21:01:20.386769Z</t>
        </is>
      </c>
      <c r="C199" s="24" t="inlineStr">
        <is>
          <t>2026-08-05T18:40:00-0400</t>
        </is>
      </c>
      <c r="D199" s="24" t="inlineStr">
        <is>
          <t>401816400</t>
        </is>
      </c>
      <c r="E199" s="24" t="inlineStr">
        <is>
          <t>MLB</t>
        </is>
      </c>
      <c r="F199" s="24" t="inlineStr">
        <is>
          <t>Athletics</t>
        </is>
      </c>
      <c r="G199" s="24" t="inlineStr">
        <is>
          <t>Cincinnati Reds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-150</v>
      </c>
      <c r="M199" s="27" t="n">
        <v>1.666667</v>
      </c>
      <c r="N199" s="28" t="n">
        <v>0.6</v>
      </c>
      <c r="O199" s="28" t="n">
        <v>0.532159</v>
      </c>
      <c r="P199" s="28" t="n"/>
      <c r="Q199" s="28" t="n">
        <v>-0.067841</v>
      </c>
      <c r="R199" s="26" t="n">
        <v>0</v>
      </c>
      <c r="S199" s="29" t="n">
        <v>0</v>
      </c>
      <c r="T199" s="24" t="inlineStr">
        <is>
          <t>mlb-elo-trend-lr-v8</t>
        </is>
      </c>
      <c r="U199" s="24" t="inlineStr">
        <is>
          <t>settled</t>
        </is>
      </c>
      <c r="V199" s="24" t="inlineStr">
        <is>
          <t>win</t>
        </is>
      </c>
      <c r="W199" s="26" t="n">
        <v>2</v>
      </c>
      <c r="X199" s="26" t="n">
        <v>3</v>
      </c>
      <c r="Y199" s="25" t="n"/>
      <c r="Z199" s="26" t="n">
        <v>-150</v>
      </c>
      <c r="AA199" s="28" t="n">
        <v>0.6</v>
      </c>
      <c r="AB199" s="28" t="n">
        <v>0</v>
      </c>
      <c r="AC199" s="30" t="n">
        <v>0</v>
      </c>
      <c r="AD199" s="24" t="inlineStr">
        <is>
          <t>2026-08-06T03:25:40.517053Z</t>
        </is>
      </c>
      <c r="AE199" s="31" t="inlineStr">
        <is>
          <t>Learned LR call at threshold 0.5873; executable ask 0.6000 (aec-mlb-ath-cin-2026-08-05); model edge vs ask -0.0678.</t>
        </is>
      </c>
      <c r="AF199" s="31" t="inlineStr">
        <is>
          <t>Learned model; shadow-qualified via operator override.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NO_CALL_WINNER_OVERVALUED</t>
        </is>
      </c>
      <c r="AP199" s="24" t="inlineStr">
        <is>
          <t>mlb-ath</t>
        </is>
      </c>
      <c r="AQ199" s="24" t="inlineStr">
        <is>
          <t>Athletics</t>
        </is>
      </c>
      <c r="AR199" s="24" t="inlineStr">
        <is>
          <t>Athletics</t>
        </is>
      </c>
      <c r="AS199" s="24" t="inlineStr">
        <is>
          <t>mlb-cin</t>
        </is>
      </c>
      <c r="AT199" s="24" t="inlineStr">
        <is>
          <t>Cincinnati Reds</t>
        </is>
      </c>
      <c r="AU199" s="24" t="inlineStr">
        <is>
          <t>Cincinnati Reds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6a5c79541b0e50cb9f7318270e63d5ccc65cbd7bc53a019748ff772d49de5075</t>
        </is>
      </c>
      <c r="BB199" s="24" t="inlineStr">
        <is>
          <t>learned_lr</t>
        </is>
      </c>
      <c r="BC199" s="24" t="inlineStr">
        <is>
          <t>mlb-elo-trend-lr-v8</t>
        </is>
      </c>
      <c r="BD199" s="24" t="inlineStr">
        <is>
          <t>6a5c79541b0e50cb9f7318270e63d5ccc65cbd7bc53a019748ff772d49de5075</t>
        </is>
      </c>
      <c r="BE199" s="24" t="inlineStr">
        <is>
          <t>2f8950260ee7a4d4</t>
        </is>
      </c>
      <c r="BF199" s="24" t="inlineStr">
        <is>
          <t>1</t>
        </is>
      </c>
      <c r="BG199" s="24" t="inlineStr">
        <is>
          <t>mlb-elo-trend-lr-v8</t>
        </is>
      </c>
      <c r="BH199" s="24" t="inlineStr">
        <is>
          <t>2026-08-05T21:00:46.705183Z</t>
        </is>
      </c>
      <c r="BI199" s="24" t="inlineStr">
        <is>
          <t>["same_event","same_team_same_day","same_league_same_day"]</t>
        </is>
      </c>
      <c r="BJ199" s="25" t="n"/>
      <c r="BK199" s="26" t="n">
        <v>-150</v>
      </c>
      <c r="BL199" s="27" t="n">
        <v>1.666667</v>
      </c>
      <c r="BM199" s="28" t="n">
        <v>0.6</v>
      </c>
      <c r="BN199" s="28" t="n">
        <v>0.597015</v>
      </c>
      <c r="BO199" s="28" t="n"/>
      <c r="BP199" s="25" t="n"/>
      <c r="BQ199" s="27" t="n">
        <v>1.666667</v>
      </c>
      <c r="BR199" s="28" t="n">
        <v>0.6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inlineStr">
        <is>
          <t>0.605145909</t>
        </is>
      </c>
      <c r="CD199" s="24" t="inlineStr">
        <is>
          <t>1.683621</t>
        </is>
      </c>
      <c r="CE199" s="24" t="inlineStr">
        <is>
          <t>1.036</t>
        </is>
      </c>
      <c r="CF199" s="24" t="inlineStr">
        <is>
          <t>1.0179</t>
        </is>
      </c>
      <c r="CG199" s="24" t="n"/>
      <c r="CH199" s="24" t="n"/>
      <c r="CI199" s="24" t="n"/>
      <c r="CJ199" s="24" t="inlineStr">
        <is>
          <t>1.179075</t>
        </is>
      </c>
      <c r="CK199" s="24" t="n"/>
      <c r="CL199" s="24" t="inlineStr">
        <is>
          <t>-0.944095</t>
        </is>
      </c>
      <c r="CM199" s="24" t="inlineStr">
        <is>
          <t>0.2662</t>
        </is>
      </c>
      <c r="CN199" s="24" t="n"/>
      <c r="CO199" s="24" t="n"/>
      <c r="CP199" s="24" t="n"/>
      <c r="CQ199" s="24" t="n"/>
      <c r="CR199" s="24" t="inlineStr">
        <is>
          <t>0.532159</t>
        </is>
      </c>
      <c r="CS199" s="24" t="inlineStr">
        <is>
          <t>False</t>
        </is>
      </c>
    </row>
    <row r="200" ht="36" customHeight="1">
      <c r="A200" s="24" t="inlineStr">
        <is>
          <t>9f1403eeb3a54967</t>
        </is>
      </c>
      <c r="B200" s="24" t="inlineStr">
        <is>
          <t>2026-08-05T21:01:20.386769Z</t>
        </is>
      </c>
      <c r="C200" s="24" t="inlineStr">
        <is>
          <t>2026-08-05T18:40:00-0400</t>
        </is>
      </c>
      <c r="D200" s="24" t="inlineStr">
        <is>
          <t>401816403</t>
        </is>
      </c>
      <c r="E200" s="24" t="inlineStr">
        <is>
          <t>MLB</t>
        </is>
      </c>
      <c r="F200" s="24" t="inlineStr">
        <is>
          <t>New York Mets</t>
        </is>
      </c>
      <c r="G200" s="24" t="inlineStr">
        <is>
          <t>Cleveland Guardians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-106</v>
      </c>
      <c r="M200" s="27" t="n">
        <v>1.943396</v>
      </c>
      <c r="N200" s="28" t="n">
        <v>0.514563</v>
      </c>
      <c r="O200" s="28" t="n">
        <v>0.570176</v>
      </c>
      <c r="P200" s="28" t="n"/>
      <c r="Q200" s="28" t="n">
        <v>0.055613</v>
      </c>
      <c r="R200" s="26" t="n">
        <v>49</v>
      </c>
      <c r="S200" s="29" t="n">
        <v>0</v>
      </c>
      <c r="T200" s="24" t="inlineStr">
        <is>
          <t>mlb-elo-trend-lr-v8</t>
        </is>
      </c>
      <c r="U200" s="24" t="inlineStr">
        <is>
          <t>settled</t>
        </is>
      </c>
      <c r="V200" s="24" t="inlineStr">
        <is>
          <t>loss</t>
        </is>
      </c>
      <c r="W200" s="26" t="n">
        <v>6</v>
      </c>
      <c r="X200" s="26" t="n">
        <v>5</v>
      </c>
      <c r="Y200" s="25" t="n"/>
      <c r="Z200" s="26" t="n">
        <v>-106</v>
      </c>
      <c r="AA200" s="28" t="n">
        <v>0.515</v>
      </c>
      <c r="AB200" s="28" t="n">
        <v>0.000437</v>
      </c>
      <c r="AC200" s="30" t="n">
        <v>0</v>
      </c>
      <c r="AD200" s="24" t="inlineStr">
        <is>
          <t>2026-08-06T03:25:42.473577Z</t>
        </is>
      </c>
      <c r="AE200" s="31" t="inlineStr">
        <is>
          <t>Learned LR call at threshold 0.5873; executable ask 0.5150 (aec-mlb-nym-cle-2026-08-05); model edge vs ask +0.0552.</t>
        </is>
      </c>
      <c r="AF200" s="31" t="inlineStr">
        <is>
          <t>Learned model; shadow-qualified via operator override.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NO_CALL_WINNER_OVERVALUED</t>
        </is>
      </c>
      <c r="AP200" s="24" t="inlineStr">
        <is>
          <t>mlb-nym</t>
        </is>
      </c>
      <c r="AQ200" s="24" t="inlineStr">
        <is>
          <t>New York Mets</t>
        </is>
      </c>
      <c r="AR200" s="24" t="inlineStr">
        <is>
          <t>New York Mets</t>
        </is>
      </c>
      <c r="AS200" s="24" t="inlineStr">
        <is>
          <t>mlb-cle</t>
        </is>
      </c>
      <c r="AT200" s="24" t="inlineStr">
        <is>
          <t>Cleveland Guardians</t>
        </is>
      </c>
      <c r="AU200" s="24" t="inlineStr">
        <is>
          <t>Cleveland Guardians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6a5c79541b0e50cb9f7318270e63d5ccc65cbd7bc53a019748ff772d49de5075</t>
        </is>
      </c>
      <c r="BB200" s="24" t="inlineStr">
        <is>
          <t>learned_lr</t>
        </is>
      </c>
      <c r="BC200" s="24" t="inlineStr">
        <is>
          <t>mlb-elo-trend-lr-v8</t>
        </is>
      </c>
      <c r="BD200" s="24" t="inlineStr">
        <is>
          <t>6a5c79541b0e50cb9f7318270e63d5ccc65cbd7bc53a019748ff772d49de5075</t>
        </is>
      </c>
      <c r="BE200" s="24" t="inlineStr">
        <is>
          <t>1967000172c70546</t>
        </is>
      </c>
      <c r="BF200" s="24" t="inlineStr">
        <is>
          <t>1</t>
        </is>
      </c>
      <c r="BG200" s="24" t="inlineStr">
        <is>
          <t>mlb-elo-trend-lr-v8</t>
        </is>
      </c>
      <c r="BH200" s="24" t="inlineStr">
        <is>
          <t>2026-08-05T21:00:46.075346Z</t>
        </is>
      </c>
      <c r="BI200" s="24" t="inlineStr">
        <is>
          <t>["same_event","same_team_same_day","same_league_same_day"]</t>
        </is>
      </c>
      <c r="BJ200" s="25" t="n"/>
      <c r="BK200" s="26" t="n">
        <v>-106</v>
      </c>
      <c r="BL200" s="27" t="n">
        <v>1.943396</v>
      </c>
      <c r="BM200" s="28" t="n">
        <v>0.514563</v>
      </c>
      <c r="BN200" s="28" t="n">
        <v>0.5124379999999999</v>
      </c>
      <c r="BO200" s="28" t="n"/>
      <c r="BP200" s="25" t="n"/>
      <c r="BQ200" s="27" t="n">
        <v>1.943396</v>
      </c>
      <c r="BR200" s="28" t="n">
        <v>0.515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inlineStr">
        <is>
          <t>0.5729512211</t>
        </is>
      </c>
      <c r="CD200" s="24" t="inlineStr">
        <is>
          <t>0.551507</t>
        </is>
      </c>
      <c r="CE200" s="24" t="inlineStr">
        <is>
          <t>0.966</t>
        </is>
      </c>
      <c r="CF200" s="24" t="inlineStr">
        <is>
          <t>1.0103</t>
        </is>
      </c>
      <c r="CG200" s="24" t="n"/>
      <c r="CH200" s="24" t="n"/>
      <c r="CI200" s="24" t="n"/>
      <c r="CJ200" s="24" t="inlineStr">
        <is>
          <t>-1.579202</t>
        </is>
      </c>
      <c r="CK200" s="24" t="n"/>
      <c r="CL200" s="24" t="inlineStr">
        <is>
          <t>0.100477</t>
        </is>
      </c>
      <c r="CM200" s="24" t="inlineStr">
        <is>
          <t>0.3016</t>
        </is>
      </c>
      <c r="CN200" s="24" t="n"/>
      <c r="CO200" s="24" t="n"/>
      <c r="CP200" s="24" t="n"/>
      <c r="CQ200" s="24" t="n"/>
      <c r="CR200" s="24" t="inlineStr">
        <is>
          <t>0.570176</t>
        </is>
      </c>
      <c r="CS200" s="24" t="inlineStr">
        <is>
          <t>True</t>
        </is>
      </c>
    </row>
    <row r="201" ht="36" customHeight="1">
      <c r="A201" s="24" t="inlineStr">
        <is>
          <t>fee81a9093ef4d27</t>
        </is>
      </c>
      <c r="B201" s="24" t="inlineStr">
        <is>
          <t>2026-08-05T21:01:20.386769Z</t>
        </is>
      </c>
      <c r="C201" s="24" t="inlineStr">
        <is>
          <t>2026-08-05T18:40:00-0400</t>
        </is>
      </c>
      <c r="D201" s="24" t="inlineStr">
        <is>
          <t>401816405</t>
        </is>
      </c>
      <c r="E201" s="24" t="inlineStr">
        <is>
          <t>MLB</t>
        </is>
      </c>
      <c r="F201" s="24" t="inlineStr">
        <is>
          <t>Washington Nationals</t>
        </is>
      </c>
      <c r="G201" s="24" t="inlineStr">
        <is>
          <t>Philadelphia Phillies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-186</v>
      </c>
      <c r="M201" s="27" t="n">
        <v>1.537634</v>
      </c>
      <c r="N201" s="28" t="n">
        <v>0.65035</v>
      </c>
      <c r="O201" s="28" t="n">
        <v>0.568061</v>
      </c>
      <c r="P201" s="28" t="n"/>
      <c r="Q201" s="28" t="n">
        <v>-0.082289</v>
      </c>
      <c r="R201" s="26" t="n">
        <v>0</v>
      </c>
      <c r="S201" s="29" t="n">
        <v>0</v>
      </c>
      <c r="T201" s="24" t="inlineStr">
        <is>
          <t>mlb-elo-trend-lr-v8</t>
        </is>
      </c>
      <c r="U201" s="24" t="inlineStr">
        <is>
          <t>settled</t>
        </is>
      </c>
      <c r="V201" s="24" t="inlineStr">
        <is>
          <t>loss</t>
        </is>
      </c>
      <c r="W201" s="26" t="n">
        <v>10</v>
      </c>
      <c r="X201" s="26" t="n">
        <v>4</v>
      </c>
      <c r="Y201" s="25" t="n"/>
      <c r="Z201" s="26" t="n">
        <v>-182</v>
      </c>
      <c r="AA201" s="28" t="n">
        <v>0.645</v>
      </c>
      <c r="AB201" s="28" t="n">
        <v>-0.00535</v>
      </c>
      <c r="AC201" s="30" t="n">
        <v>0</v>
      </c>
      <c r="AD201" s="24" t="inlineStr">
        <is>
          <t>2026-08-06T03:25:44.341154Z</t>
        </is>
      </c>
      <c r="AE201" s="31" t="inlineStr">
        <is>
          <t>Learned LR call at threshold 0.5873; executable ask 0.6500 (aec-mlb-wsh-phi-2026-08-05); model edge vs ask -0.0819.</t>
        </is>
      </c>
      <c r="AF201" s="31" t="inlineStr">
        <is>
          <t>Learned model; shadow-qualified via operator override.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research_observation</t>
        </is>
      </c>
      <c r="AL201" s="26" t="n">
        <v>3</v>
      </c>
      <c r="AM201" s="24" t="inlineStr">
        <is>
          <t>RESEARCH_OBSERVATION</t>
        </is>
      </c>
      <c r="AN201" s="24" t="inlineStr">
        <is>
          <t>NO_CALL</t>
        </is>
      </c>
      <c r="AO201" s="24" t="inlineStr">
        <is>
          <t>NO_CALL_WINNER_OVERVALUED</t>
        </is>
      </c>
      <c r="AP201" s="24" t="inlineStr">
        <is>
          <t>mlb-wsh</t>
        </is>
      </c>
      <c r="AQ201" s="24" t="inlineStr">
        <is>
          <t>Washington Nationals</t>
        </is>
      </c>
      <c r="AR201" s="24" t="inlineStr">
        <is>
          <t>Washington Nationals</t>
        </is>
      </c>
      <c r="AS201" s="24" t="inlineStr">
        <is>
          <t>mlb-phi</t>
        </is>
      </c>
      <c r="AT201" s="24" t="inlineStr">
        <is>
          <t>Philadelphia Phillies</t>
        </is>
      </c>
      <c r="AU201" s="24" t="inlineStr">
        <is>
          <t>Philadelphia Phillies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6a5c79541b0e50cb9f7318270e63d5ccc65cbd7bc53a019748ff772d49de5075</t>
        </is>
      </c>
      <c r="BB201" s="24" t="inlineStr">
        <is>
          <t>learned_lr</t>
        </is>
      </c>
      <c r="BC201" s="24" t="inlineStr">
        <is>
          <t>mlb-elo-trend-lr-v8</t>
        </is>
      </c>
      <c r="BD201" s="24" t="inlineStr">
        <is>
          <t>6a5c79541b0e50cb9f7318270e63d5ccc65cbd7bc53a019748ff772d49de5075</t>
        </is>
      </c>
      <c r="BE201" s="24" t="inlineStr">
        <is>
          <t>f438f0ddf592c10b</t>
        </is>
      </c>
      <c r="BF201" s="24" t="inlineStr">
        <is>
          <t>1</t>
        </is>
      </c>
      <c r="BG201" s="24" t="inlineStr">
        <is>
          <t>mlb-elo-trend-lr-v8</t>
        </is>
      </c>
      <c r="BH201" s="24" t="inlineStr">
        <is>
          <t>2026-08-05T21:00:45.630183Z</t>
        </is>
      </c>
      <c r="BI201" s="24" t="inlineStr">
        <is>
          <t>["same_event","same_team_same_day","same_league_same_day"]</t>
        </is>
      </c>
      <c r="BJ201" s="25" t="n"/>
      <c r="BK201" s="26" t="n">
        <v>-186</v>
      </c>
      <c r="BL201" s="27" t="n">
        <v>1.537634</v>
      </c>
      <c r="BM201" s="28" t="n">
        <v>0.65035</v>
      </c>
      <c r="BN201" s="28" t="n">
        <v>0.646766</v>
      </c>
      <c r="BO201" s="28" t="n"/>
      <c r="BP201" s="25" t="n"/>
      <c r="BQ201" s="27" t="n">
        <v>1.549451</v>
      </c>
      <c r="BR201" s="28" t="n">
        <v>0.645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0.6453660607</t>
        </is>
      </c>
      <c r="CD201" s="24" t="inlineStr">
        <is>
          <t>2.331583</t>
        </is>
      </c>
      <c r="CE201" s="24" t="inlineStr">
        <is>
          <t>1.018</t>
        </is>
      </c>
      <c r="CF201" s="24" t="inlineStr">
        <is>
          <t>1.0114</t>
        </is>
      </c>
      <c r="CG201" s="24" t="n"/>
      <c r="CH201" s="24" t="n"/>
      <c r="CI201" s="24" t="n"/>
      <c r="CJ201" s="24" t="inlineStr">
        <is>
          <t>1.636672</t>
        </is>
      </c>
      <c r="CK201" s="24" t="n"/>
      <c r="CL201" s="24" t="inlineStr">
        <is>
          <t>-0.548625</t>
        </is>
      </c>
      <c r="CM201" s="24" t="inlineStr">
        <is>
          <t>2.3324</t>
        </is>
      </c>
      <c r="CN201" s="24" t="n"/>
      <c r="CO201" s="24" t="n"/>
      <c r="CP201" s="24" t="n"/>
      <c r="CQ201" s="24" t="n"/>
      <c r="CR201" s="24" t="inlineStr">
        <is>
          <t>0.568061</t>
        </is>
      </c>
      <c r="CS201" s="24" t="inlineStr">
        <is>
          <t>False</t>
        </is>
      </c>
    </row>
    <row r="202" ht="36" customHeight="1">
      <c r="A202" s="24" t="inlineStr">
        <is>
          <t>7a26630ed45f4c2d</t>
        </is>
      </c>
      <c r="B202" s="24" t="inlineStr">
        <is>
          <t>2026-08-05T21:01:20.386769Z</t>
        </is>
      </c>
      <c r="C202" s="24" t="inlineStr">
        <is>
          <t>2026-08-05T19:05:00-0400</t>
        </is>
      </c>
      <c r="D202" s="24" t="inlineStr">
        <is>
          <t>401816404</t>
        </is>
      </c>
      <c r="E202" s="24" t="inlineStr">
        <is>
          <t>MLB</t>
        </is>
      </c>
      <c r="F202" s="24" t="inlineStr">
        <is>
          <t>St. Louis Cardinals</t>
        </is>
      </c>
      <c r="G202" s="24" t="inlineStr">
        <is>
          <t>New York Yankees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-147</v>
      </c>
      <c r="M202" s="27" t="n">
        <v>1.680272</v>
      </c>
      <c r="N202" s="28" t="n">
        <v>0.5951419999999999</v>
      </c>
      <c r="O202" s="28" t="n">
        <v>0.585803</v>
      </c>
      <c r="P202" s="28" t="n"/>
      <c r="Q202" s="28" t="n">
        <v>-0.009339</v>
      </c>
      <c r="R202" s="26" t="n">
        <v>17</v>
      </c>
      <c r="S202" s="29" t="n">
        <v>0</v>
      </c>
      <c r="T202" s="24" t="inlineStr">
        <is>
          <t>mlb-elo-trend-lr-v8</t>
        </is>
      </c>
      <c r="U202" s="24" t="inlineStr">
        <is>
          <t>settled</t>
        </is>
      </c>
      <c r="V202" s="24" t="inlineStr">
        <is>
          <t>loss</t>
        </is>
      </c>
      <c r="W202" s="26" t="n">
        <v>3</v>
      </c>
      <c r="X202" s="26" t="n">
        <v>1</v>
      </c>
      <c r="Y202" s="25" t="n"/>
      <c r="Z202" s="26" t="n">
        <v>-147</v>
      </c>
      <c r="AA202" s="28" t="n">
        <v>0.595</v>
      </c>
      <c r="AB202" s="28" t="n">
        <v>-0.000142</v>
      </c>
      <c r="AC202" s="30" t="n">
        <v>0</v>
      </c>
      <c r="AD202" s="24" t="inlineStr">
        <is>
          <t>2026-08-06T18:54:02.045528Z</t>
        </is>
      </c>
      <c r="AE202" s="31" t="inlineStr">
        <is>
          <t>Learned LR call at threshold 0.5873; executable ask 0.5950 (aec-mlb-stl-nyy-2026-08-05); model edge vs ask -0.0092.</t>
        </is>
      </c>
      <c r="AF202" s="31" t="inlineStr">
        <is>
          <t>Learned model; shadow-qualified via operator override.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NO_CALL_WINNER_OVERVALUED</t>
        </is>
      </c>
      <c r="AP202" s="24" t="inlineStr">
        <is>
          <t>mlb-stl</t>
        </is>
      </c>
      <c r="AQ202" s="24" t="inlineStr">
        <is>
          <t>St. Louis Cardinals</t>
        </is>
      </c>
      <c r="AR202" s="24" t="inlineStr">
        <is>
          <t>St. Louis Cardinals</t>
        </is>
      </c>
      <c r="AS202" s="24" t="inlineStr">
        <is>
          <t>mlb-nyy</t>
        </is>
      </c>
      <c r="AT202" s="24" t="inlineStr">
        <is>
          <t>New York Yankees</t>
        </is>
      </c>
      <c r="AU202" s="24" t="inlineStr">
        <is>
          <t>New York Yankees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6a5c79541b0e50cb9f7318270e63d5ccc65cbd7bc53a019748ff772d49de5075</t>
        </is>
      </c>
      <c r="BB202" s="24" t="inlineStr">
        <is>
          <t>learned_lr</t>
        </is>
      </c>
      <c r="BC202" s="24" t="inlineStr">
        <is>
          <t>mlb-elo-trend-lr-v8</t>
        </is>
      </c>
      <c r="BD202" s="24" t="inlineStr">
        <is>
          <t>6a5c79541b0e50cb9f7318270e63d5ccc65cbd7bc53a019748ff772d49de5075</t>
        </is>
      </c>
      <c r="BE202" s="24" t="inlineStr">
        <is>
          <t>f0272f609cc15047</t>
        </is>
      </c>
      <c r="BF202" s="24" t="inlineStr">
        <is>
          <t>1</t>
        </is>
      </c>
      <c r="BG202" s="24" t="inlineStr">
        <is>
          <t>mlb-elo-trend-lr-v8</t>
        </is>
      </c>
      <c r="BH202" s="24" t="inlineStr">
        <is>
          <t>2026-08-05T21:00:47.059173Z</t>
        </is>
      </c>
      <c r="BI202" s="24" t="inlineStr">
        <is>
          <t>["same_event","same_team_same_day","same_league_same_day"]</t>
        </is>
      </c>
      <c r="BJ202" s="25" t="n"/>
      <c r="BK202" s="26" t="n">
        <v>-147</v>
      </c>
      <c r="BL202" s="27" t="n">
        <v>1.680272</v>
      </c>
      <c r="BM202" s="28" t="n">
        <v>0.5951419999999999</v>
      </c>
      <c r="BN202" s="28" t="n">
        <v>0.59204</v>
      </c>
      <c r="BO202" s="28" t="n"/>
      <c r="BP202" s="25" t="n"/>
      <c r="BQ202" s="27" t="n">
        <v>1.680272</v>
      </c>
      <c r="BR202" s="28" t="n">
        <v>0.595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inlineStr">
        <is>
          <t>0.6062088889</t>
        </is>
      </c>
      <c r="CD202" s="24" t="inlineStr">
        <is>
          <t>-0.586294</t>
        </is>
      </c>
      <c r="CE202" s="24" t="inlineStr">
        <is>
          <t>1.012</t>
        </is>
      </c>
      <c r="CF202" s="24" t="inlineStr">
        <is>
          <t>1.0078</t>
        </is>
      </c>
      <c r="CG202" s="24" t="n"/>
      <c r="CH202" s="24" t="n"/>
      <c r="CI202" s="24" t="n"/>
      <c r="CJ202" s="24" t="inlineStr">
        <is>
          <t>-0.477024</t>
        </is>
      </c>
      <c r="CK202" s="24" t="n"/>
      <c r="CL202" s="24" t="inlineStr">
        <is>
          <t>0.013507</t>
        </is>
      </c>
      <c r="CM202" s="24" t="inlineStr">
        <is>
          <t>0.9011</t>
        </is>
      </c>
      <c r="CN202" s="24" t="n"/>
      <c r="CO202" s="24" t="n"/>
      <c r="CP202" s="24" t="n"/>
      <c r="CQ202" s="24" t="n"/>
      <c r="CR202" s="24" t="inlineStr">
        <is>
          <t>0.585803</t>
        </is>
      </c>
      <c r="CS202" s="24" t="inlineStr">
        <is>
          <t>False</t>
        </is>
      </c>
    </row>
    <row r="203" ht="36" customHeight="1">
      <c r="A203" s="24" t="inlineStr">
        <is>
          <t>6bd95bae4459465e</t>
        </is>
      </c>
      <c r="B203" s="24" t="inlineStr">
        <is>
          <t>2026-08-05T21:01:20.386769Z</t>
        </is>
      </c>
      <c r="C203" s="24" t="inlineStr">
        <is>
          <t>2026-08-05T19:10:00-0400</t>
        </is>
      </c>
      <c r="D203" s="24" t="inlineStr">
        <is>
          <t>401816401</t>
        </is>
      </c>
      <c r="E203" s="24" t="inlineStr">
        <is>
          <t>MLB</t>
        </is>
      </c>
      <c r="F203" s="24" t="inlineStr">
        <is>
          <t>Chicago White Sox</t>
        </is>
      </c>
      <c r="G203" s="24" t="inlineStr">
        <is>
          <t>Boston Red Sox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-127</v>
      </c>
      <c r="M203" s="27" t="n">
        <v>1.787402</v>
      </c>
      <c r="N203" s="28" t="n">
        <v>0.5594710000000001</v>
      </c>
      <c r="O203" s="28" t="n">
        <v>0.576049</v>
      </c>
      <c r="P203" s="28" t="n"/>
      <c r="Q203" s="28" t="n">
        <v>0.016578</v>
      </c>
      <c r="R203" s="26" t="n">
        <v>29</v>
      </c>
      <c r="S203" s="29" t="n">
        <v>0</v>
      </c>
      <c r="T203" s="24" t="inlineStr">
        <is>
          <t>mlb-elo-trend-lr-v8</t>
        </is>
      </c>
      <c r="U203" s="24" t="inlineStr">
        <is>
          <t>settled</t>
        </is>
      </c>
      <c r="V203" s="24" t="inlineStr">
        <is>
          <t>win</t>
        </is>
      </c>
      <c r="W203" s="26" t="n">
        <v>0</v>
      </c>
      <c r="X203" s="26" t="n">
        <v>4</v>
      </c>
      <c r="Y203" s="25" t="n"/>
      <c r="Z203" s="26" t="n">
        <v>-127</v>
      </c>
      <c r="AA203" s="28" t="n">
        <v>0.5600000000000001</v>
      </c>
      <c r="AB203" s="28" t="n">
        <v>0.000529</v>
      </c>
      <c r="AC203" s="30" t="n">
        <v>0</v>
      </c>
      <c r="AD203" s="24" t="inlineStr">
        <is>
          <t>2026-08-06T03:25:46.288618Z</t>
        </is>
      </c>
      <c r="AE203" s="31" t="inlineStr">
        <is>
          <t>Learned LR call at threshold 0.5873; executable ask 0.5600 (aec-mlb-cws-bos-2026-08-05); model edge vs ask +0.0160.</t>
        </is>
      </c>
      <c r="AF203" s="31" t="inlineStr">
        <is>
          <t>Learned model; shadow-qualified via operator override.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research_observation</t>
        </is>
      </c>
      <c r="AL203" s="26" t="n">
        <v>3</v>
      </c>
      <c r="AM203" s="24" t="inlineStr">
        <is>
          <t>RESEARCH_OBSERVATION</t>
        </is>
      </c>
      <c r="AN203" s="24" t="inlineStr">
        <is>
          <t>NO_CALL</t>
        </is>
      </c>
      <c r="AO203" s="24" t="inlineStr">
        <is>
          <t>NO_CALL_WINNER_OVERVALUED</t>
        </is>
      </c>
      <c r="AP203" s="24" t="inlineStr">
        <is>
          <t>mlb-cws</t>
        </is>
      </c>
      <c r="AQ203" s="24" t="inlineStr">
        <is>
          <t>Chicago White Sox</t>
        </is>
      </c>
      <c r="AR203" s="24" t="inlineStr">
        <is>
          <t>Chicago White Sox</t>
        </is>
      </c>
      <c r="AS203" s="24" t="inlineStr">
        <is>
          <t>mlb-bos</t>
        </is>
      </c>
      <c r="AT203" s="24" t="inlineStr">
        <is>
          <t>Boston Red Sox</t>
        </is>
      </c>
      <c r="AU203" s="24" t="inlineStr">
        <is>
          <t>Boston Red Sox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6a5c79541b0e50cb9f7318270e63d5ccc65cbd7bc53a019748ff772d49de5075</t>
        </is>
      </c>
      <c r="BB203" s="24" t="inlineStr">
        <is>
          <t>learned_lr</t>
        </is>
      </c>
      <c r="BC203" s="24" t="inlineStr">
        <is>
          <t>mlb-elo-trend-lr-v8</t>
        </is>
      </c>
      <c r="BD203" s="24" t="inlineStr">
        <is>
          <t>6a5c79541b0e50cb9f7318270e63d5ccc65cbd7bc53a019748ff772d49de5075</t>
        </is>
      </c>
      <c r="BE203" s="24" t="inlineStr">
        <is>
          <t>efcfcc3269a8ddbe</t>
        </is>
      </c>
      <c r="BF203" s="24" t="inlineStr">
        <is>
          <t>1</t>
        </is>
      </c>
      <c r="BG203" s="24" t="inlineStr">
        <is>
          <t>mlb-elo-trend-lr-v8</t>
        </is>
      </c>
      <c r="BH203" s="24" t="inlineStr">
        <is>
          <t>2026-08-05T21:00:47.679094Z</t>
        </is>
      </c>
      <c r="BI203" s="24" t="inlineStr">
        <is>
          <t>["same_event","same_team_same_day","same_league_same_day"]</t>
        </is>
      </c>
      <c r="BJ203" s="25" t="n"/>
      <c r="BK203" s="26" t="n">
        <v>-127</v>
      </c>
      <c r="BL203" s="27" t="n">
        <v>1.787402</v>
      </c>
      <c r="BM203" s="28" t="n">
        <v>0.5594710000000001</v>
      </c>
      <c r="BN203" s="28" t="n">
        <v>0.557214</v>
      </c>
      <c r="BO203" s="28" t="n"/>
      <c r="BP203" s="25" t="n"/>
      <c r="BQ203" s="27" t="n">
        <v>1.787402</v>
      </c>
      <c r="BR203" s="28" t="n">
        <v>0.5600000000000001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inlineStr">
        <is>
          <t>0.6209636925</t>
        </is>
      </c>
      <c r="CD203" s="24" t="inlineStr">
        <is>
          <t>2.562589</t>
        </is>
      </c>
      <c r="CE203" s="24" t="inlineStr">
        <is>
          <t>1.017</t>
        </is>
      </c>
      <c r="CF203" s="24" t="inlineStr">
        <is>
          <t>1.0148</t>
        </is>
      </c>
      <c r="CG203" s="24" t="n"/>
      <c r="CH203" s="24" t="n"/>
      <c r="CI203" s="24" t="n"/>
      <c r="CJ203" s="24" t="inlineStr">
        <is>
          <t>1.037236</t>
        </is>
      </c>
      <c r="CK203" s="24" t="n"/>
      <c r="CL203" s="24" t="inlineStr">
        <is>
          <t>-0.139607</t>
        </is>
      </c>
      <c r="CM203" s="24" t="inlineStr">
        <is>
          <t>-0.3228</t>
        </is>
      </c>
      <c r="CN203" s="24" t="n"/>
      <c r="CO203" s="24" t="n"/>
      <c r="CP203" s="24" t="n"/>
      <c r="CQ203" s="24" t="n"/>
      <c r="CR203" s="24" t="inlineStr">
        <is>
          <t>0.576049</t>
        </is>
      </c>
      <c r="CS203" s="24" t="inlineStr">
        <is>
          <t>True</t>
        </is>
      </c>
    </row>
    <row r="204" ht="36" customHeight="1">
      <c r="A204" s="24" t="inlineStr">
        <is>
          <t>3e9ac27b6b1b4803</t>
        </is>
      </c>
      <c r="B204" s="24" t="inlineStr">
        <is>
          <t>2026-08-05T21:01:20.386769Z</t>
        </is>
      </c>
      <c r="C204" s="24" t="inlineStr">
        <is>
          <t>2026-08-05T19:15:00-0400</t>
        </is>
      </c>
      <c r="D204" s="24" t="inlineStr">
        <is>
          <t>401816402</t>
        </is>
      </c>
      <c r="E204" s="24" t="inlineStr">
        <is>
          <t>MLB</t>
        </is>
      </c>
      <c r="F204" s="24" t="inlineStr">
        <is>
          <t>Miami Marlins</t>
        </is>
      </c>
      <c r="G204" s="24" t="inlineStr">
        <is>
          <t>Atlanta Braves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-120</v>
      </c>
      <c r="M204" s="27" t="n">
        <v>1.833333</v>
      </c>
      <c r="N204" s="28" t="n">
        <v>0.545455</v>
      </c>
      <c r="O204" s="28" t="n">
        <v>0.590919</v>
      </c>
      <c r="P204" s="28" t="n"/>
      <c r="Q204" s="28" t="n">
        <v>0.045464</v>
      </c>
      <c r="R204" s="26" t="n">
        <v>44</v>
      </c>
      <c r="S204" s="29" t="n">
        <v>0</v>
      </c>
      <c r="T204" s="24" t="inlineStr">
        <is>
          <t>mlb-elo-trend-lr-v8</t>
        </is>
      </c>
      <c r="U204" s="24" t="inlineStr">
        <is>
          <t>settled</t>
        </is>
      </c>
      <c r="V204" s="24" t="inlineStr">
        <is>
          <t>win</t>
        </is>
      </c>
      <c r="W204" s="26" t="n">
        <v>1</v>
      </c>
      <c r="X204" s="26" t="n">
        <v>4</v>
      </c>
      <c r="Y204" s="25" t="n"/>
      <c r="Z204" s="26" t="n">
        <v>-120</v>
      </c>
      <c r="AA204" s="28" t="n">
        <v>0.545</v>
      </c>
      <c r="AB204" s="28" t="n">
        <v>-0.000455</v>
      </c>
      <c r="AC204" s="30" t="n">
        <v>0</v>
      </c>
      <c r="AD204" s="24" t="inlineStr">
        <is>
          <t>2026-08-06T03:25:48.838087Z</t>
        </is>
      </c>
      <c r="AE204" s="31" t="inlineStr">
        <is>
          <t>Learned LR call at threshold 0.5873; executable ask 0.5450 (aec-mlb-mia-atl-2026-08-05); model edge vs ask +0.0459. NOTE: NO_CALL_STARTER_ERA_GAP_INSUFFICIENT_HISTORY unavailable for this game — defaulted to neutral, other features used normally.</t>
        </is>
      </c>
      <c r="AF204" s="31" t="inlineStr">
        <is>
          <t>Learned model; shadow-qualified via operator override.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NO_CALL_WINNER_OVERVALUED</t>
        </is>
      </c>
      <c r="AP204" s="24" t="inlineStr">
        <is>
          <t>mlb-mia</t>
        </is>
      </c>
      <c r="AQ204" s="24" t="inlineStr">
        <is>
          <t>Miami Marlins</t>
        </is>
      </c>
      <c r="AR204" s="24" t="inlineStr">
        <is>
          <t>Miami Marlins</t>
        </is>
      </c>
      <c r="AS204" s="24" t="inlineStr">
        <is>
          <t>mlb-atl</t>
        </is>
      </c>
      <c r="AT204" s="24" t="inlineStr">
        <is>
          <t>Atlanta Braves</t>
        </is>
      </c>
      <c r="AU204" s="24" t="inlineStr">
        <is>
          <t>Atlanta Braves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6a5c79541b0e50cb9f7318270e63d5ccc65cbd7bc53a019748ff772d49de5075</t>
        </is>
      </c>
      <c r="BB204" s="24" t="inlineStr">
        <is>
          <t>learned_lr</t>
        </is>
      </c>
      <c r="BC204" s="24" t="inlineStr">
        <is>
          <t>mlb-elo-trend-lr-v8</t>
        </is>
      </c>
      <c r="BD204" s="24" t="inlineStr">
        <is>
          <t>6a5c79541b0e50cb9f7318270e63d5ccc65cbd7bc53a019748ff772d49de5075</t>
        </is>
      </c>
      <c r="BE204" s="24" t="inlineStr">
        <is>
          <t>15ad345ce9703e7c</t>
        </is>
      </c>
      <c r="BF204" s="24" t="inlineStr">
        <is>
          <t>1</t>
        </is>
      </c>
      <c r="BG204" s="24" t="inlineStr">
        <is>
          <t>mlb-elo-trend-lr-v8</t>
        </is>
      </c>
      <c r="BH204" s="24" t="inlineStr">
        <is>
          <t>2026-08-05T21:00:48.076723Z</t>
        </is>
      </c>
      <c r="BI204" s="24" t="inlineStr">
        <is>
          <t>["same_event","same_team_same_day","same_league_same_day"]</t>
        </is>
      </c>
      <c r="BJ204" s="25" t="n"/>
      <c r="BK204" s="26" t="n">
        <v>-120</v>
      </c>
      <c r="BL204" s="27" t="n">
        <v>1.833333</v>
      </c>
      <c r="BM204" s="28" t="n">
        <v>0.545455</v>
      </c>
      <c r="BN204" s="28" t="n">
        <v>0.542289</v>
      </c>
      <c r="BO204" s="28" t="n"/>
      <c r="BP204" s="25" t="n"/>
      <c r="BQ204" s="27" t="n">
        <v>1.833333</v>
      </c>
      <c r="BR204" s="28" t="n">
        <v>0.545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inlineStr">
        <is>
          <t>0.5924601602</t>
        </is>
      </c>
      <c r="CD204" s="24" t="inlineStr">
        <is>
          <t>0.154672</t>
        </is>
      </c>
      <c r="CE204" s="24" t="inlineStr">
        <is>
          <t>0.929</t>
        </is>
      </c>
      <c r="CF204" s="24" t="inlineStr">
        <is>
          <t>1.0068</t>
        </is>
      </c>
      <c r="CG204" s="24" t="n"/>
      <c r="CH204" s="24" t="n"/>
      <c r="CI204" s="24" t="inlineStr">
        <is>
          <t>NO_CALL_STARTER_ERA_GAP_INSUFFICIENT_HISTORY</t>
        </is>
      </c>
      <c r="CJ204" s="24" t="inlineStr">
        <is>
          <t>0.044324</t>
        </is>
      </c>
      <c r="CK204" s="24" t="n"/>
      <c r="CL204" s="24" t="inlineStr">
        <is>
          <t>-0.05834</t>
        </is>
      </c>
      <c r="CM204" s="24" t="inlineStr">
        <is>
          <t>0.0</t>
        </is>
      </c>
      <c r="CN204" s="24" t="n"/>
      <c r="CO204" s="24" t="n"/>
      <c r="CP204" s="24" t="n"/>
      <c r="CQ204" s="24" t="n"/>
      <c r="CR204" s="24" t="inlineStr">
        <is>
          <t>0.590919</t>
        </is>
      </c>
      <c r="CS204" s="24" t="inlineStr">
        <is>
          <t>True</t>
        </is>
      </c>
    </row>
    <row r="205" ht="36" customHeight="1">
      <c r="A205" s="24" t="inlineStr">
        <is>
          <t>4cb1e041ed9e4b75</t>
        </is>
      </c>
      <c r="B205" s="24" t="inlineStr">
        <is>
          <t>2026-08-05T21:01:20.386769Z</t>
        </is>
      </c>
      <c r="C205" s="24" t="inlineStr">
        <is>
          <t>2026-08-05T19:30:00-0400</t>
        </is>
      </c>
      <c r="D205" s="24" t="inlineStr">
        <is>
          <t>401816408</t>
        </is>
      </c>
      <c r="E205" s="24" t="inlineStr">
        <is>
          <t>MLB</t>
        </is>
      </c>
      <c r="F205" s="24" t="inlineStr">
        <is>
          <t>Pittsburgh Pirates</t>
        </is>
      </c>
      <c r="G205" s="24" t="inlineStr">
        <is>
          <t>Milwaukee Brewers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-122</v>
      </c>
      <c r="M205" s="27" t="n">
        <v>1.819672</v>
      </c>
      <c r="N205" s="28" t="n">
        <v>0.54955</v>
      </c>
      <c r="O205" s="28" t="n">
        <v>0.6155080000000001</v>
      </c>
      <c r="P205" s="28" t="n"/>
      <c r="Q205" s="28" t="n">
        <v>0.065958</v>
      </c>
      <c r="R205" s="26" t="n">
        <v>54</v>
      </c>
      <c r="S205" s="29" t="n">
        <v>0</v>
      </c>
      <c r="T205" s="24" t="inlineStr">
        <is>
          <t>mlb-elo-trend-lr-v8</t>
        </is>
      </c>
      <c r="U205" s="24" t="inlineStr">
        <is>
          <t>settled</t>
        </is>
      </c>
      <c r="V205" s="24" t="inlineStr">
        <is>
          <t>win</t>
        </is>
      </c>
      <c r="W205" s="26" t="n">
        <v>2</v>
      </c>
      <c r="X205" s="26" t="n">
        <v>4</v>
      </c>
      <c r="Y205" s="25" t="n"/>
      <c r="Z205" s="26" t="n">
        <v>-122</v>
      </c>
      <c r="AA205" s="28" t="n">
        <v>0.55</v>
      </c>
      <c r="AB205" s="28" t="n">
        <v>0.00045</v>
      </c>
      <c r="AC205" s="30" t="n">
        <v>0</v>
      </c>
      <c r="AD205" s="24" t="inlineStr">
        <is>
          <t>2026-08-06T03:25:50.890975Z</t>
        </is>
      </c>
      <c r="AE205" s="31" t="inlineStr">
        <is>
          <t>Learned LR call at threshold 0.5873; executable ask 0.5500 (aec-mlb-pit-mil-2026-08-05); model edge vs ask +0.0655.</t>
        </is>
      </c>
      <c r="AF205" s="31" t="inlineStr">
        <is>
          <t>Learned model; shadow-qualified via operator override.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NO_CALL_WINNER_OVERVALUED</t>
        </is>
      </c>
      <c r="AP205" s="24" t="inlineStr">
        <is>
          <t>mlb-pit</t>
        </is>
      </c>
      <c r="AQ205" s="24" t="inlineStr">
        <is>
          <t>Pittsburgh Pirates</t>
        </is>
      </c>
      <c r="AR205" s="24" t="inlineStr">
        <is>
          <t>Pittsburgh Pirates</t>
        </is>
      </c>
      <c r="AS205" s="24" t="inlineStr">
        <is>
          <t>mlb-mil</t>
        </is>
      </c>
      <c r="AT205" s="24" t="inlineStr">
        <is>
          <t>Milwaukee Brewers</t>
        </is>
      </c>
      <c r="AU205" s="24" t="inlineStr">
        <is>
          <t>Milwaukee Brewers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6a5c79541b0e50cb9f7318270e63d5ccc65cbd7bc53a019748ff772d49de5075</t>
        </is>
      </c>
      <c r="BB205" s="24" t="inlineStr">
        <is>
          <t>learned_lr</t>
        </is>
      </c>
      <c r="BC205" s="24" t="inlineStr">
        <is>
          <t>mlb-elo-trend-lr-v8</t>
        </is>
      </c>
      <c r="BD205" s="24" t="inlineStr">
        <is>
          <t>6a5c79541b0e50cb9f7318270e63d5ccc65cbd7bc53a019748ff772d49de5075</t>
        </is>
      </c>
      <c r="BE205" s="24" t="inlineStr">
        <is>
          <t>23aa584b6028ab97</t>
        </is>
      </c>
      <c r="BF205" s="24" t="inlineStr">
        <is>
          <t>1</t>
        </is>
      </c>
      <c r="BG205" s="24" t="inlineStr">
        <is>
          <t>mlb-elo-trend-lr-v8</t>
        </is>
      </c>
      <c r="BH205" s="24" t="inlineStr">
        <is>
          <t>2026-08-05T21:00:48.549898Z</t>
        </is>
      </c>
      <c r="BI205" s="24" t="inlineStr">
        <is>
          <t>["same_event","same_team_same_day","same_league_same_day"]</t>
        </is>
      </c>
      <c r="BJ205" s="25" t="n"/>
      <c r="BK205" s="26" t="n">
        <v>-122</v>
      </c>
      <c r="BL205" s="27" t="n">
        <v>1.819672</v>
      </c>
      <c r="BM205" s="28" t="n">
        <v>0.54955</v>
      </c>
      <c r="BN205" s="28" t="n">
        <v>0.547264</v>
      </c>
      <c r="BO205" s="28" t="n"/>
      <c r="BP205" s="25" t="n"/>
      <c r="BQ205" s="27" t="n">
        <v>1.819672</v>
      </c>
      <c r="BR205" s="28" t="n">
        <v>0.55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inlineStr">
        <is>
          <t>0.6284314187</t>
        </is>
      </c>
      <c r="CD205" s="24" t="inlineStr">
        <is>
          <t>0.320781</t>
        </is>
      </c>
      <c r="CE205" s="24" t="inlineStr">
        <is>
          <t>0.997</t>
        </is>
      </c>
      <c r="CF205" s="24" t="inlineStr">
        <is>
          <t>1.0</t>
        </is>
      </c>
      <c r="CG205" s="24" t="n"/>
      <c r="CH205" s="24" t="n"/>
      <c r="CI205" s="24" t="n"/>
      <c r="CJ205" s="24" t="inlineStr">
        <is>
          <t>0.061913</t>
        </is>
      </c>
      <c r="CK205" s="24" t="n"/>
      <c r="CL205" s="24" t="inlineStr">
        <is>
          <t>0.125345</t>
        </is>
      </c>
      <c r="CM205" s="24" t="inlineStr">
        <is>
          <t>-1.5183</t>
        </is>
      </c>
      <c r="CN205" s="24" t="n"/>
      <c r="CO205" s="24" t="n"/>
      <c r="CP205" s="24" t="n"/>
      <c r="CQ205" s="24" t="n"/>
      <c r="CR205" s="24" t="inlineStr">
        <is>
          <t>0.615508</t>
        </is>
      </c>
      <c r="CS205" s="24" t="inlineStr">
        <is>
          <t>True</t>
        </is>
      </c>
    </row>
    <row r="206" ht="36" customHeight="1">
      <c r="A206" s="24" t="inlineStr">
        <is>
          <t>ffd50a0b86f4496e</t>
        </is>
      </c>
      <c r="B206" s="24" t="inlineStr">
        <is>
          <t>2026-08-05T21:01:20.386769Z</t>
        </is>
      </c>
      <c r="C206" s="24" t="inlineStr">
        <is>
          <t>2026-08-05T19:40:00-0400</t>
        </is>
      </c>
      <c r="D206" s="24" t="inlineStr">
        <is>
          <t>401816407</t>
        </is>
      </c>
      <c r="E206" s="24" t="inlineStr">
        <is>
          <t>MLB</t>
        </is>
      </c>
      <c r="F206" s="24" t="inlineStr">
        <is>
          <t>Minnesota Twins</t>
        </is>
      </c>
      <c r="G206" s="24" t="inlineStr">
        <is>
          <t>Kansas City Royals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-113</v>
      </c>
      <c r="M206" s="27" t="n">
        <v>1.884956</v>
      </c>
      <c r="N206" s="28" t="n">
        <v>0.530516</v>
      </c>
      <c r="O206" s="28" t="n">
        <v>0.525738</v>
      </c>
      <c r="P206" s="28" t="n"/>
      <c r="Q206" s="28" t="n">
        <v>-0.004778</v>
      </c>
      <c r="R206" s="26" t="n">
        <v>19</v>
      </c>
      <c r="S206" s="29" t="n">
        <v>0</v>
      </c>
      <c r="T206" s="24" t="inlineStr">
        <is>
          <t>mlb-elo-trend-lr-v8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2</v>
      </c>
      <c r="Y206" s="25" t="n"/>
      <c r="Z206" s="26" t="n">
        <v>-113</v>
      </c>
      <c r="AA206" s="28" t="n">
        <v>0.53</v>
      </c>
      <c r="AB206" s="28" t="n">
        <v>-0.000516</v>
      </c>
      <c r="AC206" s="30" t="n">
        <v>0</v>
      </c>
      <c r="AD206" s="24" t="inlineStr">
        <is>
          <t>2026-08-06T03:25:52.818937Z</t>
        </is>
      </c>
      <c r="AE206" s="31" t="inlineStr">
        <is>
          <t>Learned LR call at threshold 0.5873; executable ask 0.5300 (aec-mlb-min-kc-2026-08-05); model edge vs ask -0.0043.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NO_CALL_WINNER_OVERVALUED</t>
        </is>
      </c>
      <c r="AP206" s="24" t="inlineStr">
        <is>
          <t>mlb-min</t>
        </is>
      </c>
      <c r="AQ206" s="24" t="inlineStr">
        <is>
          <t>Minnesota Twins</t>
        </is>
      </c>
      <c r="AR206" s="24" t="inlineStr">
        <is>
          <t>Minnesota Twins</t>
        </is>
      </c>
      <c r="AS206" s="24" t="inlineStr">
        <is>
          <t>mlb-kc</t>
        </is>
      </c>
      <c r="AT206" s="24" t="inlineStr">
        <is>
          <t>Kansas City Royals</t>
        </is>
      </c>
      <c r="AU206" s="24" t="inlineStr">
        <is>
          <t>Kansas City Royals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6a5c79541b0e50cb9f7318270e63d5ccc65cbd7bc53a019748ff772d49de5075</t>
        </is>
      </c>
      <c r="BB206" s="24" t="inlineStr">
        <is>
          <t>learned_lr</t>
        </is>
      </c>
      <c r="BC206" s="24" t="inlineStr">
        <is>
          <t>mlb-elo-trend-lr-v8</t>
        </is>
      </c>
      <c r="BD206" s="24" t="inlineStr">
        <is>
          <t>6a5c79541b0e50cb9f7318270e63d5ccc65cbd7bc53a019748ff772d49de5075</t>
        </is>
      </c>
      <c r="BE206" s="24" t="inlineStr">
        <is>
          <t>f737968b03170f81</t>
        </is>
      </c>
      <c r="BF206" s="24" t="inlineStr">
        <is>
          <t>1</t>
        </is>
      </c>
      <c r="BG206" s="24" t="inlineStr">
        <is>
          <t>mlb-elo-trend-lr-v8</t>
        </is>
      </c>
      <c r="BH206" s="24" t="inlineStr">
        <is>
          <t>2026-08-05T21:00:49.052291Z</t>
        </is>
      </c>
      <c r="BI206" s="24" t="inlineStr">
        <is>
          <t>["same_event","same_team_same_day","same_league_same_day"]</t>
        </is>
      </c>
      <c r="BJ206" s="25" t="n"/>
      <c r="BK206" s="26" t="n">
        <v>-113</v>
      </c>
      <c r="BL206" s="27" t="n">
        <v>1.884956</v>
      </c>
      <c r="BM206" s="28" t="n">
        <v>0.530516</v>
      </c>
      <c r="BN206" s="28" t="n">
        <v>0.527363</v>
      </c>
      <c r="BO206" s="28" t="n"/>
      <c r="BP206" s="25" t="n"/>
      <c r="BQ206" s="27" t="n">
        <v>1.884956</v>
      </c>
      <c r="BR206" s="28" t="n">
        <v>0.53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0.5155726117</t>
        </is>
      </c>
      <c r="CD206" s="24" t="inlineStr">
        <is>
          <t>0.043044</t>
        </is>
      </c>
      <c r="CE206" s="24" t="inlineStr">
        <is>
          <t>0.972</t>
        </is>
      </c>
      <c r="CF206" s="24" t="inlineStr">
        <is>
          <t>1.0045</t>
        </is>
      </c>
      <c r="CG206" s="24" t="n"/>
      <c r="CH206" s="24" t="n"/>
      <c r="CI206" s="24" t="n"/>
      <c r="CJ206" s="24" t="inlineStr">
        <is>
          <t>0.628543</t>
        </is>
      </c>
      <c r="CK206" s="24" t="n"/>
      <c r="CL206" s="24" t="inlineStr">
        <is>
          <t>0.503895</t>
        </is>
      </c>
      <c r="CM206" s="24" t="inlineStr">
        <is>
          <t>4.2618</t>
        </is>
      </c>
      <c r="CN206" s="24" t="n"/>
      <c r="CO206" s="24" t="n"/>
      <c r="CP206" s="24" t="n"/>
      <c r="CQ206" s="24" t="n"/>
      <c r="CR206" s="24" t="inlineStr">
        <is>
          <t>0.525738</t>
        </is>
      </c>
      <c r="CS206" s="24" t="inlineStr">
        <is>
          <t>False</t>
        </is>
      </c>
    </row>
    <row r="207" ht="36" customHeight="1">
      <c r="A207" s="24" t="inlineStr">
        <is>
          <t>b6ec679c2814407c</t>
        </is>
      </c>
      <c r="B207" s="24" t="inlineStr">
        <is>
          <t>2026-08-05T21:01:36.734850Z</t>
        </is>
      </c>
      <c r="C207" s="24" t="inlineStr">
        <is>
          <t>2026-08-05T22:35Z</t>
        </is>
      </c>
      <c r="D207" s="24" t="inlineStr">
        <is>
          <t>401816399</t>
        </is>
      </c>
      <c r="E207" s="24" t="inlineStr">
        <is>
          <t>MLB</t>
        </is>
      </c>
      <c r="F207" s="24" t="inlineStr">
        <is>
          <t>Los Angeles Angels</t>
        </is>
      </c>
      <c r="G207" s="24" t="inlineStr">
        <is>
          <t>Baltimore Orioles</t>
        </is>
      </c>
      <c r="H207" s="24" t="inlineStr">
        <is>
          <t>spread</t>
        </is>
      </c>
      <c r="I207" s="24" t="inlineStr">
        <is>
          <t>home</t>
        </is>
      </c>
      <c r="J207" s="25" t="n">
        <v>-1.5</v>
      </c>
      <c r="K207" s="24" t="inlineStr">
        <is>
          <t>polymarket_us</t>
        </is>
      </c>
      <c r="L207" s="26" t="n">
        <v>163</v>
      </c>
      <c r="M207" s="27" t="n">
        <v>2.63</v>
      </c>
      <c r="N207" s="28" t="n">
        <v>0.380228</v>
      </c>
      <c r="O207" s="28" t="n">
        <v>0.412338</v>
      </c>
      <c r="P207" s="28" t="n">
        <v>0.042131</v>
      </c>
      <c r="Q207" s="28" t="n">
        <v>0.03211</v>
      </c>
      <c r="R207" s="26" t="n">
        <v>42</v>
      </c>
      <c r="S207" s="29" t="n">
        <v>0</v>
      </c>
      <c r="T207" s="24" t="inlineStr">
        <is>
          <t>measured-edge-margin-v3</t>
        </is>
      </c>
      <c r="U207" s="24" t="inlineStr">
        <is>
          <t>settled</t>
        </is>
      </c>
      <c r="V207" s="24" t="inlineStr">
        <is>
          <t>win</t>
        </is>
      </c>
      <c r="W207" s="26" t="n">
        <v>2</v>
      </c>
      <c r="X207" s="26" t="n">
        <v>5</v>
      </c>
      <c r="Y207" s="25" t="n">
        <v>-1.5</v>
      </c>
      <c r="Z207" s="26" t="n">
        <v>163</v>
      </c>
      <c r="AA207" s="28" t="n">
        <v>0.38</v>
      </c>
      <c r="AB207" s="28" t="n">
        <v>-0.000228</v>
      </c>
      <c r="AC207" s="30" t="n">
        <v>0</v>
      </c>
      <c r="AD207" s="24" t="inlineStr">
        <is>
          <t>2026-08-06T03:25:58.278840Z</t>
        </is>
      </c>
      <c r="AE207" s="31" t="inlineStr">
        <is>
          <t>Measured Edge Margin: Trend Engine projected 4.25-4.70; raw selected-side p=0.3714, calibrated p=0.4123.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NO_CALL_WINNER_OVERVALUED</t>
        </is>
      </c>
      <c r="AP207" s="24" t="inlineStr">
        <is>
          <t>mlb-laa</t>
        </is>
      </c>
      <c r="AQ207" s="24" t="inlineStr">
        <is>
          <t>Los Angeles Angels</t>
        </is>
      </c>
      <c r="AR207" s="24" t="inlineStr">
        <is>
          <t>Los Angeles Angels</t>
        </is>
      </c>
      <c r="AS207" s="24" t="inlineStr">
        <is>
          <t>mlb-bal</t>
        </is>
      </c>
      <c r="AT207" s="24" t="inlineStr">
        <is>
          <t>Baltimore Orioles</t>
        </is>
      </c>
      <c r="AU207" s="24" t="inlineStr">
        <is>
          <t>Baltimore Orioles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dd339a2eed50d7d83ab2127837995ddab82e879afd27f5414bb6c1f9cd60ba4c</t>
        </is>
      </c>
      <c r="BB207" s="24" t="inlineStr">
        <is>
          <t>flat_probability_shrinkage_toward_half</t>
        </is>
      </c>
      <c r="BC207" s="24" t="inlineStr">
        <is>
          <t>measured-edge-margin-v3</t>
        </is>
      </c>
      <c r="BD207" s="24" t="inlineStr">
        <is>
          <t>dd339a2eed50d7d83ab2127837995ddab82e879afd27f5414bb6c1f9cd60ba4c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2026-08-05T21:01:36.734850Z</t>
        </is>
      </c>
      <c r="BI207" s="24" t="inlineStr">
        <is>
          <t>["same_event","same_team_same_day","same_league_same_day"]</t>
        </is>
      </c>
      <c r="BJ207" s="25" t="n">
        <v>-1.5</v>
      </c>
      <c r="BK207" s="26" t="n">
        <v>163</v>
      </c>
      <c r="BL207" s="27" t="n">
        <v>2.63</v>
      </c>
      <c r="BM207" s="28" t="n">
        <v>0.380228</v>
      </c>
      <c r="BN207" s="28" t="n">
        <v>0.378109</v>
      </c>
      <c r="BO207" s="28" t="n"/>
      <c r="BP207" s="25" t="n"/>
      <c r="BQ207" s="27" t="n">
        <v>2.63</v>
      </c>
      <c r="BR207" s="28" t="n">
        <v>0.38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9a03f1a0392149b2</t>
        </is>
      </c>
      <c r="B208" s="24" t="inlineStr">
        <is>
          <t>2026-08-05T21:01:36.734850Z</t>
        </is>
      </c>
      <c r="C208" s="24" t="inlineStr">
        <is>
          <t>2026-08-05T22:35Z</t>
        </is>
      </c>
      <c r="D208" s="24" t="inlineStr">
        <is>
          <t>401816399</t>
        </is>
      </c>
      <c r="E208" s="24" t="inlineStr">
        <is>
          <t>MLB</t>
        </is>
      </c>
      <c r="F208" s="24" t="inlineStr">
        <is>
          <t>Los Angeles Angels</t>
        </is>
      </c>
      <c r="G208" s="24" t="inlineStr">
        <is>
          <t>Baltimore Orioles</t>
        </is>
      </c>
      <c r="H208" s="24" t="inlineStr">
        <is>
          <t>total</t>
        </is>
      </c>
      <c r="I208" s="24" t="inlineStr">
        <is>
          <t>over</t>
        </is>
      </c>
      <c r="J208" s="25" t="n">
        <v>7.5</v>
      </c>
      <c r="K208" s="24" t="inlineStr">
        <is>
          <t>polymarket_us</t>
        </is>
      </c>
      <c r="L208" s="26" t="n">
        <v>-113</v>
      </c>
      <c r="M208" s="27" t="n">
        <v>1.884956</v>
      </c>
      <c r="N208" s="28" t="n">
        <v>0.530516</v>
      </c>
      <c r="O208" s="28" t="n">
        <v>0.528131</v>
      </c>
      <c r="P208" s="28" t="n">
        <v>0.042131</v>
      </c>
      <c r="Q208" s="28" t="n">
        <v>-0.002385</v>
      </c>
      <c r="R208" s="26" t="n">
        <v>25</v>
      </c>
      <c r="S208" s="29" t="n">
        <v>0</v>
      </c>
      <c r="T208" s="24" t="inlineStr">
        <is>
          <t>measured-edge-totals-v3</t>
        </is>
      </c>
      <c r="U208" s="24" t="inlineStr">
        <is>
          <t>settled</t>
        </is>
      </c>
      <c r="V208" s="24" t="inlineStr">
        <is>
          <t>loss</t>
        </is>
      </c>
      <c r="W208" s="26" t="n">
        <v>2</v>
      </c>
      <c r="X208" s="26" t="n">
        <v>5</v>
      </c>
      <c r="Y208" s="25" t="n">
        <v>7.5</v>
      </c>
      <c r="Z208" s="26" t="n">
        <v>-113</v>
      </c>
      <c r="AA208" s="28" t="n">
        <v>0.53</v>
      </c>
      <c r="AB208" s="28" t="n">
        <v>-0.000516</v>
      </c>
      <c r="AC208" s="30" t="n">
        <v>0</v>
      </c>
      <c r="AD208" s="24" t="inlineStr">
        <is>
          <t>2026-08-06T03:26:00.084784Z</t>
        </is>
      </c>
      <c r="AE208" s="31" t="inlineStr">
        <is>
          <t>Measured Edge Totals: Trend Engine projected 4.25-4.70; raw selected-side p=0.5899, calibrated p=0.5281.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NO_CALL_WINNER_OVERVALUED</t>
        </is>
      </c>
      <c r="AP208" s="24" t="inlineStr">
        <is>
          <t>mlb-laa</t>
        </is>
      </c>
      <c r="AQ208" s="24" t="inlineStr">
        <is>
          <t>Los Angeles Angels</t>
        </is>
      </c>
      <c r="AR208" s="24" t="inlineStr">
        <is>
          <t>Los Angeles Angels</t>
        </is>
      </c>
      <c r="AS208" s="24" t="inlineStr">
        <is>
          <t>mlb-bal</t>
        </is>
      </c>
      <c r="AT208" s="24" t="inlineStr">
        <is>
          <t>Baltimore Orioles</t>
        </is>
      </c>
      <c r="AU208" s="24" t="inlineStr">
        <is>
          <t>Baltimore Orioles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95b84332c75d2ce54036eb8de6ada9c78d0f80228c50825c0347281a8b9b49c7</t>
        </is>
      </c>
      <c r="BB208" s="24" t="inlineStr">
        <is>
          <t>flat_probability_shrinkage_toward_half</t>
        </is>
      </c>
      <c r="BC208" s="24" t="inlineStr">
        <is>
          <t>measured-edge-totals-v3</t>
        </is>
      </c>
      <c r="BD208" s="24" t="inlineStr">
        <is>
          <t>95b84332c75d2ce54036eb8de6ada9c78d0f80228c50825c0347281a8b9b49c7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2026-08-05T21:01:36.734850Z</t>
        </is>
      </c>
      <c r="BI208" s="24" t="inlineStr">
        <is>
          <t>["same_event","same_team_same_day","same_league_same_day"]</t>
        </is>
      </c>
      <c r="BJ208" s="25" t="n">
        <v>7.5</v>
      </c>
      <c r="BK208" s="26" t="n">
        <v>-113</v>
      </c>
      <c r="BL208" s="27" t="n">
        <v>1.884956</v>
      </c>
      <c r="BM208" s="28" t="n">
        <v>0.530516</v>
      </c>
      <c r="BN208" s="28" t="n">
        <v>0.527363</v>
      </c>
      <c r="BO208" s="28" t="n"/>
      <c r="BP208" s="25" t="n"/>
      <c r="BQ208" s="27" t="n">
        <v>1.884956</v>
      </c>
      <c r="BR208" s="28" t="n">
        <v>0.53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</row>
    <row r="209" ht="36" customHeight="1">
      <c r="A209" s="24" t="inlineStr">
        <is>
          <t>835dc1a5404b4a18</t>
        </is>
      </c>
      <c r="B209" s="24" t="inlineStr">
        <is>
          <t>2026-08-05T21:01:36.734850Z</t>
        </is>
      </c>
      <c r="C209" s="24" t="inlineStr">
        <is>
          <t>2026-08-05T22:40Z</t>
        </is>
      </c>
      <c r="D209" s="24" t="inlineStr">
        <is>
          <t>401816400</t>
        </is>
      </c>
      <c r="E209" s="24" t="inlineStr">
        <is>
          <t>MLB</t>
        </is>
      </c>
      <c r="F209" s="24" t="inlineStr">
        <is>
          <t>Athletics</t>
        </is>
      </c>
      <c r="G209" s="24" t="inlineStr">
        <is>
          <t>Cincinnati Reds</t>
        </is>
      </c>
      <c r="H209" s="24" t="inlineStr">
        <is>
          <t>spread</t>
        </is>
      </c>
      <c r="I209" s="24" t="inlineStr">
        <is>
          <t>home</t>
        </is>
      </c>
      <c r="J209" s="25" t="n">
        <v>-1.5</v>
      </c>
      <c r="K209" s="24" t="inlineStr">
        <is>
          <t>polymarket_us</t>
        </is>
      </c>
      <c r="L209" s="26" t="n">
        <v>135</v>
      </c>
      <c r="M209" s="27" t="n">
        <v>2.35</v>
      </c>
      <c r="N209" s="28" t="n">
        <v>0.425532</v>
      </c>
      <c r="O209" s="28" t="n">
        <v>0.405047</v>
      </c>
      <c r="P209" s="28" t="n">
        <v>0.042131</v>
      </c>
      <c r="Q209" s="28" t="n">
        <v>-0.020485</v>
      </c>
      <c r="R209" s="26" t="n">
        <v>16</v>
      </c>
      <c r="S209" s="29" t="n">
        <v>0</v>
      </c>
      <c r="T209" s="24" t="inlineStr">
        <is>
          <t>measured-edge-margin-v3</t>
        </is>
      </c>
      <c r="U209" s="24" t="inlineStr">
        <is>
          <t>settled</t>
        </is>
      </c>
      <c r="V209" s="24" t="inlineStr">
        <is>
          <t>loss</t>
        </is>
      </c>
      <c r="W209" s="26" t="n">
        <v>2</v>
      </c>
      <c r="X209" s="26" t="n">
        <v>3</v>
      </c>
      <c r="Y209" s="25" t="n">
        <v>-1.5</v>
      </c>
      <c r="Z209" s="26" t="n">
        <v>135</v>
      </c>
      <c r="AA209" s="28" t="n">
        <v>0.425</v>
      </c>
      <c r="AB209" s="28" t="n">
        <v>-0.000532</v>
      </c>
      <c r="AC209" s="30" t="n">
        <v>0</v>
      </c>
      <c r="AD209" s="24" t="inlineStr">
        <is>
          <t>2026-08-06T03:26:01.887070Z</t>
        </is>
      </c>
      <c r="AE209" s="31" t="inlineStr">
        <is>
          <t>Measured Edge Margin: Trend Engine projected 4.90-5.09; raw selected-side p=0.3607, calibrated p=0.4050.</t>
        </is>
      </c>
      <c r="AF209" s="31" t="inlineStr">
        <is>
          <t>Research-only; lineup, bullpen, park, weather, xFIP, and wRC+ may be neutral fallbacks; market availability and BBO depth may change before first pitch.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NO_CALL_WINNER_OVERVALUED</t>
        </is>
      </c>
      <c r="AP209" s="24" t="inlineStr">
        <is>
          <t>mlb-ath</t>
        </is>
      </c>
      <c r="AQ209" s="24" t="inlineStr">
        <is>
          <t>Athletics</t>
        </is>
      </c>
      <c r="AR209" s="24" t="inlineStr">
        <is>
          <t>Athletics</t>
        </is>
      </c>
      <c r="AS209" s="24" t="inlineStr">
        <is>
          <t>mlb-cin</t>
        </is>
      </c>
      <c r="AT209" s="24" t="inlineStr">
        <is>
          <t>Cincinnati Reds</t>
        </is>
      </c>
      <c r="AU209" s="24" t="inlineStr">
        <is>
          <t>Cincinnati Reds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dd339a2eed50d7d83ab2127837995ddab82e879afd27f5414bb6c1f9cd60ba4c</t>
        </is>
      </c>
      <c r="BB209" s="24" t="inlineStr">
        <is>
          <t>flat_probability_shrinkage_toward_half</t>
        </is>
      </c>
      <c r="BC209" s="24" t="inlineStr">
        <is>
          <t>measured-edge-margin-v3</t>
        </is>
      </c>
      <c r="BD209" s="24" t="inlineStr">
        <is>
          <t>dd339a2eed50d7d83ab2127837995ddab82e879afd27f5414bb6c1f9cd60ba4c</t>
        </is>
      </c>
      <c r="BE209" s="24" t="inlineStr">
        <is>
          <t>v3</t>
        </is>
      </c>
      <c r="BF209" s="24" t="inlineStr">
        <is>
          <t>1</t>
        </is>
      </c>
      <c r="BG209" s="24" t="inlineStr">
        <is>
          <t>measured-edge-paired-v1</t>
        </is>
      </c>
      <c r="BH209" s="24" t="inlineStr">
        <is>
          <t>2026-08-05T21:01:36.734850Z</t>
        </is>
      </c>
      <c r="BI209" s="24" t="inlineStr">
        <is>
          <t>["same_event","same_team_same_day","same_league_same_day"]</t>
        </is>
      </c>
      <c r="BJ209" s="25" t="n">
        <v>-1.5</v>
      </c>
      <c r="BK209" s="26" t="n">
        <v>135</v>
      </c>
      <c r="BL209" s="27" t="n">
        <v>2.35</v>
      </c>
      <c r="BM209" s="28" t="n">
        <v>0.425532</v>
      </c>
      <c r="BN209" s="28" t="n">
        <v>0.422886</v>
      </c>
      <c r="BO209" s="28" t="n"/>
      <c r="BP209" s="25" t="n"/>
      <c r="BQ209" s="27" t="n">
        <v>2.35</v>
      </c>
      <c r="BR209" s="28" t="n">
        <v>0.425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</row>
    <row r="210" ht="36" customHeight="1">
      <c r="A210" s="24" t="inlineStr">
        <is>
          <t>86a1c03461894e40</t>
        </is>
      </c>
      <c r="B210" s="24" t="inlineStr">
        <is>
          <t>2026-08-05T21:01:36.734850Z</t>
        </is>
      </c>
      <c r="C210" s="24" t="inlineStr">
        <is>
          <t>2026-08-05T22:40Z</t>
        </is>
      </c>
      <c r="D210" s="24" t="inlineStr">
        <is>
          <t>401816400</t>
        </is>
      </c>
      <c r="E210" s="24" t="inlineStr">
        <is>
          <t>MLB</t>
        </is>
      </c>
      <c r="F210" s="24" t="inlineStr">
        <is>
          <t>Athletics</t>
        </is>
      </c>
      <c r="G210" s="24" t="inlineStr">
        <is>
          <t>Cincinnati Reds</t>
        </is>
      </c>
      <c r="H210" s="24" t="inlineStr">
        <is>
          <t>total</t>
        </is>
      </c>
      <c r="I210" s="24" t="inlineStr">
        <is>
          <t>under</t>
        </is>
      </c>
      <c r="J210" s="25" t="n">
        <v>9.5</v>
      </c>
      <c r="K210" s="24" t="inlineStr">
        <is>
          <t>polymarket_us</t>
        </is>
      </c>
      <c r="L210" s="26" t="n">
        <v>-111</v>
      </c>
      <c r="M210" s="27" t="n">
        <v>1.900901</v>
      </c>
      <c r="N210" s="28" t="n">
        <v>0.526066</v>
      </c>
      <c r="O210" s="28" t="n">
        <v>0.5079360000000001</v>
      </c>
      <c r="P210" s="28" t="n">
        <v>0.042131</v>
      </c>
      <c r="Q210" s="28" t="n">
        <v>-0.01813</v>
      </c>
      <c r="R210" s="26" t="n">
        <v>17</v>
      </c>
      <c r="S210" s="29" t="n">
        <v>0</v>
      </c>
      <c r="T210" s="24" t="inlineStr">
        <is>
          <t>measured-edge-totals-v3</t>
        </is>
      </c>
      <c r="U210" s="24" t="inlineStr">
        <is>
          <t>settled</t>
        </is>
      </c>
      <c r="V210" s="24" t="inlineStr">
        <is>
          <t>win</t>
        </is>
      </c>
      <c r="W210" s="26" t="n">
        <v>2</v>
      </c>
      <c r="X210" s="26" t="n">
        <v>3</v>
      </c>
      <c r="Y210" s="25" t="n">
        <v>9.5</v>
      </c>
      <c r="Z210" s="26" t="n">
        <v>-111</v>
      </c>
      <c r="AA210" s="28" t="n">
        <v>0.525</v>
      </c>
      <c r="AB210" s="28" t="n">
        <v>-0.001066</v>
      </c>
      <c r="AC210" s="30" t="n">
        <v>0</v>
      </c>
      <c r="AD210" s="24" t="inlineStr">
        <is>
          <t>2026-08-06T03:26:03.849315Z</t>
        </is>
      </c>
      <c r="AE210" s="31" t="inlineStr">
        <is>
          <t>Measured Edge Totals: Trend Engine projected 4.90-5.09; raw selected-side p=0.5086, calibrated p=0.5079.</t>
        </is>
      </c>
      <c r="AF210" s="31" t="inlineStr">
        <is>
          <t>Research-only; lineup, bullpen, park, weather, xFIP, and wRC+ may be neutral fallbacks; market availability and BBO depth may change before first pitch.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NO_CALL_WINNER_OVERVALUED</t>
        </is>
      </c>
      <c r="AP210" s="24" t="inlineStr">
        <is>
          <t>mlb-ath</t>
        </is>
      </c>
      <c r="AQ210" s="24" t="inlineStr">
        <is>
          <t>Athletics</t>
        </is>
      </c>
      <c r="AR210" s="24" t="inlineStr">
        <is>
          <t>Athletics</t>
        </is>
      </c>
      <c r="AS210" s="24" t="inlineStr">
        <is>
          <t>mlb-cin</t>
        </is>
      </c>
      <c r="AT210" s="24" t="inlineStr">
        <is>
          <t>Cincinnati Reds</t>
        </is>
      </c>
      <c r="AU210" s="24" t="inlineStr">
        <is>
          <t>Cincinnati Reds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95b84332c75d2ce54036eb8de6ada9c78d0f80228c50825c0347281a8b9b49c7</t>
        </is>
      </c>
      <c r="BB210" s="24" t="inlineStr">
        <is>
          <t>flat_probability_shrinkage_toward_half</t>
        </is>
      </c>
      <c r="BC210" s="24" t="inlineStr">
        <is>
          <t>measured-edge-totals-v3</t>
        </is>
      </c>
      <c r="BD210" s="24" t="inlineStr">
        <is>
          <t>95b84332c75d2ce54036eb8de6ada9c78d0f80228c50825c0347281a8b9b49c7</t>
        </is>
      </c>
      <c r="BE210" s="24" t="inlineStr">
        <is>
          <t>v3</t>
        </is>
      </c>
      <c r="BF210" s="24" t="inlineStr">
        <is>
          <t>1</t>
        </is>
      </c>
      <c r="BG210" s="24" t="inlineStr">
        <is>
          <t>measured-edge-paired-v1</t>
        </is>
      </c>
      <c r="BH210" s="24" t="inlineStr">
        <is>
          <t>2026-08-05T21:01:36.734850Z</t>
        </is>
      </c>
      <c r="BI210" s="24" t="inlineStr">
        <is>
          <t>["same_event","same_team_same_day","same_league_same_day"]</t>
        </is>
      </c>
      <c r="BJ210" s="25" t="n">
        <v>9.5</v>
      </c>
      <c r="BK210" s="26" t="n">
        <v>-111</v>
      </c>
      <c r="BL210" s="27" t="n">
        <v>1.900901</v>
      </c>
      <c r="BM210" s="28" t="n">
        <v>0.526066</v>
      </c>
      <c r="BN210" s="28" t="n">
        <v>0.522388</v>
      </c>
      <c r="BO210" s="28" t="n"/>
      <c r="BP210" s="25" t="n"/>
      <c r="BQ210" s="27" t="n">
        <v>1.900901</v>
      </c>
      <c r="BR210" s="28" t="n">
        <v>0.525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</row>
    <row r="211" ht="36" customHeight="1">
      <c r="A211" s="24" t="inlineStr">
        <is>
          <t>50ef32bcb7204e32</t>
        </is>
      </c>
      <c r="B211" s="24" t="inlineStr">
        <is>
          <t>2026-08-05T21:01:36.734850Z</t>
        </is>
      </c>
      <c r="C211" s="24" t="inlineStr">
        <is>
          <t>2026-08-05T22:40Z</t>
        </is>
      </c>
      <c r="D211" s="24" t="inlineStr">
        <is>
          <t>401816403</t>
        </is>
      </c>
      <c r="E211" s="24" t="inlineStr">
        <is>
          <t>MLB</t>
        </is>
      </c>
      <c r="F211" s="24" t="inlineStr">
        <is>
          <t>New York Mets</t>
        </is>
      </c>
      <c r="G211" s="24" t="inlineStr">
        <is>
          <t>Cleveland Guardians</t>
        </is>
      </c>
      <c r="H211" s="24" t="inlineStr">
        <is>
          <t>spread</t>
        </is>
      </c>
      <c r="I211" s="24" t="inlineStr">
        <is>
          <t>away</t>
        </is>
      </c>
      <c r="J211" s="25" t="n">
        <v>-1.5</v>
      </c>
      <c r="K211" s="24" t="inlineStr">
        <is>
          <t>polymarket_us</t>
        </is>
      </c>
      <c r="L211" s="26" t="n">
        <v>170</v>
      </c>
      <c r="M211" s="27" t="n">
        <v>2.7</v>
      </c>
      <c r="N211" s="28" t="n">
        <v>0.37037</v>
      </c>
      <c r="O211" s="28" t="n">
        <v>0.39762</v>
      </c>
      <c r="P211" s="28" t="n">
        <v>0.042131</v>
      </c>
      <c r="Q211" s="28" t="n">
        <v>0.02725</v>
      </c>
      <c r="R211" s="26" t="n">
        <v>39</v>
      </c>
      <c r="S211" s="29" t="n">
        <v>0</v>
      </c>
      <c r="T211" s="24" t="inlineStr">
        <is>
          <t>measured-edge-margin-v3</t>
        </is>
      </c>
      <c r="U211" s="24" t="inlineStr">
        <is>
          <t>settled</t>
        </is>
      </c>
      <c r="V211" s="24" t="inlineStr">
        <is>
          <t>loss</t>
        </is>
      </c>
      <c r="W211" s="26" t="n">
        <v>6</v>
      </c>
      <c r="X211" s="26" t="n">
        <v>5</v>
      </c>
      <c r="Y211" s="25" t="n">
        <v>-1.5</v>
      </c>
      <c r="Z211" s="26" t="n">
        <v>170</v>
      </c>
      <c r="AA211" s="28" t="n">
        <v>0.37</v>
      </c>
      <c r="AB211" s="28" t="n">
        <v>-0.00037</v>
      </c>
      <c r="AC211" s="30" t="n">
        <v>0</v>
      </c>
      <c r="AD211" s="24" t="inlineStr">
        <is>
          <t>2026-08-06T03:26:05.771379Z</t>
        </is>
      </c>
      <c r="AE211" s="31" t="inlineStr">
        <is>
          <t>Measured Edge Margin: Trend Engine projected 4.46-4.23; raw selected-side p=0.3498, calibrated p=0.3976.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NO_CALL_WINNER_OVERVALUED</t>
        </is>
      </c>
      <c r="AP211" s="24" t="inlineStr">
        <is>
          <t>mlb-nym</t>
        </is>
      </c>
      <c r="AQ211" s="24" t="inlineStr">
        <is>
          <t>New York Mets</t>
        </is>
      </c>
      <c r="AR211" s="24" t="inlineStr">
        <is>
          <t>New York Mets</t>
        </is>
      </c>
      <c r="AS211" s="24" t="inlineStr">
        <is>
          <t>mlb-cle</t>
        </is>
      </c>
      <c r="AT211" s="24" t="inlineStr">
        <is>
          <t>Cleveland Guardians</t>
        </is>
      </c>
      <c r="AU211" s="24" t="inlineStr">
        <is>
          <t>Cleveland Guardians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dd339a2eed50d7d83ab2127837995ddab82e879afd27f5414bb6c1f9cd60ba4c</t>
        </is>
      </c>
      <c r="BB211" s="24" t="inlineStr">
        <is>
          <t>flat_probability_shrinkage_toward_half</t>
        </is>
      </c>
      <c r="BC211" s="24" t="inlineStr">
        <is>
          <t>measured-edge-margin-v3</t>
        </is>
      </c>
      <c r="BD211" s="24" t="inlineStr">
        <is>
          <t>dd339a2eed50d7d83ab2127837995ddab82e879afd27f5414bb6c1f9cd60ba4c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2026-08-05T21:01:36.734850Z</t>
        </is>
      </c>
      <c r="BI211" s="24" t="inlineStr">
        <is>
          <t>["same_event","same_team_same_day","same_league_same_day"]</t>
        </is>
      </c>
      <c r="BJ211" s="25" t="n">
        <v>-1.5</v>
      </c>
      <c r="BK211" s="26" t="n">
        <v>170</v>
      </c>
      <c r="BL211" s="27" t="n">
        <v>2.7</v>
      </c>
      <c r="BM211" s="28" t="n">
        <v>0.37037</v>
      </c>
      <c r="BN211" s="28" t="n">
        <v>0.368159</v>
      </c>
      <c r="BO211" s="28" t="n"/>
      <c r="BP211" s="25" t="n"/>
      <c r="BQ211" s="27" t="n">
        <v>2.7</v>
      </c>
      <c r="BR211" s="28" t="n">
        <v>0.37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</row>
    <row r="212" ht="36" customHeight="1">
      <c r="A212" s="24" t="inlineStr">
        <is>
          <t>3062b1c43e874d70</t>
        </is>
      </c>
      <c r="B212" s="24" t="inlineStr">
        <is>
          <t>2026-08-05T21:01:36.734850Z</t>
        </is>
      </c>
      <c r="C212" s="24" t="inlineStr">
        <is>
          <t>2026-08-05T22:40Z</t>
        </is>
      </c>
      <c r="D212" s="24" t="inlineStr">
        <is>
          <t>401816403</t>
        </is>
      </c>
      <c r="E212" s="24" t="inlineStr">
        <is>
          <t>MLB</t>
        </is>
      </c>
      <c r="F212" s="24" t="inlineStr">
        <is>
          <t>New York Mets</t>
        </is>
      </c>
      <c r="G212" s="24" t="inlineStr">
        <is>
          <t>Cleveland Guardians</t>
        </is>
      </c>
      <c r="H212" s="24" t="inlineStr">
        <is>
          <t>total</t>
        </is>
      </c>
      <c r="I212" s="24" t="inlineStr">
        <is>
          <t>over</t>
        </is>
      </c>
      <c r="J212" s="25" t="n">
        <v>7.5</v>
      </c>
      <c r="K212" s="24" t="inlineStr">
        <is>
          <t>polymarket_us</t>
        </is>
      </c>
      <c r="L212" s="26" t="n">
        <v>-106</v>
      </c>
      <c r="M212" s="27" t="n">
        <v>1.943396</v>
      </c>
      <c r="N212" s="28" t="n">
        <v>0.514563</v>
      </c>
      <c r="O212" s="28" t="n">
        <v>0.521238</v>
      </c>
      <c r="P212" s="28" t="n">
        <v>0.042131</v>
      </c>
      <c r="Q212" s="28" t="n">
        <v>0.006675</v>
      </c>
      <c r="R212" s="26" t="n">
        <v>29</v>
      </c>
      <c r="S212" s="29" t="n">
        <v>0</v>
      </c>
      <c r="T212" s="24" t="inlineStr">
        <is>
          <t>measured-edge-totals-v3</t>
        </is>
      </c>
      <c r="U212" s="24" t="inlineStr">
        <is>
          <t>settled</t>
        </is>
      </c>
      <c r="V212" s="24" t="inlineStr">
        <is>
          <t>win</t>
        </is>
      </c>
      <c r="W212" s="26" t="n">
        <v>6</v>
      </c>
      <c r="X212" s="26" t="n">
        <v>5</v>
      </c>
      <c r="Y212" s="25" t="n">
        <v>7.5</v>
      </c>
      <c r="Z212" s="26" t="n">
        <v>-106</v>
      </c>
      <c r="AA212" s="28" t="n">
        <v>0.515</v>
      </c>
      <c r="AB212" s="28" t="n">
        <v>0.000437</v>
      </c>
      <c r="AC212" s="30" t="n">
        <v>0</v>
      </c>
      <c r="AD212" s="24" t="inlineStr">
        <is>
          <t>2026-08-06T03:26:07.681388Z</t>
        </is>
      </c>
      <c r="AE212" s="31" t="inlineStr">
        <is>
          <t>Measured Edge Totals: Trend Engine projected 4.46-4.23; raw selected-side p=0.5622, calibrated p=0.5212.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NO_CALL_WINNER_OVERVALUED</t>
        </is>
      </c>
      <c r="AP212" s="24" t="inlineStr">
        <is>
          <t>mlb-nym</t>
        </is>
      </c>
      <c r="AQ212" s="24" t="inlineStr">
        <is>
          <t>New York Mets</t>
        </is>
      </c>
      <c r="AR212" s="24" t="inlineStr">
        <is>
          <t>New York Mets</t>
        </is>
      </c>
      <c r="AS212" s="24" t="inlineStr">
        <is>
          <t>mlb-cle</t>
        </is>
      </c>
      <c r="AT212" s="24" t="inlineStr">
        <is>
          <t>Cleveland Guardians</t>
        </is>
      </c>
      <c r="AU212" s="24" t="inlineStr">
        <is>
          <t>Cleveland Guardians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95b84332c75d2ce54036eb8de6ada9c78d0f80228c50825c0347281a8b9b49c7</t>
        </is>
      </c>
      <c r="BB212" s="24" t="inlineStr">
        <is>
          <t>flat_probability_shrinkage_toward_half</t>
        </is>
      </c>
      <c r="BC212" s="24" t="inlineStr">
        <is>
          <t>measured-edge-totals-v3</t>
        </is>
      </c>
      <c r="BD212" s="24" t="inlineStr">
        <is>
          <t>95b84332c75d2ce54036eb8de6ada9c78d0f80228c50825c0347281a8b9b49c7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2026-08-05T21:01:36.734850Z</t>
        </is>
      </c>
      <c r="BI212" s="24" t="inlineStr">
        <is>
          <t>["same_event","same_team_same_day","same_league_same_day"]</t>
        </is>
      </c>
      <c r="BJ212" s="25" t="n">
        <v>7.5</v>
      </c>
      <c r="BK212" s="26" t="n">
        <v>-106</v>
      </c>
      <c r="BL212" s="27" t="n">
        <v>1.943396</v>
      </c>
      <c r="BM212" s="28" t="n">
        <v>0.514563</v>
      </c>
      <c r="BN212" s="28" t="n">
        <v>0.5124379999999999</v>
      </c>
      <c r="BO212" s="28" t="n"/>
      <c r="BP212" s="25" t="n"/>
      <c r="BQ212" s="27" t="n">
        <v>1.943396</v>
      </c>
      <c r="BR212" s="28" t="n">
        <v>0.515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0f0ad6db5d7d46d2</t>
        </is>
      </c>
      <c r="B213" s="24" t="inlineStr">
        <is>
          <t>2026-08-05T21:01:36.734850Z</t>
        </is>
      </c>
      <c r="C213" s="24" t="inlineStr">
        <is>
          <t>2026-08-05T22:40Z</t>
        </is>
      </c>
      <c r="D213" s="24" t="inlineStr">
        <is>
          <t>401816405</t>
        </is>
      </c>
      <c r="E213" s="24" t="inlineStr">
        <is>
          <t>MLB</t>
        </is>
      </c>
      <c r="F213" s="24" t="inlineStr">
        <is>
          <t>Washington Nationals</t>
        </is>
      </c>
      <c r="G213" s="24" t="inlineStr">
        <is>
          <t>Philadelphia Phillies</t>
        </is>
      </c>
      <c r="H213" s="24" t="inlineStr">
        <is>
          <t>spread</t>
        </is>
      </c>
      <c r="I213" s="24" t="inlineStr">
        <is>
          <t>home</t>
        </is>
      </c>
      <c r="J213" s="25" t="n">
        <v>-1.5</v>
      </c>
      <c r="K213" s="24" t="inlineStr">
        <is>
          <t>polymarket_us</t>
        </is>
      </c>
      <c r="L213" s="26" t="n">
        <v>113</v>
      </c>
      <c r="M213" s="27" t="n">
        <v>2.13</v>
      </c>
      <c r="N213" s="28" t="n">
        <v>0.469484</v>
      </c>
      <c r="O213" s="28" t="n">
        <v>0.401878</v>
      </c>
      <c r="P213" s="28" t="n">
        <v>0.042131</v>
      </c>
      <c r="Q213" s="28" t="n">
        <v>-0.067606</v>
      </c>
      <c r="R213" s="26" t="n">
        <v>0</v>
      </c>
      <c r="S213" s="29" t="n">
        <v>0</v>
      </c>
      <c r="T213" s="24" t="inlineStr">
        <is>
          <t>measured-edge-margin-v3</t>
        </is>
      </c>
      <c r="U213" s="24" t="inlineStr">
        <is>
          <t>settled</t>
        </is>
      </c>
      <c r="V213" s="24" t="inlineStr">
        <is>
          <t>loss</t>
        </is>
      </c>
      <c r="W213" s="26" t="n">
        <v>10</v>
      </c>
      <c r="X213" s="26" t="n">
        <v>4</v>
      </c>
      <c r="Y213" s="25" t="n">
        <v>-1.5</v>
      </c>
      <c r="Z213" s="26" t="n">
        <v>113</v>
      </c>
      <c r="AA213" s="28" t="n">
        <v>0.47</v>
      </c>
      <c r="AB213" s="28" t="n">
        <v>0.000516</v>
      </c>
      <c r="AC213" s="30" t="n">
        <v>0</v>
      </c>
      <c r="AD213" s="24" t="inlineStr">
        <is>
          <t>2026-08-06T03:26:09.500168Z</t>
        </is>
      </c>
      <c r="AE213" s="31" t="inlineStr">
        <is>
          <t>Measured Edge Margin: Trend Engine projected 5.21-5.30; raw selected-side p=0.3560, calibrated p=0.4019.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NO_CALL_WINNER_OVERVALUED</t>
        </is>
      </c>
      <c r="AP213" s="24" t="inlineStr">
        <is>
          <t>mlb-wsh</t>
        </is>
      </c>
      <c r="AQ213" s="24" t="inlineStr">
        <is>
          <t>Washington Nationals</t>
        </is>
      </c>
      <c r="AR213" s="24" t="inlineStr">
        <is>
          <t>Washington Nationals</t>
        </is>
      </c>
      <c r="AS213" s="24" t="inlineStr">
        <is>
          <t>mlb-phi</t>
        </is>
      </c>
      <c r="AT213" s="24" t="inlineStr">
        <is>
          <t>Philadelphia Phillies</t>
        </is>
      </c>
      <c r="AU213" s="24" t="inlineStr">
        <is>
          <t>Philadelphia Phillies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dd339a2eed50d7d83ab2127837995ddab82e879afd27f5414bb6c1f9cd60ba4c</t>
        </is>
      </c>
      <c r="BB213" s="24" t="inlineStr">
        <is>
          <t>flat_probability_shrinkage_toward_half</t>
        </is>
      </c>
      <c r="BC213" s="24" t="inlineStr">
        <is>
          <t>measured-edge-margin-v3</t>
        </is>
      </c>
      <c r="BD213" s="24" t="inlineStr">
        <is>
          <t>dd339a2eed50d7d83ab2127837995ddab82e879afd27f5414bb6c1f9cd60ba4c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2026-08-05T21:01:36.734850Z</t>
        </is>
      </c>
      <c r="BI213" s="24" t="inlineStr">
        <is>
          <t>["same_event","same_team_same_day","same_league_same_day"]</t>
        </is>
      </c>
      <c r="BJ213" s="25" t="n">
        <v>-1.5</v>
      </c>
      <c r="BK213" s="26" t="n">
        <v>113</v>
      </c>
      <c r="BL213" s="27" t="n">
        <v>2.13</v>
      </c>
      <c r="BM213" s="28" t="n">
        <v>0.469484</v>
      </c>
      <c r="BN213" s="28" t="n">
        <v>0.467662</v>
      </c>
      <c r="BO213" s="28" t="n"/>
      <c r="BP213" s="25" t="n"/>
      <c r="BQ213" s="27" t="n">
        <v>2.13</v>
      </c>
      <c r="BR213" s="28" t="n">
        <v>0.47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064d9c54694446ab</t>
        </is>
      </c>
      <c r="B214" s="24" t="inlineStr">
        <is>
          <t>2026-08-05T21:01:36.734850Z</t>
        </is>
      </c>
      <c r="C214" s="24" t="inlineStr">
        <is>
          <t>2026-08-05T22:40Z</t>
        </is>
      </c>
      <c r="D214" s="24" t="inlineStr">
        <is>
          <t>401816405</t>
        </is>
      </c>
      <c r="E214" s="24" t="inlineStr">
        <is>
          <t>MLB</t>
        </is>
      </c>
      <c r="F214" s="24" t="inlineStr">
        <is>
          <t>Washington Nationals</t>
        </is>
      </c>
      <c r="G214" s="24" t="inlineStr">
        <is>
          <t>Philadelphia Phillies</t>
        </is>
      </c>
      <c r="H214" s="24" t="inlineStr">
        <is>
          <t>total</t>
        </is>
      </c>
      <c r="I214" s="24" t="inlineStr">
        <is>
          <t>over</t>
        </is>
      </c>
      <c r="J214" s="25" t="n">
        <v>9.5</v>
      </c>
      <c r="K214" s="24" t="inlineStr">
        <is>
          <t>polymarket_us</t>
        </is>
      </c>
      <c r="L214" s="26" t="n">
        <v>-102</v>
      </c>
      <c r="M214" s="27" t="n">
        <v>1.980392</v>
      </c>
      <c r="N214" s="28" t="n">
        <v>0.50495</v>
      </c>
      <c r="O214" s="28" t="n">
        <v>0.514109</v>
      </c>
      <c r="P214" s="28" t="n">
        <v>0.042131</v>
      </c>
      <c r="Q214" s="28" t="n">
        <v>0.009159</v>
      </c>
      <c r="R214" s="26" t="n">
        <v>31</v>
      </c>
      <c r="S214" s="29" t="n">
        <v>0</v>
      </c>
      <c r="T214" s="24" t="inlineStr">
        <is>
          <t>measured-edge-totals-v3</t>
        </is>
      </c>
      <c r="U214" s="24" t="inlineStr">
        <is>
          <t>settled</t>
        </is>
      </c>
      <c r="V214" s="24" t="inlineStr">
        <is>
          <t>win</t>
        </is>
      </c>
      <c r="W214" s="26" t="n">
        <v>10</v>
      </c>
      <c r="X214" s="26" t="n">
        <v>4</v>
      </c>
      <c r="Y214" s="25" t="n">
        <v>9.5</v>
      </c>
      <c r="Z214" s="26" t="n">
        <v>-102</v>
      </c>
      <c r="AA214" s="28" t="n">
        <v>0.505</v>
      </c>
      <c r="AB214" s="28" t="n">
        <v>5e-05</v>
      </c>
      <c r="AC214" s="30" t="n">
        <v>0</v>
      </c>
      <c r="AD214" s="24" t="inlineStr">
        <is>
          <t>2026-08-06T03:26:11.321346Z</t>
        </is>
      </c>
      <c r="AE214" s="31" t="inlineStr">
        <is>
          <t>Measured Edge Totals: Trend Engine projected 5.21-5.30; raw selected-side p=0.5334, calibrated p=0.5141.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NO_CALL_WINNER_OVERVALUED</t>
        </is>
      </c>
      <c r="AP214" s="24" t="inlineStr">
        <is>
          <t>mlb-wsh</t>
        </is>
      </c>
      <c r="AQ214" s="24" t="inlineStr">
        <is>
          <t>Washington Nationals</t>
        </is>
      </c>
      <c r="AR214" s="24" t="inlineStr">
        <is>
          <t>Washington Nationals</t>
        </is>
      </c>
      <c r="AS214" s="24" t="inlineStr">
        <is>
          <t>mlb-phi</t>
        </is>
      </c>
      <c r="AT214" s="24" t="inlineStr">
        <is>
          <t>Philadelphia Phillies</t>
        </is>
      </c>
      <c r="AU214" s="24" t="inlineStr">
        <is>
          <t>Philadelphia Phillies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95b84332c75d2ce54036eb8de6ada9c78d0f80228c50825c0347281a8b9b49c7</t>
        </is>
      </c>
      <c r="BB214" s="24" t="inlineStr">
        <is>
          <t>flat_probability_shrinkage_toward_half</t>
        </is>
      </c>
      <c r="BC214" s="24" t="inlineStr">
        <is>
          <t>measured-edge-totals-v3</t>
        </is>
      </c>
      <c r="BD214" s="24" t="inlineStr">
        <is>
          <t>95b84332c75d2ce54036eb8de6ada9c78d0f80228c50825c0347281a8b9b49c7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2026-08-05T21:01:36.734850Z</t>
        </is>
      </c>
      <c r="BI214" s="24" t="inlineStr">
        <is>
          <t>["same_event","same_team_same_day","same_league_same_day"]</t>
        </is>
      </c>
      <c r="BJ214" s="25" t="n">
        <v>9.5</v>
      </c>
      <c r="BK214" s="26" t="n">
        <v>-102</v>
      </c>
      <c r="BL214" s="27" t="n">
        <v>1.980392</v>
      </c>
      <c r="BM214" s="28" t="n">
        <v>0.50495</v>
      </c>
      <c r="BN214" s="28" t="n">
        <v>0.502488</v>
      </c>
      <c r="BO214" s="28" t="n"/>
      <c r="BP214" s="25" t="n"/>
      <c r="BQ214" s="27" t="n">
        <v>1.980392</v>
      </c>
      <c r="BR214" s="28" t="n">
        <v>0.505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424470d1727a45b8</t>
        </is>
      </c>
      <c r="B215" s="24" t="inlineStr">
        <is>
          <t>2026-08-05T21:01:36.734850Z</t>
        </is>
      </c>
      <c r="C215" s="24" t="inlineStr">
        <is>
          <t>2026-08-05T23:05Z</t>
        </is>
      </c>
      <c r="D215" s="24" t="inlineStr">
        <is>
          <t>401816404</t>
        </is>
      </c>
      <c r="E215" s="24" t="inlineStr">
        <is>
          <t>MLB</t>
        </is>
      </c>
      <c r="F215" s="24" t="inlineStr">
        <is>
          <t>St. Louis Cardinals</t>
        </is>
      </c>
      <c r="G215" s="24" t="inlineStr">
        <is>
          <t>New York Yankees</t>
        </is>
      </c>
      <c r="H215" s="24" t="inlineStr">
        <is>
          <t>spread</t>
        </is>
      </c>
      <c r="I215" s="24" t="inlineStr">
        <is>
          <t>away</t>
        </is>
      </c>
      <c r="J215" s="25" t="n">
        <v>1.5</v>
      </c>
      <c r="K215" s="24" t="inlineStr">
        <is>
          <t>polymarket_us</t>
        </is>
      </c>
      <c r="L215" s="26" t="n">
        <v>-144</v>
      </c>
      <c r="M215" s="27" t="n">
        <v>1.694444</v>
      </c>
      <c r="N215" s="28" t="n">
        <v>0.590164</v>
      </c>
      <c r="O215" s="28" t="n">
        <v>0.62732</v>
      </c>
      <c r="P215" s="28" t="n">
        <v>0.042131</v>
      </c>
      <c r="Q215" s="28" t="n">
        <v>0.037156</v>
      </c>
      <c r="R215" s="26" t="n">
        <v>45</v>
      </c>
      <c r="S215" s="29" t="n">
        <v>0</v>
      </c>
      <c r="T215" s="24" t="inlineStr">
        <is>
          <t>measured-edge-margin-v3</t>
        </is>
      </c>
      <c r="U215" s="24" t="inlineStr">
        <is>
          <t>settled</t>
        </is>
      </c>
      <c r="V215" s="24" t="inlineStr">
        <is>
          <t>win</t>
        </is>
      </c>
      <c r="W215" s="26" t="n">
        <v>3</v>
      </c>
      <c r="X215" s="26" t="n">
        <v>1</v>
      </c>
      <c r="Y215" s="25" t="n">
        <v>1.5</v>
      </c>
      <c r="Z215" s="26" t="n">
        <v>-144</v>
      </c>
      <c r="AA215" s="28" t="n">
        <v>0.59</v>
      </c>
      <c r="AB215" s="28" t="n">
        <v>-0.000164</v>
      </c>
      <c r="AC215" s="30" t="n">
        <v>0</v>
      </c>
      <c r="AD215" s="24" t="inlineStr">
        <is>
          <t>2026-08-06T18:54:03.977241Z</t>
        </is>
      </c>
      <c r="AE215" s="31" t="inlineStr">
        <is>
          <t>Measured Edge Margin: Trend Engine projected 4.74-4.57; raw selected-side p=0.6868, calibrated p=0.6273.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NO_CALL_WINNER_OVERVALUED</t>
        </is>
      </c>
      <c r="AP215" s="24" t="inlineStr">
        <is>
          <t>mlb-stl</t>
        </is>
      </c>
      <c r="AQ215" s="24" t="inlineStr">
        <is>
          <t>St. Louis Cardinals</t>
        </is>
      </c>
      <c r="AR215" s="24" t="inlineStr">
        <is>
          <t>St. Louis Cardinals</t>
        </is>
      </c>
      <c r="AS215" s="24" t="inlineStr">
        <is>
          <t>mlb-nyy</t>
        </is>
      </c>
      <c r="AT215" s="24" t="inlineStr">
        <is>
          <t>New York Yankees</t>
        </is>
      </c>
      <c r="AU215" s="24" t="inlineStr">
        <is>
          <t>New York Yankees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dd339a2eed50d7d83ab2127837995ddab82e879afd27f5414bb6c1f9cd60ba4c</t>
        </is>
      </c>
      <c r="BB215" s="24" t="inlineStr">
        <is>
          <t>flat_probability_shrinkage_toward_half</t>
        </is>
      </c>
      <c r="BC215" s="24" t="inlineStr">
        <is>
          <t>measured-edge-margin-v3</t>
        </is>
      </c>
      <c r="BD215" s="24" t="inlineStr">
        <is>
          <t>dd339a2eed50d7d83ab2127837995ddab82e879afd27f5414bb6c1f9cd60ba4c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2026-08-05T21:01:36.734850Z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-144</v>
      </c>
      <c r="BL215" s="27" t="n">
        <v>1.694444</v>
      </c>
      <c r="BM215" s="28" t="n">
        <v>0.590164</v>
      </c>
      <c r="BN215" s="28" t="n">
        <v>0.5870649999999999</v>
      </c>
      <c r="BO215" s="28" t="n"/>
      <c r="BP215" s="25" t="n"/>
      <c r="BQ215" s="27" t="n">
        <v>1.694444</v>
      </c>
      <c r="BR215" s="28" t="n">
        <v>0.59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</row>
    <row r="216" ht="36" customHeight="1">
      <c r="A216" s="24" t="inlineStr">
        <is>
          <t>0348f0e490244675</t>
        </is>
      </c>
      <c r="B216" s="24" t="inlineStr">
        <is>
          <t>2026-08-05T21:01:36.734850Z</t>
        </is>
      </c>
      <c r="C216" s="24" t="inlineStr">
        <is>
          <t>2026-08-05T23:05Z</t>
        </is>
      </c>
      <c r="D216" s="24" t="inlineStr">
        <is>
          <t>401816404</t>
        </is>
      </c>
      <c r="E216" s="24" t="inlineStr">
        <is>
          <t>MLB</t>
        </is>
      </c>
      <c r="F216" s="24" t="inlineStr">
        <is>
          <t>St. Louis Cardinals</t>
        </is>
      </c>
      <c r="G216" s="24" t="inlineStr">
        <is>
          <t>New York Yankees</t>
        </is>
      </c>
      <c r="H216" s="24" t="inlineStr">
        <is>
          <t>total</t>
        </is>
      </c>
      <c r="I216" s="24" t="inlineStr">
        <is>
          <t>over</t>
        </is>
      </c>
      <c r="J216" s="25" t="n">
        <v>8.5</v>
      </c>
      <c r="K216" s="24" t="inlineStr">
        <is>
          <t>polymarket_us</t>
        </is>
      </c>
      <c r="L216" s="26" t="n">
        <v>108</v>
      </c>
      <c r="M216" s="27" t="n">
        <v>2.08</v>
      </c>
      <c r="N216" s="28" t="n">
        <v>0.480769</v>
      </c>
      <c r="O216" s="28" t="n">
        <v>0.51745</v>
      </c>
      <c r="P216" s="28" t="n">
        <v>0.042131</v>
      </c>
      <c r="Q216" s="28" t="n">
        <v>0.036681</v>
      </c>
      <c r="R216" s="26" t="n">
        <v>45</v>
      </c>
      <c r="S216" s="29" t="n">
        <v>0</v>
      </c>
      <c r="T216" s="24" t="inlineStr">
        <is>
          <t>measured-edge-totals-v3</t>
        </is>
      </c>
      <c r="U216" s="24" t="inlineStr">
        <is>
          <t>settled</t>
        </is>
      </c>
      <c r="V216" s="24" t="inlineStr">
        <is>
          <t>loss</t>
        </is>
      </c>
      <c r="W216" s="26" t="n">
        <v>3</v>
      </c>
      <c r="X216" s="26" t="n">
        <v>1</v>
      </c>
      <c r="Y216" s="25" t="n">
        <v>8.5</v>
      </c>
      <c r="Z216" s="26" t="n">
        <v>108</v>
      </c>
      <c r="AA216" s="28" t="n">
        <v>0.48</v>
      </c>
      <c r="AB216" s="28" t="n">
        <v>-0.000769</v>
      </c>
      <c r="AC216" s="30" t="n">
        <v>0</v>
      </c>
      <c r="AD216" s="24" t="inlineStr">
        <is>
          <t>2026-08-06T18:54:05.977213Z</t>
        </is>
      </c>
      <c r="AE216" s="31" t="inlineStr">
        <is>
          <t>Measured Edge Totals: Trend Engine projected 4.74-4.57; raw selected-side p=0.5469, calibrated p=0.5174.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NO_CALL_WINNER_OVERVALUED</t>
        </is>
      </c>
      <c r="AP216" s="24" t="inlineStr">
        <is>
          <t>mlb-stl</t>
        </is>
      </c>
      <c r="AQ216" s="24" t="inlineStr">
        <is>
          <t>St. Louis Cardinals</t>
        </is>
      </c>
      <c r="AR216" s="24" t="inlineStr">
        <is>
          <t>St. Louis Cardinals</t>
        </is>
      </c>
      <c r="AS216" s="24" t="inlineStr">
        <is>
          <t>mlb-nyy</t>
        </is>
      </c>
      <c r="AT216" s="24" t="inlineStr">
        <is>
          <t>New York Yankees</t>
        </is>
      </c>
      <c r="AU216" s="24" t="inlineStr">
        <is>
          <t>New York Yankees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95b84332c75d2ce54036eb8de6ada9c78d0f80228c50825c0347281a8b9b49c7</t>
        </is>
      </c>
      <c r="BB216" s="24" t="inlineStr">
        <is>
          <t>flat_probability_shrinkage_toward_half</t>
        </is>
      </c>
      <c r="BC216" s="24" t="inlineStr">
        <is>
          <t>measured-edge-totals-v3</t>
        </is>
      </c>
      <c r="BD216" s="24" t="inlineStr">
        <is>
          <t>95b84332c75d2ce54036eb8de6ada9c78d0f80228c50825c0347281a8b9b49c7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2026-08-05T21:01:36.734850Z</t>
        </is>
      </c>
      <c r="BI216" s="24" t="inlineStr">
        <is>
          <t>["same_event","same_team_same_day","same_league_same_day"]</t>
        </is>
      </c>
      <c r="BJ216" s="25" t="n">
        <v>8.5</v>
      </c>
      <c r="BK216" s="26" t="n">
        <v>108</v>
      </c>
      <c r="BL216" s="27" t="n">
        <v>2.08</v>
      </c>
      <c r="BM216" s="28" t="n">
        <v>0.480769</v>
      </c>
      <c r="BN216" s="28" t="n">
        <v>0.477612</v>
      </c>
      <c r="BO216" s="28" t="n"/>
      <c r="BP216" s="25" t="n"/>
      <c r="BQ216" s="27" t="n">
        <v>2.08</v>
      </c>
      <c r="BR216" s="28" t="n">
        <v>0.48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29b6bf8fe7074efd</t>
        </is>
      </c>
      <c r="B217" s="24" t="inlineStr">
        <is>
          <t>2026-08-05T21:01:36.734850Z</t>
        </is>
      </c>
      <c r="C217" s="24" t="inlineStr">
        <is>
          <t>2026-08-05T23:10Z</t>
        </is>
      </c>
      <c r="D217" s="24" t="inlineStr">
        <is>
          <t>401816401</t>
        </is>
      </c>
      <c r="E217" s="24" t="inlineStr">
        <is>
          <t>MLB</t>
        </is>
      </c>
      <c r="F217" s="24" t="inlineStr">
        <is>
          <t>Chicago White Sox</t>
        </is>
      </c>
      <c r="G217" s="24" t="inlineStr">
        <is>
          <t>Boston Red Sox</t>
        </is>
      </c>
      <c r="H217" s="24" t="inlineStr">
        <is>
          <t>spread</t>
        </is>
      </c>
      <c r="I217" s="24" t="inlineStr">
        <is>
          <t>away</t>
        </is>
      </c>
      <c r="J217" s="25" t="n">
        <v>1.5</v>
      </c>
      <c r="K217" s="24" t="inlineStr">
        <is>
          <t>polymarket_us</t>
        </is>
      </c>
      <c r="L217" s="26" t="n">
        <v>-160</v>
      </c>
      <c r="M217" s="27" t="n">
        <v>1.625</v>
      </c>
      <c r="N217" s="28" t="n">
        <v>0.615385</v>
      </c>
      <c r="O217" s="28" t="n">
        <v>0.636723</v>
      </c>
      <c r="P217" s="28" t="n">
        <v>0.042131</v>
      </c>
      <c r="Q217" s="28" t="n">
        <v>0.021338</v>
      </c>
      <c r="R217" s="26" t="n">
        <v>37</v>
      </c>
      <c r="S217" s="29" t="n">
        <v>0</v>
      </c>
      <c r="T217" s="24" t="inlineStr">
        <is>
          <t>measured-edge-margin-v3</t>
        </is>
      </c>
      <c r="U217" s="24" t="inlineStr">
        <is>
          <t>settled</t>
        </is>
      </c>
      <c r="V217" s="24" t="inlineStr">
        <is>
          <t>loss</t>
        </is>
      </c>
      <c r="W217" s="26" t="n">
        <v>0</v>
      </c>
      <c r="X217" s="26" t="n">
        <v>4</v>
      </c>
      <c r="Y217" s="25" t="n">
        <v>1.5</v>
      </c>
      <c r="Z217" s="26" t="n">
        <v>-160</v>
      </c>
      <c r="AA217" s="28" t="n">
        <v>0.615</v>
      </c>
      <c r="AB217" s="28" t="n">
        <v>-0.000385</v>
      </c>
      <c r="AC217" s="30" t="n">
        <v>0</v>
      </c>
      <c r="AD217" s="24" t="inlineStr">
        <is>
          <t>2026-08-06T03:26:13.196553Z</t>
        </is>
      </c>
      <c r="AE217" s="31" t="inlineStr">
        <is>
          <t>Measured Edge Margin: Trend Engine projected 4.13-3.98; raw selected-side p=0.7006, calibrated p=0.6367.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NO_CALL_WINNER_OVERVALUED</t>
        </is>
      </c>
      <c r="AP217" s="24" t="inlineStr">
        <is>
          <t>mlb-cws</t>
        </is>
      </c>
      <c r="AQ217" s="24" t="inlineStr">
        <is>
          <t>Chicago White Sox</t>
        </is>
      </c>
      <c r="AR217" s="24" t="inlineStr">
        <is>
          <t>Chicago White Sox</t>
        </is>
      </c>
      <c r="AS217" s="24" t="inlineStr">
        <is>
          <t>mlb-bos</t>
        </is>
      </c>
      <c r="AT217" s="24" t="inlineStr">
        <is>
          <t>Boston Red Sox</t>
        </is>
      </c>
      <c r="AU217" s="24" t="inlineStr">
        <is>
          <t>Boston Red Sox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dd339a2eed50d7d83ab2127837995ddab82e879afd27f5414bb6c1f9cd60ba4c</t>
        </is>
      </c>
      <c r="BB217" s="24" t="inlineStr">
        <is>
          <t>flat_probability_shrinkage_toward_half</t>
        </is>
      </c>
      <c r="BC217" s="24" t="inlineStr">
        <is>
          <t>measured-edge-margin-v3</t>
        </is>
      </c>
      <c r="BD217" s="24" t="inlineStr">
        <is>
          <t>dd339a2eed50d7d83ab2127837995ddab82e879afd27f5414bb6c1f9cd60ba4c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2026-08-05T21:01:36.734850Z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-160</v>
      </c>
      <c r="BL217" s="27" t="n">
        <v>1.625</v>
      </c>
      <c r="BM217" s="28" t="n">
        <v>0.615385</v>
      </c>
      <c r="BN217" s="28" t="n">
        <v>0.61194</v>
      </c>
      <c r="BO217" s="28" t="n"/>
      <c r="BP217" s="25" t="n"/>
      <c r="BQ217" s="27" t="n">
        <v>1.625</v>
      </c>
      <c r="BR217" s="28" t="n">
        <v>0.615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</row>
    <row r="218" ht="36" customHeight="1">
      <c r="A218" s="24" t="inlineStr">
        <is>
          <t>a0ca5f9159074208</t>
        </is>
      </c>
      <c r="B218" s="24" t="inlineStr">
        <is>
          <t>2026-08-05T21:01:36.734850Z</t>
        </is>
      </c>
      <c r="C218" s="24" t="inlineStr">
        <is>
          <t>2026-08-05T23:10Z</t>
        </is>
      </c>
      <c r="D218" s="24" t="inlineStr">
        <is>
          <t>401816401</t>
        </is>
      </c>
      <c r="E218" s="24" t="inlineStr">
        <is>
          <t>MLB</t>
        </is>
      </c>
      <c r="F218" s="24" t="inlineStr">
        <is>
          <t>Chicago White Sox</t>
        </is>
      </c>
      <c r="G218" s="24" t="inlineStr">
        <is>
          <t>Boston Red Sox</t>
        </is>
      </c>
      <c r="H218" s="24" t="inlineStr">
        <is>
          <t>total</t>
        </is>
      </c>
      <c r="I218" s="24" t="inlineStr">
        <is>
          <t>under</t>
        </is>
      </c>
      <c r="J218" s="25" t="n">
        <v>8.5</v>
      </c>
      <c r="K218" s="24" t="inlineStr">
        <is>
          <t>polymarket_us</t>
        </is>
      </c>
      <c r="L218" s="26" t="n">
        <v>-111</v>
      </c>
      <c r="M218" s="27" t="n">
        <v>1.900901</v>
      </c>
      <c r="N218" s="28" t="n">
        <v>0.526066</v>
      </c>
      <c r="O218" s="28" t="n">
        <v>0.521412</v>
      </c>
      <c r="P218" s="28" t="n">
        <v>0.042131</v>
      </c>
      <c r="Q218" s="28" t="n">
        <v>-0.004654</v>
      </c>
      <c r="R218" s="26" t="n">
        <v>24</v>
      </c>
      <c r="S218" s="29" t="n">
        <v>0</v>
      </c>
      <c r="T218" s="24" t="inlineStr">
        <is>
          <t>measured-edge-totals-v3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4</v>
      </c>
      <c r="Y218" s="25" t="n">
        <v>8.5</v>
      </c>
      <c r="Z218" s="26" t="n">
        <v>-111</v>
      </c>
      <c r="AA218" s="28" t="n">
        <v>0.525</v>
      </c>
      <c r="AB218" s="28" t="n">
        <v>-0.001066</v>
      </c>
      <c r="AC218" s="30" t="n">
        <v>0</v>
      </c>
      <c r="AD218" s="24" t="inlineStr">
        <is>
          <t>2026-08-06T03:26:15.021246Z</t>
        </is>
      </c>
      <c r="AE218" s="31" t="inlineStr">
        <is>
          <t>Measured Edge Totals: Trend Engine projected 4.13-3.98; raw selected-side p=0.5628, calibrated p=0.5214.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NO_CALL_WINNER_OVERVALUED</t>
        </is>
      </c>
      <c r="AP218" s="24" t="inlineStr">
        <is>
          <t>mlb-cws</t>
        </is>
      </c>
      <c r="AQ218" s="24" t="inlineStr">
        <is>
          <t>Chicago White Sox</t>
        </is>
      </c>
      <c r="AR218" s="24" t="inlineStr">
        <is>
          <t>Chicago White Sox</t>
        </is>
      </c>
      <c r="AS218" s="24" t="inlineStr">
        <is>
          <t>mlb-bos</t>
        </is>
      </c>
      <c r="AT218" s="24" t="inlineStr">
        <is>
          <t>Boston Red Sox</t>
        </is>
      </c>
      <c r="AU218" s="24" t="inlineStr">
        <is>
          <t>Boston Red Sox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95b84332c75d2ce54036eb8de6ada9c78d0f80228c50825c0347281a8b9b49c7</t>
        </is>
      </c>
      <c r="BB218" s="24" t="inlineStr">
        <is>
          <t>flat_probability_shrinkage_toward_half</t>
        </is>
      </c>
      <c r="BC218" s="24" t="inlineStr">
        <is>
          <t>measured-edge-totals-v3</t>
        </is>
      </c>
      <c r="BD218" s="24" t="inlineStr">
        <is>
          <t>95b84332c75d2ce54036eb8de6ada9c78d0f80228c50825c0347281a8b9b49c7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2026-08-05T21:01:36.734850Z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-111</v>
      </c>
      <c r="BL218" s="27" t="n">
        <v>1.900901</v>
      </c>
      <c r="BM218" s="28" t="n">
        <v>0.526066</v>
      </c>
      <c r="BN218" s="28" t="n">
        <v>0.522388</v>
      </c>
      <c r="BO218" s="28" t="n"/>
      <c r="BP218" s="25" t="n"/>
      <c r="BQ218" s="27" t="n">
        <v>1.900901</v>
      </c>
      <c r="BR218" s="28" t="n">
        <v>0.525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</row>
    <row r="219" ht="36" customHeight="1">
      <c r="A219" s="24" t="inlineStr">
        <is>
          <t>55d1953eb04b4b40</t>
        </is>
      </c>
      <c r="B219" s="24" t="inlineStr">
        <is>
          <t>2026-08-05T21:01:36.734850Z</t>
        </is>
      </c>
      <c r="C219" s="24" t="inlineStr">
        <is>
          <t>2026-08-05T23:15Z</t>
        </is>
      </c>
      <c r="D219" s="24" t="inlineStr">
        <is>
          <t>401816402</t>
        </is>
      </c>
      <c r="E219" s="24" t="inlineStr">
        <is>
          <t>MLB</t>
        </is>
      </c>
      <c r="F219" s="24" t="inlineStr">
        <is>
          <t>Miami Marlins</t>
        </is>
      </c>
      <c r="G219" s="24" t="inlineStr">
        <is>
          <t>Atlanta Braves</t>
        </is>
      </c>
      <c r="H219" s="24" t="inlineStr">
        <is>
          <t>spread</t>
        </is>
      </c>
      <c r="I219" s="24" t="inlineStr">
        <is>
          <t>away</t>
        </is>
      </c>
      <c r="J219" s="25" t="n">
        <v>1.5</v>
      </c>
      <c r="K219" s="24" t="inlineStr">
        <is>
          <t>polymarket_us</t>
        </is>
      </c>
      <c r="L219" s="26" t="n">
        <v>-174</v>
      </c>
      <c r="M219" s="27" t="n">
        <v>1.574713</v>
      </c>
      <c r="N219" s="28" t="n">
        <v>0.635036</v>
      </c>
      <c r="O219" s="28" t="n">
        <v>0.638869</v>
      </c>
      <c r="P219" s="28" t="n">
        <v>0.042131</v>
      </c>
      <c r="Q219" s="28" t="n">
        <v>0.003833</v>
      </c>
      <c r="R219" s="26" t="n">
        <v>28</v>
      </c>
      <c r="S219" s="29" t="n">
        <v>0</v>
      </c>
      <c r="T219" s="24" t="inlineStr">
        <is>
          <t>measured-edge-margin-v3</t>
        </is>
      </c>
      <c r="U219" s="24" t="inlineStr">
        <is>
          <t>settled</t>
        </is>
      </c>
      <c r="V219" s="24" t="inlineStr">
        <is>
          <t>loss</t>
        </is>
      </c>
      <c r="W219" s="26" t="n">
        <v>1</v>
      </c>
      <c r="X219" s="26" t="n">
        <v>4</v>
      </c>
      <c r="Y219" s="25" t="n">
        <v>1.5</v>
      </c>
      <c r="Z219" s="26" t="n">
        <v>-174</v>
      </c>
      <c r="AA219" s="28" t="n">
        <v>0.635</v>
      </c>
      <c r="AB219" s="28" t="n">
        <v>-3.6e-05</v>
      </c>
      <c r="AC219" s="30" t="n">
        <v>0</v>
      </c>
      <c r="AD219" s="24" t="inlineStr">
        <is>
          <t>2026-08-06T03:26:16.908637Z</t>
        </is>
      </c>
      <c r="AE219" s="31" t="inlineStr">
        <is>
          <t>Measured Edge Margin: Trend Engine projected 4.38-4.11; raw selected-side p=0.7038, calibrated p=0.6389.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NO_CALL_WINNER_OVERVALUED</t>
        </is>
      </c>
      <c r="AP219" s="24" t="inlineStr">
        <is>
          <t>mlb-mia</t>
        </is>
      </c>
      <c r="AQ219" s="24" t="inlineStr">
        <is>
          <t>Miami Marlins</t>
        </is>
      </c>
      <c r="AR219" s="24" t="inlineStr">
        <is>
          <t>Miami Marlins</t>
        </is>
      </c>
      <c r="AS219" s="24" t="inlineStr">
        <is>
          <t>mlb-atl</t>
        </is>
      </c>
      <c r="AT219" s="24" t="inlineStr">
        <is>
          <t>Atlanta Braves</t>
        </is>
      </c>
      <c r="AU219" s="24" t="inlineStr">
        <is>
          <t>Atlanta Braves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dd339a2eed50d7d83ab2127837995ddab82e879afd27f5414bb6c1f9cd60ba4c</t>
        </is>
      </c>
      <c r="BB219" s="24" t="inlineStr">
        <is>
          <t>flat_probability_shrinkage_toward_half</t>
        </is>
      </c>
      <c r="BC219" s="24" t="inlineStr">
        <is>
          <t>measured-edge-margin-v3</t>
        </is>
      </c>
      <c r="BD219" s="24" t="inlineStr">
        <is>
          <t>dd339a2eed50d7d83ab2127837995ddab82e879afd27f5414bb6c1f9cd60ba4c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2026-08-05T21:01:36.734850Z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-174</v>
      </c>
      <c r="BL219" s="27" t="n">
        <v>1.574713</v>
      </c>
      <c r="BM219" s="28" t="n">
        <v>0.635036</v>
      </c>
      <c r="BN219" s="28" t="n">
        <v>0.631841</v>
      </c>
      <c r="BO219" s="28" t="n"/>
      <c r="BP219" s="25" t="n"/>
      <c r="BQ219" s="27" t="n">
        <v>1.574713</v>
      </c>
      <c r="BR219" s="28" t="n">
        <v>0.635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945a3953e71347bb</t>
        </is>
      </c>
      <c r="B220" s="24" t="inlineStr">
        <is>
          <t>2026-08-05T21:01:36.734850Z</t>
        </is>
      </c>
      <c r="C220" s="24" t="inlineStr">
        <is>
          <t>2026-08-05T23:15Z</t>
        </is>
      </c>
      <c r="D220" s="24" t="inlineStr">
        <is>
          <t>401816402</t>
        </is>
      </c>
      <c r="E220" s="24" t="inlineStr">
        <is>
          <t>MLB</t>
        </is>
      </c>
      <c r="F220" s="24" t="inlineStr">
        <is>
          <t>Miami Marlins</t>
        </is>
      </c>
      <c r="G220" s="24" t="inlineStr">
        <is>
          <t>Atlanta Braves</t>
        </is>
      </c>
      <c r="H220" s="24" t="inlineStr">
        <is>
          <t>total</t>
        </is>
      </c>
      <c r="I220" s="24" t="inlineStr">
        <is>
          <t>under</t>
        </is>
      </c>
      <c r="J220" s="25" t="n">
        <v>8.5</v>
      </c>
      <c r="K220" s="24" t="inlineStr">
        <is>
          <t>polymarket_us</t>
        </is>
      </c>
      <c r="L220" s="26" t="n">
        <v>-108</v>
      </c>
      <c r="M220" s="27" t="n">
        <v>1.925926</v>
      </c>
      <c r="N220" s="28" t="n">
        <v>0.519231</v>
      </c>
      <c r="O220" s="28" t="n">
        <v>0.512892</v>
      </c>
      <c r="P220" s="28" t="n">
        <v>0.042131</v>
      </c>
      <c r="Q220" s="28" t="n">
        <v>-0.006339</v>
      </c>
      <c r="R220" s="26" t="n">
        <v>22</v>
      </c>
      <c r="S220" s="29" t="n">
        <v>0</v>
      </c>
      <c r="T220" s="24" t="inlineStr">
        <is>
          <t>measured-edge-totals-v3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4</v>
      </c>
      <c r="Y220" s="25" t="n">
        <v>8.5</v>
      </c>
      <c r="Z220" s="26" t="n">
        <v>-108</v>
      </c>
      <c r="AA220" s="28" t="n">
        <v>0.52</v>
      </c>
      <c r="AB220" s="28" t="n">
        <v>0.000769</v>
      </c>
      <c r="AC220" s="30" t="n">
        <v>0</v>
      </c>
      <c r="AD220" s="24" t="inlineStr">
        <is>
          <t>2026-08-06T03:26:18.715781Z</t>
        </is>
      </c>
      <c r="AE220" s="31" t="inlineStr">
        <is>
          <t>Measured Edge Totals: Trend Engine projected 4.38-4.11; raw selected-side p=0.5285, calibrated p=0.5129.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NO_CALL_WINNER_OVERVALUED</t>
        </is>
      </c>
      <c r="AP220" s="24" t="inlineStr">
        <is>
          <t>mlb-mia</t>
        </is>
      </c>
      <c r="AQ220" s="24" t="inlineStr">
        <is>
          <t>Miami Marlins</t>
        </is>
      </c>
      <c r="AR220" s="24" t="inlineStr">
        <is>
          <t>Miami Marlins</t>
        </is>
      </c>
      <c r="AS220" s="24" t="inlineStr">
        <is>
          <t>mlb-atl</t>
        </is>
      </c>
      <c r="AT220" s="24" t="inlineStr">
        <is>
          <t>Atlanta Braves</t>
        </is>
      </c>
      <c r="AU220" s="24" t="inlineStr">
        <is>
          <t>Atlanta Braves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95b84332c75d2ce54036eb8de6ada9c78d0f80228c50825c0347281a8b9b49c7</t>
        </is>
      </c>
      <c r="BB220" s="24" t="inlineStr">
        <is>
          <t>flat_probability_shrinkage_toward_half</t>
        </is>
      </c>
      <c r="BC220" s="24" t="inlineStr">
        <is>
          <t>measured-edge-totals-v3</t>
        </is>
      </c>
      <c r="BD220" s="24" t="inlineStr">
        <is>
          <t>95b84332c75d2ce54036eb8de6ada9c78d0f80228c50825c0347281a8b9b49c7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2026-08-05T21:01:36.734850Z</t>
        </is>
      </c>
      <c r="BI220" s="24" t="inlineStr">
        <is>
          <t>["same_event","same_team_same_day","same_league_same_day"]</t>
        </is>
      </c>
      <c r="BJ220" s="25" t="n">
        <v>8.5</v>
      </c>
      <c r="BK220" s="26" t="n">
        <v>-108</v>
      </c>
      <c r="BL220" s="27" t="n">
        <v>1.925926</v>
      </c>
      <c r="BM220" s="28" t="n">
        <v>0.519231</v>
      </c>
      <c r="BN220" s="28" t="n">
        <v>0.517413</v>
      </c>
      <c r="BO220" s="28" t="n"/>
      <c r="BP220" s="25" t="n"/>
      <c r="BQ220" s="27" t="n">
        <v>1.925926</v>
      </c>
      <c r="BR220" s="28" t="n">
        <v>0.52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8402383065c24989</t>
        </is>
      </c>
      <c r="B221" s="24" t="inlineStr">
        <is>
          <t>2026-08-05T21:01:36.734850Z</t>
        </is>
      </c>
      <c r="C221" s="24" t="inlineStr">
        <is>
          <t>2026-08-05T23:30Z</t>
        </is>
      </c>
      <c r="D221" s="24" t="inlineStr">
        <is>
          <t>401816408</t>
        </is>
      </c>
      <c r="E221" s="24" t="inlineStr">
        <is>
          <t>MLB</t>
        </is>
      </c>
      <c r="F221" s="24" t="inlineStr">
        <is>
          <t>Pittsburgh Pirates</t>
        </is>
      </c>
      <c r="G221" s="24" t="inlineStr">
        <is>
          <t>Milwaukee Brewers</t>
        </is>
      </c>
      <c r="H221" s="24" t="inlineStr">
        <is>
          <t>spread</t>
        </is>
      </c>
      <c r="I221" s="24" t="inlineStr">
        <is>
          <t>home</t>
        </is>
      </c>
      <c r="J221" s="25" t="n">
        <v>-1.5</v>
      </c>
      <c r="K221" s="24" t="inlineStr">
        <is>
          <t>polymarket_us</t>
        </is>
      </c>
      <c r="L221" s="26" t="n">
        <v>178</v>
      </c>
      <c r="M221" s="27" t="n">
        <v>2.78</v>
      </c>
      <c r="N221" s="28" t="n">
        <v>0.359712</v>
      </c>
      <c r="O221" s="28" t="n">
        <v>0.409646</v>
      </c>
      <c r="P221" s="28" t="n">
        <v>0.042131</v>
      </c>
      <c r="Q221" s="28" t="n">
        <v>0.049934</v>
      </c>
      <c r="R221" s="26" t="n">
        <v>50</v>
      </c>
      <c r="S221" s="29" t="n">
        <v>0</v>
      </c>
      <c r="T221" s="24" t="inlineStr">
        <is>
          <t>measured-edge-margin-v3</t>
        </is>
      </c>
      <c r="U221" s="24" t="inlineStr">
        <is>
          <t>settled</t>
        </is>
      </c>
      <c r="V221" s="24" t="inlineStr">
        <is>
          <t>win</t>
        </is>
      </c>
      <c r="W221" s="26" t="n">
        <v>2</v>
      </c>
      <c r="X221" s="26" t="n">
        <v>4</v>
      </c>
      <c r="Y221" s="25" t="n">
        <v>-1.5</v>
      </c>
      <c r="Z221" s="26" t="n">
        <v>178</v>
      </c>
      <c r="AA221" s="28" t="n">
        <v>0.36</v>
      </c>
      <c r="AB221" s="28" t="n">
        <v>0.000288</v>
      </c>
      <c r="AC221" s="30" t="n">
        <v>0</v>
      </c>
      <c r="AD221" s="24" t="inlineStr">
        <is>
          <t>2026-08-06T03:26:20.524928Z</t>
        </is>
      </c>
      <c r="AE221" s="31" t="inlineStr">
        <is>
          <t>Measured Edge Margin: Trend Engine projected 4.27-4.68; raw selected-side p=0.3674, calibrated p=0.4096.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NO_CALL_WINNER_OVERVALUED</t>
        </is>
      </c>
      <c r="AP221" s="24" t="inlineStr">
        <is>
          <t>mlb-pit</t>
        </is>
      </c>
      <c r="AQ221" s="24" t="inlineStr">
        <is>
          <t>Pittsburgh Pirates</t>
        </is>
      </c>
      <c r="AR221" s="24" t="inlineStr">
        <is>
          <t>Pittsburgh Pirates</t>
        </is>
      </c>
      <c r="AS221" s="24" t="inlineStr">
        <is>
          <t>mlb-mil</t>
        </is>
      </c>
      <c r="AT221" s="24" t="inlineStr">
        <is>
          <t>Milwaukee Brewers</t>
        </is>
      </c>
      <c r="AU221" s="24" t="inlineStr">
        <is>
          <t>Milwaukee Brewers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dd339a2eed50d7d83ab2127837995ddab82e879afd27f5414bb6c1f9cd60ba4c</t>
        </is>
      </c>
      <c r="BB221" s="24" t="inlineStr">
        <is>
          <t>flat_probability_shrinkage_toward_half</t>
        </is>
      </c>
      <c r="BC221" s="24" t="inlineStr">
        <is>
          <t>measured-edge-margin-v3</t>
        </is>
      </c>
      <c r="BD221" s="24" t="inlineStr">
        <is>
          <t>dd339a2eed50d7d83ab2127837995ddab82e879afd27f5414bb6c1f9cd60ba4c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2026-08-05T21:01:36.734850Z</t>
        </is>
      </c>
      <c r="BI221" s="24" t="inlineStr">
        <is>
          <t>["same_event","same_team_same_day","same_league_same_day"]</t>
        </is>
      </c>
      <c r="BJ221" s="25" t="n">
        <v>-1.5</v>
      </c>
      <c r="BK221" s="26" t="n">
        <v>178</v>
      </c>
      <c r="BL221" s="27" t="n">
        <v>2.78</v>
      </c>
      <c r="BM221" s="28" t="n">
        <v>0.359712</v>
      </c>
      <c r="BN221" s="28" t="n">
        <v>0.358209</v>
      </c>
      <c r="BO221" s="28" t="n"/>
      <c r="BP221" s="25" t="n"/>
      <c r="BQ221" s="27" t="n">
        <v>2.78</v>
      </c>
      <c r="BR221" s="28" t="n">
        <v>0.36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</row>
    <row r="222" ht="36" customHeight="1">
      <c r="A222" s="24" t="inlineStr">
        <is>
          <t>9ffad4fd12164465</t>
        </is>
      </c>
      <c r="B222" s="24" t="inlineStr">
        <is>
          <t>2026-08-05T21:01:36.734850Z</t>
        </is>
      </c>
      <c r="C222" s="24" t="inlineStr">
        <is>
          <t>2026-08-05T23:30Z</t>
        </is>
      </c>
      <c r="D222" s="24" t="inlineStr">
        <is>
          <t>401816408</t>
        </is>
      </c>
      <c r="E222" s="24" t="inlineStr">
        <is>
          <t>MLB</t>
        </is>
      </c>
      <c r="F222" s="24" t="inlineStr">
        <is>
          <t>Pittsburgh Pirates</t>
        </is>
      </c>
      <c r="G222" s="24" t="inlineStr">
        <is>
          <t>Milwaukee Brewers</t>
        </is>
      </c>
      <c r="H222" s="24" t="inlineStr">
        <is>
          <t>total</t>
        </is>
      </c>
      <c r="I222" s="24" t="inlineStr">
        <is>
          <t>over</t>
        </is>
      </c>
      <c r="J222" s="25" t="n">
        <v>7.5</v>
      </c>
      <c r="K222" s="24" t="inlineStr">
        <is>
          <t>polymarket_us</t>
        </is>
      </c>
      <c r="L222" s="26" t="n">
        <v>127</v>
      </c>
      <c r="M222" s="27" t="n">
        <v>2.27</v>
      </c>
      <c r="N222" s="28" t="n">
        <v>0.440529</v>
      </c>
      <c r="O222" s="28" t="n">
        <v>0.527212</v>
      </c>
      <c r="P222" s="28" t="n">
        <v>0.042131</v>
      </c>
      <c r="Q222" s="28" t="n">
        <v>0.086683</v>
      </c>
      <c r="R222" s="26" t="n">
        <v>69</v>
      </c>
      <c r="S222" s="29" t="n">
        <v>1</v>
      </c>
      <c r="T222" s="24" t="inlineStr">
        <is>
          <t>measured-edge-totals-v3</t>
        </is>
      </c>
      <c r="U222" s="24" t="inlineStr">
        <is>
          <t>settled</t>
        </is>
      </c>
      <c r="V222" s="24" t="inlineStr">
        <is>
          <t>loss</t>
        </is>
      </c>
      <c r="W222" s="26" t="n">
        <v>2</v>
      </c>
      <c r="X222" s="26" t="n">
        <v>4</v>
      </c>
      <c r="Y222" s="25" t="n">
        <v>7.5</v>
      </c>
      <c r="Z222" s="26" t="n">
        <v>127</v>
      </c>
      <c r="AA222" s="28" t="n">
        <v>0.44</v>
      </c>
      <c r="AB222" s="28" t="n">
        <v>-0.000529</v>
      </c>
      <c r="AC222" s="30" t="n">
        <v>-1</v>
      </c>
      <c r="AD222" s="24" t="inlineStr">
        <is>
          <t>2026-08-06T03:26:22.402221Z</t>
        </is>
      </c>
      <c r="AE222" s="31" t="inlineStr">
        <is>
          <t>Measured Edge Totals: Trend Engine projected 4.27-4.68; raw selected-side p=0.5862, calibrated p=0.5272.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mlb-pit</t>
        </is>
      </c>
      <c r="AQ222" s="24" t="inlineStr">
        <is>
          <t>Pittsburgh Pirates</t>
        </is>
      </c>
      <c r="AR222" s="24" t="inlineStr">
        <is>
          <t>Pittsburgh Pirates</t>
        </is>
      </c>
      <c r="AS222" s="24" t="inlineStr">
        <is>
          <t>mlb-mil</t>
        </is>
      </c>
      <c r="AT222" s="24" t="inlineStr">
        <is>
          <t>Milwaukee Brewers</t>
        </is>
      </c>
      <c r="AU222" s="24" t="inlineStr">
        <is>
          <t>Milwaukee Brewers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95b84332c75d2ce54036eb8de6ada9c78d0f80228c50825c0347281a8b9b49c7</t>
        </is>
      </c>
      <c r="BB222" s="24" t="inlineStr">
        <is>
          <t>flat_probability_shrinkage_toward_half</t>
        </is>
      </c>
      <c r="BC222" s="24" t="inlineStr">
        <is>
          <t>measured-edge-totals-v3</t>
        </is>
      </c>
      <c r="BD222" s="24" t="inlineStr">
        <is>
          <t>95b84332c75d2ce54036eb8de6ada9c78d0f80228c50825c0347281a8b9b49c7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2026-08-05T21:01:36.734850Z</t>
        </is>
      </c>
      <c r="BI222" s="24" t="inlineStr">
        <is>
          <t>["same_event","same_team_same_day","same_league_same_day"]</t>
        </is>
      </c>
      <c r="BJ222" s="25" t="n">
        <v>7.5</v>
      </c>
      <c r="BK222" s="26" t="n">
        <v>127</v>
      </c>
      <c r="BL222" s="27" t="n">
        <v>2.27</v>
      </c>
      <c r="BM222" s="28" t="n">
        <v>0.440529</v>
      </c>
      <c r="BN222" s="28" t="n">
        <v>0.437811</v>
      </c>
      <c r="BO222" s="28" t="n"/>
      <c r="BP222" s="25" t="n"/>
      <c r="BQ222" s="27" t="n">
        <v>2.27</v>
      </c>
      <c r="BR222" s="28" t="n">
        <v>0.44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</row>
    <row r="223" ht="36" customHeight="1">
      <c r="A223" s="24" t="inlineStr">
        <is>
          <t>97b644fb9e814297</t>
        </is>
      </c>
      <c r="B223" s="24" t="inlineStr">
        <is>
          <t>2026-08-05T21:01:36.734850Z</t>
        </is>
      </c>
      <c r="C223" s="24" t="inlineStr">
        <is>
          <t>2026-08-05T23:40Z</t>
        </is>
      </c>
      <c r="D223" s="24" t="inlineStr">
        <is>
          <t>401816407</t>
        </is>
      </c>
      <c r="E223" s="24" t="inlineStr">
        <is>
          <t>MLB</t>
        </is>
      </c>
      <c r="F223" s="24" t="inlineStr">
        <is>
          <t>Minnesota Twins</t>
        </is>
      </c>
      <c r="G223" s="24" t="inlineStr">
        <is>
          <t>Kansas City Royals</t>
        </is>
      </c>
      <c r="H223" s="24" t="inlineStr">
        <is>
          <t>spread</t>
        </is>
      </c>
      <c r="I223" s="24" t="inlineStr">
        <is>
          <t>home</t>
        </is>
      </c>
      <c r="J223" s="25" t="n">
        <v>1.5</v>
      </c>
      <c r="K223" s="24" t="inlineStr">
        <is>
          <t>polymarket_us</t>
        </is>
      </c>
      <c r="L223" s="26" t="n">
        <v>-182</v>
      </c>
      <c r="M223" s="27" t="n">
        <v>1.549451</v>
      </c>
      <c r="N223" s="28" t="n">
        <v>0.64539</v>
      </c>
      <c r="O223" s="28" t="n">
        <v>0.650112</v>
      </c>
      <c r="P223" s="28" t="n">
        <v>0.05172</v>
      </c>
      <c r="Q223" s="28" t="n">
        <v>0.004722</v>
      </c>
      <c r="R223" s="26" t="n">
        <v>23</v>
      </c>
      <c r="S223" s="29" t="n">
        <v>0</v>
      </c>
      <c r="T223" s="24" t="inlineStr">
        <is>
          <t>measured-edge-margin-v3</t>
        </is>
      </c>
      <c r="U223" s="24" t="inlineStr">
        <is>
          <t>settled</t>
        </is>
      </c>
      <c r="V223" s="24" t="inlineStr">
        <is>
          <t>win</t>
        </is>
      </c>
      <c r="W223" s="26" t="n">
        <v>1</v>
      </c>
      <c r="X223" s="26" t="n">
        <v>2</v>
      </c>
      <c r="Y223" s="25" t="n">
        <v>1.5</v>
      </c>
      <c r="Z223" s="26" t="n">
        <v>-182</v>
      </c>
      <c r="AA223" s="28" t="n">
        <v>0.645</v>
      </c>
      <c r="AB223" s="28" t="n">
        <v>-0.00039</v>
      </c>
      <c r="AC223" s="30" t="n">
        <v>0</v>
      </c>
      <c r="AD223" s="24" t="inlineStr">
        <is>
          <t>2026-08-06T03:26:24.215979Z</t>
        </is>
      </c>
      <c r="AE223" s="31" t="inlineStr">
        <is>
          <t>Measured Edge Margin: Trend Engine projected 4.58-5.18; raw selected-side p=0.7203, calibrated p=0.6501.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NO_CALL_WINNER_OVERVALUED</t>
        </is>
      </c>
      <c r="AP223" s="24" t="inlineStr">
        <is>
          <t>mlb-min</t>
        </is>
      </c>
      <c r="AQ223" s="24" t="inlineStr">
        <is>
          <t>Minnesota Twins</t>
        </is>
      </c>
      <c r="AR223" s="24" t="inlineStr">
        <is>
          <t>Minnesota Twins</t>
        </is>
      </c>
      <c r="AS223" s="24" t="inlineStr">
        <is>
          <t>mlb-kc</t>
        </is>
      </c>
      <c r="AT223" s="24" t="inlineStr">
        <is>
          <t>Kansas City Royals</t>
        </is>
      </c>
      <c r="AU223" s="24" t="inlineStr">
        <is>
          <t>Kansas City Royals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dd339a2eed50d7d83ab2127837995ddab82e879afd27f5414bb6c1f9cd60ba4c</t>
        </is>
      </c>
      <c r="BB223" s="24" t="inlineStr">
        <is>
          <t>flat_probability_shrinkage_toward_half</t>
        </is>
      </c>
      <c r="BC223" s="24" t="inlineStr">
        <is>
          <t>measured-edge-margin-v3</t>
        </is>
      </c>
      <c r="BD223" s="24" t="inlineStr">
        <is>
          <t>dd339a2eed50d7d83ab2127837995ddab82e879afd27f5414bb6c1f9cd60ba4c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2026-08-05T21:01:36.734850Z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-182</v>
      </c>
      <c r="BL223" s="27" t="n">
        <v>1.549451</v>
      </c>
      <c r="BM223" s="28" t="n">
        <v>0.64539</v>
      </c>
      <c r="BN223" s="28" t="n">
        <v>0.641791</v>
      </c>
      <c r="BO223" s="28" t="n"/>
      <c r="BP223" s="25" t="n"/>
      <c r="BQ223" s="27" t="n">
        <v>1.549451</v>
      </c>
      <c r="BR223" s="28" t="n">
        <v>0.645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</row>
    <row r="224" ht="36" customHeight="1">
      <c r="A224" s="24" t="inlineStr">
        <is>
          <t>c06846d9f7b54aa3</t>
        </is>
      </c>
      <c r="B224" s="24" t="inlineStr">
        <is>
          <t>2026-08-05T21:01:36.734850Z</t>
        </is>
      </c>
      <c r="C224" s="24" t="inlineStr">
        <is>
          <t>2026-08-05T23:40Z</t>
        </is>
      </c>
      <c r="D224" s="24" t="inlineStr">
        <is>
          <t>401816407</t>
        </is>
      </c>
      <c r="E224" s="24" t="inlineStr">
        <is>
          <t>MLB</t>
        </is>
      </c>
      <c r="F224" s="24" t="inlineStr">
        <is>
          <t>Minnesota Twins</t>
        </is>
      </c>
      <c r="G224" s="24" t="inlineStr">
        <is>
          <t>Kansas City Royals</t>
        </is>
      </c>
      <c r="H224" s="24" t="inlineStr">
        <is>
          <t>total</t>
        </is>
      </c>
      <c r="I224" s="24" t="inlineStr">
        <is>
          <t>over</t>
        </is>
      </c>
      <c r="J224" s="25" t="n">
        <v>8.5</v>
      </c>
      <c r="K224" s="24" t="inlineStr">
        <is>
          <t>polymarket_us</t>
        </is>
      </c>
      <c r="L224" s="26" t="n">
        <v>-113</v>
      </c>
      <c r="M224" s="27" t="n">
        <v>1.884956</v>
      </c>
      <c r="N224" s="28" t="n">
        <v>0.530516</v>
      </c>
      <c r="O224" s="28" t="n">
        <v>0.524132</v>
      </c>
      <c r="P224" s="28" t="n">
        <v>0.05172</v>
      </c>
      <c r="Q224" s="28" t="n">
        <v>-0.006384</v>
      </c>
      <c r="R224" s="26" t="n">
        <v>17</v>
      </c>
      <c r="S224" s="29" t="n">
        <v>0</v>
      </c>
      <c r="T224" s="24" t="inlineStr">
        <is>
          <t>measured-edge-totals-v3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2</v>
      </c>
      <c r="Y224" s="25" t="n">
        <v>8.5</v>
      </c>
      <c r="Z224" s="26" t="n">
        <v>-113</v>
      </c>
      <c r="AA224" s="28" t="n">
        <v>0.53</v>
      </c>
      <c r="AB224" s="28" t="n">
        <v>-0.000516</v>
      </c>
      <c r="AC224" s="30" t="n">
        <v>0</v>
      </c>
      <c r="AD224" s="24" t="inlineStr">
        <is>
          <t>2026-08-06T03:26:26.107549Z</t>
        </is>
      </c>
      <c r="AE224" s="31" t="inlineStr">
        <is>
          <t>Measured Edge Totals: Trend Engine projected 4.58-5.18; raw selected-side p=0.5738, calibrated p=0.5241.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NO_CALL_WINNER_OVERVALUED</t>
        </is>
      </c>
      <c r="AP224" s="24" t="inlineStr">
        <is>
          <t>mlb-min</t>
        </is>
      </c>
      <c r="AQ224" s="24" t="inlineStr">
        <is>
          <t>Minnesota Twins</t>
        </is>
      </c>
      <c r="AR224" s="24" t="inlineStr">
        <is>
          <t>Minnesota Twins</t>
        </is>
      </c>
      <c r="AS224" s="24" t="inlineStr">
        <is>
          <t>mlb-kc</t>
        </is>
      </c>
      <c r="AT224" s="24" t="inlineStr">
        <is>
          <t>Kansas City Royals</t>
        </is>
      </c>
      <c r="AU224" s="24" t="inlineStr">
        <is>
          <t>Kansas City Royals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95b84332c75d2ce54036eb8de6ada9c78d0f80228c50825c0347281a8b9b49c7</t>
        </is>
      </c>
      <c r="BB224" s="24" t="inlineStr">
        <is>
          <t>flat_probability_shrinkage_toward_half</t>
        </is>
      </c>
      <c r="BC224" s="24" t="inlineStr">
        <is>
          <t>measured-edge-totals-v3</t>
        </is>
      </c>
      <c r="BD224" s="24" t="inlineStr">
        <is>
          <t>95b84332c75d2ce54036eb8de6ada9c78d0f80228c50825c0347281a8b9b49c7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2026-08-05T21:01:36.734850Z</t>
        </is>
      </c>
      <c r="BI224" s="24" t="inlineStr">
        <is>
          <t>["same_event","same_team_same_day","same_league_same_day"]</t>
        </is>
      </c>
      <c r="BJ224" s="25" t="n">
        <v>8.5</v>
      </c>
      <c r="BK224" s="26" t="n">
        <v>-113</v>
      </c>
      <c r="BL224" s="27" t="n">
        <v>1.884956</v>
      </c>
      <c r="BM224" s="28" t="n">
        <v>0.530516</v>
      </c>
      <c r="BN224" s="28" t="n">
        <v>0.527363</v>
      </c>
      <c r="BO224" s="28" t="n"/>
      <c r="BP224" s="25" t="n"/>
      <c r="BQ224" s="27" t="n">
        <v>1.884956</v>
      </c>
      <c r="BR224" s="28" t="n">
        <v>0.53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</row>
    <row r="225" ht="36" customHeight="1">
      <c r="A225" s="24" t="inlineStr">
        <is>
          <t>28c7a36bf81d40a3</t>
        </is>
      </c>
      <c r="B225" s="24" t="inlineStr">
        <is>
          <t>2026-08-06T00:23:10.436172Z</t>
        </is>
      </c>
      <c r="C225" s="24" t="inlineStr">
        <is>
          <t>2026-08-05T21:40:00-0400</t>
        </is>
      </c>
      <c r="D225" s="24" t="inlineStr">
        <is>
          <t>401816412</t>
        </is>
      </c>
      <c r="E225" s="24" t="inlineStr">
        <is>
          <t>MLB</t>
        </is>
      </c>
      <c r="F225" s="24" t="inlineStr">
        <is>
          <t>Detroit Tigers</t>
        </is>
      </c>
      <c r="G225" s="24" t="inlineStr">
        <is>
          <t>Seattle Mariners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-141</v>
      </c>
      <c r="M225" s="27" t="n">
        <v>1.70922</v>
      </c>
      <c r="N225" s="28" t="n">
        <v>0.585062</v>
      </c>
      <c r="O225" s="28" t="n">
        <v>0.549586</v>
      </c>
      <c r="P225" s="28" t="n"/>
      <c r="Q225" s="28" t="n">
        <v>-0.035476</v>
      </c>
      <c r="R225" s="26" t="n">
        <v>4</v>
      </c>
      <c r="S225" s="29" t="n">
        <v>0</v>
      </c>
      <c r="T225" s="24" t="inlineStr">
        <is>
          <t>mlb-elo-trend-lr-v8</t>
        </is>
      </c>
      <c r="U225" s="24" t="inlineStr">
        <is>
          <t>settled</t>
        </is>
      </c>
      <c r="V225" s="24" t="inlineStr">
        <is>
          <t>win</t>
        </is>
      </c>
      <c r="W225" s="26" t="n">
        <v>2</v>
      </c>
      <c r="X225" s="26" t="n">
        <v>4</v>
      </c>
      <c r="Y225" s="25" t="n"/>
      <c r="Z225" s="26" t="n">
        <v>-141</v>
      </c>
      <c r="AA225" s="28" t="n">
        <v>0.585</v>
      </c>
      <c r="AB225" s="28" t="n">
        <v>-6.2e-05</v>
      </c>
      <c r="AC225" s="30" t="n">
        <v>0</v>
      </c>
      <c r="AD225" s="24" t="inlineStr">
        <is>
          <t>2026-08-06T18:54:07.775786Z</t>
        </is>
      </c>
      <c r="AE225" s="31" t="inlineStr">
        <is>
          <t>Learned LR call at threshold 0.5873; executable ask 0.5850 (aec-mlb-det-sea-2026-08-05); model edge vs ask -0.0354.</t>
        </is>
      </c>
      <c r="AF225" s="31" t="inlineStr">
        <is>
          <t>Learned model; shadow-qualified via operator override.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NO_CALL_WINNER_OVERVALUED</t>
        </is>
      </c>
      <c r="AP225" s="24" t="inlineStr">
        <is>
          <t>mlb-det</t>
        </is>
      </c>
      <c r="AQ225" s="24" t="inlineStr">
        <is>
          <t>Detroit Tigers</t>
        </is>
      </c>
      <c r="AR225" s="24" t="inlineStr">
        <is>
          <t>Detroit Tigers</t>
        </is>
      </c>
      <c r="AS225" s="24" t="inlineStr">
        <is>
          <t>mlb-sea</t>
        </is>
      </c>
      <c r="AT225" s="24" t="inlineStr">
        <is>
          <t>Seattle Mariners</t>
        </is>
      </c>
      <c r="AU225" s="24" t="inlineStr">
        <is>
          <t>Seattle Mariners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6a5c79541b0e50cb9f7318270e63d5ccc65cbd7bc53a019748ff772d49de5075</t>
        </is>
      </c>
      <c r="BB225" s="24" t="inlineStr">
        <is>
          <t>learned_lr</t>
        </is>
      </c>
      <c r="BC225" s="24" t="inlineStr">
        <is>
          <t>mlb-elo-trend-lr-v8</t>
        </is>
      </c>
      <c r="BD225" s="24" t="inlineStr">
        <is>
          <t>6a5c79541b0e50cb9f7318270e63d5ccc65cbd7bc53a019748ff772d49de5075</t>
        </is>
      </c>
      <c r="BE225" s="24" t="inlineStr">
        <is>
          <t>18de224cacd80118</t>
        </is>
      </c>
      <c r="BF225" s="24" t="inlineStr">
        <is>
          <t>1</t>
        </is>
      </c>
      <c r="BG225" s="24" t="inlineStr">
        <is>
          <t>mlb-elo-trend-lr-v8</t>
        </is>
      </c>
      <c r="BH225" s="24" t="inlineStr">
        <is>
          <t>2026-08-06T00:22:57.008358Z</t>
        </is>
      </c>
      <c r="BI225" s="24" t="inlineStr">
        <is>
          <t>["same_event","same_team_same_day","same_league_same_day"]</t>
        </is>
      </c>
      <c r="BJ225" s="25" t="n"/>
      <c r="BK225" s="26" t="n">
        <v>-141</v>
      </c>
      <c r="BL225" s="27" t="n">
        <v>1.70922</v>
      </c>
      <c r="BM225" s="28" t="n">
        <v>0.585062</v>
      </c>
      <c r="BN225" s="28" t="n">
        <v>0.58209</v>
      </c>
      <c r="BO225" s="28" t="n"/>
      <c r="BP225" s="25" t="n"/>
      <c r="BQ225" s="27" t="n">
        <v>1.70922</v>
      </c>
      <c r="BR225" s="28" t="n">
        <v>0.585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inlineStr">
        <is>
          <t>0.5055935053</t>
        </is>
      </c>
      <c r="CD225" s="24" t="inlineStr">
        <is>
          <t>-3.145579</t>
        </is>
      </c>
      <c r="CE225" s="24" t="inlineStr">
        <is>
          <t>0.938</t>
        </is>
      </c>
      <c r="CF225" s="24" t="inlineStr">
        <is>
          <t>1.0</t>
        </is>
      </c>
      <c r="CG225" s="24" t="n"/>
      <c r="CH225" s="24" t="n"/>
      <c r="CI225" s="24" t="n"/>
      <c r="CJ225" s="24" t="inlineStr">
        <is>
          <t>-2.083614</t>
        </is>
      </c>
      <c r="CK225" s="24" t="n"/>
      <c r="CL225" s="24" t="inlineStr">
        <is>
          <t>0.392359</t>
        </is>
      </c>
      <c r="CM225" s="24" t="inlineStr">
        <is>
          <t>2.5845</t>
        </is>
      </c>
      <c r="CN225" s="24" t="n"/>
      <c r="CO225" s="24" t="n"/>
      <c r="CP225" s="24" t="n"/>
      <c r="CQ225" s="24" t="n"/>
      <c r="CR225" s="24" t="inlineStr">
        <is>
          <t>0.549586</t>
        </is>
      </c>
      <c r="CS225" s="24" t="inlineStr">
        <is>
          <t>False</t>
        </is>
      </c>
    </row>
    <row r="226" ht="36" customHeight="1">
      <c r="A226" s="24" t="inlineStr">
        <is>
          <t>31b907b6ba3a46d1</t>
        </is>
      </c>
      <c r="B226" s="24" t="inlineStr">
        <is>
          <t>2026-08-06T00:23:10.436172Z</t>
        </is>
      </c>
      <c r="C226" s="24" t="inlineStr">
        <is>
          <t>2026-08-05T21:40:00-0400</t>
        </is>
      </c>
      <c r="D226" s="24" t="inlineStr">
        <is>
          <t>401816413</t>
        </is>
      </c>
      <c r="E226" s="24" t="inlineStr">
        <is>
          <t>MLB</t>
        </is>
      </c>
      <c r="F226" s="24" t="inlineStr">
        <is>
          <t>San Diego Padres</t>
        </is>
      </c>
      <c r="G226" s="24" t="inlineStr">
        <is>
          <t>Arizona Diamondbacks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-130</v>
      </c>
      <c r="M226" s="27" t="n">
        <v>1.769231</v>
      </c>
      <c r="N226" s="28" t="n">
        <v>0.565217</v>
      </c>
      <c r="O226" s="28" t="n">
        <v>0.51228</v>
      </c>
      <c r="P226" s="28" t="n"/>
      <c r="Q226" s="28" t="n">
        <v>-0.052937</v>
      </c>
      <c r="R226" s="26" t="n">
        <v>0</v>
      </c>
      <c r="S226" s="29" t="n">
        <v>0</v>
      </c>
      <c r="T226" s="24" t="inlineStr">
        <is>
          <t>mlb-elo-trend-lr-v8</t>
        </is>
      </c>
      <c r="U226" s="24" t="inlineStr">
        <is>
          <t>settled</t>
        </is>
      </c>
      <c r="V226" s="24" t="inlineStr">
        <is>
          <t>loss</t>
        </is>
      </c>
      <c r="W226" s="26" t="n">
        <v>4</v>
      </c>
      <c r="X226" s="26" t="n">
        <v>10</v>
      </c>
      <c r="Y226" s="25" t="n"/>
      <c r="Z226" s="26" t="n">
        <v>-130</v>
      </c>
      <c r="AA226" s="28" t="n">
        <v>0.5649999999999999</v>
      </c>
      <c r="AB226" s="28" t="n">
        <v>-0.000217</v>
      </c>
      <c r="AC226" s="30" t="n">
        <v>0</v>
      </c>
      <c r="AD226" s="24" t="inlineStr">
        <is>
          <t>2026-08-06T18:54:09.677702Z</t>
        </is>
      </c>
      <c r="AE226" s="31" t="inlineStr">
        <is>
          <t>Learned LR call at threshold 0.5873; executable ask 0.5650 (aec-mlb-sd-az-2026-08-05); model edge vs ask -0.0527.</t>
        </is>
      </c>
      <c r="AF226" s="31" t="inlineStr">
        <is>
          <t>Learned model; shadow-qualified via operator override.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NO_CALL_WINNER_OVERVALUED</t>
        </is>
      </c>
      <c r="AP226" s="24" t="inlineStr">
        <is>
          <t>mlb-sd</t>
        </is>
      </c>
      <c r="AQ226" s="24" t="inlineStr">
        <is>
          <t>San Diego Padres</t>
        </is>
      </c>
      <c r="AR226" s="24" t="inlineStr">
        <is>
          <t>San Diego Padres</t>
        </is>
      </c>
      <c r="AS226" s="24" t="inlineStr">
        <is>
          <t>mlb-ari</t>
        </is>
      </c>
      <c r="AT226" s="24" t="inlineStr">
        <is>
          <t>Arizona Diamondbacks</t>
        </is>
      </c>
      <c r="AU226" s="24" t="inlineStr">
        <is>
          <t>Arizona Diamondbacks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6a5c79541b0e50cb9f7318270e63d5ccc65cbd7bc53a019748ff772d49de5075</t>
        </is>
      </c>
      <c r="BB226" s="24" t="inlineStr">
        <is>
          <t>learned_lr</t>
        </is>
      </c>
      <c r="BC226" s="24" t="inlineStr">
        <is>
          <t>mlb-elo-trend-lr-v8</t>
        </is>
      </c>
      <c r="BD226" s="24" t="inlineStr">
        <is>
          <t>6a5c79541b0e50cb9f7318270e63d5ccc65cbd7bc53a019748ff772d49de5075</t>
        </is>
      </c>
      <c r="BE226" s="24" t="inlineStr">
        <is>
          <t>0baa18332e487c9b</t>
        </is>
      </c>
      <c r="BF226" s="24" t="inlineStr">
        <is>
          <t>1</t>
        </is>
      </c>
      <c r="BG226" s="24" t="inlineStr">
        <is>
          <t>mlb-elo-trend-lr-v8</t>
        </is>
      </c>
      <c r="BH226" s="24" t="inlineStr">
        <is>
          <t>2026-08-06T00:22:57.322907Z</t>
        </is>
      </c>
      <c r="BI226" s="24" t="inlineStr">
        <is>
          <t>["same_event","same_team_same_day","same_league_same_day"]</t>
        </is>
      </c>
      <c r="BJ226" s="25" t="n"/>
      <c r="BK226" s="26" t="n">
        <v>-130</v>
      </c>
      <c r="BL226" s="27" t="n">
        <v>1.769231</v>
      </c>
      <c r="BM226" s="28" t="n">
        <v>0.565217</v>
      </c>
      <c r="BN226" s="28" t="n">
        <v>0.562189</v>
      </c>
      <c r="BO226" s="28" t="n"/>
      <c r="BP226" s="25" t="n"/>
      <c r="BQ226" s="27" t="n">
        <v>1.769231</v>
      </c>
      <c r="BR226" s="28" t="n">
        <v>0.5649999999999999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inlineStr">
        <is>
          <t>0.5327218645</t>
        </is>
      </c>
      <c r="CD226" s="24" t="inlineStr">
        <is>
          <t>0.544245</t>
        </is>
      </c>
      <c r="CE226" s="24" t="inlineStr">
        <is>
          <t>1.097</t>
        </is>
      </c>
      <c r="CF226" s="24" t="inlineStr">
        <is>
          <t>1.0</t>
        </is>
      </c>
      <c r="CG226" s="24" t="n"/>
      <c r="CH226" s="24" t="n"/>
      <c r="CI226" s="24" t="n"/>
      <c r="CJ226" s="24" t="inlineStr">
        <is>
          <t>-0.130548</t>
        </is>
      </c>
      <c r="CK226" s="24" t="n"/>
      <c r="CL226" s="24" t="inlineStr">
        <is>
          <t>-0.205643</t>
        </is>
      </c>
      <c r="CM226" s="24" t="inlineStr">
        <is>
          <t>2.8235</t>
        </is>
      </c>
      <c r="CN226" s="24" t="n"/>
      <c r="CO226" s="24" t="n"/>
      <c r="CP226" s="24" t="n"/>
      <c r="CQ226" s="24" t="n"/>
      <c r="CR226" s="24" t="inlineStr">
        <is>
          <t>0.51228</t>
        </is>
      </c>
      <c r="CS226" s="24" t="inlineStr">
        <is>
          <t>False</t>
        </is>
      </c>
    </row>
    <row r="227" ht="36" customHeight="1">
      <c r="A227" s="24" t="inlineStr">
        <is>
          <t>b37a3dbe04264c93</t>
        </is>
      </c>
      <c r="B227" s="24" t="inlineStr">
        <is>
          <t>2026-08-06T00:23:19.173489Z</t>
        </is>
      </c>
      <c r="C227" s="24" t="inlineStr">
        <is>
          <t>2026-08-06T01:40Z</t>
        </is>
      </c>
      <c r="D227" s="24" t="inlineStr">
        <is>
          <t>401816412</t>
        </is>
      </c>
      <c r="E227" s="24" t="inlineStr">
        <is>
          <t>MLB</t>
        </is>
      </c>
      <c r="F227" s="24" t="inlineStr">
        <is>
          <t>Detroit Tigers</t>
        </is>
      </c>
      <c r="G227" s="24" t="inlineStr">
        <is>
          <t>Seattle Mariners</t>
        </is>
      </c>
      <c r="H227" s="24" t="inlineStr">
        <is>
          <t>spread</t>
        </is>
      </c>
      <c r="I227" s="24" t="inlineStr">
        <is>
          <t>away</t>
        </is>
      </c>
      <c r="J227" s="25" t="n">
        <v>1.5</v>
      </c>
      <c r="K227" s="24" t="inlineStr">
        <is>
          <t>polymarket_us</t>
        </is>
      </c>
      <c r="L227" s="26" t="n">
        <v>-153</v>
      </c>
      <c r="M227" s="27" t="n">
        <v>1.653595</v>
      </c>
      <c r="N227" s="28" t="n">
        <v>0.604743</v>
      </c>
      <c r="O227" s="28" t="n">
        <v>0.630999</v>
      </c>
      <c r="P227" s="28" t="n">
        <v>0.042131</v>
      </c>
      <c r="Q227" s="28" t="n">
        <v>0.026256</v>
      </c>
      <c r="R227" s="26" t="n">
        <v>39</v>
      </c>
      <c r="S227" s="29" t="n">
        <v>0</v>
      </c>
      <c r="T227" s="24" t="inlineStr">
        <is>
          <t>measured-edge-margin-v3</t>
        </is>
      </c>
      <c r="U227" s="24" t="inlineStr">
        <is>
          <t>settled</t>
        </is>
      </c>
      <c r="V227" s="24" t="inlineStr">
        <is>
          <t>loss</t>
        </is>
      </c>
      <c r="W227" s="26" t="n">
        <v>2</v>
      </c>
      <c r="X227" s="26" t="n">
        <v>4</v>
      </c>
      <c r="Y227" s="25" t="n">
        <v>1.5</v>
      </c>
      <c r="Z227" s="26" t="n">
        <v>-153</v>
      </c>
      <c r="AA227" s="28" t="n">
        <v>0.605</v>
      </c>
      <c r="AB227" s="28" t="n">
        <v>0.000257</v>
      </c>
      <c r="AC227" s="30" t="n">
        <v>0</v>
      </c>
      <c r="AD227" s="24" t="inlineStr">
        <is>
          <t>2026-08-06T18:54:11.468896Z</t>
        </is>
      </c>
      <c r="AE227" s="31" t="inlineStr">
        <is>
          <t>Measured Edge Margin: Trend Engine projected 4.87-4.56; raw selected-side p=0.6923, calibrated p=0.6310.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NO_CALL_WINNER_OVERVALUED</t>
        </is>
      </c>
      <c r="AP227" s="24" t="inlineStr">
        <is>
          <t>mlb-det</t>
        </is>
      </c>
      <c r="AQ227" s="24" t="inlineStr">
        <is>
          <t>Detroit Tigers</t>
        </is>
      </c>
      <c r="AR227" s="24" t="inlineStr">
        <is>
          <t>Detroit Tigers</t>
        </is>
      </c>
      <c r="AS227" s="24" t="inlineStr">
        <is>
          <t>mlb-sea</t>
        </is>
      </c>
      <c r="AT227" s="24" t="inlineStr">
        <is>
          <t>Seattle Mariners</t>
        </is>
      </c>
      <c r="AU227" s="24" t="inlineStr">
        <is>
          <t>Seattle Mariners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dd339a2eed50d7d83ab2127837995ddab82e879afd27f5414bb6c1f9cd60ba4c</t>
        </is>
      </c>
      <c r="BB227" s="24" t="inlineStr">
        <is>
          <t>flat_probability_shrinkage_toward_half</t>
        </is>
      </c>
      <c r="BC227" s="24" t="inlineStr">
        <is>
          <t>measured-edge-margin-v3</t>
        </is>
      </c>
      <c r="BD227" s="24" t="inlineStr">
        <is>
          <t>dd339a2eed50d7d83ab2127837995ddab82e879afd27f5414bb6c1f9cd60ba4c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2026-08-06T00:23:19.173489Z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-153</v>
      </c>
      <c r="BL227" s="27" t="n">
        <v>1.653595</v>
      </c>
      <c r="BM227" s="28" t="n">
        <v>0.604743</v>
      </c>
      <c r="BN227" s="28" t="n">
        <v>0.60199</v>
      </c>
      <c r="BO227" s="28" t="n"/>
      <c r="BP227" s="25" t="n"/>
      <c r="BQ227" s="27" t="n">
        <v>1.653595</v>
      </c>
      <c r="BR227" s="28" t="n">
        <v>0.605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</row>
    <row r="228" ht="36" customHeight="1">
      <c r="A228" s="24" t="inlineStr">
        <is>
          <t>f2134a98f7544f46</t>
        </is>
      </c>
      <c r="B228" s="24" t="inlineStr">
        <is>
          <t>2026-08-06T00:23:19.173489Z</t>
        </is>
      </c>
      <c r="C228" s="24" t="inlineStr">
        <is>
          <t>2026-08-06T01:40Z</t>
        </is>
      </c>
      <c r="D228" s="24" t="inlineStr">
        <is>
          <t>401816412</t>
        </is>
      </c>
      <c r="E228" s="24" t="inlineStr">
        <is>
          <t>MLB</t>
        </is>
      </c>
      <c r="F228" s="24" t="inlineStr">
        <is>
          <t>Detroit Tigers</t>
        </is>
      </c>
      <c r="G228" s="24" t="inlineStr">
        <is>
          <t>Seattle Mariners</t>
        </is>
      </c>
      <c r="H228" s="24" t="inlineStr">
        <is>
          <t>total</t>
        </is>
      </c>
      <c r="I228" s="24" t="inlineStr">
        <is>
          <t>over</t>
        </is>
      </c>
      <c r="J228" s="25" t="n">
        <v>7.5</v>
      </c>
      <c r="K228" s="24" t="inlineStr">
        <is>
          <t>polymarket_us</t>
        </is>
      </c>
      <c r="L228" s="26" t="n">
        <v>-108</v>
      </c>
      <c r="M228" s="27" t="n">
        <v>1.925926</v>
      </c>
      <c r="N228" s="28" t="n">
        <v>0.519231</v>
      </c>
      <c r="O228" s="28" t="n">
        <v>0.536862</v>
      </c>
      <c r="P228" s="28" t="n">
        <v>0.042131</v>
      </c>
      <c r="Q228" s="28" t="n">
        <v>0.017631</v>
      </c>
      <c r="R228" s="26" t="n">
        <v>34</v>
      </c>
      <c r="S228" s="29" t="n">
        <v>0</v>
      </c>
      <c r="T228" s="24" t="inlineStr">
        <is>
          <t>measured-edge-totals-v3</t>
        </is>
      </c>
      <c r="U228" s="24" t="inlineStr">
        <is>
          <t>settled</t>
        </is>
      </c>
      <c r="V228" s="24" t="inlineStr">
        <is>
          <t>loss</t>
        </is>
      </c>
      <c r="W228" s="26" t="n">
        <v>2</v>
      </c>
      <c r="X228" s="26" t="n">
        <v>4</v>
      </c>
      <c r="Y228" s="25" t="n">
        <v>7.5</v>
      </c>
      <c r="Z228" s="26" t="n">
        <v>-108</v>
      </c>
      <c r="AA228" s="28" t="n">
        <v>0.52</v>
      </c>
      <c r="AB228" s="28" t="n">
        <v>0.000769</v>
      </c>
      <c r="AC228" s="30" t="n">
        <v>0</v>
      </c>
      <c r="AD228" s="24" t="inlineStr">
        <is>
          <t>2026-08-06T18:54:13.257089Z</t>
        </is>
      </c>
      <c r="AE228" s="31" t="inlineStr">
        <is>
          <t>Measured Edge Totals: Trend Engine projected 4.87-4.56; raw selected-side p=0.6250, calibrated p=0.5369.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NO_CALL_WINNER_OVERVALUED</t>
        </is>
      </c>
      <c r="AP228" s="24" t="inlineStr">
        <is>
          <t>mlb-det</t>
        </is>
      </c>
      <c r="AQ228" s="24" t="inlineStr">
        <is>
          <t>Detroit Tigers</t>
        </is>
      </c>
      <c r="AR228" s="24" t="inlineStr">
        <is>
          <t>Detroit Tigers</t>
        </is>
      </c>
      <c r="AS228" s="24" t="inlineStr">
        <is>
          <t>mlb-sea</t>
        </is>
      </c>
      <c r="AT228" s="24" t="inlineStr">
        <is>
          <t>Seattle Mariners</t>
        </is>
      </c>
      <c r="AU228" s="24" t="inlineStr">
        <is>
          <t>Seattle Mariners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95b84332c75d2ce54036eb8de6ada9c78d0f80228c50825c0347281a8b9b49c7</t>
        </is>
      </c>
      <c r="BB228" s="24" t="inlineStr">
        <is>
          <t>flat_probability_shrinkage_toward_half</t>
        </is>
      </c>
      <c r="BC228" s="24" t="inlineStr">
        <is>
          <t>measured-edge-totals-v3</t>
        </is>
      </c>
      <c r="BD228" s="24" t="inlineStr">
        <is>
          <t>95b84332c75d2ce54036eb8de6ada9c78d0f80228c50825c0347281a8b9b49c7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2026-08-06T00:23:19.173489Z</t>
        </is>
      </c>
      <c r="BI228" s="24" t="inlineStr">
        <is>
          <t>["same_event","same_team_same_day","same_league_same_day"]</t>
        </is>
      </c>
      <c r="BJ228" s="25" t="n">
        <v>7.5</v>
      </c>
      <c r="BK228" s="26" t="n">
        <v>-108</v>
      </c>
      <c r="BL228" s="27" t="n">
        <v>1.925926</v>
      </c>
      <c r="BM228" s="28" t="n">
        <v>0.519231</v>
      </c>
      <c r="BN228" s="28" t="n">
        <v>0.517413</v>
      </c>
      <c r="BO228" s="28" t="n"/>
      <c r="BP228" s="25" t="n"/>
      <c r="BQ228" s="27" t="n">
        <v>1.925926</v>
      </c>
      <c r="BR228" s="28" t="n">
        <v>0.52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</row>
    <row r="229" ht="36" customHeight="1">
      <c r="A229" s="24" t="inlineStr">
        <is>
          <t>70715d5c0d904f4a</t>
        </is>
      </c>
      <c r="B229" s="24" t="inlineStr">
        <is>
          <t>2026-08-06T00:23:19.173489Z</t>
        </is>
      </c>
      <c r="C229" s="24" t="inlineStr">
        <is>
          <t>2026-08-06T01:40Z</t>
        </is>
      </c>
      <c r="D229" s="24" t="inlineStr">
        <is>
          <t>401816413</t>
        </is>
      </c>
      <c r="E229" s="24" t="inlineStr">
        <is>
          <t>MLB</t>
        </is>
      </c>
      <c r="F229" s="24" t="inlineStr">
        <is>
          <t>San Diego Padres</t>
        </is>
      </c>
      <c r="G229" s="24" t="inlineStr">
        <is>
          <t>Arizona Diamondbacks</t>
        </is>
      </c>
      <c r="H229" s="24" t="inlineStr">
        <is>
          <t>spread</t>
        </is>
      </c>
      <c r="I229" s="24" t="inlineStr">
        <is>
          <t>away</t>
        </is>
      </c>
      <c r="J229" s="25" t="n">
        <v>-1.5</v>
      </c>
      <c r="K229" s="24" t="inlineStr">
        <is>
          <t>polymarket_us</t>
        </is>
      </c>
      <c r="L229" s="26" t="n">
        <v>127</v>
      </c>
      <c r="M229" s="27" t="n">
        <v>2.27</v>
      </c>
      <c r="N229" s="28" t="n">
        <v>0.440529</v>
      </c>
      <c r="O229" s="28" t="n">
        <v>0.415472</v>
      </c>
      <c r="P229" s="28" t="n">
        <v>0.05172</v>
      </c>
      <c r="Q229" s="28" t="n">
        <v>-0.025057</v>
      </c>
      <c r="R229" s="26" t="n">
        <v>9</v>
      </c>
      <c r="S229" s="29" t="n">
        <v>0</v>
      </c>
      <c r="T229" s="24" t="inlineStr">
        <is>
          <t>measured-edge-margin-v3</t>
        </is>
      </c>
      <c r="U229" s="24" t="inlineStr">
        <is>
          <t>settled</t>
        </is>
      </c>
      <c r="V229" s="24" t="inlineStr">
        <is>
          <t>loss</t>
        </is>
      </c>
      <c r="W229" s="26" t="n">
        <v>4</v>
      </c>
      <c r="X229" s="26" t="n">
        <v>10</v>
      </c>
      <c r="Y229" s="25" t="n">
        <v>-1.5</v>
      </c>
      <c r="Z229" s="26" t="n">
        <v>127</v>
      </c>
      <c r="AA229" s="28" t="n">
        <v>0.44</v>
      </c>
      <c r="AB229" s="28" t="n">
        <v>-0.000529</v>
      </c>
      <c r="AC229" s="30" t="n">
        <v>0</v>
      </c>
      <c r="AD229" s="24" t="inlineStr">
        <is>
          <t>2026-08-06T18:54:15.140035Z</t>
        </is>
      </c>
      <c r="AE229" s="31" t="inlineStr">
        <is>
          <t>Measured Edge Margin: Trend Engine projected 4.83-4.33; raw selected-side p=0.3760, calibrated p=0.4155.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NO_CALL_WINNER_OVERVALUED</t>
        </is>
      </c>
      <c r="AP229" s="24" t="inlineStr">
        <is>
          <t>mlb-sd</t>
        </is>
      </c>
      <c r="AQ229" s="24" t="inlineStr">
        <is>
          <t>San Diego Padres</t>
        </is>
      </c>
      <c r="AR229" s="24" t="inlineStr">
        <is>
          <t>San Diego Padres</t>
        </is>
      </c>
      <c r="AS229" s="24" t="inlineStr">
        <is>
          <t>mlb-ari</t>
        </is>
      </c>
      <c r="AT229" s="24" t="inlineStr">
        <is>
          <t>Arizona Diamondbacks</t>
        </is>
      </c>
      <c r="AU229" s="24" t="inlineStr">
        <is>
          <t>Arizona Diamondbacks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dd339a2eed50d7d83ab2127837995ddab82e879afd27f5414bb6c1f9cd60ba4c</t>
        </is>
      </c>
      <c r="BB229" s="24" t="inlineStr">
        <is>
          <t>flat_probability_shrinkage_toward_half</t>
        </is>
      </c>
      <c r="BC229" s="24" t="inlineStr">
        <is>
          <t>measured-edge-margin-v3</t>
        </is>
      </c>
      <c r="BD229" s="24" t="inlineStr">
        <is>
          <t>dd339a2eed50d7d83ab2127837995ddab82e879afd27f5414bb6c1f9cd60ba4c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2026-08-06T00:23:19.173489Z</t>
        </is>
      </c>
      <c r="BI229" s="24" t="inlineStr">
        <is>
          <t>["same_event","same_team_same_day","same_league_same_day"]</t>
        </is>
      </c>
      <c r="BJ229" s="25" t="n">
        <v>-1.5</v>
      </c>
      <c r="BK229" s="26" t="n">
        <v>127</v>
      </c>
      <c r="BL229" s="27" t="n">
        <v>2.27</v>
      </c>
      <c r="BM229" s="28" t="n">
        <v>0.440529</v>
      </c>
      <c r="BN229" s="28" t="n">
        <v>0.435644</v>
      </c>
      <c r="BO229" s="28" t="n"/>
      <c r="BP229" s="25" t="n"/>
      <c r="BQ229" s="27" t="n">
        <v>2.27</v>
      </c>
      <c r="BR229" s="28" t="n">
        <v>0.44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</row>
    <row r="230" ht="36" customHeight="1">
      <c r="A230" s="24" t="inlineStr">
        <is>
          <t>8436ed2961fc4b95</t>
        </is>
      </c>
      <c r="B230" s="24" t="inlineStr">
        <is>
          <t>2026-08-06T00:23:19.173489Z</t>
        </is>
      </c>
      <c r="C230" s="24" t="inlineStr">
        <is>
          <t>2026-08-06T01:40Z</t>
        </is>
      </c>
      <c r="D230" s="24" t="inlineStr">
        <is>
          <t>401816413</t>
        </is>
      </c>
      <c r="E230" s="24" t="inlineStr">
        <is>
          <t>MLB</t>
        </is>
      </c>
      <c r="F230" s="24" t="inlineStr">
        <is>
          <t>San Diego Padres</t>
        </is>
      </c>
      <c r="G230" s="24" t="inlineStr">
        <is>
          <t>Arizona Diamondbacks</t>
        </is>
      </c>
      <c r="H230" s="24" t="inlineStr">
        <is>
          <t>total</t>
        </is>
      </c>
      <c r="I230" s="24" t="inlineStr">
        <is>
          <t>over</t>
        </is>
      </c>
      <c r="J230" s="25" t="n">
        <v>8.5</v>
      </c>
      <c r="K230" s="24" t="inlineStr">
        <is>
          <t>polymarket_us</t>
        </is>
      </c>
      <c r="L230" s="26" t="n">
        <v>-104</v>
      </c>
      <c r="M230" s="27" t="n">
        <v>1.961538</v>
      </c>
      <c r="N230" s="28" t="n">
        <v>0.509804</v>
      </c>
      <c r="O230" s="28" t="n">
        <v>0.513153</v>
      </c>
      <c r="P230" s="28" t="n">
        <v>0.05172</v>
      </c>
      <c r="Q230" s="28" t="n">
        <v>0.003349</v>
      </c>
      <c r="R230" s="26" t="n">
        <v>22</v>
      </c>
      <c r="S230" s="29" t="n">
        <v>0</v>
      </c>
      <c r="T230" s="24" t="inlineStr">
        <is>
          <t>measured-edge-totals-v3</t>
        </is>
      </c>
      <c r="U230" s="24" t="inlineStr">
        <is>
          <t>settled</t>
        </is>
      </c>
      <c r="V230" s="24" t="inlineStr">
        <is>
          <t>win</t>
        </is>
      </c>
      <c r="W230" s="26" t="n">
        <v>4</v>
      </c>
      <c r="X230" s="26" t="n">
        <v>10</v>
      </c>
      <c r="Y230" s="25" t="n">
        <v>8.5</v>
      </c>
      <c r="Z230" s="26" t="n">
        <v>-104</v>
      </c>
      <c r="AA230" s="28" t="n">
        <v>0.51</v>
      </c>
      <c r="AB230" s="28" t="n">
        <v>0.000196</v>
      </c>
      <c r="AC230" s="30" t="n">
        <v>0</v>
      </c>
      <c r="AD230" s="24" t="inlineStr">
        <is>
          <t>2026-08-06T18:54:16.936484Z</t>
        </is>
      </c>
      <c r="AE230" s="31" t="inlineStr">
        <is>
          <t>Measured Edge Totals: Trend Engine projected 4.83-4.33; raw selected-side p=0.5296, calibrated p=0.5132.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NO_CALL_WINNER_OVERVALUED</t>
        </is>
      </c>
      <c r="AP230" s="24" t="inlineStr">
        <is>
          <t>mlb-sd</t>
        </is>
      </c>
      <c r="AQ230" s="24" t="inlineStr">
        <is>
          <t>San Diego Padres</t>
        </is>
      </c>
      <c r="AR230" s="24" t="inlineStr">
        <is>
          <t>San Diego Padres</t>
        </is>
      </c>
      <c r="AS230" s="24" t="inlineStr">
        <is>
          <t>mlb-ari</t>
        </is>
      </c>
      <c r="AT230" s="24" t="inlineStr">
        <is>
          <t>Arizona Diamondbacks</t>
        </is>
      </c>
      <c r="AU230" s="24" t="inlineStr">
        <is>
          <t>Arizona Diamondbacks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95b84332c75d2ce54036eb8de6ada9c78d0f80228c50825c0347281a8b9b49c7</t>
        </is>
      </c>
      <c r="BB230" s="24" t="inlineStr">
        <is>
          <t>flat_probability_shrinkage_toward_half</t>
        </is>
      </c>
      <c r="BC230" s="24" t="inlineStr">
        <is>
          <t>measured-edge-totals-v3</t>
        </is>
      </c>
      <c r="BD230" s="24" t="inlineStr">
        <is>
          <t>95b84332c75d2ce54036eb8de6ada9c78d0f80228c50825c0347281a8b9b49c7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2026-08-06T00:23:19.173489Z</t>
        </is>
      </c>
      <c r="BI230" s="24" t="inlineStr">
        <is>
          <t>["same_event","same_team_same_day","same_league_same_day"]</t>
        </is>
      </c>
      <c r="BJ230" s="25" t="n">
        <v>8.5</v>
      </c>
      <c r="BK230" s="26" t="n">
        <v>-104</v>
      </c>
      <c r="BL230" s="27" t="n">
        <v>1.961538</v>
      </c>
      <c r="BM230" s="28" t="n">
        <v>0.509804</v>
      </c>
      <c r="BN230" s="28" t="n">
        <v>0.507463</v>
      </c>
      <c r="BO230" s="28" t="n"/>
      <c r="BP230" s="25" t="n"/>
      <c r="BQ230" s="27" t="n">
        <v>1.961538</v>
      </c>
      <c r="BR230" s="28" t="n">
        <v>0.51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</row>
    <row r="231" ht="36" customHeight="1">
      <c r="A231" s="24" t="inlineStr">
        <is>
          <t>08686cc71921402b</t>
        </is>
      </c>
      <c r="B231" s="24" t="inlineStr">
        <is>
          <t>2026-08-06T18:58:18.495512Z</t>
        </is>
      </c>
      <c r="C231" s="24" t="inlineStr">
        <is>
          <t>2026-08-06T16:10:00-0400</t>
        </is>
      </c>
      <c r="D231" s="24" t="inlineStr">
        <is>
          <t>401816422</t>
        </is>
      </c>
      <c r="E231" s="24" t="inlineStr">
        <is>
          <t>MLB</t>
        </is>
      </c>
      <c r="F231" s="24" t="inlineStr">
        <is>
          <t>Detroit Tigers</t>
        </is>
      </c>
      <c r="G231" s="24" t="inlineStr">
        <is>
          <t>Seattle Mariners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-113</v>
      </c>
      <c r="M231" s="27" t="n">
        <v>1.884956</v>
      </c>
      <c r="N231" s="28" t="n">
        <v>0.530516</v>
      </c>
      <c r="O231" s="28" t="n">
        <v>0.558121</v>
      </c>
      <c r="P231" s="28" t="n"/>
      <c r="Q231" s="28" t="n">
        <v>0.027605</v>
      </c>
      <c r="R231" s="26" t="n">
        <v>35</v>
      </c>
      <c r="S231" s="29" t="n">
        <v>0</v>
      </c>
      <c r="T231" s="24" t="inlineStr">
        <is>
          <t>mlb-elo-trend-lr-v8</t>
        </is>
      </c>
      <c r="U231" s="24" t="inlineStr">
        <is>
          <t>settled</t>
        </is>
      </c>
      <c r="V231" s="24" t="inlineStr">
        <is>
          <t>loss</t>
        </is>
      </c>
      <c r="W231" s="26" t="n">
        <v>11</v>
      </c>
      <c r="X231" s="26" t="n">
        <v>0</v>
      </c>
      <c r="Y231" s="25" t="n"/>
      <c r="Z231" s="26" t="n">
        <v>-113</v>
      </c>
      <c r="AA231" s="28" t="n">
        <v>0.53</v>
      </c>
      <c r="AB231" s="28" t="n">
        <v>-0.000516</v>
      </c>
      <c r="AC231" s="30" t="n">
        <v>0</v>
      </c>
      <c r="AD231" s="24" t="inlineStr">
        <is>
          <t>2026-08-07T09:06:24.486479Z</t>
        </is>
      </c>
      <c r="AE231" s="31" t="inlineStr">
        <is>
          <t>Learned LR call at threshold 0.5873; executable ask 0.5300 (aec-mlb-det-sea-2026-08-06); model edge vs ask +0.0281.</t>
        </is>
      </c>
      <c r="AF231" s="31" t="inlineStr">
        <is>
          <t>Learned model; shadow-qualified via operator override.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NO_CALL_WINNER_OVERVALUED</t>
        </is>
      </c>
      <c r="AP231" s="24" t="inlineStr">
        <is>
          <t>mlb-det</t>
        </is>
      </c>
      <c r="AQ231" s="24" t="inlineStr">
        <is>
          <t>Detroit Tigers</t>
        </is>
      </c>
      <c r="AR231" s="24" t="inlineStr">
        <is>
          <t>Detroit Tigers</t>
        </is>
      </c>
      <c r="AS231" s="24" t="inlineStr">
        <is>
          <t>mlb-sea</t>
        </is>
      </c>
      <c r="AT231" s="24" t="inlineStr">
        <is>
          <t>Seattle Mariners</t>
        </is>
      </c>
      <c r="AU231" s="24" t="inlineStr">
        <is>
          <t>Seattle Mariners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6a5c79541b0e50cb9f7318270e63d5ccc65cbd7bc53a019748ff772d49de5075</t>
        </is>
      </c>
      <c r="BB231" s="24" t="inlineStr">
        <is>
          <t>learned_lr</t>
        </is>
      </c>
      <c r="BC231" s="24" t="inlineStr">
        <is>
          <t>mlb-elo-trend-lr-v8</t>
        </is>
      </c>
      <c r="BD231" s="24" t="inlineStr">
        <is>
          <t>6a5c79541b0e50cb9f7318270e63d5ccc65cbd7bc53a019748ff772d49de5075</t>
        </is>
      </c>
      <c r="BE231" s="24" t="inlineStr">
        <is>
          <t>77aa3b27790b8cf7</t>
        </is>
      </c>
      <c r="BF231" s="24" t="inlineStr">
        <is>
          <t>1</t>
        </is>
      </c>
      <c r="BG231" s="24" t="inlineStr">
        <is>
          <t>mlb-elo-trend-lr-v8</t>
        </is>
      </c>
      <c r="BH231" s="24" t="inlineStr">
        <is>
          <t>2026-08-06T18:57:53.058009Z</t>
        </is>
      </c>
      <c r="BI231" s="24" t="inlineStr">
        <is>
          <t>["same_event","same_team_same_day","same_league_same_day"]</t>
        </is>
      </c>
      <c r="BJ231" s="25" t="n"/>
      <c r="BK231" s="26" t="n">
        <v>-113</v>
      </c>
      <c r="BL231" s="27" t="n">
        <v>1.884956</v>
      </c>
      <c r="BM231" s="28" t="n">
        <v>0.530516</v>
      </c>
      <c r="BN231" s="28" t="n">
        <v>0.527363</v>
      </c>
      <c r="BO231" s="28" t="n"/>
      <c r="BP231" s="25" t="n"/>
      <c r="BQ231" s="27" t="n">
        <v>1.884956</v>
      </c>
      <c r="BR231" s="28" t="n">
        <v>0.53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inlineStr">
        <is>
          <t>0.5118338721</t>
        </is>
      </c>
      <c r="CD231" s="24" t="inlineStr">
        <is>
          <t>-1.896927</t>
        </is>
      </c>
      <c r="CE231" s="24" t="inlineStr">
        <is>
          <t>0.938</t>
        </is>
      </c>
      <c r="CF231" s="24" t="inlineStr">
        <is>
          <t>1.0</t>
        </is>
      </c>
      <c r="CG231" s="24" t="n"/>
      <c r="CH231" s="24" t="n"/>
      <c r="CI231" s="24" t="n"/>
      <c r="CJ231" s="24" t="inlineStr">
        <is>
          <t>-1.161774</t>
        </is>
      </c>
      <c r="CK231" s="24" t="n"/>
      <c r="CL231" s="24" t="inlineStr">
        <is>
          <t>0.300803</t>
        </is>
      </c>
      <c r="CM231" s="24" t="inlineStr">
        <is>
          <t>-0.5977</t>
        </is>
      </c>
      <c r="CN231" s="24" t="n"/>
      <c r="CO231" s="24" t="n"/>
      <c r="CP231" s="24" t="n"/>
      <c r="CQ231" s="24" t="n"/>
      <c r="CR231" s="24" t="inlineStr">
        <is>
          <t>0.558121</t>
        </is>
      </c>
      <c r="CS231" s="24" t="inlineStr">
        <is>
          <t>True</t>
        </is>
      </c>
    </row>
    <row r="232" ht="36" customHeight="1">
      <c r="A232" s="24" t="inlineStr">
        <is>
          <t>ef62f42dc4b745a1</t>
        </is>
      </c>
      <c r="B232" s="24" t="inlineStr">
        <is>
          <t>2026-08-06T18:58:18.495512Z</t>
        </is>
      </c>
      <c r="C232" s="24" t="inlineStr">
        <is>
          <t>2026-08-06T18:05:00-0400</t>
        </is>
      </c>
      <c r="D232" s="24" t="inlineStr">
        <is>
          <t>401816419</t>
        </is>
      </c>
      <c r="E232" s="24" t="inlineStr">
        <is>
          <t>MLB</t>
        </is>
      </c>
      <c r="F232" s="24" t="inlineStr">
        <is>
          <t>Washington Nationals</t>
        </is>
      </c>
      <c r="G232" s="24" t="inlineStr">
        <is>
          <t>Philadelphia Phillies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-308</v>
      </c>
      <c r="M232" s="27" t="n">
        <v>1.324675</v>
      </c>
      <c r="N232" s="28" t="n">
        <v>0.754902</v>
      </c>
      <c r="O232" s="28" t="n">
        <v>0.579716</v>
      </c>
      <c r="P232" s="28" t="n"/>
      <c r="Q232" s="28" t="n">
        <v>-0.175186</v>
      </c>
      <c r="R232" s="26" t="n">
        <v>0</v>
      </c>
      <c r="S232" s="29" t="n">
        <v>0</v>
      </c>
      <c r="T232" s="24" t="inlineStr">
        <is>
          <t>mlb-elo-trend-lr-v8</t>
        </is>
      </c>
      <c r="U232" s="24" t="inlineStr">
        <is>
          <t>settled</t>
        </is>
      </c>
      <c r="V232" s="24" t="inlineStr">
        <is>
          <t>win</t>
        </is>
      </c>
      <c r="W232" s="26" t="n">
        <v>3</v>
      </c>
      <c r="X232" s="26" t="n">
        <v>7</v>
      </c>
      <c r="Y232" s="25" t="n"/>
      <c r="Z232" s="26" t="n">
        <v>-308</v>
      </c>
      <c r="AA232" s="28" t="n">
        <v>0.755</v>
      </c>
      <c r="AB232" s="28" t="n">
        <v>9.8e-05</v>
      </c>
      <c r="AC232" s="30" t="n">
        <v>0</v>
      </c>
      <c r="AD232" s="24" t="inlineStr">
        <is>
          <t>2026-08-07T09:06:25.689946Z</t>
        </is>
      </c>
      <c r="AE232" s="31" t="inlineStr">
        <is>
          <t>Learned LR call at threshold 0.5873; executable ask 0.7550 (aec-mlb-wsh-phi-2026-08-06); model edge vs ask -0.1753. NOTE: NO_CALL_STARTER_ERA_GAP_INSUFFICIENT_HISTORY unavailable for this game — defaulted to neutral, other features used normally.</t>
        </is>
      </c>
      <c r="AF232" s="31" t="inlineStr">
        <is>
          <t>Learned model; shadow-qualified via operator override.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NO_CALL_WINNER_OVERVALUED</t>
        </is>
      </c>
      <c r="AP232" s="24" t="inlineStr">
        <is>
          <t>mlb-wsh</t>
        </is>
      </c>
      <c r="AQ232" s="24" t="inlineStr">
        <is>
          <t>Washington Nationals</t>
        </is>
      </c>
      <c r="AR232" s="24" t="inlineStr">
        <is>
          <t>Washington Nationals</t>
        </is>
      </c>
      <c r="AS232" s="24" t="inlineStr">
        <is>
          <t>mlb-phi</t>
        </is>
      </c>
      <c r="AT232" s="24" t="inlineStr">
        <is>
          <t>Philadelphia Phillies</t>
        </is>
      </c>
      <c r="AU232" s="24" t="inlineStr">
        <is>
          <t>Philadelphia Phillies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6a5c79541b0e50cb9f7318270e63d5ccc65cbd7bc53a019748ff772d49de5075</t>
        </is>
      </c>
      <c r="BB232" s="24" t="inlineStr">
        <is>
          <t>learned_lr</t>
        </is>
      </c>
      <c r="BC232" s="24" t="inlineStr">
        <is>
          <t>mlb-elo-trend-lr-v8</t>
        </is>
      </c>
      <c r="BD232" s="24" t="inlineStr">
        <is>
          <t>6a5c79541b0e50cb9f7318270e63d5ccc65cbd7bc53a019748ff772d49de5075</t>
        </is>
      </c>
      <c r="BE232" s="24" t="inlineStr">
        <is>
          <t>3e52859e0e873013</t>
        </is>
      </c>
      <c r="BF232" s="24" t="inlineStr">
        <is>
          <t>1</t>
        </is>
      </c>
      <c r="BG232" s="24" t="inlineStr">
        <is>
          <t>mlb-elo-trend-lr-v8</t>
        </is>
      </c>
      <c r="BH232" s="24" t="inlineStr">
        <is>
          <t>2026-08-06T18:57:53.844371Z</t>
        </is>
      </c>
      <c r="BI232" s="24" t="inlineStr">
        <is>
          <t>["same_event","same_team_same_day","same_league_same_day"]</t>
        </is>
      </c>
      <c r="BJ232" s="25" t="n"/>
      <c r="BK232" s="26" t="n">
        <v>-308</v>
      </c>
      <c r="BL232" s="27" t="n">
        <v>1.324675</v>
      </c>
      <c r="BM232" s="28" t="n">
        <v>0.754902</v>
      </c>
      <c r="BN232" s="28" t="n">
        <v>0.751244</v>
      </c>
      <c r="BO232" s="28" t="n"/>
      <c r="BP232" s="25" t="n"/>
      <c r="BQ232" s="27" t="n">
        <v>1.324675</v>
      </c>
      <c r="BR232" s="28" t="n">
        <v>0.755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inlineStr">
        <is>
          <t>0.6313537645</t>
        </is>
      </c>
      <c r="CD232" s="24" t="inlineStr">
        <is>
          <t>0.613729</t>
        </is>
      </c>
      <c r="CE232" s="24" t="inlineStr">
        <is>
          <t>1.02</t>
        </is>
      </c>
      <c r="CF232" s="24" t="inlineStr">
        <is>
          <t>1.0162</t>
        </is>
      </c>
      <c r="CG232" s="24" t="n"/>
      <c r="CH232" s="24" t="n"/>
      <c r="CI232" s="24" t="inlineStr">
        <is>
          <t>NO_CALL_STARTER_ERA_GAP_INSUFFICIENT_HISTORY</t>
        </is>
      </c>
      <c r="CJ232" s="24" t="inlineStr">
        <is>
          <t>0.060121</t>
        </is>
      </c>
      <c r="CK232" s="24" t="n"/>
      <c r="CL232" s="24" t="inlineStr">
        <is>
          <t>-0.506633</t>
        </is>
      </c>
      <c r="CM232" s="24" t="inlineStr">
        <is>
          <t>0.0</t>
        </is>
      </c>
      <c r="CN232" s="24" t="n"/>
      <c r="CO232" s="24" t="n"/>
      <c r="CP232" s="24" t="n"/>
      <c r="CQ232" s="24" t="n"/>
      <c r="CR232" s="24" t="inlineStr">
        <is>
          <t>0.579716</t>
        </is>
      </c>
      <c r="CS232" s="24" t="inlineStr">
        <is>
          <t>False</t>
        </is>
      </c>
    </row>
    <row r="233" ht="36" customHeight="1">
      <c r="A233" s="24" t="inlineStr">
        <is>
          <t>a88df96abd9b46bd</t>
        </is>
      </c>
      <c r="B233" s="24" t="inlineStr">
        <is>
          <t>2026-08-06T18:58:18.495512Z</t>
        </is>
      </c>
      <c r="C233" s="24" t="inlineStr">
        <is>
          <t>2026-08-06T19:10:00-0400</t>
        </is>
      </c>
      <c r="D233" s="24" t="inlineStr">
        <is>
          <t>401816416</t>
        </is>
      </c>
      <c r="E233" s="24" t="inlineStr">
        <is>
          <t>MLB</t>
        </is>
      </c>
      <c r="F233" s="24" t="inlineStr">
        <is>
          <t>Chicago White Sox</t>
        </is>
      </c>
      <c r="G233" s="24" t="inlineStr">
        <is>
          <t>Boston Red Sox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-178</v>
      </c>
      <c r="M233" s="27" t="n">
        <v>1.561798</v>
      </c>
      <c r="N233" s="28" t="n">
        <v>0.640288</v>
      </c>
      <c r="O233" s="28" t="n">
        <v>0.576121</v>
      </c>
      <c r="P233" s="28" t="n"/>
      <c r="Q233" s="28" t="n">
        <v>-0.064167</v>
      </c>
      <c r="R233" s="26" t="n">
        <v>0</v>
      </c>
      <c r="S233" s="29" t="n">
        <v>0</v>
      </c>
      <c r="T233" s="24" t="inlineStr">
        <is>
          <t>mlb-elo-trend-lr-v8</t>
        </is>
      </c>
      <c r="U233" s="24" t="inlineStr">
        <is>
          <t>settled</t>
        </is>
      </c>
      <c r="V233" s="24" t="inlineStr">
        <is>
          <t>win</t>
        </is>
      </c>
      <c r="W233" s="26" t="n">
        <v>11</v>
      </c>
      <c r="X233" s="26" t="n">
        <v>12</v>
      </c>
      <c r="Y233" s="25" t="n"/>
      <c r="Z233" s="26" t="n">
        <v>-178</v>
      </c>
      <c r="AA233" s="28" t="n">
        <v>0.64</v>
      </c>
      <c r="AB233" s="28" t="n">
        <v>-0.000288</v>
      </c>
      <c r="AC233" s="30" t="n">
        <v>0</v>
      </c>
      <c r="AD233" s="24" t="inlineStr">
        <is>
          <t>2026-08-07T09:06:26.838070Z</t>
        </is>
      </c>
      <c r="AE233" s="31" t="inlineStr">
        <is>
          <t>Learned LR call at threshold 0.5873; executable ask 0.6400 (aec-mlb-cws-bos-2026-08-06); model edge vs ask -0.0639.</t>
        </is>
      </c>
      <c r="AF233" s="31" t="inlineStr">
        <is>
          <t>Learned model; shadow-qualified via operator override.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NO_CALL_WINNER_OVERVALUED</t>
        </is>
      </c>
      <c r="AP233" s="24" t="inlineStr">
        <is>
          <t>mlb-cws</t>
        </is>
      </c>
      <c r="AQ233" s="24" t="inlineStr">
        <is>
          <t>Chicago White Sox</t>
        </is>
      </c>
      <c r="AR233" s="24" t="inlineStr">
        <is>
          <t>Chicago White Sox</t>
        </is>
      </c>
      <c r="AS233" s="24" t="inlineStr">
        <is>
          <t>mlb-bos</t>
        </is>
      </c>
      <c r="AT233" s="24" t="inlineStr">
        <is>
          <t>Boston Red Sox</t>
        </is>
      </c>
      <c r="AU233" s="24" t="inlineStr">
        <is>
          <t>Boston Red Sox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6a5c79541b0e50cb9f7318270e63d5ccc65cbd7bc53a019748ff772d49de5075</t>
        </is>
      </c>
      <c r="BB233" s="24" t="inlineStr">
        <is>
          <t>learned_lr</t>
        </is>
      </c>
      <c r="BC233" s="24" t="inlineStr">
        <is>
          <t>mlb-elo-trend-lr-v8</t>
        </is>
      </c>
      <c r="BD233" s="24" t="inlineStr">
        <is>
          <t>6a5c79541b0e50cb9f7318270e63d5ccc65cbd7bc53a019748ff772d49de5075</t>
        </is>
      </c>
      <c r="BE233" s="24" t="inlineStr">
        <is>
          <t>848a1fa2a5c55f74</t>
        </is>
      </c>
      <c r="BF233" s="24" t="inlineStr">
        <is>
          <t>1</t>
        </is>
      </c>
      <c r="BG233" s="24" t="inlineStr">
        <is>
          <t>mlb-elo-trend-lr-v8</t>
        </is>
      </c>
      <c r="BH233" s="24" t="inlineStr">
        <is>
          <t>2026-08-06T18:57:54.201474Z</t>
        </is>
      </c>
      <c r="BI233" s="24" t="inlineStr">
        <is>
          <t>["same_event","same_team_same_day","same_league_same_day"]</t>
        </is>
      </c>
      <c r="BJ233" s="25" t="n"/>
      <c r="BK233" s="26" t="n">
        <v>-178</v>
      </c>
      <c r="BL233" s="27" t="n">
        <v>1.561798</v>
      </c>
      <c r="BM233" s="28" t="n">
        <v>0.640288</v>
      </c>
      <c r="BN233" s="28" t="n">
        <v>0.636816</v>
      </c>
      <c r="BO233" s="28" t="n"/>
      <c r="BP233" s="25" t="n"/>
      <c r="BQ233" s="27" t="n">
        <v>1.561798</v>
      </c>
      <c r="BR233" s="28" t="n">
        <v>0.64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inlineStr">
        <is>
          <t>0.6273067169</t>
        </is>
      </c>
      <c r="CD233" s="24" t="inlineStr">
        <is>
          <t>2.702657</t>
        </is>
      </c>
      <c r="CE233" s="24" t="inlineStr">
        <is>
          <t>1.019</t>
        </is>
      </c>
      <c r="CF233" s="24" t="inlineStr">
        <is>
          <t>1.0148</t>
        </is>
      </c>
      <c r="CG233" s="24" t="n"/>
      <c r="CH233" s="24" t="n"/>
      <c r="CI233" s="24" t="n"/>
      <c r="CJ233" s="24" t="inlineStr">
        <is>
          <t>1.369787</t>
        </is>
      </c>
      <c r="CK233" s="24" t="n"/>
      <c r="CL233" s="24" t="inlineStr">
        <is>
          <t>-0.201961</t>
        </is>
      </c>
      <c r="CM233" s="24" t="inlineStr">
        <is>
          <t>-0.1006</t>
        </is>
      </c>
      <c r="CN233" s="24" t="n"/>
      <c r="CO233" s="24" t="n"/>
      <c r="CP233" s="24" t="n"/>
      <c r="CQ233" s="24" t="n"/>
      <c r="CR233" s="24" t="inlineStr">
        <is>
          <t>0.576121</t>
        </is>
      </c>
      <c r="CS233" s="24" t="inlineStr">
        <is>
          <t>False</t>
        </is>
      </c>
    </row>
    <row r="234" ht="36" customHeight="1">
      <c r="A234" s="24" t="inlineStr">
        <is>
          <t>bda428b356594a2b</t>
        </is>
      </c>
      <c r="B234" s="24" t="inlineStr">
        <is>
          <t>2026-08-06T18:58:18.495512Z</t>
        </is>
      </c>
      <c r="C234" s="24" t="inlineStr">
        <is>
          <t>2026-08-06T19:15:00-0400</t>
        </is>
      </c>
      <c r="D234" s="24" t="inlineStr">
        <is>
          <t>401816417</t>
        </is>
      </c>
      <c r="E234" s="24" t="inlineStr">
        <is>
          <t>MLB</t>
        </is>
      </c>
      <c r="F234" s="24" t="inlineStr">
        <is>
          <t>Miami Marlins</t>
        </is>
      </c>
      <c r="G234" s="24" t="inlineStr">
        <is>
          <t>Atlanta Braves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-135</v>
      </c>
      <c r="M234" s="27" t="n">
        <v>1.740741</v>
      </c>
      <c r="N234" s="28" t="n">
        <v>0.574468</v>
      </c>
      <c r="O234" s="28" t="n">
        <v>0.594958</v>
      </c>
      <c r="P234" s="28" t="n"/>
      <c r="Q234" s="28" t="n">
        <v>0.02049</v>
      </c>
      <c r="R234" s="26" t="n">
        <v>31</v>
      </c>
      <c r="S234" s="29" t="n">
        <v>0</v>
      </c>
      <c r="T234" s="24" t="inlineStr">
        <is>
          <t>mlb-elo-trend-lr-v8</t>
        </is>
      </c>
      <c r="U234" s="24" t="inlineStr">
        <is>
          <t>settled</t>
        </is>
      </c>
      <c r="V234" s="24" t="inlineStr">
        <is>
          <t>win</t>
        </is>
      </c>
      <c r="W234" s="26" t="n">
        <v>3</v>
      </c>
      <c r="X234" s="26" t="n">
        <v>11</v>
      </c>
      <c r="Y234" s="25" t="n"/>
      <c r="Z234" s="26" t="n">
        <v>-135</v>
      </c>
      <c r="AA234" s="28" t="n">
        <v>0.575</v>
      </c>
      <c r="AB234" s="28" t="n">
        <v>0.000532</v>
      </c>
      <c r="AC234" s="30" t="n">
        <v>0</v>
      </c>
      <c r="AD234" s="24" t="inlineStr">
        <is>
          <t>2026-08-07T09:06:28.020111Z</t>
        </is>
      </c>
      <c r="AE234" s="31" t="inlineStr">
        <is>
          <t>Learned LR call at threshold 0.5873; executable ask 0.5750 (aec-mlb-mia-atl-2026-08-06); model edge vs ask +0.0200. NOTE: NO_CALL_STARTER_ERA_GAP_INSUFFICIENT_HISTORY unavailable for this game — defaulted to neutral, other features used normally.</t>
        </is>
      </c>
      <c r="AF234" s="31" t="inlineStr">
        <is>
          <t>Learned model; shadow-qualified via operator override.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NO_CALL_WINNER_OVERVALUED</t>
        </is>
      </c>
      <c r="AP234" s="24" t="inlineStr">
        <is>
          <t>mlb-mia</t>
        </is>
      </c>
      <c r="AQ234" s="24" t="inlineStr">
        <is>
          <t>Miami Marlins</t>
        </is>
      </c>
      <c r="AR234" s="24" t="inlineStr">
        <is>
          <t>Miami Marlins</t>
        </is>
      </c>
      <c r="AS234" s="24" t="inlineStr">
        <is>
          <t>mlb-atl</t>
        </is>
      </c>
      <c r="AT234" s="24" t="inlineStr">
        <is>
          <t>Atlanta Braves</t>
        </is>
      </c>
      <c r="AU234" s="24" t="inlineStr">
        <is>
          <t>Atlanta Braves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6a5c79541b0e50cb9f7318270e63d5ccc65cbd7bc53a019748ff772d49de5075</t>
        </is>
      </c>
      <c r="BB234" s="24" t="inlineStr">
        <is>
          <t>learned_lr</t>
        </is>
      </c>
      <c r="BC234" s="24" t="inlineStr">
        <is>
          <t>mlb-elo-trend-lr-v8</t>
        </is>
      </c>
      <c r="BD234" s="24" t="inlineStr">
        <is>
          <t>6a5c79541b0e50cb9f7318270e63d5ccc65cbd7bc53a019748ff772d49de5075</t>
        </is>
      </c>
      <c r="BE234" s="24" t="inlineStr">
        <is>
          <t>f529e3d523db2fe0</t>
        </is>
      </c>
      <c r="BF234" s="24" t="inlineStr">
        <is>
          <t>1</t>
        </is>
      </c>
      <c r="BG234" s="24" t="inlineStr">
        <is>
          <t>mlb-elo-trend-lr-v8</t>
        </is>
      </c>
      <c r="BH234" s="24" t="inlineStr">
        <is>
          <t>2026-08-06T18:57:54.768966Z</t>
        </is>
      </c>
      <c r="BI234" s="24" t="inlineStr">
        <is>
          <t>["same_event","same_team_same_day","same_league_same_day"]</t>
        </is>
      </c>
      <c r="BJ234" s="25" t="n"/>
      <c r="BK234" s="26" t="n">
        <v>-135</v>
      </c>
      <c r="BL234" s="27" t="n">
        <v>1.740741</v>
      </c>
      <c r="BM234" s="28" t="n">
        <v>0.574468</v>
      </c>
      <c r="BN234" s="28" t="n">
        <v>0.572139</v>
      </c>
      <c r="BO234" s="28" t="n"/>
      <c r="BP234" s="25" t="n"/>
      <c r="BQ234" s="27" t="n">
        <v>1.740741</v>
      </c>
      <c r="BR234" s="28" t="n">
        <v>0.575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inlineStr">
        <is>
          <t>0.5985473817</t>
        </is>
      </c>
      <c r="CD234" s="24" t="inlineStr">
        <is>
          <t>0.497636</t>
        </is>
      </c>
      <c r="CE234" s="24" t="inlineStr">
        <is>
          <t>0.929</t>
        </is>
      </c>
      <c r="CF234" s="24" t="inlineStr">
        <is>
          <t>1.0147</t>
        </is>
      </c>
      <c r="CG234" s="24" t="n"/>
      <c r="CH234" s="24" t="n"/>
      <c r="CI234" s="24" t="inlineStr">
        <is>
          <t>NO_CALL_STARTER_ERA_GAP_INSUFFICIENT_HISTORY</t>
        </is>
      </c>
      <c r="CJ234" s="24" t="inlineStr">
        <is>
          <t>0.555685</t>
        </is>
      </c>
      <c r="CK234" s="24" t="n"/>
      <c r="CL234" s="24" t="inlineStr">
        <is>
          <t>0.001632</t>
        </is>
      </c>
      <c r="CM234" s="24" t="inlineStr">
        <is>
          <t>0.0</t>
        </is>
      </c>
      <c r="CN234" s="24" t="n"/>
      <c r="CO234" s="24" t="n"/>
      <c r="CP234" s="24" t="n"/>
      <c r="CQ234" s="24" t="n"/>
      <c r="CR234" s="24" t="inlineStr">
        <is>
          <t>0.594958</t>
        </is>
      </c>
      <c r="CS234" s="24" t="inlineStr">
        <is>
          <t>True</t>
        </is>
      </c>
    </row>
    <row r="235" ht="36" customHeight="1">
      <c r="A235" s="24" t="inlineStr">
        <is>
          <t>9b4227b9515d4e38</t>
        </is>
      </c>
      <c r="B235" s="24" t="inlineStr">
        <is>
          <t>2026-08-06T18:58:18.495512Z</t>
        </is>
      </c>
      <c r="C235" s="24" t="inlineStr">
        <is>
          <t>2026-08-06T19:30:00-0400</t>
        </is>
      </c>
      <c r="D235" s="24" t="inlineStr">
        <is>
          <t>401816420</t>
        </is>
      </c>
      <c r="E235" s="24" t="inlineStr">
        <is>
          <t>MLB</t>
        </is>
      </c>
      <c r="F235" s="24" t="inlineStr">
        <is>
          <t>Minnesota Twins</t>
        </is>
      </c>
      <c r="G235" s="24" t="inlineStr">
        <is>
          <t>Kansas City Royals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-115</v>
      </c>
      <c r="M235" s="27" t="n">
        <v>1.869565</v>
      </c>
      <c r="N235" s="28" t="n">
        <v>0.534884</v>
      </c>
      <c r="O235" s="28" t="n">
        <v>0.55965</v>
      </c>
      <c r="P235" s="28" t="n"/>
      <c r="Q235" s="28" t="n">
        <v>0.024766</v>
      </c>
      <c r="R235" s="26" t="n">
        <v>34</v>
      </c>
      <c r="S235" s="29" t="n">
        <v>0</v>
      </c>
      <c r="T235" s="24" t="inlineStr">
        <is>
          <t>mlb-elo-trend-lr-v8</t>
        </is>
      </c>
      <c r="U235" s="24" t="inlineStr">
        <is>
          <t>settled</t>
        </is>
      </c>
      <c r="V235" s="24" t="inlineStr">
        <is>
          <t>loss</t>
        </is>
      </c>
      <c r="W235" s="26" t="n">
        <v>4</v>
      </c>
      <c r="X235" s="26" t="n">
        <v>3</v>
      </c>
      <c r="Y235" s="25" t="n"/>
      <c r="Z235" s="26" t="n">
        <v>-115</v>
      </c>
      <c r="AA235" s="28" t="n">
        <v>0.535</v>
      </c>
      <c r="AB235" s="28" t="n">
        <v>0.000116</v>
      </c>
      <c r="AC235" s="30" t="n">
        <v>0</v>
      </c>
      <c r="AD235" s="24" t="inlineStr">
        <is>
          <t>2026-08-07T09:06:29.140766Z</t>
        </is>
      </c>
      <c r="AE235" s="31" t="inlineStr">
        <is>
          <t>Learned LR call at threshold 0.5873; executable ask 0.5350 (aec-mlb-min-kc-2026-08-06); model edge vs ask +0.0246.</t>
        </is>
      </c>
      <c r="AF235" s="31" t="inlineStr">
        <is>
          <t>Learned model; shadow-qualified via operator override.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NO_CALL_WINNER_OVERVALUED</t>
        </is>
      </c>
      <c r="AP235" s="24" t="inlineStr">
        <is>
          <t>mlb-min</t>
        </is>
      </c>
      <c r="AQ235" s="24" t="inlineStr">
        <is>
          <t>Minnesota Twins</t>
        </is>
      </c>
      <c r="AR235" s="24" t="inlineStr">
        <is>
          <t>Minnesota Twins</t>
        </is>
      </c>
      <c r="AS235" s="24" t="inlineStr">
        <is>
          <t>mlb-kc</t>
        </is>
      </c>
      <c r="AT235" s="24" t="inlineStr">
        <is>
          <t>Kansas City Royals</t>
        </is>
      </c>
      <c r="AU235" s="24" t="inlineStr">
        <is>
          <t>Kansas City Royals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6a5c79541b0e50cb9f7318270e63d5ccc65cbd7bc53a019748ff772d49de5075</t>
        </is>
      </c>
      <c r="BB235" s="24" t="inlineStr">
        <is>
          <t>learned_lr</t>
        </is>
      </c>
      <c r="BC235" s="24" t="inlineStr">
        <is>
          <t>mlb-elo-trend-lr-v8</t>
        </is>
      </c>
      <c r="BD235" s="24" t="inlineStr">
        <is>
          <t>6a5c79541b0e50cb9f7318270e63d5ccc65cbd7bc53a019748ff772d49de5075</t>
        </is>
      </c>
      <c r="BE235" s="24" t="inlineStr">
        <is>
          <t>e72f25a204594f46</t>
        </is>
      </c>
      <c r="BF235" s="24" t="inlineStr">
        <is>
          <t>1</t>
        </is>
      </c>
      <c r="BG235" s="24" t="inlineStr">
        <is>
          <t>mlb-elo-trend-lr-v8</t>
        </is>
      </c>
      <c r="BH235" s="24" t="inlineStr">
        <is>
          <t>2026-08-06T18:57:55.278501Z</t>
        </is>
      </c>
      <c r="BI235" s="24" t="inlineStr">
        <is>
          <t>["same_event","same_team_same_day","same_league_same_day"]</t>
        </is>
      </c>
      <c r="BJ235" s="25" t="n"/>
      <c r="BK235" s="26" t="n">
        <v>-115</v>
      </c>
      <c r="BL235" s="27" t="n">
        <v>1.869565</v>
      </c>
      <c r="BM235" s="28" t="n">
        <v>0.534884</v>
      </c>
      <c r="BN235" s="28" t="n">
        <v>0.532338</v>
      </c>
      <c r="BO235" s="28" t="n"/>
      <c r="BP235" s="25" t="n"/>
      <c r="BQ235" s="27" t="n">
        <v>1.869565</v>
      </c>
      <c r="BR235" s="28" t="n">
        <v>0.535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inlineStr">
        <is>
          <t>0.5194147604</t>
        </is>
      </c>
      <c r="CD235" s="24" t="inlineStr">
        <is>
          <t>0.240636</t>
        </is>
      </c>
      <c r="CE235" s="24" t="inlineStr">
        <is>
          <t>0.973</t>
        </is>
      </c>
      <c r="CF235" s="24" t="inlineStr">
        <is>
          <t>1.0102</t>
        </is>
      </c>
      <c r="CG235" s="24" t="n"/>
      <c r="CH235" s="24" t="n"/>
      <c r="CI235" s="24" t="n"/>
      <c r="CJ235" s="24" t="inlineStr">
        <is>
          <t>0.747114</t>
        </is>
      </c>
      <c r="CK235" s="24" t="n"/>
      <c r="CL235" s="24" t="inlineStr">
        <is>
          <t>0.615566</t>
        </is>
      </c>
      <c r="CM235" s="24" t="inlineStr">
        <is>
          <t>-1.8115</t>
        </is>
      </c>
      <c r="CN235" s="24" t="n"/>
      <c r="CO235" s="24" t="n"/>
      <c r="CP235" s="24" t="n"/>
      <c r="CQ235" s="24" t="n"/>
      <c r="CR235" s="24" t="inlineStr">
        <is>
          <t>0.55965</t>
        </is>
      </c>
      <c r="CS235" s="24" t="inlineStr">
        <is>
          <t>True</t>
        </is>
      </c>
    </row>
    <row r="236" ht="36" customHeight="1">
      <c r="A236" s="24" t="inlineStr">
        <is>
          <t>1311b9d6f8d84a49</t>
        </is>
      </c>
      <c r="B236" s="24" t="inlineStr">
        <is>
          <t>2026-08-06T18:58:18.495512Z</t>
        </is>
      </c>
      <c r="C236" s="24" t="inlineStr">
        <is>
          <t>2026-08-06T21:40:00-0400</t>
        </is>
      </c>
      <c r="D236" s="24" t="inlineStr">
        <is>
          <t>401816423</t>
        </is>
      </c>
      <c r="E236" s="24" t="inlineStr">
        <is>
          <t>MLB</t>
        </is>
      </c>
      <c r="F236" s="24" t="inlineStr">
        <is>
          <t>San Diego Padres</t>
        </is>
      </c>
      <c r="G236" s="24" t="inlineStr">
        <is>
          <t>Arizona Diamondbacks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100</v>
      </c>
      <c r="M236" s="27" t="n">
        <v>2</v>
      </c>
      <c r="N236" s="28" t="n">
        <v>0.5</v>
      </c>
      <c r="O236" s="28" t="n">
        <v>0.508065</v>
      </c>
      <c r="P236" s="28" t="n"/>
      <c r="Q236" s="28" t="n">
        <v>0.008064999999999999</v>
      </c>
      <c r="R236" s="26" t="n">
        <v>25</v>
      </c>
      <c r="S236" s="29" t="n">
        <v>0</v>
      </c>
      <c r="T236" s="24" t="inlineStr">
        <is>
          <t>mlb-elo-trend-lr-v8</t>
        </is>
      </c>
      <c r="U236" s="24" t="inlineStr">
        <is>
          <t>settled</t>
        </is>
      </c>
      <c r="V236" s="24" t="inlineStr">
        <is>
          <t>loss</t>
        </is>
      </c>
      <c r="W236" s="26" t="n">
        <v>5</v>
      </c>
      <c r="X236" s="26" t="n">
        <v>1</v>
      </c>
      <c r="Y236" s="25" t="n"/>
      <c r="Z236" s="26" t="n">
        <v>100</v>
      </c>
      <c r="AA236" s="28" t="n">
        <v>0.5</v>
      </c>
      <c r="AB236" s="28" t="n">
        <v>0</v>
      </c>
      <c r="AC236" s="30" t="n">
        <v>0</v>
      </c>
      <c r="AD236" s="24" t="inlineStr">
        <is>
          <t>2026-08-07T09:06:30.339771Z</t>
        </is>
      </c>
      <c r="AE236" s="31" t="inlineStr">
        <is>
          <t>Learned LR call at threshold 0.5873; executable ask 0.5000 (aec-mlb-sd-az-2026-08-06); model edge vs ask +0.0081. NOTE: NO_CALL_STARTER_ERA_GAP_INSUFFICIENT_HISTORY unavailable for this game — defaulted to neutral, other features used normally.</t>
        </is>
      </c>
      <c r="AF236" s="31" t="inlineStr">
        <is>
          <t>Learned model; shadow-qualified via operator override.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NO_CALL_WINNER_OVERVALUED</t>
        </is>
      </c>
      <c r="AP236" s="24" t="inlineStr">
        <is>
          <t>mlb-sd</t>
        </is>
      </c>
      <c r="AQ236" s="24" t="inlineStr">
        <is>
          <t>San Diego Padres</t>
        </is>
      </c>
      <c r="AR236" s="24" t="inlineStr">
        <is>
          <t>San Diego Padres</t>
        </is>
      </c>
      <c r="AS236" s="24" t="inlineStr">
        <is>
          <t>mlb-ari</t>
        </is>
      </c>
      <c r="AT236" s="24" t="inlineStr">
        <is>
          <t>Arizona Diamondbacks</t>
        </is>
      </c>
      <c r="AU236" s="24" t="inlineStr">
        <is>
          <t>Arizona Diamondbacks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6a5c79541b0e50cb9f7318270e63d5ccc65cbd7bc53a019748ff772d49de5075</t>
        </is>
      </c>
      <c r="BB236" s="24" t="inlineStr">
        <is>
          <t>learned_lr</t>
        </is>
      </c>
      <c r="BC236" s="24" t="inlineStr">
        <is>
          <t>mlb-elo-trend-lr-v8</t>
        </is>
      </c>
      <c r="BD236" s="24" t="inlineStr">
        <is>
          <t>6a5c79541b0e50cb9f7318270e63d5ccc65cbd7bc53a019748ff772d49de5075</t>
        </is>
      </c>
      <c r="BE236" s="24" t="inlineStr">
        <is>
          <t>6d072d85bcbb15af</t>
        </is>
      </c>
      <c r="BF236" s="24" t="inlineStr">
        <is>
          <t>1</t>
        </is>
      </c>
      <c r="BG236" s="24" t="inlineStr">
        <is>
          <t>mlb-elo-trend-lr-v8</t>
        </is>
      </c>
      <c r="BH236" s="24" t="inlineStr">
        <is>
          <t>2026-08-06T18:57:55.802850Z</t>
        </is>
      </c>
      <c r="BI236" s="24" t="inlineStr">
        <is>
          <t>["same_event","same_team_same_day","same_league_same_day"]</t>
        </is>
      </c>
      <c r="BJ236" s="25" t="n"/>
      <c r="BK236" s="26" t="n">
        <v>100</v>
      </c>
      <c r="BL236" s="27" t="n">
        <v>2</v>
      </c>
      <c r="BM236" s="28" t="n">
        <v>0.5</v>
      </c>
      <c r="BN236" s="28" t="n">
        <v>0.497512</v>
      </c>
      <c r="BO236" s="28" t="n"/>
      <c r="BP236" s="25" t="n"/>
      <c r="BQ236" s="27" t="n">
        <v>2</v>
      </c>
      <c r="BR236" s="28" t="n">
        <v>0.5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inlineStr">
        <is>
          <t>0.5430232921</t>
        </is>
      </c>
      <c r="CD236" s="24" t="inlineStr">
        <is>
          <t>1.633952</t>
        </is>
      </c>
      <c r="CE236" s="24" t="inlineStr">
        <is>
          <t>1.097</t>
        </is>
      </c>
      <c r="CF236" s="24" t="inlineStr">
        <is>
          <t>1.0</t>
        </is>
      </c>
      <c r="CG236" s="24" t="n"/>
      <c r="CH236" s="24" t="n"/>
      <c r="CI236" s="24" t="inlineStr">
        <is>
          <t>NO_CALL_STARTER_ERA_GAP_INSUFFICIENT_HISTORY</t>
        </is>
      </c>
      <c r="CJ236" s="24" t="inlineStr">
        <is>
          <t>0.750954</t>
        </is>
      </c>
      <c r="CK236" s="24" t="n"/>
      <c r="CL236" s="24" t="inlineStr">
        <is>
          <t>-0.051286</t>
        </is>
      </c>
      <c r="CM236" s="24" t="inlineStr">
        <is>
          <t>0.0</t>
        </is>
      </c>
      <c r="CN236" s="24" t="n"/>
      <c r="CO236" s="24" t="n"/>
      <c r="CP236" s="24" t="n"/>
      <c r="CQ236" s="24" t="n"/>
      <c r="CR236" s="24" t="inlineStr">
        <is>
          <t>0.508065</t>
        </is>
      </c>
      <c r="CS236" s="24" t="inlineStr">
        <is>
          <t>True</t>
        </is>
      </c>
    </row>
    <row r="237" ht="36" customHeight="1">
      <c r="A237" s="24" t="inlineStr">
        <is>
          <t>e5abeefbcd8f4917</t>
        </is>
      </c>
      <c r="B237" s="24" t="inlineStr">
        <is>
          <t>2026-08-06T18:58:40.093175Z</t>
        </is>
      </c>
      <c r="C237" s="24" t="inlineStr">
        <is>
          <t>2026-08-06T20:10Z</t>
        </is>
      </c>
      <c r="D237" s="24" t="inlineStr">
        <is>
          <t>401816422</t>
        </is>
      </c>
      <c r="E237" s="24" t="inlineStr">
        <is>
          <t>MLB</t>
        </is>
      </c>
      <c r="F237" s="24" t="inlineStr">
        <is>
          <t>Detroit Tigers</t>
        </is>
      </c>
      <c r="G237" s="24" t="inlineStr">
        <is>
          <t>Seattle Mariners</t>
        </is>
      </c>
      <c r="H237" s="24" t="inlineStr">
        <is>
          <t>spread</t>
        </is>
      </c>
      <c r="I237" s="24" t="inlineStr">
        <is>
          <t>home</t>
        </is>
      </c>
      <c r="J237" s="25" t="n">
        <v>-1.5</v>
      </c>
      <c r="K237" s="24" t="inlineStr">
        <is>
          <t>polymarket_us</t>
        </is>
      </c>
      <c r="L237" s="26" t="n">
        <v>186</v>
      </c>
      <c r="M237" s="27" t="n">
        <v>2.86</v>
      </c>
      <c r="N237" s="28" t="n">
        <v>0.34965</v>
      </c>
      <c r="O237" s="28" t="n">
        <v>0.406137</v>
      </c>
      <c r="P237" s="28" t="n">
        <v>0.042131</v>
      </c>
      <c r="Q237" s="28" t="n">
        <v>0.056487</v>
      </c>
      <c r="R237" s="26" t="n">
        <v>54</v>
      </c>
      <c r="S237" s="29" t="n">
        <v>0</v>
      </c>
      <c r="T237" s="24" t="inlineStr">
        <is>
          <t>measured-edge-margin-v3</t>
        </is>
      </c>
      <c r="U237" s="24" t="inlineStr">
        <is>
          <t>settled</t>
        </is>
      </c>
      <c r="V237" s="24" t="inlineStr">
        <is>
          <t>loss</t>
        </is>
      </c>
      <c r="W237" s="26" t="n">
        <v>11</v>
      </c>
      <c r="X237" s="26" t="n">
        <v>0</v>
      </c>
      <c r="Y237" s="25" t="n">
        <v>-1.5</v>
      </c>
      <c r="Z237" s="26" t="n">
        <v>186</v>
      </c>
      <c r="AA237" s="28" t="n">
        <v>0.35</v>
      </c>
      <c r="AB237" s="28" t="n">
        <v>0.00035</v>
      </c>
      <c r="AC237" s="30" t="n">
        <v>0</v>
      </c>
      <c r="AD237" s="24" t="inlineStr">
        <is>
          <t>2026-08-07T09:06:33.641082Z</t>
        </is>
      </c>
      <c r="AE237" s="31" t="inlineStr">
        <is>
          <t>Measured Edge Margin: Trend Engine projected 4.47-4.82; raw selected-side p=0.3623, calibrated p=0.4061.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NO_CALL_WINNER_OVERVALUED</t>
        </is>
      </c>
      <c r="AP237" s="24" t="inlineStr">
        <is>
          <t>mlb-det</t>
        </is>
      </c>
      <c r="AQ237" s="24" t="inlineStr">
        <is>
          <t>Detroit Tigers</t>
        </is>
      </c>
      <c r="AR237" s="24" t="inlineStr">
        <is>
          <t>Detroit Tigers</t>
        </is>
      </c>
      <c r="AS237" s="24" t="inlineStr">
        <is>
          <t>mlb-sea</t>
        </is>
      </c>
      <c r="AT237" s="24" t="inlineStr">
        <is>
          <t>Seattle Mariners</t>
        </is>
      </c>
      <c r="AU237" s="24" t="inlineStr">
        <is>
          <t>Seattle Mariners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dd339a2eed50d7d83ab2127837995ddab82e879afd27f5414bb6c1f9cd60ba4c</t>
        </is>
      </c>
      <c r="BB237" s="24" t="inlineStr">
        <is>
          <t>flat_probability_shrinkage_toward_half</t>
        </is>
      </c>
      <c r="BC237" s="24" t="inlineStr">
        <is>
          <t>measured-edge-margin-v3</t>
        </is>
      </c>
      <c r="BD237" s="24" t="inlineStr">
        <is>
          <t>dd339a2eed50d7d83ab2127837995ddab82e879afd27f5414bb6c1f9cd60ba4c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2026-08-06T18:58:40.093175Z</t>
        </is>
      </c>
      <c r="BI237" s="24" t="inlineStr">
        <is>
          <t>["same_event","same_team_same_day","same_league_same_day"]</t>
        </is>
      </c>
      <c r="BJ237" s="25" t="n">
        <v>-1.5</v>
      </c>
      <c r="BK237" s="26" t="n">
        <v>186</v>
      </c>
      <c r="BL237" s="27" t="n">
        <v>2.86</v>
      </c>
      <c r="BM237" s="28" t="n">
        <v>0.34965</v>
      </c>
      <c r="BN237" s="28" t="n">
        <v>0.348259</v>
      </c>
      <c r="BO237" s="28" t="n"/>
      <c r="BP237" s="25" t="n"/>
      <c r="BQ237" s="27" t="n">
        <v>2.86</v>
      </c>
      <c r="BR237" s="28" t="n">
        <v>0.35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</row>
    <row r="238" ht="36" customHeight="1">
      <c r="A238" s="24" t="inlineStr">
        <is>
          <t>374b024852444047</t>
        </is>
      </c>
      <c r="B238" s="24" t="inlineStr">
        <is>
          <t>2026-08-06T18:58:40.093175Z</t>
        </is>
      </c>
      <c r="C238" s="24" t="inlineStr">
        <is>
          <t>2026-08-06T20:10Z</t>
        </is>
      </c>
      <c r="D238" s="24" t="inlineStr">
        <is>
          <t>401816422</t>
        </is>
      </c>
      <c r="E238" s="24" t="inlineStr">
        <is>
          <t>MLB</t>
        </is>
      </c>
      <c r="F238" s="24" t="inlineStr">
        <is>
          <t>Detroit Tigers</t>
        </is>
      </c>
      <c r="G238" s="24" t="inlineStr">
        <is>
          <t>Seattle Mariners</t>
        </is>
      </c>
      <c r="H238" s="24" t="inlineStr">
        <is>
          <t>total</t>
        </is>
      </c>
      <c r="I238" s="24" t="inlineStr">
        <is>
          <t>over</t>
        </is>
      </c>
      <c r="J238" s="25" t="n">
        <v>7.5</v>
      </c>
      <c r="K238" s="24" t="inlineStr">
        <is>
          <t>polymarket_us</t>
        </is>
      </c>
      <c r="L238" s="26" t="n">
        <v>-113</v>
      </c>
      <c r="M238" s="27" t="n">
        <v>1.884956</v>
      </c>
      <c r="N238" s="28" t="n">
        <v>0.530516</v>
      </c>
      <c r="O238" s="28" t="n">
        <v>0.535235</v>
      </c>
      <c r="P238" s="28" t="n">
        <v>0.042131</v>
      </c>
      <c r="Q238" s="28" t="n">
        <v>0.004719</v>
      </c>
      <c r="R238" s="26" t="n">
        <v>29</v>
      </c>
      <c r="S238" s="29" t="n">
        <v>0</v>
      </c>
      <c r="T238" s="24" t="inlineStr">
        <is>
          <t>measured-edge-totals-v3</t>
        </is>
      </c>
      <c r="U238" s="24" t="inlineStr">
        <is>
          <t>settled</t>
        </is>
      </c>
      <c r="V238" s="24" t="inlineStr">
        <is>
          <t>win</t>
        </is>
      </c>
      <c r="W238" s="26" t="n">
        <v>11</v>
      </c>
      <c r="X238" s="26" t="n">
        <v>0</v>
      </c>
      <c r="Y238" s="25" t="n">
        <v>7.5</v>
      </c>
      <c r="Z238" s="26" t="n">
        <v>-113</v>
      </c>
      <c r="AA238" s="28" t="n">
        <v>0.53</v>
      </c>
      <c r="AB238" s="28" t="n">
        <v>-0.000516</v>
      </c>
      <c r="AC238" s="30" t="n">
        <v>0</v>
      </c>
      <c r="AD238" s="24" t="inlineStr">
        <is>
          <t>2026-08-07T09:06:34.782154Z</t>
        </is>
      </c>
      <c r="AE238" s="31" t="inlineStr">
        <is>
          <t>Measured Edge Totals: Trend Engine projected 4.47-4.82; raw selected-side p=0.6185, calibrated p=0.5352.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NO_CALL_WINNER_OVERVALUED</t>
        </is>
      </c>
      <c r="AP238" s="24" t="inlineStr">
        <is>
          <t>mlb-det</t>
        </is>
      </c>
      <c r="AQ238" s="24" t="inlineStr">
        <is>
          <t>Detroit Tigers</t>
        </is>
      </c>
      <c r="AR238" s="24" t="inlineStr">
        <is>
          <t>Detroit Tigers</t>
        </is>
      </c>
      <c r="AS238" s="24" t="inlineStr">
        <is>
          <t>mlb-sea</t>
        </is>
      </c>
      <c r="AT238" s="24" t="inlineStr">
        <is>
          <t>Seattle Mariners</t>
        </is>
      </c>
      <c r="AU238" s="24" t="inlineStr">
        <is>
          <t>Seattle Mariners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95b84332c75d2ce54036eb8de6ada9c78d0f80228c50825c0347281a8b9b49c7</t>
        </is>
      </c>
      <c r="BB238" s="24" t="inlineStr">
        <is>
          <t>flat_probability_shrinkage_toward_half</t>
        </is>
      </c>
      <c r="BC238" s="24" t="inlineStr">
        <is>
          <t>measured-edge-totals-v3</t>
        </is>
      </c>
      <c r="BD238" s="24" t="inlineStr">
        <is>
          <t>95b84332c75d2ce54036eb8de6ada9c78d0f80228c50825c0347281a8b9b49c7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2026-08-06T18:58:40.093175Z</t>
        </is>
      </c>
      <c r="BI238" s="24" t="inlineStr">
        <is>
          <t>["same_event","same_team_same_day","same_league_same_day"]</t>
        </is>
      </c>
      <c r="BJ238" s="25" t="n">
        <v>7.5</v>
      </c>
      <c r="BK238" s="26" t="n">
        <v>-113</v>
      </c>
      <c r="BL238" s="27" t="n">
        <v>1.884956</v>
      </c>
      <c r="BM238" s="28" t="n">
        <v>0.530516</v>
      </c>
      <c r="BN238" s="28" t="n">
        <v>0.527363</v>
      </c>
      <c r="BO238" s="28" t="n"/>
      <c r="BP238" s="25" t="n"/>
      <c r="BQ238" s="27" t="n">
        <v>1.884956</v>
      </c>
      <c r="BR238" s="28" t="n">
        <v>0.53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</row>
    <row r="239" ht="36" customHeight="1">
      <c r="A239" s="24" t="inlineStr">
        <is>
          <t>30f93105ab19471c</t>
        </is>
      </c>
      <c r="B239" s="24" t="inlineStr">
        <is>
          <t>2026-08-06T18:58:40.093175Z</t>
        </is>
      </c>
      <c r="C239" s="24" t="inlineStr">
        <is>
          <t>2026-08-06T22:05Z</t>
        </is>
      </c>
      <c r="D239" s="24" t="inlineStr">
        <is>
          <t>401816419</t>
        </is>
      </c>
      <c r="E239" s="24" t="inlineStr">
        <is>
          <t>MLB</t>
        </is>
      </c>
      <c r="F239" s="24" t="inlineStr">
        <is>
          <t>Washington Nationals</t>
        </is>
      </c>
      <c r="G239" s="24" t="inlineStr">
        <is>
          <t>Philadelphia Phillies</t>
        </is>
      </c>
      <c r="H239" s="24" t="inlineStr">
        <is>
          <t>spread</t>
        </is>
      </c>
      <c r="I239" s="24" t="inlineStr">
        <is>
          <t>home</t>
        </is>
      </c>
      <c r="J239" s="25" t="n">
        <v>-2.5</v>
      </c>
      <c r="K239" s="24" t="inlineStr">
        <is>
          <t>polymarket_us</t>
        </is>
      </c>
      <c r="L239" s="26" t="n">
        <v>106</v>
      </c>
      <c r="M239" s="27" t="n">
        <v>2.06</v>
      </c>
      <c r="N239" s="28" t="n">
        <v>0.485437</v>
      </c>
      <c r="O239" s="28" t="n">
        <v>0.396529</v>
      </c>
      <c r="P239" s="28" t="n">
        <v>0.042131</v>
      </c>
      <c r="Q239" s="28" t="n">
        <v>-0.088908</v>
      </c>
      <c r="R239" s="26" t="n">
        <v>0</v>
      </c>
      <c r="S239" s="29" t="n">
        <v>0</v>
      </c>
      <c r="T239" s="24" t="inlineStr">
        <is>
          <t>measured-edge-margin-v3</t>
        </is>
      </c>
      <c r="U239" s="24" t="inlineStr">
        <is>
          <t>settled</t>
        </is>
      </c>
      <c r="V239" s="24" t="inlineStr">
        <is>
          <t>win</t>
        </is>
      </c>
      <c r="W239" s="26" t="n">
        <v>3</v>
      </c>
      <c r="X239" s="26" t="n">
        <v>7</v>
      </c>
      <c r="Y239" s="25" t="n">
        <v>-2.5</v>
      </c>
      <c r="Z239" s="26" t="n">
        <v>106</v>
      </c>
      <c r="AA239" s="28" t="n">
        <v>0.485</v>
      </c>
      <c r="AB239" s="28" t="n">
        <v>-0.000437</v>
      </c>
      <c r="AC239" s="30" t="n">
        <v>0</v>
      </c>
      <c r="AD239" s="24" t="inlineStr">
        <is>
          <t>2026-08-07T09:06:35.981159Z</t>
        </is>
      </c>
      <c r="AE239" s="31" t="inlineStr">
        <is>
          <t>Measured Edge Margin: Trend Engine projected 4.15-5.34; raw selected-side p=0.3482, calibrated p=0.3965.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NO_CALL_WINNER_OVERVALUED</t>
        </is>
      </c>
      <c r="AP239" s="24" t="inlineStr">
        <is>
          <t>mlb-wsh</t>
        </is>
      </c>
      <c r="AQ239" s="24" t="inlineStr">
        <is>
          <t>Washington Nationals</t>
        </is>
      </c>
      <c r="AR239" s="24" t="inlineStr">
        <is>
          <t>Washington Nationals</t>
        </is>
      </c>
      <c r="AS239" s="24" t="inlineStr">
        <is>
          <t>mlb-phi</t>
        </is>
      </c>
      <c r="AT239" s="24" t="inlineStr">
        <is>
          <t>Philadelphia Phillies</t>
        </is>
      </c>
      <c r="AU239" s="24" t="inlineStr">
        <is>
          <t>Philadelphia Phillies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dd339a2eed50d7d83ab2127837995ddab82e879afd27f5414bb6c1f9cd60ba4c</t>
        </is>
      </c>
      <c r="BB239" s="24" t="inlineStr">
        <is>
          <t>flat_probability_shrinkage_toward_half</t>
        </is>
      </c>
      <c r="BC239" s="24" t="inlineStr">
        <is>
          <t>measured-edge-margin-v3</t>
        </is>
      </c>
      <c r="BD239" s="24" t="inlineStr">
        <is>
          <t>dd339a2eed50d7d83ab2127837995ddab82e879afd27f5414bb6c1f9cd60ba4c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2026-08-06T18:58:40.093175Z</t>
        </is>
      </c>
      <c r="BI239" s="24" t="inlineStr">
        <is>
          <t>["same_event","same_team_same_day","same_league_same_day"]</t>
        </is>
      </c>
      <c r="BJ239" s="25" t="n">
        <v>-2.5</v>
      </c>
      <c r="BK239" s="26" t="n">
        <v>106</v>
      </c>
      <c r="BL239" s="27" t="n">
        <v>2.06</v>
      </c>
      <c r="BM239" s="28" t="n">
        <v>0.485437</v>
      </c>
      <c r="BN239" s="28" t="n">
        <v>0.482587</v>
      </c>
      <c r="BO239" s="28" t="n"/>
      <c r="BP239" s="25" t="n"/>
      <c r="BQ239" s="27" t="n">
        <v>2.06</v>
      </c>
      <c r="BR239" s="28" t="n">
        <v>0.485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False</t>
        </is>
      </c>
    </row>
    <row r="240" ht="36" customHeight="1">
      <c r="A240" s="24" t="inlineStr">
        <is>
          <t>b02057f77180421f</t>
        </is>
      </c>
      <c r="B240" s="24" t="inlineStr">
        <is>
          <t>2026-08-06T18:58:40.093175Z</t>
        </is>
      </c>
      <c r="C240" s="24" t="inlineStr">
        <is>
          <t>2026-08-06T22:05Z</t>
        </is>
      </c>
      <c r="D240" s="24" t="inlineStr">
        <is>
          <t>401816419</t>
        </is>
      </c>
      <c r="E240" s="24" t="inlineStr">
        <is>
          <t>MLB</t>
        </is>
      </c>
      <c r="F240" s="24" t="inlineStr">
        <is>
          <t>Washington Nationals</t>
        </is>
      </c>
      <c r="G240" s="24" t="inlineStr">
        <is>
          <t>Philadelphia Phillies</t>
        </is>
      </c>
      <c r="H240" s="24" t="inlineStr">
        <is>
          <t>total</t>
        </is>
      </c>
      <c r="I240" s="24" t="inlineStr">
        <is>
          <t>over</t>
        </is>
      </c>
      <c r="J240" s="25" t="n">
        <v>8.5</v>
      </c>
      <c r="K240" s="24" t="inlineStr">
        <is>
          <t>polymarket_us</t>
        </is>
      </c>
      <c r="L240" s="26" t="n">
        <v>-117</v>
      </c>
      <c r="M240" s="27" t="n">
        <v>1.854701</v>
      </c>
      <c r="N240" s="28" t="n">
        <v>0.539171</v>
      </c>
      <c r="O240" s="28" t="n">
        <v>0.520878</v>
      </c>
      <c r="P240" s="28" t="n">
        <v>0.042131</v>
      </c>
      <c r="Q240" s="28" t="n">
        <v>-0.018293</v>
      </c>
      <c r="R240" s="26" t="n">
        <v>17</v>
      </c>
      <c r="S240" s="29" t="n">
        <v>0</v>
      </c>
      <c r="T240" s="24" t="inlineStr">
        <is>
          <t>measured-edge-totals-v3</t>
        </is>
      </c>
      <c r="U240" s="24" t="inlineStr">
        <is>
          <t>settled</t>
        </is>
      </c>
      <c r="V240" s="24" t="inlineStr">
        <is>
          <t>win</t>
        </is>
      </c>
      <c r="W240" s="26" t="n">
        <v>3</v>
      </c>
      <c r="X240" s="26" t="n">
        <v>7</v>
      </c>
      <c r="Y240" s="25" t="n">
        <v>8.5</v>
      </c>
      <c r="Z240" s="26" t="n">
        <v>-117</v>
      </c>
      <c r="AA240" s="28" t="n">
        <v>0.54</v>
      </c>
      <c r="AB240" s="28" t="n">
        <v>0.000829</v>
      </c>
      <c r="AC240" s="30" t="n">
        <v>0</v>
      </c>
      <c r="AD240" s="24" t="inlineStr">
        <is>
          <t>2026-08-07T09:06:37.125918Z</t>
        </is>
      </c>
      <c r="AE240" s="31" t="inlineStr">
        <is>
          <t>Measured Edge Totals: Trend Engine projected 4.15-5.34; raw selected-side p=0.5607, calibrated p=0.5209.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NO_CALL_WINNER_OVERVALUED</t>
        </is>
      </c>
      <c r="AP240" s="24" t="inlineStr">
        <is>
          <t>mlb-wsh</t>
        </is>
      </c>
      <c r="AQ240" s="24" t="inlineStr">
        <is>
          <t>Washington Nationals</t>
        </is>
      </c>
      <c r="AR240" s="24" t="inlineStr">
        <is>
          <t>Washington Nationals</t>
        </is>
      </c>
      <c r="AS240" s="24" t="inlineStr">
        <is>
          <t>mlb-phi</t>
        </is>
      </c>
      <c r="AT240" s="24" t="inlineStr">
        <is>
          <t>Philadelphia Phillies</t>
        </is>
      </c>
      <c r="AU240" s="24" t="inlineStr">
        <is>
          <t>Philadelphia Phillies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95b84332c75d2ce54036eb8de6ada9c78d0f80228c50825c0347281a8b9b49c7</t>
        </is>
      </c>
      <c r="BB240" s="24" t="inlineStr">
        <is>
          <t>flat_probability_shrinkage_toward_half</t>
        </is>
      </c>
      <c r="BC240" s="24" t="inlineStr">
        <is>
          <t>measured-edge-totals-v3</t>
        </is>
      </c>
      <c r="BD240" s="24" t="inlineStr">
        <is>
          <t>95b84332c75d2ce54036eb8de6ada9c78d0f80228c50825c0347281a8b9b49c7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2026-08-06T18:58:40.093175Z</t>
        </is>
      </c>
      <c r="BI240" s="24" t="inlineStr">
        <is>
          <t>["same_event","same_team_same_day","same_league_same_day"]</t>
        </is>
      </c>
      <c r="BJ240" s="25" t="n">
        <v>8.5</v>
      </c>
      <c r="BK240" s="26" t="n">
        <v>-117</v>
      </c>
      <c r="BL240" s="27" t="n">
        <v>1.854701</v>
      </c>
      <c r="BM240" s="28" t="n">
        <v>0.539171</v>
      </c>
      <c r="BN240" s="28" t="n">
        <v>0.537313</v>
      </c>
      <c r="BO240" s="28" t="n"/>
      <c r="BP240" s="25" t="n"/>
      <c r="BQ240" s="27" t="n">
        <v>1.854701</v>
      </c>
      <c r="BR240" s="28" t="n">
        <v>0.54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</row>
    <row r="241" ht="36" customHeight="1">
      <c r="A241" s="24" t="inlineStr">
        <is>
          <t>e6d3a757381c48e3</t>
        </is>
      </c>
      <c r="B241" s="24" t="inlineStr">
        <is>
          <t>2026-08-06T18:58:40.093175Z</t>
        </is>
      </c>
      <c r="C241" s="24" t="inlineStr">
        <is>
          <t>2026-08-06T23:10Z</t>
        </is>
      </c>
      <c r="D241" s="24" t="inlineStr">
        <is>
          <t>401816416</t>
        </is>
      </c>
      <c r="E241" s="24" t="inlineStr">
        <is>
          <t>MLB</t>
        </is>
      </c>
      <c r="F241" s="24" t="inlineStr">
        <is>
          <t>Chicago White Sox</t>
        </is>
      </c>
      <c r="G241" s="24" t="inlineStr">
        <is>
          <t>Boston Red Sox</t>
        </is>
      </c>
      <c r="H241" s="24" t="inlineStr">
        <is>
          <t>spread</t>
        </is>
      </c>
      <c r="I241" s="24" t="inlineStr">
        <is>
          <t>home</t>
        </is>
      </c>
      <c r="J241" s="25" t="n">
        <v>-1.5</v>
      </c>
      <c r="K241" s="24" t="inlineStr">
        <is>
          <t>polymarket_us</t>
        </is>
      </c>
      <c r="L241" s="26" t="n">
        <v>111</v>
      </c>
      <c r="M241" s="27" t="n">
        <v>2.11</v>
      </c>
      <c r="N241" s="28" t="n">
        <v>0.473934</v>
      </c>
      <c r="O241" s="28" t="n">
        <v>0.433223</v>
      </c>
      <c r="P241" s="28" t="n">
        <v>0.042131</v>
      </c>
      <c r="Q241" s="28" t="n">
        <v>-0.040711</v>
      </c>
      <c r="R241" s="26" t="n">
        <v>5</v>
      </c>
      <c r="S241" s="29" t="n">
        <v>0</v>
      </c>
      <c r="T241" s="24" t="inlineStr">
        <is>
          <t>measured-edge-margin-v3</t>
        </is>
      </c>
      <c r="U241" s="24" t="inlineStr">
        <is>
          <t>settled</t>
        </is>
      </c>
      <c r="V241" s="24" t="inlineStr">
        <is>
          <t>loss</t>
        </is>
      </c>
      <c r="W241" s="26" t="n">
        <v>11</v>
      </c>
      <c r="X241" s="26" t="n">
        <v>12</v>
      </c>
      <c r="Y241" s="25" t="n">
        <v>-1.5</v>
      </c>
      <c r="Z241" s="26" t="n">
        <v>111</v>
      </c>
      <c r="AA241" s="28" t="n">
        <v>0.475</v>
      </c>
      <c r="AB241" s="28" t="n">
        <v>0.001066</v>
      </c>
      <c r="AC241" s="30" t="n">
        <v>0</v>
      </c>
      <c r="AD241" s="24" t="inlineStr">
        <is>
          <t>2026-08-07T09:06:38.295379Z</t>
        </is>
      </c>
      <c r="AE241" s="31" t="inlineStr">
        <is>
          <t>Measured Edge Margin: Trend Engine projected 4.15-4.89; raw selected-side p=0.4020, calibrated p=0.4332.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NO_CALL_WINNER_OVERVALUED</t>
        </is>
      </c>
      <c r="AP241" s="24" t="inlineStr">
        <is>
          <t>mlb-cws</t>
        </is>
      </c>
      <c r="AQ241" s="24" t="inlineStr">
        <is>
          <t>Chicago White Sox</t>
        </is>
      </c>
      <c r="AR241" s="24" t="inlineStr">
        <is>
          <t>Chicago White Sox</t>
        </is>
      </c>
      <c r="AS241" s="24" t="inlineStr">
        <is>
          <t>mlb-bos</t>
        </is>
      </c>
      <c r="AT241" s="24" t="inlineStr">
        <is>
          <t>Boston Red Sox</t>
        </is>
      </c>
      <c r="AU241" s="24" t="inlineStr">
        <is>
          <t>Boston Red Sox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dd339a2eed50d7d83ab2127837995ddab82e879afd27f5414bb6c1f9cd60ba4c</t>
        </is>
      </c>
      <c r="BB241" s="24" t="inlineStr">
        <is>
          <t>flat_probability_shrinkage_toward_half</t>
        </is>
      </c>
      <c r="BC241" s="24" t="inlineStr">
        <is>
          <t>measured-edge-margin-v3</t>
        </is>
      </c>
      <c r="BD241" s="24" t="inlineStr">
        <is>
          <t>dd339a2eed50d7d83ab2127837995ddab82e879afd27f5414bb6c1f9cd60ba4c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2026-08-06T18:58:40.093175Z</t>
        </is>
      </c>
      <c r="BI241" s="24" t="inlineStr">
        <is>
          <t>["same_event","same_team_same_day","same_league_same_day"]</t>
        </is>
      </c>
      <c r="BJ241" s="25" t="n">
        <v>-1.5</v>
      </c>
      <c r="BK241" s="26" t="n">
        <v>111</v>
      </c>
      <c r="BL241" s="27" t="n">
        <v>2.11</v>
      </c>
      <c r="BM241" s="28" t="n">
        <v>0.473934</v>
      </c>
      <c r="BN241" s="28" t="n">
        <v>0.472637</v>
      </c>
      <c r="BO241" s="28" t="n"/>
      <c r="BP241" s="25" t="n"/>
      <c r="BQ241" s="27" t="n">
        <v>2.11</v>
      </c>
      <c r="BR241" s="28" t="n">
        <v>0.475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</row>
    <row r="242" ht="36" customHeight="1">
      <c r="A242" s="24" t="inlineStr">
        <is>
          <t>e5c9d2dd1168445c</t>
        </is>
      </c>
      <c r="B242" s="24" t="inlineStr">
        <is>
          <t>2026-08-06T18:58:40.093175Z</t>
        </is>
      </c>
      <c r="C242" s="24" t="inlineStr">
        <is>
          <t>2026-08-06T23:10Z</t>
        </is>
      </c>
      <c r="D242" s="24" t="inlineStr">
        <is>
          <t>401816416</t>
        </is>
      </c>
      <c r="E242" s="24" t="inlineStr">
        <is>
          <t>MLB</t>
        </is>
      </c>
      <c r="F242" s="24" t="inlineStr">
        <is>
          <t>Chicago White Sox</t>
        </is>
      </c>
      <c r="G242" s="24" t="inlineStr">
        <is>
          <t>Boston Red Sox</t>
        </is>
      </c>
      <c r="H242" s="24" t="inlineStr">
        <is>
          <t>total</t>
        </is>
      </c>
      <c r="I242" s="24" t="inlineStr">
        <is>
          <t>over</t>
        </is>
      </c>
      <c r="J242" s="25" t="n">
        <v>8.5</v>
      </c>
      <c r="K242" s="24" t="inlineStr">
        <is>
          <t>polymarket_us</t>
        </is>
      </c>
      <c r="L242" s="26" t="n">
        <v>-113</v>
      </c>
      <c r="M242" s="27" t="n">
        <v>1.884956</v>
      </c>
      <c r="N242" s="28" t="n">
        <v>0.530516</v>
      </c>
      <c r="O242" s="28" t="n">
        <v>0.511737</v>
      </c>
      <c r="P242" s="28" t="n">
        <v>0.042131</v>
      </c>
      <c r="Q242" s="28" t="n">
        <v>-0.018779</v>
      </c>
      <c r="R242" s="26" t="n">
        <v>17</v>
      </c>
      <c r="S242" s="29" t="n">
        <v>0</v>
      </c>
      <c r="T242" s="24" t="inlineStr">
        <is>
          <t>measured-edge-totals-v3</t>
        </is>
      </c>
      <c r="U242" s="24" t="inlineStr">
        <is>
          <t>settled</t>
        </is>
      </c>
      <c r="V242" s="24" t="inlineStr">
        <is>
          <t>win</t>
        </is>
      </c>
      <c r="W242" s="26" t="n">
        <v>11</v>
      </c>
      <c r="X242" s="26" t="n">
        <v>12</v>
      </c>
      <c r="Y242" s="25" t="n">
        <v>8.5</v>
      </c>
      <c r="Z242" s="26" t="n">
        <v>-113</v>
      </c>
      <c r="AA242" s="28" t="n">
        <v>0.53</v>
      </c>
      <c r="AB242" s="28" t="n">
        <v>-0.000516</v>
      </c>
      <c r="AC242" s="30" t="n">
        <v>0</v>
      </c>
      <c r="AD242" s="24" t="inlineStr">
        <is>
          <t>2026-08-07T09:06:39.427778Z</t>
        </is>
      </c>
      <c r="AE242" s="31" t="inlineStr">
        <is>
          <t>Measured Edge Totals: Trend Engine projected 4.15-4.89; raw selected-side p=0.5239, calibrated p=0.5117.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NO_CALL_WINNER_OVERVALUED</t>
        </is>
      </c>
      <c r="AP242" s="24" t="inlineStr">
        <is>
          <t>mlb-cws</t>
        </is>
      </c>
      <c r="AQ242" s="24" t="inlineStr">
        <is>
          <t>Chicago White Sox</t>
        </is>
      </c>
      <c r="AR242" s="24" t="inlineStr">
        <is>
          <t>Chicago White Sox</t>
        </is>
      </c>
      <c r="AS242" s="24" t="inlineStr">
        <is>
          <t>mlb-bos</t>
        </is>
      </c>
      <c r="AT242" s="24" t="inlineStr">
        <is>
          <t>Boston Red Sox</t>
        </is>
      </c>
      <c r="AU242" s="24" t="inlineStr">
        <is>
          <t>Boston Red Sox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95b84332c75d2ce54036eb8de6ada9c78d0f80228c50825c0347281a8b9b49c7</t>
        </is>
      </c>
      <c r="BB242" s="24" t="inlineStr">
        <is>
          <t>flat_probability_shrinkage_toward_half</t>
        </is>
      </c>
      <c r="BC242" s="24" t="inlineStr">
        <is>
          <t>measured-edge-totals-v3</t>
        </is>
      </c>
      <c r="BD242" s="24" t="inlineStr">
        <is>
          <t>95b84332c75d2ce54036eb8de6ada9c78d0f80228c50825c0347281a8b9b49c7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2026-08-06T18:58:40.093175Z</t>
        </is>
      </c>
      <c r="BI242" s="24" t="inlineStr">
        <is>
          <t>["same_event","same_team_same_day","same_league_same_day"]</t>
        </is>
      </c>
      <c r="BJ242" s="25" t="n">
        <v>8.5</v>
      </c>
      <c r="BK242" s="26" t="n">
        <v>-113</v>
      </c>
      <c r="BL242" s="27" t="n">
        <v>1.884956</v>
      </c>
      <c r="BM242" s="28" t="n">
        <v>0.530516</v>
      </c>
      <c r="BN242" s="28" t="n">
        <v>0.527363</v>
      </c>
      <c r="BO242" s="28" t="n"/>
      <c r="BP242" s="25" t="n"/>
      <c r="BQ242" s="27" t="n">
        <v>1.884956</v>
      </c>
      <c r="BR242" s="28" t="n">
        <v>0.53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False</t>
        </is>
      </c>
    </row>
    <row r="243" ht="36" customHeight="1">
      <c r="A243" s="24" t="inlineStr">
        <is>
          <t>d03151d4d9c1491c</t>
        </is>
      </c>
      <c r="B243" s="24" t="inlineStr">
        <is>
          <t>2026-08-06T18:58:40.093175Z</t>
        </is>
      </c>
      <c r="C243" s="24" t="inlineStr">
        <is>
          <t>2026-08-06T23:15Z</t>
        </is>
      </c>
      <c r="D243" s="24" t="inlineStr">
        <is>
          <t>401816417</t>
        </is>
      </c>
      <c r="E243" s="24" t="inlineStr">
        <is>
          <t>MLB</t>
        </is>
      </c>
      <c r="F243" s="24" t="inlineStr">
        <is>
          <t>Miami Marlins</t>
        </is>
      </c>
      <c r="G243" s="24" t="inlineStr">
        <is>
          <t>Atlanta Braves</t>
        </is>
      </c>
      <c r="H243" s="24" t="inlineStr">
        <is>
          <t>spread</t>
        </is>
      </c>
      <c r="I243" s="24" t="inlineStr">
        <is>
          <t>home</t>
        </is>
      </c>
      <c r="J243" s="25" t="n">
        <v>-1.5</v>
      </c>
      <c r="K243" s="24" t="inlineStr">
        <is>
          <t>polymarket_us</t>
        </is>
      </c>
      <c r="L243" s="26" t="n">
        <v>144</v>
      </c>
      <c r="M243" s="27" t="n">
        <v>2.44</v>
      </c>
      <c r="N243" s="28" t="n">
        <v>0.409836</v>
      </c>
      <c r="O243" s="28" t="n">
        <v>0.4044</v>
      </c>
      <c r="P243" s="28" t="n">
        <v>0.042131</v>
      </c>
      <c r="Q243" s="28" t="n">
        <v>-0.005436</v>
      </c>
      <c r="R243" s="26" t="n">
        <v>23</v>
      </c>
      <c r="S243" s="29" t="n">
        <v>0</v>
      </c>
      <c r="T243" s="24" t="inlineStr">
        <is>
          <t>measured-edge-margin-v3</t>
        </is>
      </c>
      <c r="U243" s="24" t="inlineStr">
        <is>
          <t>settled</t>
        </is>
      </c>
      <c r="V243" s="24" t="inlineStr">
        <is>
          <t>win</t>
        </is>
      </c>
      <c r="W243" s="26" t="n">
        <v>3</v>
      </c>
      <c r="X243" s="26" t="n">
        <v>11</v>
      </c>
      <c r="Y243" s="25" t="n">
        <v>-1.5</v>
      </c>
      <c r="Z243" s="26" t="n">
        <v>144</v>
      </c>
      <c r="AA243" s="28" t="n">
        <v>0.41</v>
      </c>
      <c r="AB243" s="28" t="n">
        <v>0.000164</v>
      </c>
      <c r="AC243" s="30" t="n">
        <v>0</v>
      </c>
      <c r="AD243" s="24" t="inlineStr">
        <is>
          <t>2026-08-07T09:06:40.603325Z</t>
        </is>
      </c>
      <c r="AE243" s="31" t="inlineStr">
        <is>
          <t>Measured Edge Margin: Trend Engine projected 4.25-4.56; raw selected-side p=0.3597, calibrated p=0.4044.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NO_CALL_WINNER_OVERVALUED</t>
        </is>
      </c>
      <c r="AP243" s="24" t="inlineStr">
        <is>
          <t>mlb-mia</t>
        </is>
      </c>
      <c r="AQ243" s="24" t="inlineStr">
        <is>
          <t>Miami Marlins</t>
        </is>
      </c>
      <c r="AR243" s="24" t="inlineStr">
        <is>
          <t>Miami Marlins</t>
        </is>
      </c>
      <c r="AS243" s="24" t="inlineStr">
        <is>
          <t>mlb-atl</t>
        </is>
      </c>
      <c r="AT243" s="24" t="inlineStr">
        <is>
          <t>Atlanta Braves</t>
        </is>
      </c>
      <c r="AU243" s="24" t="inlineStr">
        <is>
          <t>Atlanta Braves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dd339a2eed50d7d83ab2127837995ddab82e879afd27f5414bb6c1f9cd60ba4c</t>
        </is>
      </c>
      <c r="BB243" s="24" t="inlineStr">
        <is>
          <t>flat_probability_shrinkage_toward_half</t>
        </is>
      </c>
      <c r="BC243" s="24" t="inlineStr">
        <is>
          <t>measured-edge-margin-v3</t>
        </is>
      </c>
      <c r="BD243" s="24" t="inlineStr">
        <is>
          <t>dd339a2eed50d7d83ab2127837995ddab82e879afd27f5414bb6c1f9cd60ba4c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2026-08-06T18:58:40.093175Z</t>
        </is>
      </c>
      <c r="BI243" s="24" t="inlineStr">
        <is>
          <t>["same_event","same_team_same_day","same_league_same_day"]</t>
        </is>
      </c>
      <c r="BJ243" s="25" t="n">
        <v>-1.5</v>
      </c>
      <c r="BK243" s="26" t="n">
        <v>144</v>
      </c>
      <c r="BL243" s="27" t="n">
        <v>2.44</v>
      </c>
      <c r="BM243" s="28" t="n">
        <v>0.409836</v>
      </c>
      <c r="BN243" s="28" t="n">
        <v>0.40796</v>
      </c>
      <c r="BO243" s="28" t="n"/>
      <c r="BP243" s="25" t="n"/>
      <c r="BQ243" s="27" t="n">
        <v>2.44</v>
      </c>
      <c r="BR243" s="28" t="n">
        <v>0.41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</row>
    <row r="244" ht="36" customHeight="1">
      <c r="A244" s="24" t="inlineStr">
        <is>
          <t>5d89f94deb7543e8</t>
        </is>
      </c>
      <c r="B244" s="24" t="inlineStr">
        <is>
          <t>2026-08-06T18:58:40.093175Z</t>
        </is>
      </c>
      <c r="C244" s="24" t="inlineStr">
        <is>
          <t>2026-08-06T23:15Z</t>
        </is>
      </c>
      <c r="D244" s="24" t="inlineStr">
        <is>
          <t>401816417</t>
        </is>
      </c>
      <c r="E244" s="24" t="inlineStr">
        <is>
          <t>MLB</t>
        </is>
      </c>
      <c r="F244" s="24" t="inlineStr">
        <is>
          <t>Miami Marlins</t>
        </is>
      </c>
      <c r="G244" s="24" t="inlineStr">
        <is>
          <t>Atlanta Braves</t>
        </is>
      </c>
      <c r="H244" s="24" t="inlineStr">
        <is>
          <t>total</t>
        </is>
      </c>
      <c r="I244" s="24" t="inlineStr">
        <is>
          <t>under</t>
        </is>
      </c>
      <c r="J244" s="25" t="n">
        <v>9.5</v>
      </c>
      <c r="K244" s="24" t="inlineStr">
        <is>
          <t>polymarket_us</t>
        </is>
      </c>
      <c r="L244" s="26" t="n">
        <v>-125</v>
      </c>
      <c r="M244" s="27" t="n">
        <v>1.8</v>
      </c>
      <c r="N244" s="28" t="n">
        <v>0.555556</v>
      </c>
      <c r="O244" s="28" t="n">
        <v>0.5349120000000001</v>
      </c>
      <c r="P244" s="28" t="n">
        <v>0.042131</v>
      </c>
      <c r="Q244" s="28" t="n">
        <v>-0.020644</v>
      </c>
      <c r="R244" s="26" t="n">
        <v>16</v>
      </c>
      <c r="S244" s="29" t="n">
        <v>0</v>
      </c>
      <c r="T244" s="24" t="inlineStr">
        <is>
          <t>measured-edge-totals-v3</t>
        </is>
      </c>
      <c r="U244" s="24" t="inlineStr">
        <is>
          <t>settled</t>
        </is>
      </c>
      <c r="V244" s="24" t="inlineStr">
        <is>
          <t>loss</t>
        </is>
      </c>
      <c r="W244" s="26" t="n">
        <v>3</v>
      </c>
      <c r="X244" s="26" t="n">
        <v>11</v>
      </c>
      <c r="Y244" s="25" t="n">
        <v>9.5</v>
      </c>
      <c r="Z244" s="26" t="n">
        <v>-125</v>
      </c>
      <c r="AA244" s="28" t="n">
        <v>0.555</v>
      </c>
      <c r="AB244" s="28" t="n">
        <v>-0.000556</v>
      </c>
      <c r="AC244" s="30" t="n">
        <v>0</v>
      </c>
      <c r="AD244" s="24" t="inlineStr">
        <is>
          <t>2026-08-07T09:06:41.732187Z</t>
        </is>
      </c>
      <c r="AE244" s="31" t="inlineStr">
        <is>
          <t>Measured Edge Totals: Trend Engine projected 4.25-4.56; raw selected-side p=0.6172, calibrated p=0.5349.</t>
        </is>
      </c>
      <c r="AF244" s="31" t="inlineStr">
        <is>
          <t>Research-only; lineup, bullpen, park, weather, xFIP, and wRC+ may be neutral fallbacks; market availability and BBO depth may change before first pitch.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NO_CALL_WINNER_OVERVALUED</t>
        </is>
      </c>
      <c r="AP244" s="24" t="inlineStr">
        <is>
          <t>mlb-mia</t>
        </is>
      </c>
      <c r="AQ244" s="24" t="inlineStr">
        <is>
          <t>Miami Marlins</t>
        </is>
      </c>
      <c r="AR244" s="24" t="inlineStr">
        <is>
          <t>Miami Marlins</t>
        </is>
      </c>
      <c r="AS244" s="24" t="inlineStr">
        <is>
          <t>mlb-atl</t>
        </is>
      </c>
      <c r="AT244" s="24" t="inlineStr">
        <is>
          <t>Atlanta Braves</t>
        </is>
      </c>
      <c r="AU244" s="24" t="inlineStr">
        <is>
          <t>Atlanta Braves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95b84332c75d2ce54036eb8de6ada9c78d0f80228c50825c0347281a8b9b49c7</t>
        </is>
      </c>
      <c r="BB244" s="24" t="inlineStr">
        <is>
          <t>flat_probability_shrinkage_toward_half</t>
        </is>
      </c>
      <c r="BC244" s="24" t="inlineStr">
        <is>
          <t>measured-edge-totals-v3</t>
        </is>
      </c>
      <c r="BD244" s="24" t="inlineStr">
        <is>
          <t>95b84332c75d2ce54036eb8de6ada9c78d0f80228c50825c0347281a8b9b49c7</t>
        </is>
      </c>
      <c r="BE244" s="24" t="inlineStr">
        <is>
          <t>v3</t>
        </is>
      </c>
      <c r="BF244" s="24" t="inlineStr">
        <is>
          <t>1</t>
        </is>
      </c>
      <c r="BG244" s="24" t="inlineStr">
        <is>
          <t>measured-edge-paired-v1</t>
        </is>
      </c>
      <c r="BH244" s="24" t="inlineStr">
        <is>
          <t>2026-08-06T18:58:40.093175Z</t>
        </is>
      </c>
      <c r="BI244" s="24" t="inlineStr">
        <is>
          <t>["same_event","same_team_same_day","same_league_same_day"]</t>
        </is>
      </c>
      <c r="BJ244" s="25" t="n">
        <v>9.5</v>
      </c>
      <c r="BK244" s="26" t="n">
        <v>-125</v>
      </c>
      <c r="BL244" s="27" t="n">
        <v>1.8</v>
      </c>
      <c r="BM244" s="28" t="n">
        <v>0.555556</v>
      </c>
      <c r="BN244" s="28" t="n">
        <v>0.552239</v>
      </c>
      <c r="BO244" s="28" t="n"/>
      <c r="BP244" s="25" t="n"/>
      <c r="BQ244" s="27" t="n">
        <v>1.8</v>
      </c>
      <c r="BR244" s="28" t="n">
        <v>0.555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</row>
    <row r="245" ht="36" customHeight="1">
      <c r="A245" s="24" t="inlineStr">
        <is>
          <t>25e29ff339434141</t>
        </is>
      </c>
      <c r="B245" s="24" t="inlineStr">
        <is>
          <t>2026-08-06T18:58:40.093175Z</t>
        </is>
      </c>
      <c r="C245" s="24" t="inlineStr">
        <is>
          <t>2026-08-06T23:30Z</t>
        </is>
      </c>
      <c r="D245" s="24" t="inlineStr">
        <is>
          <t>401816420</t>
        </is>
      </c>
      <c r="E245" s="24" t="inlineStr">
        <is>
          <t>MLB</t>
        </is>
      </c>
      <c r="F245" s="24" t="inlineStr">
        <is>
          <t>Minnesota Twins</t>
        </is>
      </c>
      <c r="G245" s="24" t="inlineStr">
        <is>
          <t>Kansas City Royals</t>
        </is>
      </c>
      <c r="H245" s="24" t="inlineStr">
        <is>
          <t>spread</t>
        </is>
      </c>
      <c r="I245" s="24" t="inlineStr">
        <is>
          <t>home</t>
        </is>
      </c>
      <c r="J245" s="25" t="n">
        <v>-1.5</v>
      </c>
      <c r="K245" s="24" t="inlineStr">
        <is>
          <t>polymarket_us</t>
        </is>
      </c>
      <c r="L245" s="26" t="n">
        <v>174</v>
      </c>
      <c r="M245" s="27" t="n">
        <v>2.74</v>
      </c>
      <c r="N245" s="28" t="n">
        <v>0.364964</v>
      </c>
      <c r="O245" s="28" t="n">
        <v>0.409306</v>
      </c>
      <c r="P245" s="28" t="n">
        <v>0.042131</v>
      </c>
      <c r="Q245" s="28" t="n">
        <v>0.044342</v>
      </c>
      <c r="R245" s="26" t="n">
        <v>48</v>
      </c>
      <c r="S245" s="29" t="n">
        <v>0</v>
      </c>
      <c r="T245" s="24" t="inlineStr">
        <is>
          <t>measured-edge-margin-v3</t>
        </is>
      </c>
      <c r="U245" s="24" t="inlineStr">
        <is>
          <t>settled</t>
        </is>
      </c>
      <c r="V245" s="24" t="inlineStr">
        <is>
          <t>loss</t>
        </is>
      </c>
      <c r="W245" s="26" t="n">
        <v>4</v>
      </c>
      <c r="X245" s="26" t="n">
        <v>3</v>
      </c>
      <c r="Y245" s="25" t="n">
        <v>-1.5</v>
      </c>
      <c r="Z245" s="26" t="n">
        <v>174</v>
      </c>
      <c r="AA245" s="28" t="n">
        <v>0.365</v>
      </c>
      <c r="AB245" s="28" t="n">
        <v>3.6e-05</v>
      </c>
      <c r="AC245" s="30" t="n">
        <v>0</v>
      </c>
      <c r="AD245" s="24" t="inlineStr">
        <is>
          <t>2026-08-07T09:06:42.895820Z</t>
        </is>
      </c>
      <c r="AE245" s="31" t="inlineStr">
        <is>
          <t>Measured Edge Margin: Trend Engine projected 4.42-4.83; raw selected-side p=0.3669, calibrated p=0.4093.</t>
        </is>
      </c>
      <c r="AF245" s="31" t="inlineStr">
        <is>
          <t>Research-only; lineup, bullpen, park, weather, xFIP, and wRC+ may be neutral fallbacks; market availability and BBO depth may change before first pitch.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NO_CALL_WINNER_OVERVALUED</t>
        </is>
      </c>
      <c r="AP245" s="24" t="inlineStr">
        <is>
          <t>mlb-min</t>
        </is>
      </c>
      <c r="AQ245" s="24" t="inlineStr">
        <is>
          <t>Minnesota Twins</t>
        </is>
      </c>
      <c r="AR245" s="24" t="inlineStr">
        <is>
          <t>Minnesota Twins</t>
        </is>
      </c>
      <c r="AS245" s="24" t="inlineStr">
        <is>
          <t>mlb-kc</t>
        </is>
      </c>
      <c r="AT245" s="24" t="inlineStr">
        <is>
          <t>Kansas City Royals</t>
        </is>
      </c>
      <c r="AU245" s="24" t="inlineStr">
        <is>
          <t>Kansas City Royals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dd339a2eed50d7d83ab2127837995ddab82e879afd27f5414bb6c1f9cd60ba4c</t>
        </is>
      </c>
      <c r="BB245" s="24" t="inlineStr">
        <is>
          <t>flat_probability_shrinkage_toward_half</t>
        </is>
      </c>
      <c r="BC245" s="24" t="inlineStr">
        <is>
          <t>measured-edge-margin-v3</t>
        </is>
      </c>
      <c r="BD245" s="24" t="inlineStr">
        <is>
          <t>dd339a2eed50d7d83ab2127837995ddab82e879afd27f5414bb6c1f9cd60ba4c</t>
        </is>
      </c>
      <c r="BE245" s="24" t="inlineStr">
        <is>
          <t>v3</t>
        </is>
      </c>
      <c r="BF245" s="24" t="inlineStr">
        <is>
          <t>1</t>
        </is>
      </c>
      <c r="BG245" s="24" t="inlineStr">
        <is>
          <t>measured-edge-paired-v1</t>
        </is>
      </c>
      <c r="BH245" s="24" t="inlineStr">
        <is>
          <t>2026-08-06T18:58:40.093175Z</t>
        </is>
      </c>
      <c r="BI245" s="24" t="inlineStr">
        <is>
          <t>["same_event","same_team_same_day","same_league_same_day"]</t>
        </is>
      </c>
      <c r="BJ245" s="25" t="n">
        <v>-1.5</v>
      </c>
      <c r="BK245" s="26" t="n">
        <v>174</v>
      </c>
      <c r="BL245" s="27" t="n">
        <v>2.74</v>
      </c>
      <c r="BM245" s="28" t="n">
        <v>0.364964</v>
      </c>
      <c r="BN245" s="28" t="n">
        <v>0.363184</v>
      </c>
      <c r="BO245" s="28" t="n"/>
      <c r="BP245" s="25" t="n"/>
      <c r="BQ245" s="27" t="n">
        <v>2.74</v>
      </c>
      <c r="BR245" s="28" t="n">
        <v>0.365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</row>
    <row r="246" ht="36" customHeight="1">
      <c r="A246" s="24" t="inlineStr">
        <is>
          <t>c5934bf90d1b4d88</t>
        </is>
      </c>
      <c r="B246" s="24" t="inlineStr">
        <is>
          <t>2026-08-06T18:58:40.093175Z</t>
        </is>
      </c>
      <c r="C246" s="24" t="inlineStr">
        <is>
          <t>2026-08-06T23:30Z</t>
        </is>
      </c>
      <c r="D246" s="24" t="inlineStr">
        <is>
          <t>401816420</t>
        </is>
      </c>
      <c r="E246" s="24" t="inlineStr">
        <is>
          <t>MLB</t>
        </is>
      </c>
      <c r="F246" s="24" t="inlineStr">
        <is>
          <t>Minnesota Twins</t>
        </is>
      </c>
      <c r="G246" s="24" t="inlineStr">
        <is>
          <t>Kansas City Royals</t>
        </is>
      </c>
      <c r="H246" s="24" t="inlineStr">
        <is>
          <t>total</t>
        </is>
      </c>
      <c r="I246" s="24" t="inlineStr">
        <is>
          <t>over</t>
        </is>
      </c>
      <c r="J246" s="25" t="n">
        <v>8.5</v>
      </c>
      <c r="K246" s="24" t="inlineStr">
        <is>
          <t>polymarket_us</t>
        </is>
      </c>
      <c r="L246" s="26" t="n">
        <v>-117</v>
      </c>
      <c r="M246" s="27" t="n">
        <v>1.854701</v>
      </c>
      <c r="N246" s="28" t="n">
        <v>0.539171</v>
      </c>
      <c r="O246" s="28" t="n">
        <v>0.515463</v>
      </c>
      <c r="P246" s="28" t="n">
        <v>0.042131</v>
      </c>
      <c r="Q246" s="28" t="n">
        <v>-0.023708</v>
      </c>
      <c r="R246" s="26" t="n">
        <v>14</v>
      </c>
      <c r="S246" s="29" t="n">
        <v>0</v>
      </c>
      <c r="T246" s="24" t="inlineStr">
        <is>
          <t>measured-edge-totals-v3</t>
        </is>
      </c>
      <c r="U246" s="24" t="inlineStr">
        <is>
          <t>settled</t>
        </is>
      </c>
      <c r="V246" s="24" t="inlineStr">
        <is>
          <t>loss</t>
        </is>
      </c>
      <c r="W246" s="26" t="n">
        <v>4</v>
      </c>
      <c r="X246" s="26" t="n">
        <v>3</v>
      </c>
      <c r="Y246" s="25" t="n">
        <v>8.5</v>
      </c>
      <c r="Z246" s="26" t="n">
        <v>-117</v>
      </c>
      <c r="AA246" s="28" t="n">
        <v>0.54</v>
      </c>
      <c r="AB246" s="28" t="n">
        <v>0.000829</v>
      </c>
      <c r="AC246" s="30" t="n">
        <v>0</v>
      </c>
      <c r="AD246" s="24" t="inlineStr">
        <is>
          <t>2026-08-07T09:06:44.032015Z</t>
        </is>
      </c>
      <c r="AE246" s="31" t="inlineStr">
        <is>
          <t>Measured Edge Totals: Trend Engine projected 4.42-4.83; raw selected-side p=0.5389, calibrated p=0.5155.</t>
        </is>
      </c>
      <c r="AF246" s="31" t="inlineStr">
        <is>
          <t>Research-only; lineup, bullpen, park, weather, xFIP, and wRC+ may be neutral fallbacks; market availability and BBO depth may change before first pitch.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NO_CALL_WINNER_OVERVALUED</t>
        </is>
      </c>
      <c r="AP246" s="24" t="inlineStr">
        <is>
          <t>mlb-min</t>
        </is>
      </c>
      <c r="AQ246" s="24" t="inlineStr">
        <is>
          <t>Minnesota Twins</t>
        </is>
      </c>
      <c r="AR246" s="24" t="inlineStr">
        <is>
          <t>Minnesota Twins</t>
        </is>
      </c>
      <c r="AS246" s="24" t="inlineStr">
        <is>
          <t>mlb-kc</t>
        </is>
      </c>
      <c r="AT246" s="24" t="inlineStr">
        <is>
          <t>Kansas City Royals</t>
        </is>
      </c>
      <c r="AU246" s="24" t="inlineStr">
        <is>
          <t>Kansas City Royals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95b84332c75d2ce54036eb8de6ada9c78d0f80228c50825c0347281a8b9b49c7</t>
        </is>
      </c>
      <c r="BB246" s="24" t="inlineStr">
        <is>
          <t>flat_probability_shrinkage_toward_half</t>
        </is>
      </c>
      <c r="BC246" s="24" t="inlineStr">
        <is>
          <t>measured-edge-totals-v3</t>
        </is>
      </c>
      <c r="BD246" s="24" t="inlineStr">
        <is>
          <t>95b84332c75d2ce54036eb8de6ada9c78d0f80228c50825c0347281a8b9b49c7</t>
        </is>
      </c>
      <c r="BE246" s="24" t="inlineStr">
        <is>
          <t>v3</t>
        </is>
      </c>
      <c r="BF246" s="24" t="inlineStr">
        <is>
          <t>1</t>
        </is>
      </c>
      <c r="BG246" s="24" t="inlineStr">
        <is>
          <t>measured-edge-paired-v1</t>
        </is>
      </c>
      <c r="BH246" s="24" t="inlineStr">
        <is>
          <t>2026-08-06T18:58:40.093175Z</t>
        </is>
      </c>
      <c r="BI246" s="24" t="inlineStr">
        <is>
          <t>["same_event","same_team_same_day","same_league_same_day"]</t>
        </is>
      </c>
      <c r="BJ246" s="25" t="n">
        <v>8.5</v>
      </c>
      <c r="BK246" s="26" t="n">
        <v>-117</v>
      </c>
      <c r="BL246" s="27" t="n">
        <v>1.854701</v>
      </c>
      <c r="BM246" s="28" t="n">
        <v>0.539171</v>
      </c>
      <c r="BN246" s="28" t="n">
        <v>0.537313</v>
      </c>
      <c r="BO246" s="28" t="n"/>
      <c r="BP246" s="25" t="n"/>
      <c r="BQ246" s="27" t="n">
        <v>1.854701</v>
      </c>
      <c r="BR246" s="28" t="n">
        <v>0.54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</row>
    <row r="247" ht="36" customHeight="1">
      <c r="A247" s="24" t="inlineStr">
        <is>
          <t>634c36fa715241fd</t>
        </is>
      </c>
      <c r="B247" s="24" t="inlineStr">
        <is>
          <t>2026-08-06T18:58:40.093175Z</t>
        </is>
      </c>
      <c r="C247" s="24" t="inlineStr">
        <is>
          <t>2026-08-07T01:40Z</t>
        </is>
      </c>
      <c r="D247" s="24" t="inlineStr">
        <is>
          <t>401816423</t>
        </is>
      </c>
      <c r="E247" s="24" t="inlineStr">
        <is>
          <t>MLB</t>
        </is>
      </c>
      <c r="F247" s="24" t="inlineStr">
        <is>
          <t>San Diego Padres</t>
        </is>
      </c>
      <c r="G247" s="24" t="inlineStr">
        <is>
          <t>Arizona Diamondbacks</t>
        </is>
      </c>
      <c r="H247" s="24" t="inlineStr">
        <is>
          <t>spread</t>
        </is>
      </c>
      <c r="I247" s="24" t="inlineStr">
        <is>
          <t>home</t>
        </is>
      </c>
      <c r="J247" s="25" t="n">
        <v>1.5</v>
      </c>
      <c r="K247" s="24" t="inlineStr">
        <is>
          <t>polymarket_us</t>
        </is>
      </c>
      <c r="L247" s="26" t="n">
        <v>-163</v>
      </c>
      <c r="M247" s="27" t="n">
        <v>1.613497</v>
      </c>
      <c r="N247" s="28" t="n">
        <v>0.619772</v>
      </c>
      <c r="O247" s="28" t="n">
        <v>0.644491</v>
      </c>
      <c r="P247" s="28" t="n">
        <v>0.05172</v>
      </c>
      <c r="Q247" s="28" t="n">
        <v>0.024719</v>
      </c>
      <c r="R247" s="26" t="n">
        <v>33</v>
      </c>
      <c r="S247" s="29" t="n">
        <v>0</v>
      </c>
      <c r="T247" s="24" t="inlineStr">
        <is>
          <t>measured-edge-margin-v3</t>
        </is>
      </c>
      <c r="U247" s="24" t="inlineStr">
        <is>
          <t>settled</t>
        </is>
      </c>
      <c r="V247" s="24" t="inlineStr">
        <is>
          <t>loss</t>
        </is>
      </c>
      <c r="W247" s="26" t="n">
        <v>5</v>
      </c>
      <c r="X247" s="26" t="n">
        <v>1</v>
      </c>
      <c r="Y247" s="25" t="n">
        <v>1.5</v>
      </c>
      <c r="Z247" s="26" t="n">
        <v>-163</v>
      </c>
      <c r="AA247" s="28" t="n">
        <v>0.62</v>
      </c>
      <c r="AB247" s="28" t="n">
        <v>0.000228</v>
      </c>
      <c r="AC247" s="30" t="n">
        <v>0</v>
      </c>
      <c r="AD247" s="24" t="inlineStr">
        <is>
          <t>2026-08-07T09:06:45.183976Z</t>
        </is>
      </c>
      <c r="AE247" s="31" t="inlineStr">
        <is>
          <t>Measured Edge Margin: Trend Engine projected 4.77-5.38; raw selected-side p=0.7120, calibrated p=0.6445.</t>
        </is>
      </c>
      <c r="AF247" s="31" t="inlineStr">
        <is>
          <t>Research-only; lineup, bullpen, park, weather, xFIP, and wRC+ may be neutral fallbacks; market availability and BBO depth may change before first pitch.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NO_CALL_WINNER_OVERVALUED</t>
        </is>
      </c>
      <c r="AP247" s="24" t="inlineStr">
        <is>
          <t>mlb-sd</t>
        </is>
      </c>
      <c r="AQ247" s="24" t="inlineStr">
        <is>
          <t>San Diego Padres</t>
        </is>
      </c>
      <c r="AR247" s="24" t="inlineStr">
        <is>
          <t>San Diego Padres</t>
        </is>
      </c>
      <c r="AS247" s="24" t="inlineStr">
        <is>
          <t>mlb-ari</t>
        </is>
      </c>
      <c r="AT247" s="24" t="inlineStr">
        <is>
          <t>Arizona Diamondbacks</t>
        </is>
      </c>
      <c r="AU247" s="24" t="inlineStr">
        <is>
          <t>Arizona Diamondbacks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dd339a2eed50d7d83ab2127837995ddab82e879afd27f5414bb6c1f9cd60ba4c</t>
        </is>
      </c>
      <c r="BB247" s="24" t="inlineStr">
        <is>
          <t>flat_probability_shrinkage_toward_half</t>
        </is>
      </c>
      <c r="BC247" s="24" t="inlineStr">
        <is>
          <t>measured-edge-margin-v3</t>
        </is>
      </c>
      <c r="BD247" s="24" t="inlineStr">
        <is>
          <t>dd339a2eed50d7d83ab2127837995ddab82e879afd27f5414bb6c1f9cd60ba4c</t>
        </is>
      </c>
      <c r="BE247" s="24" t="inlineStr">
        <is>
          <t>v3</t>
        </is>
      </c>
      <c r="BF247" s="24" t="inlineStr">
        <is>
          <t>1</t>
        </is>
      </c>
      <c r="BG247" s="24" t="inlineStr">
        <is>
          <t>measured-edge-paired-v1</t>
        </is>
      </c>
      <c r="BH247" s="24" t="inlineStr">
        <is>
          <t>2026-08-06T18:58:40.093175Z</t>
        </is>
      </c>
      <c r="BI247" s="24" t="inlineStr">
        <is>
          <t>["same_event","same_team_same_day","same_league_same_day"]</t>
        </is>
      </c>
      <c r="BJ247" s="25" t="n">
        <v>1.5</v>
      </c>
      <c r="BK247" s="26" t="n">
        <v>-163</v>
      </c>
      <c r="BL247" s="27" t="n">
        <v>1.613497</v>
      </c>
      <c r="BM247" s="28" t="n">
        <v>0.619772</v>
      </c>
      <c r="BN247" s="28" t="n">
        <v>0.616915</v>
      </c>
      <c r="BO247" s="28" t="n"/>
      <c r="BP247" s="25" t="n"/>
      <c r="BQ247" s="27" t="n">
        <v>1.613497</v>
      </c>
      <c r="BR247" s="28" t="n">
        <v>0.62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</row>
    <row r="248" ht="36" customHeight="1">
      <c r="A248" s="24" t="inlineStr">
        <is>
          <t>26f54c2b6fbe4d99</t>
        </is>
      </c>
      <c r="B248" s="24" t="inlineStr">
        <is>
          <t>2026-08-06T18:58:40.093175Z</t>
        </is>
      </c>
      <c r="C248" s="24" t="inlineStr">
        <is>
          <t>2026-08-07T01:40Z</t>
        </is>
      </c>
      <c r="D248" s="24" t="inlineStr">
        <is>
          <t>401816423</t>
        </is>
      </c>
      <c r="E248" s="24" t="inlineStr">
        <is>
          <t>MLB</t>
        </is>
      </c>
      <c r="F248" s="24" t="inlineStr">
        <is>
          <t>San Diego Padres</t>
        </is>
      </c>
      <c r="G248" s="24" t="inlineStr">
        <is>
          <t>Arizona Diamondbacks</t>
        </is>
      </c>
      <c r="H248" s="24" t="inlineStr">
        <is>
          <t>total</t>
        </is>
      </c>
      <c r="I248" s="24" t="inlineStr">
        <is>
          <t>over</t>
        </is>
      </c>
      <c r="J248" s="25" t="n">
        <v>9.5</v>
      </c>
      <c r="K248" s="24" t="inlineStr">
        <is>
          <t>polymarket_us</t>
        </is>
      </c>
      <c r="L248" s="26" t="n">
        <v>120</v>
      </c>
      <c r="M248" s="27" t="n">
        <v>2.2</v>
      </c>
      <c r="N248" s="28" t="n">
        <v>0.454545</v>
      </c>
      <c r="O248" s="28" t="n">
        <v>0.507104</v>
      </c>
      <c r="P248" s="28" t="n">
        <v>0.05172</v>
      </c>
      <c r="Q248" s="28" t="n">
        <v>0.052559</v>
      </c>
      <c r="R248" s="26" t="n">
        <v>46</v>
      </c>
      <c r="S248" s="29" t="n">
        <v>0</v>
      </c>
      <c r="T248" s="24" t="inlineStr">
        <is>
          <t>measured-edge-totals-v3</t>
        </is>
      </c>
      <c r="U248" s="24" t="inlineStr">
        <is>
          <t>settled</t>
        </is>
      </c>
      <c r="V248" s="24" t="inlineStr">
        <is>
          <t>loss</t>
        </is>
      </c>
      <c r="W248" s="26" t="n">
        <v>5</v>
      </c>
      <c r="X248" s="26" t="n">
        <v>1</v>
      </c>
      <c r="Y248" s="25" t="n">
        <v>9.5</v>
      </c>
      <c r="Z248" s="26" t="n">
        <v>120</v>
      </c>
      <c r="AA248" s="28" t="n">
        <v>0.455</v>
      </c>
      <c r="AB248" s="28" t="n">
        <v>0.000455</v>
      </c>
      <c r="AC248" s="30" t="n">
        <v>0</v>
      </c>
      <c r="AD248" s="24" t="inlineStr">
        <is>
          <t>2026-08-07T09:06:46.359331Z</t>
        </is>
      </c>
      <c r="AE248" s="31" t="inlineStr">
        <is>
          <t>Measured Edge Totals: Trend Engine projected 4.77-5.38; raw selected-side p=0.5052, calibrated p=0.5071.</t>
        </is>
      </c>
      <c r="AF248" s="31" t="inlineStr">
        <is>
          <t>Research-only; lineup, bullpen, park, weather, xFIP, and wRC+ may be neutral fallbacks; market availability and BBO depth may change before first pitch.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NO_CALL_WINNER_OVERVALUED</t>
        </is>
      </c>
      <c r="AP248" s="24" t="inlineStr">
        <is>
          <t>mlb-sd</t>
        </is>
      </c>
      <c r="AQ248" s="24" t="inlineStr">
        <is>
          <t>San Diego Padres</t>
        </is>
      </c>
      <c r="AR248" s="24" t="inlineStr">
        <is>
          <t>San Diego Padres</t>
        </is>
      </c>
      <c r="AS248" s="24" t="inlineStr">
        <is>
          <t>mlb-ari</t>
        </is>
      </c>
      <c r="AT248" s="24" t="inlineStr">
        <is>
          <t>Arizona Diamondbacks</t>
        </is>
      </c>
      <c r="AU248" s="24" t="inlineStr">
        <is>
          <t>Arizona Diamondbacks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95b84332c75d2ce54036eb8de6ada9c78d0f80228c50825c0347281a8b9b49c7</t>
        </is>
      </c>
      <c r="BB248" s="24" t="inlineStr">
        <is>
          <t>flat_probability_shrinkage_toward_half</t>
        </is>
      </c>
      <c r="BC248" s="24" t="inlineStr">
        <is>
          <t>measured-edge-totals-v3</t>
        </is>
      </c>
      <c r="BD248" s="24" t="inlineStr">
        <is>
          <t>95b84332c75d2ce54036eb8de6ada9c78d0f80228c50825c0347281a8b9b49c7</t>
        </is>
      </c>
      <c r="BE248" s="24" t="inlineStr">
        <is>
          <t>v3</t>
        </is>
      </c>
      <c r="BF248" s="24" t="inlineStr">
        <is>
          <t>1</t>
        </is>
      </c>
      <c r="BG248" s="24" t="inlineStr">
        <is>
          <t>measured-edge-paired-v1</t>
        </is>
      </c>
      <c r="BH248" s="24" t="inlineStr">
        <is>
          <t>2026-08-06T18:58:40.093175Z</t>
        </is>
      </c>
      <c r="BI248" s="24" t="inlineStr">
        <is>
          <t>["same_event","same_team_same_day","same_league_same_day"]</t>
        </is>
      </c>
      <c r="BJ248" s="25" t="n">
        <v>9.5</v>
      </c>
      <c r="BK248" s="26" t="n">
        <v>120</v>
      </c>
      <c r="BL248" s="27" t="n">
        <v>2.2</v>
      </c>
      <c r="BM248" s="28" t="n">
        <v>0.454545</v>
      </c>
      <c r="BN248" s="28" t="n">
        <v>0.452736</v>
      </c>
      <c r="BO248" s="28" t="n"/>
      <c r="BP248" s="25" t="n"/>
      <c r="BQ248" s="27" t="n">
        <v>2.2</v>
      </c>
      <c r="BR248" s="28" t="n">
        <v>0.455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</row>
    <row r="249" ht="36" customHeight="1">
      <c r="A249" s="24" t="inlineStr">
        <is>
          <t>d694acd326464f41</t>
        </is>
      </c>
      <c r="B249" s="24" t="inlineStr">
        <is>
          <t>2026-08-07T18:28:49.432084Z</t>
        </is>
      </c>
      <c r="C249" s="24" t="inlineStr">
        <is>
          <t>2026-08-07T18:40:00-0400</t>
        </is>
      </c>
      <c r="D249" s="24" t="inlineStr">
        <is>
          <t>401816428</t>
        </is>
      </c>
      <c r="E249" s="24" t="inlineStr">
        <is>
          <t>MLB</t>
        </is>
      </c>
      <c r="F249" s="24" t="inlineStr">
        <is>
          <t>New York Mets</t>
        </is>
      </c>
      <c r="G249" s="24" t="inlineStr">
        <is>
          <t>Pittsburgh Pirates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-127</v>
      </c>
      <c r="M249" s="27" t="n">
        <v>1.787402</v>
      </c>
      <c r="N249" s="28" t="n">
        <v>0.5594710000000001</v>
      </c>
      <c r="O249" s="28" t="n">
        <v>0.581752</v>
      </c>
      <c r="P249" s="28" t="n"/>
      <c r="Q249" s="28" t="n">
        <v>0.022281</v>
      </c>
      <c r="R249" s="26" t="n">
        <v>32</v>
      </c>
      <c r="S249" s="29" t="n">
        <v>0</v>
      </c>
      <c r="T249" s="24" t="inlineStr">
        <is>
          <t>mlb-elo-trend-lr-v8</t>
        </is>
      </c>
      <c r="U249" s="24" t="inlineStr">
        <is>
          <t>open</t>
        </is>
      </c>
      <c r="V249" s="24" t="n"/>
      <c r="W249" s="26" t="n"/>
      <c r="X249" s="26" t="n"/>
      <c r="Y249" s="25" t="n"/>
      <c r="Z249" s="26" t="n"/>
      <c r="AA249" s="28" t="n"/>
      <c r="AB249" s="28" t="n"/>
      <c r="AC249" s="30" t="n"/>
      <c r="AD249" s="24" t="n"/>
      <c r="AE249" s="31" t="inlineStr">
        <is>
          <t>Learned LR call at threshold 0.5873; executable ask 0.5600 (aec-mlb-nym-pit-2026-08-07); model edge vs ask +0.0218. NOTE: NO_CALL_STARTER_ERA_GAP_INSUFFICIENT_HISTORY unavailable for this game — defaulted to neutral, other features used normally.</t>
        </is>
      </c>
      <c r="AF249" s="31" t="inlineStr">
        <is>
          <t>Learned model; shadow-qualified via operator override.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NO_CALL_WINNER_OVERVALUED</t>
        </is>
      </c>
      <c r="AP249" s="24" t="inlineStr">
        <is>
          <t>mlb-nym</t>
        </is>
      </c>
      <c r="AQ249" s="24" t="inlineStr">
        <is>
          <t>New York Mets</t>
        </is>
      </c>
      <c r="AR249" s="24" t="inlineStr">
        <is>
          <t>New York Mets</t>
        </is>
      </c>
      <c r="AS249" s="24" t="inlineStr">
        <is>
          <t>mlb-pit</t>
        </is>
      </c>
      <c r="AT249" s="24" t="inlineStr">
        <is>
          <t>Pittsburgh Pirates</t>
        </is>
      </c>
      <c r="AU249" s="24" t="inlineStr">
        <is>
          <t>Pittsburgh Pirates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6a5c79541b0e50cb9f7318270e63d5ccc65cbd7bc53a019748ff772d49de5075</t>
        </is>
      </c>
      <c r="BB249" s="24" t="inlineStr">
        <is>
          <t>learned_lr</t>
        </is>
      </c>
      <c r="BC249" s="24" t="inlineStr">
        <is>
          <t>mlb-elo-trend-lr-v8</t>
        </is>
      </c>
      <c r="BD249" s="24" t="inlineStr">
        <is>
          <t>6a5c79541b0e50cb9f7318270e63d5ccc65cbd7bc53a019748ff772d49de5075</t>
        </is>
      </c>
      <c r="BE249" s="24" t="inlineStr">
        <is>
          <t>36b77e0a89c00685</t>
        </is>
      </c>
      <c r="BF249" s="24" t="inlineStr">
        <is>
          <t>1</t>
        </is>
      </c>
      <c r="BG249" s="24" t="inlineStr">
        <is>
          <t>mlb-elo-trend-lr-v8</t>
        </is>
      </c>
      <c r="BH249" s="24" t="inlineStr">
        <is>
          <t>2026-08-07T18:27:53.881975Z</t>
        </is>
      </c>
      <c r="BI249" s="24" t="inlineStr">
        <is>
          <t>["same_event","same_team_same_day","same_league_same_day"]</t>
        </is>
      </c>
      <c r="BJ249" s="25" t="n"/>
      <c r="BK249" s="26" t="n">
        <v>-127</v>
      </c>
      <c r="BL249" s="27" t="n">
        <v>1.787402</v>
      </c>
      <c r="BM249" s="28" t="n">
        <v>0.5594710000000001</v>
      </c>
      <c r="BN249" s="28" t="n">
        <v>0.557214</v>
      </c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inlineStr">
        <is>
          <t>0.5635051859</t>
        </is>
      </c>
      <c r="CD249" s="24" t="inlineStr">
        <is>
          <t>-3.337301</t>
        </is>
      </c>
      <c r="CE249" s="24" t="inlineStr">
        <is>
          <t>0.989</t>
        </is>
      </c>
      <c r="CF249" s="24" t="inlineStr">
        <is>
          <t>1.0106</t>
        </is>
      </c>
      <c r="CG249" s="24" t="n"/>
      <c r="CH249" s="24" t="n"/>
      <c r="CI249" s="24" t="inlineStr">
        <is>
          <t>NO_CALL_STARTER_ERA_GAP_INSUFFICIENT_HISTORY</t>
        </is>
      </c>
      <c r="CJ249" s="24" t="inlineStr">
        <is>
          <t>-0.188433</t>
        </is>
      </c>
      <c r="CK249" s="24" t="n"/>
      <c r="CL249" s="24" t="inlineStr">
        <is>
          <t>0.063988</t>
        </is>
      </c>
      <c r="CM249" s="24" t="inlineStr">
        <is>
          <t>0.0</t>
        </is>
      </c>
      <c r="CN249" s="24" t="n"/>
      <c r="CO249" s="24" t="n"/>
      <c r="CP249" s="24" t="n"/>
      <c r="CQ249" s="24" t="n"/>
      <c r="CR249" s="24" t="inlineStr">
        <is>
          <t>0.581752</t>
        </is>
      </c>
      <c r="CS249" s="24" t="inlineStr">
        <is>
          <t>True</t>
        </is>
      </c>
    </row>
    <row r="250" ht="36" customHeight="1">
      <c r="A250" s="24" t="inlineStr">
        <is>
          <t>08f0b25465a34cbd</t>
        </is>
      </c>
      <c r="B250" s="24" t="inlineStr">
        <is>
          <t>2026-08-07T18:28:49.432084Z</t>
        </is>
      </c>
      <c r="C250" s="24" t="inlineStr">
        <is>
          <t>2026-08-07T18:40:00-0400</t>
        </is>
      </c>
      <c r="D250" s="24" t="inlineStr">
        <is>
          <t>401816429</t>
        </is>
      </c>
      <c r="E250" s="24" t="inlineStr">
        <is>
          <t>MLB</t>
        </is>
      </c>
      <c r="F250" s="24" t="inlineStr">
        <is>
          <t>Toronto Blue Jays</t>
        </is>
      </c>
      <c r="G250" s="24" t="inlineStr">
        <is>
          <t>Philadelphia Phillies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-199</v>
      </c>
      <c r="M250" s="27" t="n">
        <v>1.502513</v>
      </c>
      <c r="N250" s="28" t="n">
        <v>0.665552</v>
      </c>
      <c r="O250" s="28" t="n">
        <v>0.5624749999999999</v>
      </c>
      <c r="P250" s="28" t="n"/>
      <c r="Q250" s="28" t="n">
        <v>-0.103077</v>
      </c>
      <c r="R250" s="26" t="n">
        <v>0</v>
      </c>
      <c r="S250" s="29" t="n">
        <v>0</v>
      </c>
      <c r="T250" s="24" t="inlineStr">
        <is>
          <t>mlb-elo-trend-lr-v8</t>
        </is>
      </c>
      <c r="U250" s="24" t="inlineStr">
        <is>
          <t>open</t>
        </is>
      </c>
      <c r="V250" s="24" t="n"/>
      <c r="W250" s="26" t="n"/>
      <c r="X250" s="26" t="n"/>
      <c r="Y250" s="25" t="n"/>
      <c r="Z250" s="26" t="n"/>
      <c r="AA250" s="28" t="n"/>
      <c r="AB250" s="28" t="n"/>
      <c r="AC250" s="30" t="n"/>
      <c r="AD250" s="24" t="n"/>
      <c r="AE250" s="31" t="inlineStr">
        <is>
          <t>Learned LR call at threshold 0.5873; executable ask 0.6650 (aec-mlb-tor-phi-2026-08-07); model edge vs ask -0.1025. NOTE: NO_CALL_STARTER_ERA_GAP_INSUFFICIENT_HISTORY unavailable for this game — defaulted to neutral, other features used normally.</t>
        </is>
      </c>
      <c r="AF250" s="31" t="inlineStr">
        <is>
          <t>Learned model; shadow-qualified via operator override.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NO_CALL_WINNER_OVERVALUED</t>
        </is>
      </c>
      <c r="AP250" s="24" t="inlineStr">
        <is>
          <t>mlb-tor</t>
        </is>
      </c>
      <c r="AQ250" s="24" t="inlineStr">
        <is>
          <t>Toronto Blue Jays</t>
        </is>
      </c>
      <c r="AR250" s="24" t="inlineStr">
        <is>
          <t>Toronto Blue Jays</t>
        </is>
      </c>
      <c r="AS250" s="24" t="inlineStr">
        <is>
          <t>mlb-phi</t>
        </is>
      </c>
      <c r="AT250" s="24" t="inlineStr">
        <is>
          <t>Philadelphia Phillies</t>
        </is>
      </c>
      <c r="AU250" s="24" t="inlineStr">
        <is>
          <t>Philadelphia Phillies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6a5c79541b0e50cb9f7318270e63d5ccc65cbd7bc53a019748ff772d49de5075</t>
        </is>
      </c>
      <c r="BB250" s="24" t="inlineStr">
        <is>
          <t>learned_lr</t>
        </is>
      </c>
      <c r="BC250" s="24" t="inlineStr">
        <is>
          <t>mlb-elo-trend-lr-v8</t>
        </is>
      </c>
      <c r="BD250" s="24" t="inlineStr">
        <is>
          <t>6a5c79541b0e50cb9f7318270e63d5ccc65cbd7bc53a019748ff772d49de5075</t>
        </is>
      </c>
      <c r="BE250" s="24" t="inlineStr">
        <is>
          <t>8e2973a0813de9d2</t>
        </is>
      </c>
      <c r="BF250" s="24" t="inlineStr">
        <is>
          <t>1</t>
        </is>
      </c>
      <c r="BG250" s="24" t="inlineStr">
        <is>
          <t>mlb-elo-trend-lr-v8</t>
        </is>
      </c>
      <c r="BH250" s="24" t="inlineStr">
        <is>
          <t>2026-08-07T18:27:53.313564Z</t>
        </is>
      </c>
      <c r="BI250" s="24" t="inlineStr">
        <is>
          <t>["same_event","same_team_same_day","same_league_same_day"]</t>
        </is>
      </c>
      <c r="BJ250" s="25" t="n"/>
      <c r="BK250" s="26" t="n">
        <v>-199</v>
      </c>
      <c r="BL250" s="27" t="n">
        <v>1.502513</v>
      </c>
      <c r="BM250" s="28" t="n">
        <v>0.665552</v>
      </c>
      <c r="BN250" s="28" t="n">
        <v>0.6616919999999999</v>
      </c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inlineStr">
        <is>
          <t>0.5955885365</t>
        </is>
      </c>
      <c r="CD250" s="24" t="inlineStr">
        <is>
          <t>0.866572</t>
        </is>
      </c>
      <c r="CE250" s="24" t="inlineStr">
        <is>
          <t>1.02</t>
        </is>
      </c>
      <c r="CF250" s="24" t="inlineStr">
        <is>
          <t>1.0204</t>
        </is>
      </c>
      <c r="CG250" s="24" t="n"/>
      <c r="CH250" s="24" t="n"/>
      <c r="CI250" s="24" t="inlineStr">
        <is>
          <t>NO_CALL_STARTER_ERA_GAP_INSUFFICIENT_HISTORY</t>
        </is>
      </c>
      <c r="CJ250" s="24" t="inlineStr">
        <is>
          <t>-0.234068</t>
        </is>
      </c>
      <c r="CK250" s="24" t="n"/>
      <c r="CL250" s="24" t="inlineStr">
        <is>
          <t>-0.204695</t>
        </is>
      </c>
      <c r="CM250" s="24" t="inlineStr">
        <is>
          <t>0.0</t>
        </is>
      </c>
      <c r="CN250" s="24" t="n"/>
      <c r="CO250" s="24" t="n"/>
      <c r="CP250" s="24" t="n"/>
      <c r="CQ250" s="24" t="n"/>
      <c r="CR250" s="24" t="inlineStr">
        <is>
          <t>0.562475</t>
        </is>
      </c>
      <c r="CS250" s="24" t="inlineStr">
        <is>
          <t>False</t>
        </is>
      </c>
    </row>
    <row r="251" ht="36" customHeight="1">
      <c r="A251" s="24" t="inlineStr">
        <is>
          <t>ac581c3ffd61413c</t>
        </is>
      </c>
      <c r="B251" s="24" t="inlineStr">
        <is>
          <t>2026-08-07T18:28:49.432084Z</t>
        </is>
      </c>
      <c r="C251" s="24" t="inlineStr">
        <is>
          <t>2026-08-07T19:05:00-0400</t>
        </is>
      </c>
      <c r="D251" s="24" t="inlineStr">
        <is>
          <t>401816426</t>
        </is>
      </c>
      <c r="E251" s="24" t="inlineStr">
        <is>
          <t>MLB</t>
        </is>
      </c>
      <c r="F251" s="24" t="inlineStr">
        <is>
          <t>Atlanta Braves</t>
        </is>
      </c>
      <c r="G251" s="24" t="inlineStr">
        <is>
          <t>New York Yankees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-125</v>
      </c>
      <c r="M251" s="27" t="n">
        <v>1.8</v>
      </c>
      <c r="N251" s="28" t="n">
        <v>0.555556</v>
      </c>
      <c r="O251" s="28" t="n">
        <v>0.531118</v>
      </c>
      <c r="P251" s="28" t="n"/>
      <c r="Q251" s="28" t="n">
        <v>-0.024438</v>
      </c>
      <c r="R251" s="26" t="n">
        <v>9</v>
      </c>
      <c r="S251" s="29" t="n">
        <v>0</v>
      </c>
      <c r="T251" s="24" t="inlineStr">
        <is>
          <t>mlb-elo-trend-lr-v8</t>
        </is>
      </c>
      <c r="U251" s="24" t="inlineStr">
        <is>
          <t>open</t>
        </is>
      </c>
      <c r="V251" s="24" t="n"/>
      <c r="W251" s="26" t="n"/>
      <c r="X251" s="26" t="n"/>
      <c r="Y251" s="25" t="n"/>
      <c r="Z251" s="26" t="n"/>
      <c r="AA251" s="28" t="n"/>
      <c r="AB251" s="28" t="n"/>
      <c r="AC251" s="30" t="n"/>
      <c r="AD251" s="24" t="n"/>
      <c r="AE251" s="31" t="inlineStr">
        <is>
          <t>Learned LR call at threshold 0.5873; executable ask 0.5550 (aec-mlb-atl-nyy-2026-08-07); model edge vs ask -0.0239.</t>
        </is>
      </c>
      <c r="AF251" s="31" t="inlineStr">
        <is>
          <t>Learned model; shadow-qualified via operator override.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NO_CALL_WINNER_OVERVALUED</t>
        </is>
      </c>
      <c r="AP251" s="24" t="inlineStr">
        <is>
          <t>mlb-atl</t>
        </is>
      </c>
      <c r="AQ251" s="24" t="inlineStr">
        <is>
          <t>Atlanta Braves</t>
        </is>
      </c>
      <c r="AR251" s="24" t="inlineStr">
        <is>
          <t>Atlanta Braves</t>
        </is>
      </c>
      <c r="AS251" s="24" t="inlineStr">
        <is>
          <t>mlb-nyy</t>
        </is>
      </c>
      <c r="AT251" s="24" t="inlineStr">
        <is>
          <t>New York Yankees</t>
        </is>
      </c>
      <c r="AU251" s="24" t="inlineStr">
        <is>
          <t>New York Yankees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6a5c79541b0e50cb9f7318270e63d5ccc65cbd7bc53a019748ff772d49de5075</t>
        </is>
      </c>
      <c r="BB251" s="24" t="inlineStr">
        <is>
          <t>learned_lr</t>
        </is>
      </c>
      <c r="BC251" s="24" t="inlineStr">
        <is>
          <t>mlb-elo-trend-lr-v8</t>
        </is>
      </c>
      <c r="BD251" s="24" t="inlineStr">
        <is>
          <t>6a5c79541b0e50cb9f7318270e63d5ccc65cbd7bc53a019748ff772d49de5075</t>
        </is>
      </c>
      <c r="BE251" s="24" t="inlineStr">
        <is>
          <t>b382714397f85937</t>
        </is>
      </c>
      <c r="BF251" s="24" t="inlineStr">
        <is>
          <t>1</t>
        </is>
      </c>
      <c r="BG251" s="24" t="inlineStr">
        <is>
          <t>mlb-elo-trend-lr-v8</t>
        </is>
      </c>
      <c r="BH251" s="24" t="inlineStr">
        <is>
          <t>2026-08-07T18:27:54.963458Z</t>
        </is>
      </c>
      <c r="BI251" s="24" t="inlineStr">
        <is>
          <t>["same_event","same_team_same_day","same_league_same_day"]</t>
        </is>
      </c>
      <c r="BJ251" s="25" t="n"/>
      <c r="BK251" s="26" t="n">
        <v>-125</v>
      </c>
      <c r="BL251" s="27" t="n">
        <v>1.8</v>
      </c>
      <c r="BM251" s="28" t="n">
        <v>0.555556</v>
      </c>
      <c r="BN251" s="28" t="n">
        <v>0.552239</v>
      </c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inlineStr">
        <is>
          <t>0.5131234641</t>
        </is>
      </c>
      <c r="CD251" s="24" t="inlineStr">
        <is>
          <t>-1.651621</t>
        </is>
      </c>
      <c r="CE251" s="24" t="inlineStr">
        <is>
          <t>1.014</t>
        </is>
      </c>
      <c r="CF251" s="24" t="inlineStr">
        <is>
          <t>1.0123</t>
        </is>
      </c>
      <c r="CG251" s="24" t="n"/>
      <c r="CH251" s="24" t="n"/>
      <c r="CI251" s="24" t="n"/>
      <c r="CJ251" s="24" t="inlineStr">
        <is>
          <t>-1.123984</t>
        </is>
      </c>
      <c r="CK251" s="24" t="n"/>
      <c r="CL251" s="24" t="inlineStr">
        <is>
          <t>0.132746</t>
        </is>
      </c>
      <c r="CM251" s="24" t="inlineStr">
        <is>
          <t>-0.1255</t>
        </is>
      </c>
      <c r="CN251" s="24" t="n"/>
      <c r="CO251" s="24" t="n"/>
      <c r="CP251" s="24" t="n"/>
      <c r="CQ251" s="24" t="n"/>
      <c r="CR251" s="24" t="inlineStr">
        <is>
          <t>0.531118</t>
        </is>
      </c>
      <c r="CS251" s="24" t="inlineStr">
        <is>
          <t>False</t>
        </is>
      </c>
    </row>
    <row r="252" ht="36" customHeight="1">
      <c r="A252" s="24" t="inlineStr">
        <is>
          <t>7fc03e2a0cf74d61</t>
        </is>
      </c>
      <c r="B252" s="24" t="inlineStr">
        <is>
          <t>2026-08-07T18:28:49.432084Z</t>
        </is>
      </c>
      <c r="C252" s="24" t="inlineStr">
        <is>
          <t>2026-08-07T19:10:00-0400</t>
        </is>
      </c>
      <c r="D252" s="24" t="inlineStr">
        <is>
          <t>401816424</t>
        </is>
      </c>
      <c r="E252" s="24" t="inlineStr">
        <is>
          <t>MLB</t>
        </is>
      </c>
      <c r="F252" s="24" t="inlineStr">
        <is>
          <t>Los Angeles Angels</t>
        </is>
      </c>
      <c r="G252" s="24" t="inlineStr">
        <is>
          <t>Miami Marlins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-141</v>
      </c>
      <c r="M252" s="27" t="n">
        <v>1.70922</v>
      </c>
      <c r="N252" s="28" t="n">
        <v>0.585062</v>
      </c>
      <c r="O252" s="28" t="n">
        <v>0.641185</v>
      </c>
      <c r="P252" s="28" t="n"/>
      <c r="Q252" s="28" t="n">
        <v>0.056123</v>
      </c>
      <c r="R252" s="26" t="n">
        <v>50</v>
      </c>
      <c r="S252" s="29" t="n">
        <v>0</v>
      </c>
      <c r="T252" s="24" t="inlineStr">
        <is>
          <t>mlb-elo-trend-lr-v8</t>
        </is>
      </c>
      <c r="U252" s="24" t="inlineStr">
        <is>
          <t>open</t>
        </is>
      </c>
      <c r="V252" s="24" t="n"/>
      <c r="W252" s="26" t="n"/>
      <c r="X252" s="26" t="n"/>
      <c r="Y252" s="25" t="n"/>
      <c r="Z252" s="26" t="n"/>
      <c r="AA252" s="28" t="n"/>
      <c r="AB252" s="28" t="n"/>
      <c r="AC252" s="30" t="n"/>
      <c r="AD252" s="24" t="n"/>
      <c r="AE252" s="31" t="inlineStr">
        <is>
          <t>Learned LR call at threshold 0.5873; executable ask 0.5850 (aec-mlb-laa-mia-2026-08-07); model edge vs ask +0.0562.</t>
        </is>
      </c>
      <c r="AF252" s="31" t="inlineStr">
        <is>
          <t>Learned model; shadow-qualified via operator override.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NO_CALL_WINNER_OVERVALUED</t>
        </is>
      </c>
      <c r="AP252" s="24" t="inlineStr">
        <is>
          <t>mlb-laa</t>
        </is>
      </c>
      <c r="AQ252" s="24" t="inlineStr">
        <is>
          <t>Los Angeles Angels</t>
        </is>
      </c>
      <c r="AR252" s="24" t="inlineStr">
        <is>
          <t>Los Angeles Angels</t>
        </is>
      </c>
      <c r="AS252" s="24" t="inlineStr">
        <is>
          <t>mlb-mia</t>
        </is>
      </c>
      <c r="AT252" s="24" t="inlineStr">
        <is>
          <t>Miami Marlins</t>
        </is>
      </c>
      <c r="AU252" s="24" t="inlineStr">
        <is>
          <t>Miami Marlins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6a5c79541b0e50cb9f7318270e63d5ccc65cbd7bc53a019748ff772d49de5075</t>
        </is>
      </c>
      <c r="BB252" s="24" t="inlineStr">
        <is>
          <t>learned_lr</t>
        </is>
      </c>
      <c r="BC252" s="24" t="inlineStr">
        <is>
          <t>mlb-elo-trend-lr-v8</t>
        </is>
      </c>
      <c r="BD252" s="24" t="inlineStr">
        <is>
          <t>6a5c79541b0e50cb9f7318270e63d5ccc65cbd7bc53a019748ff772d49de5075</t>
        </is>
      </c>
      <c r="BE252" s="24" t="inlineStr">
        <is>
          <t>8bd990e177da70c3</t>
        </is>
      </c>
      <c r="BF252" s="24" t="inlineStr">
        <is>
          <t>1</t>
        </is>
      </c>
      <c r="BG252" s="24" t="inlineStr">
        <is>
          <t>mlb-elo-trend-lr-v8</t>
        </is>
      </c>
      <c r="BH252" s="24" t="inlineStr">
        <is>
          <t>2026-08-07T18:27:55.953169Z</t>
        </is>
      </c>
      <c r="BI252" s="24" t="inlineStr">
        <is>
          <t>["same_event","same_team_same_day","same_league_same_day"]</t>
        </is>
      </c>
      <c r="BJ252" s="25" t="n"/>
      <c r="BK252" s="26" t="n">
        <v>-141</v>
      </c>
      <c r="BL252" s="27" t="n">
        <v>1.70922</v>
      </c>
      <c r="BM252" s="28" t="n">
        <v>0.585062</v>
      </c>
      <c r="BN252" s="28" t="n">
        <v>0.58209</v>
      </c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inlineStr">
        <is>
          <t>0.6253477542</t>
        </is>
      </c>
      <c r="CD252" s="24" t="inlineStr">
        <is>
          <t>0.013657</t>
        </is>
      </c>
      <c r="CE252" s="24" t="inlineStr">
        <is>
          <t>1.002</t>
        </is>
      </c>
      <c r="CF252" s="24" t="inlineStr">
        <is>
          <t>1.0</t>
        </is>
      </c>
      <c r="CG252" s="24" t="n"/>
      <c r="CH252" s="24" t="n"/>
      <c r="CI252" s="24" t="n"/>
      <c r="CJ252" s="24" t="inlineStr">
        <is>
          <t>-1.728336</t>
        </is>
      </c>
      <c r="CK252" s="24" t="n"/>
      <c r="CL252" s="24" t="inlineStr">
        <is>
          <t>0.20354</t>
        </is>
      </c>
      <c r="CM252" s="24" t="inlineStr">
        <is>
          <t>-7.0022</t>
        </is>
      </c>
      <c r="CN252" s="24" t="n"/>
      <c r="CO252" s="24" t="n"/>
      <c r="CP252" s="24" t="n"/>
      <c r="CQ252" s="24" t="n"/>
      <c r="CR252" s="24" t="inlineStr">
        <is>
          <t>0.641185</t>
        </is>
      </c>
      <c r="CS252" s="24" t="inlineStr">
        <is>
          <t>True</t>
        </is>
      </c>
    </row>
    <row r="253" ht="36" customHeight="1">
      <c r="A253" s="24" t="inlineStr">
        <is>
          <t>15644103d73e4eba</t>
        </is>
      </c>
      <c r="B253" s="24" t="inlineStr">
        <is>
          <t>2026-08-07T18:28:49.432084Z</t>
        </is>
      </c>
      <c r="C253" s="24" t="inlineStr">
        <is>
          <t>2026-08-07T19:10:00-0400</t>
        </is>
      </c>
      <c r="D253" s="24" t="inlineStr">
        <is>
          <t>401816425</t>
        </is>
      </c>
      <c r="E253" s="24" t="inlineStr">
        <is>
          <t>MLB</t>
        </is>
      </c>
      <c r="F253" s="24" t="inlineStr">
        <is>
          <t>Athletics</t>
        </is>
      </c>
      <c r="G253" s="24" t="inlineStr">
        <is>
          <t>Boston Red Sox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-251</v>
      </c>
      <c r="M253" s="27" t="n">
        <v>1.398406</v>
      </c>
      <c r="N253" s="28" t="n">
        <v>0.7151</v>
      </c>
      <c r="O253" s="28" t="n">
        <v>0.633651</v>
      </c>
      <c r="P253" s="28" t="n"/>
      <c r="Q253" s="28" t="n">
        <v>-0.08144899999999999</v>
      </c>
      <c r="R253" s="26" t="n">
        <v>0</v>
      </c>
      <c r="S253" s="29" t="n">
        <v>0</v>
      </c>
      <c r="T253" s="24" t="inlineStr">
        <is>
          <t>mlb-elo-trend-lr-v8</t>
        </is>
      </c>
      <c r="U253" s="24" t="inlineStr">
        <is>
          <t>open</t>
        </is>
      </c>
      <c r="V253" s="24" t="n"/>
      <c r="W253" s="26" t="n"/>
      <c r="X253" s="26" t="n"/>
      <c r="Y253" s="25" t="n"/>
      <c r="Z253" s="26" t="n"/>
      <c r="AA253" s="28" t="n"/>
      <c r="AB253" s="28" t="n"/>
      <c r="AC253" s="30" t="n"/>
      <c r="AD253" s="24" t="n"/>
      <c r="AE253" s="31" t="inlineStr">
        <is>
          <t>Learned LR call at threshold 0.5873; executable ask 0.7150 (aec-mlb-ath-bos-2026-08-07); model edge vs ask -0.0813.</t>
        </is>
      </c>
      <c r="AF253" s="31" t="inlineStr">
        <is>
          <t>Learned model; shadow-qualified via operator override.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NO_CALL_WINNER_OVERVALUED</t>
        </is>
      </c>
      <c r="AP253" s="24" t="inlineStr">
        <is>
          <t>mlb-ath</t>
        </is>
      </c>
      <c r="AQ253" s="24" t="inlineStr">
        <is>
          <t>Athletics</t>
        </is>
      </c>
      <c r="AR253" s="24" t="inlineStr">
        <is>
          <t>Athletics</t>
        </is>
      </c>
      <c r="AS253" s="24" t="inlineStr">
        <is>
          <t>mlb-bos</t>
        </is>
      </c>
      <c r="AT253" s="24" t="inlineStr">
        <is>
          <t>Boston Red Sox</t>
        </is>
      </c>
      <c r="AU253" s="24" t="inlineStr">
        <is>
          <t>Boston Red Sox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6a5c79541b0e50cb9f7318270e63d5ccc65cbd7bc53a019748ff772d49de5075</t>
        </is>
      </c>
      <c r="BB253" s="24" t="inlineStr">
        <is>
          <t>learned_lr</t>
        </is>
      </c>
      <c r="BC253" s="24" t="inlineStr">
        <is>
          <t>mlb-elo-trend-lr-v8</t>
        </is>
      </c>
      <c r="BD253" s="24" t="inlineStr">
        <is>
          <t>6a5c79541b0e50cb9f7318270e63d5ccc65cbd7bc53a019748ff772d49de5075</t>
        </is>
      </c>
      <c r="BE253" s="24" t="inlineStr">
        <is>
          <t>e1b75023630563d1</t>
        </is>
      </c>
      <c r="BF253" s="24" t="inlineStr">
        <is>
          <t>1</t>
        </is>
      </c>
      <c r="BG253" s="24" t="inlineStr">
        <is>
          <t>mlb-elo-trend-lr-v8</t>
        </is>
      </c>
      <c r="BH253" s="24" t="inlineStr">
        <is>
          <t>2026-08-07T18:27:55.473435Z</t>
        </is>
      </c>
      <c r="BI253" s="24" t="inlineStr">
        <is>
          <t>["same_event","same_team_same_day","same_league_same_day"]</t>
        </is>
      </c>
      <c r="BJ253" s="25" t="n"/>
      <c r="BK253" s="26" t="n">
        <v>-251</v>
      </c>
      <c r="BL253" s="27" t="n">
        <v>1.398406</v>
      </c>
      <c r="BM253" s="28" t="n">
        <v>0.7151</v>
      </c>
      <c r="BN253" s="28" t="n">
        <v>0.711443</v>
      </c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inlineStr">
        <is>
          <t>0.7202110418</t>
        </is>
      </c>
      <c r="CD253" s="24" t="inlineStr">
        <is>
          <t>3.133709</t>
        </is>
      </c>
      <c r="CE253" s="24" t="inlineStr">
        <is>
          <t>1.019</t>
        </is>
      </c>
      <c r="CF253" s="24" t="inlineStr">
        <is>
          <t>1.0194</t>
        </is>
      </c>
      <c r="CG253" s="24" t="n"/>
      <c r="CH253" s="24" t="n"/>
      <c r="CI253" s="24" t="n"/>
      <c r="CJ253" s="24" t="inlineStr">
        <is>
          <t>-0.951967</t>
        </is>
      </c>
      <c r="CK253" s="24" t="n"/>
      <c r="CL253" s="24" t="inlineStr">
        <is>
          <t>-1.020116</t>
        </is>
      </c>
      <c r="CM253" s="24" t="inlineStr">
        <is>
          <t>-5.0942</t>
        </is>
      </c>
      <c r="CN253" s="24" t="n"/>
      <c r="CO253" s="24" t="n"/>
      <c r="CP253" s="24" t="n"/>
      <c r="CQ253" s="24" t="n"/>
      <c r="CR253" s="24" t="inlineStr">
        <is>
          <t>0.633651</t>
        </is>
      </c>
      <c r="CS253" s="24" t="inlineStr">
        <is>
          <t>False</t>
        </is>
      </c>
    </row>
    <row r="254" ht="36" customHeight="1">
      <c r="A254" s="24" t="inlineStr">
        <is>
          <t>e88a8623f49e477e</t>
        </is>
      </c>
      <c r="B254" s="24" t="inlineStr">
        <is>
          <t>2026-08-07T18:28:49.432084Z</t>
        </is>
      </c>
      <c r="C254" s="24" t="inlineStr">
        <is>
          <t>2026-08-07T19:40:00-0400</t>
        </is>
      </c>
      <c r="D254" s="24" t="inlineStr">
        <is>
          <t>401816432</t>
        </is>
      </c>
      <c r="E254" s="24" t="inlineStr">
        <is>
          <t>MLB</t>
        </is>
      </c>
      <c r="F254" s="24" t="inlineStr">
        <is>
          <t>Cleveland Guardians</t>
        </is>
      </c>
      <c r="G254" s="24" t="inlineStr">
        <is>
          <t>Chicago White Sox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133</v>
      </c>
      <c r="M254" s="27" t="n">
        <v>2.33</v>
      </c>
      <c r="N254" s="28" t="n">
        <v>0.429185</v>
      </c>
      <c r="O254" s="28" t="n">
        <v>0.522033</v>
      </c>
      <c r="P254" s="28" t="n"/>
      <c r="Q254" s="28" t="n">
        <v>0.092848</v>
      </c>
      <c r="R254" s="26" t="n">
        <v>67</v>
      </c>
      <c r="S254" s="29" t="n">
        <v>0</v>
      </c>
      <c r="T254" s="24" t="inlineStr">
        <is>
          <t>mlb-elo-trend-lr-v8</t>
        </is>
      </c>
      <c r="U254" s="24" t="inlineStr">
        <is>
          <t>open</t>
        </is>
      </c>
      <c r="V254" s="24" t="n"/>
      <c r="W254" s="26" t="n"/>
      <c r="X254" s="26" t="n"/>
      <c r="Y254" s="25" t="n"/>
      <c r="Z254" s="26" t="n"/>
      <c r="AA254" s="28" t="n"/>
      <c r="AB254" s="28" t="n"/>
      <c r="AC254" s="30" t="n"/>
      <c r="AD254" s="24" t="n"/>
      <c r="AE254" s="31" t="inlineStr">
        <is>
          <t>Learned LR call at threshold 0.5873; executable ask 0.4300 (aec-mlb-cle-cws-2026-08-07); model edge vs ask +0.0920.</t>
        </is>
      </c>
      <c r="AF254" s="31" t="inlineStr">
        <is>
          <t>Learned model; shadow-qualified via operator override.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NO_CALL_BELOW_LEARNED_CONFIDENCE</t>
        </is>
      </c>
      <c r="AP254" s="24" t="inlineStr">
        <is>
          <t>mlb-cle</t>
        </is>
      </c>
      <c r="AQ254" s="24" t="inlineStr">
        <is>
          <t>Cleveland Guardians</t>
        </is>
      </c>
      <c r="AR254" s="24" t="inlineStr">
        <is>
          <t>Cleveland Guardians</t>
        </is>
      </c>
      <c r="AS254" s="24" t="inlineStr">
        <is>
          <t>mlb-cws</t>
        </is>
      </c>
      <c r="AT254" s="24" t="inlineStr">
        <is>
          <t>Chicago White Sox</t>
        </is>
      </c>
      <c r="AU254" s="24" t="inlineStr">
        <is>
          <t>Chicago White Sox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6a5c79541b0e50cb9f7318270e63d5ccc65cbd7bc53a019748ff772d49de5075</t>
        </is>
      </c>
      <c r="BB254" s="24" t="inlineStr">
        <is>
          <t>learned_lr</t>
        </is>
      </c>
      <c r="BC254" s="24" t="inlineStr">
        <is>
          <t>mlb-elo-trend-lr-v8</t>
        </is>
      </c>
      <c r="BD254" s="24" t="inlineStr">
        <is>
          <t>6a5c79541b0e50cb9f7318270e63d5ccc65cbd7bc53a019748ff772d49de5075</t>
        </is>
      </c>
      <c r="BE254" s="24" t="inlineStr">
        <is>
          <t>53df13bab12c4582</t>
        </is>
      </c>
      <c r="BF254" s="24" t="inlineStr">
        <is>
          <t>1</t>
        </is>
      </c>
      <c r="BG254" s="24" t="inlineStr">
        <is>
          <t>mlb-elo-trend-lr-v8</t>
        </is>
      </c>
      <c r="BH254" s="24" t="inlineStr">
        <is>
          <t>2026-08-07T18:27:57.437825Z</t>
        </is>
      </c>
      <c r="BI254" s="24" t="inlineStr">
        <is>
          <t>["same_event","same_team_same_day","same_league_same_day"]</t>
        </is>
      </c>
      <c r="BJ254" s="25" t="n"/>
      <c r="BK254" s="26" t="n">
        <v>133</v>
      </c>
      <c r="BL254" s="27" t="n">
        <v>2.33</v>
      </c>
      <c r="BM254" s="28" t="n">
        <v>0.429185</v>
      </c>
      <c r="BN254" s="28" t="n">
        <v>0.427861</v>
      </c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inlineStr">
        <is>
          <t>0.5453292229</t>
        </is>
      </c>
      <c r="CD254" s="24" t="inlineStr">
        <is>
          <t>-0.187486</t>
        </is>
      </c>
      <c r="CE254" s="24" t="inlineStr">
        <is>
          <t>0.94</t>
        </is>
      </c>
      <c r="CF254" s="24" t="inlineStr">
        <is>
          <t>1.0097</t>
        </is>
      </c>
      <c r="CG254" s="24" t="n"/>
      <c r="CH254" s="24" t="n"/>
      <c r="CI254" s="24" t="n"/>
      <c r="CJ254" s="24" t="inlineStr">
        <is>
          <t>0.152159</t>
        </is>
      </c>
      <c r="CK254" s="24" t="n"/>
      <c r="CL254" s="24" t="inlineStr">
        <is>
          <t>-0.472478</t>
        </is>
      </c>
      <c r="CM254" s="24" t="inlineStr">
        <is>
          <t>3.7345</t>
        </is>
      </c>
      <c r="CN254" s="24" t="n"/>
      <c r="CO254" s="24" t="n"/>
      <c r="CP254" s="24" t="n"/>
      <c r="CQ254" s="24" t="n"/>
      <c r="CR254" s="24" t="inlineStr">
        <is>
          <t>0.522033</t>
        </is>
      </c>
      <c r="CS254" s="24" t="inlineStr">
        <is>
          <t>True</t>
        </is>
      </c>
    </row>
    <row r="255" ht="36" customHeight="1">
      <c r="A255" s="24" t="inlineStr">
        <is>
          <t>1e0acb3c9c5f45d9</t>
        </is>
      </c>
      <c r="B255" s="24" t="inlineStr">
        <is>
          <t>2026-08-07T18:28:49.432084Z</t>
        </is>
      </c>
      <c r="C255" s="24" t="inlineStr">
        <is>
          <t>2026-08-07T19:40:00-0400</t>
        </is>
      </c>
      <c r="D255" s="24" t="inlineStr">
        <is>
          <t>401816434</t>
        </is>
      </c>
      <c r="E255" s="24" t="inlineStr">
        <is>
          <t>MLB</t>
        </is>
      </c>
      <c r="F255" s="24" t="inlineStr">
        <is>
          <t>Minnesota Twins</t>
        </is>
      </c>
      <c r="G255" s="24" t="inlineStr">
        <is>
          <t>Milwaukee Brewers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-163</v>
      </c>
      <c r="M255" s="27" t="n">
        <v>1.613497</v>
      </c>
      <c r="N255" s="28" t="n">
        <v>0.619772</v>
      </c>
      <c r="O255" s="28" t="n">
        <v>0.651659</v>
      </c>
      <c r="P255" s="28" t="n"/>
      <c r="Q255" s="28" t="n">
        <v>0.031887</v>
      </c>
      <c r="R255" s="26" t="n">
        <v>37</v>
      </c>
      <c r="S255" s="29" t="n">
        <v>0</v>
      </c>
      <c r="T255" s="24" t="inlineStr">
        <is>
          <t>mlb-elo-trend-lr-v8</t>
        </is>
      </c>
      <c r="U255" s="24" t="inlineStr">
        <is>
          <t>open</t>
        </is>
      </c>
      <c r="V255" s="24" t="n"/>
      <c r="W255" s="26" t="n"/>
      <c r="X255" s="26" t="n"/>
      <c r="Y255" s="25" t="n"/>
      <c r="Z255" s="26" t="n"/>
      <c r="AA255" s="28" t="n"/>
      <c r="AB255" s="28" t="n"/>
      <c r="AC255" s="30" t="n"/>
      <c r="AD255" s="24" t="n"/>
      <c r="AE255" s="31" t="inlineStr">
        <is>
          <t>Learned LR call at threshold 0.5873; executable ask 0.6200 (aec-mlb-min-mil-2026-08-07); model edge vs ask +0.0317.</t>
        </is>
      </c>
      <c r="AF255" s="31" t="inlineStr">
        <is>
          <t>Learned model; shadow-qualified via operator override.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NO_CALL_WINNER_OVERVALUED</t>
        </is>
      </c>
      <c r="AP255" s="24" t="inlineStr">
        <is>
          <t>mlb-min</t>
        </is>
      </c>
      <c r="AQ255" s="24" t="inlineStr">
        <is>
          <t>Minnesota Twins</t>
        </is>
      </c>
      <c r="AR255" s="24" t="inlineStr">
        <is>
          <t>Minnesota Twins</t>
        </is>
      </c>
      <c r="AS255" s="24" t="inlineStr">
        <is>
          <t>mlb-mil</t>
        </is>
      </c>
      <c r="AT255" s="24" t="inlineStr">
        <is>
          <t>Milwaukee Brewers</t>
        </is>
      </c>
      <c r="AU255" s="24" t="inlineStr">
        <is>
          <t>Milwaukee Brewers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6a5c79541b0e50cb9f7318270e63d5ccc65cbd7bc53a019748ff772d49de5075</t>
        </is>
      </c>
      <c r="BB255" s="24" t="inlineStr">
        <is>
          <t>learned_lr</t>
        </is>
      </c>
      <c r="BC255" s="24" t="inlineStr">
        <is>
          <t>mlb-elo-trend-lr-v8</t>
        </is>
      </c>
      <c r="BD255" s="24" t="inlineStr">
        <is>
          <t>6a5c79541b0e50cb9f7318270e63d5ccc65cbd7bc53a019748ff772d49de5075</t>
        </is>
      </c>
      <c r="BE255" s="24" t="inlineStr">
        <is>
          <t>6930bf181d0a558c</t>
        </is>
      </c>
      <c r="BF255" s="24" t="inlineStr">
        <is>
          <t>1</t>
        </is>
      </c>
      <c r="BG255" s="24" t="inlineStr">
        <is>
          <t>mlb-elo-trend-lr-v8</t>
        </is>
      </c>
      <c r="BH255" s="24" t="inlineStr">
        <is>
          <t>2026-08-07T18:27:56.444164Z</t>
        </is>
      </c>
      <c r="BI255" s="24" t="inlineStr">
        <is>
          <t>["same_event","same_team_same_day","same_league_same_day"]</t>
        </is>
      </c>
      <c r="BJ255" s="25" t="n"/>
      <c r="BK255" s="26" t="n">
        <v>-163</v>
      </c>
      <c r="BL255" s="27" t="n">
        <v>1.613497</v>
      </c>
      <c r="BM255" s="28" t="n">
        <v>0.619772</v>
      </c>
      <c r="BN255" s="28" t="n">
        <v>0.616915</v>
      </c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inlineStr">
        <is>
          <t>0.6744913947</t>
        </is>
      </c>
      <c r="CD255" s="24" t="inlineStr">
        <is>
          <t>0.315297</t>
        </is>
      </c>
      <c r="CE255" s="24" t="inlineStr">
        <is>
          <t>0.997</t>
        </is>
      </c>
      <c r="CF255" s="24" t="inlineStr">
        <is>
          <t>1.0</t>
        </is>
      </c>
      <c r="CG255" s="24" t="n"/>
      <c r="CH255" s="24" t="n"/>
      <c r="CI255" s="24" t="n"/>
      <c r="CJ255" s="24" t="inlineStr">
        <is>
          <t>0.124056</t>
        </is>
      </c>
      <c r="CK255" s="24" t="n"/>
      <c r="CL255" s="24" t="inlineStr">
        <is>
          <t>-0.026606</t>
        </is>
      </c>
      <c r="CM255" s="24" t="inlineStr">
        <is>
          <t>-3.5537</t>
        </is>
      </c>
      <c r="CN255" s="24" t="n"/>
      <c r="CO255" s="24" t="n"/>
      <c r="CP255" s="24" t="n"/>
      <c r="CQ255" s="24" t="n"/>
      <c r="CR255" s="24" t="inlineStr">
        <is>
          <t>0.651659</t>
        </is>
      </c>
      <c r="CS255" s="24" t="inlineStr">
        <is>
          <t>True</t>
        </is>
      </c>
    </row>
    <row r="256" ht="36" customHeight="1">
      <c r="A256" s="24" t="inlineStr">
        <is>
          <t>a70a4c40e4fc46a0</t>
        </is>
      </c>
      <c r="B256" s="24" t="inlineStr">
        <is>
          <t>2026-08-07T18:28:49.432084Z</t>
        </is>
      </c>
      <c r="C256" s="24" t="inlineStr">
        <is>
          <t>2026-08-07T20:10:00-0400</t>
        </is>
      </c>
      <c r="D256" s="24" t="inlineStr">
        <is>
          <t>401816431</t>
        </is>
      </c>
      <c r="E256" s="24" t="inlineStr">
        <is>
          <t>MLB</t>
        </is>
      </c>
      <c r="F256" s="24" t="inlineStr">
        <is>
          <t>Chicago Cubs</t>
        </is>
      </c>
      <c r="G256" s="24" t="inlineStr">
        <is>
          <t>Kansas City Royals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-160</v>
      </c>
      <c r="M256" s="27" t="n">
        <v>1.625</v>
      </c>
      <c r="N256" s="28" t="n">
        <v>0.615385</v>
      </c>
      <c r="O256" s="28" t="n">
        <v>0.532629</v>
      </c>
      <c r="P256" s="28" t="n"/>
      <c r="Q256" s="28" t="n">
        <v>-0.082756</v>
      </c>
      <c r="R256" s="26" t="n">
        <v>0</v>
      </c>
      <c r="S256" s="29" t="n">
        <v>0</v>
      </c>
      <c r="T256" s="24" t="inlineStr">
        <is>
          <t>mlb-elo-trend-lr-v8</t>
        </is>
      </c>
      <c r="U256" s="24" t="inlineStr">
        <is>
          <t>open</t>
        </is>
      </c>
      <c r="V256" s="24" t="n"/>
      <c r="W256" s="26" t="n"/>
      <c r="X256" s="26" t="n"/>
      <c r="Y256" s="25" t="n"/>
      <c r="Z256" s="26" t="n"/>
      <c r="AA256" s="28" t="n"/>
      <c r="AB256" s="28" t="n"/>
      <c r="AC256" s="30" t="n"/>
      <c r="AD256" s="24" t="n"/>
      <c r="AE256" s="31" t="inlineStr">
        <is>
          <t>Learned LR call at threshold 0.5873; executable ask 0.6150 (aec-mlb-chc-kc-2026-08-07); model edge vs ask -0.0824.</t>
        </is>
      </c>
      <c r="AF256" s="31" t="inlineStr">
        <is>
          <t>Learned model; shadow-qualified via operator override.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NO_CALL_WINNER_OVERVALUED</t>
        </is>
      </c>
      <c r="AP256" s="24" t="inlineStr">
        <is>
          <t>mlb-chc</t>
        </is>
      </c>
      <c r="AQ256" s="24" t="inlineStr">
        <is>
          <t>Chicago Cubs</t>
        </is>
      </c>
      <c r="AR256" s="24" t="inlineStr">
        <is>
          <t>Chicago Cubs</t>
        </is>
      </c>
      <c r="AS256" s="24" t="inlineStr">
        <is>
          <t>mlb-kc</t>
        </is>
      </c>
      <c r="AT256" s="24" t="inlineStr">
        <is>
          <t>Kansas City Royals</t>
        </is>
      </c>
      <c r="AU256" s="24" t="inlineStr">
        <is>
          <t>Kansas City Royals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6a5c79541b0e50cb9f7318270e63d5ccc65cbd7bc53a019748ff772d49de5075</t>
        </is>
      </c>
      <c r="BB256" s="24" t="inlineStr">
        <is>
          <t>learned_lr</t>
        </is>
      </c>
      <c r="BC256" s="24" t="inlineStr">
        <is>
          <t>mlb-elo-trend-lr-v8</t>
        </is>
      </c>
      <c r="BD256" s="24" t="inlineStr">
        <is>
          <t>6a5c79541b0e50cb9f7318270e63d5ccc65cbd7bc53a019748ff772d49de5075</t>
        </is>
      </c>
      <c r="BE256" s="24" t="inlineStr">
        <is>
          <t>db25d2479efd20e9</t>
        </is>
      </c>
      <c r="BF256" s="24" t="inlineStr">
        <is>
          <t>1</t>
        </is>
      </c>
      <c r="BG256" s="24" t="inlineStr">
        <is>
          <t>mlb-elo-trend-lr-v8</t>
        </is>
      </c>
      <c r="BH256" s="24" t="inlineStr">
        <is>
          <t>2026-08-07T18:27:57.775453Z</t>
        </is>
      </c>
      <c r="BI256" s="24" t="inlineStr">
        <is>
          <t>["same_event","same_team_same_day","same_league_same_day"]</t>
        </is>
      </c>
      <c r="BJ256" s="25" t="n"/>
      <c r="BK256" s="26" t="n">
        <v>-160</v>
      </c>
      <c r="BL256" s="27" t="n">
        <v>1.625</v>
      </c>
      <c r="BM256" s="28" t="n">
        <v>0.615385</v>
      </c>
      <c r="BN256" s="28" t="n">
        <v>0.61194</v>
      </c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inlineStr">
        <is>
          <t>0.3994270935</t>
        </is>
      </c>
      <c r="CD256" s="24" t="inlineStr">
        <is>
          <t>-0.897514</t>
        </is>
      </c>
      <c r="CE256" s="24" t="inlineStr">
        <is>
          <t>0.973</t>
        </is>
      </c>
      <c r="CF256" s="24" t="inlineStr">
        <is>
          <t>1.0182</t>
        </is>
      </c>
      <c r="CG256" s="24" t="n"/>
      <c r="CH256" s="24" t="n"/>
      <c r="CI256" s="24" t="n"/>
      <c r="CJ256" s="24" t="inlineStr">
        <is>
          <t>-0.095985</t>
        </is>
      </c>
      <c r="CK256" s="24" t="n"/>
      <c r="CL256" s="24" t="inlineStr">
        <is>
          <t>0.727975</t>
        </is>
      </c>
      <c r="CM256" s="24" t="inlineStr">
        <is>
          <t>0.7448</t>
        </is>
      </c>
      <c r="CN256" s="24" t="n"/>
      <c r="CO256" s="24" t="n"/>
      <c r="CP256" s="24" t="n"/>
      <c r="CQ256" s="24" t="n"/>
      <c r="CR256" s="24" t="inlineStr">
        <is>
          <t>0.532629</t>
        </is>
      </c>
      <c r="CS256" s="24" t="inlineStr">
        <is>
          <t>False</t>
        </is>
      </c>
    </row>
    <row r="257" ht="36" customHeight="1">
      <c r="A257" s="24" t="inlineStr">
        <is>
          <t>2fbe9090791e4067</t>
        </is>
      </c>
      <c r="B257" s="24" t="inlineStr">
        <is>
          <t>2026-08-07T18:28:49.432084Z</t>
        </is>
      </c>
      <c r="C257" s="24" t="inlineStr">
        <is>
          <t>2026-08-07T20:15:00-0400</t>
        </is>
      </c>
      <c r="D257" s="24" t="inlineStr">
        <is>
          <t>401816430</t>
        </is>
      </c>
      <c r="E257" s="24" t="inlineStr">
        <is>
          <t>MLB</t>
        </is>
      </c>
      <c r="F257" s="24" t="inlineStr">
        <is>
          <t>Baltimore Orioles</t>
        </is>
      </c>
      <c r="G257" s="24" t="inlineStr">
        <is>
          <t>Texas Rangers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-138</v>
      </c>
      <c r="M257" s="27" t="n">
        <v>1.724638</v>
      </c>
      <c r="N257" s="28" t="n">
        <v>0.579832</v>
      </c>
      <c r="O257" s="28" t="n">
        <v>0.551691</v>
      </c>
      <c r="P257" s="28" t="n"/>
      <c r="Q257" s="28" t="n">
        <v>-0.028141</v>
      </c>
      <c r="R257" s="26" t="n">
        <v>7</v>
      </c>
      <c r="S257" s="29" t="n">
        <v>0</v>
      </c>
      <c r="T257" s="24" t="inlineStr">
        <is>
          <t>mlb-elo-trend-lr-v8</t>
        </is>
      </c>
      <c r="U257" s="24" t="inlineStr">
        <is>
          <t>open</t>
        </is>
      </c>
      <c r="V257" s="24" t="n"/>
      <c r="W257" s="26" t="n"/>
      <c r="X257" s="26" t="n"/>
      <c r="Y257" s="25" t="n"/>
      <c r="Z257" s="26" t="n"/>
      <c r="AA257" s="28" t="n"/>
      <c r="AB257" s="28" t="n"/>
      <c r="AC257" s="30" t="n"/>
      <c r="AD257" s="24" t="n"/>
      <c r="AE257" s="31" t="inlineStr">
        <is>
          <t>Learned LR call at threshold 0.5873; executable ask 0.5800 (aec-mlb-bal-tex-2026-08-07); model edge vs ask -0.0283.</t>
        </is>
      </c>
      <c r="AF257" s="31" t="inlineStr">
        <is>
          <t>Learned model; shadow-qualified via operator override.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NO_CALL_WINNER_OVERVALUED</t>
        </is>
      </c>
      <c r="AP257" s="24" t="inlineStr">
        <is>
          <t>mlb-bal</t>
        </is>
      </c>
      <c r="AQ257" s="24" t="inlineStr">
        <is>
          <t>Baltimore Orioles</t>
        </is>
      </c>
      <c r="AR257" s="24" t="inlineStr">
        <is>
          <t>Baltimore Orioles</t>
        </is>
      </c>
      <c r="AS257" s="24" t="inlineStr">
        <is>
          <t>mlb-tex</t>
        </is>
      </c>
      <c r="AT257" s="24" t="inlineStr">
        <is>
          <t>Texas Rangers</t>
        </is>
      </c>
      <c r="AU257" s="24" t="inlineStr">
        <is>
          <t>Texas Rangers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6a5c79541b0e50cb9f7318270e63d5ccc65cbd7bc53a019748ff772d49de5075</t>
        </is>
      </c>
      <c r="BB257" s="24" t="inlineStr">
        <is>
          <t>learned_lr</t>
        </is>
      </c>
      <c r="BC257" s="24" t="inlineStr">
        <is>
          <t>mlb-elo-trend-lr-v8</t>
        </is>
      </c>
      <c r="BD257" s="24" t="inlineStr">
        <is>
          <t>6a5c79541b0e50cb9f7318270e63d5ccc65cbd7bc53a019748ff772d49de5075</t>
        </is>
      </c>
      <c r="BE257" s="24" t="inlineStr">
        <is>
          <t>014888ea3e3e3318</t>
        </is>
      </c>
      <c r="BF257" s="24" t="inlineStr">
        <is>
          <t>1</t>
        </is>
      </c>
      <c r="BG257" s="24" t="inlineStr">
        <is>
          <t>mlb-elo-trend-lr-v8</t>
        </is>
      </c>
      <c r="BH257" s="24" t="inlineStr">
        <is>
          <t>2026-08-07T18:27:58.624050Z</t>
        </is>
      </c>
      <c r="BI257" s="24" t="inlineStr">
        <is>
          <t>["same_event","same_team_same_day","same_league_same_day"]</t>
        </is>
      </c>
      <c r="BJ257" s="25" t="n"/>
      <c r="BK257" s="26" t="n">
        <v>-138</v>
      </c>
      <c r="BL257" s="27" t="n">
        <v>1.724638</v>
      </c>
      <c r="BM257" s="28" t="n">
        <v>0.579832</v>
      </c>
      <c r="BN257" s="28" t="n">
        <v>0.577114</v>
      </c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inlineStr">
        <is>
          <t>0.5134715749</t>
        </is>
      </c>
      <c r="CD257" s="24" t="inlineStr">
        <is>
          <t>1.011957</t>
        </is>
      </c>
      <c r="CE257" s="24" t="inlineStr">
        <is>
          <t>0.913</t>
        </is>
      </c>
      <c r="CF257" s="24" t="inlineStr">
        <is>
          <t>1.0</t>
        </is>
      </c>
      <c r="CG257" s="24" t="n"/>
      <c r="CH257" s="24" t="n"/>
      <c r="CI257" s="24" t="n"/>
      <c r="CJ257" s="24" t="inlineStr">
        <is>
          <t>0.687309</t>
        </is>
      </c>
      <c r="CK257" s="24" t="n"/>
      <c r="CL257" s="24" t="inlineStr">
        <is>
          <t>0.517489</t>
        </is>
      </c>
      <c r="CM257" s="24" t="inlineStr">
        <is>
          <t>0.1441</t>
        </is>
      </c>
      <c r="CN257" s="24" t="n"/>
      <c r="CO257" s="24" t="n"/>
      <c r="CP257" s="24" t="n"/>
      <c r="CQ257" s="24" t="n"/>
      <c r="CR257" s="24" t="inlineStr">
        <is>
          <t>0.551691</t>
        </is>
      </c>
      <c r="CS257" s="24" t="inlineStr">
        <is>
          <t>False</t>
        </is>
      </c>
    </row>
    <row r="258" ht="36" customHeight="1">
      <c r="A258" s="24" t="inlineStr">
        <is>
          <t>b853b68539944c7a</t>
        </is>
      </c>
      <c r="B258" s="24" t="inlineStr">
        <is>
          <t>2026-08-07T18:28:49.432084Z</t>
        </is>
      </c>
      <c r="C258" s="24" t="inlineStr">
        <is>
          <t>2026-08-07T20:15:00-0400</t>
        </is>
      </c>
      <c r="D258" s="24" t="inlineStr">
        <is>
          <t>401816433</t>
        </is>
      </c>
      <c r="E258" s="24" t="inlineStr">
        <is>
          <t>MLB</t>
        </is>
      </c>
      <c r="F258" s="24" t="inlineStr">
        <is>
          <t>Colorado Rockies</t>
        </is>
      </c>
      <c r="G258" s="24" t="inlineStr">
        <is>
          <t>St. Louis Cardinals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-160</v>
      </c>
      <c r="M258" s="27" t="n">
        <v>1.625</v>
      </c>
      <c r="N258" s="28" t="n">
        <v>0.615385</v>
      </c>
      <c r="O258" s="28" t="n">
        <v>0.667145</v>
      </c>
      <c r="P258" s="28" t="n"/>
      <c r="Q258" s="28" t="n">
        <v>0.05176</v>
      </c>
      <c r="R258" s="26" t="n">
        <v>48</v>
      </c>
      <c r="S258" s="29" t="n">
        <v>0</v>
      </c>
      <c r="T258" s="24" t="inlineStr">
        <is>
          <t>mlb-elo-trend-lr-v8</t>
        </is>
      </c>
      <c r="U258" s="24" t="inlineStr">
        <is>
          <t>open</t>
        </is>
      </c>
      <c r="V258" s="24" t="n"/>
      <c r="W258" s="26" t="n"/>
      <c r="X258" s="26" t="n"/>
      <c r="Y258" s="25" t="n"/>
      <c r="Z258" s="26" t="n"/>
      <c r="AA258" s="28" t="n"/>
      <c r="AB258" s="28" t="n"/>
      <c r="AC258" s="30" t="n"/>
      <c r="AD258" s="24" t="n"/>
      <c r="AE258" s="31" t="inlineStr">
        <is>
          <t>Learned LR call at threshold 0.5873; executable ask 0.6150 (aec-mlb-col-stl-2026-08-07); model edge vs ask +0.0521.</t>
        </is>
      </c>
      <c r="AF258" s="31" t="inlineStr">
        <is>
          <t>Learned model; shadow-qualified via operator override.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NO_CALL_WINNER_OVERVALUED</t>
        </is>
      </c>
      <c r="AP258" s="24" t="inlineStr">
        <is>
          <t>mlb-col</t>
        </is>
      </c>
      <c r="AQ258" s="24" t="inlineStr">
        <is>
          <t>Colorado Rockies</t>
        </is>
      </c>
      <c r="AR258" s="24" t="inlineStr">
        <is>
          <t>Colorado Rockies</t>
        </is>
      </c>
      <c r="AS258" s="24" t="inlineStr">
        <is>
          <t>mlb-stl</t>
        </is>
      </c>
      <c r="AT258" s="24" t="inlineStr">
        <is>
          <t>St. Louis Cardinals</t>
        </is>
      </c>
      <c r="AU258" s="24" t="inlineStr">
        <is>
          <t>St. Louis Cardinals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6a5c79541b0e50cb9f7318270e63d5ccc65cbd7bc53a019748ff772d49de5075</t>
        </is>
      </c>
      <c r="BB258" s="24" t="inlineStr">
        <is>
          <t>learned_lr</t>
        </is>
      </c>
      <c r="BC258" s="24" t="inlineStr">
        <is>
          <t>mlb-elo-trend-lr-v8</t>
        </is>
      </c>
      <c r="BD258" s="24" t="inlineStr">
        <is>
          <t>6a5c79541b0e50cb9f7318270e63d5ccc65cbd7bc53a019748ff772d49de5075</t>
        </is>
      </c>
      <c r="BE258" s="24" t="inlineStr">
        <is>
          <t>cf5d809f58d18264</t>
        </is>
      </c>
      <c r="BF258" s="24" t="inlineStr">
        <is>
          <t>1</t>
        </is>
      </c>
      <c r="BG258" s="24" t="inlineStr">
        <is>
          <t>mlb-elo-trend-lr-v8</t>
        </is>
      </c>
      <c r="BH258" s="24" t="inlineStr">
        <is>
          <t>2026-08-07T18:27:59.237881Z</t>
        </is>
      </c>
      <c r="BI258" s="24" t="inlineStr">
        <is>
          <t>["same_event","same_team_same_day","same_league_same_day"]</t>
        </is>
      </c>
      <c r="BJ258" s="25" t="n"/>
      <c r="BK258" s="26" t="n">
        <v>-160</v>
      </c>
      <c r="BL258" s="27" t="n">
        <v>1.625</v>
      </c>
      <c r="BM258" s="28" t="n">
        <v>0.615385</v>
      </c>
      <c r="BN258" s="28" t="n">
        <v>0.61194</v>
      </c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inlineStr">
        <is>
          <t>0.6585400856</t>
        </is>
      </c>
      <c r="CD258" s="24" t="inlineStr">
        <is>
          <t>-0.721171</t>
        </is>
      </c>
      <c r="CE258" s="24" t="inlineStr">
        <is>
          <t>0.946</t>
        </is>
      </c>
      <c r="CF258" s="24" t="inlineStr">
        <is>
          <t>1.0178</t>
        </is>
      </c>
      <c r="CG258" s="24" t="n"/>
      <c r="CH258" s="24" t="n"/>
      <c r="CI258" s="24" t="n"/>
      <c r="CJ258" s="24" t="inlineStr">
        <is>
          <t>1.490394</t>
        </is>
      </c>
      <c r="CK258" s="24" t="n"/>
      <c r="CL258" s="24" t="inlineStr">
        <is>
          <t>0.06385</t>
        </is>
      </c>
      <c r="CM258" s="24" t="inlineStr">
        <is>
          <t>-5.5113</t>
        </is>
      </c>
      <c r="CN258" s="24" t="n"/>
      <c r="CO258" s="24" t="n"/>
      <c r="CP258" s="24" t="n"/>
      <c r="CQ258" s="24" t="n"/>
      <c r="CR258" s="24" t="inlineStr">
        <is>
          <t>0.667145</t>
        </is>
      </c>
      <c r="CS258" s="24" t="inlineStr">
        <is>
          <t>True</t>
        </is>
      </c>
    </row>
    <row r="259" ht="36" customHeight="1">
      <c r="A259" s="24" t="inlineStr">
        <is>
          <t>603bcf0d7ecf4df7</t>
        </is>
      </c>
      <c r="B259" s="24" t="inlineStr">
        <is>
          <t>2026-08-07T18:28:49.432084Z</t>
        </is>
      </c>
      <c r="C259" s="24" t="inlineStr">
        <is>
          <t>2026-08-07T21:40:00-0400</t>
        </is>
      </c>
      <c r="D259" s="24" t="inlineStr">
        <is>
          <t>401816436</t>
        </is>
      </c>
      <c r="E259" s="24" t="inlineStr">
        <is>
          <t>MLB</t>
        </is>
      </c>
      <c r="F259" s="24" t="inlineStr">
        <is>
          <t>Houston Astros</t>
        </is>
      </c>
      <c r="G259" s="24" t="inlineStr">
        <is>
          <t>San Diego Padres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-111</v>
      </c>
      <c r="M259" s="27" t="n">
        <v>1.900901</v>
      </c>
      <c r="N259" s="28" t="n">
        <v>0.526066</v>
      </c>
      <c r="O259" s="28" t="n">
        <v>0.586422</v>
      </c>
      <c r="P259" s="28" t="n"/>
      <c r="Q259" s="28" t="n">
        <v>0.060356</v>
      </c>
      <c r="R259" s="26" t="n">
        <v>52</v>
      </c>
      <c r="S259" s="29" t="n">
        <v>0</v>
      </c>
      <c r="T259" s="24" t="inlineStr">
        <is>
          <t>mlb-elo-trend-lr-v8</t>
        </is>
      </c>
      <c r="U259" s="24" t="inlineStr">
        <is>
          <t>open</t>
        </is>
      </c>
      <c r="V259" s="24" t="n"/>
      <c r="W259" s="26" t="n"/>
      <c r="X259" s="26" t="n"/>
      <c r="Y259" s="25" t="n"/>
      <c r="Z259" s="26" t="n"/>
      <c r="AA259" s="28" t="n"/>
      <c r="AB259" s="28" t="n"/>
      <c r="AC259" s="30" t="n"/>
      <c r="AD259" s="24" t="n"/>
      <c r="AE259" s="31" t="inlineStr">
        <is>
          <t>Learned LR call at threshold 0.5873; executable ask 0.5250 (aec-mlb-hou-sd-2026-08-07); model edge vs ask +0.0614.</t>
        </is>
      </c>
      <c r="AF259" s="31" t="inlineStr">
        <is>
          <t>Learned model; shadow-qualified via operator override.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NO_CALL_WINNER_OVERVALUED</t>
        </is>
      </c>
      <c r="AP259" s="24" t="inlineStr">
        <is>
          <t>mlb-hou</t>
        </is>
      </c>
      <c r="AQ259" s="24" t="inlineStr">
        <is>
          <t>Houston Astros</t>
        </is>
      </c>
      <c r="AR259" s="24" t="inlineStr">
        <is>
          <t>Houston Astros</t>
        </is>
      </c>
      <c r="AS259" s="24" t="inlineStr">
        <is>
          <t>mlb-sd</t>
        </is>
      </c>
      <c r="AT259" s="24" t="inlineStr">
        <is>
          <t>San Diego Padres</t>
        </is>
      </c>
      <c r="AU259" s="24" t="inlineStr">
        <is>
          <t>San Diego Padres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6a5c79541b0e50cb9f7318270e63d5ccc65cbd7bc53a019748ff772d49de5075</t>
        </is>
      </c>
      <c r="BB259" s="24" t="inlineStr">
        <is>
          <t>learned_lr</t>
        </is>
      </c>
      <c r="BC259" s="24" t="inlineStr">
        <is>
          <t>mlb-elo-trend-lr-v8</t>
        </is>
      </c>
      <c r="BD259" s="24" t="inlineStr">
        <is>
          <t>6a5c79541b0e50cb9f7318270e63d5ccc65cbd7bc53a019748ff772d49de5075</t>
        </is>
      </c>
      <c r="BE259" s="24" t="inlineStr">
        <is>
          <t>f41cdedf84b1bab8</t>
        </is>
      </c>
      <c r="BF259" s="24" t="inlineStr">
        <is>
          <t>1</t>
        </is>
      </c>
      <c r="BG259" s="24" t="inlineStr">
        <is>
          <t>mlb-elo-trend-lr-v8</t>
        </is>
      </c>
      <c r="BH259" s="24" t="inlineStr">
        <is>
          <t>2026-08-07T18:27:59.634473Z</t>
        </is>
      </c>
      <c r="BI259" s="24" t="inlineStr">
        <is>
          <t>["same_event","same_team_same_day","same_league_same_day"]</t>
        </is>
      </c>
      <c r="BJ259" s="25" t="n"/>
      <c r="BK259" s="26" t="n">
        <v>-111</v>
      </c>
      <c r="BL259" s="27" t="n">
        <v>1.900901</v>
      </c>
      <c r="BM259" s="28" t="n">
        <v>0.526066</v>
      </c>
      <c r="BN259" s="28" t="n">
        <v>0.522388</v>
      </c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inlineStr">
        <is>
          <t>0.5604308496</t>
        </is>
      </c>
      <c r="CD259" s="24" t="inlineStr">
        <is>
          <t>-0.466958</t>
        </is>
      </c>
      <c r="CE259" s="24" t="inlineStr">
        <is>
          <t>0.947</t>
        </is>
      </c>
      <c r="CF259" s="24" t="inlineStr">
        <is>
          <t>1.0045</t>
        </is>
      </c>
      <c r="CG259" s="24" t="n"/>
      <c r="CH259" s="24" t="n"/>
      <c r="CI259" s="24" t="n"/>
      <c r="CJ259" s="24" t="inlineStr">
        <is>
          <t>-0.578718</t>
        </is>
      </c>
      <c r="CK259" s="24" t="n"/>
      <c r="CL259" s="24" t="inlineStr">
        <is>
          <t>0.186693</t>
        </is>
      </c>
      <c r="CM259" s="24" t="inlineStr">
        <is>
          <t>-2.1888</t>
        </is>
      </c>
      <c r="CN259" s="24" t="n"/>
      <c r="CO259" s="24" t="n"/>
      <c r="CP259" s="24" t="n"/>
      <c r="CQ259" s="24" t="n"/>
      <c r="CR259" s="24" t="inlineStr">
        <is>
          <t>0.586422</t>
        </is>
      </c>
      <c r="CS259" s="24" t="inlineStr">
        <is>
          <t>True</t>
        </is>
      </c>
    </row>
    <row r="260" ht="36" customHeight="1">
      <c r="A260" s="24" t="inlineStr">
        <is>
          <t>c1946cea1d6d4252</t>
        </is>
      </c>
      <c r="B260" s="24" t="inlineStr">
        <is>
          <t>2026-08-07T18:28:49.432084Z</t>
        </is>
      </c>
      <c r="C260" s="24" t="inlineStr">
        <is>
          <t>2026-08-07T21:40:00-0400</t>
        </is>
      </c>
      <c r="D260" s="24" t="inlineStr">
        <is>
          <t>401816437</t>
        </is>
      </c>
      <c r="E260" s="24" t="inlineStr">
        <is>
          <t>MLB</t>
        </is>
      </c>
      <c r="F260" s="24" t="inlineStr">
        <is>
          <t>Los Angeles Dodgers</t>
        </is>
      </c>
      <c r="G260" s="24" t="inlineStr">
        <is>
          <t>Arizona Diamondbacks</t>
        </is>
      </c>
      <c r="H260" s="24" t="inlineStr">
        <is>
          <t>moneyline</t>
        </is>
      </c>
      <c r="I260" s="24" t="inlineStr">
        <is>
          <t>away</t>
        </is>
      </c>
      <c r="J260" s="25" t="n"/>
      <c r="K260" s="24" t="inlineStr">
        <is>
          <t>polymarket_us</t>
        </is>
      </c>
      <c r="L260" s="26" t="n">
        <v>-163</v>
      </c>
      <c r="M260" s="27" t="n">
        <v>1.613497</v>
      </c>
      <c r="N260" s="28" t="n">
        <v>0.619772</v>
      </c>
      <c r="O260" s="28" t="n">
        <v>0.527996</v>
      </c>
      <c r="P260" s="28" t="n"/>
      <c r="Q260" s="28" t="n">
        <v>-0.091776</v>
      </c>
      <c r="R260" s="26" t="n">
        <v>0</v>
      </c>
      <c r="S260" s="29" t="n">
        <v>0</v>
      </c>
      <c r="T260" s="24" t="inlineStr">
        <is>
          <t>mlb-elo-trend-lr-v8</t>
        </is>
      </c>
      <c r="U260" s="24" t="inlineStr">
        <is>
          <t>open</t>
        </is>
      </c>
      <c r="V260" s="24" t="n"/>
      <c r="W260" s="26" t="n"/>
      <c r="X260" s="26" t="n"/>
      <c r="Y260" s="25" t="n"/>
      <c r="Z260" s="26" t="n"/>
      <c r="AA260" s="28" t="n"/>
      <c r="AB260" s="28" t="n"/>
      <c r="AC260" s="30" t="n"/>
      <c r="AD260" s="24" t="n"/>
      <c r="AE260" s="31" t="inlineStr">
        <is>
          <t>Learned LR call at threshold 0.5873; executable ask 0.6200 (aec-mlb-lad-az-2026-08-07); model edge vs ask -0.0920.</t>
        </is>
      </c>
      <c r="AF260" s="31" t="inlineStr">
        <is>
          <t>Learned model; shadow-qualified via operator override.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NO_CALL_WINNER_OVERVALUED</t>
        </is>
      </c>
      <c r="AP260" s="24" t="inlineStr">
        <is>
          <t>mlb-lad</t>
        </is>
      </c>
      <c r="AQ260" s="24" t="inlineStr">
        <is>
          <t>Los Angeles Dodgers</t>
        </is>
      </c>
      <c r="AR260" s="24" t="inlineStr">
        <is>
          <t>Los Angeles Dodgers</t>
        </is>
      </c>
      <c r="AS260" s="24" t="inlineStr">
        <is>
          <t>mlb-ari</t>
        </is>
      </c>
      <c r="AT260" s="24" t="inlineStr">
        <is>
          <t>Arizona Diamondbacks</t>
        </is>
      </c>
      <c r="AU260" s="24" t="inlineStr">
        <is>
          <t>Arizona Diamondbacks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6a5c79541b0e50cb9f7318270e63d5ccc65cbd7bc53a019748ff772d49de5075</t>
        </is>
      </c>
      <c r="BB260" s="24" t="inlineStr">
        <is>
          <t>learned_lr</t>
        </is>
      </c>
      <c r="BC260" s="24" t="inlineStr">
        <is>
          <t>mlb-elo-trend-lr-v8</t>
        </is>
      </c>
      <c r="BD260" s="24" t="inlineStr">
        <is>
          <t>6a5c79541b0e50cb9f7318270e63d5ccc65cbd7bc53a019748ff772d49de5075</t>
        </is>
      </c>
      <c r="BE260" s="24" t="inlineStr">
        <is>
          <t>807bfd9a83666e43</t>
        </is>
      </c>
      <c r="BF260" s="24" t="inlineStr">
        <is>
          <t>1</t>
        </is>
      </c>
      <c r="BG260" s="24" t="inlineStr">
        <is>
          <t>mlb-elo-trend-lr-v8</t>
        </is>
      </c>
      <c r="BH260" s="24" t="inlineStr">
        <is>
          <t>2026-08-07T18:28:00.536930Z</t>
        </is>
      </c>
      <c r="BI260" s="24" t="inlineStr">
        <is>
          <t>["same_event","same_team_same_day","same_league_same_day"]</t>
        </is>
      </c>
      <c r="BJ260" s="25" t="n"/>
      <c r="BK260" s="26" t="n">
        <v>-163</v>
      </c>
      <c r="BL260" s="27" t="n">
        <v>1.613497</v>
      </c>
      <c r="BM260" s="28" t="n">
        <v>0.619772</v>
      </c>
      <c r="BN260" s="28" t="n">
        <v>0.616915</v>
      </c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inlineStr">
        <is>
          <t>0.4742141149</t>
        </is>
      </c>
      <c r="CD260" s="24" t="inlineStr">
        <is>
          <t>0.990554</t>
        </is>
      </c>
      <c r="CE260" s="24" t="inlineStr">
        <is>
          <t>1.097</t>
        </is>
      </c>
      <c r="CF260" s="24" t="inlineStr">
        <is>
          <t>1.0</t>
        </is>
      </c>
      <c r="CG260" s="24" t="n"/>
      <c r="CH260" s="24" t="n"/>
      <c r="CI260" s="24" t="n"/>
      <c r="CJ260" s="24" t="inlineStr">
        <is>
          <t>1.63029</t>
        </is>
      </c>
      <c r="CK260" s="24" t="n"/>
      <c r="CL260" s="24" t="inlineStr">
        <is>
          <t>0.13886</t>
        </is>
      </c>
      <c r="CM260" s="24" t="inlineStr">
        <is>
          <t>-1.0479</t>
        </is>
      </c>
      <c r="CN260" s="24" t="n"/>
      <c r="CO260" s="24" t="n"/>
      <c r="CP260" s="24" t="n"/>
      <c r="CQ260" s="24" t="n"/>
      <c r="CR260" s="24" t="inlineStr">
        <is>
          <t>0.527996</t>
        </is>
      </c>
      <c r="CS260" s="24" t="inlineStr">
        <is>
          <t>False</t>
        </is>
      </c>
    </row>
    <row r="261" ht="36" customHeight="1">
      <c r="A261" s="24" t="inlineStr">
        <is>
          <t>f49e37cbdc1b4109</t>
        </is>
      </c>
      <c r="B261" s="24" t="inlineStr">
        <is>
          <t>2026-08-07T18:28:49.432084Z</t>
        </is>
      </c>
      <c r="C261" s="24" t="inlineStr">
        <is>
          <t>2026-08-07T21:45:00-0400</t>
        </is>
      </c>
      <c r="D261" s="24" t="inlineStr">
        <is>
          <t>401816438</t>
        </is>
      </c>
      <c r="E261" s="24" t="inlineStr">
        <is>
          <t>MLB</t>
        </is>
      </c>
      <c r="F261" s="24" t="inlineStr">
        <is>
          <t>Tampa Bay Rays</t>
        </is>
      </c>
      <c r="G261" s="24" t="inlineStr">
        <is>
          <t>Seattle Mariners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-108</v>
      </c>
      <c r="M261" s="27" t="n">
        <v>1.925926</v>
      </c>
      <c r="N261" s="28" t="n">
        <v>0.519231</v>
      </c>
      <c r="O261" s="28" t="n">
        <v>0.556751</v>
      </c>
      <c r="P261" s="28" t="n"/>
      <c r="Q261" s="28" t="n">
        <v>0.03752</v>
      </c>
      <c r="R261" s="26" t="n">
        <v>40</v>
      </c>
      <c r="S261" s="29" t="n">
        <v>0</v>
      </c>
      <c r="T261" s="24" t="inlineStr">
        <is>
          <t>mlb-elo-trend-lr-v8</t>
        </is>
      </c>
      <c r="U261" s="24" t="inlineStr">
        <is>
          <t>open</t>
        </is>
      </c>
      <c r="V261" s="24" t="n"/>
      <c r="W261" s="26" t="n"/>
      <c r="X261" s="26" t="n"/>
      <c r="Y261" s="25" t="n"/>
      <c r="Z261" s="26" t="n"/>
      <c r="AA261" s="28" t="n"/>
      <c r="AB261" s="28" t="n"/>
      <c r="AC261" s="30" t="n"/>
      <c r="AD261" s="24" t="n"/>
      <c r="AE261" s="31" t="inlineStr">
        <is>
          <t>Learned LR call at threshold 0.5873; executable ask 0.5200 (aec-mlb-tb-sea-2026-08-07); model edge vs ask +0.0368.</t>
        </is>
      </c>
      <c r="AF261" s="31" t="inlineStr">
        <is>
          <t>Learned model; shadow-qualified via operator override.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NO_CALL_WINNER_OVERVALUED</t>
        </is>
      </c>
      <c r="AP261" s="24" t="inlineStr">
        <is>
          <t>mlb-tb</t>
        </is>
      </c>
      <c r="AQ261" s="24" t="inlineStr">
        <is>
          <t>Tampa Bay Rays</t>
        </is>
      </c>
      <c r="AR261" s="24" t="inlineStr">
        <is>
          <t>Tampa Bay Rays</t>
        </is>
      </c>
      <c r="AS261" s="24" t="inlineStr">
        <is>
          <t>mlb-sea</t>
        </is>
      </c>
      <c r="AT261" s="24" t="inlineStr">
        <is>
          <t>Seattle Mariners</t>
        </is>
      </c>
      <c r="AU261" s="24" t="inlineStr">
        <is>
          <t>Seattle Mariners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6a5c79541b0e50cb9f7318270e63d5ccc65cbd7bc53a019748ff772d49de5075</t>
        </is>
      </c>
      <c r="BB261" s="24" t="inlineStr">
        <is>
          <t>learned_lr</t>
        </is>
      </c>
      <c r="BC261" s="24" t="inlineStr">
        <is>
          <t>mlb-elo-trend-lr-v8</t>
        </is>
      </c>
      <c r="BD261" s="24" t="inlineStr">
        <is>
          <t>6a5c79541b0e50cb9f7318270e63d5ccc65cbd7bc53a019748ff772d49de5075</t>
        </is>
      </c>
      <c r="BE261" s="24" t="inlineStr">
        <is>
          <t>cf9d26fcd493bc83</t>
        </is>
      </c>
      <c r="BF261" s="24" t="inlineStr">
        <is>
          <t>1</t>
        </is>
      </c>
      <c r="BG261" s="24" t="inlineStr">
        <is>
          <t>mlb-elo-trend-lr-v8</t>
        </is>
      </c>
      <c r="BH261" s="24" t="inlineStr">
        <is>
          <t>2026-08-07T18:28:01.370150Z</t>
        </is>
      </c>
      <c r="BI261" s="24" t="inlineStr">
        <is>
          <t>["same_event","same_team_same_day","same_league_same_day"]</t>
        </is>
      </c>
      <c r="BJ261" s="25" t="n"/>
      <c r="BK261" s="26" t="n">
        <v>-108</v>
      </c>
      <c r="BL261" s="27" t="n">
        <v>1.925926</v>
      </c>
      <c r="BM261" s="28" t="n">
        <v>0.519231</v>
      </c>
      <c r="BN261" s="28" t="n">
        <v>0.517413</v>
      </c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inlineStr">
        <is>
          <t>0.5166228758</t>
        </is>
      </c>
      <c r="CD261" s="24" t="inlineStr">
        <is>
          <t>-0.75321</t>
        </is>
      </c>
      <c r="CE261" s="24" t="inlineStr">
        <is>
          <t>0.938</t>
        </is>
      </c>
      <c r="CF261" s="24" t="inlineStr">
        <is>
          <t>1.0</t>
        </is>
      </c>
      <c r="CG261" s="24" t="n"/>
      <c r="CH261" s="24" t="n"/>
      <c r="CI261" s="24" t="n"/>
      <c r="CJ261" s="24" t="inlineStr">
        <is>
          <t>-1.077092</t>
        </is>
      </c>
      <c r="CK261" s="24" t="n"/>
      <c r="CL261" s="24" t="inlineStr">
        <is>
          <t>0.31629</t>
        </is>
      </c>
      <c r="CM261" s="24" t="inlineStr">
        <is>
          <t>-0.9125</t>
        </is>
      </c>
      <c r="CN261" s="24" t="n"/>
      <c r="CO261" s="24" t="n"/>
      <c r="CP261" s="24" t="n"/>
      <c r="CQ261" s="24" t="n"/>
      <c r="CR261" s="24" t="inlineStr">
        <is>
          <t>0.556751</t>
        </is>
      </c>
      <c r="CS261" s="24" t="inlineStr">
        <is>
          <t>True</t>
        </is>
      </c>
    </row>
    <row r="262" ht="36" customHeight="1">
      <c r="A262" s="24" t="inlineStr">
        <is>
          <t>8489619f50d34e77</t>
        </is>
      </c>
      <c r="B262" s="24" t="inlineStr">
        <is>
          <t>2026-08-07T18:29:28.691575Z</t>
        </is>
      </c>
      <c r="C262" s="24" t="inlineStr">
        <is>
          <t>2026-08-07T22:40Z</t>
        </is>
      </c>
      <c r="D262" s="24" t="inlineStr">
        <is>
          <t>401816428</t>
        </is>
      </c>
      <c r="E262" s="24" t="inlineStr">
        <is>
          <t>MLB</t>
        </is>
      </c>
      <c r="F262" s="24" t="inlineStr">
        <is>
          <t>New York Mets</t>
        </is>
      </c>
      <c r="G262" s="24" t="inlineStr">
        <is>
          <t>Pittsburgh Pirates</t>
        </is>
      </c>
      <c r="H262" s="24" t="inlineStr">
        <is>
          <t>spread</t>
        </is>
      </c>
      <c r="I262" s="24" t="inlineStr">
        <is>
          <t>away</t>
        </is>
      </c>
      <c r="J262" s="25" t="n">
        <v>1.5</v>
      </c>
      <c r="K262" s="24" t="inlineStr">
        <is>
          <t>polymarket_us</t>
        </is>
      </c>
      <c r="L262" s="26" t="n">
        <v>-167</v>
      </c>
      <c r="M262" s="27" t="n">
        <v>1.598802</v>
      </c>
      <c r="N262" s="28" t="n">
        <v>0.625468</v>
      </c>
      <c r="O262" s="28" t="n">
        <v>0.6242529999999999</v>
      </c>
      <c r="P262" s="28" t="n">
        <v>0.05172</v>
      </c>
      <c r="Q262" s="28" t="n">
        <v>-0.001215</v>
      </c>
      <c r="R262" s="26" t="n">
        <v>22</v>
      </c>
      <c r="S262" s="29" t="n">
        <v>0</v>
      </c>
      <c r="T262" s="24" t="inlineStr">
        <is>
          <t>measured-edge-margin-v3</t>
        </is>
      </c>
      <c r="U262" s="24" t="inlineStr">
        <is>
          <t>open</t>
        </is>
      </c>
      <c r="V262" s="24" t="n"/>
      <c r="W262" s="26" t="n"/>
      <c r="X262" s="26" t="n"/>
      <c r="Y262" s="25" t="n"/>
      <c r="Z262" s="26" t="n"/>
      <c r="AA262" s="28" t="n"/>
      <c r="AB262" s="28" t="n"/>
      <c r="AC262" s="30" t="n"/>
      <c r="AD262" s="24" t="n"/>
      <c r="AE262" s="31" t="inlineStr">
        <is>
          <t>Measured Edge Margin: Trend Engine projected 4.19-4.16; raw selected-side p=0.6824, calibrated p=0.6243.</t>
        </is>
      </c>
      <c r="AF262" s="31" t="inlineStr">
        <is>
          <t>Research-only; lineup, bullpen, park, weather, xFIP, and wRC+ may be neutral fallbacks; market availability and BBO depth may change before first pitch.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research_observation</t>
        </is>
      </c>
      <c r="AL262" s="26" t="n">
        <v>3</v>
      </c>
      <c r="AM262" s="24" t="inlineStr">
        <is>
          <t>RESEARCH_OBSERVATION</t>
        </is>
      </c>
      <c r="AN262" s="24" t="inlineStr">
        <is>
          <t>NO_CALL</t>
        </is>
      </c>
      <c r="AO262" s="24" t="inlineStr">
        <is>
          <t>NO_CALL_WINNER_OVERVALUED</t>
        </is>
      </c>
      <c r="AP262" s="24" t="inlineStr">
        <is>
          <t>mlb-nym</t>
        </is>
      </c>
      <c r="AQ262" s="24" t="inlineStr">
        <is>
          <t>New York Mets</t>
        </is>
      </c>
      <c r="AR262" s="24" t="inlineStr">
        <is>
          <t>New York Mets</t>
        </is>
      </c>
      <c r="AS262" s="24" t="inlineStr">
        <is>
          <t>mlb-pit</t>
        </is>
      </c>
      <c r="AT262" s="24" t="inlineStr">
        <is>
          <t>Pittsburgh Pirates</t>
        </is>
      </c>
      <c r="AU262" s="24" t="inlineStr">
        <is>
          <t>Pittsburgh Pirates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dd339a2eed50d7d83ab2127837995ddab82e879afd27f5414bb6c1f9cd60ba4c</t>
        </is>
      </c>
      <c r="BB262" s="24" t="inlineStr">
        <is>
          <t>flat_probability_shrinkage_toward_half</t>
        </is>
      </c>
      <c r="BC262" s="24" t="inlineStr">
        <is>
          <t>measured-edge-margin-v3</t>
        </is>
      </c>
      <c r="BD262" s="24" t="inlineStr">
        <is>
          <t>dd339a2eed50d7d83ab2127837995ddab82e879afd27f5414bb6c1f9cd60ba4c</t>
        </is>
      </c>
      <c r="BE262" s="24" t="inlineStr">
        <is>
          <t>v3</t>
        </is>
      </c>
      <c r="BF262" s="24" t="inlineStr">
        <is>
          <t>1</t>
        </is>
      </c>
      <c r="BG262" s="24" t="inlineStr">
        <is>
          <t>measured-edge-paired-v1</t>
        </is>
      </c>
      <c r="BH262" s="24" t="inlineStr">
        <is>
          <t>2026-08-07T18:29:28.691575Z</t>
        </is>
      </c>
      <c r="BI262" s="24" t="inlineStr">
        <is>
          <t>["same_event","same_team_same_day","same_league_same_day"]</t>
        </is>
      </c>
      <c r="BJ262" s="25" t="n">
        <v>1.5</v>
      </c>
      <c r="BK262" s="26" t="n">
        <v>-167</v>
      </c>
      <c r="BL262" s="27" t="n">
        <v>1.598802</v>
      </c>
      <c r="BM262" s="28" t="n">
        <v>0.625468</v>
      </c>
      <c r="BN262" s="28" t="n">
        <v>0.618812</v>
      </c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</row>
    <row r="263" ht="36" customHeight="1">
      <c r="A263" s="24" t="inlineStr">
        <is>
          <t>5843830eba134b0b</t>
        </is>
      </c>
      <c r="B263" s="24" t="inlineStr">
        <is>
          <t>2026-08-07T18:29:28.691575Z</t>
        </is>
      </c>
      <c r="C263" s="24" t="inlineStr">
        <is>
          <t>2026-08-07T22:40Z</t>
        </is>
      </c>
      <c r="D263" s="24" t="inlineStr">
        <is>
          <t>401816428</t>
        </is>
      </c>
      <c r="E263" s="24" t="inlineStr">
        <is>
          <t>MLB</t>
        </is>
      </c>
      <c r="F263" s="24" t="inlineStr">
        <is>
          <t>New York Mets</t>
        </is>
      </c>
      <c r="G263" s="24" t="inlineStr">
        <is>
          <t>Pittsburgh Pirates</t>
        </is>
      </c>
      <c r="H263" s="24" t="inlineStr">
        <is>
          <t>total</t>
        </is>
      </c>
      <c r="I263" s="24" t="inlineStr">
        <is>
          <t>under</t>
        </is>
      </c>
      <c r="J263" s="25" t="n">
        <v>8.5</v>
      </c>
      <c r="K263" s="24" t="inlineStr">
        <is>
          <t>polymarket_us</t>
        </is>
      </c>
      <c r="L263" s="26" t="n">
        <v>-111</v>
      </c>
      <c r="M263" s="27" t="n">
        <v>1.900901</v>
      </c>
      <c r="N263" s="28" t="n">
        <v>0.526066</v>
      </c>
      <c r="O263" s="28" t="n">
        <v>0.517922</v>
      </c>
      <c r="P263" s="28" t="n">
        <v>0.05172</v>
      </c>
      <c r="Q263" s="28" t="n">
        <v>-0.008144</v>
      </c>
      <c r="R263" s="26" t="n">
        <v>17</v>
      </c>
      <c r="S263" s="29" t="n">
        <v>0</v>
      </c>
      <c r="T263" s="24" t="inlineStr">
        <is>
          <t>measured-edge-totals-v3</t>
        </is>
      </c>
      <c r="U263" s="24" t="inlineStr">
        <is>
          <t>open</t>
        </is>
      </c>
      <c r="V263" s="24" t="n"/>
      <c r="W263" s="26" t="n"/>
      <c r="X263" s="26" t="n"/>
      <c r="Y263" s="25" t="n"/>
      <c r="Z263" s="26" t="n"/>
      <c r="AA263" s="28" t="n"/>
      <c r="AB263" s="28" t="n"/>
      <c r="AC263" s="30" t="n"/>
      <c r="AD263" s="24" t="n"/>
      <c r="AE263" s="31" t="inlineStr">
        <is>
          <t>Measured Edge Totals: Trend Engine projected 4.19-4.16; raw selected-side p=0.5488, calibrated p=0.5179.</t>
        </is>
      </c>
      <c r="AF263" s="31" t="inlineStr">
        <is>
          <t>Research-only; lineup, bullpen, park, weather, xFIP, and wRC+ may be neutral fallbacks; market availability and BBO depth may change before first pitch.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NO_CALL_WINNER_OVERVALUED</t>
        </is>
      </c>
      <c r="AP263" s="24" t="inlineStr">
        <is>
          <t>mlb-nym</t>
        </is>
      </c>
      <c r="AQ263" s="24" t="inlineStr">
        <is>
          <t>New York Mets</t>
        </is>
      </c>
      <c r="AR263" s="24" t="inlineStr">
        <is>
          <t>New York Mets</t>
        </is>
      </c>
      <c r="AS263" s="24" t="inlineStr">
        <is>
          <t>mlb-pit</t>
        </is>
      </c>
      <c r="AT263" s="24" t="inlineStr">
        <is>
          <t>Pittsburgh Pirates</t>
        </is>
      </c>
      <c r="AU263" s="24" t="inlineStr">
        <is>
          <t>Pittsburgh Pirates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95b84332c75d2ce54036eb8de6ada9c78d0f80228c50825c0347281a8b9b49c7</t>
        </is>
      </c>
      <c r="BB263" s="24" t="inlineStr">
        <is>
          <t>flat_probability_shrinkage_toward_half</t>
        </is>
      </c>
      <c r="BC263" s="24" t="inlineStr">
        <is>
          <t>measured-edge-totals-v3</t>
        </is>
      </c>
      <c r="BD263" s="24" t="inlineStr">
        <is>
          <t>95b84332c75d2ce54036eb8de6ada9c78d0f80228c50825c0347281a8b9b49c7</t>
        </is>
      </c>
      <c r="BE263" s="24" t="inlineStr">
        <is>
          <t>v3</t>
        </is>
      </c>
      <c r="BF263" s="24" t="inlineStr">
        <is>
          <t>1</t>
        </is>
      </c>
      <c r="BG263" s="24" t="inlineStr">
        <is>
          <t>measured-edge-paired-v1</t>
        </is>
      </c>
      <c r="BH263" s="24" t="inlineStr">
        <is>
          <t>2026-08-07T18:29:28.691575Z</t>
        </is>
      </c>
      <c r="BI263" s="24" t="inlineStr">
        <is>
          <t>["same_event","same_team_same_day","same_league_same_day"]</t>
        </is>
      </c>
      <c r="BJ263" s="25" t="n">
        <v>8.5</v>
      </c>
      <c r="BK263" s="26" t="n">
        <v>-111</v>
      </c>
      <c r="BL263" s="27" t="n">
        <v>1.900901</v>
      </c>
      <c r="BM263" s="28" t="n">
        <v>0.526066</v>
      </c>
      <c r="BN263" s="28" t="n">
        <v>0.522388</v>
      </c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</row>
    <row r="264" ht="36" customHeight="1">
      <c r="A264" s="24" t="inlineStr">
        <is>
          <t>da0d94a0d74948c5</t>
        </is>
      </c>
      <c r="B264" s="24" t="inlineStr">
        <is>
          <t>2026-08-07T18:29:28.691575Z</t>
        </is>
      </c>
      <c r="C264" s="24" t="inlineStr">
        <is>
          <t>2026-08-07T22:40Z</t>
        </is>
      </c>
      <c r="D264" s="24" t="inlineStr">
        <is>
          <t>401816429</t>
        </is>
      </c>
      <c r="E264" s="24" t="inlineStr">
        <is>
          <t>MLB</t>
        </is>
      </c>
      <c r="F264" s="24" t="inlineStr">
        <is>
          <t>Toronto Blue Jays</t>
        </is>
      </c>
      <c r="G264" s="24" t="inlineStr">
        <is>
          <t>Philadelphia Phillies</t>
        </is>
      </c>
      <c r="H264" s="24" t="inlineStr">
        <is>
          <t>spread</t>
        </is>
      </c>
      <c r="I264" s="24" t="inlineStr">
        <is>
          <t>home</t>
        </is>
      </c>
      <c r="J264" s="25" t="n">
        <v>-1.5</v>
      </c>
      <c r="K264" s="24" t="inlineStr">
        <is>
          <t>polymarket_us</t>
        </is>
      </c>
      <c r="L264" s="26" t="n">
        <v>106</v>
      </c>
      <c r="M264" s="27" t="n">
        <v>2.06</v>
      </c>
      <c r="N264" s="28" t="n">
        <v>0.485437</v>
      </c>
      <c r="O264" s="28" t="n">
        <v>0.415779</v>
      </c>
      <c r="P264" s="28" t="n">
        <v>0.042131</v>
      </c>
      <c r="Q264" s="28" t="n">
        <v>-0.069658</v>
      </c>
      <c r="R264" s="26" t="n">
        <v>0</v>
      </c>
      <c r="S264" s="29" t="n">
        <v>0</v>
      </c>
      <c r="T264" s="24" t="inlineStr">
        <is>
          <t>measured-edge-margin-v3</t>
        </is>
      </c>
      <c r="U264" s="24" t="inlineStr">
        <is>
          <t>open</t>
        </is>
      </c>
      <c r="V264" s="24" t="n"/>
      <c r="W264" s="26" t="n"/>
      <c r="X264" s="26" t="n"/>
      <c r="Y264" s="25" t="n"/>
      <c r="Z264" s="26" t="n"/>
      <c r="AA264" s="28" t="n"/>
      <c r="AB264" s="28" t="n"/>
      <c r="AC264" s="30" t="n"/>
      <c r="AD264" s="24" t="n"/>
      <c r="AE264" s="31" t="inlineStr">
        <is>
          <t>Measured Edge Margin: Trend Engine projected 4.00-4.51; raw selected-side p=0.3764, calibrated p=0.4158.</t>
        </is>
      </c>
      <c r="AF264" s="31" t="inlineStr">
        <is>
          <t>Research-only; lineup, bullpen, park, weather, xFIP, and wRC+ may be neutral fallbacks; market availability and BBO depth may change before first pitch.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research_observation</t>
        </is>
      </c>
      <c r="AL264" s="26" t="n">
        <v>3</v>
      </c>
      <c r="AM264" s="24" t="inlineStr">
        <is>
          <t>RESEARCH_OBSERVATION</t>
        </is>
      </c>
      <c r="AN264" s="24" t="inlineStr">
        <is>
          <t>NO_CALL</t>
        </is>
      </c>
      <c r="AO264" s="24" t="inlineStr">
        <is>
          <t>NO_CALL_WINNER_OVERVALUED</t>
        </is>
      </c>
      <c r="AP264" s="24" t="inlineStr">
        <is>
          <t>mlb-tor</t>
        </is>
      </c>
      <c r="AQ264" s="24" t="inlineStr">
        <is>
          <t>Toronto Blue Jays</t>
        </is>
      </c>
      <c r="AR264" s="24" t="inlineStr">
        <is>
          <t>Toronto Blue Jays</t>
        </is>
      </c>
      <c r="AS264" s="24" t="inlineStr">
        <is>
          <t>mlb-phi</t>
        </is>
      </c>
      <c r="AT264" s="24" t="inlineStr">
        <is>
          <t>Philadelphia Phillies</t>
        </is>
      </c>
      <c r="AU264" s="24" t="inlineStr">
        <is>
          <t>Philadelphia Phillies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dd339a2eed50d7d83ab2127837995ddab82e879afd27f5414bb6c1f9cd60ba4c</t>
        </is>
      </c>
      <c r="BB264" s="24" t="inlineStr">
        <is>
          <t>flat_probability_shrinkage_toward_half</t>
        </is>
      </c>
      <c r="BC264" s="24" t="inlineStr">
        <is>
          <t>measured-edge-margin-v3</t>
        </is>
      </c>
      <c r="BD264" s="24" t="inlineStr">
        <is>
          <t>dd339a2eed50d7d83ab2127837995ddab82e879afd27f5414bb6c1f9cd60ba4c</t>
        </is>
      </c>
      <c r="BE264" s="24" t="inlineStr">
        <is>
          <t>v3</t>
        </is>
      </c>
      <c r="BF264" s="24" t="inlineStr">
        <is>
          <t>1</t>
        </is>
      </c>
      <c r="BG264" s="24" t="inlineStr">
        <is>
          <t>measured-edge-paired-v1</t>
        </is>
      </c>
      <c r="BH264" s="24" t="inlineStr">
        <is>
          <t>2026-08-07T18:29:28.691575Z</t>
        </is>
      </c>
      <c r="BI264" s="24" t="inlineStr">
        <is>
          <t>["same_event","same_team_same_day","same_league_same_day"]</t>
        </is>
      </c>
      <c r="BJ264" s="25" t="n">
        <v>-1.5</v>
      </c>
      <c r="BK264" s="26" t="n">
        <v>106</v>
      </c>
      <c r="BL264" s="27" t="n">
        <v>2.06</v>
      </c>
      <c r="BM264" s="28" t="n">
        <v>0.485437</v>
      </c>
      <c r="BN264" s="28" t="n">
        <v>0.482587</v>
      </c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False</t>
        </is>
      </c>
    </row>
    <row r="265" ht="36" customHeight="1">
      <c r="A265" s="24" t="inlineStr">
        <is>
          <t>02a1c89f58ba49f8</t>
        </is>
      </c>
      <c r="B265" s="24" t="inlineStr">
        <is>
          <t>2026-08-07T18:29:28.691575Z</t>
        </is>
      </c>
      <c r="C265" s="24" t="inlineStr">
        <is>
          <t>2026-08-07T22:40Z</t>
        </is>
      </c>
      <c r="D265" s="24" t="inlineStr">
        <is>
          <t>401816429</t>
        </is>
      </c>
      <c r="E265" s="24" t="inlineStr">
        <is>
          <t>MLB</t>
        </is>
      </c>
      <c r="F265" s="24" t="inlineStr">
        <is>
          <t>Toronto Blue Jays</t>
        </is>
      </c>
      <c r="G265" s="24" t="inlineStr">
        <is>
          <t>Philadelphia Phillies</t>
        </is>
      </c>
      <c r="H265" s="24" t="inlineStr">
        <is>
          <t>total</t>
        </is>
      </c>
      <c r="I265" s="24" t="inlineStr">
        <is>
          <t>over</t>
        </is>
      </c>
      <c r="J265" s="25" t="n">
        <v>7.5</v>
      </c>
      <c r="K265" s="24" t="inlineStr">
        <is>
          <t>polymarket_us</t>
        </is>
      </c>
      <c r="L265" s="26" t="n">
        <v>-108</v>
      </c>
      <c r="M265" s="27" t="n">
        <v>1.925926</v>
      </c>
      <c r="N265" s="28" t="n">
        <v>0.519231</v>
      </c>
      <c r="O265" s="28" t="n">
        <v>0.516829</v>
      </c>
      <c r="P265" s="28" t="n">
        <v>0.042131</v>
      </c>
      <c r="Q265" s="28" t="n">
        <v>-0.002402</v>
      </c>
      <c r="R265" s="26" t="n">
        <v>24</v>
      </c>
      <c r="S265" s="29" t="n">
        <v>0</v>
      </c>
      <c r="T265" s="24" t="inlineStr">
        <is>
          <t>measured-edge-totals-v3</t>
        </is>
      </c>
      <c r="U265" s="24" t="inlineStr">
        <is>
          <t>open</t>
        </is>
      </c>
      <c r="V265" s="24" t="n"/>
      <c r="W265" s="26" t="n"/>
      <c r="X265" s="26" t="n"/>
      <c r="Y265" s="25" t="n"/>
      <c r="Z265" s="26" t="n"/>
      <c r="AA265" s="28" t="n"/>
      <c r="AB265" s="28" t="n"/>
      <c r="AC265" s="30" t="n"/>
      <c r="AD265" s="24" t="n"/>
      <c r="AE265" s="31" t="inlineStr">
        <is>
          <t>Measured Edge Totals: Trend Engine projected 4.00-4.51; raw selected-side p=0.5444, calibrated p=0.5168.</t>
        </is>
      </c>
      <c r="AF265" s="31" t="inlineStr">
        <is>
          <t>Research-only; lineup, bullpen, park, weather, xFIP, and wRC+ may be neutral fallbacks; market availability and BBO depth may change before first pitch.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NO_CALL_WINNER_OVERVALUED</t>
        </is>
      </c>
      <c r="AP265" s="24" t="inlineStr">
        <is>
          <t>mlb-tor</t>
        </is>
      </c>
      <c r="AQ265" s="24" t="inlineStr">
        <is>
          <t>Toronto Blue Jays</t>
        </is>
      </c>
      <c r="AR265" s="24" t="inlineStr">
        <is>
          <t>Toronto Blue Jays</t>
        </is>
      </c>
      <c r="AS265" s="24" t="inlineStr">
        <is>
          <t>mlb-phi</t>
        </is>
      </c>
      <c r="AT265" s="24" t="inlineStr">
        <is>
          <t>Philadelphia Phillies</t>
        </is>
      </c>
      <c r="AU265" s="24" t="inlineStr">
        <is>
          <t>Philadelphia Phillies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95b84332c75d2ce54036eb8de6ada9c78d0f80228c50825c0347281a8b9b49c7</t>
        </is>
      </c>
      <c r="BB265" s="24" t="inlineStr">
        <is>
          <t>flat_probability_shrinkage_toward_half</t>
        </is>
      </c>
      <c r="BC265" s="24" t="inlineStr">
        <is>
          <t>measured-edge-totals-v3</t>
        </is>
      </c>
      <c r="BD265" s="24" t="inlineStr">
        <is>
          <t>95b84332c75d2ce54036eb8de6ada9c78d0f80228c50825c0347281a8b9b49c7</t>
        </is>
      </c>
      <c r="BE265" s="24" t="inlineStr">
        <is>
          <t>v3</t>
        </is>
      </c>
      <c r="BF265" s="24" t="inlineStr">
        <is>
          <t>1</t>
        </is>
      </c>
      <c r="BG265" s="24" t="inlineStr">
        <is>
          <t>measured-edge-paired-v1</t>
        </is>
      </c>
      <c r="BH265" s="24" t="inlineStr">
        <is>
          <t>2026-08-07T18:29:28.691575Z</t>
        </is>
      </c>
      <c r="BI265" s="24" t="inlineStr">
        <is>
          <t>["same_event","same_team_same_day","same_league_same_day"]</t>
        </is>
      </c>
      <c r="BJ265" s="25" t="n">
        <v>7.5</v>
      </c>
      <c r="BK265" s="26" t="n">
        <v>-108</v>
      </c>
      <c r="BL265" s="27" t="n">
        <v>1.925926</v>
      </c>
      <c r="BM265" s="28" t="n">
        <v>0.519231</v>
      </c>
      <c r="BN265" s="28" t="n">
        <v>0.517413</v>
      </c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</row>
    <row r="266" ht="36" customHeight="1">
      <c r="A266" s="24" t="inlineStr">
        <is>
          <t>befab55cbeed45b6</t>
        </is>
      </c>
      <c r="B266" s="24" t="inlineStr">
        <is>
          <t>2026-08-07T18:29:28.691575Z</t>
        </is>
      </c>
      <c r="C266" s="24" t="inlineStr">
        <is>
          <t>2026-08-07T23:05Z</t>
        </is>
      </c>
      <c r="D266" s="24" t="inlineStr">
        <is>
          <t>401816426</t>
        </is>
      </c>
      <c r="E266" s="24" t="inlineStr">
        <is>
          <t>MLB</t>
        </is>
      </c>
      <c r="F266" s="24" t="inlineStr">
        <is>
          <t>Atlanta Braves</t>
        </is>
      </c>
      <c r="G266" s="24" t="inlineStr">
        <is>
          <t>New York Yankees</t>
        </is>
      </c>
      <c r="H266" s="24" t="inlineStr">
        <is>
          <t>spread</t>
        </is>
      </c>
      <c r="I266" s="24" t="inlineStr">
        <is>
          <t>home</t>
        </is>
      </c>
      <c r="J266" s="25" t="n">
        <v>-1.5</v>
      </c>
      <c r="K266" s="24" t="inlineStr">
        <is>
          <t>polymarket_us</t>
        </is>
      </c>
      <c r="L266" s="26" t="n">
        <v>160</v>
      </c>
      <c r="M266" s="27" t="n">
        <v>2.6</v>
      </c>
      <c r="N266" s="28" t="n">
        <v>0.384615</v>
      </c>
      <c r="O266" s="28" t="n">
        <v>0.399323</v>
      </c>
      <c r="P266" s="28" t="n">
        <v>0.042131</v>
      </c>
      <c r="Q266" s="28" t="n">
        <v>0.014708</v>
      </c>
      <c r="R266" s="26" t="n">
        <v>33</v>
      </c>
      <c r="S266" s="29" t="n">
        <v>0</v>
      </c>
      <c r="T266" s="24" t="inlineStr">
        <is>
          <t>measured-edge-margin-v3</t>
        </is>
      </c>
      <c r="U266" s="24" t="inlineStr">
        <is>
          <t>open</t>
        </is>
      </c>
      <c r="V266" s="24" t="n"/>
      <c r="W266" s="26" t="n"/>
      <c r="X266" s="26" t="n"/>
      <c r="Y266" s="25" t="n"/>
      <c r="Z266" s="26" t="n"/>
      <c r="AA266" s="28" t="n"/>
      <c r="AB266" s="28" t="n"/>
      <c r="AC266" s="30" t="n"/>
      <c r="AD266" s="24" t="n"/>
      <c r="AE266" s="31" t="inlineStr">
        <is>
          <t>Measured Edge Margin: Trend Engine projected 4.54-4.75; raw selected-side p=0.3523, calibrated p=0.3993.</t>
        </is>
      </c>
      <c r="AF266" s="31" t="inlineStr">
        <is>
          <t>Research-only; lineup, bullpen, park, weather, xFIP, and wRC+ may be neutral fallbacks; market availability and BBO depth may change before first pitch.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NO_CALL_WINNER_OVERVALUED</t>
        </is>
      </c>
      <c r="AP266" s="24" t="inlineStr">
        <is>
          <t>mlb-atl</t>
        </is>
      </c>
      <c r="AQ266" s="24" t="inlineStr">
        <is>
          <t>Atlanta Braves</t>
        </is>
      </c>
      <c r="AR266" s="24" t="inlineStr">
        <is>
          <t>Atlanta Braves</t>
        </is>
      </c>
      <c r="AS266" s="24" t="inlineStr">
        <is>
          <t>mlb-nyy</t>
        </is>
      </c>
      <c r="AT266" s="24" t="inlineStr">
        <is>
          <t>New York Yankees</t>
        </is>
      </c>
      <c r="AU266" s="24" t="inlineStr">
        <is>
          <t>New York Yankees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dd339a2eed50d7d83ab2127837995ddab82e879afd27f5414bb6c1f9cd60ba4c</t>
        </is>
      </c>
      <c r="BB266" s="24" t="inlineStr">
        <is>
          <t>flat_probability_shrinkage_toward_half</t>
        </is>
      </c>
      <c r="BC266" s="24" t="inlineStr">
        <is>
          <t>measured-edge-margin-v3</t>
        </is>
      </c>
      <c r="BD266" s="24" t="inlineStr">
        <is>
          <t>dd339a2eed50d7d83ab2127837995ddab82e879afd27f5414bb6c1f9cd60ba4c</t>
        </is>
      </c>
      <c r="BE266" s="24" t="inlineStr">
        <is>
          <t>v3</t>
        </is>
      </c>
      <c r="BF266" s="24" t="inlineStr">
        <is>
          <t>1</t>
        </is>
      </c>
      <c r="BG266" s="24" t="inlineStr">
        <is>
          <t>measured-edge-paired-v1</t>
        </is>
      </c>
      <c r="BH266" s="24" t="inlineStr">
        <is>
          <t>2026-08-07T18:29:28.691575Z</t>
        </is>
      </c>
      <c r="BI266" s="24" t="inlineStr">
        <is>
          <t>["same_event","same_team_same_day","same_league_same_day"]</t>
        </is>
      </c>
      <c r="BJ266" s="25" t="n">
        <v>-1.5</v>
      </c>
      <c r="BK266" s="26" t="n">
        <v>160</v>
      </c>
      <c r="BL266" s="27" t="n">
        <v>2.6</v>
      </c>
      <c r="BM266" s="28" t="n">
        <v>0.384615</v>
      </c>
      <c r="BN266" s="28" t="n">
        <v>0.383085</v>
      </c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</row>
    <row r="267" ht="36" customHeight="1">
      <c r="A267" s="24" t="inlineStr">
        <is>
          <t>c003e53fa6354346</t>
        </is>
      </c>
      <c r="B267" s="24" t="inlineStr">
        <is>
          <t>2026-08-07T18:29:28.691575Z</t>
        </is>
      </c>
      <c r="C267" s="24" t="inlineStr">
        <is>
          <t>2026-08-07T23:05Z</t>
        </is>
      </c>
      <c r="D267" s="24" t="inlineStr">
        <is>
          <t>401816426</t>
        </is>
      </c>
      <c r="E267" s="24" t="inlineStr">
        <is>
          <t>MLB</t>
        </is>
      </c>
      <c r="F267" s="24" t="inlineStr">
        <is>
          <t>Atlanta Braves</t>
        </is>
      </c>
      <c r="G267" s="24" t="inlineStr">
        <is>
          <t>New York Yankees</t>
        </is>
      </c>
      <c r="H267" s="24" t="inlineStr">
        <is>
          <t>total</t>
        </is>
      </c>
      <c r="I267" s="24" t="inlineStr">
        <is>
          <t>over</t>
        </is>
      </c>
      <c r="J267" s="25" t="n">
        <v>8.5</v>
      </c>
      <c r="K267" s="24" t="inlineStr">
        <is>
          <t>polymarket_us</t>
        </is>
      </c>
      <c r="L267" s="26" t="n">
        <v>113</v>
      </c>
      <c r="M267" s="27" t="n">
        <v>2.13</v>
      </c>
      <c r="N267" s="28" t="n">
        <v>0.469484</v>
      </c>
      <c r="O267" s="28" t="n">
        <v>0.515786</v>
      </c>
      <c r="P267" s="28" t="n">
        <v>0.042131</v>
      </c>
      <c r="Q267" s="28" t="n">
        <v>0.046302</v>
      </c>
      <c r="R267" s="26" t="n">
        <v>49</v>
      </c>
      <c r="S267" s="29" t="n">
        <v>0</v>
      </c>
      <c r="T267" s="24" t="inlineStr">
        <is>
          <t>measured-edge-totals-v3</t>
        </is>
      </c>
      <c r="U267" s="24" t="inlineStr">
        <is>
          <t>open</t>
        </is>
      </c>
      <c r="V267" s="24" t="n"/>
      <c r="W267" s="26" t="n"/>
      <c r="X267" s="26" t="n"/>
      <c r="Y267" s="25" t="n"/>
      <c r="Z267" s="26" t="n"/>
      <c r="AA267" s="28" t="n"/>
      <c r="AB267" s="28" t="n"/>
      <c r="AC267" s="30" t="n"/>
      <c r="AD267" s="24" t="n"/>
      <c r="AE267" s="31" t="inlineStr">
        <is>
          <t>Measured Edge Totals: Trend Engine projected 4.54-4.75; raw selected-side p=0.5402, calibrated p=0.5158.</t>
        </is>
      </c>
      <c r="AF267" s="31" t="inlineStr">
        <is>
          <t>Research-only; lineup, bullpen, park, weather, xFIP, and wRC+ may be neutral fallbacks; market availability and BBO depth may change before first pitch.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research_observation</t>
        </is>
      </c>
      <c r="AL267" s="26" t="n">
        <v>3</v>
      </c>
      <c r="AM267" s="24" t="inlineStr">
        <is>
          <t>RESEARCH_OBSERVATION</t>
        </is>
      </c>
      <c r="AN267" s="24" t="inlineStr">
        <is>
          <t>NO_CALL</t>
        </is>
      </c>
      <c r="AO267" s="24" t="inlineStr">
        <is>
          <t>NO_CALL_WINNER_OVERVALUED</t>
        </is>
      </c>
      <c r="AP267" s="24" t="inlineStr">
        <is>
          <t>mlb-atl</t>
        </is>
      </c>
      <c r="AQ267" s="24" t="inlineStr">
        <is>
          <t>Atlanta Braves</t>
        </is>
      </c>
      <c r="AR267" s="24" t="inlineStr">
        <is>
          <t>Atlanta Braves</t>
        </is>
      </c>
      <c r="AS267" s="24" t="inlineStr">
        <is>
          <t>mlb-nyy</t>
        </is>
      </c>
      <c r="AT267" s="24" t="inlineStr">
        <is>
          <t>New York Yankees</t>
        </is>
      </c>
      <c r="AU267" s="24" t="inlineStr">
        <is>
          <t>New York Yankees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research</t>
        </is>
      </c>
      <c r="BA267" s="24" t="inlineStr">
        <is>
          <t>95b84332c75d2ce54036eb8de6ada9c78d0f80228c50825c0347281a8b9b49c7</t>
        </is>
      </c>
      <c r="BB267" s="24" t="inlineStr">
        <is>
          <t>flat_probability_shrinkage_toward_half</t>
        </is>
      </c>
      <c r="BC267" s="24" t="inlineStr">
        <is>
          <t>measured-edge-totals-v3</t>
        </is>
      </c>
      <c r="BD267" s="24" t="inlineStr">
        <is>
          <t>95b84332c75d2ce54036eb8de6ada9c78d0f80228c50825c0347281a8b9b49c7</t>
        </is>
      </c>
      <c r="BE267" s="24" t="inlineStr">
        <is>
          <t>v3</t>
        </is>
      </c>
      <c r="BF267" s="24" t="inlineStr">
        <is>
          <t>1</t>
        </is>
      </c>
      <c r="BG267" s="24" t="inlineStr">
        <is>
          <t>measured-edge-paired-v1</t>
        </is>
      </c>
      <c r="BH267" s="24" t="inlineStr">
        <is>
          <t>2026-08-07T18:29:28.691575Z</t>
        </is>
      </c>
      <c r="BI267" s="24" t="inlineStr">
        <is>
          <t>["same_event","same_team_same_day","same_league_same_day"]</t>
        </is>
      </c>
      <c r="BJ267" s="25" t="n">
        <v>8.5</v>
      </c>
      <c r="BK267" s="26" t="n">
        <v>113</v>
      </c>
      <c r="BL267" s="27" t="n">
        <v>2.13</v>
      </c>
      <c r="BM267" s="28" t="n">
        <v>0.469484</v>
      </c>
      <c r="BN267" s="28" t="n">
        <v>0.467662</v>
      </c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</row>
    <row r="268" ht="36" customHeight="1">
      <c r="A268" s="24" t="inlineStr">
        <is>
          <t>c5f31c0730d34e9e</t>
        </is>
      </c>
      <c r="B268" s="24" t="inlineStr">
        <is>
          <t>2026-08-07T18:29:28.691575Z</t>
        </is>
      </c>
      <c r="C268" s="24" t="inlineStr">
        <is>
          <t>2026-08-07T23:10Z</t>
        </is>
      </c>
      <c r="D268" s="24" t="inlineStr">
        <is>
          <t>401816424</t>
        </is>
      </c>
      <c r="E268" s="24" t="inlineStr">
        <is>
          <t>MLB</t>
        </is>
      </c>
      <c r="F268" s="24" t="inlineStr">
        <is>
          <t>Los Angeles Angels</t>
        </is>
      </c>
      <c r="G268" s="24" t="inlineStr">
        <is>
          <t>Miami Marlins</t>
        </is>
      </c>
      <c r="H268" s="24" t="inlineStr">
        <is>
          <t>spread</t>
        </is>
      </c>
      <c r="I268" s="24" t="inlineStr">
        <is>
          <t>home</t>
        </is>
      </c>
      <c r="J268" s="25" t="n">
        <v>-1.5</v>
      </c>
      <c r="K268" s="24" t="inlineStr">
        <is>
          <t>polymarket_us</t>
        </is>
      </c>
      <c r="L268" s="26" t="n">
        <v>144</v>
      </c>
      <c r="M268" s="27" t="n">
        <v>2.44</v>
      </c>
      <c r="N268" s="28" t="n">
        <v>0.409836</v>
      </c>
      <c r="O268" s="28" t="n">
        <v>0.439219</v>
      </c>
      <c r="P268" s="28" t="n">
        <v>0.05172</v>
      </c>
      <c r="Q268" s="28" t="n">
        <v>0.029383</v>
      </c>
      <c r="R268" s="26" t="n">
        <v>36</v>
      </c>
      <c r="S268" s="29" t="n">
        <v>0</v>
      </c>
      <c r="T268" s="24" t="inlineStr">
        <is>
          <t>measured-edge-margin-v3</t>
        </is>
      </c>
      <c r="U268" s="24" t="inlineStr">
        <is>
          <t>open</t>
        </is>
      </c>
      <c r="V268" s="24" t="n"/>
      <c r="W268" s="26" t="n"/>
      <c r="X268" s="26" t="n"/>
      <c r="Y268" s="25" t="n"/>
      <c r="Z268" s="26" t="n"/>
      <c r="AA268" s="28" t="n"/>
      <c r="AB268" s="28" t="n"/>
      <c r="AC268" s="30" t="n"/>
      <c r="AD268" s="24" t="n"/>
      <c r="AE268" s="31" t="inlineStr">
        <is>
          <t>Measured Edge Margin: Trend Engine projected 4.33-5.11; raw selected-side p=0.4108, calibrated p=0.4392.</t>
        </is>
      </c>
      <c r="AF268" s="31" t="inlineStr">
        <is>
          <t>Research-only; lineup, bullpen, park, weather, xFIP, and wRC+ may be neutral fallbacks; market availability and BBO depth may change before first pitch.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NO_CALL_WINNER_OVERVALUED</t>
        </is>
      </c>
      <c r="AP268" s="24" t="inlineStr">
        <is>
          <t>mlb-laa</t>
        </is>
      </c>
      <c r="AQ268" s="24" t="inlineStr">
        <is>
          <t>Los Angeles Angels</t>
        </is>
      </c>
      <c r="AR268" s="24" t="inlineStr">
        <is>
          <t>Los Angeles Angels</t>
        </is>
      </c>
      <c r="AS268" s="24" t="inlineStr">
        <is>
          <t>mlb-mia</t>
        </is>
      </c>
      <c r="AT268" s="24" t="inlineStr">
        <is>
          <t>Miami Marlins</t>
        </is>
      </c>
      <c r="AU268" s="24" t="inlineStr">
        <is>
          <t>Miami Marlins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research</t>
        </is>
      </c>
      <c r="BA268" s="24" t="inlineStr">
        <is>
          <t>dd339a2eed50d7d83ab2127837995ddab82e879afd27f5414bb6c1f9cd60ba4c</t>
        </is>
      </c>
      <c r="BB268" s="24" t="inlineStr">
        <is>
          <t>flat_probability_shrinkage_toward_half</t>
        </is>
      </c>
      <c r="BC268" s="24" t="inlineStr">
        <is>
          <t>measured-edge-margin-v3</t>
        </is>
      </c>
      <c r="BD268" s="24" t="inlineStr">
        <is>
          <t>dd339a2eed50d7d83ab2127837995ddab82e879afd27f5414bb6c1f9cd60ba4c</t>
        </is>
      </c>
      <c r="BE268" s="24" t="inlineStr">
        <is>
          <t>v3</t>
        </is>
      </c>
      <c r="BF268" s="24" t="inlineStr">
        <is>
          <t>1</t>
        </is>
      </c>
      <c r="BG268" s="24" t="inlineStr">
        <is>
          <t>measured-edge-paired-v1</t>
        </is>
      </c>
      <c r="BH268" s="24" t="inlineStr">
        <is>
          <t>2026-08-07T18:29:28.691575Z</t>
        </is>
      </c>
      <c r="BI268" s="24" t="inlineStr">
        <is>
          <t>["same_event","same_team_same_day","same_league_same_day"]</t>
        </is>
      </c>
      <c r="BJ268" s="25" t="n">
        <v>-1.5</v>
      </c>
      <c r="BK268" s="26" t="n">
        <v>144</v>
      </c>
      <c r="BL268" s="27" t="n">
        <v>2.44</v>
      </c>
      <c r="BM268" s="28" t="n">
        <v>0.409836</v>
      </c>
      <c r="BN268" s="28" t="n">
        <v>0.405941</v>
      </c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</row>
    <row r="269" ht="36" customHeight="1">
      <c r="A269" s="24" t="inlineStr">
        <is>
          <t>a48d6abb02034a03</t>
        </is>
      </c>
      <c r="B269" s="24" t="inlineStr">
        <is>
          <t>2026-08-07T18:29:28.691575Z</t>
        </is>
      </c>
      <c r="C269" s="24" t="inlineStr">
        <is>
          <t>2026-08-07T23:10Z</t>
        </is>
      </c>
      <c r="D269" s="24" t="inlineStr">
        <is>
          <t>401816424</t>
        </is>
      </c>
      <c r="E269" s="24" t="inlineStr">
        <is>
          <t>MLB</t>
        </is>
      </c>
      <c r="F269" s="24" t="inlineStr">
        <is>
          <t>Los Angeles Angels</t>
        </is>
      </c>
      <c r="G269" s="24" t="inlineStr">
        <is>
          <t>Miami Marlins</t>
        </is>
      </c>
      <c r="H269" s="24" t="inlineStr">
        <is>
          <t>total</t>
        </is>
      </c>
      <c r="I269" s="24" t="inlineStr">
        <is>
          <t>over</t>
        </is>
      </c>
      <c r="J269" s="25" t="n">
        <v>8.5</v>
      </c>
      <c r="K269" s="24" t="inlineStr">
        <is>
          <t>polymarket_us</t>
        </is>
      </c>
      <c r="L269" s="26" t="n">
        <v>-113</v>
      </c>
      <c r="M269" s="27" t="n">
        <v>1.884956</v>
      </c>
      <c r="N269" s="28" t="n">
        <v>0.530516</v>
      </c>
      <c r="O269" s="28" t="n">
        <v>0.519263</v>
      </c>
      <c r="P269" s="28" t="n">
        <v>0.05172</v>
      </c>
      <c r="Q269" s="28" t="n">
        <v>-0.011253</v>
      </c>
      <c r="R269" s="26" t="n">
        <v>16</v>
      </c>
      <c r="S269" s="29" t="n">
        <v>0</v>
      </c>
      <c r="T269" s="24" t="inlineStr">
        <is>
          <t>measured-edge-totals-v3</t>
        </is>
      </c>
      <c r="U269" s="24" t="inlineStr">
        <is>
          <t>open</t>
        </is>
      </c>
      <c r="V269" s="24" t="n"/>
      <c r="W269" s="26" t="n"/>
      <c r="X269" s="26" t="n"/>
      <c r="Y269" s="25" t="n"/>
      <c r="Z269" s="26" t="n"/>
      <c r="AA269" s="28" t="n"/>
      <c r="AB269" s="28" t="n"/>
      <c r="AC269" s="30" t="n"/>
      <c r="AD269" s="24" t="n"/>
      <c r="AE269" s="31" t="inlineStr">
        <is>
          <t>Measured Edge Totals: Trend Engine projected 4.33-5.11; raw selected-side p=0.5542, calibrated p=0.5193.</t>
        </is>
      </c>
      <c r="AF269" s="31" t="inlineStr">
        <is>
          <t>Research-only; lineup, bullpen, park, weather, xFIP, and wRC+ may be neutral fallbacks; market availability and BBO depth may change before first pitch.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NO_CALL_WINNER_OVERVALUED</t>
        </is>
      </c>
      <c r="AP269" s="24" t="inlineStr">
        <is>
          <t>mlb-laa</t>
        </is>
      </c>
      <c r="AQ269" s="24" t="inlineStr">
        <is>
          <t>Los Angeles Angels</t>
        </is>
      </c>
      <c r="AR269" s="24" t="inlineStr">
        <is>
          <t>Los Angeles Angels</t>
        </is>
      </c>
      <c r="AS269" s="24" t="inlineStr">
        <is>
          <t>mlb-mia</t>
        </is>
      </c>
      <c r="AT269" s="24" t="inlineStr">
        <is>
          <t>Miami Marlins</t>
        </is>
      </c>
      <c r="AU269" s="24" t="inlineStr">
        <is>
          <t>Miami Marlins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95b84332c75d2ce54036eb8de6ada9c78d0f80228c50825c0347281a8b9b49c7</t>
        </is>
      </c>
      <c r="BB269" s="24" t="inlineStr">
        <is>
          <t>flat_probability_shrinkage_toward_half</t>
        </is>
      </c>
      <c r="BC269" s="24" t="inlineStr">
        <is>
          <t>measured-edge-totals-v3</t>
        </is>
      </c>
      <c r="BD269" s="24" t="inlineStr">
        <is>
          <t>95b84332c75d2ce54036eb8de6ada9c78d0f80228c50825c0347281a8b9b49c7</t>
        </is>
      </c>
      <c r="BE269" s="24" t="inlineStr">
        <is>
          <t>v3</t>
        </is>
      </c>
      <c r="BF269" s="24" t="inlineStr">
        <is>
          <t>1</t>
        </is>
      </c>
      <c r="BG269" s="24" t="inlineStr">
        <is>
          <t>measured-edge-paired-v1</t>
        </is>
      </c>
      <c r="BH269" s="24" t="inlineStr">
        <is>
          <t>2026-08-07T18:29:28.691575Z</t>
        </is>
      </c>
      <c r="BI269" s="24" t="inlineStr">
        <is>
          <t>["same_event","same_team_same_day","same_league_same_day"]</t>
        </is>
      </c>
      <c r="BJ269" s="25" t="n">
        <v>8.5</v>
      </c>
      <c r="BK269" s="26" t="n">
        <v>-113</v>
      </c>
      <c r="BL269" s="27" t="n">
        <v>1.884956</v>
      </c>
      <c r="BM269" s="28" t="n">
        <v>0.530516</v>
      </c>
      <c r="BN269" s="28" t="n">
        <v>0.524752</v>
      </c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</row>
    <row r="270" ht="36" customHeight="1">
      <c r="A270" s="24" t="inlineStr">
        <is>
          <t>e855e529dd8d4023</t>
        </is>
      </c>
      <c r="B270" s="24" t="inlineStr">
        <is>
          <t>2026-08-07T18:29:28.691575Z</t>
        </is>
      </c>
      <c r="C270" s="24" t="inlineStr">
        <is>
          <t>2026-08-07T23:10Z</t>
        </is>
      </c>
      <c r="D270" s="24" t="inlineStr">
        <is>
          <t>401816425</t>
        </is>
      </c>
      <c r="E270" s="24" t="inlineStr">
        <is>
          <t>MLB</t>
        </is>
      </c>
      <c r="F270" s="24" t="inlineStr">
        <is>
          <t>Athletics</t>
        </is>
      </c>
      <c r="G270" s="24" t="inlineStr">
        <is>
          <t>Boston Red Sox</t>
        </is>
      </c>
      <c r="H270" s="24" t="inlineStr">
        <is>
          <t>spread</t>
        </is>
      </c>
      <c r="I270" s="24" t="inlineStr">
        <is>
          <t>home</t>
        </is>
      </c>
      <c r="J270" s="25" t="n">
        <v>-1.5</v>
      </c>
      <c r="K270" s="24" t="inlineStr">
        <is>
          <t>polymarket_us</t>
        </is>
      </c>
      <c r="L270" s="26" t="n">
        <v>-125</v>
      </c>
      <c r="M270" s="27" t="n">
        <v>1.8</v>
      </c>
      <c r="N270" s="28" t="n">
        <v>0.555556</v>
      </c>
      <c r="O270" s="28" t="n">
        <v>0.499114</v>
      </c>
      <c r="P270" s="28" t="n">
        <v>0.042131</v>
      </c>
      <c r="Q270" s="28" t="n">
        <v>-0.056442</v>
      </c>
      <c r="R270" s="26" t="n">
        <v>0</v>
      </c>
      <c r="S270" s="29" t="n">
        <v>0</v>
      </c>
      <c r="T270" s="24" t="inlineStr">
        <is>
          <t>measured-edge-margin-v3</t>
        </is>
      </c>
      <c r="U270" s="24" t="inlineStr">
        <is>
          <t>open</t>
        </is>
      </c>
      <c r="V270" s="24" t="n"/>
      <c r="W270" s="26" t="n"/>
      <c r="X270" s="26" t="n"/>
      <c r="Y270" s="25" t="n"/>
      <c r="Z270" s="26" t="n"/>
      <c r="AA270" s="28" t="n"/>
      <c r="AB270" s="28" t="n"/>
      <c r="AC270" s="30" t="n"/>
      <c r="AD270" s="24" t="n"/>
      <c r="AE270" s="31" t="inlineStr">
        <is>
          <t>Measured Edge Margin: Trend Engine projected 4.05-5.72; raw selected-side p=0.4987, calibrated p=0.4991.</t>
        </is>
      </c>
      <c r="AF270" s="31" t="inlineStr">
        <is>
          <t>Research-only; lineup, bullpen, park, weather, xFIP, and wRC+ may be neutral fallbacks; market availability and BBO depth may change before first pitch.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NO_CALL_WINNER_OVERVALUED</t>
        </is>
      </c>
      <c r="AP270" s="24" t="inlineStr">
        <is>
          <t>mlb-ath</t>
        </is>
      </c>
      <c r="AQ270" s="24" t="inlineStr">
        <is>
          <t>Athletics</t>
        </is>
      </c>
      <c r="AR270" s="24" t="inlineStr">
        <is>
          <t>Athletics</t>
        </is>
      </c>
      <c r="AS270" s="24" t="inlineStr">
        <is>
          <t>mlb-bos</t>
        </is>
      </c>
      <c r="AT270" s="24" t="inlineStr">
        <is>
          <t>Boston Red Sox</t>
        </is>
      </c>
      <c r="AU270" s="24" t="inlineStr">
        <is>
          <t>Boston Red Sox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dd339a2eed50d7d83ab2127837995ddab82e879afd27f5414bb6c1f9cd60ba4c</t>
        </is>
      </c>
      <c r="BB270" s="24" t="inlineStr">
        <is>
          <t>flat_probability_shrinkage_toward_half</t>
        </is>
      </c>
      <c r="BC270" s="24" t="inlineStr">
        <is>
          <t>measured-edge-margin-v3</t>
        </is>
      </c>
      <c r="BD270" s="24" t="inlineStr">
        <is>
          <t>dd339a2eed50d7d83ab2127837995ddab82e879afd27f5414bb6c1f9cd60ba4c</t>
        </is>
      </c>
      <c r="BE270" s="24" t="inlineStr">
        <is>
          <t>v3</t>
        </is>
      </c>
      <c r="BF270" s="24" t="inlineStr">
        <is>
          <t>1</t>
        </is>
      </c>
      <c r="BG270" s="24" t="inlineStr">
        <is>
          <t>measured-edge-paired-v1</t>
        </is>
      </c>
      <c r="BH270" s="24" t="inlineStr">
        <is>
          <t>2026-08-07T18:29:28.691575Z</t>
        </is>
      </c>
      <c r="BI270" s="24" t="inlineStr">
        <is>
          <t>["same_event","same_team_same_day","same_league_same_day"]</t>
        </is>
      </c>
      <c r="BJ270" s="25" t="n">
        <v>-1.5</v>
      </c>
      <c r="BK270" s="26" t="n">
        <v>-125</v>
      </c>
      <c r="BL270" s="27" t="n">
        <v>1.8</v>
      </c>
      <c r="BM270" s="28" t="n">
        <v>0.555556</v>
      </c>
      <c r="BN270" s="28" t="n">
        <v>0.552239</v>
      </c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</row>
    <row r="271" ht="36" customHeight="1">
      <c r="A271" s="24" t="inlineStr">
        <is>
          <t>307b80095d404bb4</t>
        </is>
      </c>
      <c r="B271" s="24" t="inlineStr">
        <is>
          <t>2026-08-07T18:29:28.691575Z</t>
        </is>
      </c>
      <c r="C271" s="24" t="inlineStr">
        <is>
          <t>2026-08-07T23:10Z</t>
        </is>
      </c>
      <c r="D271" s="24" t="inlineStr">
        <is>
          <t>401816425</t>
        </is>
      </c>
      <c r="E271" s="24" t="inlineStr">
        <is>
          <t>MLB</t>
        </is>
      </c>
      <c r="F271" s="24" t="inlineStr">
        <is>
          <t>Athletics</t>
        </is>
      </c>
      <c r="G271" s="24" t="inlineStr">
        <is>
          <t>Boston Red Sox</t>
        </is>
      </c>
      <c r="H271" s="24" t="inlineStr">
        <is>
          <t>total</t>
        </is>
      </c>
      <c r="I271" s="24" t="inlineStr">
        <is>
          <t>over</t>
        </is>
      </c>
      <c r="J271" s="25" t="n">
        <v>8.5</v>
      </c>
      <c r="K271" s="24" t="inlineStr">
        <is>
          <t>polymarket_us</t>
        </is>
      </c>
      <c r="L271" s="26" t="n">
        <v>100</v>
      </c>
      <c r="M271" s="27" t="n">
        <v>2</v>
      </c>
      <c r="N271" s="28" t="n">
        <v>0.5</v>
      </c>
      <c r="O271" s="28" t="n">
        <v>0.524033</v>
      </c>
      <c r="P271" s="28" t="n">
        <v>0.042131</v>
      </c>
      <c r="Q271" s="28" t="n">
        <v>0.024033</v>
      </c>
      <c r="R271" s="26" t="n">
        <v>38</v>
      </c>
      <c r="S271" s="29" t="n">
        <v>0</v>
      </c>
      <c r="T271" s="24" t="inlineStr">
        <is>
          <t>measured-edge-totals-v3</t>
        </is>
      </c>
      <c r="U271" s="24" t="inlineStr">
        <is>
          <t>open</t>
        </is>
      </c>
      <c r="V271" s="24" t="n"/>
      <c r="W271" s="26" t="n"/>
      <c r="X271" s="26" t="n"/>
      <c r="Y271" s="25" t="n"/>
      <c r="Z271" s="26" t="n"/>
      <c r="AA271" s="28" t="n"/>
      <c r="AB271" s="28" t="n"/>
      <c r="AC271" s="30" t="n"/>
      <c r="AD271" s="24" t="n"/>
      <c r="AE271" s="31" t="inlineStr">
        <is>
          <t>Measured Edge Totals: Trend Engine projected 4.05-5.72; raw selected-side p=0.5734, calibrated p=0.5240.</t>
        </is>
      </c>
      <c r="AF271" s="31" t="inlineStr">
        <is>
          <t>Research-only; lineup, bullpen, park, weather, xFIP, and wRC+ may be neutral fallbacks; market availability and BBO depth may change before first pitch.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research_observation</t>
        </is>
      </c>
      <c r="AL271" s="26" t="n">
        <v>3</v>
      </c>
      <c r="AM271" s="24" t="inlineStr">
        <is>
          <t>RESEARCH_OBSERVATION</t>
        </is>
      </c>
      <c r="AN271" s="24" t="inlineStr">
        <is>
          <t>NO_CALL</t>
        </is>
      </c>
      <c r="AO271" s="24" t="inlineStr">
        <is>
          <t>NO_CALL_WINNER_OVERVALUED</t>
        </is>
      </c>
      <c r="AP271" s="24" t="inlineStr">
        <is>
          <t>mlb-ath</t>
        </is>
      </c>
      <c r="AQ271" s="24" t="inlineStr">
        <is>
          <t>Athletics</t>
        </is>
      </c>
      <c r="AR271" s="24" t="inlineStr">
        <is>
          <t>Athletics</t>
        </is>
      </c>
      <c r="AS271" s="24" t="inlineStr">
        <is>
          <t>mlb-bos</t>
        </is>
      </c>
      <c r="AT271" s="24" t="inlineStr">
        <is>
          <t>Boston Red Sox</t>
        </is>
      </c>
      <c r="AU271" s="24" t="inlineStr">
        <is>
          <t>Boston Red Sox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95b84332c75d2ce54036eb8de6ada9c78d0f80228c50825c0347281a8b9b49c7</t>
        </is>
      </c>
      <c r="BB271" s="24" t="inlineStr">
        <is>
          <t>flat_probability_shrinkage_toward_half</t>
        </is>
      </c>
      <c r="BC271" s="24" t="inlineStr">
        <is>
          <t>measured-edge-totals-v3</t>
        </is>
      </c>
      <c r="BD271" s="24" t="inlineStr">
        <is>
          <t>95b84332c75d2ce54036eb8de6ada9c78d0f80228c50825c0347281a8b9b49c7</t>
        </is>
      </c>
      <c r="BE271" s="24" t="inlineStr">
        <is>
          <t>v3</t>
        </is>
      </c>
      <c r="BF271" s="24" t="inlineStr">
        <is>
          <t>1</t>
        </is>
      </c>
      <c r="BG271" s="24" t="inlineStr">
        <is>
          <t>measured-edge-paired-v1</t>
        </is>
      </c>
      <c r="BH271" s="24" t="inlineStr">
        <is>
          <t>2026-08-07T18:29:28.691575Z</t>
        </is>
      </c>
      <c r="BI271" s="24" t="inlineStr">
        <is>
          <t>["same_event","same_team_same_day","same_league_same_day"]</t>
        </is>
      </c>
      <c r="BJ271" s="25" t="n">
        <v>8.5</v>
      </c>
      <c r="BK271" s="26" t="n">
        <v>100</v>
      </c>
      <c r="BL271" s="27" t="n">
        <v>2</v>
      </c>
      <c r="BM271" s="28" t="n">
        <v>0.5</v>
      </c>
      <c r="BN271" s="28" t="n">
        <v>0.497512</v>
      </c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</row>
    <row r="272" ht="36" customHeight="1">
      <c r="A272" s="24" t="inlineStr">
        <is>
          <t>623f768e32e445a1</t>
        </is>
      </c>
      <c r="B272" s="24" t="inlineStr">
        <is>
          <t>2026-08-07T18:29:28.691575Z</t>
        </is>
      </c>
      <c r="C272" s="24" t="inlineStr">
        <is>
          <t>2026-08-07T23:40Z</t>
        </is>
      </c>
      <c r="D272" s="24" t="inlineStr">
        <is>
          <t>401816432</t>
        </is>
      </c>
      <c r="E272" s="24" t="inlineStr">
        <is>
          <t>MLB</t>
        </is>
      </c>
      <c r="F272" s="24" t="inlineStr">
        <is>
          <t>Cleveland Guardians</t>
        </is>
      </c>
      <c r="G272" s="24" t="inlineStr">
        <is>
          <t>Chicago White Sox</t>
        </is>
      </c>
      <c r="H272" s="24" t="inlineStr">
        <is>
          <t>spread</t>
        </is>
      </c>
      <c r="I272" s="24" t="inlineStr">
        <is>
          <t>away</t>
        </is>
      </c>
      <c r="J272" s="25" t="n">
        <v>-1.5</v>
      </c>
      <c r="K272" s="24" t="inlineStr">
        <is>
          <t>polymarket_us</t>
        </is>
      </c>
      <c r="L272" s="26" t="n">
        <v>125</v>
      </c>
      <c r="M272" s="27" t="n">
        <v>2.25</v>
      </c>
      <c r="N272" s="28" t="n">
        <v>0.444444</v>
      </c>
      <c r="O272" s="28" t="n">
        <v>0.427056</v>
      </c>
      <c r="P272" s="28" t="n">
        <v>0.042131</v>
      </c>
      <c r="Q272" s="28" t="n">
        <v>-0.017388</v>
      </c>
      <c r="R272" s="26" t="n">
        <v>18</v>
      </c>
      <c r="S272" s="29" t="n">
        <v>0</v>
      </c>
      <c r="T272" s="24" t="inlineStr">
        <is>
          <t>measured-edge-margin-v3</t>
        </is>
      </c>
      <c r="U272" s="24" t="inlineStr">
        <is>
          <t>open</t>
        </is>
      </c>
      <c r="V272" s="24" t="n"/>
      <c r="W272" s="26" t="n"/>
      <c r="X272" s="26" t="n"/>
      <c r="Y272" s="25" t="n"/>
      <c r="Z272" s="26" t="n"/>
      <c r="AA272" s="28" t="n"/>
      <c r="AB272" s="28" t="n"/>
      <c r="AC272" s="30" t="n"/>
      <c r="AD272" s="24" t="n"/>
      <c r="AE272" s="31" t="inlineStr">
        <is>
          <t>Measured Edge Margin: Trend Engine projected 4.69-4.01; raw selected-side p=0.3930, calibrated p=0.4271.</t>
        </is>
      </c>
      <c r="AF272" s="31" t="inlineStr">
        <is>
          <t>Research-only; lineup, bullpen, park, weather, xFIP, and wRC+ may be neutral fallbacks; market availability and BBO depth may change before first pitch.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NO_CALL_WINNER_OVERVALUED</t>
        </is>
      </c>
      <c r="AP272" s="24" t="inlineStr">
        <is>
          <t>mlb-cle</t>
        </is>
      </c>
      <c r="AQ272" s="24" t="inlineStr">
        <is>
          <t>Cleveland Guardians</t>
        </is>
      </c>
      <c r="AR272" s="24" t="inlineStr">
        <is>
          <t>Cleveland Guardians</t>
        </is>
      </c>
      <c r="AS272" s="24" t="inlineStr">
        <is>
          <t>mlb-cws</t>
        </is>
      </c>
      <c r="AT272" s="24" t="inlineStr">
        <is>
          <t>Chicago White Sox</t>
        </is>
      </c>
      <c r="AU272" s="24" t="inlineStr">
        <is>
          <t>Chicago White Sox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dd339a2eed50d7d83ab2127837995ddab82e879afd27f5414bb6c1f9cd60ba4c</t>
        </is>
      </c>
      <c r="BB272" s="24" t="inlineStr">
        <is>
          <t>flat_probability_shrinkage_toward_half</t>
        </is>
      </c>
      <c r="BC272" s="24" t="inlineStr">
        <is>
          <t>measured-edge-margin-v3</t>
        </is>
      </c>
      <c r="BD272" s="24" t="inlineStr">
        <is>
          <t>dd339a2eed50d7d83ab2127837995ddab82e879afd27f5414bb6c1f9cd60ba4c</t>
        </is>
      </c>
      <c r="BE272" s="24" t="inlineStr">
        <is>
          <t>v3</t>
        </is>
      </c>
      <c r="BF272" s="24" t="inlineStr">
        <is>
          <t>1</t>
        </is>
      </c>
      <c r="BG272" s="24" t="inlineStr">
        <is>
          <t>measured-edge-paired-v1</t>
        </is>
      </c>
      <c r="BH272" s="24" t="inlineStr">
        <is>
          <t>2026-08-07T18:29:28.691575Z</t>
        </is>
      </c>
      <c r="BI272" s="24" t="inlineStr">
        <is>
          <t>["same_event","same_team_same_day","same_league_same_day"]</t>
        </is>
      </c>
      <c r="BJ272" s="25" t="n">
        <v>-1.5</v>
      </c>
      <c r="BK272" s="26" t="n">
        <v>125</v>
      </c>
      <c r="BL272" s="27" t="n">
        <v>2.25</v>
      </c>
      <c r="BM272" s="28" t="n">
        <v>0.444444</v>
      </c>
      <c r="BN272" s="28" t="n">
        <v>0.440594</v>
      </c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</row>
    <row r="273" ht="36" customHeight="1">
      <c r="A273" s="24" t="inlineStr">
        <is>
          <t>aa1a62cb82294321</t>
        </is>
      </c>
      <c r="B273" s="24" t="inlineStr">
        <is>
          <t>2026-08-07T18:29:28.691575Z</t>
        </is>
      </c>
      <c r="C273" s="24" t="inlineStr">
        <is>
          <t>2026-08-07T23:40Z</t>
        </is>
      </c>
      <c r="D273" s="24" t="inlineStr">
        <is>
          <t>401816432</t>
        </is>
      </c>
      <c r="E273" s="24" t="inlineStr">
        <is>
          <t>MLB</t>
        </is>
      </c>
      <c r="F273" s="24" t="inlineStr">
        <is>
          <t>Cleveland Guardians</t>
        </is>
      </c>
      <c r="G273" s="24" t="inlineStr">
        <is>
          <t>Chicago White Sox</t>
        </is>
      </c>
      <c r="H273" s="24" t="inlineStr">
        <is>
          <t>total</t>
        </is>
      </c>
      <c r="I273" s="24" t="inlineStr">
        <is>
          <t>over</t>
        </is>
      </c>
      <c r="J273" s="25" t="n">
        <v>7.5</v>
      </c>
      <c r="K273" s="24" t="inlineStr">
        <is>
          <t>polymarket_us</t>
        </is>
      </c>
      <c r="L273" s="26" t="n">
        <v>-104</v>
      </c>
      <c r="M273" s="27" t="n">
        <v>1.961538</v>
      </c>
      <c r="N273" s="28" t="n">
        <v>0.509804</v>
      </c>
      <c r="O273" s="28" t="n">
        <v>0.521648</v>
      </c>
      <c r="P273" s="28" t="n">
        <v>0.042131</v>
      </c>
      <c r="Q273" s="28" t="n">
        <v>0.011844</v>
      </c>
      <c r="R273" s="26" t="n">
        <v>32</v>
      </c>
      <c r="S273" s="29" t="n">
        <v>0</v>
      </c>
      <c r="T273" s="24" t="inlineStr">
        <is>
          <t>measured-edge-totals-v3</t>
        </is>
      </c>
      <c r="U273" s="24" t="inlineStr">
        <is>
          <t>open</t>
        </is>
      </c>
      <c r="V273" s="24" t="n"/>
      <c r="W273" s="26" t="n"/>
      <c r="X273" s="26" t="n"/>
      <c r="Y273" s="25" t="n"/>
      <c r="Z273" s="26" t="n"/>
      <c r="AA273" s="28" t="n"/>
      <c r="AB273" s="28" t="n"/>
      <c r="AC273" s="30" t="n"/>
      <c r="AD273" s="24" t="n"/>
      <c r="AE273" s="31" t="inlineStr">
        <is>
          <t>Measured Edge Totals: Trend Engine projected 4.69-4.01; raw selected-side p=0.5638, calibrated p=0.5216.</t>
        </is>
      </c>
      <c r="AF273" s="31" t="inlineStr">
        <is>
          <t>Research-only; lineup, bullpen, park, weather, xFIP, and wRC+ may be neutral fallbacks; market availability and BBO depth may change before first pitch.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NO_CALL_WINNER_OVERVALUED</t>
        </is>
      </c>
      <c r="AP273" s="24" t="inlineStr">
        <is>
          <t>mlb-cle</t>
        </is>
      </c>
      <c r="AQ273" s="24" t="inlineStr">
        <is>
          <t>Cleveland Guardians</t>
        </is>
      </c>
      <c r="AR273" s="24" t="inlineStr">
        <is>
          <t>Cleveland Guardians</t>
        </is>
      </c>
      <c r="AS273" s="24" t="inlineStr">
        <is>
          <t>mlb-cws</t>
        </is>
      </c>
      <c r="AT273" s="24" t="inlineStr">
        <is>
          <t>Chicago White Sox</t>
        </is>
      </c>
      <c r="AU273" s="24" t="inlineStr">
        <is>
          <t>Chicago White Sox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95b84332c75d2ce54036eb8de6ada9c78d0f80228c50825c0347281a8b9b49c7</t>
        </is>
      </c>
      <c r="BB273" s="24" t="inlineStr">
        <is>
          <t>flat_probability_shrinkage_toward_half</t>
        </is>
      </c>
      <c r="BC273" s="24" t="inlineStr">
        <is>
          <t>measured-edge-totals-v3</t>
        </is>
      </c>
      <c r="BD273" s="24" t="inlineStr">
        <is>
          <t>95b84332c75d2ce54036eb8de6ada9c78d0f80228c50825c0347281a8b9b49c7</t>
        </is>
      </c>
      <c r="BE273" s="24" t="inlineStr">
        <is>
          <t>v3</t>
        </is>
      </c>
      <c r="BF273" s="24" t="inlineStr">
        <is>
          <t>1</t>
        </is>
      </c>
      <c r="BG273" s="24" t="inlineStr">
        <is>
          <t>measured-edge-paired-v1</t>
        </is>
      </c>
      <c r="BH273" s="24" t="inlineStr">
        <is>
          <t>2026-08-07T18:29:28.691575Z</t>
        </is>
      </c>
      <c r="BI273" s="24" t="inlineStr">
        <is>
          <t>["same_event","same_team_same_day","same_league_same_day"]</t>
        </is>
      </c>
      <c r="BJ273" s="25" t="n">
        <v>7.5</v>
      </c>
      <c r="BK273" s="26" t="n">
        <v>-104</v>
      </c>
      <c r="BL273" s="27" t="n">
        <v>1.961538</v>
      </c>
      <c r="BM273" s="28" t="n">
        <v>0.509804</v>
      </c>
      <c r="BN273" s="28" t="n">
        <v>0.507463</v>
      </c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</row>
    <row r="274" ht="36" customHeight="1">
      <c r="A274" s="24" t="inlineStr">
        <is>
          <t>fe6d9f7abc1c49e9</t>
        </is>
      </c>
      <c r="B274" s="24" t="inlineStr">
        <is>
          <t>2026-08-07T18:29:28.691575Z</t>
        </is>
      </c>
      <c r="C274" s="24" t="inlineStr">
        <is>
          <t>2026-08-07T23:40Z</t>
        </is>
      </c>
      <c r="D274" s="24" t="inlineStr">
        <is>
          <t>401816434</t>
        </is>
      </c>
      <c r="E274" s="24" t="inlineStr">
        <is>
          <t>MLB</t>
        </is>
      </c>
      <c r="F274" s="24" t="inlineStr">
        <is>
          <t>Minnesota Twins</t>
        </is>
      </c>
      <c r="G274" s="24" t="inlineStr">
        <is>
          <t>Milwaukee Brewers</t>
        </is>
      </c>
      <c r="H274" s="24" t="inlineStr">
        <is>
          <t>spread</t>
        </is>
      </c>
      <c r="I274" s="24" t="inlineStr">
        <is>
          <t>home</t>
        </is>
      </c>
      <c r="J274" s="25" t="n">
        <v>-1.5</v>
      </c>
      <c r="K274" s="24" t="inlineStr">
        <is>
          <t>polymarket_us</t>
        </is>
      </c>
      <c r="L274" s="26" t="n">
        <v>127</v>
      </c>
      <c r="M274" s="27" t="n">
        <v>2.27</v>
      </c>
      <c r="N274" s="28" t="n">
        <v>0.440529</v>
      </c>
      <c r="O274" s="28" t="n">
        <v>0.438606</v>
      </c>
      <c r="P274" s="28" t="n">
        <v>0.042131</v>
      </c>
      <c r="Q274" s="28" t="n">
        <v>-0.001923</v>
      </c>
      <c r="R274" s="26" t="n">
        <v>25</v>
      </c>
      <c r="S274" s="29" t="n">
        <v>0</v>
      </c>
      <c r="T274" s="24" t="inlineStr">
        <is>
          <t>measured-edge-margin-v3</t>
        </is>
      </c>
      <c r="U274" s="24" t="inlineStr">
        <is>
          <t>open</t>
        </is>
      </c>
      <c r="V274" s="24" t="n"/>
      <c r="W274" s="26" t="n"/>
      <c r="X274" s="26" t="n"/>
      <c r="Y274" s="25" t="n"/>
      <c r="Z274" s="26" t="n"/>
      <c r="AA274" s="28" t="n"/>
      <c r="AB274" s="28" t="n"/>
      <c r="AC274" s="30" t="n"/>
      <c r="AD274" s="24" t="n"/>
      <c r="AE274" s="31" t="inlineStr">
        <is>
          <t>Measured Edge Margin: Trend Engine projected 4.36-5.14; raw selected-side p=0.4099, calibrated p=0.4386.</t>
        </is>
      </c>
      <c r="AF274" s="31" t="inlineStr">
        <is>
          <t>Research-only; lineup, bullpen, park, weather, xFIP, and wRC+ may be neutral fallbacks; market availability and BBO depth may change before first pitch.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NO_CALL_WINNER_OVERVALUED</t>
        </is>
      </c>
      <c r="AP274" s="24" t="inlineStr">
        <is>
          <t>mlb-min</t>
        </is>
      </c>
      <c r="AQ274" s="24" t="inlineStr">
        <is>
          <t>Minnesota Twins</t>
        </is>
      </c>
      <c r="AR274" s="24" t="inlineStr">
        <is>
          <t>Minnesota Twins</t>
        </is>
      </c>
      <c r="AS274" s="24" t="inlineStr">
        <is>
          <t>mlb-mil</t>
        </is>
      </c>
      <c r="AT274" s="24" t="inlineStr">
        <is>
          <t>Milwaukee Brewers</t>
        </is>
      </c>
      <c r="AU274" s="24" t="inlineStr">
        <is>
          <t>Milwaukee Brewers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dd339a2eed50d7d83ab2127837995ddab82e879afd27f5414bb6c1f9cd60ba4c</t>
        </is>
      </c>
      <c r="BB274" s="24" t="inlineStr">
        <is>
          <t>flat_probability_shrinkage_toward_half</t>
        </is>
      </c>
      <c r="BC274" s="24" t="inlineStr">
        <is>
          <t>measured-edge-margin-v3</t>
        </is>
      </c>
      <c r="BD274" s="24" t="inlineStr">
        <is>
          <t>dd339a2eed50d7d83ab2127837995ddab82e879afd27f5414bb6c1f9cd60ba4c</t>
        </is>
      </c>
      <c r="BE274" s="24" t="inlineStr">
        <is>
          <t>v3</t>
        </is>
      </c>
      <c r="BF274" s="24" t="inlineStr">
        <is>
          <t>1</t>
        </is>
      </c>
      <c r="BG274" s="24" t="inlineStr">
        <is>
          <t>measured-edge-paired-v1</t>
        </is>
      </c>
      <c r="BH274" s="24" t="inlineStr">
        <is>
          <t>2026-08-07T18:29:28.691575Z</t>
        </is>
      </c>
      <c r="BI274" s="24" t="inlineStr">
        <is>
          <t>["same_event","same_team_same_day","same_league_same_day"]</t>
        </is>
      </c>
      <c r="BJ274" s="25" t="n">
        <v>-1.5</v>
      </c>
      <c r="BK274" s="26" t="n">
        <v>127</v>
      </c>
      <c r="BL274" s="27" t="n">
        <v>2.27</v>
      </c>
      <c r="BM274" s="28" t="n">
        <v>0.440529</v>
      </c>
      <c r="BN274" s="28" t="n">
        <v>0.437811</v>
      </c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</row>
    <row r="275" ht="36" customHeight="1">
      <c r="A275" s="24" t="inlineStr">
        <is>
          <t>acb3e52f5b0447a0</t>
        </is>
      </c>
      <c r="B275" s="24" t="inlineStr">
        <is>
          <t>2026-08-07T18:29:28.691575Z</t>
        </is>
      </c>
      <c r="C275" s="24" t="inlineStr">
        <is>
          <t>2026-08-07T23:40Z</t>
        </is>
      </c>
      <c r="D275" s="24" t="inlineStr">
        <is>
          <t>401816434</t>
        </is>
      </c>
      <c r="E275" s="24" t="inlineStr">
        <is>
          <t>MLB</t>
        </is>
      </c>
      <c r="F275" s="24" t="inlineStr">
        <is>
          <t>Minnesota Twins</t>
        </is>
      </c>
      <c r="G275" s="24" t="inlineStr">
        <is>
          <t>Milwaukee Brewers</t>
        </is>
      </c>
      <c r="H275" s="24" t="inlineStr">
        <is>
          <t>total</t>
        </is>
      </c>
      <c r="I275" s="24" t="inlineStr">
        <is>
          <t>over</t>
        </is>
      </c>
      <c r="J275" s="25" t="n">
        <v>8.5</v>
      </c>
      <c r="K275" s="24" t="inlineStr">
        <is>
          <t>polymarket_us</t>
        </is>
      </c>
      <c r="L275" s="26" t="n">
        <v>115</v>
      </c>
      <c r="M275" s="27" t="n">
        <v>2.15</v>
      </c>
      <c r="N275" s="28" t="n">
        <v>0.465116</v>
      </c>
      <c r="O275" s="28" t="n">
        <v>0.520232</v>
      </c>
      <c r="P275" s="28" t="n">
        <v>0.042131</v>
      </c>
      <c r="Q275" s="28" t="n">
        <v>0.055116</v>
      </c>
      <c r="R275" s="26" t="n">
        <v>53</v>
      </c>
      <c r="S275" s="29" t="n">
        <v>0</v>
      </c>
      <c r="T275" s="24" t="inlineStr">
        <is>
          <t>measured-edge-totals-v3</t>
        </is>
      </c>
      <c r="U275" s="24" t="inlineStr">
        <is>
          <t>open</t>
        </is>
      </c>
      <c r="V275" s="24" t="n"/>
      <c r="W275" s="26" t="n"/>
      <c r="X275" s="26" t="n"/>
      <c r="Y275" s="25" t="n"/>
      <c r="Z275" s="26" t="n"/>
      <c r="AA275" s="28" t="n"/>
      <c r="AB275" s="28" t="n"/>
      <c r="AC275" s="30" t="n"/>
      <c r="AD275" s="24" t="n"/>
      <c r="AE275" s="31" t="inlineStr">
        <is>
          <t>Measured Edge Totals: Trend Engine projected 4.36-5.14; raw selected-side p=0.5581, calibrated p=0.5202.</t>
        </is>
      </c>
      <c r="AF275" s="31" t="inlineStr">
        <is>
          <t>Research-only; lineup, bullpen, park, weather, xFIP, and wRC+ may be neutral fallbacks; market availability and BBO depth may change before first pitch.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NO_CALL_WINNER_OVERVALUED</t>
        </is>
      </c>
      <c r="AP275" s="24" t="inlineStr">
        <is>
          <t>mlb-min</t>
        </is>
      </c>
      <c r="AQ275" s="24" t="inlineStr">
        <is>
          <t>Minnesota Twins</t>
        </is>
      </c>
      <c r="AR275" s="24" t="inlineStr">
        <is>
          <t>Minnesota Twins</t>
        </is>
      </c>
      <c r="AS275" s="24" t="inlineStr">
        <is>
          <t>mlb-mil</t>
        </is>
      </c>
      <c r="AT275" s="24" t="inlineStr">
        <is>
          <t>Milwaukee Brewers</t>
        </is>
      </c>
      <c r="AU275" s="24" t="inlineStr">
        <is>
          <t>Milwaukee Brewers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95b84332c75d2ce54036eb8de6ada9c78d0f80228c50825c0347281a8b9b49c7</t>
        </is>
      </c>
      <c r="BB275" s="24" t="inlineStr">
        <is>
          <t>flat_probability_shrinkage_toward_half</t>
        </is>
      </c>
      <c r="BC275" s="24" t="inlineStr">
        <is>
          <t>measured-edge-totals-v3</t>
        </is>
      </c>
      <c r="BD275" s="24" t="inlineStr">
        <is>
          <t>95b84332c75d2ce54036eb8de6ada9c78d0f80228c50825c0347281a8b9b49c7</t>
        </is>
      </c>
      <c r="BE275" s="24" t="inlineStr">
        <is>
          <t>v3</t>
        </is>
      </c>
      <c r="BF275" s="24" t="inlineStr">
        <is>
          <t>1</t>
        </is>
      </c>
      <c r="BG275" s="24" t="inlineStr">
        <is>
          <t>measured-edge-paired-v1</t>
        </is>
      </c>
      <c r="BH275" s="24" t="inlineStr">
        <is>
          <t>2026-08-07T18:29:28.691575Z</t>
        </is>
      </c>
      <c r="BI275" s="24" t="inlineStr">
        <is>
          <t>["same_event","same_team_same_day","same_league_same_day"]</t>
        </is>
      </c>
      <c r="BJ275" s="25" t="n">
        <v>8.5</v>
      </c>
      <c r="BK275" s="26" t="n">
        <v>115</v>
      </c>
      <c r="BL275" s="27" t="n">
        <v>2.15</v>
      </c>
      <c r="BM275" s="28" t="n">
        <v>0.465116</v>
      </c>
      <c r="BN275" s="28" t="n">
        <v>0.462687</v>
      </c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</row>
    <row r="276" ht="36" customHeight="1">
      <c r="A276" s="24" t="inlineStr">
        <is>
          <t>8ecc2669bf5942d2</t>
        </is>
      </c>
      <c r="B276" s="24" t="inlineStr">
        <is>
          <t>2026-08-07T18:29:28.691575Z</t>
        </is>
      </c>
      <c r="C276" s="24" t="inlineStr">
        <is>
          <t>2026-08-08T00:10Z</t>
        </is>
      </c>
      <c r="D276" s="24" t="inlineStr">
        <is>
          <t>401816431</t>
        </is>
      </c>
      <c r="E276" s="24" t="inlineStr">
        <is>
          <t>MLB</t>
        </is>
      </c>
      <c r="F276" s="24" t="inlineStr">
        <is>
          <t>Chicago Cubs</t>
        </is>
      </c>
      <c r="G276" s="24" t="inlineStr">
        <is>
          <t>Kansas City Royals</t>
        </is>
      </c>
      <c r="H276" s="24" t="inlineStr">
        <is>
          <t>spread</t>
        </is>
      </c>
      <c r="I276" s="24" t="inlineStr">
        <is>
          <t>home</t>
        </is>
      </c>
      <c r="J276" s="25" t="n">
        <v>1.5</v>
      </c>
      <c r="K276" s="24" t="inlineStr">
        <is>
          <t>polymarket_us</t>
        </is>
      </c>
      <c r="L276" s="26" t="n">
        <v>-104</v>
      </c>
      <c r="M276" s="27" t="n">
        <v>1.961538</v>
      </c>
      <c r="N276" s="28" t="n">
        <v>0.509804</v>
      </c>
      <c r="O276" s="28" t="n">
        <v>0.65788</v>
      </c>
      <c r="P276" s="28" t="n">
        <v>0.042131</v>
      </c>
      <c r="Q276" s="28" t="n">
        <v>0.148076</v>
      </c>
      <c r="R276" s="26" t="n">
        <v>100</v>
      </c>
      <c r="S276" s="29" t="n">
        <v>1.75</v>
      </c>
      <c r="T276" s="24" t="inlineStr">
        <is>
          <t>measured-edge-margin-v3</t>
        </is>
      </c>
      <c r="U276" s="24" t="inlineStr">
        <is>
          <t>open</t>
        </is>
      </c>
      <c r="V276" s="24" t="n"/>
      <c r="W276" s="26" t="n"/>
      <c r="X276" s="26" t="n"/>
      <c r="Y276" s="25" t="n"/>
      <c r="Z276" s="26" t="n"/>
      <c r="AA276" s="28" t="n"/>
      <c r="AB276" s="28" t="n"/>
      <c r="AC276" s="30" t="n"/>
      <c r="AD276" s="24" t="n"/>
      <c r="AE276" s="31" t="inlineStr">
        <is>
          <t>Measured Edge Margin: Trend Engine projected 4.08-4.72; raw selected-side p=0.7317, calibrated p=0.6579.</t>
        </is>
      </c>
      <c r="AF276" s="31" t="inlineStr">
        <is>
          <t>Research-only; lineup, bullpen, park, weather, xFIP, and wRC+ may be neutral fallbacks; market availability and BBO depth may change before first pitch.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3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mlb-chc</t>
        </is>
      </c>
      <c r="AQ276" s="24" t="inlineStr">
        <is>
          <t>Chicago Cubs</t>
        </is>
      </c>
      <c r="AR276" s="24" t="inlineStr">
        <is>
          <t>Chicago Cubs</t>
        </is>
      </c>
      <c r="AS276" s="24" t="inlineStr">
        <is>
          <t>mlb-kc</t>
        </is>
      </c>
      <c r="AT276" s="24" t="inlineStr">
        <is>
          <t>Kansas City Royals</t>
        </is>
      </c>
      <c r="AU276" s="24" t="inlineStr">
        <is>
          <t>Kansas City Royals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dd339a2eed50d7d83ab2127837995ddab82e879afd27f5414bb6c1f9cd60ba4c</t>
        </is>
      </c>
      <c r="BB276" s="24" t="inlineStr">
        <is>
          <t>flat_probability_shrinkage_toward_half</t>
        </is>
      </c>
      <c r="BC276" s="24" t="inlineStr">
        <is>
          <t>measured-edge-margin-v3</t>
        </is>
      </c>
      <c r="BD276" s="24" t="inlineStr">
        <is>
          <t>dd339a2eed50d7d83ab2127837995ddab82e879afd27f5414bb6c1f9cd60ba4c</t>
        </is>
      </c>
      <c r="BE276" s="24" t="inlineStr">
        <is>
          <t>v3</t>
        </is>
      </c>
      <c r="BF276" s="24" t="inlineStr">
        <is>
          <t>1</t>
        </is>
      </c>
      <c r="BG276" s="24" t="inlineStr">
        <is>
          <t>measured-edge-paired-v1</t>
        </is>
      </c>
      <c r="BH276" s="24" t="inlineStr">
        <is>
          <t>2026-08-07T18:29:28.691575Z</t>
        </is>
      </c>
      <c r="BI276" s="24" t="inlineStr">
        <is>
          <t>["same_event","same_team_same_day","same_league_same_day"]</t>
        </is>
      </c>
      <c r="BJ276" s="25" t="n">
        <v>1.5</v>
      </c>
      <c r="BK276" s="26" t="n">
        <v>-104</v>
      </c>
      <c r="BL276" s="27" t="n">
        <v>1.961538</v>
      </c>
      <c r="BM276" s="28" t="n">
        <v>0.509804</v>
      </c>
      <c r="BN276" s="28" t="n">
        <v>0.50495</v>
      </c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</row>
    <row r="277" ht="36" customHeight="1">
      <c r="A277" s="24" t="inlineStr">
        <is>
          <t>42ea5040dea34d55</t>
        </is>
      </c>
      <c r="B277" s="24" t="inlineStr">
        <is>
          <t>2026-08-07T18:29:28.691575Z</t>
        </is>
      </c>
      <c r="C277" s="24" t="inlineStr">
        <is>
          <t>2026-08-08T00:10Z</t>
        </is>
      </c>
      <c r="D277" s="24" t="inlineStr">
        <is>
          <t>401816431</t>
        </is>
      </c>
      <c r="E277" s="24" t="inlineStr">
        <is>
          <t>MLB</t>
        </is>
      </c>
      <c r="F277" s="24" t="inlineStr">
        <is>
          <t>Chicago Cubs</t>
        </is>
      </c>
      <c r="G277" s="24" t="inlineStr">
        <is>
          <t>Kansas City Royals</t>
        </is>
      </c>
      <c r="H277" s="24" t="inlineStr">
        <is>
          <t>total</t>
        </is>
      </c>
      <c r="I277" s="24" t="inlineStr">
        <is>
          <t>under</t>
        </is>
      </c>
      <c r="J277" s="25" t="n">
        <v>9.5</v>
      </c>
      <c r="K277" s="24" t="inlineStr">
        <is>
          <t>polymarket_us</t>
        </is>
      </c>
      <c r="L277" s="26" t="n">
        <v>-113</v>
      </c>
      <c r="M277" s="27" t="n">
        <v>1.884956</v>
      </c>
      <c r="N277" s="28" t="n">
        <v>0.530516</v>
      </c>
      <c r="O277" s="28" t="n">
        <v>0.53418</v>
      </c>
      <c r="P277" s="28" t="n">
        <v>0.042131</v>
      </c>
      <c r="Q277" s="28" t="n">
        <v>0.003664</v>
      </c>
      <c r="R277" s="26" t="n">
        <v>29</v>
      </c>
      <c r="S277" s="29" t="n">
        <v>0</v>
      </c>
      <c r="T277" s="24" t="inlineStr">
        <is>
          <t>measured-edge-totals-v3</t>
        </is>
      </c>
      <c r="U277" s="24" t="inlineStr">
        <is>
          <t>open</t>
        </is>
      </c>
      <c r="V277" s="24" t="n"/>
      <c r="W277" s="26" t="n"/>
      <c r="X277" s="26" t="n"/>
      <c r="Y277" s="25" t="n"/>
      <c r="Z277" s="26" t="n"/>
      <c r="AA277" s="28" t="n"/>
      <c r="AB277" s="28" t="n"/>
      <c r="AC277" s="30" t="n"/>
      <c r="AD277" s="24" t="n"/>
      <c r="AE277" s="31" t="inlineStr">
        <is>
          <t>Measured Edge Totals: Trend Engine projected 4.08-4.72; raw selected-side p=0.6142, calibrated p=0.5342.</t>
        </is>
      </c>
      <c r="AF277" s="31" t="inlineStr">
        <is>
          <t>Research-only; lineup, bullpen, park, weather, xFIP, and wRC+ may be neutral fallbacks; market availability and BBO depth may change before first pitch.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NO_CALL_WINNER_OVERVALUED</t>
        </is>
      </c>
      <c r="AP277" s="24" t="inlineStr">
        <is>
          <t>mlb-chc</t>
        </is>
      </c>
      <c r="AQ277" s="24" t="inlineStr">
        <is>
          <t>Chicago Cubs</t>
        </is>
      </c>
      <c r="AR277" s="24" t="inlineStr">
        <is>
          <t>Chicago Cubs</t>
        </is>
      </c>
      <c r="AS277" s="24" t="inlineStr">
        <is>
          <t>mlb-kc</t>
        </is>
      </c>
      <c r="AT277" s="24" t="inlineStr">
        <is>
          <t>Kansas City Royals</t>
        </is>
      </c>
      <c r="AU277" s="24" t="inlineStr">
        <is>
          <t>Kansas City Royals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95b84332c75d2ce54036eb8de6ada9c78d0f80228c50825c0347281a8b9b49c7</t>
        </is>
      </c>
      <c r="BB277" s="24" t="inlineStr">
        <is>
          <t>flat_probability_shrinkage_toward_half</t>
        </is>
      </c>
      <c r="BC277" s="24" t="inlineStr">
        <is>
          <t>measured-edge-totals-v3</t>
        </is>
      </c>
      <c r="BD277" s="24" t="inlineStr">
        <is>
          <t>95b84332c75d2ce54036eb8de6ada9c78d0f80228c50825c0347281a8b9b49c7</t>
        </is>
      </c>
      <c r="BE277" s="24" t="inlineStr">
        <is>
          <t>v3</t>
        </is>
      </c>
      <c r="BF277" s="24" t="inlineStr">
        <is>
          <t>1</t>
        </is>
      </c>
      <c r="BG277" s="24" t="inlineStr">
        <is>
          <t>measured-edge-paired-v1</t>
        </is>
      </c>
      <c r="BH277" s="24" t="inlineStr">
        <is>
          <t>2026-08-07T18:29:28.691575Z</t>
        </is>
      </c>
      <c r="BI277" s="24" t="inlineStr">
        <is>
          <t>["same_event","same_team_same_day","same_league_same_day"]</t>
        </is>
      </c>
      <c r="BJ277" s="25" t="n">
        <v>9.5</v>
      </c>
      <c r="BK277" s="26" t="n">
        <v>-113</v>
      </c>
      <c r="BL277" s="27" t="n">
        <v>1.884956</v>
      </c>
      <c r="BM277" s="28" t="n">
        <v>0.530516</v>
      </c>
      <c r="BN277" s="28" t="n">
        <v>0.524752</v>
      </c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</row>
    <row r="278" ht="36" customHeight="1">
      <c r="A278" s="24" t="inlineStr">
        <is>
          <t>6a0bc64141be4653</t>
        </is>
      </c>
      <c r="B278" s="24" t="inlineStr">
        <is>
          <t>2026-08-07T18:29:28.691575Z</t>
        </is>
      </c>
      <c r="C278" s="24" t="inlineStr">
        <is>
          <t>2026-08-08T00:15Z</t>
        </is>
      </c>
      <c r="D278" s="24" t="inlineStr">
        <is>
          <t>401816430</t>
        </is>
      </c>
      <c r="E278" s="24" t="inlineStr">
        <is>
          <t>MLB</t>
        </is>
      </c>
      <c r="F278" s="24" t="inlineStr">
        <is>
          <t>Baltimore Orioles</t>
        </is>
      </c>
      <c r="G278" s="24" t="inlineStr">
        <is>
          <t>Texas Rangers</t>
        </is>
      </c>
      <c r="H278" s="24" t="inlineStr">
        <is>
          <t>spread</t>
        </is>
      </c>
      <c r="I278" s="24" t="inlineStr">
        <is>
          <t>away</t>
        </is>
      </c>
      <c r="J278" s="25" t="n">
        <v>1.5</v>
      </c>
      <c r="K278" s="24" t="inlineStr">
        <is>
          <t>polymarket_us</t>
        </is>
      </c>
      <c r="L278" s="26" t="n">
        <v>-160</v>
      </c>
      <c r="M278" s="27" t="n">
        <v>1.625</v>
      </c>
      <c r="N278" s="28" t="n">
        <v>0.615385</v>
      </c>
      <c r="O278" s="28" t="n">
        <v>0.638256</v>
      </c>
      <c r="P278" s="28" t="n">
        <v>0.042131</v>
      </c>
      <c r="Q278" s="28" t="n">
        <v>0.022871</v>
      </c>
      <c r="R278" s="26" t="n">
        <v>38</v>
      </c>
      <c r="S278" s="29" t="n">
        <v>0</v>
      </c>
      <c r="T278" s="24" t="inlineStr">
        <is>
          <t>measured-edge-margin-v3</t>
        </is>
      </c>
      <c r="U278" s="24" t="inlineStr">
        <is>
          <t>open</t>
        </is>
      </c>
      <c r="V278" s="24" t="n"/>
      <c r="W278" s="26" t="n"/>
      <c r="X278" s="26" t="n"/>
      <c r="Y278" s="25" t="n"/>
      <c r="Z278" s="26" t="n"/>
      <c r="AA278" s="28" t="n"/>
      <c r="AB278" s="28" t="n"/>
      <c r="AC278" s="30" t="n"/>
      <c r="AD278" s="24" t="n"/>
      <c r="AE278" s="31" t="inlineStr">
        <is>
          <t>Measured Edge Margin: Trend Engine projected 4.66-4.27; raw selected-side p=0.7029, calibrated p=0.6383.</t>
        </is>
      </c>
      <c r="AF278" s="31" t="inlineStr">
        <is>
          <t>Research-only; lineup, bullpen, park, weather, xFIP, and wRC+ may be neutral fallbacks; market availability and BBO depth may change before first pitch.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NO_CALL_WINNER_OVERVALUED</t>
        </is>
      </c>
      <c r="AP278" s="24" t="inlineStr">
        <is>
          <t>mlb-bal</t>
        </is>
      </c>
      <c r="AQ278" s="24" t="inlineStr">
        <is>
          <t>Baltimore Orioles</t>
        </is>
      </c>
      <c r="AR278" s="24" t="inlineStr">
        <is>
          <t>Baltimore Orioles</t>
        </is>
      </c>
      <c r="AS278" s="24" t="inlineStr">
        <is>
          <t>mlb-tex</t>
        </is>
      </c>
      <c r="AT278" s="24" t="inlineStr">
        <is>
          <t>Texas Rangers</t>
        </is>
      </c>
      <c r="AU278" s="24" t="inlineStr">
        <is>
          <t>Texas Rangers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dd339a2eed50d7d83ab2127837995ddab82e879afd27f5414bb6c1f9cd60ba4c</t>
        </is>
      </c>
      <c r="BB278" s="24" t="inlineStr">
        <is>
          <t>flat_probability_shrinkage_toward_half</t>
        </is>
      </c>
      <c r="BC278" s="24" t="inlineStr">
        <is>
          <t>measured-edge-margin-v3</t>
        </is>
      </c>
      <c r="BD278" s="24" t="inlineStr">
        <is>
          <t>dd339a2eed50d7d83ab2127837995ddab82e879afd27f5414bb6c1f9cd60ba4c</t>
        </is>
      </c>
      <c r="BE278" s="24" t="inlineStr">
        <is>
          <t>v3</t>
        </is>
      </c>
      <c r="BF278" s="24" t="inlineStr">
        <is>
          <t>1</t>
        </is>
      </c>
      <c r="BG278" s="24" t="inlineStr">
        <is>
          <t>measured-edge-paired-v1</t>
        </is>
      </c>
      <c r="BH278" s="24" t="inlineStr">
        <is>
          <t>2026-08-07T18:29:28.691575Z</t>
        </is>
      </c>
      <c r="BI278" s="24" t="inlineStr">
        <is>
          <t>["same_event","same_team_same_day","same_league_same_day"]</t>
        </is>
      </c>
      <c r="BJ278" s="25" t="n">
        <v>1.5</v>
      </c>
      <c r="BK278" s="26" t="n">
        <v>-160</v>
      </c>
      <c r="BL278" s="27" t="n">
        <v>1.625</v>
      </c>
      <c r="BM278" s="28" t="n">
        <v>0.615385</v>
      </c>
      <c r="BN278" s="28" t="n">
        <v>0.61194</v>
      </c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</row>
    <row r="279" ht="36" customHeight="1">
      <c r="A279" s="24" t="inlineStr">
        <is>
          <t>7686b76c2a154831</t>
        </is>
      </c>
      <c r="B279" s="24" t="inlineStr">
        <is>
          <t>2026-08-07T18:29:28.691575Z</t>
        </is>
      </c>
      <c r="C279" s="24" t="inlineStr">
        <is>
          <t>2026-08-08T00:15Z</t>
        </is>
      </c>
      <c r="D279" s="24" t="inlineStr">
        <is>
          <t>401816430</t>
        </is>
      </c>
      <c r="E279" s="24" t="inlineStr">
        <is>
          <t>MLB</t>
        </is>
      </c>
      <c r="F279" s="24" t="inlineStr">
        <is>
          <t>Baltimore Orioles</t>
        </is>
      </c>
      <c r="G279" s="24" t="inlineStr">
        <is>
          <t>Texas Rangers</t>
        </is>
      </c>
      <c r="H279" s="24" t="inlineStr">
        <is>
          <t>total</t>
        </is>
      </c>
      <c r="I279" s="24" t="inlineStr">
        <is>
          <t>over</t>
        </is>
      </c>
      <c r="J279" s="25" t="n">
        <v>7.5</v>
      </c>
      <c r="K279" s="24" t="inlineStr">
        <is>
          <t>polymarket_us</t>
        </is>
      </c>
      <c r="L279" s="26" t="n">
        <v>108</v>
      </c>
      <c r="M279" s="27" t="n">
        <v>2.08</v>
      </c>
      <c r="N279" s="28" t="n">
        <v>0.480769</v>
      </c>
      <c r="O279" s="28" t="n">
        <v>0.528566</v>
      </c>
      <c r="P279" s="28" t="n">
        <v>0.042131</v>
      </c>
      <c r="Q279" s="28" t="n">
        <v>0.047797</v>
      </c>
      <c r="R279" s="26" t="n">
        <v>51</v>
      </c>
      <c r="S279" s="29" t="n">
        <v>0</v>
      </c>
      <c r="T279" s="24" t="inlineStr">
        <is>
          <t>measured-edge-totals-v3</t>
        </is>
      </c>
      <c r="U279" s="24" t="inlineStr">
        <is>
          <t>open</t>
        </is>
      </c>
      <c r="V279" s="24" t="n"/>
      <c r="W279" s="26" t="n"/>
      <c r="X279" s="26" t="n"/>
      <c r="Y279" s="25" t="n"/>
      <c r="Z279" s="26" t="n"/>
      <c r="AA279" s="28" t="n"/>
      <c r="AB279" s="28" t="n"/>
      <c r="AC279" s="30" t="n"/>
      <c r="AD279" s="24" t="n"/>
      <c r="AE279" s="31" t="inlineStr">
        <is>
          <t>Measured Edge Totals: Trend Engine projected 4.66-4.27; raw selected-side p=0.5917, calibrated p=0.5286.</t>
        </is>
      </c>
      <c r="AF279" s="31" t="inlineStr">
        <is>
          <t>Research-only; lineup, bullpen, park, weather, xFIP, and wRC+ may be neutral fallbacks; market availability and BBO depth may change before first pitch.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research_observation</t>
        </is>
      </c>
      <c r="AL279" s="26" t="n">
        <v>3</v>
      </c>
      <c r="AM279" s="24" t="inlineStr">
        <is>
          <t>RESEARCH_OBSERVATION</t>
        </is>
      </c>
      <c r="AN279" s="24" t="inlineStr">
        <is>
          <t>NO_CALL</t>
        </is>
      </c>
      <c r="AO279" s="24" t="inlineStr">
        <is>
          <t>NO_CALL_WINNER_OVERVALUED</t>
        </is>
      </c>
      <c r="AP279" s="24" t="inlineStr">
        <is>
          <t>mlb-bal</t>
        </is>
      </c>
      <c r="AQ279" s="24" t="inlineStr">
        <is>
          <t>Baltimore Orioles</t>
        </is>
      </c>
      <c r="AR279" s="24" t="inlineStr">
        <is>
          <t>Baltimore Orioles</t>
        </is>
      </c>
      <c r="AS279" s="24" t="inlineStr">
        <is>
          <t>mlb-tex</t>
        </is>
      </c>
      <c r="AT279" s="24" t="inlineStr">
        <is>
          <t>Texas Rangers</t>
        </is>
      </c>
      <c r="AU279" s="24" t="inlineStr">
        <is>
          <t>Texas Rangers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95b84332c75d2ce54036eb8de6ada9c78d0f80228c50825c0347281a8b9b49c7</t>
        </is>
      </c>
      <c r="BB279" s="24" t="inlineStr">
        <is>
          <t>flat_probability_shrinkage_toward_half</t>
        </is>
      </c>
      <c r="BC279" s="24" t="inlineStr">
        <is>
          <t>measured-edge-totals-v3</t>
        </is>
      </c>
      <c r="BD279" s="24" t="inlineStr">
        <is>
          <t>95b84332c75d2ce54036eb8de6ada9c78d0f80228c50825c0347281a8b9b49c7</t>
        </is>
      </c>
      <c r="BE279" s="24" t="inlineStr">
        <is>
          <t>v3</t>
        </is>
      </c>
      <c r="BF279" s="24" t="inlineStr">
        <is>
          <t>1</t>
        </is>
      </c>
      <c r="BG279" s="24" t="inlineStr">
        <is>
          <t>measured-edge-paired-v1</t>
        </is>
      </c>
      <c r="BH279" s="24" t="inlineStr">
        <is>
          <t>2026-08-07T18:29:28.691575Z</t>
        </is>
      </c>
      <c r="BI279" s="24" t="inlineStr">
        <is>
          <t>["same_event","same_team_same_day","same_league_same_day"]</t>
        </is>
      </c>
      <c r="BJ279" s="25" t="n">
        <v>7.5</v>
      </c>
      <c r="BK279" s="26" t="n">
        <v>108</v>
      </c>
      <c r="BL279" s="27" t="n">
        <v>2.08</v>
      </c>
      <c r="BM279" s="28" t="n">
        <v>0.480769</v>
      </c>
      <c r="BN279" s="28" t="n">
        <v>0.475248</v>
      </c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</row>
    <row r="280" ht="36" customHeight="1">
      <c r="A280" s="24" t="inlineStr">
        <is>
          <t>a0164d9e06d64f5c</t>
        </is>
      </c>
      <c r="B280" s="24" t="inlineStr">
        <is>
          <t>2026-08-07T18:29:28.691575Z</t>
        </is>
      </c>
      <c r="C280" s="24" t="inlineStr">
        <is>
          <t>2026-08-08T00:15Z</t>
        </is>
      </c>
      <c r="D280" s="24" t="inlineStr">
        <is>
          <t>401816433</t>
        </is>
      </c>
      <c r="E280" s="24" t="inlineStr">
        <is>
          <t>MLB</t>
        </is>
      </c>
      <c r="F280" s="24" t="inlineStr">
        <is>
          <t>Colorado Rockies</t>
        </is>
      </c>
      <c r="G280" s="24" t="inlineStr">
        <is>
          <t>St. Louis Cardinals</t>
        </is>
      </c>
      <c r="H280" s="24" t="inlineStr">
        <is>
          <t>spread</t>
        </is>
      </c>
      <c r="I280" s="24" t="inlineStr">
        <is>
          <t>home</t>
        </is>
      </c>
      <c r="J280" s="25" t="n">
        <v>-1.5</v>
      </c>
      <c r="K280" s="24" t="inlineStr">
        <is>
          <t>polymarket_us</t>
        </is>
      </c>
      <c r="L280" s="26" t="n">
        <v>127</v>
      </c>
      <c r="M280" s="27" t="n">
        <v>2.27</v>
      </c>
      <c r="N280" s="28" t="n">
        <v>0.440529</v>
      </c>
      <c r="O280" s="28" t="n">
        <v>0.467327</v>
      </c>
      <c r="P280" s="28" t="n">
        <v>0.042131</v>
      </c>
      <c r="Q280" s="28" t="n">
        <v>0.026798</v>
      </c>
      <c r="R280" s="26" t="n">
        <v>39</v>
      </c>
      <c r="S280" s="29" t="n">
        <v>0</v>
      </c>
      <c r="T280" s="24" t="inlineStr">
        <is>
          <t>measured-edge-margin-v3</t>
        </is>
      </c>
      <c r="U280" s="24" t="inlineStr">
        <is>
          <t>open</t>
        </is>
      </c>
      <c r="V280" s="24" t="n"/>
      <c r="W280" s="26" t="n"/>
      <c r="X280" s="26" t="n"/>
      <c r="Y280" s="25" t="n"/>
      <c r="Z280" s="26" t="n"/>
      <c r="AA280" s="28" t="n"/>
      <c r="AB280" s="28" t="n"/>
      <c r="AC280" s="30" t="n"/>
      <c r="AD280" s="24" t="n"/>
      <c r="AE280" s="31" t="inlineStr">
        <is>
          <t>Measured Edge Margin: Trend Engine projected 4.03-5.24; raw selected-side p=0.4521, calibrated p=0.4673.</t>
        </is>
      </c>
      <c r="AF280" s="31" t="inlineStr">
        <is>
          <t>Research-only; lineup, bullpen, park, weather, xFIP, and wRC+ may be neutral fallbacks; market availability and BBO depth may change before first pitch.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NO_CALL_WINNER_OVERVALUED</t>
        </is>
      </c>
      <c r="AP280" s="24" t="inlineStr">
        <is>
          <t>mlb-col</t>
        </is>
      </c>
      <c r="AQ280" s="24" t="inlineStr">
        <is>
          <t>Colorado Rockies</t>
        </is>
      </c>
      <c r="AR280" s="24" t="inlineStr">
        <is>
          <t>Colorado Rockies</t>
        </is>
      </c>
      <c r="AS280" s="24" t="inlineStr">
        <is>
          <t>mlb-stl</t>
        </is>
      </c>
      <c r="AT280" s="24" t="inlineStr">
        <is>
          <t>St. Louis Cardinals</t>
        </is>
      </c>
      <c r="AU280" s="24" t="inlineStr">
        <is>
          <t>St. Louis Cardinals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dd339a2eed50d7d83ab2127837995ddab82e879afd27f5414bb6c1f9cd60ba4c</t>
        </is>
      </c>
      <c r="BB280" s="24" t="inlineStr">
        <is>
          <t>flat_probability_shrinkage_toward_half</t>
        </is>
      </c>
      <c r="BC280" s="24" t="inlineStr">
        <is>
          <t>measured-edge-margin-v3</t>
        </is>
      </c>
      <c r="BD280" s="24" t="inlineStr">
        <is>
          <t>dd339a2eed50d7d83ab2127837995ddab82e879afd27f5414bb6c1f9cd60ba4c</t>
        </is>
      </c>
      <c r="BE280" s="24" t="inlineStr">
        <is>
          <t>v3</t>
        </is>
      </c>
      <c r="BF280" s="24" t="inlineStr">
        <is>
          <t>1</t>
        </is>
      </c>
      <c r="BG280" s="24" t="inlineStr">
        <is>
          <t>measured-edge-paired-v1</t>
        </is>
      </c>
      <c r="BH280" s="24" t="inlineStr">
        <is>
          <t>2026-08-07T18:29:28.691575Z</t>
        </is>
      </c>
      <c r="BI280" s="24" t="inlineStr">
        <is>
          <t>["same_event","same_team_same_day","same_league_same_day"]</t>
        </is>
      </c>
      <c r="BJ280" s="25" t="n">
        <v>-1.5</v>
      </c>
      <c r="BK280" s="26" t="n">
        <v>127</v>
      </c>
      <c r="BL280" s="27" t="n">
        <v>2.27</v>
      </c>
      <c r="BM280" s="28" t="n">
        <v>0.440529</v>
      </c>
      <c r="BN280" s="28" t="n">
        <v>0.437811</v>
      </c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</row>
    <row r="281" ht="36" customHeight="1">
      <c r="A281" s="24" t="inlineStr">
        <is>
          <t>e1969009b24a4fda</t>
        </is>
      </c>
      <c r="B281" s="24" t="inlineStr">
        <is>
          <t>2026-08-07T18:29:28.691575Z</t>
        </is>
      </c>
      <c r="C281" s="24" t="inlineStr">
        <is>
          <t>2026-08-08T00:15Z</t>
        </is>
      </c>
      <c r="D281" s="24" t="inlineStr">
        <is>
          <t>401816433</t>
        </is>
      </c>
      <c r="E281" s="24" t="inlineStr">
        <is>
          <t>MLB</t>
        </is>
      </c>
      <c r="F281" s="24" t="inlineStr">
        <is>
          <t>Colorado Rockies</t>
        </is>
      </c>
      <c r="G281" s="24" t="inlineStr">
        <is>
          <t>St. Louis Cardinals</t>
        </is>
      </c>
      <c r="H281" s="24" t="inlineStr">
        <is>
          <t>total</t>
        </is>
      </c>
      <c r="I281" s="24" t="inlineStr">
        <is>
          <t>over</t>
        </is>
      </c>
      <c r="J281" s="25" t="n">
        <v>8.5</v>
      </c>
      <c r="K281" s="24" t="inlineStr">
        <is>
          <t>polymarket_us</t>
        </is>
      </c>
      <c r="L281" s="26" t="n">
        <v>-108</v>
      </c>
      <c r="M281" s="27" t="n">
        <v>1.925926</v>
      </c>
      <c r="N281" s="28" t="n">
        <v>0.519231</v>
      </c>
      <c r="O281" s="28" t="n">
        <v>0.516196</v>
      </c>
      <c r="P281" s="28" t="n">
        <v>0.042131</v>
      </c>
      <c r="Q281" s="28" t="n">
        <v>-0.003035</v>
      </c>
      <c r="R281" s="26" t="n">
        <v>24</v>
      </c>
      <c r="S281" s="29" t="n">
        <v>0</v>
      </c>
      <c r="T281" s="24" t="inlineStr">
        <is>
          <t>measured-edge-totals-v3</t>
        </is>
      </c>
      <c r="U281" s="24" t="inlineStr">
        <is>
          <t>open</t>
        </is>
      </c>
      <c r="V281" s="24" t="n"/>
      <c r="W281" s="26" t="n"/>
      <c r="X281" s="26" t="n"/>
      <c r="Y281" s="25" t="n"/>
      <c r="Z281" s="26" t="n"/>
      <c r="AA281" s="28" t="n"/>
      <c r="AB281" s="28" t="n"/>
      <c r="AC281" s="30" t="n"/>
      <c r="AD281" s="24" t="n"/>
      <c r="AE281" s="31" t="inlineStr">
        <is>
          <t>Measured Edge Totals: Trend Engine projected 4.03-5.24; raw selected-side p=0.5419, calibrated p=0.5162.</t>
        </is>
      </c>
      <c r="AF281" s="31" t="inlineStr">
        <is>
          <t>Research-only; lineup, bullpen, park, weather, xFIP, and wRC+ may be neutral fallbacks; market availability and BBO depth may change before first pitch.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NO_CALL_WINNER_OVERVALUED</t>
        </is>
      </c>
      <c r="AP281" s="24" t="inlineStr">
        <is>
          <t>mlb-col</t>
        </is>
      </c>
      <c r="AQ281" s="24" t="inlineStr">
        <is>
          <t>Colorado Rockies</t>
        </is>
      </c>
      <c r="AR281" s="24" t="inlineStr">
        <is>
          <t>Colorado Rockies</t>
        </is>
      </c>
      <c r="AS281" s="24" t="inlineStr">
        <is>
          <t>mlb-stl</t>
        </is>
      </c>
      <c r="AT281" s="24" t="inlineStr">
        <is>
          <t>St. Louis Cardinals</t>
        </is>
      </c>
      <c r="AU281" s="24" t="inlineStr">
        <is>
          <t>St. Louis Cardinals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95b84332c75d2ce54036eb8de6ada9c78d0f80228c50825c0347281a8b9b49c7</t>
        </is>
      </c>
      <c r="BB281" s="24" t="inlineStr">
        <is>
          <t>flat_probability_shrinkage_toward_half</t>
        </is>
      </c>
      <c r="BC281" s="24" t="inlineStr">
        <is>
          <t>measured-edge-totals-v3</t>
        </is>
      </c>
      <c r="BD281" s="24" t="inlineStr">
        <is>
          <t>95b84332c75d2ce54036eb8de6ada9c78d0f80228c50825c0347281a8b9b49c7</t>
        </is>
      </c>
      <c r="BE281" s="24" t="inlineStr">
        <is>
          <t>v3</t>
        </is>
      </c>
      <c r="BF281" s="24" t="inlineStr">
        <is>
          <t>1</t>
        </is>
      </c>
      <c r="BG281" s="24" t="inlineStr">
        <is>
          <t>measured-edge-paired-v1</t>
        </is>
      </c>
      <c r="BH281" s="24" t="inlineStr">
        <is>
          <t>2026-08-07T18:29:28.691575Z</t>
        </is>
      </c>
      <c r="BI281" s="24" t="inlineStr">
        <is>
          <t>["same_event","same_team_same_day","same_league_same_day"]</t>
        </is>
      </c>
      <c r="BJ281" s="25" t="n">
        <v>8.5</v>
      </c>
      <c r="BK281" s="26" t="n">
        <v>-108</v>
      </c>
      <c r="BL281" s="27" t="n">
        <v>1.925926</v>
      </c>
      <c r="BM281" s="28" t="n">
        <v>0.519231</v>
      </c>
      <c r="BN281" s="28" t="n">
        <v>0.517413</v>
      </c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</row>
    <row r="282" ht="36" customHeight="1">
      <c r="A282" s="24" t="inlineStr">
        <is>
          <t>8d62bc0f531c4984</t>
        </is>
      </c>
      <c r="B282" s="24" t="inlineStr">
        <is>
          <t>2026-08-07T18:29:28.691575Z</t>
        </is>
      </c>
      <c r="C282" s="24" t="inlineStr">
        <is>
          <t>2026-08-08T01:40Z</t>
        </is>
      </c>
      <c r="D282" s="24" t="inlineStr">
        <is>
          <t>401816436</t>
        </is>
      </c>
      <c r="E282" s="24" t="inlineStr">
        <is>
          <t>MLB</t>
        </is>
      </c>
      <c r="F282" s="24" t="inlineStr">
        <is>
          <t>Houston Astros</t>
        </is>
      </c>
      <c r="G282" s="24" t="inlineStr">
        <is>
          <t>San Diego Padres</t>
        </is>
      </c>
      <c r="H282" s="24" t="inlineStr">
        <is>
          <t>spread</t>
        </is>
      </c>
      <c r="I282" s="24" t="inlineStr">
        <is>
          <t>home</t>
        </is>
      </c>
      <c r="J282" s="25" t="n">
        <v>1.5</v>
      </c>
      <c r="K282" s="24" t="inlineStr">
        <is>
          <t>polymarket_us</t>
        </is>
      </c>
      <c r="L282" s="26" t="n">
        <v>-182</v>
      </c>
      <c r="M282" s="27" t="n">
        <v>1.549451</v>
      </c>
      <c r="N282" s="28" t="n">
        <v>0.64539</v>
      </c>
      <c r="O282" s="28" t="n">
        <v>0.678527</v>
      </c>
      <c r="P282" s="28" t="n">
        <v>0.05172</v>
      </c>
      <c r="Q282" s="28" t="n">
        <v>0.033137</v>
      </c>
      <c r="R282" s="26" t="n">
        <v>37</v>
      </c>
      <c r="S282" s="29" t="n">
        <v>0</v>
      </c>
      <c r="T282" s="24" t="inlineStr">
        <is>
          <t>measured-edge-margin-v3</t>
        </is>
      </c>
      <c r="U282" s="24" t="inlineStr">
        <is>
          <t>open</t>
        </is>
      </c>
      <c r="V282" s="24" t="n"/>
      <c r="W282" s="26" t="n"/>
      <c r="X282" s="26" t="n"/>
      <c r="Y282" s="25" t="n"/>
      <c r="Z282" s="26" t="n"/>
      <c r="AA282" s="28" t="n"/>
      <c r="AB282" s="28" t="n"/>
      <c r="AC282" s="30" t="n"/>
      <c r="AD282" s="24" t="n"/>
      <c r="AE282" s="31" t="inlineStr">
        <is>
          <t>Measured Edge Margin: Trend Engine projected 4.04-5.04; raw selected-side p=0.7620, calibrated p=0.6785.</t>
        </is>
      </c>
      <c r="AF282" s="31" t="inlineStr">
        <is>
          <t>Research-only; lineup, bullpen, park, weather, xFIP, and wRC+ may be neutral fallbacks; market availability and BBO depth may change before first pitch.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NO_CALL_WINNER_OVERVALUED</t>
        </is>
      </c>
      <c r="AP282" s="24" t="inlineStr">
        <is>
          <t>mlb-hou</t>
        </is>
      </c>
      <c r="AQ282" s="24" t="inlineStr">
        <is>
          <t>Houston Astros</t>
        </is>
      </c>
      <c r="AR282" s="24" t="inlineStr">
        <is>
          <t>Houston Astros</t>
        </is>
      </c>
      <c r="AS282" s="24" t="inlineStr">
        <is>
          <t>mlb-sd</t>
        </is>
      </c>
      <c r="AT282" s="24" t="inlineStr">
        <is>
          <t>San Diego Padres</t>
        </is>
      </c>
      <c r="AU282" s="24" t="inlineStr">
        <is>
          <t>San Diego Padres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dd339a2eed50d7d83ab2127837995ddab82e879afd27f5414bb6c1f9cd60ba4c</t>
        </is>
      </c>
      <c r="BB282" s="24" t="inlineStr">
        <is>
          <t>flat_probability_shrinkage_toward_half</t>
        </is>
      </c>
      <c r="BC282" s="24" t="inlineStr">
        <is>
          <t>measured-edge-margin-v3</t>
        </is>
      </c>
      <c r="BD282" s="24" t="inlineStr">
        <is>
          <t>dd339a2eed50d7d83ab2127837995ddab82e879afd27f5414bb6c1f9cd60ba4c</t>
        </is>
      </c>
      <c r="BE282" s="24" t="inlineStr">
        <is>
          <t>v3</t>
        </is>
      </c>
      <c r="BF282" s="24" t="inlineStr">
        <is>
          <t>1</t>
        </is>
      </c>
      <c r="BG282" s="24" t="inlineStr">
        <is>
          <t>measured-edge-paired-v1</t>
        </is>
      </c>
      <c r="BH282" s="24" t="inlineStr">
        <is>
          <t>2026-08-07T18:29:28.691575Z</t>
        </is>
      </c>
      <c r="BI282" s="24" t="inlineStr">
        <is>
          <t>["same_event","same_team_same_day","same_league_same_day"]</t>
        </is>
      </c>
      <c r="BJ282" s="25" t="n">
        <v>1.5</v>
      </c>
      <c r="BK282" s="26" t="n">
        <v>-182</v>
      </c>
      <c r="BL282" s="27" t="n">
        <v>1.549451</v>
      </c>
      <c r="BM282" s="28" t="n">
        <v>0.64539</v>
      </c>
      <c r="BN282" s="28" t="n">
        <v>0.641791</v>
      </c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</row>
    <row r="283" ht="36" customHeight="1">
      <c r="A283" s="24" t="inlineStr">
        <is>
          <t>03d91ba7a19c4b60</t>
        </is>
      </c>
      <c r="B283" s="24" t="inlineStr">
        <is>
          <t>2026-08-07T18:29:28.691575Z</t>
        </is>
      </c>
      <c r="C283" s="24" t="inlineStr">
        <is>
          <t>2026-08-08T01:40Z</t>
        </is>
      </c>
      <c r="D283" s="24" t="inlineStr">
        <is>
          <t>401816436</t>
        </is>
      </c>
      <c r="E283" s="24" t="inlineStr">
        <is>
          <t>MLB</t>
        </is>
      </c>
      <c r="F283" s="24" t="inlineStr">
        <is>
          <t>Houston Astros</t>
        </is>
      </c>
      <c r="G283" s="24" t="inlineStr">
        <is>
          <t>San Diego Padres</t>
        </is>
      </c>
      <c r="H283" s="24" t="inlineStr">
        <is>
          <t>total</t>
        </is>
      </c>
      <c r="I283" s="24" t="inlineStr">
        <is>
          <t>over</t>
        </is>
      </c>
      <c r="J283" s="25" t="n">
        <v>8.5</v>
      </c>
      <c r="K283" s="24" t="inlineStr">
        <is>
          <t>polymarket_us</t>
        </is>
      </c>
      <c r="L283" s="26" t="n">
        <v>-104</v>
      </c>
      <c r="M283" s="27" t="n">
        <v>1.961538</v>
      </c>
      <c r="N283" s="28" t="n">
        <v>0.509804</v>
      </c>
      <c r="O283" s="28" t="n">
        <v>0.5106810000000001</v>
      </c>
      <c r="P283" s="28" t="n">
        <v>0.05172</v>
      </c>
      <c r="Q283" s="28" t="n">
        <v>0.000877</v>
      </c>
      <c r="R283" s="26" t="n">
        <v>21</v>
      </c>
      <c r="S283" s="29" t="n">
        <v>0</v>
      </c>
      <c r="T283" s="24" t="inlineStr">
        <is>
          <t>measured-edge-totals-v3</t>
        </is>
      </c>
      <c r="U283" s="24" t="inlineStr">
        <is>
          <t>open</t>
        </is>
      </c>
      <c r="V283" s="24" t="n"/>
      <c r="W283" s="26" t="n"/>
      <c r="X283" s="26" t="n"/>
      <c r="Y283" s="25" t="n"/>
      <c r="Z283" s="26" t="n"/>
      <c r="AA283" s="28" t="n"/>
      <c r="AB283" s="28" t="n"/>
      <c r="AC283" s="30" t="n"/>
      <c r="AD283" s="24" t="n"/>
      <c r="AE283" s="31" t="inlineStr">
        <is>
          <t>Measured Edge Totals: Trend Engine projected 4.04-5.04; raw selected-side p=0.5196, calibrated p=0.5107.</t>
        </is>
      </c>
      <c r="AF283" s="31" t="inlineStr">
        <is>
          <t>Research-only; lineup, bullpen, park, weather, xFIP, and wRC+ may be neutral fallbacks; market availability and BBO depth may change before first pitch.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NO_CALL_WINNER_OVERVALUED</t>
        </is>
      </c>
      <c r="AP283" s="24" t="inlineStr">
        <is>
          <t>mlb-hou</t>
        </is>
      </c>
      <c r="AQ283" s="24" t="inlineStr">
        <is>
          <t>Houston Astros</t>
        </is>
      </c>
      <c r="AR283" s="24" t="inlineStr">
        <is>
          <t>Houston Astros</t>
        </is>
      </c>
      <c r="AS283" s="24" t="inlineStr">
        <is>
          <t>mlb-sd</t>
        </is>
      </c>
      <c r="AT283" s="24" t="inlineStr">
        <is>
          <t>San Diego Padres</t>
        </is>
      </c>
      <c r="AU283" s="24" t="inlineStr">
        <is>
          <t>San Diego Padres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research</t>
        </is>
      </c>
      <c r="BA283" s="24" t="inlineStr">
        <is>
          <t>95b84332c75d2ce54036eb8de6ada9c78d0f80228c50825c0347281a8b9b49c7</t>
        </is>
      </c>
      <c r="BB283" s="24" t="inlineStr">
        <is>
          <t>flat_probability_shrinkage_toward_half</t>
        </is>
      </c>
      <c r="BC283" s="24" t="inlineStr">
        <is>
          <t>measured-edge-totals-v3</t>
        </is>
      </c>
      <c r="BD283" s="24" t="inlineStr">
        <is>
          <t>95b84332c75d2ce54036eb8de6ada9c78d0f80228c50825c0347281a8b9b49c7</t>
        </is>
      </c>
      <c r="BE283" s="24" t="inlineStr">
        <is>
          <t>v3</t>
        </is>
      </c>
      <c r="BF283" s="24" t="inlineStr">
        <is>
          <t>1</t>
        </is>
      </c>
      <c r="BG283" s="24" t="inlineStr">
        <is>
          <t>measured-edge-paired-v1</t>
        </is>
      </c>
      <c r="BH283" s="24" t="inlineStr">
        <is>
          <t>2026-08-07T18:29:28.691575Z</t>
        </is>
      </c>
      <c r="BI283" s="24" t="inlineStr">
        <is>
          <t>["same_event","same_team_same_day","same_league_same_day"]</t>
        </is>
      </c>
      <c r="BJ283" s="25" t="n">
        <v>8.5</v>
      </c>
      <c r="BK283" s="26" t="n">
        <v>-104</v>
      </c>
      <c r="BL283" s="27" t="n">
        <v>1.961538</v>
      </c>
      <c r="BM283" s="28" t="n">
        <v>0.509804</v>
      </c>
      <c r="BN283" s="28" t="n">
        <v>0.507463</v>
      </c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</row>
    <row r="284" ht="36" customHeight="1">
      <c r="A284" s="24" t="inlineStr">
        <is>
          <t>85606d341330455e</t>
        </is>
      </c>
      <c r="B284" s="24" t="inlineStr">
        <is>
          <t>2026-08-07T18:29:28.691575Z</t>
        </is>
      </c>
      <c r="C284" s="24" t="inlineStr">
        <is>
          <t>2026-08-08T01:40Z</t>
        </is>
      </c>
      <c r="D284" s="24" t="inlineStr">
        <is>
          <t>401816437</t>
        </is>
      </c>
      <c r="E284" s="24" t="inlineStr">
        <is>
          <t>MLB</t>
        </is>
      </c>
      <c r="F284" s="24" t="inlineStr">
        <is>
          <t>Los Angeles Dodgers</t>
        </is>
      </c>
      <c r="G284" s="24" t="inlineStr">
        <is>
          <t>Arizona Diamondbacks</t>
        </is>
      </c>
      <c r="H284" s="24" t="inlineStr">
        <is>
          <t>spread</t>
        </is>
      </c>
      <c r="I284" s="24" t="inlineStr">
        <is>
          <t>home</t>
        </is>
      </c>
      <c r="J284" s="25" t="n">
        <v>1.5</v>
      </c>
      <c r="K284" s="24" t="inlineStr">
        <is>
          <t>polymarket_us</t>
        </is>
      </c>
      <c r="L284" s="26" t="n">
        <v>100</v>
      </c>
      <c r="M284" s="27" t="n">
        <v>2</v>
      </c>
      <c r="N284" s="28" t="n">
        <v>0.5</v>
      </c>
      <c r="O284" s="28" t="n">
        <v>0.627183</v>
      </c>
      <c r="P284" s="28" t="n">
        <v>0.042131</v>
      </c>
      <c r="Q284" s="28" t="n">
        <v>0.127183</v>
      </c>
      <c r="R284" s="26" t="n">
        <v>90</v>
      </c>
      <c r="S284" s="29" t="n">
        <v>1.5</v>
      </c>
      <c r="T284" s="24" t="inlineStr">
        <is>
          <t>measured-edge-margin-v3</t>
        </is>
      </c>
      <c r="U284" s="24" t="inlineStr">
        <is>
          <t>open</t>
        </is>
      </c>
      <c r="V284" s="24" t="n"/>
      <c r="W284" s="26" t="n"/>
      <c r="X284" s="26" t="n"/>
      <c r="Y284" s="25" t="n"/>
      <c r="Z284" s="26" t="n"/>
      <c r="AA284" s="28" t="n"/>
      <c r="AB284" s="28" t="n"/>
      <c r="AC284" s="30" t="n"/>
      <c r="AD284" s="24" t="n"/>
      <c r="AE284" s="31" t="inlineStr">
        <is>
          <t>Measured Edge Margin: Trend Engine projected 4.62-4.87; raw selected-side p=0.6866, calibrated p=0.6272.</t>
        </is>
      </c>
      <c r="AF284" s="31" t="inlineStr">
        <is>
          <t>Research-only; lineup, bullpen, park, weather, xFIP, and wRC+ may be neutral fallbacks; market availability and BBO depth may change before first pitch.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model_qualified</t>
        </is>
      </c>
      <c r="AL284" s="26" t="n">
        <v>3</v>
      </c>
      <c r="AM284" s="24" t="inlineStr">
        <is>
          <t>QUALIFIED_SHADOW_CALL</t>
        </is>
      </c>
      <c r="AN284" s="24" t="inlineStr">
        <is>
          <t>CALL</t>
        </is>
      </c>
      <c r="AO284" s="24" t="inlineStr">
        <is>
          <t>QUALIFIED</t>
        </is>
      </c>
      <c r="AP284" s="24" t="inlineStr">
        <is>
          <t>mlb-lad</t>
        </is>
      </c>
      <c r="AQ284" s="24" t="inlineStr">
        <is>
          <t>Los Angeles Dodgers</t>
        </is>
      </c>
      <c r="AR284" s="24" t="inlineStr">
        <is>
          <t>Los Angeles Dodgers</t>
        </is>
      </c>
      <c r="AS284" s="24" t="inlineStr">
        <is>
          <t>mlb-ari</t>
        </is>
      </c>
      <c r="AT284" s="24" t="inlineStr">
        <is>
          <t>Arizona Diamondbacks</t>
        </is>
      </c>
      <c r="AU284" s="24" t="inlineStr">
        <is>
          <t>Arizona Diamondbacks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research</t>
        </is>
      </c>
      <c r="BA284" s="24" t="inlineStr">
        <is>
          <t>dd339a2eed50d7d83ab2127837995ddab82e879afd27f5414bb6c1f9cd60ba4c</t>
        </is>
      </c>
      <c r="BB284" s="24" t="inlineStr">
        <is>
          <t>flat_probability_shrinkage_toward_half</t>
        </is>
      </c>
      <c r="BC284" s="24" t="inlineStr">
        <is>
          <t>measured-edge-margin-v3</t>
        </is>
      </c>
      <c r="BD284" s="24" t="inlineStr">
        <is>
          <t>dd339a2eed50d7d83ab2127837995ddab82e879afd27f5414bb6c1f9cd60ba4c</t>
        </is>
      </c>
      <c r="BE284" s="24" t="inlineStr">
        <is>
          <t>v3</t>
        </is>
      </c>
      <c r="BF284" s="24" t="inlineStr">
        <is>
          <t>1</t>
        </is>
      </c>
      <c r="BG284" s="24" t="inlineStr">
        <is>
          <t>measured-edge-paired-v1</t>
        </is>
      </c>
      <c r="BH284" s="24" t="inlineStr">
        <is>
          <t>2026-08-07T18:29:28.691575Z</t>
        </is>
      </c>
      <c r="BI284" s="24" t="inlineStr">
        <is>
          <t>["same_event","same_team_same_day","same_league_same_day"]</t>
        </is>
      </c>
      <c r="BJ284" s="25" t="n">
        <v>1.5</v>
      </c>
      <c r="BK284" s="26" t="n">
        <v>100</v>
      </c>
      <c r="BL284" s="27" t="n">
        <v>2</v>
      </c>
      <c r="BM284" s="28" t="n">
        <v>0.5</v>
      </c>
      <c r="BN284" s="28" t="n">
        <v>0.497512</v>
      </c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</row>
    <row r="285" ht="36" customHeight="1">
      <c r="A285" s="24" t="inlineStr">
        <is>
          <t>54c316edcf534b49</t>
        </is>
      </c>
      <c r="B285" s="24" t="inlineStr">
        <is>
          <t>2026-08-07T18:29:28.691575Z</t>
        </is>
      </c>
      <c r="C285" s="24" t="inlineStr">
        <is>
          <t>2026-08-08T01:40Z</t>
        </is>
      </c>
      <c r="D285" s="24" t="inlineStr">
        <is>
          <t>401816437</t>
        </is>
      </c>
      <c r="E285" s="24" t="inlineStr">
        <is>
          <t>MLB</t>
        </is>
      </c>
      <c r="F285" s="24" t="inlineStr">
        <is>
          <t>Los Angeles Dodgers</t>
        </is>
      </c>
      <c r="G285" s="24" t="inlineStr">
        <is>
          <t>Arizona Diamondbacks</t>
        </is>
      </c>
      <c r="H285" s="24" t="inlineStr">
        <is>
          <t>total</t>
        </is>
      </c>
      <c r="I285" s="24" t="inlineStr">
        <is>
          <t>over</t>
        </is>
      </c>
      <c r="J285" s="25" t="n">
        <v>8.5</v>
      </c>
      <c r="K285" s="24" t="inlineStr">
        <is>
          <t>polymarket_us</t>
        </is>
      </c>
      <c r="L285" s="26" t="n">
        <v>-122</v>
      </c>
      <c r="M285" s="27" t="n">
        <v>1.819672</v>
      </c>
      <c r="N285" s="28" t="n">
        <v>0.54955</v>
      </c>
      <c r="O285" s="28" t="n">
        <v>0.51976</v>
      </c>
      <c r="P285" s="28" t="n">
        <v>0.042131</v>
      </c>
      <c r="Q285" s="28" t="n">
        <v>-0.02979</v>
      </c>
      <c r="R285" s="26" t="n">
        <v>12</v>
      </c>
      <c r="S285" s="29" t="n">
        <v>0</v>
      </c>
      <c r="T285" s="24" t="inlineStr">
        <is>
          <t>measured-edge-totals-v3</t>
        </is>
      </c>
      <c r="U285" s="24" t="inlineStr">
        <is>
          <t>open</t>
        </is>
      </c>
      <c r="V285" s="24" t="n"/>
      <c r="W285" s="26" t="n"/>
      <c r="X285" s="26" t="n"/>
      <c r="Y285" s="25" t="n"/>
      <c r="Z285" s="26" t="n"/>
      <c r="AA285" s="28" t="n"/>
      <c r="AB285" s="28" t="n"/>
      <c r="AC285" s="30" t="n"/>
      <c r="AD285" s="24" t="n"/>
      <c r="AE285" s="31" t="inlineStr">
        <is>
          <t>Measured Edge Totals: Trend Engine projected 4.62-4.87; raw selected-side p=0.5562, calibrated p=0.5198.</t>
        </is>
      </c>
      <c r="AF285" s="31" t="inlineStr">
        <is>
          <t>Research-only; lineup, bullpen, park, weather, xFIP, and wRC+ may be neutral fallbacks; market availability and BBO depth may change before first pitch.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NO_CALL_WINNER_OVERVALUED</t>
        </is>
      </c>
      <c r="AP285" s="24" t="inlineStr">
        <is>
          <t>mlb-lad</t>
        </is>
      </c>
      <c r="AQ285" s="24" t="inlineStr">
        <is>
          <t>Los Angeles Dodgers</t>
        </is>
      </c>
      <c r="AR285" s="24" t="inlineStr">
        <is>
          <t>Los Angeles Dodgers</t>
        </is>
      </c>
      <c r="AS285" s="24" t="inlineStr">
        <is>
          <t>mlb-ari</t>
        </is>
      </c>
      <c r="AT285" s="24" t="inlineStr">
        <is>
          <t>Arizona Diamondbacks</t>
        </is>
      </c>
      <c r="AU285" s="24" t="inlineStr">
        <is>
          <t>Arizona Diamondbacks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research</t>
        </is>
      </c>
      <c r="BA285" s="24" t="inlineStr">
        <is>
          <t>95b84332c75d2ce54036eb8de6ada9c78d0f80228c50825c0347281a8b9b49c7</t>
        </is>
      </c>
      <c r="BB285" s="24" t="inlineStr">
        <is>
          <t>flat_probability_shrinkage_toward_half</t>
        </is>
      </c>
      <c r="BC285" s="24" t="inlineStr">
        <is>
          <t>measured-edge-totals-v3</t>
        </is>
      </c>
      <c r="BD285" s="24" t="inlineStr">
        <is>
          <t>95b84332c75d2ce54036eb8de6ada9c78d0f80228c50825c0347281a8b9b49c7</t>
        </is>
      </c>
      <c r="BE285" s="24" t="inlineStr">
        <is>
          <t>v3</t>
        </is>
      </c>
      <c r="BF285" s="24" t="inlineStr">
        <is>
          <t>1</t>
        </is>
      </c>
      <c r="BG285" s="24" t="inlineStr">
        <is>
          <t>measured-edge-paired-v1</t>
        </is>
      </c>
      <c r="BH285" s="24" t="inlineStr">
        <is>
          <t>2026-08-07T18:29:28.691575Z</t>
        </is>
      </c>
      <c r="BI285" s="24" t="inlineStr">
        <is>
          <t>["same_event","same_team_same_day","same_league_same_day"]</t>
        </is>
      </c>
      <c r="BJ285" s="25" t="n">
        <v>8.5</v>
      </c>
      <c r="BK285" s="26" t="n">
        <v>-122</v>
      </c>
      <c r="BL285" s="27" t="n">
        <v>1.819672</v>
      </c>
      <c r="BM285" s="28" t="n">
        <v>0.54955</v>
      </c>
      <c r="BN285" s="28" t="n">
        <v>0.544554</v>
      </c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</row>
    <row r="286" ht="36" customHeight="1">
      <c r="A286" s="24" t="inlineStr">
        <is>
          <t>f3b4bb90632049e9</t>
        </is>
      </c>
      <c r="B286" s="24" t="inlineStr">
        <is>
          <t>2026-08-07T18:29:28.691575Z</t>
        </is>
      </c>
      <c r="C286" s="24" t="inlineStr">
        <is>
          <t>2026-08-08T01:45Z</t>
        </is>
      </c>
      <c r="D286" s="24" t="inlineStr">
        <is>
          <t>401816438</t>
        </is>
      </c>
      <c r="E286" s="24" t="inlineStr">
        <is>
          <t>MLB</t>
        </is>
      </c>
      <c r="F286" s="24" t="inlineStr">
        <is>
          <t>Tampa Bay Rays</t>
        </is>
      </c>
      <c r="G286" s="24" t="inlineStr">
        <is>
          <t>Seattle Mariners</t>
        </is>
      </c>
      <c r="H286" s="24" t="inlineStr">
        <is>
          <t>spread</t>
        </is>
      </c>
      <c r="I286" s="24" t="inlineStr">
        <is>
          <t>away</t>
        </is>
      </c>
      <c r="J286" s="25" t="n">
        <v>-1.5</v>
      </c>
      <c r="K286" s="24" t="inlineStr">
        <is>
          <t>polymarket_us</t>
        </is>
      </c>
      <c r="L286" s="26" t="n">
        <v>190</v>
      </c>
      <c r="M286" s="27" t="n">
        <v>2.9</v>
      </c>
      <c r="N286" s="28" t="n">
        <v>0.344828</v>
      </c>
      <c r="O286" s="28" t="n">
        <v>0.381641</v>
      </c>
      <c r="P286" s="28" t="n">
        <v>0.042131</v>
      </c>
      <c r="Q286" s="28" t="n">
        <v>0.036813</v>
      </c>
      <c r="R286" s="26" t="n">
        <v>44</v>
      </c>
      <c r="S286" s="29" t="n">
        <v>0</v>
      </c>
      <c r="T286" s="24" t="inlineStr">
        <is>
          <t>measured-edge-margin-v3</t>
        </is>
      </c>
      <c r="U286" s="24" t="inlineStr">
        <is>
          <t>open</t>
        </is>
      </c>
      <c r="V286" s="24" t="n"/>
      <c r="W286" s="26" t="n"/>
      <c r="X286" s="26" t="n"/>
      <c r="Y286" s="25" t="n"/>
      <c r="Z286" s="26" t="n"/>
      <c r="AA286" s="28" t="n"/>
      <c r="AB286" s="28" t="n"/>
      <c r="AC286" s="30" t="n"/>
      <c r="AD286" s="24" t="n"/>
      <c r="AE286" s="31" t="inlineStr">
        <is>
          <t>Measured Edge Margin: Trend Engine projected 4.35-4.28; raw selected-side p=0.3263, calibrated p=0.3816.</t>
        </is>
      </c>
      <c r="AF286" s="31" t="inlineStr">
        <is>
          <t>Research-only; lineup, bullpen, park, weather, xFIP, and wRC+ may be neutral fallbacks; market availability and BBO depth may change before first pitch.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NO_CALL_WINNER_OVERVALUED</t>
        </is>
      </c>
      <c r="AP286" s="24" t="inlineStr">
        <is>
          <t>mlb-tb</t>
        </is>
      </c>
      <c r="AQ286" s="24" t="inlineStr">
        <is>
          <t>Tampa Bay Rays</t>
        </is>
      </c>
      <c r="AR286" s="24" t="inlineStr">
        <is>
          <t>Tampa Bay Rays</t>
        </is>
      </c>
      <c r="AS286" s="24" t="inlineStr">
        <is>
          <t>mlb-sea</t>
        </is>
      </c>
      <c r="AT286" s="24" t="inlineStr">
        <is>
          <t>Seattle Mariners</t>
        </is>
      </c>
      <c r="AU286" s="24" t="inlineStr">
        <is>
          <t>Seattle Mariners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research</t>
        </is>
      </c>
      <c r="BA286" s="24" t="inlineStr">
        <is>
          <t>dd339a2eed50d7d83ab2127837995ddab82e879afd27f5414bb6c1f9cd60ba4c</t>
        </is>
      </c>
      <c r="BB286" s="24" t="inlineStr">
        <is>
          <t>flat_probability_shrinkage_toward_half</t>
        </is>
      </c>
      <c r="BC286" s="24" t="inlineStr">
        <is>
          <t>measured-edge-margin-v3</t>
        </is>
      </c>
      <c r="BD286" s="24" t="inlineStr">
        <is>
          <t>dd339a2eed50d7d83ab2127837995ddab82e879afd27f5414bb6c1f9cd60ba4c</t>
        </is>
      </c>
      <c r="BE286" s="24" t="inlineStr">
        <is>
          <t>v3</t>
        </is>
      </c>
      <c r="BF286" s="24" t="inlineStr">
        <is>
          <t>1</t>
        </is>
      </c>
      <c r="BG286" s="24" t="inlineStr">
        <is>
          <t>measured-edge-paired-v1</t>
        </is>
      </c>
      <c r="BH286" s="24" t="inlineStr">
        <is>
          <t>2026-08-07T18:29:28.691575Z</t>
        </is>
      </c>
      <c r="BI286" s="24" t="inlineStr">
        <is>
          <t>["same_event","same_team_same_day","same_league_same_day"]</t>
        </is>
      </c>
      <c r="BJ286" s="25" t="n">
        <v>-1.5</v>
      </c>
      <c r="BK286" s="26" t="n">
        <v>190</v>
      </c>
      <c r="BL286" s="27" t="n">
        <v>2.9</v>
      </c>
      <c r="BM286" s="28" t="n">
        <v>0.344828</v>
      </c>
      <c r="BN286" s="28" t="n">
        <v>0.343284</v>
      </c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</row>
    <row r="287" ht="36" customHeight="1">
      <c r="A287" s="24" t="inlineStr">
        <is>
          <t>423d1f80bf6a476a</t>
        </is>
      </c>
      <c r="B287" s="24" t="inlineStr">
        <is>
          <t>2026-08-07T18:29:28.691575Z</t>
        </is>
      </c>
      <c r="C287" s="24" t="inlineStr">
        <is>
          <t>2026-08-08T01:45Z</t>
        </is>
      </c>
      <c r="D287" s="24" t="inlineStr">
        <is>
          <t>401816438</t>
        </is>
      </c>
      <c r="E287" s="24" t="inlineStr">
        <is>
          <t>MLB</t>
        </is>
      </c>
      <c r="F287" s="24" t="inlineStr">
        <is>
          <t>Tampa Bay Rays</t>
        </is>
      </c>
      <c r="G287" s="24" t="inlineStr">
        <is>
          <t>Seattle Mariners</t>
        </is>
      </c>
      <c r="H287" s="24" t="inlineStr">
        <is>
          <t>total</t>
        </is>
      </c>
      <c r="I287" s="24" t="inlineStr">
        <is>
          <t>over</t>
        </is>
      </c>
      <c r="J287" s="25" t="n">
        <v>6.5</v>
      </c>
      <c r="K287" s="24" t="inlineStr">
        <is>
          <t>polymarket_us</t>
        </is>
      </c>
      <c r="L287" s="26" t="n">
        <v>-122</v>
      </c>
      <c r="M287" s="27" t="n">
        <v>1.819672</v>
      </c>
      <c r="N287" s="28" t="n">
        <v>0.54955</v>
      </c>
      <c r="O287" s="28" t="n">
        <v>0.550822</v>
      </c>
      <c r="P287" s="28" t="n">
        <v>0.042131</v>
      </c>
      <c r="Q287" s="28" t="n">
        <v>0.001272</v>
      </c>
      <c r="R287" s="26" t="n">
        <v>27</v>
      </c>
      <c r="S287" s="29" t="n">
        <v>0</v>
      </c>
      <c r="T287" s="24" t="inlineStr">
        <is>
          <t>measured-edge-totals-v3</t>
        </is>
      </c>
      <c r="U287" s="24" t="inlineStr">
        <is>
          <t>open</t>
        </is>
      </c>
      <c r="V287" s="24" t="n"/>
      <c r="W287" s="26" t="n"/>
      <c r="X287" s="26" t="n"/>
      <c r="Y287" s="25" t="n"/>
      <c r="Z287" s="26" t="n"/>
      <c r="AA287" s="28" t="n"/>
      <c r="AB287" s="28" t="n"/>
      <c r="AC287" s="30" t="n"/>
      <c r="AD287" s="24" t="n"/>
      <c r="AE287" s="31" t="inlineStr">
        <is>
          <t>Measured Edge Totals: Trend Engine projected 4.35-4.28; raw selected-side p=0.6813, calibrated p=0.5508.</t>
        </is>
      </c>
      <c r="AF287" s="31" t="inlineStr">
        <is>
          <t>Research-only; lineup, bullpen, park, weather, xFIP, and wRC+ may be neutral fallbacks; market availability and BBO depth may change before first pitch.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NO_CALL_WINNER_OVERVALUED</t>
        </is>
      </c>
      <c r="AP287" s="24" t="inlineStr">
        <is>
          <t>mlb-tb</t>
        </is>
      </c>
      <c r="AQ287" s="24" t="inlineStr">
        <is>
          <t>Tampa Bay Rays</t>
        </is>
      </c>
      <c r="AR287" s="24" t="inlineStr">
        <is>
          <t>Tampa Bay Rays</t>
        </is>
      </c>
      <c r="AS287" s="24" t="inlineStr">
        <is>
          <t>mlb-sea</t>
        </is>
      </c>
      <c r="AT287" s="24" t="inlineStr">
        <is>
          <t>Seattle Mariners</t>
        </is>
      </c>
      <c r="AU287" s="24" t="inlineStr">
        <is>
          <t>Seattle Mariners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research</t>
        </is>
      </c>
      <c r="BA287" s="24" t="inlineStr">
        <is>
          <t>95b84332c75d2ce54036eb8de6ada9c78d0f80228c50825c0347281a8b9b49c7</t>
        </is>
      </c>
      <c r="BB287" s="24" t="inlineStr">
        <is>
          <t>flat_probability_shrinkage_toward_half</t>
        </is>
      </c>
      <c r="BC287" s="24" t="inlineStr">
        <is>
          <t>measured-edge-totals-v3</t>
        </is>
      </c>
      <c r="BD287" s="24" t="inlineStr">
        <is>
          <t>95b84332c75d2ce54036eb8de6ada9c78d0f80228c50825c0347281a8b9b49c7</t>
        </is>
      </c>
      <c r="BE287" s="24" t="inlineStr">
        <is>
          <t>v3</t>
        </is>
      </c>
      <c r="BF287" s="24" t="inlineStr">
        <is>
          <t>1</t>
        </is>
      </c>
      <c r="BG287" s="24" t="inlineStr">
        <is>
          <t>measured-edge-paired-v1</t>
        </is>
      </c>
      <c r="BH287" s="24" t="inlineStr">
        <is>
          <t>2026-08-07T18:29:28.691575Z</t>
        </is>
      </c>
      <c r="BI287" s="24" t="inlineStr">
        <is>
          <t>["same_event","same_team_same_day","same_league_same_day"]</t>
        </is>
      </c>
      <c r="BJ287" s="25" t="n">
        <v>6.5</v>
      </c>
      <c r="BK287" s="26" t="n">
        <v>-122</v>
      </c>
      <c r="BL287" s="27" t="n">
        <v>1.819672</v>
      </c>
      <c r="BM287" s="28" t="n">
        <v>0.54955</v>
      </c>
      <c r="BN287" s="28" t="n">
        <v>0.547264</v>
      </c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2026-08-07T18:32:39Z</dcterms:created>
  <dcterms:modified xmlns:dcterms="http://purl.org/dc/terms/" xmlns:xsi="http://www.w3.org/2001/XMLSchema-instance" xsi:type="dcterms:W3CDTF">2026-08-07T18:32:40Z</dcterms:modified>
</cp:coreProperties>
</file>