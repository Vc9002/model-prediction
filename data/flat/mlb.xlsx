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467" headerRowCount="1">
  <autoFilter ref="A1:CS467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COUNTA('Picks'!$A$2:$A$467)</f>
        <v/>
      </c>
      <c r="C4" s="6">
        <f>COUNTIF('Picks'!$U$2:$U$467,"open")</f>
        <v/>
      </c>
      <c r="E4" s="6">
        <f>COUNTIF('Picks'!$U$2:$U$467,"settled")</f>
        <v/>
      </c>
      <c r="G4" s="6">
        <f>IF(COUNTIFS('Picks'!$U$2:$U$467,"settled",'Picks'!$V$2:$V$467,"win")+COUNTIFS('Picks'!$U$2:$U$467,"settled",'Picks'!$V$2:$V$467,"loss")&gt;=$L$2,"Ready","Insufficient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COUNTIF('Picks'!$BX$2:$BX$467,"&gt;0")</f>
        <v/>
      </c>
      <c r="C7" s="6">
        <f>COUNTIFS('Picks'!$BX$2:$BX$467,"&gt;0",'Picks'!$V$2:$V$467,"win")&amp;"-"&amp;COUNTIFS('Picks'!$BX$2:$BX$467,"&gt;0",'Picks'!$V$2:$V$467,"loss")</f>
        <v/>
      </c>
      <c r="E7" s="7">
        <f>IFERROR(COUNTIFS('Picks'!$BX$2:$BX$467,"&gt;0",'Picks'!$V$2:$V$467,"win")/(COUNTIFS('Picks'!$BX$2:$BX$467,"&gt;0",'Picks'!$V$2:$V$467,"win")+COUNTIFS('Picks'!$BX$2:$BX$467,"&gt;0",'Picks'!$V$2:$V$467,"loss")),0)</f>
        <v/>
      </c>
      <c r="G7" s="7">
        <f>IFERROR(SUM('Picks'!$BY$2:$BY$467)/SUM('Picks'!$BX$2:$BX$467),0)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SUM('Picks'!$BY$2:$BY$467)</f>
        <v/>
      </c>
      <c r="C10" s="9">
        <f>IFERROR(AVERAGEIF('Picks'!$AB$2:$AB$467,"&lt;&gt;",'Picks'!$AB$2:$AB$467),0)</f>
        <v/>
      </c>
      <c r="E10" s="6">
        <f>COUNTIFS('Picks'!$AM$2:$AM$467,"QUALIFIED_SHADOW_CALL",'Picks'!$U$2:$U$467,"settled")</f>
        <v/>
      </c>
      <c r="G10" s="8">
        <f>SUMIFS('Picks'!$AC$2:$AC$467,'Picks'!$AM$2:$AM$467,"QUALIFIED_SHADOW_CALL")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COUNTIFS('Picks'!$H$2:$H$467,$A14,'Picks'!$U$2:$U$467,"settled")</f>
        <v/>
      </c>
      <c r="C14" s="13">
        <f>COUNTIFS('Picks'!$H$2:$H$467,$A14,'Picks'!$U$2:$U$467,"settled",'Picks'!$V$2:$V$467,"win")</f>
        <v/>
      </c>
      <c r="D14" s="13">
        <f>COUNTIFS('Picks'!$H$2:$H$467,$A14,'Picks'!$U$2:$U$467,"settled",'Picks'!$V$2:$V$467,"loss")</f>
        <v/>
      </c>
      <c r="E14" s="14">
        <f>IFERROR(C14/(C14+D14),0)</f>
        <v/>
      </c>
      <c r="F14" s="15">
        <f>SUMIFS('Picks'!$BY$2:$BY$467,'Picks'!$H$2:$H$467,$A14)</f>
        <v/>
      </c>
      <c r="G14" s="16">
        <f>IFERROR(AVERAGEIFS('Picks'!$AB$2:$AB$467,'Picks'!$H$2:$H$467,$A14,'Picks'!$U$2:$U$467,"settled"),0)</f>
        <v/>
      </c>
    </row>
    <row r="15">
      <c r="A15" s="17" t="inlineStr">
        <is>
          <t>spread</t>
        </is>
      </c>
      <c r="B15" s="18">
        <f>COUNTIFS('Picks'!$H$2:$H$467,$A15,'Picks'!$U$2:$U$467,"settled")</f>
        <v/>
      </c>
      <c r="C15" s="18">
        <f>COUNTIFS('Picks'!$H$2:$H$467,$A15,'Picks'!$U$2:$U$467,"settled",'Picks'!$V$2:$V$467,"win")</f>
        <v/>
      </c>
      <c r="D15" s="18">
        <f>COUNTIFS('Picks'!$H$2:$H$467,$A15,'Picks'!$U$2:$U$467,"settled",'Picks'!$V$2:$V$467,"loss")</f>
        <v/>
      </c>
      <c r="E15" s="19">
        <f>IFERROR(C15/(C15+D15),0)</f>
        <v/>
      </c>
      <c r="F15" s="20">
        <f>SUMIFS('Picks'!$BY$2:$BY$467,'Picks'!$H$2:$H$467,$A15)</f>
        <v/>
      </c>
      <c r="G15" s="21">
        <f>IFERROR(AVERAGEIFS('Picks'!$AB$2:$AB$467,'Picks'!$H$2:$H$467,$A15,'Picks'!$U$2:$U$467,"settled"),0)</f>
        <v/>
      </c>
    </row>
    <row r="16">
      <c r="A16" s="12" t="inlineStr">
        <is>
          <t>total</t>
        </is>
      </c>
      <c r="B16" s="13">
        <f>COUNTIFS('Picks'!$H$2:$H$467,$A16,'Picks'!$U$2:$U$467,"settled")</f>
        <v/>
      </c>
      <c r="C16" s="13">
        <f>COUNTIFS('Picks'!$H$2:$H$467,$A16,'Picks'!$U$2:$U$467,"settled",'Picks'!$V$2:$V$467,"win")</f>
        <v/>
      </c>
      <c r="D16" s="13">
        <f>COUNTIFS('Picks'!$H$2:$H$467,$A16,'Picks'!$U$2:$U$467,"settled",'Picks'!$V$2:$V$467,"loss")</f>
        <v/>
      </c>
      <c r="E16" s="14">
        <f>IFERROR(C16/(C16+D16),0)</f>
        <v/>
      </c>
      <c r="F16" s="15">
        <f>SUMIFS('Picks'!$BY$2:$BY$467,'Picks'!$H$2:$H$467,$A16)</f>
        <v/>
      </c>
      <c r="G16" s="16">
        <f>IFERROR(AVERAGEIFS('Picks'!$AB$2:$AB$467,'Picks'!$H$2:$H$467,$A16,'Picks'!$U$2:$U$467,"settled"),0)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4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4765ca9658a544c2</t>
        </is>
      </c>
      <c r="B2" s="24" t="inlineStr">
        <is>
          <t>2026-07-30T16:02:41.811013Z</t>
        </is>
      </c>
      <c r="C2" s="24" t="inlineStr">
        <is>
          <t>2026-07-30T12:10:00-0400</t>
        </is>
      </c>
      <c r="D2" s="24" t="inlineStr">
        <is>
          <t>401816324</t>
        </is>
      </c>
      <c r="E2" s="24" t="inlineStr">
        <is>
          <t>MLB</t>
        </is>
      </c>
      <c r="F2" s="24" t="inlineStr">
        <is>
          <t>Texas Rangers</t>
        </is>
      </c>
      <c r="G2" s="24" t="inlineStr">
        <is>
          <t>Tampa Bay Rays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-160</v>
      </c>
      <c r="M2" s="27" t="n">
        <v>1.625</v>
      </c>
      <c r="N2" s="28" t="n">
        <v>0.615385</v>
      </c>
      <c r="O2" s="28" t="n">
        <v>0.560375</v>
      </c>
      <c r="P2" s="28" t="n"/>
      <c r="Q2" s="28" t="n">
        <v>-0.05501</v>
      </c>
      <c r="R2" s="26" t="n">
        <v>0</v>
      </c>
      <c r="S2" s="29" t="n">
        <v>1</v>
      </c>
      <c r="T2" s="24" t="inlineStr">
        <is>
          <t>mlb-elo-trend-lr-v7</t>
        </is>
      </c>
      <c r="U2" s="24" t="inlineStr">
        <is>
          <t>settled</t>
        </is>
      </c>
      <c r="V2" s="24" t="inlineStr">
        <is>
          <t>win</t>
        </is>
      </c>
      <c r="W2" s="26" t="n">
        <v>2</v>
      </c>
      <c r="X2" s="26" t="n">
        <v>3</v>
      </c>
      <c r="Y2" s="25" t="n"/>
      <c r="Z2" s="26" t="n">
        <v>-160</v>
      </c>
      <c r="AA2" s="28" t="n">
        <v>0.615</v>
      </c>
      <c r="AB2" s="28" t="n">
        <v>-0.000385</v>
      </c>
      <c r="AC2" s="30" t="n">
        <v>0.625</v>
      </c>
      <c r="AD2" s="24" t="inlineStr">
        <is>
          <t>2026-07-30T21:05:53.177909Z</t>
        </is>
      </c>
      <c r="AE2" s="31" t="inlineStr">
        <is>
          <t>Learned LR call at threshold 0.6242; executable ask 0.6150 (aec-mlb-tex-tb-2026-07-30); model edge vs ask -0.0546.</t>
        </is>
      </c>
      <c r="AF2" s="31" t="inlineStr">
        <is>
          <t>Learned model; shadow-qualified via operator override.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mlb-tex</t>
        </is>
      </c>
      <c r="AQ2" s="24" t="inlineStr">
        <is>
          <t>Texas Rangers</t>
        </is>
      </c>
      <c r="AR2" s="24" t="inlineStr">
        <is>
          <t>Texas Rangers</t>
        </is>
      </c>
      <c r="AS2" s="24" t="inlineStr">
        <is>
          <t>mlb-tb</t>
        </is>
      </c>
      <c r="AT2" s="24" t="inlineStr">
        <is>
          <t>Tampa Bay Rays</t>
        </is>
      </c>
      <c r="AU2" s="24" t="inlineStr">
        <is>
          <t>Tampa Bay Rays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464eef695bfbbdaa819ec6f5e4c5bd1068ed20b92915fb2677220ae91e20d8b6</t>
        </is>
      </c>
      <c r="BB2" s="24" t="inlineStr">
        <is>
          <t>learned_lr</t>
        </is>
      </c>
      <c r="BC2" s="24" t="inlineStr">
        <is>
          <t>mlb-elo-trend-lr-v7</t>
        </is>
      </c>
      <c r="BD2" s="24" t="inlineStr">
        <is>
          <t>464eef695bfbbdaa819ec6f5e4c5bd1068ed20b92915fb2677220ae91e20d8b6</t>
        </is>
      </c>
      <c r="BE2" s="24" t="inlineStr">
        <is>
          <t>2e5c467578e391cd</t>
        </is>
      </c>
      <c r="BF2" s="24" t="inlineStr">
        <is>
          <t>1</t>
        </is>
      </c>
      <c r="BG2" s="24" t="inlineStr">
        <is>
          <t>mlb-elo-trend-lr-v7</t>
        </is>
      </c>
      <c r="BH2" s="24" t="inlineStr">
        <is>
          <t>2026-07-30T16:01:48.107244Z</t>
        </is>
      </c>
      <c r="BI2" s="24" t="inlineStr">
        <is>
          <t>["same_event","same_team_same_day","same_league_same_day"]</t>
        </is>
      </c>
      <c r="BJ2" s="25" t="n"/>
      <c r="BK2" s="26" t="n">
        <v>-160</v>
      </c>
      <c r="BL2" s="27" t="n">
        <v>1.625</v>
      </c>
      <c r="BM2" s="28" t="n">
        <v>0.615385</v>
      </c>
      <c r="BN2" s="28" t="n">
        <v>0.61194</v>
      </c>
      <c r="BO2" s="28" t="n"/>
      <c r="BP2" s="25" t="n"/>
      <c r="BQ2" s="27" t="n">
        <v>1.625</v>
      </c>
      <c r="BR2" s="28" t="n">
        <v>0.615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0.5786000288</t>
        </is>
      </c>
      <c r="CD2" s="24" t="inlineStr">
        <is>
          <t>0.008586</t>
        </is>
      </c>
      <c r="CE2" s="24" t="inlineStr">
        <is>
          <t>0.965</t>
        </is>
      </c>
      <c r="CF2" s="24" t="inlineStr">
        <is>
          <t>1</t>
        </is>
      </c>
      <c r="CG2" s="24" t="inlineStr">
        <is>
          <t>-1.6</t>
        </is>
      </c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406393dea9594c0a</t>
        </is>
      </c>
      <c r="B3" s="24" t="inlineStr">
        <is>
          <t>2026-07-30T16:03:19.057215Z</t>
        </is>
      </c>
      <c r="C3" s="24" t="inlineStr">
        <is>
          <t>2026-07-30T16:10Z</t>
        </is>
      </c>
      <c r="D3" s="24" t="inlineStr">
        <is>
          <t>401816324</t>
        </is>
      </c>
      <c r="E3" s="24" t="inlineStr">
        <is>
          <t>MLB</t>
        </is>
      </c>
      <c r="F3" s="24" t="inlineStr">
        <is>
          <t>Texas Rangers</t>
        </is>
      </c>
      <c r="G3" s="24" t="inlineStr">
        <is>
          <t>Tampa Bay Rays</t>
        </is>
      </c>
      <c r="H3" s="24" t="inlineStr">
        <is>
          <t>spread</t>
        </is>
      </c>
      <c r="I3" s="24" t="inlineStr">
        <is>
          <t>away</t>
        </is>
      </c>
      <c r="J3" s="25" t="n">
        <v>1.5</v>
      </c>
      <c r="K3" s="24" t="inlineStr">
        <is>
          <t>polymarket_us</t>
        </is>
      </c>
      <c r="L3" s="26" t="n">
        <v>-125</v>
      </c>
      <c r="M3" s="27" t="n">
        <v>1.8</v>
      </c>
      <c r="N3" s="28" t="n">
        <v>0.555556</v>
      </c>
      <c r="O3" s="28" t="n">
        <v>0.542925</v>
      </c>
      <c r="P3" s="28" t="n">
        <v>0.042131</v>
      </c>
      <c r="Q3" s="28" t="n">
        <v>-0.012631</v>
      </c>
      <c r="R3" s="26" t="n">
        <v>18</v>
      </c>
      <c r="S3" s="29" t="n">
        <v>1</v>
      </c>
      <c r="T3" s="24" t="inlineStr">
        <is>
          <t>measured-edge-margin-v1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3</v>
      </c>
      <c r="Y3" s="25" t="n">
        <v>1.5</v>
      </c>
      <c r="Z3" s="26" t="n">
        <v>-125</v>
      </c>
      <c r="AA3" s="28" t="n">
        <v>0.555</v>
      </c>
      <c r="AB3" s="28" t="n">
        <v>-0.000556</v>
      </c>
      <c r="AC3" s="30" t="n">
        <v>0.8</v>
      </c>
      <c r="AD3" s="24" t="inlineStr">
        <is>
          <t>2026-07-30T21:05:53.337456Z</t>
        </is>
      </c>
      <c r="AE3" s="31" t="inlineStr">
        <is>
          <t>Measured Edge Margin: Trend Engine projected 4.22-4.87; raw selected-side p=0.6072, calibrated p=0.5429.</t>
        </is>
      </c>
      <c r="AF3" s="31" t="inlineStr">
        <is>
          <t>Research-only; lineup, bullpen, park, weather, xFIP, and wRC+ may be neutral fallbacks; market availability and BBO depth may change before first pitch.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NO_CALL_MODEL_UNVALIDATED</t>
        </is>
      </c>
      <c r="AP3" s="24" t="inlineStr">
        <is>
          <t>mlb-tex</t>
        </is>
      </c>
      <c r="AQ3" s="24" t="inlineStr">
        <is>
          <t>Texas Rangers</t>
        </is>
      </c>
      <c r="AR3" s="24" t="inlineStr">
        <is>
          <t>Texas Rangers</t>
        </is>
      </c>
      <c r="AS3" s="24" t="inlineStr">
        <is>
          <t>mlb-tb</t>
        </is>
      </c>
      <c r="AT3" s="24" t="inlineStr">
        <is>
          <t>Tampa Bay Rays</t>
        </is>
      </c>
      <c r="AU3" s="24" t="inlineStr">
        <is>
          <t>Tampa Bay Rays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research</t>
        </is>
      </c>
      <c r="BA3" s="24" t="inlineStr">
        <is>
          <t>2bc2ce55b0d39a20103f724bbddbde5394909acd49297f52665b596a0ae3ae8b</t>
        </is>
      </c>
      <c r="BB3" s="24" t="inlineStr">
        <is>
          <t>flat_probability_shrinkage_toward_half</t>
        </is>
      </c>
      <c r="BC3" s="24" t="inlineStr">
        <is>
          <t>measured-edge-margin-v1</t>
        </is>
      </c>
      <c r="BD3" s="24" t="inlineStr">
        <is>
          <t>2bc2ce55b0d39a20103f724bbddbde5394909acd49297f52665b596a0ae3ae8b</t>
        </is>
      </c>
      <c r="BE3" s="24" t="inlineStr">
        <is>
          <t>v3</t>
        </is>
      </c>
      <c r="BF3" s="24" t="inlineStr">
        <is>
          <t>1</t>
        </is>
      </c>
      <c r="BG3" s="24" t="inlineStr">
        <is>
          <t>measured-edge-paired-v1</t>
        </is>
      </c>
      <c r="BH3" s="24" t="inlineStr">
        <is>
          <t>2026-07-30T16:03:19.057215Z</t>
        </is>
      </c>
      <c r="BI3" s="24" t="inlineStr">
        <is>
          <t>["same_event","same_team_same_day","same_league_same_day"]</t>
        </is>
      </c>
      <c r="BJ3" s="25" t="n">
        <v>1.5</v>
      </c>
      <c r="BK3" s="26" t="n">
        <v>-125</v>
      </c>
      <c r="BL3" s="27" t="n">
        <v>1.8</v>
      </c>
      <c r="BM3" s="28" t="n">
        <v>0.555556</v>
      </c>
      <c r="BN3" s="28" t="n">
        <v>0.552239</v>
      </c>
      <c r="BO3" s="28" t="n"/>
      <c r="BP3" s="25" t="n"/>
      <c r="BQ3" s="27" t="n">
        <v>1.8</v>
      </c>
      <c r="BR3" s="28" t="n">
        <v>0.555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11bd8c09245d4774</t>
        </is>
      </c>
      <c r="B4" s="24" t="inlineStr">
        <is>
          <t>2026-07-30T16:03:19.057215Z</t>
        </is>
      </c>
      <c r="C4" s="24" t="inlineStr">
        <is>
          <t>2026-07-30T16:10Z</t>
        </is>
      </c>
      <c r="D4" s="24" t="inlineStr">
        <is>
          <t>401816324</t>
        </is>
      </c>
      <c r="E4" s="24" t="inlineStr">
        <is>
          <t>MLB</t>
        </is>
      </c>
      <c r="F4" s="24" t="inlineStr">
        <is>
          <t>Texas Rangers</t>
        </is>
      </c>
      <c r="G4" s="24" t="inlineStr">
        <is>
          <t>Tampa Bay Rays</t>
        </is>
      </c>
      <c r="H4" s="24" t="inlineStr">
        <is>
          <t>total</t>
        </is>
      </c>
      <c r="I4" s="24" t="inlineStr">
        <is>
          <t>over</t>
        </is>
      </c>
      <c r="J4" s="25" t="n">
        <v>7.5</v>
      </c>
      <c r="K4" s="24" t="inlineStr">
        <is>
          <t>polymarket_us</t>
        </is>
      </c>
      <c r="L4" s="26" t="n">
        <v>-113</v>
      </c>
      <c r="M4" s="27" t="n">
        <v>1.884956</v>
      </c>
      <c r="N4" s="28" t="n">
        <v>0.530516</v>
      </c>
      <c r="O4" s="28" t="n">
        <v>0.582045</v>
      </c>
      <c r="P4" s="28" t="n">
        <v>0.042131</v>
      </c>
      <c r="Q4" s="28" t="n">
        <v>0.051529</v>
      </c>
      <c r="R4" s="26" t="n">
        <v>50</v>
      </c>
      <c r="S4" s="29" t="n">
        <v>1.25</v>
      </c>
      <c r="T4" s="24" t="inlineStr">
        <is>
          <t>measured-edge-totals-v1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3</v>
      </c>
      <c r="Y4" s="25" t="n">
        <v>7.5</v>
      </c>
      <c r="Z4" s="26" t="n">
        <v>-113</v>
      </c>
      <c r="AA4" s="28" t="n">
        <v>0.53</v>
      </c>
      <c r="AB4" s="28" t="n">
        <v>-0.000516</v>
      </c>
      <c r="AC4" s="30" t="n">
        <v>-1.25</v>
      </c>
      <c r="AD4" s="24" t="inlineStr">
        <is>
          <t>2026-07-30T21:05:53.492089Z</t>
        </is>
      </c>
      <c r="AE4" s="31" t="inlineStr">
        <is>
          <t>Measured Edge Totals: Trend Engine projected 4.22-4.87; raw selected-side p=0.6005, calibrated p=0.5820.</t>
        </is>
      </c>
      <c r="AF4" s="31" t="inlineStr">
        <is>
          <t>Research-only; lineup, bullpen, park, weather, xFIP, and wRC+ may be neutral fallbacks; market availability and BBO depth may change before first pitch.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NO_CALL_MODEL_UNVALIDATED</t>
        </is>
      </c>
      <c r="AP4" s="24" t="inlineStr">
        <is>
          <t>mlb-tex</t>
        </is>
      </c>
      <c r="AQ4" s="24" t="inlineStr">
        <is>
          <t>Texas Rangers</t>
        </is>
      </c>
      <c r="AR4" s="24" t="inlineStr">
        <is>
          <t>Texas Rangers</t>
        </is>
      </c>
      <c r="AS4" s="24" t="inlineStr">
        <is>
          <t>mlb-tb</t>
        </is>
      </c>
      <c r="AT4" s="24" t="inlineStr">
        <is>
          <t>Tampa Bay Rays</t>
        </is>
      </c>
      <c r="AU4" s="24" t="inlineStr">
        <is>
          <t>Tampa Bay Rays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research</t>
        </is>
      </c>
      <c r="BA4" s="24" t="inlineStr">
        <is>
          <t>cbc2c9bf5a9569a49e1902c816d96556d704cf10819ca3a9e927721685757d0b</t>
        </is>
      </c>
      <c r="BB4" s="24" t="inlineStr">
        <is>
          <t>flat_probability_shrinkage_toward_half</t>
        </is>
      </c>
      <c r="BC4" s="24" t="inlineStr">
        <is>
          <t>measured-edge-totals-v1</t>
        </is>
      </c>
      <c r="BD4" s="24" t="inlineStr">
        <is>
          <t>cbc2c9bf5a9569a49e1902c816d96556d704cf10819ca3a9e927721685757d0b</t>
        </is>
      </c>
      <c r="BE4" s="24" t="inlineStr">
        <is>
          <t>v3</t>
        </is>
      </c>
      <c r="BF4" s="24" t="inlineStr">
        <is>
          <t>1</t>
        </is>
      </c>
      <c r="BG4" s="24" t="inlineStr">
        <is>
          <t>measured-edge-paired-v1</t>
        </is>
      </c>
      <c r="BH4" s="24" t="inlineStr">
        <is>
          <t>2026-07-30T16:03:19.057215Z</t>
        </is>
      </c>
      <c r="BI4" s="24" t="inlineStr">
        <is>
          <t>["same_event","same_team_same_day","same_league_same_day"]</t>
        </is>
      </c>
      <c r="BJ4" s="25" t="n">
        <v>7.5</v>
      </c>
      <c r="BK4" s="26" t="n">
        <v>-113</v>
      </c>
      <c r="BL4" s="27" t="n">
        <v>1.884956</v>
      </c>
      <c r="BM4" s="28" t="n">
        <v>0.530516</v>
      </c>
      <c r="BN4" s="28" t="n">
        <v>0.527363</v>
      </c>
      <c r="BO4" s="28" t="n"/>
      <c r="BP4" s="25" t="n"/>
      <c r="BQ4" s="27" t="n">
        <v>1.884956</v>
      </c>
      <c r="BR4" s="28" t="n">
        <v>0.53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80054eebaf564b26</t>
        </is>
      </c>
      <c r="B5" s="24" t="inlineStr">
        <is>
          <t>2026-07-30T17:36:17.628396Z</t>
        </is>
      </c>
      <c r="C5" s="24" t="inlineStr">
        <is>
          <t>2026-07-30T13:40:00-0400</t>
        </is>
      </c>
      <c r="D5" s="24" t="inlineStr">
        <is>
          <t>401816327</t>
        </is>
      </c>
      <c r="E5" s="24" t="inlineStr">
        <is>
          <t>MLB</t>
        </is>
      </c>
      <c r="F5" s="24" t="inlineStr">
        <is>
          <t>Kansas City Royals</t>
        </is>
      </c>
      <c r="G5" s="24" t="inlineStr">
        <is>
          <t>Minnesota Twins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-127</v>
      </c>
      <c r="M5" s="27" t="n">
        <v>1.787402</v>
      </c>
      <c r="N5" s="28" t="n">
        <v>0.5594710000000001</v>
      </c>
      <c r="O5" s="28" t="n">
        <v>0.529687</v>
      </c>
      <c r="P5" s="28" t="n"/>
      <c r="Q5" s="28" t="n">
        <v>-0.029784</v>
      </c>
      <c r="R5" s="26" t="n">
        <v>6</v>
      </c>
      <c r="S5" s="29" t="n">
        <v>0.75</v>
      </c>
      <c r="T5" s="24" t="inlineStr">
        <is>
          <t>mlb-elo-trend-lr-v7</t>
        </is>
      </c>
      <c r="U5" s="24" t="inlineStr">
        <is>
          <t>settled</t>
        </is>
      </c>
      <c r="V5" s="24" t="inlineStr">
        <is>
          <t>win</t>
        </is>
      </c>
      <c r="W5" s="26" t="n">
        <v>3</v>
      </c>
      <c r="X5" s="26" t="n">
        <v>4</v>
      </c>
      <c r="Y5" s="25" t="n"/>
      <c r="Z5" s="26" t="n">
        <v>-127</v>
      </c>
      <c r="AA5" s="28" t="n">
        <v>0.5600000000000001</v>
      </c>
      <c r="AB5" s="28" t="n">
        <v>0.000529</v>
      </c>
      <c r="AC5" s="30" t="n">
        <v>0.5906</v>
      </c>
      <c r="AD5" s="24" t="inlineStr">
        <is>
          <t>2026-07-30T21:05:53.645918Z</t>
        </is>
      </c>
      <c r="AE5" s="31" t="inlineStr">
        <is>
          <t>Learned LR call at threshold 0.6242; executable ask 0.5600 (aec-mlb-kc-min-2026-07-30); model edge vs ask -0.0303.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mlb-kc</t>
        </is>
      </c>
      <c r="AQ5" s="24" t="inlineStr">
        <is>
          <t>Kansas City Royals</t>
        </is>
      </c>
      <c r="AR5" s="24" t="inlineStr">
        <is>
          <t>Kansas City Royals</t>
        </is>
      </c>
      <c r="AS5" s="24" t="inlineStr">
        <is>
          <t>mlb-min</t>
        </is>
      </c>
      <c r="AT5" s="24" t="inlineStr">
        <is>
          <t>Minnesota Twins</t>
        </is>
      </c>
      <c r="AU5" s="24" t="inlineStr">
        <is>
          <t>Minnesota Twins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464eef695bfbbdaa819ec6f5e4c5bd1068ed20b92915fb2677220ae91e20d8b6</t>
        </is>
      </c>
      <c r="BB5" s="24" t="inlineStr">
        <is>
          <t>learned_lr</t>
        </is>
      </c>
      <c r="BC5" s="24" t="inlineStr">
        <is>
          <t>mlb-elo-trend-lr-v7</t>
        </is>
      </c>
      <c r="BD5" s="24" t="inlineStr">
        <is>
          <t>464eef695bfbbdaa819ec6f5e4c5bd1068ed20b92915fb2677220ae91e20d8b6</t>
        </is>
      </c>
      <c r="BE5" s="24" t="inlineStr">
        <is>
          <t>00a066c80876c81d</t>
        </is>
      </c>
      <c r="BF5" s="24" t="inlineStr">
        <is>
          <t>1</t>
        </is>
      </c>
      <c r="BG5" s="24" t="inlineStr">
        <is>
          <t>mlb-elo-trend-lr-v7</t>
        </is>
      </c>
      <c r="BH5" s="24" t="inlineStr">
        <is>
          <t>2026-07-30T17:35:31.601278Z</t>
        </is>
      </c>
      <c r="BI5" s="24" t="inlineStr">
        <is>
          <t>["same_event","same_team_same_day","same_league_same_day"]</t>
        </is>
      </c>
      <c r="BJ5" s="25" t="n"/>
      <c r="BK5" s="26" t="n">
        <v>-127</v>
      </c>
      <c r="BL5" s="27" t="n">
        <v>1.787402</v>
      </c>
      <c r="BM5" s="28" t="n">
        <v>0.5594710000000001</v>
      </c>
      <c r="BN5" s="28" t="n">
        <v>0.557214</v>
      </c>
      <c r="BO5" s="28" t="n"/>
      <c r="BP5" s="25" t="n"/>
      <c r="BQ5" s="27" t="n">
        <v>1.787402</v>
      </c>
      <c r="BR5" s="28" t="n">
        <v>0.5600000000000001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0.5433979589</t>
        </is>
      </c>
      <c r="CD5" s="24" t="inlineStr">
        <is>
          <t>-0.186414</t>
        </is>
      </c>
      <c r="CE5" s="24" t="inlineStr">
        <is>
          <t>1.037</t>
        </is>
      </c>
      <c r="CF5" s="24" t="inlineStr">
        <is>
          <t>1.018</t>
        </is>
      </c>
      <c r="CG5" s="24" t="inlineStr">
        <is>
          <t>1.8</t>
        </is>
      </c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560d43ddfce245d6</t>
        </is>
      </c>
      <c r="B6" s="24" t="inlineStr">
        <is>
          <t>2026-07-30T17:36:17.628396Z</t>
        </is>
      </c>
      <c r="C6" s="24" t="inlineStr">
        <is>
          <t>2026-07-30T14:10:00-0400</t>
        </is>
      </c>
      <c r="D6" s="24" t="inlineStr">
        <is>
          <t>401816328</t>
        </is>
      </c>
      <c r="E6" s="24" t="inlineStr">
        <is>
          <t>MLB</t>
        </is>
      </c>
      <c r="F6" s="24" t="inlineStr">
        <is>
          <t>New York Yankees</t>
        </is>
      </c>
      <c r="G6" s="24" t="inlineStr">
        <is>
          <t>Chicago White Sox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-108</v>
      </c>
      <c r="M6" s="27" t="n">
        <v>1.925926</v>
      </c>
      <c r="N6" s="28" t="n">
        <v>0.519231</v>
      </c>
      <c r="O6" s="28" t="n">
        <v>0.507087</v>
      </c>
      <c r="P6" s="28" t="n"/>
      <c r="Q6" s="28" t="n">
        <v>-0.012144</v>
      </c>
      <c r="R6" s="26" t="n">
        <v>15</v>
      </c>
      <c r="S6" s="29" t="n">
        <v>0.5</v>
      </c>
      <c r="T6" s="24" t="inlineStr">
        <is>
          <t>mlb-elo-trend-lr-v7</t>
        </is>
      </c>
      <c r="U6" s="24" t="inlineStr">
        <is>
          <t>settled</t>
        </is>
      </c>
      <c r="V6" s="24" t="inlineStr">
        <is>
          <t>win</t>
        </is>
      </c>
      <c r="W6" s="26" t="n">
        <v>1</v>
      </c>
      <c r="X6" s="26" t="n">
        <v>2</v>
      </c>
      <c r="Y6" s="25" t="n"/>
      <c r="Z6" s="26" t="n">
        <v>-108</v>
      </c>
      <c r="AA6" s="28" t="n">
        <v>0.52</v>
      </c>
      <c r="AB6" s="28" t="n">
        <v>0.000769</v>
      </c>
      <c r="AC6" s="30" t="n">
        <v>0.463</v>
      </c>
      <c r="AD6" s="24" t="inlineStr">
        <is>
          <t>2026-07-31T00:54:58.572192Z</t>
        </is>
      </c>
      <c r="AE6" s="31" t="inlineStr">
        <is>
          <t>Learned LR call at threshold 0.6242; executable ask 0.5200 (aec-mlb-nyy-cws-2026-07-30); model edge vs ask -0.0129.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mlb-nyy</t>
        </is>
      </c>
      <c r="AQ6" s="24" t="inlineStr">
        <is>
          <t>New York Yankees</t>
        </is>
      </c>
      <c r="AR6" s="24" t="inlineStr">
        <is>
          <t>New York Yankees</t>
        </is>
      </c>
      <c r="AS6" s="24" t="inlineStr">
        <is>
          <t>mlb-cws</t>
        </is>
      </c>
      <c r="AT6" s="24" t="inlineStr">
        <is>
          <t>Chicago White Sox</t>
        </is>
      </c>
      <c r="AU6" s="24" t="inlineStr">
        <is>
          <t>Chicago White Sox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464eef695bfbbdaa819ec6f5e4c5bd1068ed20b92915fb2677220ae91e20d8b6</t>
        </is>
      </c>
      <c r="BB6" s="24" t="inlineStr">
        <is>
          <t>learned_lr</t>
        </is>
      </c>
      <c r="BC6" s="24" t="inlineStr">
        <is>
          <t>mlb-elo-trend-lr-v7</t>
        </is>
      </c>
      <c r="BD6" s="24" t="inlineStr">
        <is>
          <t>464eef695bfbbdaa819ec6f5e4c5bd1068ed20b92915fb2677220ae91e20d8b6</t>
        </is>
      </c>
      <c r="BE6" s="24" t="inlineStr">
        <is>
          <t>2ecf6de0bc0b4429</t>
        </is>
      </c>
      <c r="BF6" s="24" t="inlineStr">
        <is>
          <t>1</t>
        </is>
      </c>
      <c r="BG6" s="24" t="inlineStr">
        <is>
          <t>mlb-elo-trend-lr-v7</t>
        </is>
      </c>
      <c r="BH6" s="24" t="inlineStr">
        <is>
          <t>2026-07-30T17:35:32.550865Z</t>
        </is>
      </c>
      <c r="BI6" s="24" t="inlineStr">
        <is>
          <t>["same_event","same_team_same_day","same_league_same_day"]</t>
        </is>
      </c>
      <c r="BJ6" s="25" t="n"/>
      <c r="BK6" s="26" t="n">
        <v>-108</v>
      </c>
      <c r="BL6" s="27" t="n">
        <v>1.925926</v>
      </c>
      <c r="BM6" s="28" t="n">
        <v>0.519231</v>
      </c>
      <c r="BN6" s="28" t="n">
        <v>0.517413</v>
      </c>
      <c r="BO6" s="28" t="n"/>
      <c r="BP6" s="25" t="n"/>
      <c r="BQ6" s="27" t="n">
        <v>1.925926</v>
      </c>
      <c r="BR6" s="28" t="n">
        <v>0.52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0.4790915827</t>
        </is>
      </c>
      <c r="CD6" s="24" t="inlineStr">
        <is>
          <t>0.689899</t>
        </is>
      </c>
      <c r="CE6" s="24" t="inlineStr">
        <is>
          <t>0.937</t>
        </is>
      </c>
      <c r="CF6" s="24" t="inlineStr">
        <is>
          <t>1.0009</t>
        </is>
      </c>
      <c r="CG6" s="24" t="inlineStr">
        <is>
          <t>1</t>
        </is>
      </c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b912ee69b50f4e34</t>
        </is>
      </c>
      <c r="B7" s="24" t="inlineStr">
        <is>
          <t>2026-07-30T17:36:17.628396Z</t>
        </is>
      </c>
      <c r="C7" s="24" t="inlineStr">
        <is>
          <t>2026-07-30T14:15:00-0400</t>
        </is>
      </c>
      <c r="D7" s="24" t="inlineStr">
        <is>
          <t>401816326</t>
        </is>
      </c>
      <c r="E7" s="24" t="inlineStr">
        <is>
          <t>MLB</t>
        </is>
      </c>
      <c r="F7" s="24" t="inlineStr">
        <is>
          <t>Chicago Cubs</t>
        </is>
      </c>
      <c r="G7" s="24" t="inlineStr">
        <is>
          <t>St. Louis Cardinals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102</v>
      </c>
      <c r="M7" s="27" t="n">
        <v>2.02</v>
      </c>
      <c r="N7" s="28" t="n">
        <v>0.49505</v>
      </c>
      <c r="O7" s="28" t="n">
        <v>0.503115</v>
      </c>
      <c r="P7" s="28" t="n"/>
      <c r="Q7" s="28" t="n">
        <v>0.008064999999999999</v>
      </c>
      <c r="R7" s="26" t="n">
        <v>25</v>
      </c>
      <c r="S7" s="29" t="n">
        <v>0.5</v>
      </c>
      <c r="T7" s="24" t="inlineStr">
        <is>
          <t>mlb-elo-trend-lr-v7</t>
        </is>
      </c>
      <c r="U7" s="24" t="inlineStr">
        <is>
          <t>settled</t>
        </is>
      </c>
      <c r="V7" s="24" t="inlineStr">
        <is>
          <t>win</t>
        </is>
      </c>
      <c r="W7" s="26" t="n">
        <v>4</v>
      </c>
      <c r="X7" s="26" t="n">
        <v>2</v>
      </c>
      <c r="Y7" s="25" t="n"/>
      <c r="Z7" s="26" t="n">
        <v>102</v>
      </c>
      <c r="AA7" s="28" t="n">
        <v>0.495</v>
      </c>
      <c r="AB7" s="28" t="n">
        <v>-5e-05</v>
      </c>
      <c r="AC7" s="30" t="n">
        <v>0.51</v>
      </c>
      <c r="AD7" s="24" t="inlineStr">
        <is>
          <t>2026-07-31T00:54:58.732967Z</t>
        </is>
      </c>
      <c r="AE7" s="31" t="inlineStr">
        <is>
          <t>Learned LR call at threshold 0.6242; executable ask 0.4950 (aec-mlb-chc-stl-2026-07-30); model edge vs ask +0.0081.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mlb-chc</t>
        </is>
      </c>
      <c r="AQ7" s="24" t="inlineStr">
        <is>
          <t>Chicago Cubs</t>
        </is>
      </c>
      <c r="AR7" s="24" t="inlineStr">
        <is>
          <t>Chicago Cubs</t>
        </is>
      </c>
      <c r="AS7" s="24" t="inlineStr">
        <is>
          <t>mlb-stl</t>
        </is>
      </c>
      <c r="AT7" s="24" t="inlineStr">
        <is>
          <t>St. Louis Cardinals</t>
        </is>
      </c>
      <c r="AU7" s="24" t="inlineStr">
        <is>
          <t>St. Louis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464eef695bfbbdaa819ec6f5e4c5bd1068ed20b92915fb2677220ae91e20d8b6</t>
        </is>
      </c>
      <c r="BB7" s="24" t="inlineStr">
        <is>
          <t>learned_lr</t>
        </is>
      </c>
      <c r="BC7" s="24" t="inlineStr">
        <is>
          <t>mlb-elo-trend-lr-v7</t>
        </is>
      </c>
      <c r="BD7" s="24" t="inlineStr">
        <is>
          <t>464eef695bfbbdaa819ec6f5e4c5bd1068ed20b92915fb2677220ae91e20d8b6</t>
        </is>
      </c>
      <c r="BE7" s="24" t="inlineStr">
        <is>
          <t>34f50d6e3a3b635c</t>
        </is>
      </c>
      <c r="BF7" s="24" t="inlineStr">
        <is>
          <t>1</t>
        </is>
      </c>
      <c r="BG7" s="24" t="inlineStr">
        <is>
          <t>mlb-elo-trend-lr-v7</t>
        </is>
      </c>
      <c r="BH7" s="24" t="inlineStr">
        <is>
          <t>2026-07-30T17:35:33.545496Z</t>
        </is>
      </c>
      <c r="BI7" s="24" t="inlineStr">
        <is>
          <t>["same_event","same_team_same_day","same_league_same_day"]</t>
        </is>
      </c>
      <c r="BJ7" s="25" t="n"/>
      <c r="BK7" s="26" t="n">
        <v>102</v>
      </c>
      <c r="BL7" s="27" t="n">
        <v>2.02</v>
      </c>
      <c r="BM7" s="28" t="n">
        <v>0.49505</v>
      </c>
      <c r="BN7" s="28" t="n">
        <v>0.492537</v>
      </c>
      <c r="BO7" s="28" t="n"/>
      <c r="BP7" s="25" t="n"/>
      <c r="BQ7" s="27" t="n">
        <v>2.02</v>
      </c>
      <c r="BR7" s="28" t="n">
        <v>0.495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0.4477582072</t>
        </is>
      </c>
      <c r="CD7" s="24" t="inlineStr">
        <is>
          <t>-1.388842</t>
        </is>
      </c>
      <c r="CE7" s="24" t="inlineStr">
        <is>
          <t>0.946</t>
        </is>
      </c>
      <c r="CF7" s="24" t="inlineStr">
        <is>
          <t>1.0125</t>
        </is>
      </c>
      <c r="CG7" s="24" t="inlineStr">
        <is>
          <t>2</t>
        </is>
      </c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e204040905f94109</t>
        </is>
      </c>
      <c r="B8" s="24" t="inlineStr">
        <is>
          <t>2026-07-30T17:36:41.418998Z</t>
        </is>
      </c>
      <c r="C8" s="24" t="inlineStr">
        <is>
          <t>2026-07-30T17:40Z</t>
        </is>
      </c>
      <c r="D8" s="24" t="inlineStr">
        <is>
          <t>401816327</t>
        </is>
      </c>
      <c r="E8" s="24" t="inlineStr">
        <is>
          <t>MLB</t>
        </is>
      </c>
      <c r="F8" s="24" t="inlineStr">
        <is>
          <t>Kansas City Royals</t>
        </is>
      </c>
      <c r="G8" s="24" t="inlineStr">
        <is>
          <t>Minnesota Twins</t>
        </is>
      </c>
      <c r="H8" s="24" t="inlineStr">
        <is>
          <t>spread</t>
        </is>
      </c>
      <c r="I8" s="24" t="inlineStr">
        <is>
          <t>away</t>
        </is>
      </c>
      <c r="J8" s="25" t="n">
        <v>1.5</v>
      </c>
      <c r="K8" s="24" t="inlineStr">
        <is>
          <t>polymarket_us</t>
        </is>
      </c>
      <c r="L8" s="26" t="n">
        <v>-160</v>
      </c>
      <c r="M8" s="27" t="n">
        <v>1.625</v>
      </c>
      <c r="N8" s="28" t="n">
        <v>0.615385</v>
      </c>
      <c r="O8" s="28" t="n">
        <v>0.550293</v>
      </c>
      <c r="P8" s="28" t="n">
        <v>0.042131</v>
      </c>
      <c r="Q8" s="28" t="n">
        <v>-0.065092</v>
      </c>
      <c r="R8" s="26" t="n">
        <v>0</v>
      </c>
      <c r="S8" s="29" t="n">
        <v>1</v>
      </c>
      <c r="T8" s="24" t="inlineStr">
        <is>
          <t>measured-edge-margin-v1</t>
        </is>
      </c>
      <c r="U8" s="24" t="inlineStr">
        <is>
          <t>settled</t>
        </is>
      </c>
      <c r="V8" s="24" t="inlineStr">
        <is>
          <t>win</t>
        </is>
      </c>
      <c r="W8" s="26" t="n">
        <v>3</v>
      </c>
      <c r="X8" s="26" t="n">
        <v>4</v>
      </c>
      <c r="Y8" s="25" t="n">
        <v>1.5</v>
      </c>
      <c r="Z8" s="26" t="n">
        <v>-160</v>
      </c>
      <c r="AA8" s="28" t="n">
        <v>0.615</v>
      </c>
      <c r="AB8" s="28" t="n">
        <v>-0.000385</v>
      </c>
      <c r="AC8" s="30" t="n">
        <v>0.625</v>
      </c>
      <c r="AD8" s="24" t="inlineStr">
        <is>
          <t>2026-07-30T21:05:53.799263Z</t>
        </is>
      </c>
      <c r="AE8" s="31" t="inlineStr">
        <is>
          <t>Measured Edge Margin: Trend Engine projected 4.80-5.00; raw selected-side p=0.6448, calibrated p=0.5503.</t>
        </is>
      </c>
      <c r="AF8" s="31" t="inlineStr">
        <is>
          <t>Research-only; lineup, bullpen, park, weather, xFIP, and wRC+ may be neutral fallbacks; market availability and BBO depth may change before first pitch.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NO_CALL_MODEL_UNVALIDATED</t>
        </is>
      </c>
      <c r="AP8" s="24" t="inlineStr">
        <is>
          <t>mlb-kc</t>
        </is>
      </c>
      <c r="AQ8" s="24" t="inlineStr">
        <is>
          <t>Kansas City Royals</t>
        </is>
      </c>
      <c r="AR8" s="24" t="inlineStr">
        <is>
          <t>Kansas City Royals</t>
        </is>
      </c>
      <c r="AS8" s="24" t="inlineStr">
        <is>
          <t>mlb-min</t>
        </is>
      </c>
      <c r="AT8" s="24" t="inlineStr">
        <is>
          <t>Minnesota Twins</t>
        </is>
      </c>
      <c r="AU8" s="24" t="inlineStr">
        <is>
          <t>Minnesota Twins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research</t>
        </is>
      </c>
      <c r="BA8" s="24" t="inlineStr">
        <is>
          <t>2bc2ce55b0d39a20103f724bbddbde5394909acd49297f52665b596a0ae3ae8b</t>
        </is>
      </c>
      <c r="BB8" s="24" t="inlineStr">
        <is>
          <t>flat_probability_shrinkage_toward_half</t>
        </is>
      </c>
      <c r="BC8" s="24" t="inlineStr">
        <is>
          <t>measured-edge-margin-v1</t>
        </is>
      </c>
      <c r="BD8" s="24" t="inlineStr">
        <is>
          <t>2bc2ce55b0d39a20103f724bbddbde5394909acd49297f52665b596a0ae3ae8b</t>
        </is>
      </c>
      <c r="BE8" s="24" t="inlineStr">
        <is>
          <t>v3</t>
        </is>
      </c>
      <c r="BF8" s="24" t="inlineStr">
        <is>
          <t>1</t>
        </is>
      </c>
      <c r="BG8" s="24" t="inlineStr">
        <is>
          <t>measured-edge-paired-v1</t>
        </is>
      </c>
      <c r="BH8" s="24" t="inlineStr">
        <is>
          <t>2026-07-30T17:36:41.418998Z</t>
        </is>
      </c>
      <c r="BI8" s="24" t="inlineStr">
        <is>
          <t>["same_event","same_team_same_day","same_league_same_day"]</t>
        </is>
      </c>
      <c r="BJ8" s="25" t="n">
        <v>1.5</v>
      </c>
      <c r="BK8" s="26" t="n">
        <v>-160</v>
      </c>
      <c r="BL8" s="27" t="n">
        <v>1.625</v>
      </c>
      <c r="BM8" s="28" t="n">
        <v>0.615385</v>
      </c>
      <c r="BN8" s="28" t="n">
        <v>0.61194</v>
      </c>
      <c r="BO8" s="28" t="n"/>
      <c r="BP8" s="25" t="n"/>
      <c r="BQ8" s="27" t="n">
        <v>1.625</v>
      </c>
      <c r="BR8" s="28" t="n">
        <v>0.615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0058e2e4dee14815</t>
        </is>
      </c>
      <c r="B9" s="24" t="inlineStr">
        <is>
          <t>2026-07-30T17:36:41.418998Z</t>
        </is>
      </c>
      <c r="C9" s="24" t="inlineStr">
        <is>
          <t>2026-07-30T18:10Z</t>
        </is>
      </c>
      <c r="D9" s="24" t="inlineStr">
        <is>
          <t>401816328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Chicago White Sox</t>
        </is>
      </c>
      <c r="H9" s="24" t="inlineStr">
        <is>
          <t>spread</t>
        </is>
      </c>
      <c r="I9" s="24" t="inlineStr">
        <is>
          <t>home</t>
        </is>
      </c>
      <c r="J9" s="25" t="n">
        <v>1.5</v>
      </c>
      <c r="K9" s="24" t="inlineStr">
        <is>
          <t>polymarket_us</t>
        </is>
      </c>
      <c r="L9" s="26" t="n">
        <v>-182</v>
      </c>
      <c r="M9" s="27" t="n">
        <v>1.549451</v>
      </c>
      <c r="N9" s="28" t="n">
        <v>0.64539</v>
      </c>
      <c r="O9" s="28" t="n">
        <v>0.56787</v>
      </c>
      <c r="P9" s="28" t="n">
        <v>0.042131</v>
      </c>
      <c r="Q9" s="28" t="n">
        <v>-0.07752000000000001</v>
      </c>
      <c r="R9" s="26" t="n">
        <v>0</v>
      </c>
      <c r="S9" s="29" t="n">
        <v>1.25</v>
      </c>
      <c r="T9" s="24" t="inlineStr">
        <is>
          <t>measured-edge-margin-v1</t>
        </is>
      </c>
      <c r="U9" s="24" t="inlineStr">
        <is>
          <t>settled</t>
        </is>
      </c>
      <c r="V9" s="24" t="inlineStr">
        <is>
          <t>win</t>
        </is>
      </c>
      <c r="W9" s="26" t="n">
        <v>1</v>
      </c>
      <c r="X9" s="26" t="n">
        <v>2</v>
      </c>
      <c r="Y9" s="25" t="n">
        <v>1.5</v>
      </c>
      <c r="Z9" s="26" t="n">
        <v>-182</v>
      </c>
      <c r="AA9" s="28" t="n">
        <v>0.645</v>
      </c>
      <c r="AB9" s="28" t="n">
        <v>-0.00039</v>
      </c>
      <c r="AC9" s="30" t="n">
        <v>0.6868</v>
      </c>
      <c r="AD9" s="24" t="inlineStr">
        <is>
          <t>2026-07-31T00:54:58.887853Z</t>
        </is>
      </c>
      <c r="AE9" s="31" t="inlineStr">
        <is>
          <t>Measured Edge Margin: Trend Engine projected 4.07-4.77; raw selected-side p=0.7342, calibrated p=0.5679.</t>
        </is>
      </c>
      <c r="AF9" s="31" t="inlineStr">
        <is>
          <t>Research-only; lineup, bullpen, park, weather, xFIP, and wRC+ may be neutral fallbacks; market availability and BBO depth may change before first pitch.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NO_CALL_MODEL_UNVALIDATED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mlb-cws</t>
        </is>
      </c>
      <c r="AT9" s="24" t="inlineStr">
        <is>
          <t>Chicago White Sox</t>
        </is>
      </c>
      <c r="AU9" s="24" t="inlineStr">
        <is>
          <t>Chicago White Sox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research</t>
        </is>
      </c>
      <c r="BA9" s="24" t="inlineStr">
        <is>
          <t>2bc2ce55b0d39a20103f724bbddbde5394909acd49297f52665b596a0ae3ae8b</t>
        </is>
      </c>
      <c r="BB9" s="24" t="inlineStr">
        <is>
          <t>flat_probability_shrinkage_toward_half</t>
        </is>
      </c>
      <c r="BC9" s="24" t="inlineStr">
        <is>
          <t>measured-edge-margin-v1</t>
        </is>
      </c>
      <c r="BD9" s="24" t="inlineStr">
        <is>
          <t>2bc2ce55b0d39a20103f724bbddbde5394909acd49297f52665b596a0ae3ae8b</t>
        </is>
      </c>
      <c r="BE9" s="24" t="inlineStr">
        <is>
          <t>v3</t>
        </is>
      </c>
      <c r="BF9" s="24" t="inlineStr">
        <is>
          <t>1</t>
        </is>
      </c>
      <c r="BG9" s="24" t="inlineStr">
        <is>
          <t>measured-edge-paired-v1</t>
        </is>
      </c>
      <c r="BH9" s="24" t="inlineStr">
        <is>
          <t>2026-07-30T17:36:41.418998Z</t>
        </is>
      </c>
      <c r="BI9" s="24" t="inlineStr">
        <is>
          <t>["same_event","same_team_same_day","same_league_same_day"]</t>
        </is>
      </c>
      <c r="BJ9" s="25" t="n">
        <v>1.5</v>
      </c>
      <c r="BK9" s="26" t="n">
        <v>-182</v>
      </c>
      <c r="BL9" s="27" t="n">
        <v>1.549451</v>
      </c>
      <c r="BM9" s="28" t="n">
        <v>0.64539</v>
      </c>
      <c r="BN9" s="28" t="n">
        <v>0.641791</v>
      </c>
      <c r="BO9" s="28" t="n"/>
      <c r="BP9" s="25" t="n"/>
      <c r="BQ9" s="27" t="n">
        <v>1.549451</v>
      </c>
      <c r="BR9" s="28" t="n">
        <v>0.645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3fc8b2e5f3744a2c</t>
        </is>
      </c>
      <c r="B10" s="24" t="inlineStr">
        <is>
          <t>2026-07-30T17:36:41.418998Z</t>
        </is>
      </c>
      <c r="C10" s="24" t="inlineStr">
        <is>
          <t>2026-07-30T18:10Z</t>
        </is>
      </c>
      <c r="D10" s="24" t="inlineStr">
        <is>
          <t>401816328</t>
        </is>
      </c>
      <c r="E10" s="24" t="inlineStr">
        <is>
          <t>MLB</t>
        </is>
      </c>
      <c r="F10" s="24" t="inlineStr">
        <is>
          <t>New York Yankees</t>
        </is>
      </c>
      <c r="G10" s="24" t="inlineStr">
        <is>
          <t>Chicago White Sox</t>
        </is>
      </c>
      <c r="H10" s="24" t="inlineStr">
        <is>
          <t>total</t>
        </is>
      </c>
      <c r="I10" s="24" t="inlineStr">
        <is>
          <t>over</t>
        </is>
      </c>
      <c r="J10" s="25" t="n">
        <v>7.5</v>
      </c>
      <c r="K10" s="24" t="inlineStr">
        <is>
          <t>polymarket_us</t>
        </is>
      </c>
      <c r="L10" s="26" t="n">
        <v>106</v>
      </c>
      <c r="M10" s="27" t="n">
        <v>2.06</v>
      </c>
      <c r="N10" s="28" t="n">
        <v>0.485437</v>
      </c>
      <c r="O10" s="28" t="n">
        <v>0.562449</v>
      </c>
      <c r="P10" s="28" t="n">
        <v>0.042131</v>
      </c>
      <c r="Q10" s="28" t="n">
        <v>0.077012</v>
      </c>
      <c r="R10" s="26" t="n">
        <v>63</v>
      </c>
      <c r="S10" s="29" t="n">
        <v>1.25</v>
      </c>
      <c r="T10" s="24" t="inlineStr">
        <is>
          <t>measured-edge-totals-v1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2</v>
      </c>
      <c r="Y10" s="25" t="n">
        <v>7.5</v>
      </c>
      <c r="Z10" s="26" t="n">
        <v>106</v>
      </c>
      <c r="AA10" s="28" t="n">
        <v>0.485</v>
      </c>
      <c r="AB10" s="28" t="n">
        <v>-0.000437</v>
      </c>
      <c r="AC10" s="30" t="n">
        <v>-1.25</v>
      </c>
      <c r="AD10" s="24" t="inlineStr">
        <is>
          <t>2026-07-31T00:54:59.047172Z</t>
        </is>
      </c>
      <c r="AE10" s="31" t="inlineStr">
        <is>
          <t>Measured Edge Totals: Trend Engine projected 4.07-4.77; raw selected-side p=0.5803, calibrated p=0.5624.</t>
        </is>
      </c>
      <c r="AF10" s="31" t="inlineStr">
        <is>
          <t>Research-only; lineup, bullpen, park, weather, xFIP, and wRC+ may be neutral fallbacks; market availability and BBO depth may change before first pitch.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NO_CALL_MODEL_UNVALIDATED</t>
        </is>
      </c>
      <c r="AP10" s="24" t="inlineStr">
        <is>
          <t>mlb-nyy</t>
        </is>
      </c>
      <c r="AQ10" s="24" t="inlineStr">
        <is>
          <t>New York Yankees</t>
        </is>
      </c>
      <c r="AR10" s="24" t="inlineStr">
        <is>
          <t>New York Yankees</t>
        </is>
      </c>
      <c r="AS10" s="24" t="inlineStr">
        <is>
          <t>mlb-cws</t>
        </is>
      </c>
      <c r="AT10" s="24" t="inlineStr">
        <is>
          <t>Chicago White Sox</t>
        </is>
      </c>
      <c r="AU10" s="24" t="inlineStr">
        <is>
          <t>Chicago White Sox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research</t>
        </is>
      </c>
      <c r="BA10" s="24" t="inlineStr">
        <is>
          <t>cbc2c9bf5a9569a49e1902c816d96556d704cf10819ca3a9e927721685757d0b</t>
        </is>
      </c>
      <c r="BB10" s="24" t="inlineStr">
        <is>
          <t>flat_probability_shrinkage_toward_half</t>
        </is>
      </c>
      <c r="BC10" s="24" t="inlineStr">
        <is>
          <t>measured-edge-totals-v1</t>
        </is>
      </c>
      <c r="BD10" s="24" t="inlineStr">
        <is>
          <t>cbc2c9bf5a9569a49e1902c816d96556d704cf10819ca3a9e927721685757d0b</t>
        </is>
      </c>
      <c r="BE10" s="24" t="inlineStr">
        <is>
          <t>v3</t>
        </is>
      </c>
      <c r="BF10" s="24" t="inlineStr">
        <is>
          <t>1</t>
        </is>
      </c>
      <c r="BG10" s="24" t="inlineStr">
        <is>
          <t>measured-edge-paired-v1</t>
        </is>
      </c>
      <c r="BH10" s="24" t="inlineStr">
        <is>
          <t>2026-07-30T17:36:41.418998Z</t>
        </is>
      </c>
      <c r="BI10" s="24" t="inlineStr">
        <is>
          <t>["same_event","same_team_same_day","same_league_same_day"]</t>
        </is>
      </c>
      <c r="BJ10" s="25" t="n">
        <v>7.5</v>
      </c>
      <c r="BK10" s="26" t="n">
        <v>106</v>
      </c>
      <c r="BL10" s="27" t="n">
        <v>2.06</v>
      </c>
      <c r="BM10" s="28" t="n">
        <v>0.485437</v>
      </c>
      <c r="BN10" s="28" t="n">
        <v>0.482587</v>
      </c>
      <c r="BO10" s="28" t="n"/>
      <c r="BP10" s="25" t="n"/>
      <c r="BQ10" s="27" t="n">
        <v>2.06</v>
      </c>
      <c r="BR10" s="28" t="n">
        <v>0.485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dffb9fbd0449460f</t>
        </is>
      </c>
      <c r="B11" s="24" t="inlineStr">
        <is>
          <t>2026-07-30T17:36:41.418998Z</t>
        </is>
      </c>
      <c r="C11" s="24" t="inlineStr">
        <is>
          <t>2026-07-30T18:15Z</t>
        </is>
      </c>
      <c r="D11" s="24" t="inlineStr">
        <is>
          <t>401816326</t>
        </is>
      </c>
      <c r="E11" s="24" t="inlineStr">
        <is>
          <t>MLB</t>
        </is>
      </c>
      <c r="F11" s="24" t="inlineStr">
        <is>
          <t>Chicago Cubs</t>
        </is>
      </c>
      <c r="G11" s="24" t="inlineStr">
        <is>
          <t>St. Louis Cardinals</t>
        </is>
      </c>
      <c r="H11" s="24" t="inlineStr">
        <is>
          <t>spread</t>
        </is>
      </c>
      <c r="I11" s="24" t="inlineStr">
        <is>
          <t>home</t>
        </is>
      </c>
      <c r="J11" s="25" t="n">
        <v>1.5</v>
      </c>
      <c r="K11" s="24" t="inlineStr">
        <is>
          <t>polymarket_us</t>
        </is>
      </c>
      <c r="L11" s="26" t="n">
        <v>-174</v>
      </c>
      <c r="M11" s="27" t="n">
        <v>1.574713</v>
      </c>
      <c r="N11" s="28" t="n">
        <v>0.635036</v>
      </c>
      <c r="O11" s="28" t="n">
        <v>0.556257</v>
      </c>
      <c r="P11" s="28" t="n">
        <v>0.042131</v>
      </c>
      <c r="Q11" s="28" t="n">
        <v>-0.078779</v>
      </c>
      <c r="R11" s="26" t="n">
        <v>0</v>
      </c>
      <c r="S11" s="29" t="n">
        <v>1</v>
      </c>
      <c r="T11" s="24" t="inlineStr">
        <is>
          <t>measured-edge-margin-v1</t>
        </is>
      </c>
      <c r="U11" s="24" t="inlineStr">
        <is>
          <t>settled</t>
        </is>
      </c>
      <c r="V11" s="24" t="inlineStr">
        <is>
          <t>loss</t>
        </is>
      </c>
      <c r="W11" s="26" t="n">
        <v>4</v>
      </c>
      <c r="X11" s="26" t="n">
        <v>2</v>
      </c>
      <c r="Y11" s="25" t="n">
        <v>1.5</v>
      </c>
      <c r="Z11" s="26" t="n">
        <v>-174</v>
      </c>
      <c r="AA11" s="28" t="n">
        <v>0.635</v>
      </c>
      <c r="AB11" s="28" t="n">
        <v>-3.6e-05</v>
      </c>
      <c r="AC11" s="30" t="n">
        <v>-1</v>
      </c>
      <c r="AD11" s="24" t="inlineStr">
        <is>
          <t>2026-07-31T00:54:59.202385Z</t>
        </is>
      </c>
      <c r="AE11" s="31" t="inlineStr">
        <is>
          <t>Measured Edge Margin: Trend Engine projected 4.49-4.55; raw selected-side p=0.6751, calibrated p=0.5563.</t>
        </is>
      </c>
      <c r="AF11" s="31" t="inlineStr">
        <is>
          <t>Research-only; lineup, bullpen, park, weather, xFIP, and wRC+ may be neutral fallbacks; market availability and BBO depth may change before first pitch.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mlb-chc</t>
        </is>
      </c>
      <c r="AQ11" s="24" t="inlineStr">
        <is>
          <t>Chicago Cubs</t>
        </is>
      </c>
      <c r="AR11" s="24" t="inlineStr">
        <is>
          <t>Chicago Cubs</t>
        </is>
      </c>
      <c r="AS11" s="24" t="inlineStr">
        <is>
          <t>mlb-stl</t>
        </is>
      </c>
      <c r="AT11" s="24" t="inlineStr">
        <is>
          <t>St. Louis Cardinals</t>
        </is>
      </c>
      <c r="AU11" s="24" t="inlineStr">
        <is>
          <t>St. Louis Cardinals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research</t>
        </is>
      </c>
      <c r="BA11" s="24" t="inlineStr">
        <is>
          <t>2bc2ce55b0d39a20103f724bbddbde5394909acd49297f52665b596a0ae3ae8b</t>
        </is>
      </c>
      <c r="BB11" s="24" t="inlineStr">
        <is>
          <t>flat_probability_shrinkage_toward_half</t>
        </is>
      </c>
      <c r="BC11" s="24" t="inlineStr">
        <is>
          <t>measured-edge-margin-v1</t>
        </is>
      </c>
      <c r="BD11" s="24" t="inlineStr">
        <is>
          <t>2bc2ce55b0d39a20103f724bbddbde5394909acd49297f52665b596a0ae3ae8b</t>
        </is>
      </c>
      <c r="BE11" s="24" t="inlineStr">
        <is>
          <t>v3</t>
        </is>
      </c>
      <c r="BF11" s="24" t="inlineStr">
        <is>
          <t>1</t>
        </is>
      </c>
      <c r="BG11" s="24" t="inlineStr">
        <is>
          <t>measured-edge-paired-v1</t>
        </is>
      </c>
      <c r="BH11" s="24" t="inlineStr">
        <is>
          <t>2026-07-30T17:36:41.418998Z</t>
        </is>
      </c>
      <c r="BI11" s="24" t="inlineStr">
        <is>
          <t>["same_event","same_team_same_day","same_league_same_day"]</t>
        </is>
      </c>
      <c r="BJ11" s="25" t="n">
        <v>1.5</v>
      </c>
      <c r="BK11" s="26" t="n">
        <v>-174</v>
      </c>
      <c r="BL11" s="27" t="n">
        <v>1.574713</v>
      </c>
      <c r="BM11" s="28" t="n">
        <v>0.635036</v>
      </c>
      <c r="BN11" s="28" t="n">
        <v>0.631841</v>
      </c>
      <c r="BO11" s="28" t="n"/>
      <c r="BP11" s="25" t="n"/>
      <c r="BQ11" s="27" t="n">
        <v>1.574713</v>
      </c>
      <c r="BR11" s="28" t="n">
        <v>0.635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f51c71784cf44ec9</t>
        </is>
      </c>
      <c r="B12" s="24" t="inlineStr">
        <is>
          <t>2026-07-30T17:36:41.418998Z</t>
        </is>
      </c>
      <c r="C12" s="24" t="inlineStr">
        <is>
          <t>2026-07-30T18:15Z</t>
        </is>
      </c>
      <c r="D12" s="24" t="inlineStr">
        <is>
          <t>401816326</t>
        </is>
      </c>
      <c r="E12" s="24" t="inlineStr">
        <is>
          <t>MLB</t>
        </is>
      </c>
      <c r="F12" s="24" t="inlineStr">
        <is>
          <t>Chicago Cubs</t>
        </is>
      </c>
      <c r="G12" s="24" t="inlineStr">
        <is>
          <t>St. Louis Cardinals</t>
        </is>
      </c>
      <c r="H12" s="24" t="inlineStr">
        <is>
          <t>total</t>
        </is>
      </c>
      <c r="I12" s="24" t="inlineStr">
        <is>
          <t>over</t>
        </is>
      </c>
      <c r="J12" s="25" t="n">
        <v>8.5</v>
      </c>
      <c r="K12" s="24" t="inlineStr">
        <is>
          <t>polymarket_us</t>
        </is>
      </c>
      <c r="L12" s="26" t="n">
        <v>113</v>
      </c>
      <c r="M12" s="27" t="n">
        <v>2.13</v>
      </c>
      <c r="N12" s="28" t="n">
        <v>0.469484</v>
      </c>
      <c r="O12" s="28" t="n">
        <v>0.500169</v>
      </c>
      <c r="P12" s="28" t="n">
        <v>0.042131</v>
      </c>
      <c r="Q12" s="28" t="n">
        <v>0.030685</v>
      </c>
      <c r="R12" s="26" t="n">
        <v>40</v>
      </c>
      <c r="S12" s="29" t="n">
        <v>1</v>
      </c>
      <c r="T12" s="24" t="inlineStr">
        <is>
          <t>measured-edge-totals-v1</t>
        </is>
      </c>
      <c r="U12" s="24" t="inlineStr">
        <is>
          <t>settled</t>
        </is>
      </c>
      <c r="V12" s="24" t="inlineStr">
        <is>
          <t>loss</t>
        </is>
      </c>
      <c r="W12" s="26" t="n">
        <v>4</v>
      </c>
      <c r="X12" s="26" t="n">
        <v>2</v>
      </c>
      <c r="Y12" s="25" t="n">
        <v>8.5</v>
      </c>
      <c r="Z12" s="26" t="n">
        <v>113</v>
      </c>
      <c r="AA12" s="28" t="n">
        <v>0.47</v>
      </c>
      <c r="AB12" s="28" t="n">
        <v>0.000516</v>
      </c>
      <c r="AC12" s="30" t="n">
        <v>-1</v>
      </c>
      <c r="AD12" s="24" t="inlineStr">
        <is>
          <t>2026-07-31T00:54:59.357088Z</t>
        </is>
      </c>
      <c r="AE12" s="31" t="inlineStr">
        <is>
          <t>Measured Edge Totals: Trend Engine projected 4.49-4.55; raw selected-side p=0.5161, calibrated p=0.5002.</t>
        </is>
      </c>
      <c r="AF12" s="31" t="inlineStr">
        <is>
          <t>Research-only; lineup, bullpen, park, weather, xFIP, and wRC+ may be neutral fallbacks; market availability and BBO depth may change before first pitch.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NO_CALL_MODEL_UNVALIDATED</t>
        </is>
      </c>
      <c r="AP12" s="24" t="inlineStr">
        <is>
          <t>mlb-chc</t>
        </is>
      </c>
      <c r="AQ12" s="24" t="inlineStr">
        <is>
          <t>Chicago Cubs</t>
        </is>
      </c>
      <c r="AR12" s="24" t="inlineStr">
        <is>
          <t>Chicago Cubs</t>
        </is>
      </c>
      <c r="AS12" s="24" t="inlineStr">
        <is>
          <t>mlb-stl</t>
        </is>
      </c>
      <c r="AT12" s="24" t="inlineStr">
        <is>
          <t>St. Louis Cardinals</t>
        </is>
      </c>
      <c r="AU12" s="24" t="inlineStr">
        <is>
          <t>St. Louis Cardinals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research</t>
        </is>
      </c>
      <c r="BA12" s="24" t="inlineStr">
        <is>
          <t>cbc2c9bf5a9569a49e1902c816d96556d704cf10819ca3a9e927721685757d0b</t>
        </is>
      </c>
      <c r="BB12" s="24" t="inlineStr">
        <is>
          <t>flat_probability_shrinkage_toward_half</t>
        </is>
      </c>
      <c r="BC12" s="24" t="inlineStr">
        <is>
          <t>measured-edge-totals-v1</t>
        </is>
      </c>
      <c r="BD12" s="24" t="inlineStr">
        <is>
          <t>cbc2c9bf5a9569a49e1902c816d96556d704cf10819ca3a9e927721685757d0b</t>
        </is>
      </c>
      <c r="BE12" s="24" t="inlineStr">
        <is>
          <t>v3</t>
        </is>
      </c>
      <c r="BF12" s="24" t="inlineStr">
        <is>
          <t>1</t>
        </is>
      </c>
      <c r="BG12" s="24" t="inlineStr">
        <is>
          <t>measured-edge-paired-v1</t>
        </is>
      </c>
      <c r="BH12" s="24" t="inlineStr">
        <is>
          <t>2026-07-30T17:36:41.418998Z</t>
        </is>
      </c>
      <c r="BI12" s="24" t="inlineStr">
        <is>
          <t>["same_event","same_team_same_day","same_league_same_day"]</t>
        </is>
      </c>
      <c r="BJ12" s="25" t="n">
        <v>8.5</v>
      </c>
      <c r="BK12" s="26" t="n">
        <v>113</v>
      </c>
      <c r="BL12" s="27" t="n">
        <v>2.13</v>
      </c>
      <c r="BM12" s="28" t="n">
        <v>0.469484</v>
      </c>
      <c r="BN12" s="28" t="n">
        <v>0.467662</v>
      </c>
      <c r="BO12" s="28" t="n"/>
      <c r="BP12" s="25" t="n"/>
      <c r="BQ12" s="27" t="n">
        <v>2.13</v>
      </c>
      <c r="BR12" s="28" t="n">
        <v>0.47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290bae9188f1467d</t>
        </is>
      </c>
      <c r="B13" s="24" t="inlineStr">
        <is>
          <t>2026-07-30T21:07:38.996144Z</t>
        </is>
      </c>
      <c r="C13" s="24" t="inlineStr">
        <is>
          <t>2026-07-30T19:00:00-0400</t>
        </is>
      </c>
      <c r="D13" s="24" t="inlineStr">
        <is>
          <t>401816325</t>
        </is>
      </c>
      <c r="E13" s="24" t="inlineStr">
        <is>
          <t>MLB</t>
        </is>
      </c>
      <c r="F13" s="24" t="inlineStr">
        <is>
          <t>Washington Nationals</t>
        </is>
      </c>
      <c r="G13" s="24" t="inlineStr">
        <is>
          <t>Atlanta Braves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0.612872</v>
      </c>
      <c r="P13" s="28" t="n"/>
      <c r="Q13" s="28" t="n">
        <v>0.022708</v>
      </c>
      <c r="R13" s="26" t="n">
        <v>33</v>
      </c>
      <c r="S13" s="29" t="n">
        <v>1.75</v>
      </c>
      <c r="T13" s="24" t="inlineStr">
        <is>
          <t>mlb-elo-trend-lr-v7</t>
        </is>
      </c>
      <c r="U13" s="24" t="inlineStr">
        <is>
          <t>settled</t>
        </is>
      </c>
      <c r="V13" s="24" t="inlineStr">
        <is>
          <t>win</t>
        </is>
      </c>
      <c r="W13" s="26" t="n">
        <v>4</v>
      </c>
      <c r="X13" s="26" t="n">
        <v>5</v>
      </c>
      <c r="Y13" s="25" t="n"/>
      <c r="Z13" s="26" t="n">
        <v>-144</v>
      </c>
      <c r="AA13" s="28" t="n">
        <v>0.59</v>
      </c>
      <c r="AB13" s="28" t="n">
        <v>-0.000164</v>
      </c>
      <c r="AC13" s="30" t="n">
        <v>1.2153</v>
      </c>
      <c r="AD13" s="24" t="inlineStr">
        <is>
          <t>2026-07-31T04:29:20.291984Z</t>
        </is>
      </c>
      <c r="AE13" s="31" t="inlineStr">
        <is>
          <t>Learned LR call at threshold 0.6242; executable ask 0.5900 (aec-mlb-wsh-atl-2026-07-30); model edge vs ask +0.0229.</t>
        </is>
      </c>
      <c r="AF13" s="31" t="inlineStr">
        <is>
          <t>Learned model; shadow-qualified via operator override.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mlb-wsh</t>
        </is>
      </c>
      <c r="AQ13" s="24" t="inlineStr">
        <is>
          <t>Washington Nationals</t>
        </is>
      </c>
      <c r="AR13" s="24" t="inlineStr">
        <is>
          <t>Washington Nationals</t>
        </is>
      </c>
      <c r="AS13" s="24" t="inlineStr">
        <is>
          <t>mlb-atl</t>
        </is>
      </c>
      <c r="AT13" s="24" t="inlineStr">
        <is>
          <t>Atlanta Braves</t>
        </is>
      </c>
      <c r="AU13" s="24" t="inlineStr">
        <is>
          <t>Atlanta Braves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464eef695bfbbdaa819ec6f5e4c5bd1068ed20b92915fb2677220ae91e20d8b6</t>
        </is>
      </c>
      <c r="BB13" s="24" t="inlineStr">
        <is>
          <t>learned_lr</t>
        </is>
      </c>
      <c r="BC13" s="24" t="inlineStr">
        <is>
          <t>mlb-elo-trend-lr-v7</t>
        </is>
      </c>
      <c r="BD13" s="24" t="inlineStr">
        <is>
          <t>464eef695bfbbdaa819ec6f5e4c5bd1068ed20b92915fb2677220ae91e20d8b6</t>
        </is>
      </c>
      <c r="BE13" s="24" t="inlineStr">
        <is>
          <t>2ad0bbfc4a5ff39d</t>
        </is>
      </c>
      <c r="BF13" s="24" t="inlineStr">
        <is>
          <t>1</t>
        </is>
      </c>
      <c r="BG13" s="24" t="inlineStr">
        <is>
          <t>mlb-elo-trend-lr-v7</t>
        </is>
      </c>
      <c r="BH13" s="24" t="inlineStr">
        <is>
          <t>2026-07-30T21:07:13.074633Z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>
        <v>0.5870649999999999</v>
      </c>
      <c r="BO13" s="28" t="n"/>
      <c r="BP13" s="25" t="n"/>
      <c r="BQ13" s="27" t="n">
        <v>1.694444</v>
      </c>
      <c r="BR13" s="28" t="n">
        <v>0.59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0.6174839141</t>
        </is>
      </c>
      <c r="CD13" s="24" t="inlineStr">
        <is>
          <t>-0.449351</t>
        </is>
      </c>
      <c r="CE13" s="24" t="inlineStr">
        <is>
          <t>0.929</t>
        </is>
      </c>
      <c r="CF13" s="24" t="inlineStr">
        <is>
          <t>1.0174</t>
        </is>
      </c>
      <c r="CG13" s="24" t="inlineStr">
        <is>
          <t>0.2</t>
        </is>
      </c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373898a172fe4c46</t>
        </is>
      </c>
      <c r="B14" s="24" t="inlineStr">
        <is>
          <t>2026-07-30T21:07:38.996144Z</t>
        </is>
      </c>
      <c r="C14" s="24" t="inlineStr">
        <is>
          <t>2026-07-30T19:10:00-0400</t>
        </is>
      </c>
      <c r="D14" s="24" t="inlineStr">
        <is>
          <t>401816322</t>
        </is>
      </c>
      <c r="E14" s="24" t="inlineStr">
        <is>
          <t>MLB</t>
        </is>
      </c>
      <c r="F14" s="24" t="inlineStr">
        <is>
          <t>Miami Marlins</t>
        </is>
      </c>
      <c r="G14" s="24" t="inlineStr">
        <is>
          <t>New York Mets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0.5134919999999999</v>
      </c>
      <c r="P14" s="28" t="n"/>
      <c r="Q14" s="28" t="n">
        <v>-0.025679</v>
      </c>
      <c r="R14" s="26" t="n">
        <v>8</v>
      </c>
      <c r="S14" s="29" t="n">
        <v>0.75</v>
      </c>
      <c r="T14" s="24" t="inlineStr">
        <is>
          <t>mlb-elo-trend-lr-v7</t>
        </is>
      </c>
      <c r="U14" s="24" t="inlineStr">
        <is>
          <t>settled</t>
        </is>
      </c>
      <c r="V14" s="24" t="inlineStr">
        <is>
          <t>win</t>
        </is>
      </c>
      <c r="W14" s="26" t="n">
        <v>2</v>
      </c>
      <c r="X14" s="26" t="n">
        <v>4</v>
      </c>
      <c r="Y14" s="25" t="n"/>
      <c r="Z14" s="26" t="n">
        <v>-117</v>
      </c>
      <c r="AA14" s="28" t="n">
        <v>0.54</v>
      </c>
      <c r="AB14" s="28" t="n">
        <v>0.000829</v>
      </c>
      <c r="AC14" s="30" t="n">
        <v>0.641</v>
      </c>
      <c r="AD14" s="24" t="inlineStr">
        <is>
          <t>2026-07-31T04:29:20.631725Z</t>
        </is>
      </c>
      <c r="AE14" s="31" t="inlineStr">
        <is>
          <t>Learned LR call at threshold 0.6242; executable ask 0.5400 (aec-mlb-mia-nym-2026-07-30); model edge vs ask -0.0265.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mlb-mia</t>
        </is>
      </c>
      <c r="AQ14" s="24" t="inlineStr">
        <is>
          <t>Miami Marlins</t>
        </is>
      </c>
      <c r="AR14" s="24" t="inlineStr">
        <is>
          <t>Miami Marlins</t>
        </is>
      </c>
      <c r="AS14" s="24" t="inlineStr">
        <is>
          <t>mlb-nym</t>
        </is>
      </c>
      <c r="AT14" s="24" t="inlineStr">
        <is>
          <t>New York Mets</t>
        </is>
      </c>
      <c r="AU14" s="24" t="inlineStr">
        <is>
          <t>New York Mets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464eef695bfbbdaa819ec6f5e4c5bd1068ed20b92915fb2677220ae91e20d8b6</t>
        </is>
      </c>
      <c r="BB14" s="24" t="inlineStr">
        <is>
          <t>learned_lr</t>
        </is>
      </c>
      <c r="BC14" s="24" t="inlineStr">
        <is>
          <t>mlb-elo-trend-lr-v7</t>
        </is>
      </c>
      <c r="BD14" s="24" t="inlineStr">
        <is>
          <t>464eef695bfbbdaa819ec6f5e4c5bd1068ed20b92915fb2677220ae91e20d8b6</t>
        </is>
      </c>
      <c r="BE14" s="24" t="inlineStr">
        <is>
          <t>e514206d77553482</t>
        </is>
      </c>
      <c r="BF14" s="24" t="inlineStr">
        <is>
          <t>1</t>
        </is>
      </c>
      <c r="BG14" s="24" t="inlineStr">
        <is>
          <t>mlb-elo-trend-lr-v7</t>
        </is>
      </c>
      <c r="BH14" s="24" t="inlineStr">
        <is>
          <t>2026-07-30T21:07:11.963447Z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>
        <v>1.854701</v>
      </c>
      <c r="BR14" s="28" t="n">
        <v>0.54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0.5051537166</t>
        </is>
      </c>
      <c r="CD14" s="24" t="inlineStr">
        <is>
          <t>0.008278</t>
        </is>
      </c>
      <c r="CE14" s="24" t="inlineStr">
        <is>
          <t>0.978</t>
        </is>
      </c>
      <c r="CF14" s="24" t="inlineStr">
        <is>
          <t>1.0054</t>
        </is>
      </c>
      <c r="CG14" s="24" t="inlineStr">
        <is>
          <t>-1.8</t>
        </is>
      </c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d0364ee11ff3488c</t>
        </is>
      </c>
      <c r="B15" s="24" t="inlineStr">
        <is>
          <t>2026-07-30T21:07:38.996144Z</t>
        </is>
      </c>
      <c r="C15" s="24" t="inlineStr">
        <is>
          <t>2026-07-30T19:10:00-0400</t>
        </is>
      </c>
      <c r="D15" s="24" t="inlineStr">
        <is>
          <t>401816323</t>
        </is>
      </c>
      <c r="E15" s="24" t="inlineStr">
        <is>
          <t>MLB</t>
        </is>
      </c>
      <c r="F15" s="24" t="inlineStr">
        <is>
          <t>Pittsburgh Pirates</t>
        </is>
      </c>
      <c r="G15" s="24" t="inlineStr">
        <is>
          <t>Cincinnati Reds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-111</v>
      </c>
      <c r="M15" s="27" t="n">
        <v>1.900901</v>
      </c>
      <c r="N15" s="28" t="n">
        <v>0.526066</v>
      </c>
      <c r="O15" s="28" t="n">
        <v>0.520916</v>
      </c>
      <c r="P15" s="28" t="n"/>
      <c r="Q15" s="28" t="n">
        <v>-0.00515</v>
      </c>
      <c r="R15" s="26" t="n">
        <v>19</v>
      </c>
      <c r="S15" s="29" t="n">
        <v>0.75</v>
      </c>
      <c r="T15" s="24" t="inlineStr">
        <is>
          <t>mlb-elo-trend-lr-v7</t>
        </is>
      </c>
      <c r="U15" s="24" t="inlineStr">
        <is>
          <t>settled</t>
        </is>
      </c>
      <c r="V15" s="24" t="inlineStr">
        <is>
          <t>loss</t>
        </is>
      </c>
      <c r="W15" s="26" t="n">
        <v>2</v>
      </c>
      <c r="X15" s="26" t="n">
        <v>3</v>
      </c>
      <c r="Y15" s="25" t="n"/>
      <c r="Z15" s="26" t="n">
        <v>-111</v>
      </c>
      <c r="AA15" s="28" t="n">
        <v>0.525</v>
      </c>
      <c r="AB15" s="28" t="n">
        <v>-0.001066</v>
      </c>
      <c r="AC15" s="30" t="n">
        <v>-0.75</v>
      </c>
      <c r="AD15" s="24" t="inlineStr">
        <is>
          <t>2026-07-31T04:29:20.800435Z</t>
        </is>
      </c>
      <c r="AE15" s="31" t="inlineStr">
        <is>
          <t>Learned LR call at threshold 0.6242; executable ask 0.5250 (aec-mlb-pit-cin-2026-07-30); model edge vs ask -0.0041.</t>
        </is>
      </c>
      <c r="AF15" s="31" t="inlineStr">
        <is>
          <t>Learned model; shadow-qualified via operator override.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mlb-pit</t>
        </is>
      </c>
      <c r="AQ15" s="24" t="inlineStr">
        <is>
          <t>Pittsburgh Pirates</t>
        </is>
      </c>
      <c r="AR15" s="24" t="inlineStr">
        <is>
          <t>Pittsburgh Pirates</t>
        </is>
      </c>
      <c r="AS15" s="24" t="inlineStr">
        <is>
          <t>mlb-cin</t>
        </is>
      </c>
      <c r="AT15" s="24" t="inlineStr">
        <is>
          <t>Cincinnati Reds</t>
        </is>
      </c>
      <c r="AU15" s="24" t="inlineStr">
        <is>
          <t>Cincinnati Reds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464eef695bfbbdaa819ec6f5e4c5bd1068ed20b92915fb2677220ae91e20d8b6</t>
        </is>
      </c>
      <c r="BB15" s="24" t="inlineStr">
        <is>
          <t>learned_lr</t>
        </is>
      </c>
      <c r="BC15" s="24" t="inlineStr">
        <is>
          <t>mlb-elo-trend-lr-v7</t>
        </is>
      </c>
      <c r="BD15" s="24" t="inlineStr">
        <is>
          <t>464eef695bfbbdaa819ec6f5e4c5bd1068ed20b92915fb2677220ae91e20d8b6</t>
        </is>
      </c>
      <c r="BE15" s="24" t="inlineStr">
        <is>
          <t>b3d67de7b6d26958</t>
        </is>
      </c>
      <c r="BF15" s="24" t="inlineStr">
        <is>
          <t>1</t>
        </is>
      </c>
      <c r="BG15" s="24" t="inlineStr">
        <is>
          <t>mlb-elo-trend-lr-v7</t>
        </is>
      </c>
      <c r="BH15" s="24" t="inlineStr">
        <is>
          <t>2026-07-30T21:07:11.035351Z</t>
        </is>
      </c>
      <c r="BI15" s="24" t="inlineStr">
        <is>
          <t>["same_event","same_team_same_day","same_league_same_day"]</t>
        </is>
      </c>
      <c r="BJ15" s="25" t="n"/>
      <c r="BK15" s="26" t="n">
        <v>-111</v>
      </c>
      <c r="BL15" s="27" t="n">
        <v>1.900901</v>
      </c>
      <c r="BM15" s="28" t="n">
        <v>0.526066</v>
      </c>
      <c r="BN15" s="28" t="n">
        <v>0.522388</v>
      </c>
      <c r="BO15" s="28" t="n"/>
      <c r="BP15" s="25" t="n"/>
      <c r="BQ15" s="27" t="n">
        <v>1.900901</v>
      </c>
      <c r="BR15" s="28" t="n">
        <v>0.525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0.4889165025</t>
        </is>
      </c>
      <c r="CD15" s="24" t="inlineStr">
        <is>
          <t>0.498942</t>
        </is>
      </c>
      <c r="CE15" s="24" t="inlineStr">
        <is>
          <t>1.036</t>
        </is>
      </c>
      <c r="CF15" s="24" t="inlineStr">
        <is>
          <t>1.0086</t>
        </is>
      </c>
      <c r="CG15" s="24" t="inlineStr">
        <is>
          <t>-1.2</t>
        </is>
      </c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11f84971274b451c</t>
        </is>
      </c>
      <c r="B16" s="24" t="inlineStr">
        <is>
          <t>2026-07-30T21:07:52.668171Z</t>
        </is>
      </c>
      <c r="C16" s="24" t="inlineStr">
        <is>
          <t>2026-07-30T23:00Z</t>
        </is>
      </c>
      <c r="D16" s="24" t="inlineStr">
        <is>
          <t>401816325</t>
        </is>
      </c>
      <c r="E16" s="24" t="inlineStr">
        <is>
          <t>MLB</t>
        </is>
      </c>
      <c r="F16" s="24" t="inlineStr">
        <is>
          <t>Washington Nationals</t>
        </is>
      </c>
      <c r="G16" s="24" t="inlineStr">
        <is>
          <t>Atlanta Braves</t>
        </is>
      </c>
      <c r="H16" s="24" t="inlineStr">
        <is>
          <t>spread</t>
        </is>
      </c>
      <c r="I16" s="24" t="inlineStr">
        <is>
          <t>away</t>
        </is>
      </c>
      <c r="J16" s="25" t="n">
        <v>1.5</v>
      </c>
      <c r="K16" s="24" t="inlineStr">
        <is>
          <t>polymarket_us</t>
        </is>
      </c>
      <c r="L16" s="26" t="n">
        <v>-138</v>
      </c>
      <c r="M16" s="27" t="n">
        <v>1.724638</v>
      </c>
      <c r="N16" s="28" t="n">
        <v>0.579832</v>
      </c>
      <c r="O16" s="28" t="n">
        <v>0.544978</v>
      </c>
      <c r="P16" s="28" t="n">
        <v>0.042131</v>
      </c>
      <c r="Q16" s="28" t="n">
        <v>-0.034854</v>
      </c>
      <c r="R16" s="26" t="n">
        <v>7</v>
      </c>
      <c r="S16" s="29" t="n">
        <v>1</v>
      </c>
      <c r="T16" s="24" t="inlineStr">
        <is>
          <t>measured-edge-margin-v1</t>
        </is>
      </c>
      <c r="U16" s="24" t="inlineStr">
        <is>
          <t>settled</t>
        </is>
      </c>
      <c r="V16" s="24" t="inlineStr">
        <is>
          <t>win</t>
        </is>
      </c>
      <c r="W16" s="26" t="n">
        <v>4</v>
      </c>
      <c r="X16" s="26" t="n">
        <v>5</v>
      </c>
      <c r="Y16" s="25" t="n">
        <v>1.5</v>
      </c>
      <c r="Z16" s="26" t="n">
        <v>-138</v>
      </c>
      <c r="AA16" s="28" t="n">
        <v>0.58</v>
      </c>
      <c r="AB16" s="28" t="n">
        <v>0.000168</v>
      </c>
      <c r="AC16" s="30" t="n">
        <v>0.7246</v>
      </c>
      <c r="AD16" s="24" t="inlineStr">
        <is>
          <t>2026-07-31T04:29:20.972006Z</t>
        </is>
      </c>
      <c r="AE16" s="31" t="inlineStr">
        <is>
          <t>Measured Edge Margin: Trend Engine projected 4.30-4.84; raw selected-side p=0.6177, calibrated p=0.5450.</t>
        </is>
      </c>
      <c r="AF16" s="31" t="inlineStr">
        <is>
          <t>Research-only; lineup, bullpen, park, weather, xFIP, and wRC+ may be neutral fallbacks; market availability and BBO depth may change before first pitch.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NO_CALL_MODEL_UNVALIDATED</t>
        </is>
      </c>
      <c r="AP16" s="24" t="inlineStr">
        <is>
          <t>mlb-wsh</t>
        </is>
      </c>
      <c r="AQ16" s="24" t="inlineStr">
        <is>
          <t>Washington Nationals</t>
        </is>
      </c>
      <c r="AR16" s="24" t="inlineStr">
        <is>
          <t>Washington Nationals</t>
        </is>
      </c>
      <c r="AS16" s="24" t="inlineStr">
        <is>
          <t>mlb-atl</t>
        </is>
      </c>
      <c r="AT16" s="24" t="inlineStr">
        <is>
          <t>Atlanta Braves</t>
        </is>
      </c>
      <c r="AU16" s="24" t="inlineStr">
        <is>
          <t>Atlanta Braves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research</t>
        </is>
      </c>
      <c r="BA16" s="24" t="inlineStr">
        <is>
          <t>2bc2ce55b0d39a20103f724bbddbde5394909acd49297f52665b596a0ae3ae8b</t>
        </is>
      </c>
      <c r="BB16" s="24" t="inlineStr">
        <is>
          <t>flat_probability_shrinkage_toward_half</t>
        </is>
      </c>
      <c r="BC16" s="24" t="inlineStr">
        <is>
          <t>measured-edge-margin-v1</t>
        </is>
      </c>
      <c r="BD16" s="24" t="inlineStr">
        <is>
          <t>2bc2ce55b0d39a20103f724bbddbde5394909acd49297f52665b596a0ae3ae8b</t>
        </is>
      </c>
      <c r="BE16" s="24" t="inlineStr">
        <is>
          <t>v3</t>
        </is>
      </c>
      <c r="BF16" s="24" t="inlineStr">
        <is>
          <t>1</t>
        </is>
      </c>
      <c r="BG16" s="24" t="inlineStr">
        <is>
          <t>measured-edge-paired-v1</t>
        </is>
      </c>
      <c r="BH16" s="24" t="inlineStr">
        <is>
          <t>2026-07-30T21:07:52.668171Z</t>
        </is>
      </c>
      <c r="BI16" s="24" t="inlineStr">
        <is>
          <t>["same_event","same_team_same_day","same_league_same_day"]</t>
        </is>
      </c>
      <c r="BJ16" s="25" t="n">
        <v>1.5</v>
      </c>
      <c r="BK16" s="26" t="n">
        <v>-138</v>
      </c>
      <c r="BL16" s="27" t="n">
        <v>1.724638</v>
      </c>
      <c r="BM16" s="28" t="n">
        <v>0.579832</v>
      </c>
      <c r="BN16" s="28" t="n">
        <v>0.577114</v>
      </c>
      <c r="BO16" s="28" t="n"/>
      <c r="BP16" s="25" t="n"/>
      <c r="BQ16" s="27" t="n">
        <v>1.724638</v>
      </c>
      <c r="BR16" s="28" t="n">
        <v>0.58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fb4fab31130243f9</t>
        </is>
      </c>
      <c r="B17" s="24" t="inlineStr">
        <is>
          <t>2026-07-30T21:07:52.668171Z</t>
        </is>
      </c>
      <c r="C17" s="24" t="inlineStr">
        <is>
          <t>2026-07-30T23:00Z</t>
        </is>
      </c>
      <c r="D17" s="24" t="inlineStr">
        <is>
          <t>401816325</t>
        </is>
      </c>
      <c r="E17" s="24" t="inlineStr">
        <is>
          <t>MLB</t>
        </is>
      </c>
      <c r="F17" s="24" t="inlineStr">
        <is>
          <t>Washington Nationals</t>
        </is>
      </c>
      <c r="G17" s="24" t="inlineStr">
        <is>
          <t>Atlanta Braves</t>
        </is>
      </c>
      <c r="H17" s="24" t="inlineStr">
        <is>
          <t>total</t>
        </is>
      </c>
      <c r="I17" s="24" t="inlineStr">
        <is>
          <t>under</t>
        </is>
      </c>
      <c r="J17" s="25" t="n">
        <v>9.5</v>
      </c>
      <c r="K17" s="24" t="inlineStr">
        <is>
          <t>polymarket_us</t>
        </is>
      </c>
      <c r="L17" s="26" t="n">
        <v>115</v>
      </c>
      <c r="M17" s="27" t="n">
        <v>2.15</v>
      </c>
      <c r="N17" s="28" t="n">
        <v>0.465116</v>
      </c>
      <c r="O17" s="28" t="n">
        <v>0.567785</v>
      </c>
      <c r="P17" s="28" t="n">
        <v>0.042131</v>
      </c>
      <c r="Q17" s="28" t="n">
        <v>0.102669</v>
      </c>
      <c r="R17" s="26" t="n">
        <v>76</v>
      </c>
      <c r="S17" s="29" t="n">
        <v>1.25</v>
      </c>
      <c r="T17" s="24" t="inlineStr">
        <is>
          <t>measured-edge-totals-v1</t>
        </is>
      </c>
      <c r="U17" s="24" t="inlineStr">
        <is>
          <t>settled</t>
        </is>
      </c>
      <c r="V17" s="24" t="inlineStr">
        <is>
          <t>win</t>
        </is>
      </c>
      <c r="W17" s="26" t="n">
        <v>4</v>
      </c>
      <c r="X17" s="26" t="n">
        <v>5</v>
      </c>
      <c r="Y17" s="25" t="n">
        <v>9.5</v>
      </c>
      <c r="Z17" s="26" t="n">
        <v>115</v>
      </c>
      <c r="AA17" s="28" t="n">
        <v>0.465</v>
      </c>
      <c r="AB17" s="28" t="n">
        <v>-0.000116</v>
      </c>
      <c r="AC17" s="30" t="n">
        <v>1.4375</v>
      </c>
      <c r="AD17" s="24" t="inlineStr">
        <is>
          <t>2026-07-31T04:29:21.144105Z</t>
        </is>
      </c>
      <c r="AE17" s="31" t="inlineStr">
        <is>
          <t>Measured Edge Totals: Trend Engine projected 4.30-4.84; raw selected-side p=0.5858, calibrated p=0.5678.</t>
        </is>
      </c>
      <c r="AF17" s="31" t="inlineStr">
        <is>
          <t>Research-only; lineup, bullpen, park, weather, xFIP, and wRC+ may be neutral fallbacks; market availability and BBO depth may change before first pitch.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NO_CALL_MODEL_UNVALIDATED</t>
        </is>
      </c>
      <c r="AP17" s="24" t="inlineStr">
        <is>
          <t>mlb-wsh</t>
        </is>
      </c>
      <c r="AQ17" s="24" t="inlineStr">
        <is>
          <t>Washington Nationals</t>
        </is>
      </c>
      <c r="AR17" s="24" t="inlineStr">
        <is>
          <t>Washington Nationals</t>
        </is>
      </c>
      <c r="AS17" s="24" t="inlineStr">
        <is>
          <t>mlb-atl</t>
        </is>
      </c>
      <c r="AT17" s="24" t="inlineStr">
        <is>
          <t>Atlanta Braves</t>
        </is>
      </c>
      <c r="AU17" s="24" t="inlineStr">
        <is>
          <t>Atlanta Braves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research</t>
        </is>
      </c>
      <c r="BA17" s="24" t="inlineStr">
        <is>
          <t>cbc2c9bf5a9569a49e1902c816d96556d704cf10819ca3a9e927721685757d0b</t>
        </is>
      </c>
      <c r="BB17" s="24" t="inlineStr">
        <is>
          <t>flat_probability_shrinkage_toward_half</t>
        </is>
      </c>
      <c r="BC17" s="24" t="inlineStr">
        <is>
          <t>measured-edge-totals-v1</t>
        </is>
      </c>
      <c r="BD17" s="24" t="inlineStr">
        <is>
          <t>cbc2c9bf5a9569a49e1902c816d96556d704cf10819ca3a9e927721685757d0b</t>
        </is>
      </c>
      <c r="BE17" s="24" t="inlineStr">
        <is>
          <t>v3</t>
        </is>
      </c>
      <c r="BF17" s="24" t="inlineStr">
        <is>
          <t>1</t>
        </is>
      </c>
      <c r="BG17" s="24" t="inlineStr">
        <is>
          <t>measured-edge-paired-v1</t>
        </is>
      </c>
      <c r="BH17" s="24" t="inlineStr">
        <is>
          <t>2026-07-30T21:07:52.668171Z</t>
        </is>
      </c>
      <c r="BI17" s="24" t="inlineStr">
        <is>
          <t>["same_event","same_team_same_day","same_league_same_day"]</t>
        </is>
      </c>
      <c r="BJ17" s="25" t="n">
        <v>9.5</v>
      </c>
      <c r="BK17" s="26" t="n">
        <v>115</v>
      </c>
      <c r="BL17" s="27" t="n">
        <v>2.15</v>
      </c>
      <c r="BM17" s="28" t="n">
        <v>0.465116</v>
      </c>
      <c r="BN17" s="28" t="n">
        <v>0.462687</v>
      </c>
      <c r="BO17" s="28" t="n"/>
      <c r="BP17" s="25" t="n"/>
      <c r="BQ17" s="27" t="n">
        <v>2.15</v>
      </c>
      <c r="BR17" s="28" t="n">
        <v>0.465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ef65643269874e11</t>
        </is>
      </c>
      <c r="B18" s="24" t="inlineStr">
        <is>
          <t>2026-07-30T21:07:52.668171Z</t>
        </is>
      </c>
      <c r="C18" s="24" t="inlineStr">
        <is>
          <t>2026-07-30T23:10Z</t>
        </is>
      </c>
      <c r="D18" s="24" t="inlineStr">
        <is>
          <t>401816322</t>
        </is>
      </c>
      <c r="E18" s="24" t="inlineStr">
        <is>
          <t>MLB</t>
        </is>
      </c>
      <c r="F18" s="24" t="inlineStr">
        <is>
          <t>Miami Marlins</t>
        </is>
      </c>
      <c r="G18" s="24" t="inlineStr">
        <is>
          <t>New York Mets</t>
        </is>
      </c>
      <c r="H18" s="24" t="inlineStr">
        <is>
          <t>total</t>
        </is>
      </c>
      <c r="I18" s="24" t="inlineStr">
        <is>
          <t>over</t>
        </is>
      </c>
      <c r="J18" s="25" t="n">
        <v>7.5</v>
      </c>
      <c r="K18" s="24" t="inlineStr">
        <is>
          <t>polymarket_us</t>
        </is>
      </c>
      <c r="L18" s="26" t="n">
        <v>122</v>
      </c>
      <c r="M18" s="27" t="n">
        <v>2.22</v>
      </c>
      <c r="N18" s="28" t="n">
        <v>0.45045</v>
      </c>
      <c r="O18" s="28" t="n">
        <v>0.518212</v>
      </c>
      <c r="P18" s="28" t="n">
        <v>0.042131</v>
      </c>
      <c r="Q18" s="28" t="n">
        <v>0.067762</v>
      </c>
      <c r="R18" s="26" t="n">
        <v>59</v>
      </c>
      <c r="S18" s="29" t="n">
        <v>1</v>
      </c>
      <c r="T18" s="24" t="inlineStr">
        <is>
          <t>measured-edge-totals-v1</t>
        </is>
      </c>
      <c r="U18" s="24" t="inlineStr">
        <is>
          <t>settled</t>
        </is>
      </c>
      <c r="V18" s="24" t="inlineStr">
        <is>
          <t>loss</t>
        </is>
      </c>
      <c r="W18" s="26" t="n">
        <v>2</v>
      </c>
      <c r="X18" s="26" t="n">
        <v>4</v>
      </c>
      <c r="Y18" s="25" t="n">
        <v>7.5</v>
      </c>
      <c r="Z18" s="26" t="n">
        <v>122</v>
      </c>
      <c r="AA18" s="28" t="n">
        <v>0.45</v>
      </c>
      <c r="AB18" s="28" t="n">
        <v>-0.00045</v>
      </c>
      <c r="AC18" s="30" t="n">
        <v>-1</v>
      </c>
      <c r="AD18" s="24" t="inlineStr">
        <is>
          <t>2026-07-31T04:29:21.519443Z</t>
        </is>
      </c>
      <c r="AE18" s="31" t="inlineStr">
        <is>
          <t>Measured Edge Totals: Trend Engine projected 4.06-4.34; raw selected-side p=0.5347, calibrated p=0.5182.</t>
        </is>
      </c>
      <c r="AF18" s="31" t="inlineStr">
        <is>
          <t>Research-only; lineup, bullpen, park, weather, xFIP, and wRC+ may be neutral fallbacks; market availability and BBO depth may change before first pitch.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NO_CALL_MODEL_UNVALIDATED</t>
        </is>
      </c>
      <c r="AP18" s="24" t="inlineStr">
        <is>
          <t>mlb-mia</t>
        </is>
      </c>
      <c r="AQ18" s="24" t="inlineStr">
        <is>
          <t>Miami Marlins</t>
        </is>
      </c>
      <c r="AR18" s="24" t="inlineStr">
        <is>
          <t>Miami Marlins</t>
        </is>
      </c>
      <c r="AS18" s="24" t="inlineStr">
        <is>
          <t>mlb-nym</t>
        </is>
      </c>
      <c r="AT18" s="24" t="inlineStr">
        <is>
          <t>New York Mets</t>
        </is>
      </c>
      <c r="AU18" s="24" t="inlineStr">
        <is>
          <t>New York Mets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research</t>
        </is>
      </c>
      <c r="BA18" s="24" t="inlineStr">
        <is>
          <t>cbc2c9bf5a9569a49e1902c816d96556d704cf10819ca3a9e927721685757d0b</t>
        </is>
      </c>
      <c r="BB18" s="24" t="inlineStr">
        <is>
          <t>flat_probability_shrinkage_toward_half</t>
        </is>
      </c>
      <c r="BC18" s="24" t="inlineStr">
        <is>
          <t>measured-edge-totals-v1</t>
        </is>
      </c>
      <c r="BD18" s="24" t="inlineStr">
        <is>
          <t>cbc2c9bf5a9569a49e1902c816d96556d704cf10819ca3a9e927721685757d0b</t>
        </is>
      </c>
      <c r="BE18" s="24" t="inlineStr">
        <is>
          <t>v3</t>
        </is>
      </c>
      <c r="BF18" s="24" t="inlineStr">
        <is>
          <t>1</t>
        </is>
      </c>
      <c r="BG18" s="24" t="inlineStr">
        <is>
          <t>measured-edge-paired-v1</t>
        </is>
      </c>
      <c r="BH18" s="24" t="inlineStr">
        <is>
          <t>2026-07-30T21:07:52.668171Z</t>
        </is>
      </c>
      <c r="BI18" s="24" t="inlineStr">
        <is>
          <t>["same_event","same_team_same_day","same_league_same_day"]</t>
        </is>
      </c>
      <c r="BJ18" s="25" t="n">
        <v>7.5</v>
      </c>
      <c r="BK18" s="26" t="n">
        <v>122</v>
      </c>
      <c r="BL18" s="27" t="n">
        <v>2.22</v>
      </c>
      <c r="BM18" s="28" t="n">
        <v>0.45045</v>
      </c>
      <c r="BN18" s="28" t="n">
        <v>0.447761</v>
      </c>
      <c r="BO18" s="28" t="n"/>
      <c r="BP18" s="25" t="n"/>
      <c r="BQ18" s="27" t="n">
        <v>2.22</v>
      </c>
      <c r="BR18" s="28" t="n">
        <v>0.45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2114d0bdf61c4db9</t>
        </is>
      </c>
      <c r="B19" s="24" t="inlineStr">
        <is>
          <t>2026-07-30T21:07:52.668171Z</t>
        </is>
      </c>
      <c r="C19" s="24" t="inlineStr">
        <is>
          <t>2026-07-30T23:10Z</t>
        </is>
      </c>
      <c r="D19" s="24" t="inlineStr">
        <is>
          <t>401816323</t>
        </is>
      </c>
      <c r="E19" s="24" t="inlineStr">
        <is>
          <t>MLB</t>
        </is>
      </c>
      <c r="F19" s="24" t="inlineStr">
        <is>
          <t>Pittsburgh Pirates</t>
        </is>
      </c>
      <c r="G19" s="24" t="inlineStr">
        <is>
          <t>Cincinnati Reds</t>
        </is>
      </c>
      <c r="H19" s="24" t="inlineStr">
        <is>
          <t>spread</t>
        </is>
      </c>
      <c r="I19" s="24" t="inlineStr">
        <is>
          <t>home</t>
        </is>
      </c>
      <c r="J19" s="25" t="n">
        <v>1.5</v>
      </c>
      <c r="K19" s="24" t="inlineStr">
        <is>
          <t>polymarket_us</t>
        </is>
      </c>
      <c r="L19" s="26" t="n">
        <v>-144</v>
      </c>
      <c r="M19" s="27" t="n">
        <v>1.694444</v>
      </c>
      <c r="N19" s="28" t="n">
        <v>0.590164</v>
      </c>
      <c r="O19" s="28" t="n">
        <v>0.547061</v>
      </c>
      <c r="P19" s="28" t="n">
        <v>0.042131</v>
      </c>
      <c r="Q19" s="28" t="n">
        <v>-0.043103</v>
      </c>
      <c r="R19" s="26" t="n">
        <v>3</v>
      </c>
      <c r="S19" s="29" t="n">
        <v>1</v>
      </c>
      <c r="T19" s="24" t="inlineStr">
        <is>
          <t>measured-edge-margin-v1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3</v>
      </c>
      <c r="Y19" s="25" t="n">
        <v>1.5</v>
      </c>
      <c r="Z19" s="26" t="n">
        <v>-144</v>
      </c>
      <c r="AA19" s="28" t="n">
        <v>0.59</v>
      </c>
      <c r="AB19" s="28" t="n">
        <v>-0.000164</v>
      </c>
      <c r="AC19" s="30" t="n">
        <v>0.6944</v>
      </c>
      <c r="AD19" s="24" t="inlineStr">
        <is>
          <t>2026-07-31T04:29:21.688701Z</t>
        </is>
      </c>
      <c r="AE19" s="31" t="inlineStr">
        <is>
          <t>Measured Edge Margin: Trend Engine projected 4.87-4.53; raw selected-side p=0.6283, calibrated p=0.5471.</t>
        </is>
      </c>
      <c r="AF19" s="31" t="inlineStr">
        <is>
          <t>Research-only; lineup, bullpen, park, weather, xFIP, and wRC+ may be neutral fallbacks; market availability and BBO depth may change before first pitch.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NO_CALL_MODEL_UNVALIDATED</t>
        </is>
      </c>
      <c r="AP19" s="24" t="inlineStr">
        <is>
          <t>mlb-pit</t>
        </is>
      </c>
      <c r="AQ19" s="24" t="inlineStr">
        <is>
          <t>Pittsburgh Pirates</t>
        </is>
      </c>
      <c r="AR19" s="24" t="inlineStr">
        <is>
          <t>Pittsburgh Pirates</t>
        </is>
      </c>
      <c r="AS19" s="24" t="inlineStr">
        <is>
          <t>mlb-cin</t>
        </is>
      </c>
      <c r="AT19" s="24" t="inlineStr">
        <is>
          <t>Cincinnati Reds</t>
        </is>
      </c>
      <c r="AU19" s="24" t="inlineStr">
        <is>
          <t>Cincinnati Reds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research</t>
        </is>
      </c>
      <c r="BA19" s="24" t="inlineStr">
        <is>
          <t>2bc2ce55b0d39a20103f724bbddbde5394909acd49297f52665b596a0ae3ae8b</t>
        </is>
      </c>
      <c r="BB19" s="24" t="inlineStr">
        <is>
          <t>flat_probability_shrinkage_toward_half</t>
        </is>
      </c>
      <c r="BC19" s="24" t="inlineStr">
        <is>
          <t>measured-edge-margin-v1</t>
        </is>
      </c>
      <c r="BD19" s="24" t="inlineStr">
        <is>
          <t>2bc2ce55b0d39a20103f724bbddbde5394909acd49297f52665b596a0ae3ae8b</t>
        </is>
      </c>
      <c r="BE19" s="24" t="inlineStr">
        <is>
          <t>v3</t>
        </is>
      </c>
      <c r="BF19" s="24" t="inlineStr">
        <is>
          <t>1</t>
        </is>
      </c>
      <c r="BG19" s="24" t="inlineStr">
        <is>
          <t>measured-edge-paired-v1</t>
        </is>
      </c>
      <c r="BH19" s="24" t="inlineStr">
        <is>
          <t>2026-07-30T21:07:52.668171Z</t>
        </is>
      </c>
      <c r="BI19" s="24" t="inlineStr">
        <is>
          <t>["same_event","same_team_same_day","same_league_same_day"]</t>
        </is>
      </c>
      <c r="BJ19" s="25" t="n">
        <v>1.5</v>
      </c>
      <c r="BK19" s="26" t="n">
        <v>-144</v>
      </c>
      <c r="BL19" s="27" t="n">
        <v>1.694444</v>
      </c>
      <c r="BM19" s="28" t="n">
        <v>0.590164</v>
      </c>
      <c r="BN19" s="28" t="n">
        <v>0.5870649999999999</v>
      </c>
      <c r="BO19" s="28" t="n"/>
      <c r="BP19" s="25" t="n"/>
      <c r="BQ19" s="27" t="n">
        <v>1.694444</v>
      </c>
      <c r="BR19" s="28" t="n">
        <v>0.59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4241eb09d71c4a6e</t>
        </is>
      </c>
      <c r="B20" s="24" t="inlineStr">
        <is>
          <t>2026-07-30T21:07:52.668171Z</t>
        </is>
      </c>
      <c r="C20" s="24" t="inlineStr">
        <is>
          <t>2026-07-30T23:10Z</t>
        </is>
      </c>
      <c r="D20" s="24" t="inlineStr">
        <is>
          <t>401816323</t>
        </is>
      </c>
      <c r="E20" s="24" t="inlineStr">
        <is>
          <t>MLB</t>
        </is>
      </c>
      <c r="F20" s="24" t="inlineStr">
        <is>
          <t>Pittsburgh Pirates</t>
        </is>
      </c>
      <c r="G20" s="24" t="inlineStr">
        <is>
          <t>Cincinnati Reds</t>
        </is>
      </c>
      <c r="H20" s="24" t="inlineStr">
        <is>
          <t>total</t>
        </is>
      </c>
      <c r="I20" s="24" t="inlineStr">
        <is>
          <t>under</t>
        </is>
      </c>
      <c r="J20" s="25" t="n">
        <v>9.5</v>
      </c>
      <c r="K20" s="24" t="inlineStr">
        <is>
          <t>polymarket_us</t>
        </is>
      </c>
      <c r="L20" s="26" t="n">
        <v>102</v>
      </c>
      <c r="M20" s="27" t="n">
        <v>2.02</v>
      </c>
      <c r="N20" s="28" t="n">
        <v>0.49505</v>
      </c>
      <c r="O20" s="28" t="n">
        <v>0.547364</v>
      </c>
      <c r="P20" s="28" t="n">
        <v>0.042131</v>
      </c>
      <c r="Q20" s="28" t="n">
        <v>0.052314</v>
      </c>
      <c r="R20" s="26" t="n">
        <v>51</v>
      </c>
      <c r="S20" s="29" t="n">
        <v>1</v>
      </c>
      <c r="T20" s="24" t="inlineStr">
        <is>
          <t>measured-edge-totals-v1</t>
        </is>
      </c>
      <c r="U20" s="24" t="inlineStr">
        <is>
          <t>settled</t>
        </is>
      </c>
      <c r="V20" s="24" t="inlineStr">
        <is>
          <t>win</t>
        </is>
      </c>
      <c r="W20" s="26" t="n">
        <v>2</v>
      </c>
      <c r="X20" s="26" t="n">
        <v>3</v>
      </c>
      <c r="Y20" s="25" t="n">
        <v>9.5</v>
      </c>
      <c r="Z20" s="26" t="n">
        <v>102</v>
      </c>
      <c r="AA20" s="28" t="n">
        <v>0.495</v>
      </c>
      <c r="AB20" s="28" t="n">
        <v>-5e-05</v>
      </c>
      <c r="AC20" s="30" t="n">
        <v>1.02</v>
      </c>
      <c r="AD20" s="24" t="inlineStr">
        <is>
          <t>2026-07-31T04:29:21.851838Z</t>
        </is>
      </c>
      <c r="AE20" s="31" t="inlineStr">
        <is>
          <t>Measured Edge Totals: Trend Engine projected 4.87-4.53; raw selected-side p=0.5647, calibrated p=0.5474.</t>
        </is>
      </c>
      <c r="AF20" s="31" t="inlineStr">
        <is>
          <t>Research-only; lineup, bullpen, park, weather, xFIP, and wRC+ may be neutral fallbacks; market availability and BBO depth may change before first pitch.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NO_CALL_MODEL_UNVALIDATED</t>
        </is>
      </c>
      <c r="AP20" s="24" t="inlineStr">
        <is>
          <t>mlb-pit</t>
        </is>
      </c>
      <c r="AQ20" s="24" t="inlineStr">
        <is>
          <t>Pittsburgh Pirates</t>
        </is>
      </c>
      <c r="AR20" s="24" t="inlineStr">
        <is>
          <t>Pittsburgh Pirates</t>
        </is>
      </c>
      <c r="AS20" s="24" t="inlineStr">
        <is>
          <t>mlb-cin</t>
        </is>
      </c>
      <c r="AT20" s="24" t="inlineStr">
        <is>
          <t>Cincinnati Reds</t>
        </is>
      </c>
      <c r="AU20" s="24" t="inlineStr">
        <is>
          <t>Cincinnati Reds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research</t>
        </is>
      </c>
      <c r="BA20" s="24" t="inlineStr">
        <is>
          <t>cbc2c9bf5a9569a49e1902c816d96556d704cf10819ca3a9e927721685757d0b</t>
        </is>
      </c>
      <c r="BB20" s="24" t="inlineStr">
        <is>
          <t>flat_probability_shrinkage_toward_half</t>
        </is>
      </c>
      <c r="BC20" s="24" t="inlineStr">
        <is>
          <t>measured-edge-totals-v1</t>
        </is>
      </c>
      <c r="BD20" s="24" t="inlineStr">
        <is>
          <t>cbc2c9bf5a9569a49e1902c816d96556d704cf10819ca3a9e927721685757d0b</t>
        </is>
      </c>
      <c r="BE20" s="24" t="inlineStr">
        <is>
          <t>v3</t>
        </is>
      </c>
      <c r="BF20" s="24" t="inlineStr">
        <is>
          <t>1</t>
        </is>
      </c>
      <c r="BG20" s="24" t="inlineStr">
        <is>
          <t>measured-edge-paired-v1</t>
        </is>
      </c>
      <c r="BH20" s="24" t="inlineStr">
        <is>
          <t>2026-07-30T21:07:52.668171Z</t>
        </is>
      </c>
      <c r="BI20" s="24" t="inlineStr">
        <is>
          <t>["same_event","same_team_same_day","same_league_same_day"]</t>
        </is>
      </c>
      <c r="BJ20" s="25" t="n">
        <v>9.5</v>
      </c>
      <c r="BK20" s="26" t="n">
        <v>102</v>
      </c>
      <c r="BL20" s="27" t="n">
        <v>2.02</v>
      </c>
      <c r="BM20" s="28" t="n">
        <v>0.49505</v>
      </c>
      <c r="BN20" s="28" t="n">
        <v>0.492537</v>
      </c>
      <c r="BO20" s="28" t="n"/>
      <c r="BP20" s="25" t="n"/>
      <c r="BQ20" s="27" t="n">
        <v>2.02</v>
      </c>
      <c r="BR20" s="28" t="n">
        <v>0.495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9e1fb41afbf84561</t>
        </is>
      </c>
      <c r="B21" s="24" t="inlineStr">
        <is>
          <t>2026-07-31T00:56:17.350684Z</t>
        </is>
      </c>
      <c r="C21" s="24" t="inlineStr">
        <is>
          <t>2026-07-30T21:40:00-0400</t>
        </is>
      </c>
      <c r="D21" s="24" t="inlineStr">
        <is>
          <t>401816329</t>
        </is>
      </c>
      <c r="E21" s="24" t="inlineStr">
        <is>
          <t>MLB</t>
        </is>
      </c>
      <c r="F21" s="24" t="inlineStr">
        <is>
          <t>Boston Red Sox</t>
        </is>
      </c>
      <c r="G21" s="24" t="inlineStr">
        <is>
          <t>Athletics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-178</v>
      </c>
      <c r="M21" s="27" t="n">
        <v>1.561798</v>
      </c>
      <c r="N21" s="28" t="n">
        <v>0.640288</v>
      </c>
      <c r="O21" s="28" t="n">
        <v>0.598658</v>
      </c>
      <c r="P21" s="28" t="n"/>
      <c r="Q21" s="28" t="n">
        <v>-0.04163</v>
      </c>
      <c r="R21" s="26" t="n">
        <v>1</v>
      </c>
      <c r="S21" s="29" t="n">
        <v>1.5</v>
      </c>
      <c r="T21" s="24" t="inlineStr">
        <is>
          <t>mlb-elo-trend-lr-v7</t>
        </is>
      </c>
      <c r="U21" s="24" t="inlineStr">
        <is>
          <t>settled</t>
        </is>
      </c>
      <c r="V21" s="24" t="inlineStr">
        <is>
          <t>win</t>
        </is>
      </c>
      <c r="W21" s="26" t="n">
        <v>5</v>
      </c>
      <c r="X21" s="26" t="n">
        <v>4</v>
      </c>
      <c r="Y21" s="25" t="n"/>
      <c r="Z21" s="26" t="n">
        <v>-178</v>
      </c>
      <c r="AA21" s="28" t="n">
        <v>0.64</v>
      </c>
      <c r="AB21" s="28" t="n">
        <v>-0.000288</v>
      </c>
      <c r="AC21" s="30" t="n">
        <v>0.8427</v>
      </c>
      <c r="AD21" s="24" t="inlineStr">
        <is>
          <t>2026-07-31T04:29:22.023782Z</t>
        </is>
      </c>
      <c r="AE21" s="31" t="inlineStr">
        <is>
          <t>Learned LR call at threshold 0.6242; executable ask 0.6400 (aec-mlb-bos-ath-2026-07-30); model edge vs ask -0.0413.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mlb-bos</t>
        </is>
      </c>
      <c r="AQ21" s="24" t="inlineStr">
        <is>
          <t>Boston Red Sox</t>
        </is>
      </c>
      <c r="AR21" s="24" t="inlineStr">
        <is>
          <t>Boston Red Sox</t>
        </is>
      </c>
      <c r="AS21" s="24" t="inlineStr">
        <is>
          <t>mlb-ath</t>
        </is>
      </c>
      <c r="AT21" s="24" t="inlineStr">
        <is>
          <t>Athletics</t>
        </is>
      </c>
      <c r="AU21" s="24" t="inlineStr">
        <is>
          <t>Athletics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464eef695bfbbdaa819ec6f5e4c5bd1068ed20b92915fb2677220ae91e20d8b6</t>
        </is>
      </c>
      <c r="BB21" s="24" t="inlineStr">
        <is>
          <t>learned_lr</t>
        </is>
      </c>
      <c r="BC21" s="24" t="inlineStr">
        <is>
          <t>mlb-elo-trend-lr-v7</t>
        </is>
      </c>
      <c r="BD21" s="24" t="inlineStr">
        <is>
          <t>464eef695bfbbdaa819ec6f5e4c5bd1068ed20b92915fb2677220ae91e20d8b6</t>
        </is>
      </c>
      <c r="BE21" s="24" t="inlineStr">
        <is>
          <t>3f3c29dbbe5296b9</t>
        </is>
      </c>
      <c r="BF21" s="24" t="inlineStr">
        <is>
          <t>1</t>
        </is>
      </c>
      <c r="BG21" s="24" t="inlineStr">
        <is>
          <t>mlb-elo-trend-lr-v7</t>
        </is>
      </c>
      <c r="BH21" s="24" t="inlineStr">
        <is>
          <t>2026-07-31T00:56:01.505308Z</t>
        </is>
      </c>
      <c r="BI21" s="24" t="inlineStr">
        <is>
          <t>["same_event","same_team_same_day","same_league_same_day"]</t>
        </is>
      </c>
      <c r="BJ21" s="25" t="n"/>
      <c r="BK21" s="26" t="n">
        <v>-178</v>
      </c>
      <c r="BL21" s="27" t="n">
        <v>1.561798</v>
      </c>
      <c r="BM21" s="28" t="n">
        <v>0.640288</v>
      </c>
      <c r="BN21" s="28" t="n">
        <v>0.636816</v>
      </c>
      <c r="BO21" s="28" t="n"/>
      <c r="BP21" s="25" t="n"/>
      <c r="BQ21" s="27" t="n">
        <v>1.561798</v>
      </c>
      <c r="BR21" s="28" t="n">
        <v>0.64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0.3783729617</t>
        </is>
      </c>
      <c r="CD21" s="24" t="inlineStr">
        <is>
          <t>-0.254128</t>
        </is>
      </c>
      <c r="CE21" s="24" t="inlineStr">
        <is>
          <t>1.153</t>
        </is>
      </c>
      <c r="CF21" s="24" t="inlineStr">
        <is>
          <t>1</t>
        </is>
      </c>
      <c r="CG21" s="24" t="inlineStr">
        <is>
          <t>1.8</t>
        </is>
      </c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67f0c9a835204f15</t>
        </is>
      </c>
      <c r="B22" s="24" t="inlineStr">
        <is>
          <t>2026-07-31T00:56:17.350684Z</t>
        </is>
      </c>
      <c r="C22" s="24" t="inlineStr">
        <is>
          <t>2026-07-30T21:40:00-0400</t>
        </is>
      </c>
      <c r="D22" s="24" t="inlineStr">
        <is>
          <t>401816331</t>
        </is>
      </c>
      <c r="E22" s="24" t="inlineStr">
        <is>
          <t>MLB</t>
        </is>
      </c>
      <c r="F22" s="24" t="inlineStr">
        <is>
          <t>San Francisco Giants</t>
        </is>
      </c>
      <c r="G22" s="24" t="inlineStr">
        <is>
          <t>San Diego Padres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-153</v>
      </c>
      <c r="M22" s="27" t="n">
        <v>1.653595</v>
      </c>
      <c r="N22" s="28" t="n">
        <v>0.604743</v>
      </c>
      <c r="O22" s="28" t="n">
        <v>0.594482</v>
      </c>
      <c r="P22" s="28" t="n"/>
      <c r="Q22" s="28" t="n">
        <v>-0.010261</v>
      </c>
      <c r="R22" s="26" t="n">
        <v>16</v>
      </c>
      <c r="S22" s="29" t="n">
        <v>1.5</v>
      </c>
      <c r="T22" s="24" t="inlineStr">
        <is>
          <t>mlb-elo-trend-lr-v7</t>
        </is>
      </c>
      <c r="U22" s="24" t="inlineStr">
        <is>
          <t>settled</t>
        </is>
      </c>
      <c r="V22" s="24" t="inlineStr">
        <is>
          <t>loss</t>
        </is>
      </c>
      <c r="W22" s="26" t="n">
        <v>4</v>
      </c>
      <c r="X22" s="26" t="n">
        <v>1</v>
      </c>
      <c r="Y22" s="25" t="n"/>
      <c r="Z22" s="26" t="n">
        <v>-153</v>
      </c>
      <c r="AA22" s="28" t="n">
        <v>0.605</v>
      </c>
      <c r="AB22" s="28" t="n">
        <v>0.000257</v>
      </c>
      <c r="AC22" s="30" t="n">
        <v>-1.5</v>
      </c>
      <c r="AD22" s="24" t="inlineStr">
        <is>
          <t>2026-07-31T06:33:21.231210Z</t>
        </is>
      </c>
      <c r="AE22" s="31" t="inlineStr">
        <is>
          <t>Learned LR call at threshold 0.6242; executable ask 0.6050 (aec-mlb-sf-sd-2026-07-30); model edge vs ask -0.0105.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mlb-sf</t>
        </is>
      </c>
      <c r="AQ22" s="24" t="inlineStr">
        <is>
          <t>San Francisco Giants</t>
        </is>
      </c>
      <c r="AR22" s="24" t="inlineStr">
        <is>
          <t>San Francisco Giants</t>
        </is>
      </c>
      <c r="AS22" s="24" t="inlineStr">
        <is>
          <t>mlb-sd</t>
        </is>
      </c>
      <c r="AT22" s="24" t="inlineStr">
        <is>
          <t>San Diego Padres</t>
        </is>
      </c>
      <c r="AU22" s="24" t="inlineStr">
        <is>
          <t>San Diego Padres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464eef695bfbbdaa819ec6f5e4c5bd1068ed20b92915fb2677220ae91e20d8b6</t>
        </is>
      </c>
      <c r="BB22" s="24" t="inlineStr">
        <is>
          <t>learned_lr</t>
        </is>
      </c>
      <c r="BC22" s="24" t="inlineStr">
        <is>
          <t>mlb-elo-trend-lr-v7</t>
        </is>
      </c>
      <c r="BD22" s="24" t="inlineStr">
        <is>
          <t>464eef695bfbbdaa819ec6f5e4c5bd1068ed20b92915fb2677220ae91e20d8b6</t>
        </is>
      </c>
      <c r="BE22" s="24" t="inlineStr">
        <is>
          <t>cd99d61acebf3df3</t>
        </is>
      </c>
      <c r="BF22" s="24" t="inlineStr">
        <is>
          <t>1</t>
        </is>
      </c>
      <c r="BG22" s="24" t="inlineStr">
        <is>
          <t>mlb-elo-trend-lr-v7</t>
        </is>
      </c>
      <c r="BH22" s="24" t="inlineStr">
        <is>
          <t>2026-07-31T00:56:02.562469Z</t>
        </is>
      </c>
      <c r="BI22" s="24" t="inlineStr">
        <is>
          <t>["same_event","same_team_same_day","same_league_same_day"]</t>
        </is>
      </c>
      <c r="BJ22" s="25" t="n"/>
      <c r="BK22" s="26" t="n">
        <v>-153</v>
      </c>
      <c r="BL22" s="27" t="n">
        <v>1.653595</v>
      </c>
      <c r="BM22" s="28" t="n">
        <v>0.604743</v>
      </c>
      <c r="BN22" s="28" t="n">
        <v>0.60199</v>
      </c>
      <c r="BO22" s="28" t="n"/>
      <c r="BP22" s="25" t="n"/>
      <c r="BQ22" s="27" t="n">
        <v>1.653595</v>
      </c>
      <c r="BR22" s="28" t="n">
        <v>0.605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0.5827558821</t>
        </is>
      </c>
      <c r="CD22" s="24" t="inlineStr">
        <is>
          <t>-1.602098</t>
        </is>
      </c>
      <c r="CE22" s="24" t="inlineStr">
        <is>
          <t>0.945</t>
        </is>
      </c>
      <c r="CF22" s="24" t="inlineStr">
        <is>
          <t>1.0064</t>
        </is>
      </c>
      <c r="CG22" s="24" t="inlineStr">
        <is>
          <t>-0.2</t>
        </is>
      </c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c631ace0cda342d0</t>
        </is>
      </c>
      <c r="B23" s="24" t="inlineStr">
        <is>
          <t>2026-07-31T00:56:17.350684Z</t>
        </is>
      </c>
      <c r="C23" s="24" t="inlineStr">
        <is>
          <t>2026-07-30T22:10:00-0400</t>
        </is>
      </c>
      <c r="D23" s="24" t="inlineStr">
        <is>
          <t>401816330</t>
        </is>
      </c>
      <c r="E23" s="24" t="inlineStr">
        <is>
          <t>MLB</t>
        </is>
      </c>
      <c r="F23" s="24" t="inlineStr">
        <is>
          <t>Seattle Mariners</t>
        </is>
      </c>
      <c r="G23" s="24" t="inlineStr">
        <is>
          <t>Los Angeles Dodgers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-141</v>
      </c>
      <c r="M23" s="27" t="n">
        <v>1.70922</v>
      </c>
      <c r="N23" s="28" t="n">
        <v>0.585062</v>
      </c>
      <c r="O23" s="28" t="n">
        <v>0.594031</v>
      </c>
      <c r="P23" s="28" t="n"/>
      <c r="Q23" s="28" t="n">
        <v>0.008969</v>
      </c>
      <c r="R23" s="26" t="n">
        <v>26</v>
      </c>
      <c r="S23" s="29" t="n">
        <v>1.5</v>
      </c>
      <c r="T23" s="24" t="inlineStr">
        <is>
          <t>mlb-elo-trend-lr-v7</t>
        </is>
      </c>
      <c r="U23" s="24" t="inlineStr">
        <is>
          <t>settled</t>
        </is>
      </c>
      <c r="V23" s="24" t="inlineStr">
        <is>
          <t>win</t>
        </is>
      </c>
      <c r="W23" s="26" t="n">
        <v>2</v>
      </c>
      <c r="X23" s="26" t="n">
        <v>6</v>
      </c>
      <c r="Y23" s="25" t="n"/>
      <c r="Z23" s="26" t="n">
        <v>-141</v>
      </c>
      <c r="AA23" s="28" t="n">
        <v>0.585</v>
      </c>
      <c r="AB23" s="28" t="n">
        <v>-6.2e-05</v>
      </c>
      <c r="AC23" s="30" t="n">
        <v>1.0638</v>
      </c>
      <c r="AD23" s="24" t="inlineStr">
        <is>
          <t>2026-07-31T06:33:21.732369Z</t>
        </is>
      </c>
      <c r="AE23" s="31" t="inlineStr">
        <is>
          <t>Learned LR call at threshold 0.6242; executable ask 0.5850 (aec-mlb-sea-lad-2026-07-30); model edge vs ask +0.0090.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mlb-sea</t>
        </is>
      </c>
      <c r="AQ23" s="24" t="inlineStr">
        <is>
          <t>Seattle Mariners</t>
        </is>
      </c>
      <c r="AR23" s="24" t="inlineStr">
        <is>
          <t>Seattle Mariners</t>
        </is>
      </c>
      <c r="AS23" s="24" t="inlineStr">
        <is>
          <t>mlb-lad</t>
        </is>
      </c>
      <c r="AT23" s="24" t="inlineStr">
        <is>
          <t>Los Angeles Dodgers</t>
        </is>
      </c>
      <c r="AU23" s="24" t="inlineStr">
        <is>
          <t>Los Angeles Dodgers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464eef695bfbbdaa819ec6f5e4c5bd1068ed20b92915fb2677220ae91e20d8b6</t>
        </is>
      </c>
      <c r="BB23" s="24" t="inlineStr">
        <is>
          <t>learned_lr</t>
        </is>
      </c>
      <c r="BC23" s="24" t="inlineStr">
        <is>
          <t>mlb-elo-trend-lr-v7</t>
        </is>
      </c>
      <c r="BD23" s="24" t="inlineStr">
        <is>
          <t>464eef695bfbbdaa819ec6f5e4c5bd1068ed20b92915fb2677220ae91e20d8b6</t>
        </is>
      </c>
      <c r="BE23" s="24" t="inlineStr">
        <is>
          <t>50a6605683799b36</t>
        </is>
      </c>
      <c r="BF23" s="24" t="inlineStr">
        <is>
          <t>1</t>
        </is>
      </c>
      <c r="BG23" s="24" t="inlineStr">
        <is>
          <t>mlb-elo-trend-lr-v7</t>
        </is>
      </c>
      <c r="BH23" s="24" t="inlineStr">
        <is>
          <t>2026-07-31T00:56:03.538198Z</t>
        </is>
      </c>
      <c r="BI23" s="24" t="inlineStr">
        <is>
          <t>["same_event","same_team_same_day","same_league_same_day"]</t>
        </is>
      </c>
      <c r="BJ23" s="25" t="n"/>
      <c r="BK23" s="26" t="n">
        <v>-141</v>
      </c>
      <c r="BL23" s="27" t="n">
        <v>1.70922</v>
      </c>
      <c r="BM23" s="28" t="n">
        <v>0.585062</v>
      </c>
      <c r="BN23" s="28" t="n">
        <v>0.58209</v>
      </c>
      <c r="BO23" s="28" t="n"/>
      <c r="BP23" s="25" t="n"/>
      <c r="BQ23" s="27" t="n">
        <v>1.70922</v>
      </c>
      <c r="BR23" s="28" t="n">
        <v>0.585</v>
      </c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0.6206920571</t>
        </is>
      </c>
      <c r="CD23" s="24" t="inlineStr">
        <is>
          <t>-0.391563</t>
        </is>
      </c>
      <c r="CE23" s="24" t="inlineStr">
        <is>
          <t>1.026</t>
        </is>
      </c>
      <c r="CF23" s="24" t="inlineStr">
        <is>
          <t>1.0117</t>
        </is>
      </c>
      <c r="CG23" s="24" t="inlineStr">
        <is>
          <t>-0.4</t>
        </is>
      </c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a5fbd3179ba34a33</t>
        </is>
      </c>
      <c r="B24" s="24" t="inlineStr">
        <is>
          <t>2026-07-31T00:56:25.957709Z</t>
        </is>
      </c>
      <c r="C24" s="24" t="inlineStr">
        <is>
          <t>2026-07-31T01:40Z</t>
        </is>
      </c>
      <c r="D24" s="24" t="inlineStr">
        <is>
          <t>401816329</t>
        </is>
      </c>
      <c r="E24" s="24" t="inlineStr">
        <is>
          <t>MLB</t>
        </is>
      </c>
      <c r="F24" s="24" t="inlineStr">
        <is>
          <t>Boston Red Sox</t>
        </is>
      </c>
      <c r="G24" s="24" t="inlineStr">
        <is>
          <t>Athletics</t>
        </is>
      </c>
      <c r="H24" s="24" t="inlineStr">
        <is>
          <t>spread</t>
        </is>
      </c>
      <c r="I24" s="24" t="inlineStr">
        <is>
          <t>home</t>
        </is>
      </c>
      <c r="J24" s="25" t="n">
        <v>1.5</v>
      </c>
      <c r="K24" s="24" t="inlineStr">
        <is>
          <t>polymarket_us</t>
        </is>
      </c>
      <c r="L24" s="26" t="n">
        <v>111</v>
      </c>
      <c r="M24" s="27" t="n">
        <v>2.11</v>
      </c>
      <c r="N24" s="28" t="n">
        <v>0.473934</v>
      </c>
      <c r="O24" s="28" t="n">
        <v>0.544516</v>
      </c>
      <c r="P24" s="28" t="n">
        <v>0.042131</v>
      </c>
      <c r="Q24" s="28" t="n">
        <v>0.07058200000000001</v>
      </c>
      <c r="R24" s="26" t="n">
        <v>60</v>
      </c>
      <c r="S24" s="29" t="n">
        <v>1</v>
      </c>
      <c r="T24" s="24" t="inlineStr">
        <is>
          <t>measured-edge-margin-v1</t>
        </is>
      </c>
      <c r="U24" s="24" t="inlineStr">
        <is>
          <t>settled</t>
        </is>
      </c>
      <c r="V24" s="24" t="inlineStr">
        <is>
          <t>win</t>
        </is>
      </c>
      <c r="W24" s="26" t="n">
        <v>5</v>
      </c>
      <c r="X24" s="26" t="n">
        <v>4</v>
      </c>
      <c r="Y24" s="25" t="n">
        <v>1.5</v>
      </c>
      <c r="Z24" s="26" t="n">
        <v>111</v>
      </c>
      <c r="AA24" s="28" t="n">
        <v>0.475</v>
      </c>
      <c r="AB24" s="28" t="n">
        <v>0.001066</v>
      </c>
      <c r="AC24" s="30" t="n">
        <v>1.11</v>
      </c>
      <c r="AD24" s="24" t="inlineStr">
        <is>
          <t>2026-07-31T04:29:22.344945Z</t>
        </is>
      </c>
      <c r="AE24" s="31" t="inlineStr">
        <is>
          <t>Measured Edge Margin: Trend Engine projected 5.03-4.48; raw selected-side p=0.6153, calibrated p=0.5445.</t>
        </is>
      </c>
      <c r="AF24" s="31" t="inlineStr">
        <is>
          <t>Research-only; lineup, bullpen, park, weather, xFIP, and wRC+ may be neutral fallbacks; market availability and BBO depth may change before first pitch.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mlb-bos</t>
        </is>
      </c>
      <c r="AQ24" s="24" t="inlineStr">
        <is>
          <t>Boston Red Sox</t>
        </is>
      </c>
      <c r="AR24" s="24" t="inlineStr">
        <is>
          <t>Boston Red Sox</t>
        </is>
      </c>
      <c r="AS24" s="24" t="inlineStr">
        <is>
          <t>mlb-ath</t>
        </is>
      </c>
      <c r="AT24" s="24" t="inlineStr">
        <is>
          <t>Athletics</t>
        </is>
      </c>
      <c r="AU24" s="24" t="inlineStr">
        <is>
          <t>Athletics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research</t>
        </is>
      </c>
      <c r="BA24" s="24" t="inlineStr">
        <is>
          <t>2bc2ce55b0d39a20103f724bbddbde5394909acd49297f52665b596a0ae3ae8b</t>
        </is>
      </c>
      <c r="BB24" s="24" t="inlineStr">
        <is>
          <t>flat_probability_shrinkage_toward_half</t>
        </is>
      </c>
      <c r="BC24" s="24" t="inlineStr">
        <is>
          <t>measured-edge-margin-v1</t>
        </is>
      </c>
      <c r="BD24" s="24" t="inlineStr">
        <is>
          <t>2bc2ce55b0d39a20103f724bbddbde5394909acd49297f52665b596a0ae3ae8b</t>
        </is>
      </c>
      <c r="BE24" s="24" t="inlineStr">
        <is>
          <t>v3</t>
        </is>
      </c>
      <c r="BF24" s="24" t="inlineStr">
        <is>
          <t>1</t>
        </is>
      </c>
      <c r="BG24" s="24" t="inlineStr">
        <is>
          <t>measured-edge-paired-v1</t>
        </is>
      </c>
      <c r="BH24" s="24" t="inlineStr">
        <is>
          <t>2026-07-31T00:56:25.957709Z</t>
        </is>
      </c>
      <c r="BI24" s="24" t="inlineStr">
        <is>
          <t>["same_event","same_team_same_day","same_league_same_day"]</t>
        </is>
      </c>
      <c r="BJ24" s="25" t="n">
        <v>1.5</v>
      </c>
      <c r="BK24" s="26" t="n">
        <v>111</v>
      </c>
      <c r="BL24" s="27" t="n">
        <v>2.11</v>
      </c>
      <c r="BM24" s="28" t="n">
        <v>0.473934</v>
      </c>
      <c r="BN24" s="28" t="n">
        <v>0.472637</v>
      </c>
      <c r="BO24" s="28" t="n"/>
      <c r="BP24" s="25" t="n"/>
      <c r="BQ24" s="27" t="n">
        <v>2.11</v>
      </c>
      <c r="BR24" s="28" t="n">
        <v>0.475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82aab00108c54ea7</t>
        </is>
      </c>
      <c r="B25" s="24" t="inlineStr">
        <is>
          <t>2026-07-31T00:56:25.957709Z</t>
        </is>
      </c>
      <c r="C25" s="24" t="inlineStr">
        <is>
          <t>2026-07-31T01:40Z</t>
        </is>
      </c>
      <c r="D25" s="24" t="inlineStr">
        <is>
          <t>401816329</t>
        </is>
      </c>
      <c r="E25" s="24" t="inlineStr">
        <is>
          <t>MLB</t>
        </is>
      </c>
      <c r="F25" s="24" t="inlineStr">
        <is>
          <t>Boston Red Sox</t>
        </is>
      </c>
      <c r="G25" s="24" t="inlineStr">
        <is>
          <t>Athletics</t>
        </is>
      </c>
      <c r="H25" s="24" t="inlineStr">
        <is>
          <t>total</t>
        </is>
      </c>
      <c r="I25" s="24" t="inlineStr">
        <is>
          <t>under</t>
        </is>
      </c>
      <c r="J25" s="25" t="n">
        <v>9.5</v>
      </c>
      <c r="K25" s="24" t="inlineStr">
        <is>
          <t>polymarket_us</t>
        </is>
      </c>
      <c r="L25" s="26" t="n">
        <v>115</v>
      </c>
      <c r="M25" s="27" t="n">
        <v>2.15</v>
      </c>
      <c r="N25" s="28" t="n">
        <v>0.465116</v>
      </c>
      <c r="O25" s="28" t="n">
        <v>0.5364989999999999</v>
      </c>
      <c r="P25" s="28" t="n">
        <v>0.042131</v>
      </c>
      <c r="Q25" s="28" t="n">
        <v>0.071383</v>
      </c>
      <c r="R25" s="26" t="n">
        <v>60</v>
      </c>
      <c r="S25" s="29" t="n">
        <v>1</v>
      </c>
      <c r="T25" s="24" t="inlineStr">
        <is>
          <t>measured-edge-totals-v1</t>
        </is>
      </c>
      <c r="U25" s="24" t="inlineStr">
        <is>
          <t>settled</t>
        </is>
      </c>
      <c r="V25" s="24" t="inlineStr">
        <is>
          <t>win</t>
        </is>
      </c>
      <c r="W25" s="26" t="n">
        <v>5</v>
      </c>
      <c r="X25" s="26" t="n">
        <v>4</v>
      </c>
      <c r="Y25" s="25" t="n">
        <v>9.5</v>
      </c>
      <c r="Z25" s="26" t="n">
        <v>115</v>
      </c>
      <c r="AA25" s="28" t="n">
        <v>0.465</v>
      </c>
      <c r="AB25" s="28" t="n">
        <v>-0.000116</v>
      </c>
      <c r="AC25" s="30" t="n">
        <v>1.15</v>
      </c>
      <c r="AD25" s="24" t="inlineStr">
        <is>
          <t>2026-07-31T04:29:22.516921Z</t>
        </is>
      </c>
      <c r="AE25" s="31" t="inlineStr">
        <is>
          <t>Measured Edge Totals: Trend Engine projected 5.03-4.48; raw selected-side p=0.5535, calibrated p=0.5365.</t>
        </is>
      </c>
      <c r="AF25" s="31" t="inlineStr">
        <is>
          <t>Research-only; lineup, bullpen, park, weather, xFIP, and wRC+ may be neutral fallbacks; market availability and BBO depth may change before first pitch.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NO_CALL_MODEL_UNVALIDATED</t>
        </is>
      </c>
      <c r="AP25" s="24" t="inlineStr">
        <is>
          <t>mlb-bos</t>
        </is>
      </c>
      <c r="AQ25" s="24" t="inlineStr">
        <is>
          <t>Boston Red Sox</t>
        </is>
      </c>
      <c r="AR25" s="24" t="inlineStr">
        <is>
          <t>Boston Red Sox</t>
        </is>
      </c>
      <c r="AS25" s="24" t="inlineStr">
        <is>
          <t>mlb-ath</t>
        </is>
      </c>
      <c r="AT25" s="24" t="inlineStr">
        <is>
          <t>Athletics</t>
        </is>
      </c>
      <c r="AU25" s="24" t="inlineStr">
        <is>
          <t>Athletics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research</t>
        </is>
      </c>
      <c r="BA25" s="24" t="inlineStr">
        <is>
          <t>cbc2c9bf5a9569a49e1902c816d96556d704cf10819ca3a9e927721685757d0b</t>
        </is>
      </c>
      <c r="BB25" s="24" t="inlineStr">
        <is>
          <t>flat_probability_shrinkage_toward_half</t>
        </is>
      </c>
      <c r="BC25" s="24" t="inlineStr">
        <is>
          <t>measured-edge-totals-v1</t>
        </is>
      </c>
      <c r="BD25" s="24" t="inlineStr">
        <is>
          <t>cbc2c9bf5a9569a49e1902c816d96556d704cf10819ca3a9e927721685757d0b</t>
        </is>
      </c>
      <c r="BE25" s="24" t="inlineStr">
        <is>
          <t>v3</t>
        </is>
      </c>
      <c r="BF25" s="24" t="inlineStr">
        <is>
          <t>1</t>
        </is>
      </c>
      <c r="BG25" s="24" t="inlineStr">
        <is>
          <t>measured-edge-paired-v1</t>
        </is>
      </c>
      <c r="BH25" s="24" t="inlineStr">
        <is>
          <t>2026-07-31T00:56:25.957709Z</t>
        </is>
      </c>
      <c r="BI25" s="24" t="inlineStr">
        <is>
          <t>["same_event","same_team_same_day","same_league_same_day"]</t>
        </is>
      </c>
      <c r="BJ25" s="25" t="n">
        <v>9.5</v>
      </c>
      <c r="BK25" s="26" t="n">
        <v>115</v>
      </c>
      <c r="BL25" s="27" t="n">
        <v>2.15</v>
      </c>
      <c r="BM25" s="28" t="n">
        <v>0.465116</v>
      </c>
      <c r="BN25" s="28" t="n">
        <v>0.462687</v>
      </c>
      <c r="BO25" s="28" t="n"/>
      <c r="BP25" s="25" t="n"/>
      <c r="BQ25" s="27" t="n">
        <v>2.15</v>
      </c>
      <c r="BR25" s="28" t="n">
        <v>0.465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8474b3479ec146e5</t>
        </is>
      </c>
      <c r="B26" s="24" t="inlineStr">
        <is>
          <t>2026-07-31T00:56:25.957709Z</t>
        </is>
      </c>
      <c r="C26" s="24" t="inlineStr">
        <is>
          <t>2026-07-31T01:40Z</t>
        </is>
      </c>
      <c r="D26" s="24" t="inlineStr">
        <is>
          <t>401816331</t>
        </is>
      </c>
      <c r="E26" s="24" t="inlineStr">
        <is>
          <t>MLB</t>
        </is>
      </c>
      <c r="F26" s="24" t="inlineStr">
        <is>
          <t>San Francisco Giants</t>
        </is>
      </c>
      <c r="G26" s="24" t="inlineStr">
        <is>
          <t>San Diego Padres</t>
        </is>
      </c>
      <c r="H26" s="24" t="inlineStr">
        <is>
          <t>spread</t>
        </is>
      </c>
      <c r="I26" s="24" t="inlineStr">
        <is>
          <t>away</t>
        </is>
      </c>
      <c r="J26" s="25" t="n">
        <v>1.5</v>
      </c>
      <c r="K26" s="24" t="inlineStr">
        <is>
          <t>polymarket_us</t>
        </is>
      </c>
      <c r="L26" s="26" t="n">
        <v>-138</v>
      </c>
      <c r="M26" s="27" t="n">
        <v>1.724638</v>
      </c>
      <c r="N26" s="28" t="n">
        <v>0.579832</v>
      </c>
      <c r="O26" s="28" t="n">
        <v>0.5591159999999999</v>
      </c>
      <c r="P26" s="28" t="n">
        <v>0.05172</v>
      </c>
      <c r="Q26" s="28" t="n">
        <v>-0.020716</v>
      </c>
      <c r="R26" s="26" t="n">
        <v>9</v>
      </c>
      <c r="S26" s="29" t="n">
        <v>1</v>
      </c>
      <c r="T26" s="24" t="inlineStr">
        <is>
          <t>measured-edge-margin-v1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1</v>
      </c>
      <c r="Y26" s="25" t="n">
        <v>1.5</v>
      </c>
      <c r="Z26" s="26" t="n">
        <v>-138</v>
      </c>
      <c r="AA26" s="28" t="n">
        <v>0.58</v>
      </c>
      <c r="AB26" s="28" t="n">
        <v>0.000168</v>
      </c>
      <c r="AC26" s="30" t="n">
        <v>0.7246</v>
      </c>
      <c r="AD26" s="24" t="inlineStr">
        <is>
          <t>2026-07-31T06:33:22.232327Z</t>
        </is>
      </c>
      <c r="AE26" s="31" t="inlineStr">
        <is>
          <t>Measured Edge Margin: Trend Engine projected 4.48-4.27; raw selected-side p=0.6896, calibrated p=0.5591.</t>
        </is>
      </c>
      <c r="AF26" s="31" t="inlineStr">
        <is>
          <t>Research-only; lineup, bullpen, park, weather, xFIP, and wRC+ may be neutral fallbacks; market availability and BBO depth may change before first pitch.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NO_CALL_MODEL_UNVALIDATED</t>
        </is>
      </c>
      <c r="AP26" s="24" t="inlineStr">
        <is>
          <t>mlb-sf</t>
        </is>
      </c>
      <c r="AQ26" s="24" t="inlineStr">
        <is>
          <t>San Francisco Giants</t>
        </is>
      </c>
      <c r="AR26" s="24" t="inlineStr">
        <is>
          <t>San Francisco Giants</t>
        </is>
      </c>
      <c r="AS26" s="24" t="inlineStr">
        <is>
          <t>mlb-sd</t>
        </is>
      </c>
      <c r="AT26" s="24" t="inlineStr">
        <is>
          <t>San Diego Padres</t>
        </is>
      </c>
      <c r="AU26" s="24" t="inlineStr">
        <is>
          <t>San Diego Padres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research</t>
        </is>
      </c>
      <c r="BA26" s="24" t="inlineStr">
        <is>
          <t>2bc2ce55b0d39a20103f724bbddbde5394909acd49297f52665b596a0ae3ae8b</t>
        </is>
      </c>
      <c r="BB26" s="24" t="inlineStr">
        <is>
          <t>flat_probability_shrinkage_toward_half</t>
        </is>
      </c>
      <c r="BC26" s="24" t="inlineStr">
        <is>
          <t>measured-edge-margin-v1</t>
        </is>
      </c>
      <c r="BD26" s="24" t="inlineStr">
        <is>
          <t>2bc2ce55b0d39a20103f724bbddbde5394909acd49297f52665b596a0ae3ae8b</t>
        </is>
      </c>
      <c r="BE26" s="24" t="inlineStr">
        <is>
          <t>v3</t>
        </is>
      </c>
      <c r="BF26" s="24" t="inlineStr">
        <is>
          <t>1</t>
        </is>
      </c>
      <c r="BG26" s="24" t="inlineStr">
        <is>
          <t>measured-edge-paired-v1</t>
        </is>
      </c>
      <c r="BH26" s="24" t="inlineStr">
        <is>
          <t>2026-07-31T00:56:25.957709Z</t>
        </is>
      </c>
      <c r="BI26" s="24" t="inlineStr">
        <is>
          <t>["same_event","same_team_same_day","same_league_same_day"]</t>
        </is>
      </c>
      <c r="BJ26" s="25" t="n">
        <v>1.5</v>
      </c>
      <c r="BK26" s="26" t="n">
        <v>-138</v>
      </c>
      <c r="BL26" s="27" t="n">
        <v>1.724638</v>
      </c>
      <c r="BM26" s="28" t="n">
        <v>0.579832</v>
      </c>
      <c r="BN26" s="28" t="n">
        <v>0.577114</v>
      </c>
      <c r="BO26" s="28" t="n"/>
      <c r="BP26" s="25" t="n"/>
      <c r="BQ26" s="27" t="n">
        <v>1.724638</v>
      </c>
      <c r="BR26" s="28" t="n">
        <v>0.58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c8e5eb08284e45ba</t>
        </is>
      </c>
      <c r="B27" s="24" t="inlineStr">
        <is>
          <t>2026-07-31T00:56:25.957709Z</t>
        </is>
      </c>
      <c r="C27" s="24" t="inlineStr">
        <is>
          <t>2026-07-31T02:10Z</t>
        </is>
      </c>
      <c r="D27" s="24" t="inlineStr">
        <is>
          <t>401816330</t>
        </is>
      </c>
      <c r="E27" s="24" t="inlineStr">
        <is>
          <t>MLB</t>
        </is>
      </c>
      <c r="F27" s="24" t="inlineStr">
        <is>
          <t>Seattle Mariners</t>
        </is>
      </c>
      <c r="G27" s="24" t="inlineStr">
        <is>
          <t>Los Angeles Dodgers</t>
        </is>
      </c>
      <c r="H27" s="24" t="inlineStr">
        <is>
          <t>spread</t>
        </is>
      </c>
      <c r="I27" s="24" t="inlineStr">
        <is>
          <t>away</t>
        </is>
      </c>
      <c r="J27" s="25" t="n">
        <v>1.5</v>
      </c>
      <c r="K27" s="24" t="inlineStr">
        <is>
          <t>polymarket_us</t>
        </is>
      </c>
      <c r="L27" s="26" t="n">
        <v>-141</v>
      </c>
      <c r="M27" s="27" t="n">
        <v>1.70922</v>
      </c>
      <c r="N27" s="28" t="n">
        <v>0.585062</v>
      </c>
      <c r="O27" s="28" t="n">
        <v>0.548584</v>
      </c>
      <c r="P27" s="28" t="n">
        <v>0.042131</v>
      </c>
      <c r="Q27" s="28" t="n">
        <v>-0.036478</v>
      </c>
      <c r="R27" s="26" t="n">
        <v>6</v>
      </c>
      <c r="S27" s="29" t="n">
        <v>1</v>
      </c>
      <c r="T27" s="24" t="inlineStr">
        <is>
          <t>measured-edge-margin-v1</t>
        </is>
      </c>
      <c r="U27" s="24" t="inlineStr">
        <is>
          <t>settled</t>
        </is>
      </c>
      <c r="V27" s="24" t="inlineStr">
        <is>
          <t>loss</t>
        </is>
      </c>
      <c r="W27" s="26" t="n">
        <v>2</v>
      </c>
      <c r="X27" s="26" t="n">
        <v>6</v>
      </c>
      <c r="Y27" s="25" t="n">
        <v>1.5</v>
      </c>
      <c r="Z27" s="26" t="n">
        <v>-141</v>
      </c>
      <c r="AA27" s="28" t="n">
        <v>0.585</v>
      </c>
      <c r="AB27" s="28" t="n">
        <v>-6.2e-05</v>
      </c>
      <c r="AC27" s="30" t="n">
        <v>-1</v>
      </c>
      <c r="AD27" s="24" t="inlineStr">
        <is>
          <t>2026-07-31T06:33:23.239586Z</t>
        </is>
      </c>
      <c r="AE27" s="31" t="inlineStr">
        <is>
          <t>Measured Edge Margin: Trend Engine projected 4.65-4.92; raw selected-side p=0.6361, calibrated p=0.5486.</t>
        </is>
      </c>
      <c r="AF27" s="31" t="inlineStr">
        <is>
          <t>Research-only; lineup, bullpen, park, weather, xFIP, and wRC+ may be neutral fallbacks; market availability and BBO depth may change before first pitch.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NO_CALL_MODEL_UNVALIDATED</t>
        </is>
      </c>
      <c r="AP27" s="24" t="inlineStr">
        <is>
          <t>mlb-sea</t>
        </is>
      </c>
      <c r="AQ27" s="24" t="inlineStr">
        <is>
          <t>Seattle Mariners</t>
        </is>
      </c>
      <c r="AR27" s="24" t="inlineStr">
        <is>
          <t>Seattle Mariners</t>
        </is>
      </c>
      <c r="AS27" s="24" t="inlineStr">
        <is>
          <t>mlb-lad</t>
        </is>
      </c>
      <c r="AT27" s="24" t="inlineStr">
        <is>
          <t>Los Angeles Dodgers</t>
        </is>
      </c>
      <c r="AU27" s="24" t="inlineStr">
        <is>
          <t>Los Angeles Dodgers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research</t>
        </is>
      </c>
      <c r="BA27" s="24" t="inlineStr">
        <is>
          <t>2bc2ce55b0d39a20103f724bbddbde5394909acd49297f52665b596a0ae3ae8b</t>
        </is>
      </c>
      <c r="BB27" s="24" t="inlineStr">
        <is>
          <t>flat_probability_shrinkage_toward_half</t>
        </is>
      </c>
      <c r="BC27" s="24" t="inlineStr">
        <is>
          <t>measured-edge-margin-v1</t>
        </is>
      </c>
      <c r="BD27" s="24" t="inlineStr">
        <is>
          <t>2bc2ce55b0d39a20103f724bbddbde5394909acd49297f52665b596a0ae3ae8b</t>
        </is>
      </c>
      <c r="BE27" s="24" t="inlineStr">
        <is>
          <t>v3</t>
        </is>
      </c>
      <c r="BF27" s="24" t="inlineStr">
        <is>
          <t>1</t>
        </is>
      </c>
      <c r="BG27" s="24" t="inlineStr">
        <is>
          <t>measured-edge-paired-v1</t>
        </is>
      </c>
      <c r="BH27" s="24" t="inlineStr">
        <is>
          <t>2026-07-31T00:56:25.957709Z</t>
        </is>
      </c>
      <c r="BI27" s="24" t="inlineStr">
        <is>
          <t>["same_event","same_team_same_day","same_league_same_day"]</t>
        </is>
      </c>
      <c r="BJ27" s="25" t="n">
        <v>1.5</v>
      </c>
      <c r="BK27" s="26" t="n">
        <v>-141</v>
      </c>
      <c r="BL27" s="27" t="n">
        <v>1.70922</v>
      </c>
      <c r="BM27" s="28" t="n">
        <v>0.585062</v>
      </c>
      <c r="BN27" s="28" t="n">
        <v>0.58209</v>
      </c>
      <c r="BO27" s="28" t="n"/>
      <c r="BP27" s="25" t="n"/>
      <c r="BQ27" s="27" t="n">
        <v>1.70922</v>
      </c>
      <c r="BR27" s="28" t="n">
        <v>0.585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60b823efaca14598</t>
        </is>
      </c>
      <c r="B28" s="24" t="inlineStr">
        <is>
          <t>2026-07-31T00:56:25.957709Z</t>
        </is>
      </c>
      <c r="C28" s="24" t="inlineStr">
        <is>
          <t>2026-07-31T02:10Z</t>
        </is>
      </c>
      <c r="D28" s="24" t="inlineStr">
        <is>
          <t>401816330</t>
        </is>
      </c>
      <c r="E28" s="24" t="inlineStr">
        <is>
          <t>MLB</t>
        </is>
      </c>
      <c r="F28" s="24" t="inlineStr">
        <is>
          <t>Seattle Mariners</t>
        </is>
      </c>
      <c r="G28" s="24" t="inlineStr">
        <is>
          <t>Los Angeles Dodgers</t>
        </is>
      </c>
      <c r="H28" s="24" t="inlineStr">
        <is>
          <t>total</t>
        </is>
      </c>
      <c r="I28" s="24" t="inlineStr">
        <is>
          <t>over</t>
        </is>
      </c>
      <c r="J28" s="25" t="n">
        <v>8.5</v>
      </c>
      <c r="K28" s="24" t="inlineStr">
        <is>
          <t>polymarket_us</t>
        </is>
      </c>
      <c r="L28" s="26" t="n">
        <v>-106</v>
      </c>
      <c r="M28" s="27" t="n">
        <v>1.943396</v>
      </c>
      <c r="N28" s="28" t="n">
        <v>0.514563</v>
      </c>
      <c r="O28" s="28" t="n">
        <v>0.550517</v>
      </c>
      <c r="P28" s="28" t="n">
        <v>0.042131</v>
      </c>
      <c r="Q28" s="28" t="n">
        <v>0.035954</v>
      </c>
      <c r="R28" s="26" t="n">
        <v>43</v>
      </c>
      <c r="S28" s="29" t="n">
        <v>1</v>
      </c>
      <c r="T28" s="24" t="inlineStr">
        <is>
          <t>measured-edge-totals-v1</t>
        </is>
      </c>
      <c r="U28" s="24" t="inlineStr">
        <is>
          <t>settled</t>
        </is>
      </c>
      <c r="V28" s="24" t="inlineStr">
        <is>
          <t>loss</t>
        </is>
      </c>
      <c r="W28" s="26" t="n">
        <v>2</v>
      </c>
      <c r="X28" s="26" t="n">
        <v>6</v>
      </c>
      <c r="Y28" s="25" t="n">
        <v>8.5</v>
      </c>
      <c r="Z28" s="26" t="n">
        <v>-106</v>
      </c>
      <c r="AA28" s="28" t="n">
        <v>0.515</v>
      </c>
      <c r="AB28" s="28" t="n">
        <v>0.000437</v>
      </c>
      <c r="AC28" s="30" t="n">
        <v>-1</v>
      </c>
      <c r="AD28" s="24" t="inlineStr">
        <is>
          <t>2026-07-31T06:33:23.737443Z</t>
        </is>
      </c>
      <c r="AE28" s="31" t="inlineStr">
        <is>
          <t>Measured Edge Totals: Trend Engine projected 4.65-4.92; raw selected-side p=0.5680, calibrated p=0.5505.</t>
        </is>
      </c>
      <c r="AF28" s="31" t="inlineStr">
        <is>
          <t>Research-only; lineup, bullpen, park, weather, xFIP, and wRC+ may be neutral fallbacks; market availability and BBO depth may change before first pitch.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mlb-sea</t>
        </is>
      </c>
      <c r="AQ28" s="24" t="inlineStr">
        <is>
          <t>Seattle Mariners</t>
        </is>
      </c>
      <c r="AR28" s="24" t="inlineStr">
        <is>
          <t>Seattle Mariners</t>
        </is>
      </c>
      <c r="AS28" s="24" t="inlineStr">
        <is>
          <t>mlb-lad</t>
        </is>
      </c>
      <c r="AT28" s="24" t="inlineStr">
        <is>
          <t>Los Angeles Dodgers</t>
        </is>
      </c>
      <c r="AU28" s="24" t="inlineStr">
        <is>
          <t>Los Angeles Dodgers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research</t>
        </is>
      </c>
      <c r="BA28" s="24" t="inlineStr">
        <is>
          <t>cbc2c9bf5a9569a49e1902c816d96556d704cf10819ca3a9e927721685757d0b</t>
        </is>
      </c>
      <c r="BB28" s="24" t="inlineStr">
        <is>
          <t>flat_probability_shrinkage_toward_half</t>
        </is>
      </c>
      <c r="BC28" s="24" t="inlineStr">
        <is>
          <t>measured-edge-totals-v1</t>
        </is>
      </c>
      <c r="BD28" s="24" t="inlineStr">
        <is>
          <t>cbc2c9bf5a9569a49e1902c816d96556d704cf10819ca3a9e927721685757d0b</t>
        </is>
      </c>
      <c r="BE28" s="24" t="inlineStr">
        <is>
          <t>v3</t>
        </is>
      </c>
      <c r="BF28" s="24" t="inlineStr">
        <is>
          <t>1</t>
        </is>
      </c>
      <c r="BG28" s="24" t="inlineStr">
        <is>
          <t>measured-edge-paired-v1</t>
        </is>
      </c>
      <c r="BH28" s="24" t="inlineStr">
        <is>
          <t>2026-07-31T00:56:25.957709Z</t>
        </is>
      </c>
      <c r="BI28" s="24" t="inlineStr">
        <is>
          <t>["same_event","same_team_same_day","same_league_same_day"]</t>
        </is>
      </c>
      <c r="BJ28" s="25" t="n">
        <v>8.5</v>
      </c>
      <c r="BK28" s="26" t="n">
        <v>-106</v>
      </c>
      <c r="BL28" s="27" t="n">
        <v>1.943396</v>
      </c>
      <c r="BM28" s="28" t="n">
        <v>0.514563</v>
      </c>
      <c r="BN28" s="28" t="n">
        <v>0.5124379999999999</v>
      </c>
      <c r="BO28" s="28" t="n"/>
      <c r="BP28" s="25" t="n"/>
      <c r="BQ28" s="27" t="n">
        <v>1.943396</v>
      </c>
      <c r="BR28" s="28" t="n">
        <v>0.515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3d74b7d1bf3747a5</t>
        </is>
      </c>
      <c r="B29" s="24" t="inlineStr">
        <is>
          <t>2026-07-31T16:46:24.073866Z</t>
        </is>
      </c>
      <c r="C29" s="24" t="inlineStr">
        <is>
          <t>2026-07-31T14:20:00-0400</t>
        </is>
      </c>
      <c r="D29" s="24" t="inlineStr">
        <is>
          <t>401816339</t>
        </is>
      </c>
      <c r="E29" s="24" t="inlineStr">
        <is>
          <t>MLB</t>
        </is>
      </c>
      <c r="F29" s="24" t="inlineStr">
        <is>
          <t>New York Yankees</t>
        </is>
      </c>
      <c r="G29" s="24" t="inlineStr">
        <is>
          <t>Chicago Cubs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0.543986</v>
      </c>
      <c r="P29" s="28" t="n"/>
      <c r="Q29" s="28" t="n">
        <v>-0.051156</v>
      </c>
      <c r="R29" s="26" t="n">
        <v>0</v>
      </c>
      <c r="S29" s="29" t="n">
        <v>1</v>
      </c>
      <c r="T29" s="24" t="inlineStr">
        <is>
          <t>mlb-elo-trend-lr-v7</t>
        </is>
      </c>
      <c r="U29" s="24" t="inlineStr">
        <is>
          <t>settled</t>
        </is>
      </c>
      <c r="V29" s="24" t="inlineStr">
        <is>
          <t>loss</t>
        </is>
      </c>
      <c r="W29" s="26" t="n">
        <v>2</v>
      </c>
      <c r="X29" s="26" t="n">
        <v>0</v>
      </c>
      <c r="Y29" s="25" t="n"/>
      <c r="Z29" s="26" t="n">
        <v>-147</v>
      </c>
      <c r="AA29" s="28" t="n">
        <v>0.595</v>
      </c>
      <c r="AB29" s="28" t="n">
        <v>-0.000142</v>
      </c>
      <c r="AC29" s="30" t="n">
        <v>-1</v>
      </c>
      <c r="AD29" s="24" t="inlineStr">
        <is>
          <t>2026-07-31T21:03:20.158261Z</t>
        </is>
      </c>
      <c r="AE29" s="31" t="inlineStr">
        <is>
          <t>Learned LR call at threshold 0.6242; executable ask 0.5950 (aec-mlb-nyy-chc-2026-07-31); model edge vs ask -0.0510.</t>
        </is>
      </c>
      <c r="AF29" s="31" t="inlineStr">
        <is>
          <t>Learned model; shadow-qualified via operator override.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mlb-nyy</t>
        </is>
      </c>
      <c r="AQ29" s="24" t="inlineStr">
        <is>
          <t>New York Yankees</t>
        </is>
      </c>
      <c r="AR29" s="24" t="inlineStr">
        <is>
          <t>New York Yankees</t>
        </is>
      </c>
      <c r="AS29" s="24" t="inlineStr">
        <is>
          <t>mlb-chc</t>
        </is>
      </c>
      <c r="AT29" s="24" t="inlineStr">
        <is>
          <t>Chicago Cubs</t>
        </is>
      </c>
      <c r="AU29" s="24" t="inlineStr">
        <is>
          <t>Chicago Cubs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464eef695bfbbdaa819ec6f5e4c5bd1068ed20b92915fb2677220ae91e20d8b6</t>
        </is>
      </c>
      <c r="BB29" s="24" t="inlineStr">
        <is>
          <t>learned_lr</t>
        </is>
      </c>
      <c r="BC29" s="24" t="inlineStr">
        <is>
          <t>mlb-elo-trend-lr-v7</t>
        </is>
      </c>
      <c r="BD29" s="24" t="inlineStr">
        <is>
          <t>464eef695bfbbdaa819ec6f5e4c5bd1068ed20b92915fb2677220ae91e20d8b6</t>
        </is>
      </c>
      <c r="BE29" s="24" t="inlineStr">
        <is>
          <t>e8343472130f370f</t>
        </is>
      </c>
      <c r="BF29" s="24" t="inlineStr">
        <is>
          <t>1</t>
        </is>
      </c>
      <c r="BG29" s="24" t="inlineStr">
        <is>
          <t>mlb-elo-trend-lr-v7</t>
        </is>
      </c>
      <c r="BH29" s="24" t="inlineStr">
        <is>
          <t>2026-07-31T16:45:32.204120Z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>
        <v>1.680272</v>
      </c>
      <c r="BR29" s="28" t="n">
        <v>0.595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0.5477638437</t>
        </is>
      </c>
      <c r="CD29" s="24" t="inlineStr">
        <is>
          <t>0.6277</t>
        </is>
      </c>
      <c r="CE29" s="24" t="inlineStr">
        <is>
          <t>0.986</t>
        </is>
      </c>
      <c r="CF29" s="24" t="inlineStr">
        <is>
          <t>1.014</t>
        </is>
      </c>
      <c r="CG29" s="24" t="inlineStr">
        <is>
          <t>-1.6</t>
        </is>
      </c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39009d7bd2e0407f</t>
        </is>
      </c>
      <c r="B30" s="24" t="inlineStr">
        <is>
          <t>2026-07-31T16:46:49.961054Z</t>
        </is>
      </c>
      <c r="C30" s="24" t="inlineStr">
        <is>
          <t>2026-07-31T18:20Z</t>
        </is>
      </c>
      <c r="D30" s="24" t="inlineStr">
        <is>
          <t>401816339</t>
        </is>
      </c>
      <c r="E30" s="24" t="inlineStr">
        <is>
          <t>MLB</t>
        </is>
      </c>
      <c r="F30" s="24" t="inlineStr">
        <is>
          <t>New York Yankees</t>
        </is>
      </c>
      <c r="G30" s="24" t="inlineStr">
        <is>
          <t>Chicago Cubs</t>
        </is>
      </c>
      <c r="H30" s="24" t="inlineStr">
        <is>
          <t>spread</t>
        </is>
      </c>
      <c r="I30" s="24" t="inlineStr">
        <is>
          <t>away</t>
        </is>
      </c>
      <c r="J30" s="25" t="n">
        <v>1.5</v>
      </c>
      <c r="K30" s="24" t="inlineStr">
        <is>
          <t>polymarket_us</t>
        </is>
      </c>
      <c r="L30" s="26" t="n">
        <v>-138</v>
      </c>
      <c r="M30" s="27" t="n">
        <v>1.724638</v>
      </c>
      <c r="N30" s="28" t="n">
        <v>0.579832</v>
      </c>
      <c r="O30" s="28" t="n">
        <v>0.538268</v>
      </c>
      <c r="P30" s="28" t="n">
        <v>0.042131</v>
      </c>
      <c r="Q30" s="28" t="n">
        <v>-0.041564</v>
      </c>
      <c r="R30" s="26" t="n">
        <v>4</v>
      </c>
      <c r="S30" s="29" t="n">
        <v>1</v>
      </c>
      <c r="T30" s="24" t="inlineStr">
        <is>
          <t>measured-edge-margin-v1</t>
        </is>
      </c>
      <c r="U30" s="24" t="inlineStr">
        <is>
          <t>settled</t>
        </is>
      </c>
      <c r="V30" s="24" t="inlineStr">
        <is>
          <t>win</t>
        </is>
      </c>
      <c r="W30" s="26" t="n">
        <v>2</v>
      </c>
      <c r="X30" s="26" t="n">
        <v>0</v>
      </c>
      <c r="Y30" s="25" t="n">
        <v>1.5</v>
      </c>
      <c r="Z30" s="26" t="n">
        <v>-138</v>
      </c>
      <c r="AA30" s="28" t="n">
        <v>0.58</v>
      </c>
      <c r="AB30" s="28" t="n">
        <v>0.000168</v>
      </c>
      <c r="AC30" s="30" t="n">
        <v>0.7246</v>
      </c>
      <c r="AD30" s="24" t="inlineStr">
        <is>
          <t>2026-07-31T21:03:20.724129Z</t>
        </is>
      </c>
      <c r="AE30" s="31" t="inlineStr">
        <is>
          <t>Measured Edge Margin: Trend Engine projected 4.18-5.00; raw selected-side p=0.5836, calibrated p=0.5383.</t>
        </is>
      </c>
      <c r="AF30" s="31" t="inlineStr">
        <is>
          <t>Research-only; lineup, bullpen, park, weather, xFIP, and wRC+ may be neutral fallbacks; market availability and BBO depth may change before first pitch.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NO_CALL_MODEL_UNVALIDATED</t>
        </is>
      </c>
      <c r="AP30" s="24" t="inlineStr">
        <is>
          <t>mlb-nyy</t>
        </is>
      </c>
      <c r="AQ30" s="24" t="inlineStr">
        <is>
          <t>New York Yankees</t>
        </is>
      </c>
      <c r="AR30" s="24" t="inlineStr">
        <is>
          <t>New York Yankees</t>
        </is>
      </c>
      <c r="AS30" s="24" t="inlineStr">
        <is>
          <t>mlb-chc</t>
        </is>
      </c>
      <c r="AT30" s="24" t="inlineStr">
        <is>
          <t>Chicago Cubs</t>
        </is>
      </c>
      <c r="AU30" s="24" t="inlineStr">
        <is>
          <t>Chicago Cubs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research</t>
        </is>
      </c>
      <c r="BA30" s="24" t="inlineStr">
        <is>
          <t>2bc2ce55b0d39a20103f724bbddbde5394909acd49297f52665b596a0ae3ae8b</t>
        </is>
      </c>
      <c r="BB30" s="24" t="inlineStr">
        <is>
          <t>flat_probability_shrinkage_toward_half</t>
        </is>
      </c>
      <c r="BC30" s="24" t="inlineStr">
        <is>
          <t>measured-edge-margin-v1</t>
        </is>
      </c>
      <c r="BD30" s="24" t="inlineStr">
        <is>
          <t>2bc2ce55b0d39a20103f724bbddbde5394909acd49297f52665b596a0ae3ae8b</t>
        </is>
      </c>
      <c r="BE30" s="24" t="inlineStr">
        <is>
          <t>v3</t>
        </is>
      </c>
      <c r="BF30" s="24" t="inlineStr">
        <is>
          <t>1</t>
        </is>
      </c>
      <c r="BG30" s="24" t="inlineStr">
        <is>
          <t>measured-edge-paired-v1</t>
        </is>
      </c>
      <c r="BH30" s="24" t="inlineStr">
        <is>
          <t>2026-07-31T16:46:49.961054Z</t>
        </is>
      </c>
      <c r="BI30" s="24" t="inlineStr">
        <is>
          <t>["same_event","same_team_same_day","same_league_same_day"]</t>
        </is>
      </c>
      <c r="BJ30" s="25" t="n">
        <v>1.5</v>
      </c>
      <c r="BK30" s="26" t="n">
        <v>-138</v>
      </c>
      <c r="BL30" s="27" t="n">
        <v>1.724638</v>
      </c>
      <c r="BM30" s="28" t="n">
        <v>0.579832</v>
      </c>
      <c r="BN30" s="28" t="n">
        <v>0.577114</v>
      </c>
      <c r="BO30" s="28" t="n"/>
      <c r="BP30" s="25" t="n"/>
      <c r="BQ30" s="27" t="n">
        <v>1.724638</v>
      </c>
      <c r="BR30" s="28" t="n">
        <v>0.58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803a2df03dc04a1c</t>
        </is>
      </c>
      <c r="B31" s="24" t="inlineStr">
        <is>
          <t>2026-07-31T16:46:49.961054Z</t>
        </is>
      </c>
      <c r="C31" s="24" t="inlineStr">
        <is>
          <t>2026-07-31T18:20Z</t>
        </is>
      </c>
      <c r="D31" s="24" t="inlineStr">
        <is>
          <t>401816339</t>
        </is>
      </c>
      <c r="E31" s="24" t="inlineStr">
        <is>
          <t>MLB</t>
        </is>
      </c>
      <c r="F31" s="24" t="inlineStr">
        <is>
          <t>New York Yankees</t>
        </is>
      </c>
      <c r="G31" s="24" t="inlineStr">
        <is>
          <t>Chicago Cubs</t>
        </is>
      </c>
      <c r="H31" s="24" t="inlineStr">
        <is>
          <t>total</t>
        </is>
      </c>
      <c r="I31" s="24" t="inlineStr">
        <is>
          <t>over</t>
        </is>
      </c>
      <c r="J31" s="25" t="n">
        <v>8.5</v>
      </c>
      <c r="K31" s="24" t="inlineStr">
        <is>
          <t>polymarket_us</t>
        </is>
      </c>
      <c r="L31" s="26" t="n">
        <v>-125</v>
      </c>
      <c r="M31" s="27" t="n">
        <v>1.8</v>
      </c>
      <c r="N31" s="28" t="n">
        <v>0.555556</v>
      </c>
      <c r="O31" s="28" t="n">
        <v>0.514138</v>
      </c>
      <c r="P31" s="28" t="n">
        <v>0.042131</v>
      </c>
      <c r="Q31" s="28" t="n">
        <v>-0.041418</v>
      </c>
      <c r="R31" s="26" t="n">
        <v>4</v>
      </c>
      <c r="S31" s="29" t="n">
        <v>1</v>
      </c>
      <c r="T31" s="24" t="inlineStr">
        <is>
          <t>measured-edge-totals-v1</t>
        </is>
      </c>
      <c r="U31" s="24" t="inlineStr">
        <is>
          <t>settled</t>
        </is>
      </c>
      <c r="V31" s="24" t="inlineStr">
        <is>
          <t>loss</t>
        </is>
      </c>
      <c r="W31" s="26" t="n">
        <v>2</v>
      </c>
      <c r="X31" s="26" t="n">
        <v>0</v>
      </c>
      <c r="Y31" s="25" t="n">
        <v>8.5</v>
      </c>
      <c r="Z31" s="26" t="n">
        <v>-125</v>
      </c>
      <c r="AA31" s="28" t="n">
        <v>0.555</v>
      </c>
      <c r="AB31" s="28" t="n">
        <v>-0.000556</v>
      </c>
      <c r="AC31" s="30" t="n">
        <v>-1</v>
      </c>
      <c r="AD31" s="24" t="inlineStr">
        <is>
          <t>2026-07-31T21:03:21.299218Z</t>
        </is>
      </c>
      <c r="AE31" s="31" t="inlineStr">
        <is>
          <t>Measured Edge Totals: Trend Engine projected 4.18-5.00; raw selected-side p=0.5305, calibrated p=0.5141.</t>
        </is>
      </c>
      <c r="AF31" s="31" t="inlineStr">
        <is>
          <t>Research-only; lineup, bullpen, park, weather, xFIP, and wRC+ may be neutral fallbacks; market availability and BBO depth may change before first pitch.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NO_CALL_MODEL_UNVALIDATED</t>
        </is>
      </c>
      <c r="AP31" s="24" t="inlineStr">
        <is>
          <t>mlb-nyy</t>
        </is>
      </c>
      <c r="AQ31" s="24" t="inlineStr">
        <is>
          <t>New York Yankees</t>
        </is>
      </c>
      <c r="AR31" s="24" t="inlineStr">
        <is>
          <t>New York Yankees</t>
        </is>
      </c>
      <c r="AS31" s="24" t="inlineStr">
        <is>
          <t>mlb-chc</t>
        </is>
      </c>
      <c r="AT31" s="24" t="inlineStr">
        <is>
          <t>Chicago Cubs</t>
        </is>
      </c>
      <c r="AU31" s="24" t="inlineStr">
        <is>
          <t>Chicago Cubs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cbc2c9bf5a9569a49e1902c816d96556d704cf10819ca3a9e927721685757d0b</t>
        </is>
      </c>
      <c r="BB31" s="24" t="inlineStr">
        <is>
          <t>flat_probability_shrinkage_toward_half</t>
        </is>
      </c>
      <c r="BC31" s="24" t="inlineStr">
        <is>
          <t>measured-edge-totals-v1</t>
        </is>
      </c>
      <c r="BD31" s="24" t="inlineStr">
        <is>
          <t>cbc2c9bf5a9569a49e1902c816d96556d704cf10819ca3a9e927721685757d0b</t>
        </is>
      </c>
      <c r="BE31" s="24" t="inlineStr">
        <is>
          <t>v3</t>
        </is>
      </c>
      <c r="BF31" s="24" t="inlineStr">
        <is>
          <t>1</t>
        </is>
      </c>
      <c r="BG31" s="24" t="inlineStr">
        <is>
          <t>measured-edge-paired-v1</t>
        </is>
      </c>
      <c r="BH31" s="24" t="inlineStr">
        <is>
          <t>2026-07-31T16:46:49.961054Z</t>
        </is>
      </c>
      <c r="BI31" s="24" t="inlineStr">
        <is>
          <t>["same_event","same_team_same_day","same_league_same_day"]</t>
        </is>
      </c>
      <c r="BJ31" s="25" t="n">
        <v>8.5</v>
      </c>
      <c r="BK31" s="26" t="n">
        <v>-125</v>
      </c>
      <c r="BL31" s="27" t="n">
        <v>1.8</v>
      </c>
      <c r="BM31" s="28" t="n">
        <v>0.555556</v>
      </c>
      <c r="BN31" s="28" t="n">
        <v>0.552239</v>
      </c>
      <c r="BO31" s="28" t="n"/>
      <c r="BP31" s="25" t="n"/>
      <c r="BQ31" s="27" t="n">
        <v>1.8</v>
      </c>
      <c r="BR31" s="28" t="n">
        <v>0.555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7a2edb1572dc4cd1</t>
        </is>
      </c>
      <c r="B32" s="24" t="inlineStr">
        <is>
          <t>2026-07-31T21:05:22.115641Z</t>
        </is>
      </c>
      <c r="C32" s="24" t="inlineStr">
        <is>
          <t>2026-07-31T18:10:00-0400</t>
        </is>
      </c>
      <c r="D32" s="24" t="inlineStr">
        <is>
          <t>401816336</t>
        </is>
      </c>
      <c r="E32" s="24" t="inlineStr">
        <is>
          <t>MLB</t>
        </is>
      </c>
      <c r="F32" s="24" t="inlineStr">
        <is>
          <t>Pittsburgh Pirates</t>
        </is>
      </c>
      <c r="G32" s="24" t="inlineStr">
        <is>
          <t>Cincinnati Reds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-117</v>
      </c>
      <c r="M32" s="27" t="n">
        <v>1.854701</v>
      </c>
      <c r="N32" s="28" t="n">
        <v>0.539171</v>
      </c>
      <c r="O32" s="28" t="n">
        <v>0.519691</v>
      </c>
      <c r="P32" s="28" t="n"/>
      <c r="Q32" s="28" t="n">
        <v>-0.01948</v>
      </c>
      <c r="R32" s="26" t="n">
        <v>11</v>
      </c>
      <c r="S32" s="29" t="n">
        <v>1</v>
      </c>
      <c r="T32" s="24" t="inlineStr">
        <is>
          <t>mlb-elo-trend-lr-v7</t>
        </is>
      </c>
      <c r="U32" s="24" t="inlineStr">
        <is>
          <t>settled</t>
        </is>
      </c>
      <c r="V32" s="24" t="inlineStr">
        <is>
          <t>loss</t>
        </is>
      </c>
      <c r="W32" s="26" t="n">
        <v>7</v>
      </c>
      <c r="X32" s="26" t="n">
        <v>8</v>
      </c>
      <c r="Y32" s="25" t="n"/>
      <c r="Z32" s="26" t="n">
        <v>-117</v>
      </c>
      <c r="AA32" s="28" t="n">
        <v>0.54</v>
      </c>
      <c r="AB32" s="28" t="n">
        <v>0.000829</v>
      </c>
      <c r="AC32" s="30" t="n">
        <v>-1</v>
      </c>
      <c r="AD32" s="24" t="inlineStr">
        <is>
          <t>2026-08-01T02:59:59.343995Z</t>
        </is>
      </c>
      <c r="AE32" s="31" t="inlineStr">
        <is>
          <t>Learned LR call at threshold 0.6242; executable ask 0.5400 (aec-mlb-pit-cin-2026-07-31); model edge vs ask -0.0203.</t>
        </is>
      </c>
      <c r="AF32" s="31" t="inlineStr">
        <is>
          <t>Learned model; shadow-qualified via operator override.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mlb-pit</t>
        </is>
      </c>
      <c r="AQ32" s="24" t="inlineStr">
        <is>
          <t>Pittsburgh Pirates</t>
        </is>
      </c>
      <c r="AR32" s="24" t="inlineStr">
        <is>
          <t>Pittsburgh Pirates</t>
        </is>
      </c>
      <c r="AS32" s="24" t="inlineStr">
        <is>
          <t>mlb-cin</t>
        </is>
      </c>
      <c r="AT32" s="24" t="inlineStr">
        <is>
          <t>Cincinnati Reds</t>
        </is>
      </c>
      <c r="AU32" s="24" t="inlineStr">
        <is>
          <t>Cincinnati Reds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464eef695bfbbdaa819ec6f5e4c5bd1068ed20b92915fb2677220ae91e20d8b6</t>
        </is>
      </c>
      <c r="BB32" s="24" t="inlineStr">
        <is>
          <t>learned_lr</t>
        </is>
      </c>
      <c r="BC32" s="24" t="inlineStr">
        <is>
          <t>mlb-elo-trend-lr-v7</t>
        </is>
      </c>
      <c r="BD32" s="24" t="inlineStr">
        <is>
          <t>464eef695bfbbdaa819ec6f5e4c5bd1068ed20b92915fb2677220ae91e20d8b6</t>
        </is>
      </c>
      <c r="BE32" s="24" t="inlineStr">
        <is>
          <t>87db1c842ab8959c</t>
        </is>
      </c>
      <c r="BF32" s="24" t="inlineStr">
        <is>
          <t>1</t>
        </is>
      </c>
      <c r="BG32" s="24" t="inlineStr">
        <is>
          <t>mlb-elo-trend-lr-v7</t>
        </is>
      </c>
      <c r="BH32" s="24" t="inlineStr">
        <is>
          <t>2026-07-31T21:04:14.582367Z</t>
        </is>
      </c>
      <c r="BI32" s="24" t="inlineStr">
        <is>
          <t>["same_event","same_team_same_day","same_league_same_day"]</t>
        </is>
      </c>
      <c r="BJ32" s="25" t="n"/>
      <c r="BK32" s="26" t="n">
        <v>-117</v>
      </c>
      <c r="BL32" s="27" t="n">
        <v>1.854701</v>
      </c>
      <c r="BM32" s="28" t="n">
        <v>0.539171</v>
      </c>
      <c r="BN32" s="28" t="n">
        <v>0.537313</v>
      </c>
      <c r="BO32" s="28" t="n"/>
      <c r="BP32" s="25" t="n"/>
      <c r="BQ32" s="27" t="n">
        <v>1.854701</v>
      </c>
      <c r="BR32" s="28" t="n">
        <v>0.54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0.4930079966</t>
        </is>
      </c>
      <c r="CD32" s="24" t="inlineStr">
        <is>
          <t>0.789352</t>
        </is>
      </c>
      <c r="CE32" s="24" t="inlineStr">
        <is>
          <t>1.036</t>
        </is>
      </c>
      <c r="CF32" s="24" t="inlineStr">
        <is>
          <t>1.0173</t>
        </is>
      </c>
      <c r="CG32" s="24" t="inlineStr">
        <is>
          <t>-1.2</t>
        </is>
      </c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cf884cdd45fa42a6</t>
        </is>
      </c>
      <c r="B33" s="24" t="inlineStr">
        <is>
          <t>2026-07-31T21:05:22.115641Z</t>
        </is>
      </c>
      <c r="C33" s="24" t="inlineStr">
        <is>
          <t>2026-07-31T19:05:00-0400</t>
        </is>
      </c>
      <c r="D33" s="24" t="inlineStr">
        <is>
          <t>401816335</t>
        </is>
      </c>
      <c r="E33" s="24" t="inlineStr">
        <is>
          <t>MLB</t>
        </is>
      </c>
      <c r="F33" s="24" t="inlineStr">
        <is>
          <t>Philadelphia Phillies</t>
        </is>
      </c>
      <c r="G33" s="24" t="inlineStr">
        <is>
          <t>Baltimore Orioles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106</v>
      </c>
      <c r="M33" s="27" t="n">
        <v>2.06</v>
      </c>
      <c r="N33" s="28" t="n">
        <v>0.485437</v>
      </c>
      <c r="O33" s="28" t="n">
        <v>0.509459</v>
      </c>
      <c r="P33" s="28" t="n"/>
      <c r="Q33" s="28" t="n">
        <v>0.024022</v>
      </c>
      <c r="R33" s="26" t="n">
        <v>33</v>
      </c>
      <c r="S33" s="29" t="n">
        <v>1</v>
      </c>
      <c r="T33" s="24" t="inlineStr">
        <is>
          <t>mlb-elo-trend-lr-v7</t>
        </is>
      </c>
      <c r="U33" s="24" t="inlineStr">
        <is>
          <t>settled</t>
        </is>
      </c>
      <c r="V33" s="24" t="inlineStr">
        <is>
          <t>loss</t>
        </is>
      </c>
      <c r="W33" s="26" t="n">
        <v>4</v>
      </c>
      <c r="X33" s="26" t="n">
        <v>6</v>
      </c>
      <c r="Y33" s="25" t="n"/>
      <c r="Z33" s="26" t="n">
        <v>106</v>
      </c>
      <c r="AA33" s="28" t="n">
        <v>0.485</v>
      </c>
      <c r="AB33" s="28" t="n">
        <v>-0.000437</v>
      </c>
      <c r="AC33" s="30" t="n">
        <v>-1</v>
      </c>
      <c r="AD33" s="24" t="inlineStr">
        <is>
          <t>2026-08-01T02:59:59.636597Z</t>
        </is>
      </c>
      <c r="AE33" s="31" t="inlineStr">
        <is>
          <t>Learned LR call at threshold 0.6242; executable ask 0.4850 (aec-mlb-phi-bal-2026-07-31); model edge vs ask +0.0245.</t>
        </is>
      </c>
      <c r="AF33" s="31" t="inlineStr">
        <is>
          <t>Learned model; shadow-qualified via operator override.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mlb-phi</t>
        </is>
      </c>
      <c r="AQ33" s="24" t="inlineStr">
        <is>
          <t>Philadelphia Phillies</t>
        </is>
      </c>
      <c r="AR33" s="24" t="inlineStr">
        <is>
          <t>Philadelphia Phillies</t>
        </is>
      </c>
      <c r="AS33" s="24" t="inlineStr">
        <is>
          <t>mlb-bal</t>
        </is>
      </c>
      <c r="AT33" s="24" t="inlineStr">
        <is>
          <t>Baltimore Orioles</t>
        </is>
      </c>
      <c r="AU33" s="24" t="inlineStr">
        <is>
          <t>Baltimore Orioles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464eef695bfbbdaa819ec6f5e4c5bd1068ed20b92915fb2677220ae91e20d8b6</t>
        </is>
      </c>
      <c r="BB33" s="24" t="inlineStr">
        <is>
          <t>learned_lr</t>
        </is>
      </c>
      <c r="BC33" s="24" t="inlineStr">
        <is>
          <t>mlb-elo-trend-lr-v7</t>
        </is>
      </c>
      <c r="BD33" s="24" t="inlineStr">
        <is>
          <t>464eef695bfbbdaa819ec6f5e4c5bd1068ed20b92915fb2677220ae91e20d8b6</t>
        </is>
      </c>
      <c r="BE33" s="24" t="inlineStr">
        <is>
          <t>1b69a14f3893f0c1</t>
        </is>
      </c>
      <c r="BF33" s="24" t="inlineStr">
        <is>
          <t>1</t>
        </is>
      </c>
      <c r="BG33" s="24" t="inlineStr">
        <is>
          <t>mlb-elo-trend-lr-v7</t>
        </is>
      </c>
      <c r="BH33" s="24" t="inlineStr">
        <is>
          <t>2026-07-31T21:04:15.613897Z</t>
        </is>
      </c>
      <c r="BI33" s="24" t="inlineStr">
        <is>
          <t>["same_event","same_team_same_day","same_league_same_day"]</t>
        </is>
      </c>
      <c r="BJ33" s="25" t="n"/>
      <c r="BK33" s="26" t="n">
        <v>106</v>
      </c>
      <c r="BL33" s="27" t="n">
        <v>2.06</v>
      </c>
      <c r="BM33" s="28" t="n">
        <v>0.485437</v>
      </c>
      <c r="BN33" s="28" t="n">
        <v>0.482587</v>
      </c>
      <c r="BO33" s="28" t="n"/>
      <c r="BP33" s="25" t="n"/>
      <c r="BQ33" s="27" t="n">
        <v>2.06</v>
      </c>
      <c r="BR33" s="28" t="n">
        <v>0.485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0.4867559615</t>
        </is>
      </c>
      <c r="CD33" s="24" t="inlineStr">
        <is>
          <t>0.736702</t>
        </is>
      </c>
      <c r="CE33" s="24" t="inlineStr">
        <is>
          <t>1.03</t>
        </is>
      </c>
      <c r="CF33" s="24" t="inlineStr">
        <is>
          <t>1.0165</t>
        </is>
      </c>
      <c r="CG33" s="24" t="inlineStr">
        <is>
          <t>3.2</t>
        </is>
      </c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b1dea9d31b774008</t>
        </is>
      </c>
      <c r="B34" s="24" t="inlineStr">
        <is>
          <t>2026-07-31T21:05:22.115641Z</t>
        </is>
      </c>
      <c r="C34" s="24" t="inlineStr">
        <is>
          <t>2026-07-31T19:07:00-0400</t>
        </is>
      </c>
      <c r="D34" s="24" t="inlineStr">
        <is>
          <t>401816337</t>
        </is>
      </c>
      <c r="E34" s="24" t="inlineStr">
        <is>
          <t>MLB</t>
        </is>
      </c>
      <c r="F34" s="24" t="inlineStr">
        <is>
          <t>St. Louis Cardinals</t>
        </is>
      </c>
      <c r="G34" s="24" t="inlineStr">
        <is>
          <t>Toronto Blue Jays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-170</v>
      </c>
      <c r="M34" s="27" t="n">
        <v>1.588235</v>
      </c>
      <c r="N34" s="28" t="n">
        <v>0.62963</v>
      </c>
      <c r="O34" s="28" t="n">
        <v>0.5350549999999999</v>
      </c>
      <c r="P34" s="28" t="n"/>
      <c r="Q34" s="28" t="n">
        <v>-0.09457500000000001</v>
      </c>
      <c r="R34" s="26" t="n">
        <v>0</v>
      </c>
      <c r="S34" s="29" t="n">
        <v>1</v>
      </c>
      <c r="T34" s="24" t="inlineStr">
        <is>
          <t>mlb-elo-trend-lr-v7</t>
        </is>
      </c>
      <c r="U34" s="24" t="inlineStr">
        <is>
          <t>settled</t>
        </is>
      </c>
      <c r="V34" s="24" t="inlineStr">
        <is>
          <t>win</t>
        </is>
      </c>
      <c r="W34" s="26" t="n">
        <v>1</v>
      </c>
      <c r="X34" s="26" t="n">
        <v>3</v>
      </c>
      <c r="Y34" s="25" t="n"/>
      <c r="Z34" s="26" t="n">
        <v>-170</v>
      </c>
      <c r="AA34" s="28" t="n">
        <v>0.63</v>
      </c>
      <c r="AB34" s="28" t="n">
        <v>0.00037</v>
      </c>
      <c r="AC34" s="30" t="n">
        <v>0.5881999999999999</v>
      </c>
      <c r="AD34" s="24" t="inlineStr">
        <is>
          <t>2026-08-01T02:59:59.922051Z</t>
        </is>
      </c>
      <c r="AE34" s="31" t="inlineStr">
        <is>
          <t>Learned LR call at threshold 0.6242; executable ask 0.6300 (aec-mlb-stl-tor-2026-07-31); model edge vs ask -0.0949.</t>
        </is>
      </c>
      <c r="AF34" s="31" t="inlineStr">
        <is>
          <t>Learned model; shadow-qualified via operator override.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mlb-stl</t>
        </is>
      </c>
      <c r="AQ34" s="24" t="inlineStr">
        <is>
          <t>St. Louis Cardinals</t>
        </is>
      </c>
      <c r="AR34" s="24" t="inlineStr">
        <is>
          <t>St. Louis Cardinals</t>
        </is>
      </c>
      <c r="AS34" s="24" t="inlineStr">
        <is>
          <t>mlb-tor</t>
        </is>
      </c>
      <c r="AT34" s="24" t="inlineStr">
        <is>
          <t>Toronto Blue Jays</t>
        </is>
      </c>
      <c r="AU34" s="24" t="inlineStr">
        <is>
          <t>Toronto Blue Jays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464eef695bfbbdaa819ec6f5e4c5bd1068ed20b92915fb2677220ae91e20d8b6</t>
        </is>
      </c>
      <c r="BB34" s="24" t="inlineStr">
        <is>
          <t>learned_lr</t>
        </is>
      </c>
      <c r="BC34" s="24" t="inlineStr">
        <is>
          <t>mlb-elo-trend-lr-v7</t>
        </is>
      </c>
      <c r="BD34" s="24" t="inlineStr">
        <is>
          <t>464eef695bfbbdaa819ec6f5e4c5bd1068ed20b92915fb2677220ae91e20d8b6</t>
        </is>
      </c>
      <c r="BE34" s="24" t="inlineStr">
        <is>
          <t>d656c6c15db18eba</t>
        </is>
      </c>
      <c r="BF34" s="24" t="inlineStr">
        <is>
          <t>1</t>
        </is>
      </c>
      <c r="BG34" s="24" t="inlineStr">
        <is>
          <t>mlb-elo-trend-lr-v7</t>
        </is>
      </c>
      <c r="BH34" s="24" t="inlineStr">
        <is>
          <t>2026-07-31T21:04:16.588388Z</t>
        </is>
      </c>
      <c r="BI34" s="24" t="inlineStr">
        <is>
          <t>["same_event","same_team_same_day","same_league_same_day"]</t>
        </is>
      </c>
      <c r="BJ34" s="25" t="n"/>
      <c r="BK34" s="26" t="n">
        <v>-170</v>
      </c>
      <c r="BL34" s="27" t="n">
        <v>1.588235</v>
      </c>
      <c r="BM34" s="28" t="n">
        <v>0.62963</v>
      </c>
      <c r="BN34" s="28" t="n">
        <v>0.626866</v>
      </c>
      <c r="BO34" s="28" t="n"/>
      <c r="BP34" s="25" t="n"/>
      <c r="BQ34" s="27" t="n">
        <v>1.588235</v>
      </c>
      <c r="BR34" s="28" t="n">
        <v>0.63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0.5524208033</t>
        </is>
      </c>
      <c r="CD34" s="24" t="inlineStr">
        <is>
          <t>0.784126</t>
        </is>
      </c>
      <c r="CE34" s="24" t="inlineStr">
        <is>
          <t>1.019</t>
        </is>
      </c>
      <c r="CF34" s="24" t="inlineStr">
        <is>
          <t>1</t>
        </is>
      </c>
      <c r="CG34" s="24" t="inlineStr">
        <is>
          <t>-0.8</t>
        </is>
      </c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594cf89dbb3142f3</t>
        </is>
      </c>
      <c r="B35" s="24" t="inlineStr">
        <is>
          <t>2026-07-31T21:05:22.115641Z</t>
        </is>
      </c>
      <c r="C35" s="24" t="inlineStr">
        <is>
          <t>2026-07-31T19:10:00-0400</t>
        </is>
      </c>
      <c r="D35" s="24" t="inlineStr">
        <is>
          <t>401816332</t>
        </is>
      </c>
      <c r="E35" s="24" t="inlineStr">
        <is>
          <t>MLB</t>
        </is>
      </c>
      <c r="F35" s="24" t="inlineStr">
        <is>
          <t>Arizona Diamondbacks</t>
        </is>
      </c>
      <c r="G35" s="24" t="inlineStr">
        <is>
          <t>Cleveland Guardians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-130</v>
      </c>
      <c r="M35" s="27" t="n">
        <v>1.769231</v>
      </c>
      <c r="N35" s="28" t="n">
        <v>0.565217</v>
      </c>
      <c r="O35" s="28" t="n">
        <v>0.544258</v>
      </c>
      <c r="P35" s="28" t="n"/>
      <c r="Q35" s="28" t="n">
        <v>-0.020959</v>
      </c>
      <c r="R35" s="26" t="n">
        <v>11</v>
      </c>
      <c r="S35" s="29" t="n">
        <v>1</v>
      </c>
      <c r="T35" s="24" t="inlineStr">
        <is>
          <t>mlb-elo-trend-lr-v7</t>
        </is>
      </c>
      <c r="U35" s="24" t="inlineStr">
        <is>
          <t>settled</t>
        </is>
      </c>
      <c r="V35" s="24" t="inlineStr">
        <is>
          <t>loss</t>
        </is>
      </c>
      <c r="W35" s="26" t="n">
        <v>4</v>
      </c>
      <c r="X35" s="26" t="n">
        <v>1</v>
      </c>
      <c r="Y35" s="25" t="n"/>
      <c r="Z35" s="26" t="n">
        <v>-130</v>
      </c>
      <c r="AA35" s="28" t="n">
        <v>0.5649999999999999</v>
      </c>
      <c r="AB35" s="28" t="n">
        <v>-0.000217</v>
      </c>
      <c r="AC35" s="30" t="n">
        <v>-1</v>
      </c>
      <c r="AD35" s="24" t="inlineStr">
        <is>
          <t>2026-08-01T03:00:00.243425Z</t>
        </is>
      </c>
      <c r="AE35" s="31" t="inlineStr">
        <is>
          <t>Learned LR call at threshold 0.6242; executable ask 0.5650 (aec-mlb-az-cle-2026-07-31); model edge vs ask -0.0207.</t>
        </is>
      </c>
      <c r="AF35" s="31" t="inlineStr">
        <is>
          <t>Learned model; shadow-qualified via operator override.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mlb-ari</t>
        </is>
      </c>
      <c r="AQ35" s="24" t="inlineStr">
        <is>
          <t>Arizona Diamondbacks</t>
        </is>
      </c>
      <c r="AR35" s="24" t="inlineStr">
        <is>
          <t>Arizona Diamondbacks</t>
        </is>
      </c>
      <c r="AS35" s="24" t="inlineStr">
        <is>
          <t>mlb-cle</t>
        </is>
      </c>
      <c r="AT35" s="24" t="inlineStr">
        <is>
          <t>Cleveland Guardians</t>
        </is>
      </c>
      <c r="AU35" s="24" t="inlineStr">
        <is>
          <t>Cleveland Guardians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464eef695bfbbdaa819ec6f5e4c5bd1068ed20b92915fb2677220ae91e20d8b6</t>
        </is>
      </c>
      <c r="BB35" s="24" t="inlineStr">
        <is>
          <t>learned_lr</t>
        </is>
      </c>
      <c r="BC35" s="24" t="inlineStr">
        <is>
          <t>mlb-elo-trend-lr-v7</t>
        </is>
      </c>
      <c r="BD35" s="24" t="inlineStr">
        <is>
          <t>464eef695bfbbdaa819ec6f5e4c5bd1068ed20b92915fb2677220ae91e20d8b6</t>
        </is>
      </c>
      <c r="BE35" s="24" t="inlineStr">
        <is>
          <t>c05f3921fd3daa13</t>
        </is>
      </c>
      <c r="BF35" s="24" t="inlineStr">
        <is>
          <t>1</t>
        </is>
      </c>
      <c r="BG35" s="24" t="inlineStr">
        <is>
          <t>mlb-elo-trend-lr-v7</t>
        </is>
      </c>
      <c r="BH35" s="24" t="inlineStr">
        <is>
          <t>2026-07-31T21:04:18.706060Z</t>
        </is>
      </c>
      <c r="BI35" s="24" t="inlineStr">
        <is>
          <t>["same_event","same_team_same_day","same_league_same_day"]</t>
        </is>
      </c>
      <c r="BJ35" s="25" t="n"/>
      <c r="BK35" s="26" t="n">
        <v>-130</v>
      </c>
      <c r="BL35" s="27" t="n">
        <v>1.769231</v>
      </c>
      <c r="BM35" s="28" t="n">
        <v>0.565217</v>
      </c>
      <c r="BN35" s="28" t="n">
        <v>0.562189</v>
      </c>
      <c r="BO35" s="28" t="n"/>
      <c r="BP35" s="25" t="n"/>
      <c r="BQ35" s="27" t="n">
        <v>1.769231</v>
      </c>
      <c r="BR35" s="28" t="n">
        <v>0.5649999999999999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0.5330748271</t>
        </is>
      </c>
      <c r="CD35" s="24" t="inlineStr">
        <is>
          <t>-0.52933</t>
        </is>
      </c>
      <c r="CE35" s="24" t="inlineStr">
        <is>
          <t>0.966</t>
        </is>
      </c>
      <c r="CF35" s="24" t="inlineStr">
        <is>
          <t>1.01</t>
        </is>
      </c>
      <c r="CG35" s="24" t="inlineStr">
        <is>
          <t>-0.4</t>
        </is>
      </c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64c9cf49c8c34227</t>
        </is>
      </c>
      <c r="B36" s="24" t="inlineStr">
        <is>
          <t>2026-07-31T21:05:22.115641Z</t>
        </is>
      </c>
      <c r="C36" s="24" t="inlineStr">
        <is>
          <t>2026-07-31T19:10:00-0400</t>
        </is>
      </c>
      <c r="D36" s="24" t="inlineStr">
        <is>
          <t>401816333</t>
        </is>
      </c>
      <c r="E36" s="24" t="inlineStr">
        <is>
          <t>MLB</t>
        </is>
      </c>
      <c r="F36" s="24" t="inlineStr">
        <is>
          <t>Chicago White Sox</t>
        </is>
      </c>
      <c r="G36" s="24" t="inlineStr">
        <is>
          <t>Tampa Bay Rays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-127</v>
      </c>
      <c r="M36" s="27" t="n">
        <v>1.787402</v>
      </c>
      <c r="N36" s="28" t="n">
        <v>0.5594710000000001</v>
      </c>
      <c r="O36" s="28" t="n">
        <v>0.559082</v>
      </c>
      <c r="P36" s="28" t="n"/>
      <c r="Q36" s="28" t="n">
        <v>-0.000389</v>
      </c>
      <c r="R36" s="26" t="n">
        <v>21</v>
      </c>
      <c r="S36" s="29" t="n">
        <v>1</v>
      </c>
      <c r="T36" s="24" t="inlineStr">
        <is>
          <t>mlb-elo-trend-lr-v7</t>
        </is>
      </c>
      <c r="U36" s="24" t="inlineStr">
        <is>
          <t>settled</t>
        </is>
      </c>
      <c r="V36" s="24" t="inlineStr">
        <is>
          <t>loss</t>
        </is>
      </c>
      <c r="W36" s="26" t="n">
        <v>6</v>
      </c>
      <c r="X36" s="26" t="n">
        <v>1</v>
      </c>
      <c r="Y36" s="25" t="n"/>
      <c r="Z36" s="26" t="n">
        <v>-127</v>
      </c>
      <c r="AA36" s="28" t="n">
        <v>0.5600000000000001</v>
      </c>
      <c r="AB36" s="28" t="n">
        <v>0.000529</v>
      </c>
      <c r="AC36" s="30" t="n">
        <v>-1</v>
      </c>
      <c r="AD36" s="24" t="inlineStr">
        <is>
          <t>2026-08-01T03:00:00.525886Z</t>
        </is>
      </c>
      <c r="AE36" s="31" t="inlineStr">
        <is>
          <t>Learned LR call at threshold 0.6242; executable ask 0.5600 (aec-mlb-cws-tb-2026-07-31); model edge vs ask -0.0009.</t>
        </is>
      </c>
      <c r="AF36" s="31" t="inlineStr">
        <is>
          <t>Learned model; shadow-qualified via operator override.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mlb-cws</t>
        </is>
      </c>
      <c r="AQ36" s="24" t="inlineStr">
        <is>
          <t>Chicago White Sox</t>
        </is>
      </c>
      <c r="AR36" s="24" t="inlineStr">
        <is>
          <t>Chicago White Sox</t>
        </is>
      </c>
      <c r="AS36" s="24" t="inlineStr">
        <is>
          <t>mlb-tb</t>
        </is>
      </c>
      <c r="AT36" s="24" t="inlineStr">
        <is>
          <t>Tampa Bay Rays</t>
        </is>
      </c>
      <c r="AU36" s="24" t="inlineStr">
        <is>
          <t>Tampa Bay Rays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464eef695bfbbdaa819ec6f5e4c5bd1068ed20b92915fb2677220ae91e20d8b6</t>
        </is>
      </c>
      <c r="BB36" s="24" t="inlineStr">
        <is>
          <t>learned_lr</t>
        </is>
      </c>
      <c r="BC36" s="24" t="inlineStr">
        <is>
          <t>mlb-elo-trend-lr-v7</t>
        </is>
      </c>
      <c r="BD36" s="24" t="inlineStr">
        <is>
          <t>464eef695bfbbdaa819ec6f5e4c5bd1068ed20b92915fb2677220ae91e20d8b6</t>
        </is>
      </c>
      <c r="BE36" s="24" t="inlineStr">
        <is>
          <t>a9ebd0a8f01e6140</t>
        </is>
      </c>
      <c r="BF36" s="24" t="inlineStr">
        <is>
          <t>1</t>
        </is>
      </c>
      <c r="BG36" s="24" t="inlineStr">
        <is>
          <t>mlb-elo-trend-lr-v7</t>
        </is>
      </c>
      <c r="BH36" s="24" t="inlineStr">
        <is>
          <t>2026-07-31T21:04:17.593587Z</t>
        </is>
      </c>
      <c r="BI36" s="24" t="inlineStr">
        <is>
          <t>["same_event","same_team_same_day","same_league_same_day"]</t>
        </is>
      </c>
      <c r="BJ36" s="25" t="n"/>
      <c r="BK36" s="26" t="n">
        <v>-127</v>
      </c>
      <c r="BL36" s="27" t="n">
        <v>1.787402</v>
      </c>
      <c r="BM36" s="28" t="n">
        <v>0.5594710000000001</v>
      </c>
      <c r="BN36" s="28" t="n">
        <v>0.557214</v>
      </c>
      <c r="BO36" s="28" t="n"/>
      <c r="BP36" s="25" t="n"/>
      <c r="BQ36" s="27" t="n">
        <v>1.787402</v>
      </c>
      <c r="BR36" s="28" t="n">
        <v>0.5600000000000001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0.5584762442</t>
        </is>
      </c>
      <c r="CD36" s="24" t="inlineStr">
        <is>
          <t>-0.438979</t>
        </is>
      </c>
      <c r="CE36" s="24" t="inlineStr">
        <is>
          <t>0.965</t>
        </is>
      </c>
      <c r="CF36" s="24" t="inlineStr">
        <is>
          <t>1</t>
        </is>
      </c>
      <c r="CG36" s="24" t="inlineStr">
        <is>
          <t>-2.4</t>
        </is>
      </c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fce5992c67c64f32</t>
        </is>
      </c>
      <c r="B37" s="24" t="inlineStr">
        <is>
          <t>2026-07-31T21:05:22.115641Z</t>
        </is>
      </c>
      <c r="C37" s="24" t="inlineStr">
        <is>
          <t>2026-07-31T19:10:00-0400</t>
        </is>
      </c>
      <c r="D37" s="24" t="inlineStr">
        <is>
          <t>401816334</t>
        </is>
      </c>
      <c r="E37" s="24" t="inlineStr">
        <is>
          <t>MLB</t>
        </is>
      </c>
      <c r="F37" s="24" t="inlineStr">
        <is>
          <t>Miami Marlins</t>
        </is>
      </c>
      <c r="G37" s="24" t="inlineStr">
        <is>
          <t>New York Mets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-111</v>
      </c>
      <c r="M37" s="27" t="n">
        <v>1.900901</v>
      </c>
      <c r="N37" s="28" t="n">
        <v>0.526066</v>
      </c>
      <c r="O37" s="28" t="n">
        <v>0.515053</v>
      </c>
      <c r="P37" s="28" t="n"/>
      <c r="Q37" s="28" t="n">
        <v>-0.011013</v>
      </c>
      <c r="R37" s="26" t="n">
        <v>16</v>
      </c>
      <c r="S37" s="29" t="n">
        <v>1</v>
      </c>
      <c r="T37" s="24" t="inlineStr">
        <is>
          <t>mlb-elo-trend-lr-v7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2</v>
      </c>
      <c r="Y37" s="25" t="n"/>
      <c r="Z37" s="26" t="n">
        <v>-111</v>
      </c>
      <c r="AA37" s="28" t="n">
        <v>0.525</v>
      </c>
      <c r="AB37" s="28" t="n">
        <v>-0.001066</v>
      </c>
      <c r="AC37" s="30" t="n">
        <v>-1</v>
      </c>
      <c r="AD37" s="24" t="inlineStr">
        <is>
          <t>2026-08-01T03:00:00.882259Z</t>
        </is>
      </c>
      <c r="AE37" s="31" t="inlineStr">
        <is>
          <t>Learned LR call at threshold 0.6242; executable ask 0.5250 (aec-mlb-mia-nym-2026-07-31); model edge vs ask -0.0099.</t>
        </is>
      </c>
      <c r="AF37" s="31" t="inlineStr">
        <is>
          <t>Learned model; shadow-qualified via operator override.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mlb-mia</t>
        </is>
      </c>
      <c r="AQ37" s="24" t="inlineStr">
        <is>
          <t>Miami Marlins</t>
        </is>
      </c>
      <c r="AR37" s="24" t="inlineStr">
        <is>
          <t>Miami Marlins</t>
        </is>
      </c>
      <c r="AS37" s="24" t="inlineStr">
        <is>
          <t>mlb-nym</t>
        </is>
      </c>
      <c r="AT37" s="24" t="inlineStr">
        <is>
          <t>New York Mets</t>
        </is>
      </c>
      <c r="AU37" s="24" t="inlineStr">
        <is>
          <t>New York Mets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464eef695bfbbdaa819ec6f5e4c5bd1068ed20b92915fb2677220ae91e20d8b6</t>
        </is>
      </c>
      <c r="BB37" s="24" t="inlineStr">
        <is>
          <t>learned_lr</t>
        </is>
      </c>
      <c r="BC37" s="24" t="inlineStr">
        <is>
          <t>mlb-elo-trend-lr-v7</t>
        </is>
      </c>
      <c r="BD37" s="24" t="inlineStr">
        <is>
          <t>464eef695bfbbdaa819ec6f5e4c5bd1068ed20b92915fb2677220ae91e20d8b6</t>
        </is>
      </c>
      <c r="BE37" s="24" t="inlineStr">
        <is>
          <t>7d687c1d1c8fffaf</t>
        </is>
      </c>
      <c r="BF37" s="24" t="inlineStr">
        <is>
          <t>1</t>
        </is>
      </c>
      <c r="BG37" s="24" t="inlineStr">
        <is>
          <t>mlb-elo-trend-lr-v7</t>
        </is>
      </c>
      <c r="BH37" s="24" t="inlineStr">
        <is>
          <t>2026-07-31T21:04:19.683836Z</t>
        </is>
      </c>
      <c r="BI37" s="24" t="inlineStr">
        <is>
          <t>["same_event","same_team_same_day","same_league_same_day"]</t>
        </is>
      </c>
      <c r="BJ37" s="25" t="n"/>
      <c r="BK37" s="26" t="n">
        <v>-111</v>
      </c>
      <c r="BL37" s="27" t="n">
        <v>1.900901</v>
      </c>
      <c r="BM37" s="28" t="n">
        <v>0.526066</v>
      </c>
      <c r="BN37" s="28" t="n">
        <v>0.522388</v>
      </c>
      <c r="BO37" s="28" t="n"/>
      <c r="BP37" s="25" t="n"/>
      <c r="BQ37" s="27" t="n">
        <v>1.900901</v>
      </c>
      <c r="BR37" s="28" t="n">
        <v>0.525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0.5114006859</t>
        </is>
      </c>
      <c r="CD37" s="24" t="inlineStr">
        <is>
          <t>0.280262</t>
        </is>
      </c>
      <c r="CE37" s="24" t="inlineStr">
        <is>
          <t>0.978</t>
        </is>
      </c>
      <c r="CF37" s="24" t="inlineStr">
        <is>
          <t>1.0066</t>
        </is>
      </c>
      <c r="CG37" s="24" t="inlineStr">
        <is>
          <t>-2.2</t>
        </is>
      </c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0406e869a5684c9e</t>
        </is>
      </c>
      <c r="B38" s="24" t="inlineStr">
        <is>
          <t>2026-07-31T21:05:22.115641Z</t>
        </is>
      </c>
      <c r="C38" s="24" t="inlineStr">
        <is>
          <t>2026-07-31T19:15:00-0400</t>
        </is>
      </c>
      <c r="D38" s="24" t="inlineStr">
        <is>
          <t>401816338</t>
        </is>
      </c>
      <c r="E38" s="24" t="inlineStr">
        <is>
          <t>MLB</t>
        </is>
      </c>
      <c r="F38" s="24" t="inlineStr">
        <is>
          <t>Washington Nationals</t>
        </is>
      </c>
      <c r="G38" s="24" t="inlineStr">
        <is>
          <t>Atlanta Braves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-111</v>
      </c>
      <c r="M38" s="27" t="n">
        <v>1.900901</v>
      </c>
      <c r="N38" s="28" t="n">
        <v>0.526066</v>
      </c>
      <c r="O38" s="28" t="n">
        <v>0.610339</v>
      </c>
      <c r="P38" s="28" t="n"/>
      <c r="Q38" s="28" t="n">
        <v>0.084273</v>
      </c>
      <c r="R38" s="26" t="n">
        <v>64</v>
      </c>
      <c r="S38" s="29" t="n">
        <v>1.5</v>
      </c>
      <c r="T38" s="24" t="inlineStr">
        <is>
          <t>mlb-elo-trend-lr-v7</t>
        </is>
      </c>
      <c r="U38" s="24" t="inlineStr">
        <is>
          <t>settled</t>
        </is>
      </c>
      <c r="V38" s="24" t="inlineStr">
        <is>
          <t>win</t>
        </is>
      </c>
      <c r="W38" s="26" t="n">
        <v>2</v>
      </c>
      <c r="X38" s="26" t="n">
        <v>6</v>
      </c>
      <c r="Y38" s="25" t="n"/>
      <c r="Z38" s="26" t="n">
        <v>-111</v>
      </c>
      <c r="AA38" s="28" t="n">
        <v>0.525</v>
      </c>
      <c r="AB38" s="28" t="n">
        <v>-0.001066</v>
      </c>
      <c r="AC38" s="30" t="n">
        <v>1.3514</v>
      </c>
      <c r="AD38" s="24" t="inlineStr">
        <is>
          <t>2026-08-01T03:00:01.166405Z</t>
        </is>
      </c>
      <c r="AE38" s="31" t="inlineStr">
        <is>
          <t>Learned LR call at threshold 0.6242; executable ask 0.5250 (aec-mlb-wsh-atl-2026-07-31); model edge vs ask +0.0853.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mlb-wsh</t>
        </is>
      </c>
      <c r="AQ38" s="24" t="inlineStr">
        <is>
          <t>Washington Nationals</t>
        </is>
      </c>
      <c r="AR38" s="24" t="inlineStr">
        <is>
          <t>Washington Nationals</t>
        </is>
      </c>
      <c r="AS38" s="24" t="inlineStr">
        <is>
          <t>mlb-atl</t>
        </is>
      </c>
      <c r="AT38" s="24" t="inlineStr">
        <is>
          <t>Atlanta Braves</t>
        </is>
      </c>
      <c r="AU38" s="24" t="inlineStr">
        <is>
          <t>Atlanta Braves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464eef695bfbbdaa819ec6f5e4c5bd1068ed20b92915fb2677220ae91e20d8b6</t>
        </is>
      </c>
      <c r="BB38" s="24" t="inlineStr">
        <is>
          <t>learned_lr</t>
        </is>
      </c>
      <c r="BC38" s="24" t="inlineStr">
        <is>
          <t>mlb-elo-trend-lr-v7</t>
        </is>
      </c>
      <c r="BD38" s="24" t="inlineStr">
        <is>
          <t>464eef695bfbbdaa819ec6f5e4c5bd1068ed20b92915fb2677220ae91e20d8b6</t>
        </is>
      </c>
      <c r="BE38" s="24" t="inlineStr">
        <is>
          <t>7862677c79c1ab1a</t>
        </is>
      </c>
      <c r="BF38" s="24" t="inlineStr">
        <is>
          <t>1</t>
        </is>
      </c>
      <c r="BG38" s="24" t="inlineStr">
        <is>
          <t>mlb-elo-trend-lr-v7</t>
        </is>
      </c>
      <c r="BH38" s="24" t="inlineStr">
        <is>
          <t>2026-07-31T21:04:20.645809Z</t>
        </is>
      </c>
      <c r="BI38" s="24" t="inlineStr">
        <is>
          <t>["same_event","same_team_same_day","same_league_same_day"]</t>
        </is>
      </c>
      <c r="BJ38" s="25" t="n"/>
      <c r="BK38" s="26" t="n">
        <v>-111</v>
      </c>
      <c r="BL38" s="27" t="n">
        <v>1.900901</v>
      </c>
      <c r="BM38" s="28" t="n">
        <v>0.526066</v>
      </c>
      <c r="BN38" s="28" t="n">
        <v>0.522388</v>
      </c>
      <c r="BO38" s="28" t="n"/>
      <c r="BP38" s="25" t="n"/>
      <c r="BQ38" s="27" t="n">
        <v>1.900901</v>
      </c>
      <c r="BR38" s="28" t="n">
        <v>0.525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0.6202589708</t>
        </is>
      </c>
      <c r="CD38" s="24" t="inlineStr">
        <is>
          <t>-0.247606</t>
        </is>
      </c>
      <c r="CE38" s="24" t="inlineStr">
        <is>
          <t>0.929</t>
        </is>
      </c>
      <c r="CF38" s="24" t="inlineStr">
        <is>
          <t>1.0189</t>
        </is>
      </c>
      <c r="CG38" s="24" t="inlineStr">
        <is>
          <t>-0.6</t>
        </is>
      </c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n"/>
    </row>
    <row r="39" ht="36" customHeight="1">
      <c r="A39" s="24" t="inlineStr">
        <is>
          <t>4889dd4f50bc4c81</t>
        </is>
      </c>
      <c r="B39" s="24" t="inlineStr">
        <is>
          <t>2026-07-31T21:05:54.725871Z</t>
        </is>
      </c>
      <c r="C39" s="24" t="inlineStr">
        <is>
          <t>2026-07-31T22:10Z</t>
        </is>
      </c>
      <c r="D39" s="24" t="inlineStr">
        <is>
          <t>401816336</t>
        </is>
      </c>
      <c r="E39" s="24" t="inlineStr">
        <is>
          <t>MLB</t>
        </is>
      </c>
      <c r="F39" s="24" t="inlineStr">
        <is>
          <t>Pittsburgh Pirates</t>
        </is>
      </c>
      <c r="G39" s="24" t="inlineStr">
        <is>
          <t>Cincinnati Reds</t>
        </is>
      </c>
      <c r="H39" s="24" t="inlineStr">
        <is>
          <t>spread</t>
        </is>
      </c>
      <c r="I39" s="24" t="inlineStr">
        <is>
          <t>home</t>
        </is>
      </c>
      <c r="J39" s="25" t="n">
        <v>1.5</v>
      </c>
      <c r="K39" s="24" t="inlineStr">
        <is>
          <t>polymarket_us</t>
        </is>
      </c>
      <c r="L39" s="26" t="n">
        <v>-147</v>
      </c>
      <c r="M39" s="27" t="n">
        <v>1.680272</v>
      </c>
      <c r="N39" s="28" t="n">
        <v>0.5951419999999999</v>
      </c>
      <c r="O39" s="28" t="n">
        <v>0.551836</v>
      </c>
      <c r="P39" s="28" t="n">
        <v>0.05172</v>
      </c>
      <c r="Q39" s="28" t="n">
        <v>-0.043306</v>
      </c>
      <c r="R39" s="26" t="n">
        <v>0</v>
      </c>
      <c r="S39" s="29" t="n">
        <v>1</v>
      </c>
      <c r="T39" s="24" t="inlineStr">
        <is>
          <t>measured-edge-margin-v1</t>
        </is>
      </c>
      <c r="U39" s="24" t="inlineStr">
        <is>
          <t>settled</t>
        </is>
      </c>
      <c r="V39" s="24" t="inlineStr">
        <is>
          <t>win</t>
        </is>
      </c>
      <c r="W39" s="26" t="n">
        <v>7</v>
      </c>
      <c r="X39" s="26" t="n">
        <v>8</v>
      </c>
      <c r="Y39" s="25" t="n">
        <v>1.5</v>
      </c>
      <c r="Z39" s="26" t="n">
        <v>-147</v>
      </c>
      <c r="AA39" s="28" t="n">
        <v>0.595</v>
      </c>
      <c r="AB39" s="28" t="n">
        <v>-0.000142</v>
      </c>
      <c r="AC39" s="30" t="n">
        <v>0.6803</v>
      </c>
      <c r="AD39" s="24" t="inlineStr">
        <is>
          <t>2026-08-01T03:00:01.450523Z</t>
        </is>
      </c>
      <c r="AE39" s="31" t="inlineStr">
        <is>
          <t>Measured Edge Margin: Trend Engine projected 4.89-4.80; raw selected-side p=0.6526, calibrated p=0.5518.</t>
        </is>
      </c>
      <c r="AF39" s="31" t="inlineStr">
        <is>
          <t>Research-only; lineup, bullpen, park, weather, xFIP, and wRC+ may be neutral fallbacks; market availability and BBO depth may change before first pitch.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NO_CALL_MODEL_UNVALIDATED</t>
        </is>
      </c>
      <c r="AP39" s="24" t="inlineStr">
        <is>
          <t>mlb-pit</t>
        </is>
      </c>
      <c r="AQ39" s="24" t="inlineStr">
        <is>
          <t>Pittsburgh Pirates</t>
        </is>
      </c>
      <c r="AR39" s="24" t="inlineStr">
        <is>
          <t>Pittsburgh Pirates</t>
        </is>
      </c>
      <c r="AS39" s="24" t="inlineStr">
        <is>
          <t>mlb-cin</t>
        </is>
      </c>
      <c r="AT39" s="24" t="inlineStr">
        <is>
          <t>Cincinnati Reds</t>
        </is>
      </c>
      <c r="AU39" s="24" t="inlineStr">
        <is>
          <t>Cincinnati Reds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research</t>
        </is>
      </c>
      <c r="BA39" s="24" t="inlineStr">
        <is>
          <t>2bc2ce55b0d39a20103f724bbddbde5394909acd49297f52665b596a0ae3ae8b</t>
        </is>
      </c>
      <c r="BB39" s="24" t="inlineStr">
        <is>
          <t>flat_probability_shrinkage_toward_half</t>
        </is>
      </c>
      <c r="BC39" s="24" t="inlineStr">
        <is>
          <t>measured-edge-margin-v1</t>
        </is>
      </c>
      <c r="BD39" s="24" t="inlineStr">
        <is>
          <t>2bc2ce55b0d39a20103f724bbddbde5394909acd49297f52665b596a0ae3ae8b</t>
        </is>
      </c>
      <c r="BE39" s="24" t="inlineStr">
        <is>
          <t>v3</t>
        </is>
      </c>
      <c r="BF39" s="24" t="inlineStr">
        <is>
          <t>1</t>
        </is>
      </c>
      <c r="BG39" s="24" t="inlineStr">
        <is>
          <t>measured-edge-paired-v1</t>
        </is>
      </c>
      <c r="BH39" s="24" t="inlineStr">
        <is>
          <t>2026-07-31T21:05:54.725871Z</t>
        </is>
      </c>
      <c r="BI39" s="24" t="inlineStr">
        <is>
          <t>["same_event","same_team_same_day","same_league_same_day"]</t>
        </is>
      </c>
      <c r="BJ39" s="25" t="n">
        <v>1.5</v>
      </c>
      <c r="BK39" s="26" t="n">
        <v>-147</v>
      </c>
      <c r="BL39" s="27" t="n">
        <v>1.680272</v>
      </c>
      <c r="BM39" s="28" t="n">
        <v>0.5951419999999999</v>
      </c>
      <c r="BN39" s="28" t="n">
        <v>0.59204</v>
      </c>
      <c r="BO39" s="28" t="n"/>
      <c r="BP39" s="25" t="n"/>
      <c r="BQ39" s="27" t="n">
        <v>1.680272</v>
      </c>
      <c r="BR39" s="28" t="n">
        <v>0.595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n"/>
    </row>
    <row r="40" ht="36" customHeight="1">
      <c r="A40" s="24" t="inlineStr">
        <is>
          <t>09c6d9696d4146c9</t>
        </is>
      </c>
      <c r="B40" s="24" t="inlineStr">
        <is>
          <t>2026-07-31T21:05:54.725871Z</t>
        </is>
      </c>
      <c r="C40" s="24" t="inlineStr">
        <is>
          <t>2026-07-31T22:10Z</t>
        </is>
      </c>
      <c r="D40" s="24" t="inlineStr">
        <is>
          <t>401816336</t>
        </is>
      </c>
      <c r="E40" s="24" t="inlineStr">
        <is>
          <t>MLB</t>
        </is>
      </c>
      <c r="F40" s="24" t="inlineStr">
        <is>
          <t>Pittsburgh Pirates</t>
        </is>
      </c>
      <c r="G40" s="24" t="inlineStr">
        <is>
          <t>Cincinnati Reds</t>
        </is>
      </c>
      <c r="H40" s="24" t="inlineStr">
        <is>
          <t>total</t>
        </is>
      </c>
      <c r="I40" s="24" t="inlineStr">
        <is>
          <t>over</t>
        </is>
      </c>
      <c r="J40" s="25" t="n">
        <v>7.5</v>
      </c>
      <c r="K40" s="24" t="inlineStr">
        <is>
          <t>polymarket_us</t>
        </is>
      </c>
      <c r="L40" s="26" t="n">
        <v>-113</v>
      </c>
      <c r="M40" s="27" t="n">
        <v>1.884956</v>
      </c>
      <c r="N40" s="28" t="n">
        <v>0.530516</v>
      </c>
      <c r="O40" s="28" t="n">
        <v>0.6324419999999999</v>
      </c>
      <c r="P40" s="28" t="n">
        <v>0.05172</v>
      </c>
      <c r="Q40" s="28" t="n">
        <v>0.101926</v>
      </c>
      <c r="R40" s="26" t="n">
        <v>70</v>
      </c>
      <c r="S40" s="29" t="n">
        <v>1.5</v>
      </c>
      <c r="T40" s="24" t="inlineStr">
        <is>
          <t>measured-edge-totals-v1</t>
        </is>
      </c>
      <c r="U40" s="24" t="inlineStr">
        <is>
          <t>settled</t>
        </is>
      </c>
      <c r="V40" s="24" t="inlineStr">
        <is>
          <t>win</t>
        </is>
      </c>
      <c r="W40" s="26" t="n">
        <v>7</v>
      </c>
      <c r="X40" s="26" t="n">
        <v>8</v>
      </c>
      <c r="Y40" s="25" t="n">
        <v>7.5</v>
      </c>
      <c r="Z40" s="26" t="n">
        <v>-113</v>
      </c>
      <c r="AA40" s="28" t="n">
        <v>0.53</v>
      </c>
      <c r="AB40" s="28" t="n">
        <v>-0.000516</v>
      </c>
      <c r="AC40" s="30" t="n">
        <v>1.3274</v>
      </c>
      <c r="AD40" s="24" t="inlineStr">
        <is>
          <t>2026-08-01T03:00:01.732961Z</t>
        </is>
      </c>
      <c r="AE40" s="31" t="inlineStr">
        <is>
          <t>Measured Edge Totals: Trend Engine projected 4.89-4.80; raw selected-side p=0.6524, calibrated p=0.6324.</t>
        </is>
      </c>
      <c r="AF40" s="31" t="inlineStr">
        <is>
          <t>Research-only; lineup, bullpen, park, weather, xFIP, and wRC+ may be neutral fallbacks; market availability and BBO depth may change before first pitch.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mlb-pit</t>
        </is>
      </c>
      <c r="AQ40" s="24" t="inlineStr">
        <is>
          <t>Pittsburgh Pirates</t>
        </is>
      </c>
      <c r="AR40" s="24" t="inlineStr">
        <is>
          <t>Pittsburgh Pirates</t>
        </is>
      </c>
      <c r="AS40" s="24" t="inlineStr">
        <is>
          <t>mlb-cin</t>
        </is>
      </c>
      <c r="AT40" s="24" t="inlineStr">
        <is>
          <t>Cincinnati Reds</t>
        </is>
      </c>
      <c r="AU40" s="24" t="inlineStr">
        <is>
          <t>Cincinnati Reds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cbc2c9bf5a9569a49e1902c816d96556d704cf10819ca3a9e927721685757d0b</t>
        </is>
      </c>
      <c r="BB40" s="24" t="inlineStr">
        <is>
          <t>flat_probability_shrinkage_toward_half</t>
        </is>
      </c>
      <c r="BC40" s="24" t="inlineStr">
        <is>
          <t>measured-edge-totals-v1</t>
        </is>
      </c>
      <c r="BD40" s="24" t="inlineStr">
        <is>
          <t>cbc2c9bf5a9569a49e1902c816d96556d704cf10819ca3a9e927721685757d0b</t>
        </is>
      </c>
      <c r="BE40" s="24" t="inlineStr">
        <is>
          <t>v3</t>
        </is>
      </c>
      <c r="BF40" s="24" t="inlineStr">
        <is>
          <t>1</t>
        </is>
      </c>
      <c r="BG40" s="24" t="inlineStr">
        <is>
          <t>measured-edge-paired-v1</t>
        </is>
      </c>
      <c r="BH40" s="24" t="inlineStr">
        <is>
          <t>2026-07-31T21:05:54.725871Z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-113</v>
      </c>
      <c r="BL40" s="27" t="n">
        <v>1.884956</v>
      </c>
      <c r="BM40" s="28" t="n">
        <v>0.530516</v>
      </c>
      <c r="BN40" s="28" t="n">
        <v>0.527363</v>
      </c>
      <c r="BO40" s="28" t="n"/>
      <c r="BP40" s="25" t="n"/>
      <c r="BQ40" s="27" t="n">
        <v>1.884956</v>
      </c>
      <c r="BR40" s="28" t="n">
        <v>0.53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n"/>
    </row>
    <row r="41" ht="36" customHeight="1">
      <c r="A41" s="24" t="inlineStr">
        <is>
          <t>88fa924e18344065</t>
        </is>
      </c>
      <c r="B41" s="24" t="inlineStr">
        <is>
          <t>2026-07-31T21:05:54.725871Z</t>
        </is>
      </c>
      <c r="C41" s="24" t="inlineStr">
        <is>
          <t>2026-07-31T23:05Z</t>
        </is>
      </c>
      <c r="D41" s="24" t="inlineStr">
        <is>
          <t>401816335</t>
        </is>
      </c>
      <c r="E41" s="24" t="inlineStr">
        <is>
          <t>MLB</t>
        </is>
      </c>
      <c r="F41" s="24" t="inlineStr">
        <is>
          <t>Philadelphia Phillies</t>
        </is>
      </c>
      <c r="G41" s="24" t="inlineStr">
        <is>
          <t>Baltimore Orioles</t>
        </is>
      </c>
      <c r="H41" s="24" t="inlineStr">
        <is>
          <t>spread</t>
        </is>
      </c>
      <c r="I41" s="24" t="inlineStr">
        <is>
          <t>home</t>
        </is>
      </c>
      <c r="J41" s="25" t="n">
        <v>1.5</v>
      </c>
      <c r="K41" s="24" t="inlineStr">
        <is>
          <t>polymarket_us</t>
        </is>
      </c>
      <c r="L41" s="26" t="n">
        <v>-174</v>
      </c>
      <c r="M41" s="27" t="n">
        <v>1.574713</v>
      </c>
      <c r="N41" s="28" t="n">
        <v>0.635036</v>
      </c>
      <c r="O41" s="28" t="n">
        <v>0.570936</v>
      </c>
      <c r="P41" s="28" t="n">
        <v>0.042131</v>
      </c>
      <c r="Q41" s="28" t="n">
        <v>-0.0641</v>
      </c>
      <c r="R41" s="26" t="n">
        <v>0</v>
      </c>
      <c r="S41" s="29" t="n">
        <v>1.25</v>
      </c>
      <c r="T41" s="24" t="inlineStr">
        <is>
          <t>measured-edge-margin-v1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6</v>
      </c>
      <c r="Y41" s="25" t="n">
        <v>1.5</v>
      </c>
      <c r="Z41" s="26" t="n">
        <v>-174</v>
      </c>
      <c r="AA41" s="28" t="n">
        <v>0.635</v>
      </c>
      <c r="AB41" s="28" t="n">
        <v>-3.6e-05</v>
      </c>
      <c r="AC41" s="30" t="n">
        <v>0.7184</v>
      </c>
      <c r="AD41" s="24" t="inlineStr">
        <is>
          <t>2026-08-01T03:00:02.014813Z</t>
        </is>
      </c>
      <c r="AE41" s="31" t="inlineStr">
        <is>
          <t>Measured Edge Margin: Trend Engine projected 4.37-5.37; raw selected-side p=0.7498, calibrated p=0.5709.</t>
        </is>
      </c>
      <c r="AF41" s="31" t="inlineStr">
        <is>
          <t>Research-only; lineup, bullpen, park, weather, xFIP, and wRC+ may be neutral fallbacks; market availability and BBO depth may change before first pitch.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mlb-phi</t>
        </is>
      </c>
      <c r="AQ41" s="24" t="inlineStr">
        <is>
          <t>Philadelphia Phillies</t>
        </is>
      </c>
      <c r="AR41" s="24" t="inlineStr">
        <is>
          <t>Philadelphia Phillies</t>
        </is>
      </c>
      <c r="AS41" s="24" t="inlineStr">
        <is>
          <t>mlb-bal</t>
        </is>
      </c>
      <c r="AT41" s="24" t="inlineStr">
        <is>
          <t>Baltimore Orioles</t>
        </is>
      </c>
      <c r="AU41" s="24" t="inlineStr">
        <is>
          <t>Baltimore Orioles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2bc2ce55b0d39a20103f724bbddbde5394909acd49297f52665b596a0ae3ae8b</t>
        </is>
      </c>
      <c r="BB41" s="24" t="inlineStr">
        <is>
          <t>flat_probability_shrinkage_toward_half</t>
        </is>
      </c>
      <c r="BC41" s="24" t="inlineStr">
        <is>
          <t>measured-edge-margin-v1</t>
        </is>
      </c>
      <c r="BD41" s="24" t="inlineStr">
        <is>
          <t>2bc2ce55b0d39a20103f724bbddbde5394909acd49297f52665b596a0ae3ae8b</t>
        </is>
      </c>
      <c r="BE41" s="24" t="inlineStr">
        <is>
          <t>v3</t>
        </is>
      </c>
      <c r="BF41" s="24" t="inlineStr">
        <is>
          <t>1</t>
        </is>
      </c>
      <c r="BG41" s="24" t="inlineStr">
        <is>
          <t>measured-edge-paired-v1</t>
        </is>
      </c>
      <c r="BH41" s="24" t="inlineStr">
        <is>
          <t>2026-07-31T21:05:54.725871Z</t>
        </is>
      </c>
      <c r="BI41" s="24" t="inlineStr">
        <is>
          <t>["same_event","same_team_same_day","same_league_same_day"]</t>
        </is>
      </c>
      <c r="BJ41" s="25" t="n">
        <v>1.5</v>
      </c>
      <c r="BK41" s="26" t="n">
        <v>-174</v>
      </c>
      <c r="BL41" s="27" t="n">
        <v>1.574713</v>
      </c>
      <c r="BM41" s="28" t="n">
        <v>0.635036</v>
      </c>
      <c r="BN41" s="28" t="n">
        <v>0.631841</v>
      </c>
      <c r="BO41" s="28" t="n"/>
      <c r="BP41" s="25" t="n"/>
      <c r="BQ41" s="27" t="n">
        <v>1.574713</v>
      </c>
      <c r="BR41" s="28" t="n">
        <v>0.635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n"/>
    </row>
    <row r="42" ht="36" customHeight="1">
      <c r="A42" s="24" t="inlineStr">
        <is>
          <t>1f3d7240b25b4b11</t>
        </is>
      </c>
      <c r="B42" s="24" t="inlineStr">
        <is>
          <t>2026-07-31T21:05:54.725871Z</t>
        </is>
      </c>
      <c r="C42" s="24" t="inlineStr">
        <is>
          <t>2026-07-31T23:05Z</t>
        </is>
      </c>
      <c r="D42" s="24" t="inlineStr">
        <is>
          <t>401816335</t>
        </is>
      </c>
      <c r="E42" s="24" t="inlineStr">
        <is>
          <t>MLB</t>
        </is>
      </c>
      <c r="F42" s="24" t="inlineStr">
        <is>
          <t>Philadelphia Phillies</t>
        </is>
      </c>
      <c r="G42" s="24" t="inlineStr">
        <is>
          <t>Baltimore Orioles</t>
        </is>
      </c>
      <c r="H42" s="24" t="inlineStr">
        <is>
          <t>total</t>
        </is>
      </c>
      <c r="I42" s="24" t="inlineStr">
        <is>
          <t>over</t>
        </is>
      </c>
      <c r="J42" s="25" t="n">
        <v>8.5</v>
      </c>
      <c r="K42" s="24" t="inlineStr">
        <is>
          <t>polymarket_us</t>
        </is>
      </c>
      <c r="L42" s="26" t="n">
        <v>-113</v>
      </c>
      <c r="M42" s="27" t="n">
        <v>1.884956</v>
      </c>
      <c r="N42" s="28" t="n">
        <v>0.530516</v>
      </c>
      <c r="O42" s="28" t="n">
        <v>0.560121</v>
      </c>
      <c r="P42" s="28" t="n">
        <v>0.042131</v>
      </c>
      <c r="Q42" s="28" t="n">
        <v>0.029605</v>
      </c>
      <c r="R42" s="26" t="n">
        <v>40</v>
      </c>
      <c r="S42" s="29" t="n">
        <v>1</v>
      </c>
      <c r="T42" s="24" t="inlineStr">
        <is>
          <t>measured-edge-totals-v1</t>
        </is>
      </c>
      <c r="U42" s="24" t="inlineStr">
        <is>
          <t>settled</t>
        </is>
      </c>
      <c r="V42" s="24" t="inlineStr">
        <is>
          <t>win</t>
        </is>
      </c>
      <c r="W42" s="26" t="n">
        <v>4</v>
      </c>
      <c r="X42" s="26" t="n">
        <v>6</v>
      </c>
      <c r="Y42" s="25" t="n">
        <v>8.5</v>
      </c>
      <c r="Z42" s="26" t="n">
        <v>-113</v>
      </c>
      <c r="AA42" s="28" t="n">
        <v>0.53</v>
      </c>
      <c r="AB42" s="28" t="n">
        <v>-0.000516</v>
      </c>
      <c r="AC42" s="30" t="n">
        <v>0.885</v>
      </c>
      <c r="AD42" s="24" t="inlineStr">
        <is>
          <t>2026-08-01T03:00:02.298810Z</t>
        </is>
      </c>
      <c r="AE42" s="31" t="inlineStr">
        <is>
          <t>Measured Edge Totals: Trend Engine projected 4.37-5.37; raw selected-side p=0.5779, calibrated p=0.5601.</t>
        </is>
      </c>
      <c r="AF42" s="31" t="inlineStr">
        <is>
          <t>Research-only; lineup, bullpen, park, weather, xFIP, and wRC+ may be neutral fallbacks; market availability and BBO depth may change before first pitch.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mlb-phi</t>
        </is>
      </c>
      <c r="AQ42" s="24" t="inlineStr">
        <is>
          <t>Philadelphia Phillies</t>
        </is>
      </c>
      <c r="AR42" s="24" t="inlineStr">
        <is>
          <t>Philadelphia Phillies</t>
        </is>
      </c>
      <c r="AS42" s="24" t="inlineStr">
        <is>
          <t>mlb-bal</t>
        </is>
      </c>
      <c r="AT42" s="24" t="inlineStr">
        <is>
          <t>Baltimore Orioles</t>
        </is>
      </c>
      <c r="AU42" s="24" t="inlineStr">
        <is>
          <t>Baltimore Orioles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research</t>
        </is>
      </c>
      <c r="BA42" s="24" t="inlineStr">
        <is>
          <t>cbc2c9bf5a9569a49e1902c816d96556d704cf10819ca3a9e927721685757d0b</t>
        </is>
      </c>
      <c r="BB42" s="24" t="inlineStr">
        <is>
          <t>flat_probability_shrinkage_toward_half</t>
        </is>
      </c>
      <c r="BC42" s="24" t="inlineStr">
        <is>
          <t>measured-edge-totals-v1</t>
        </is>
      </c>
      <c r="BD42" s="24" t="inlineStr">
        <is>
          <t>cbc2c9bf5a9569a49e1902c816d96556d704cf10819ca3a9e927721685757d0b</t>
        </is>
      </c>
      <c r="BE42" s="24" t="inlineStr">
        <is>
          <t>v3</t>
        </is>
      </c>
      <c r="BF42" s="24" t="inlineStr">
        <is>
          <t>1</t>
        </is>
      </c>
      <c r="BG42" s="24" t="inlineStr">
        <is>
          <t>measured-edge-paired-v1</t>
        </is>
      </c>
      <c r="BH42" s="24" t="inlineStr">
        <is>
          <t>2026-07-31T21:05:54.725871Z</t>
        </is>
      </c>
      <c r="BI42" s="24" t="inlineStr">
        <is>
          <t>["same_event","same_team_same_day","same_league_same_day"]</t>
        </is>
      </c>
      <c r="BJ42" s="25" t="n">
        <v>8.5</v>
      </c>
      <c r="BK42" s="26" t="n">
        <v>-113</v>
      </c>
      <c r="BL42" s="27" t="n">
        <v>1.884956</v>
      </c>
      <c r="BM42" s="28" t="n">
        <v>0.530516</v>
      </c>
      <c r="BN42" s="28" t="n">
        <v>0.527363</v>
      </c>
      <c r="BO42" s="28" t="n"/>
      <c r="BP42" s="25" t="n"/>
      <c r="BQ42" s="27" t="n">
        <v>1.884956</v>
      </c>
      <c r="BR42" s="28" t="n">
        <v>0.53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n"/>
    </row>
    <row r="43" ht="36" customHeight="1">
      <c r="A43" s="24" t="inlineStr">
        <is>
          <t>c8a9a93e5a1743ba</t>
        </is>
      </c>
      <c r="B43" s="24" t="inlineStr">
        <is>
          <t>2026-07-31T21:05:54.725871Z</t>
        </is>
      </c>
      <c r="C43" s="24" t="inlineStr">
        <is>
          <t>2026-07-31T23:07Z</t>
        </is>
      </c>
      <c r="D43" s="24" t="inlineStr">
        <is>
          <t>401816337</t>
        </is>
      </c>
      <c r="E43" s="24" t="inlineStr">
        <is>
          <t>MLB</t>
        </is>
      </c>
      <c r="F43" s="24" t="inlineStr">
        <is>
          <t>St. Louis Cardinals</t>
        </is>
      </c>
      <c r="G43" s="24" t="inlineStr">
        <is>
          <t>Toronto Blue Jays</t>
        </is>
      </c>
      <c r="H43" s="24" t="inlineStr">
        <is>
          <t>spread</t>
        </is>
      </c>
      <c r="I43" s="24" t="inlineStr">
        <is>
          <t>away</t>
        </is>
      </c>
      <c r="J43" s="25" t="n">
        <v>1.5</v>
      </c>
      <c r="K43" s="24" t="inlineStr">
        <is>
          <t>polymarket_us</t>
        </is>
      </c>
      <c r="L43" s="26" t="n">
        <v>-127</v>
      </c>
      <c r="M43" s="27" t="n">
        <v>1.787402</v>
      </c>
      <c r="N43" s="28" t="n">
        <v>0.5594710000000001</v>
      </c>
      <c r="O43" s="28" t="n">
        <v>0.548083</v>
      </c>
      <c r="P43" s="28" t="n">
        <v>0.042131</v>
      </c>
      <c r="Q43" s="28" t="n">
        <v>-0.011388</v>
      </c>
      <c r="R43" s="26" t="n">
        <v>19</v>
      </c>
      <c r="S43" s="29" t="n">
        <v>1</v>
      </c>
      <c r="T43" s="24" t="inlineStr">
        <is>
          <t>measured-edge-margin-v1</t>
        </is>
      </c>
      <c r="U43" s="24" t="inlineStr">
        <is>
          <t>settled</t>
        </is>
      </c>
      <c r="V43" s="24" t="inlineStr">
        <is>
          <t>loss</t>
        </is>
      </c>
      <c r="W43" s="26" t="n">
        <v>1</v>
      </c>
      <c r="X43" s="26" t="n">
        <v>3</v>
      </c>
      <c r="Y43" s="25" t="n">
        <v>1.5</v>
      </c>
      <c r="Z43" s="26" t="n">
        <v>-127</v>
      </c>
      <c r="AA43" s="28" t="n">
        <v>0.5600000000000001</v>
      </c>
      <c r="AB43" s="28" t="n">
        <v>0.000529</v>
      </c>
      <c r="AC43" s="30" t="n">
        <v>-1</v>
      </c>
      <c r="AD43" s="24" t="inlineStr">
        <is>
          <t>2026-08-01T03:00:02.581322Z</t>
        </is>
      </c>
      <c r="AE43" s="31" t="inlineStr">
        <is>
          <t>Measured Edge Margin: Trend Engine projected 3.92-4.35; raw selected-side p=0.6335, calibrated p=0.5481.</t>
        </is>
      </c>
      <c r="AF43" s="31" t="inlineStr">
        <is>
          <t>Research-only; lineup, bullpen, park, weather, xFIP, and wRC+ may be neutral fallbacks; market availability and BBO depth may change before first pitch.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mlb-stl</t>
        </is>
      </c>
      <c r="AQ43" s="24" t="inlineStr">
        <is>
          <t>St. Louis Cardinals</t>
        </is>
      </c>
      <c r="AR43" s="24" t="inlineStr">
        <is>
          <t>St. Louis Cardinals</t>
        </is>
      </c>
      <c r="AS43" s="24" t="inlineStr">
        <is>
          <t>mlb-tor</t>
        </is>
      </c>
      <c r="AT43" s="24" t="inlineStr">
        <is>
          <t>Toronto Blue Jays</t>
        </is>
      </c>
      <c r="AU43" s="24" t="inlineStr">
        <is>
          <t>Toronto Blue Jays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research</t>
        </is>
      </c>
      <c r="BA43" s="24" t="inlineStr">
        <is>
          <t>2bc2ce55b0d39a20103f724bbddbde5394909acd49297f52665b596a0ae3ae8b</t>
        </is>
      </c>
      <c r="BB43" s="24" t="inlineStr">
        <is>
          <t>flat_probability_shrinkage_toward_half</t>
        </is>
      </c>
      <c r="BC43" s="24" t="inlineStr">
        <is>
          <t>measured-edge-margin-v1</t>
        </is>
      </c>
      <c r="BD43" s="24" t="inlineStr">
        <is>
          <t>2bc2ce55b0d39a20103f724bbddbde5394909acd49297f52665b596a0ae3ae8b</t>
        </is>
      </c>
      <c r="BE43" s="24" t="inlineStr">
        <is>
          <t>v3</t>
        </is>
      </c>
      <c r="BF43" s="24" t="inlineStr">
        <is>
          <t>1</t>
        </is>
      </c>
      <c r="BG43" s="24" t="inlineStr">
        <is>
          <t>measured-edge-paired-v1</t>
        </is>
      </c>
      <c r="BH43" s="24" t="inlineStr">
        <is>
          <t>2026-07-31T21:05:54.725871Z</t>
        </is>
      </c>
      <c r="BI43" s="24" t="inlineStr">
        <is>
          <t>["same_event","same_team_same_day","same_league_same_day"]</t>
        </is>
      </c>
      <c r="BJ43" s="25" t="n">
        <v>1.5</v>
      </c>
      <c r="BK43" s="26" t="n">
        <v>-127</v>
      </c>
      <c r="BL43" s="27" t="n">
        <v>1.787402</v>
      </c>
      <c r="BM43" s="28" t="n">
        <v>0.5594710000000001</v>
      </c>
      <c r="BN43" s="28" t="n">
        <v>0.557214</v>
      </c>
      <c r="BO43" s="28" t="n"/>
      <c r="BP43" s="25" t="n"/>
      <c r="BQ43" s="27" t="n">
        <v>1.787402</v>
      </c>
      <c r="BR43" s="28" t="n">
        <v>0.5600000000000001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n"/>
    </row>
    <row r="44" ht="36" customHeight="1">
      <c r="A44" s="24" t="inlineStr">
        <is>
          <t>4618ba2b0f49412e</t>
        </is>
      </c>
      <c r="B44" s="24" t="inlineStr">
        <is>
          <t>2026-07-31T21:05:54.725871Z</t>
        </is>
      </c>
      <c r="C44" s="24" t="inlineStr">
        <is>
          <t>2026-07-31T23:07Z</t>
        </is>
      </c>
      <c r="D44" s="24" t="inlineStr">
        <is>
          <t>401816337</t>
        </is>
      </c>
      <c r="E44" s="24" t="inlineStr">
        <is>
          <t>MLB</t>
        </is>
      </c>
      <c r="F44" s="24" t="inlineStr">
        <is>
          <t>St. Louis Cardinals</t>
        </is>
      </c>
      <c r="G44" s="24" t="inlineStr">
        <is>
          <t>Toronto Blue Jays</t>
        </is>
      </c>
      <c r="H44" s="24" t="inlineStr">
        <is>
          <t>total</t>
        </is>
      </c>
      <c r="I44" s="24" t="inlineStr">
        <is>
          <t>over</t>
        </is>
      </c>
      <c r="J44" s="25" t="n">
        <v>7.5</v>
      </c>
      <c r="K44" s="24" t="inlineStr">
        <is>
          <t>polymarket_us</t>
        </is>
      </c>
      <c r="L44" s="26" t="n">
        <v>102</v>
      </c>
      <c r="M44" s="27" t="n">
        <v>2.02</v>
      </c>
      <c r="N44" s="28" t="n">
        <v>0.49505</v>
      </c>
      <c r="O44" s="28" t="n">
        <v>0.508948</v>
      </c>
      <c r="P44" s="28" t="n">
        <v>0.042131</v>
      </c>
      <c r="Q44" s="28" t="n">
        <v>0.013898</v>
      </c>
      <c r="R44" s="26" t="n">
        <v>32</v>
      </c>
      <c r="S44" s="29" t="n">
        <v>1</v>
      </c>
      <c r="T44" s="24" t="inlineStr">
        <is>
          <t>measured-edge-totals-v1</t>
        </is>
      </c>
      <c r="U44" s="24" t="inlineStr">
        <is>
          <t>settled</t>
        </is>
      </c>
      <c r="V44" s="24" t="inlineStr">
        <is>
          <t>loss</t>
        </is>
      </c>
      <c r="W44" s="26" t="n">
        <v>1</v>
      </c>
      <c r="X44" s="26" t="n">
        <v>3</v>
      </c>
      <c r="Y44" s="25" t="n">
        <v>7.5</v>
      </c>
      <c r="Z44" s="26" t="n">
        <v>102</v>
      </c>
      <c r="AA44" s="28" t="n">
        <v>0.495</v>
      </c>
      <c r="AB44" s="28" t="n">
        <v>-5e-05</v>
      </c>
      <c r="AC44" s="30" t="n">
        <v>-1</v>
      </c>
      <c r="AD44" s="24" t="inlineStr">
        <is>
          <t>2026-08-01T03:00:02.903756Z</t>
        </is>
      </c>
      <c r="AE44" s="31" t="inlineStr">
        <is>
          <t>Measured Edge Totals: Trend Engine projected 3.92-4.35; raw selected-side p=0.5252, calibrated p=0.5089.</t>
        </is>
      </c>
      <c r="AF44" s="31" t="inlineStr">
        <is>
          <t>Research-only; lineup, bullpen, park, weather, xFIP, and wRC+ may be neutral fallbacks; market availability and BBO depth may change before first pitch.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NO_CALL_MODEL_UNVALIDATED</t>
        </is>
      </c>
      <c r="AP44" s="24" t="inlineStr">
        <is>
          <t>mlb-stl</t>
        </is>
      </c>
      <c r="AQ44" s="24" t="inlineStr">
        <is>
          <t>St. Louis Cardinals</t>
        </is>
      </c>
      <c r="AR44" s="24" t="inlineStr">
        <is>
          <t>St. Louis Cardinals</t>
        </is>
      </c>
      <c r="AS44" s="24" t="inlineStr">
        <is>
          <t>mlb-tor</t>
        </is>
      </c>
      <c r="AT44" s="24" t="inlineStr">
        <is>
          <t>Toronto Blue Jays</t>
        </is>
      </c>
      <c r="AU44" s="24" t="inlineStr">
        <is>
          <t>Toronto Blue Jays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research</t>
        </is>
      </c>
      <c r="BA44" s="24" t="inlineStr">
        <is>
          <t>cbc2c9bf5a9569a49e1902c816d96556d704cf10819ca3a9e927721685757d0b</t>
        </is>
      </c>
      <c r="BB44" s="24" t="inlineStr">
        <is>
          <t>flat_probability_shrinkage_toward_half</t>
        </is>
      </c>
      <c r="BC44" s="24" t="inlineStr">
        <is>
          <t>measured-edge-totals-v1</t>
        </is>
      </c>
      <c r="BD44" s="24" t="inlineStr">
        <is>
          <t>cbc2c9bf5a9569a49e1902c816d96556d704cf10819ca3a9e927721685757d0b</t>
        </is>
      </c>
      <c r="BE44" s="24" t="inlineStr">
        <is>
          <t>v3</t>
        </is>
      </c>
      <c r="BF44" s="24" t="inlineStr">
        <is>
          <t>1</t>
        </is>
      </c>
      <c r="BG44" s="24" t="inlineStr">
        <is>
          <t>measured-edge-paired-v1</t>
        </is>
      </c>
      <c r="BH44" s="24" t="inlineStr">
        <is>
          <t>2026-07-31T21:05:54.725871Z</t>
        </is>
      </c>
      <c r="BI44" s="24" t="inlineStr">
        <is>
          <t>["same_event","same_team_same_day","same_league_same_day"]</t>
        </is>
      </c>
      <c r="BJ44" s="25" t="n">
        <v>7.5</v>
      </c>
      <c r="BK44" s="26" t="n">
        <v>102</v>
      </c>
      <c r="BL44" s="27" t="n">
        <v>2.02</v>
      </c>
      <c r="BM44" s="28" t="n">
        <v>0.49505</v>
      </c>
      <c r="BN44" s="28" t="n">
        <v>0.492537</v>
      </c>
      <c r="BO44" s="28" t="n"/>
      <c r="BP44" s="25" t="n"/>
      <c r="BQ44" s="27" t="n">
        <v>2.02</v>
      </c>
      <c r="BR44" s="28" t="n">
        <v>0.495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n"/>
    </row>
    <row r="45" ht="36" customHeight="1">
      <c r="A45" s="24" t="inlineStr">
        <is>
          <t>f193d89f2b5b4630</t>
        </is>
      </c>
      <c r="B45" s="24" t="inlineStr">
        <is>
          <t>2026-07-31T21:05:54.725871Z</t>
        </is>
      </c>
      <c r="C45" s="24" t="inlineStr">
        <is>
          <t>2026-07-31T23:10Z</t>
        </is>
      </c>
      <c r="D45" s="24" t="inlineStr">
        <is>
          <t>401816332</t>
        </is>
      </c>
      <c r="E45" s="24" t="inlineStr">
        <is>
          <t>MLB</t>
        </is>
      </c>
      <c r="F45" s="24" t="inlineStr">
        <is>
          <t>Arizona Diamondbacks</t>
        </is>
      </c>
      <c r="G45" s="24" t="inlineStr">
        <is>
          <t>Cleveland Guardians</t>
        </is>
      </c>
      <c r="H45" s="24" t="inlineStr">
        <is>
          <t>spread</t>
        </is>
      </c>
      <c r="I45" s="24" t="inlineStr">
        <is>
          <t>away</t>
        </is>
      </c>
      <c r="J45" s="25" t="n">
        <v>1.5</v>
      </c>
      <c r="K45" s="24" t="inlineStr">
        <is>
          <t>polymarket_us</t>
        </is>
      </c>
      <c r="L45" s="26" t="n">
        <v>-163</v>
      </c>
      <c r="M45" s="27" t="n">
        <v>1.613497</v>
      </c>
      <c r="N45" s="28" t="n">
        <v>0.619772</v>
      </c>
      <c r="O45" s="28" t="n">
        <v>0.546432</v>
      </c>
      <c r="P45" s="28" t="n">
        <v>0.05172</v>
      </c>
      <c r="Q45" s="28" t="n">
        <v>-0.07334</v>
      </c>
      <c r="R45" s="26" t="n">
        <v>0</v>
      </c>
      <c r="S45" s="29" t="n">
        <v>1</v>
      </c>
      <c r="T45" s="24" t="inlineStr">
        <is>
          <t>measured-edge-margin-v1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1</v>
      </c>
      <c r="Y45" s="25" t="n">
        <v>1.5</v>
      </c>
      <c r="Z45" s="26" t="n">
        <v>-163</v>
      </c>
      <c r="AA45" s="28" t="n">
        <v>0.62</v>
      </c>
      <c r="AB45" s="28" t="n">
        <v>0.000228</v>
      </c>
      <c r="AC45" s="30" t="n">
        <v>0.6135</v>
      </c>
      <c r="AD45" s="24" t="inlineStr">
        <is>
          <t>2026-08-01T03:00:03.185273Z</t>
        </is>
      </c>
      <c r="AE45" s="31" t="inlineStr">
        <is>
          <t>Measured Edge Margin: Trend Engine projected 4.51-4.92; raw selected-side p=0.6251, calibrated p=0.5464.</t>
        </is>
      </c>
      <c r="AF45" s="31" t="inlineStr">
        <is>
          <t>Research-only; lineup, bullpen, park, weather, xFIP, and wRC+ may be neutral fallbacks; market availability and BBO depth may change before first pitch.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NO_CALL_MODEL_UNVALIDATED</t>
        </is>
      </c>
      <c r="AP45" s="24" t="inlineStr">
        <is>
          <t>mlb-ari</t>
        </is>
      </c>
      <c r="AQ45" s="24" t="inlineStr">
        <is>
          <t>Arizona Diamondbacks</t>
        </is>
      </c>
      <c r="AR45" s="24" t="inlineStr">
        <is>
          <t>Arizona Diamondbacks</t>
        </is>
      </c>
      <c r="AS45" s="24" t="inlineStr">
        <is>
          <t>mlb-cle</t>
        </is>
      </c>
      <c r="AT45" s="24" t="inlineStr">
        <is>
          <t>Cleveland Guardians</t>
        </is>
      </c>
      <c r="AU45" s="24" t="inlineStr">
        <is>
          <t>Cleveland Guardians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2bc2ce55b0d39a20103f724bbddbde5394909acd49297f52665b596a0ae3ae8b</t>
        </is>
      </c>
      <c r="BB45" s="24" t="inlineStr">
        <is>
          <t>flat_probability_shrinkage_toward_half</t>
        </is>
      </c>
      <c r="BC45" s="24" t="inlineStr">
        <is>
          <t>measured-edge-margin-v1</t>
        </is>
      </c>
      <c r="BD45" s="24" t="inlineStr">
        <is>
          <t>2bc2ce55b0d39a20103f724bbddbde5394909acd49297f52665b596a0ae3ae8b</t>
        </is>
      </c>
      <c r="BE45" s="24" t="inlineStr">
        <is>
          <t>v3</t>
        </is>
      </c>
      <c r="BF45" s="24" t="inlineStr">
        <is>
          <t>1</t>
        </is>
      </c>
      <c r="BG45" s="24" t="inlineStr">
        <is>
          <t>measured-edge-paired-v1</t>
        </is>
      </c>
      <c r="BH45" s="24" t="inlineStr">
        <is>
          <t>2026-07-31T21:05:54.725871Z</t>
        </is>
      </c>
      <c r="BI45" s="24" t="inlineStr">
        <is>
          <t>["same_event","same_team_same_day","same_league_same_day"]</t>
        </is>
      </c>
      <c r="BJ45" s="25" t="n">
        <v>1.5</v>
      </c>
      <c r="BK45" s="26" t="n">
        <v>-163</v>
      </c>
      <c r="BL45" s="27" t="n">
        <v>1.613497</v>
      </c>
      <c r="BM45" s="28" t="n">
        <v>0.619772</v>
      </c>
      <c r="BN45" s="28" t="n">
        <v>0.616915</v>
      </c>
      <c r="BO45" s="28" t="n"/>
      <c r="BP45" s="25" t="n"/>
      <c r="BQ45" s="27" t="n">
        <v>1.613497</v>
      </c>
      <c r="BR45" s="28" t="n">
        <v>0.62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n"/>
    </row>
    <row r="46" ht="36" customHeight="1">
      <c r="A46" s="24" t="inlineStr">
        <is>
          <t>e8536835105045af</t>
        </is>
      </c>
      <c r="B46" s="24" t="inlineStr">
        <is>
          <t>2026-07-31T21:05:54.725871Z</t>
        </is>
      </c>
      <c r="C46" s="24" t="inlineStr">
        <is>
          <t>2026-07-31T23:10Z</t>
        </is>
      </c>
      <c r="D46" s="24" t="inlineStr">
        <is>
          <t>401816332</t>
        </is>
      </c>
      <c r="E46" s="24" t="inlineStr">
        <is>
          <t>MLB</t>
        </is>
      </c>
      <c r="F46" s="24" t="inlineStr">
        <is>
          <t>Arizona Diamondbacks</t>
        </is>
      </c>
      <c r="G46" s="24" t="inlineStr">
        <is>
          <t>Cleveland Guardians</t>
        </is>
      </c>
      <c r="H46" s="24" t="inlineStr">
        <is>
          <t>total</t>
        </is>
      </c>
      <c r="I46" s="24" t="inlineStr">
        <is>
          <t>over</t>
        </is>
      </c>
      <c r="J46" s="25" t="n">
        <v>8.5</v>
      </c>
      <c r="K46" s="24" t="inlineStr">
        <is>
          <t>polymarket_us</t>
        </is>
      </c>
      <c r="L46" s="26" t="n">
        <v>-108</v>
      </c>
      <c r="M46" s="27" t="n">
        <v>1.925926</v>
      </c>
      <c r="N46" s="28" t="n">
        <v>0.519231</v>
      </c>
      <c r="O46" s="28" t="n">
        <v>0.532618</v>
      </c>
      <c r="P46" s="28" t="n">
        <v>0.05172</v>
      </c>
      <c r="Q46" s="28" t="n">
        <v>0.013387</v>
      </c>
      <c r="R46" s="26" t="n">
        <v>26</v>
      </c>
      <c r="S46" s="29" t="n">
        <v>1</v>
      </c>
      <c r="T46" s="24" t="inlineStr">
        <is>
          <t>measured-edge-totals-v1</t>
        </is>
      </c>
      <c r="U46" s="24" t="inlineStr">
        <is>
          <t>settled</t>
        </is>
      </c>
      <c r="V46" s="24" t="inlineStr">
        <is>
          <t>loss</t>
        </is>
      </c>
      <c r="W46" s="26" t="n">
        <v>4</v>
      </c>
      <c r="X46" s="26" t="n">
        <v>1</v>
      </c>
      <c r="Y46" s="25" t="n">
        <v>8.5</v>
      </c>
      <c r="Z46" s="26" t="n">
        <v>-108</v>
      </c>
      <c r="AA46" s="28" t="n">
        <v>0.52</v>
      </c>
      <c r="AB46" s="28" t="n">
        <v>0.000769</v>
      </c>
      <c r="AC46" s="30" t="n">
        <v>-1</v>
      </c>
      <c r="AD46" s="24" t="inlineStr">
        <is>
          <t>2026-08-01T03:00:03.468829Z</t>
        </is>
      </c>
      <c r="AE46" s="31" t="inlineStr">
        <is>
          <t>Measured Edge Totals: Trend Engine projected 4.51-4.92; raw selected-side p=0.5495, calibrated p=0.5326.</t>
        </is>
      </c>
      <c r="AF46" s="31" t="inlineStr">
        <is>
          <t>Research-only; lineup, bullpen, park, weather, xFIP, and wRC+ may be neutral fallbacks; market availability and BBO depth may change before first pitch.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mlb-ari</t>
        </is>
      </c>
      <c r="AQ46" s="24" t="inlineStr">
        <is>
          <t>Arizona Diamondbacks</t>
        </is>
      </c>
      <c r="AR46" s="24" t="inlineStr">
        <is>
          <t>Arizona Diamondbacks</t>
        </is>
      </c>
      <c r="AS46" s="24" t="inlineStr">
        <is>
          <t>mlb-cle</t>
        </is>
      </c>
      <c r="AT46" s="24" t="inlineStr">
        <is>
          <t>Cleveland Guardians</t>
        </is>
      </c>
      <c r="AU46" s="24" t="inlineStr">
        <is>
          <t>Cleveland Guardians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cbc2c9bf5a9569a49e1902c816d96556d704cf10819ca3a9e927721685757d0b</t>
        </is>
      </c>
      <c r="BB46" s="24" t="inlineStr">
        <is>
          <t>flat_probability_shrinkage_toward_half</t>
        </is>
      </c>
      <c r="BC46" s="24" t="inlineStr">
        <is>
          <t>measured-edge-totals-v1</t>
        </is>
      </c>
      <c r="BD46" s="24" t="inlineStr">
        <is>
          <t>cbc2c9bf5a9569a49e1902c816d96556d704cf10819ca3a9e927721685757d0b</t>
        </is>
      </c>
      <c r="BE46" s="24" t="inlineStr">
        <is>
          <t>v3</t>
        </is>
      </c>
      <c r="BF46" s="24" t="inlineStr">
        <is>
          <t>1</t>
        </is>
      </c>
      <c r="BG46" s="24" t="inlineStr">
        <is>
          <t>measured-edge-paired-v1</t>
        </is>
      </c>
      <c r="BH46" s="24" t="inlineStr">
        <is>
          <t>2026-07-31T21:05:54.725871Z</t>
        </is>
      </c>
      <c r="BI46" s="24" t="inlineStr">
        <is>
          <t>["same_event","same_team_same_day","same_league_same_day"]</t>
        </is>
      </c>
      <c r="BJ46" s="25" t="n">
        <v>8.5</v>
      </c>
      <c r="BK46" s="26" t="n">
        <v>-108</v>
      </c>
      <c r="BL46" s="27" t="n">
        <v>1.925926</v>
      </c>
      <c r="BM46" s="28" t="n">
        <v>0.519231</v>
      </c>
      <c r="BN46" s="28" t="n">
        <v>0.517413</v>
      </c>
      <c r="BO46" s="28" t="n"/>
      <c r="BP46" s="25" t="n"/>
      <c r="BQ46" s="27" t="n">
        <v>1.925926</v>
      </c>
      <c r="BR46" s="28" t="n">
        <v>0.52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n"/>
    </row>
    <row r="47" ht="36" customHeight="1">
      <c r="A47" s="24" t="inlineStr">
        <is>
          <t>fea60726d7dd4e66</t>
        </is>
      </c>
      <c r="B47" s="24" t="inlineStr">
        <is>
          <t>2026-07-31T21:05:54.725871Z</t>
        </is>
      </c>
      <c r="C47" s="24" t="inlineStr">
        <is>
          <t>2026-07-31T23:10Z</t>
        </is>
      </c>
      <c r="D47" s="24" t="inlineStr">
        <is>
          <t>401816333</t>
        </is>
      </c>
      <c r="E47" s="24" t="inlineStr">
        <is>
          <t>MLB</t>
        </is>
      </c>
      <c r="F47" s="24" t="inlineStr">
        <is>
          <t>Chicago White Sox</t>
        </is>
      </c>
      <c r="G47" s="24" t="inlineStr">
        <is>
          <t>Tampa Bay Rays</t>
        </is>
      </c>
      <c r="H47" s="24" t="inlineStr">
        <is>
          <t>spread</t>
        </is>
      </c>
      <c r="I47" s="24" t="inlineStr">
        <is>
          <t>away</t>
        </is>
      </c>
      <c r="J47" s="25" t="n">
        <v>1.5</v>
      </c>
      <c r="K47" s="24" t="inlineStr">
        <is>
          <t>polymarket_us</t>
        </is>
      </c>
      <c r="L47" s="26" t="n">
        <v>-163</v>
      </c>
      <c r="M47" s="27" t="n">
        <v>1.613497</v>
      </c>
      <c r="N47" s="28" t="n">
        <v>0.619772</v>
      </c>
      <c r="O47" s="28" t="n">
        <v>0.5435140000000001</v>
      </c>
      <c r="P47" s="28" t="n">
        <v>0.042131</v>
      </c>
      <c r="Q47" s="28" t="n">
        <v>-0.07625800000000001</v>
      </c>
      <c r="R47" s="26" t="n">
        <v>0</v>
      </c>
      <c r="S47" s="29" t="n">
        <v>1</v>
      </c>
      <c r="T47" s="24" t="inlineStr">
        <is>
          <t>measured-edge-margin-v1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6</v>
      </c>
      <c r="X47" s="26" t="n">
        <v>1</v>
      </c>
      <c r="Y47" s="25" t="n">
        <v>1.5</v>
      </c>
      <c r="Z47" s="26" t="n">
        <v>-163</v>
      </c>
      <c r="AA47" s="28" t="n">
        <v>0.62</v>
      </c>
      <c r="AB47" s="28" t="n">
        <v>0.000228</v>
      </c>
      <c r="AC47" s="30" t="n">
        <v>0.6135</v>
      </c>
      <c r="AD47" s="24" t="inlineStr">
        <is>
          <t>2026-08-01T03:00:03.755966Z</t>
        </is>
      </c>
      <c r="AE47" s="31" t="inlineStr">
        <is>
          <t>Measured Edge Margin: Trend Engine projected 4.01-4.68; raw selected-side p=0.6102, calibrated p=0.5435.</t>
        </is>
      </c>
      <c r="AF47" s="31" t="inlineStr">
        <is>
          <t>Research-only; lineup, bullpen, park, weather, xFIP, and wRC+ may be neutral fallbacks; market availability and BBO depth may change before first pitch.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mlb-cws</t>
        </is>
      </c>
      <c r="AQ47" s="24" t="inlineStr">
        <is>
          <t>Chicago White Sox</t>
        </is>
      </c>
      <c r="AR47" s="24" t="inlineStr">
        <is>
          <t>Chicago White Sox</t>
        </is>
      </c>
      <c r="AS47" s="24" t="inlineStr">
        <is>
          <t>mlb-tb</t>
        </is>
      </c>
      <c r="AT47" s="24" t="inlineStr">
        <is>
          <t>Tampa Bay Rays</t>
        </is>
      </c>
      <c r="AU47" s="24" t="inlineStr">
        <is>
          <t>Tampa Bay Rays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2bc2ce55b0d39a20103f724bbddbde5394909acd49297f52665b596a0ae3ae8b</t>
        </is>
      </c>
      <c r="BB47" s="24" t="inlineStr">
        <is>
          <t>flat_probability_shrinkage_toward_half</t>
        </is>
      </c>
      <c r="BC47" s="24" t="inlineStr">
        <is>
          <t>measured-edge-margin-v1</t>
        </is>
      </c>
      <c r="BD47" s="24" t="inlineStr">
        <is>
          <t>2bc2ce55b0d39a20103f724bbddbde5394909acd49297f52665b596a0ae3ae8b</t>
        </is>
      </c>
      <c r="BE47" s="24" t="inlineStr">
        <is>
          <t>v3</t>
        </is>
      </c>
      <c r="BF47" s="24" t="inlineStr">
        <is>
          <t>1</t>
        </is>
      </c>
      <c r="BG47" s="24" t="inlineStr">
        <is>
          <t>measured-edge-paired-v1</t>
        </is>
      </c>
      <c r="BH47" s="24" t="inlineStr">
        <is>
          <t>2026-07-31T21:05:54.725871Z</t>
        </is>
      </c>
      <c r="BI47" s="24" t="inlineStr">
        <is>
          <t>["same_event","same_team_same_day","same_league_same_day"]</t>
        </is>
      </c>
      <c r="BJ47" s="25" t="n">
        <v>1.5</v>
      </c>
      <c r="BK47" s="26" t="n">
        <v>-163</v>
      </c>
      <c r="BL47" s="27" t="n">
        <v>1.613497</v>
      </c>
      <c r="BM47" s="28" t="n">
        <v>0.619772</v>
      </c>
      <c r="BN47" s="28" t="n">
        <v>0.616915</v>
      </c>
      <c r="BO47" s="28" t="n"/>
      <c r="BP47" s="25" t="n"/>
      <c r="BQ47" s="27" t="n">
        <v>1.613497</v>
      </c>
      <c r="BR47" s="28" t="n">
        <v>0.62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n"/>
    </row>
    <row r="48" ht="36" customHeight="1">
      <c r="A48" s="24" t="inlineStr">
        <is>
          <t>a00561c8b55b4b36</t>
        </is>
      </c>
      <c r="B48" s="24" t="inlineStr">
        <is>
          <t>2026-07-31T21:05:54.725871Z</t>
        </is>
      </c>
      <c r="C48" s="24" t="inlineStr">
        <is>
          <t>2026-07-31T23:10Z</t>
        </is>
      </c>
      <c r="D48" s="24" t="inlineStr">
        <is>
          <t>401816333</t>
        </is>
      </c>
      <c r="E48" s="24" t="inlineStr">
        <is>
          <t>MLB</t>
        </is>
      </c>
      <c r="F48" s="24" t="inlineStr">
        <is>
          <t>Chicago White Sox</t>
        </is>
      </c>
      <c r="G48" s="24" t="inlineStr">
        <is>
          <t>Tampa Bay Rays</t>
        </is>
      </c>
      <c r="H48" s="24" t="inlineStr">
        <is>
          <t>total</t>
        </is>
      </c>
      <c r="I48" s="24" t="inlineStr">
        <is>
          <t>under</t>
        </is>
      </c>
      <c r="J48" s="25" t="n">
        <v>8.5</v>
      </c>
      <c r="K48" s="24" t="inlineStr">
        <is>
          <t>polymarket_us</t>
        </is>
      </c>
      <c r="L48" s="26" t="n">
        <v>-111</v>
      </c>
      <c r="M48" s="27" t="n">
        <v>1.900901</v>
      </c>
      <c r="N48" s="28" t="n">
        <v>0.526066</v>
      </c>
      <c r="O48" s="28" t="n">
        <v>0.499878</v>
      </c>
      <c r="P48" s="28" t="n">
        <v>0.042131</v>
      </c>
      <c r="Q48" s="28" t="n">
        <v>-0.026188</v>
      </c>
      <c r="R48" s="26" t="n">
        <v>12</v>
      </c>
      <c r="S48" s="29" t="n">
        <v>1</v>
      </c>
      <c r="T48" s="24" t="inlineStr">
        <is>
          <t>measured-edge-totals-v1</t>
        </is>
      </c>
      <c r="U48" s="24" t="inlineStr">
        <is>
          <t>settled</t>
        </is>
      </c>
      <c r="V48" s="24" t="inlineStr">
        <is>
          <t>win</t>
        </is>
      </c>
      <c r="W48" s="26" t="n">
        <v>6</v>
      </c>
      <c r="X48" s="26" t="n">
        <v>1</v>
      </c>
      <c r="Y48" s="25" t="n">
        <v>8.5</v>
      </c>
      <c r="Z48" s="26" t="n">
        <v>-111</v>
      </c>
      <c r="AA48" s="28" t="n">
        <v>0.525</v>
      </c>
      <c r="AB48" s="28" t="n">
        <v>-0.001066</v>
      </c>
      <c r="AC48" s="30" t="n">
        <v>0.9009</v>
      </c>
      <c r="AD48" s="24" t="inlineStr">
        <is>
          <t>2026-08-01T03:00:04.037663Z</t>
        </is>
      </c>
      <c r="AE48" s="31" t="inlineStr">
        <is>
          <t>Measured Edge Totals: Trend Engine projected 4.01-4.68; raw selected-side p=0.5158, calibrated p=0.4999.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mlb-cws</t>
        </is>
      </c>
      <c r="AQ48" s="24" t="inlineStr">
        <is>
          <t>Chicago White Sox</t>
        </is>
      </c>
      <c r="AR48" s="24" t="inlineStr">
        <is>
          <t>Chicago White Sox</t>
        </is>
      </c>
      <c r="AS48" s="24" t="inlineStr">
        <is>
          <t>mlb-tb</t>
        </is>
      </c>
      <c r="AT48" s="24" t="inlineStr">
        <is>
          <t>Tampa Bay Rays</t>
        </is>
      </c>
      <c r="AU48" s="24" t="inlineStr">
        <is>
          <t>Tampa Bay Rays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cbc2c9bf5a9569a49e1902c816d96556d704cf10819ca3a9e927721685757d0b</t>
        </is>
      </c>
      <c r="BB48" s="24" t="inlineStr">
        <is>
          <t>flat_probability_shrinkage_toward_half</t>
        </is>
      </c>
      <c r="BC48" s="24" t="inlineStr">
        <is>
          <t>measured-edge-totals-v1</t>
        </is>
      </c>
      <c r="BD48" s="24" t="inlineStr">
        <is>
          <t>cbc2c9bf5a9569a49e1902c816d96556d704cf10819ca3a9e927721685757d0b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2026-07-31T21:05:54.725871Z</t>
        </is>
      </c>
      <c r="BI48" s="24" t="inlineStr">
        <is>
          <t>["same_event","same_team_same_day","same_league_same_day"]</t>
        </is>
      </c>
      <c r="BJ48" s="25" t="n">
        <v>8.5</v>
      </c>
      <c r="BK48" s="26" t="n">
        <v>-111</v>
      </c>
      <c r="BL48" s="27" t="n">
        <v>1.900901</v>
      </c>
      <c r="BM48" s="28" t="n">
        <v>0.526066</v>
      </c>
      <c r="BN48" s="28" t="n">
        <v>0.522388</v>
      </c>
      <c r="BO48" s="28" t="n"/>
      <c r="BP48" s="25" t="n"/>
      <c r="BQ48" s="27" t="n">
        <v>1.900901</v>
      </c>
      <c r="BR48" s="28" t="n">
        <v>0.525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n"/>
    </row>
    <row r="49" ht="36" customHeight="1">
      <c r="A49" s="24" t="inlineStr">
        <is>
          <t>0ccd6aa020654ef6</t>
        </is>
      </c>
      <c r="B49" s="24" t="inlineStr">
        <is>
          <t>2026-07-31T21:05:54.725871Z</t>
        </is>
      </c>
      <c r="C49" s="24" t="inlineStr">
        <is>
          <t>2026-07-31T23:10Z</t>
        </is>
      </c>
      <c r="D49" s="24" t="inlineStr">
        <is>
          <t>401816334</t>
        </is>
      </c>
      <c r="E49" s="24" t="inlineStr">
        <is>
          <t>MLB</t>
        </is>
      </c>
      <c r="F49" s="24" t="inlineStr">
        <is>
          <t>Miami Marlins</t>
        </is>
      </c>
      <c r="G49" s="24" t="inlineStr">
        <is>
          <t>New York Mets</t>
        </is>
      </c>
      <c r="H49" s="24" t="inlineStr">
        <is>
          <t>spread</t>
        </is>
      </c>
      <c r="I49" s="24" t="inlineStr">
        <is>
          <t>away</t>
        </is>
      </c>
      <c r="J49" s="25" t="n">
        <v>1.5</v>
      </c>
      <c r="K49" s="24" t="inlineStr">
        <is>
          <t>polymarket_us</t>
        </is>
      </c>
      <c r="L49" s="26" t="n">
        <v>-182</v>
      </c>
      <c r="M49" s="27" t="n">
        <v>1.549451</v>
      </c>
      <c r="N49" s="28" t="n">
        <v>0.64539</v>
      </c>
      <c r="O49" s="28" t="n">
        <v>0.552976</v>
      </c>
      <c r="P49" s="28" t="n">
        <v>0.042131</v>
      </c>
      <c r="Q49" s="28" t="n">
        <v>-0.092414</v>
      </c>
      <c r="R49" s="26" t="n">
        <v>0</v>
      </c>
      <c r="S49" s="29" t="n">
        <v>1</v>
      </c>
      <c r="T49" s="24" t="inlineStr">
        <is>
          <t>measured-edge-margin-v1</t>
        </is>
      </c>
      <c r="U49" s="24" t="inlineStr">
        <is>
          <t>settled</t>
        </is>
      </c>
      <c r="V49" s="24" t="inlineStr">
        <is>
          <t>win</t>
        </is>
      </c>
      <c r="W49" s="26" t="n">
        <v>5</v>
      </c>
      <c r="X49" s="26" t="n">
        <v>2</v>
      </c>
      <c r="Y49" s="25" t="n">
        <v>1.5</v>
      </c>
      <c r="Z49" s="26" t="n">
        <v>-182</v>
      </c>
      <c r="AA49" s="28" t="n">
        <v>0.645</v>
      </c>
      <c r="AB49" s="28" t="n">
        <v>-0.00039</v>
      </c>
      <c r="AC49" s="30" t="n">
        <v>0.5495</v>
      </c>
      <c r="AD49" s="24" t="inlineStr">
        <is>
          <t>2026-08-01T03:00:04.318189Z</t>
        </is>
      </c>
      <c r="AE49" s="31" t="inlineStr">
        <is>
          <t>Measured Edge Margin: Trend Engine projected 4.94-4.95; raw selected-side p=0.6584, calibrated p=0.5530.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mlb-mia</t>
        </is>
      </c>
      <c r="AQ49" s="24" t="inlineStr">
        <is>
          <t>Miami Marlins</t>
        </is>
      </c>
      <c r="AR49" s="24" t="inlineStr">
        <is>
          <t>Miami Marlins</t>
        </is>
      </c>
      <c r="AS49" s="24" t="inlineStr">
        <is>
          <t>mlb-nym</t>
        </is>
      </c>
      <c r="AT49" s="24" t="inlineStr">
        <is>
          <t>New York Mets</t>
        </is>
      </c>
      <c r="AU49" s="24" t="inlineStr">
        <is>
          <t>New York Mets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2bc2ce55b0d39a20103f724bbddbde5394909acd49297f52665b596a0ae3ae8b</t>
        </is>
      </c>
      <c r="BB49" s="24" t="inlineStr">
        <is>
          <t>flat_probability_shrinkage_toward_half</t>
        </is>
      </c>
      <c r="BC49" s="24" t="inlineStr">
        <is>
          <t>measured-edge-margin-v1</t>
        </is>
      </c>
      <c r="BD49" s="24" t="inlineStr">
        <is>
          <t>2bc2ce55b0d39a20103f724bbddbde5394909acd49297f52665b596a0ae3ae8b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2026-07-31T21:05:54.725871Z</t>
        </is>
      </c>
      <c r="BI49" s="24" t="inlineStr">
        <is>
          <t>["same_event","same_team_same_day","same_league_same_day"]</t>
        </is>
      </c>
      <c r="BJ49" s="25" t="n">
        <v>1.5</v>
      </c>
      <c r="BK49" s="26" t="n">
        <v>-182</v>
      </c>
      <c r="BL49" s="27" t="n">
        <v>1.549451</v>
      </c>
      <c r="BM49" s="28" t="n">
        <v>0.64539</v>
      </c>
      <c r="BN49" s="28" t="n">
        <v>0.641791</v>
      </c>
      <c r="BO49" s="28" t="n"/>
      <c r="BP49" s="25" t="n"/>
      <c r="BQ49" s="27" t="n">
        <v>1.549451</v>
      </c>
      <c r="BR49" s="28" t="n">
        <v>0.645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n"/>
    </row>
    <row r="50" ht="36" customHeight="1">
      <c r="A50" s="24" t="inlineStr">
        <is>
          <t>d5fc5592ab4341dd</t>
        </is>
      </c>
      <c r="B50" s="24" t="inlineStr">
        <is>
          <t>2026-07-31T21:05:54.725871Z</t>
        </is>
      </c>
      <c r="C50" s="24" t="inlineStr">
        <is>
          <t>2026-07-31T23:10Z</t>
        </is>
      </c>
      <c r="D50" s="24" t="inlineStr">
        <is>
          <t>401816334</t>
        </is>
      </c>
      <c r="E50" s="24" t="inlineStr">
        <is>
          <t>MLB</t>
        </is>
      </c>
      <c r="F50" s="24" t="inlineStr">
        <is>
          <t>Miami Marlins</t>
        </is>
      </c>
      <c r="G50" s="24" t="inlineStr">
        <is>
          <t>New York Mets</t>
        </is>
      </c>
      <c r="H50" s="24" t="inlineStr">
        <is>
          <t>total</t>
        </is>
      </c>
      <c r="I50" s="24" t="inlineStr">
        <is>
          <t>over</t>
        </is>
      </c>
      <c r="J50" s="25" t="n">
        <v>8.5</v>
      </c>
      <c r="K50" s="24" t="inlineStr">
        <is>
          <t>polymarket_us</t>
        </is>
      </c>
      <c r="L50" s="26" t="n">
        <v>-102</v>
      </c>
      <c r="M50" s="27" t="n">
        <v>1.980392</v>
      </c>
      <c r="N50" s="28" t="n">
        <v>0.50495</v>
      </c>
      <c r="O50" s="28" t="n">
        <v>0.5740420000000001</v>
      </c>
      <c r="P50" s="28" t="n">
        <v>0.042131</v>
      </c>
      <c r="Q50" s="28" t="n">
        <v>0.069092</v>
      </c>
      <c r="R50" s="26" t="n">
        <v>59</v>
      </c>
      <c r="S50" s="29" t="n">
        <v>1.25</v>
      </c>
      <c r="T50" s="24" t="inlineStr">
        <is>
          <t>measured-edge-totals-v1</t>
        </is>
      </c>
      <c r="U50" s="24" t="inlineStr">
        <is>
          <t>settled</t>
        </is>
      </c>
      <c r="V50" s="24" t="inlineStr">
        <is>
          <t>loss</t>
        </is>
      </c>
      <c r="W50" s="26" t="n">
        <v>5</v>
      </c>
      <c r="X50" s="26" t="n">
        <v>2</v>
      </c>
      <c r="Y50" s="25" t="n">
        <v>8.5</v>
      </c>
      <c r="Z50" s="26" t="n">
        <v>-102</v>
      </c>
      <c r="AA50" s="28" t="n">
        <v>0.505</v>
      </c>
      <c r="AB50" s="28" t="n">
        <v>5e-05</v>
      </c>
      <c r="AC50" s="30" t="n">
        <v>-1.25</v>
      </c>
      <c r="AD50" s="24" t="inlineStr">
        <is>
          <t>2026-08-01T03:00:04.601965Z</t>
        </is>
      </c>
      <c r="AE50" s="31" t="inlineStr">
        <is>
          <t>Measured Edge Totals: Trend Engine projected 4.94-4.95; raw selected-side p=0.5923, calibrated p=0.5740.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mlb-mia</t>
        </is>
      </c>
      <c r="AQ50" s="24" t="inlineStr">
        <is>
          <t>Miami Marlins</t>
        </is>
      </c>
      <c r="AR50" s="24" t="inlineStr">
        <is>
          <t>Miami Marlins</t>
        </is>
      </c>
      <c r="AS50" s="24" t="inlineStr">
        <is>
          <t>mlb-nym</t>
        </is>
      </c>
      <c r="AT50" s="24" t="inlineStr">
        <is>
          <t>New York Mets</t>
        </is>
      </c>
      <c r="AU50" s="24" t="inlineStr">
        <is>
          <t>New York Mets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cbc2c9bf5a9569a49e1902c816d96556d704cf10819ca3a9e927721685757d0b</t>
        </is>
      </c>
      <c r="BB50" s="24" t="inlineStr">
        <is>
          <t>flat_probability_shrinkage_toward_half</t>
        </is>
      </c>
      <c r="BC50" s="24" t="inlineStr">
        <is>
          <t>measured-edge-totals-v1</t>
        </is>
      </c>
      <c r="BD50" s="24" t="inlineStr">
        <is>
          <t>cbc2c9bf5a9569a49e1902c816d96556d704cf10819ca3a9e927721685757d0b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2026-07-31T21:05:54.725871Z</t>
        </is>
      </c>
      <c r="BI50" s="24" t="inlineStr">
        <is>
          <t>["same_event","same_team_same_day","same_league_same_day"]</t>
        </is>
      </c>
      <c r="BJ50" s="25" t="n">
        <v>8.5</v>
      </c>
      <c r="BK50" s="26" t="n">
        <v>-102</v>
      </c>
      <c r="BL50" s="27" t="n">
        <v>1.980392</v>
      </c>
      <c r="BM50" s="28" t="n">
        <v>0.50495</v>
      </c>
      <c r="BN50" s="28" t="n">
        <v>0.502488</v>
      </c>
      <c r="BO50" s="28" t="n"/>
      <c r="BP50" s="25" t="n"/>
      <c r="BQ50" s="27" t="n">
        <v>1.980392</v>
      </c>
      <c r="BR50" s="28" t="n">
        <v>0.505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n"/>
    </row>
    <row r="51" ht="36" customHeight="1">
      <c r="A51" s="24" t="inlineStr">
        <is>
          <t>b678fd28ca724674</t>
        </is>
      </c>
      <c r="B51" s="24" t="inlineStr">
        <is>
          <t>2026-07-31T21:05:54.725871Z</t>
        </is>
      </c>
      <c r="C51" s="24" t="inlineStr">
        <is>
          <t>2026-07-31T23:15Z</t>
        </is>
      </c>
      <c r="D51" s="24" t="inlineStr">
        <is>
          <t>401816338</t>
        </is>
      </c>
      <c r="E51" s="24" t="inlineStr">
        <is>
          <t>MLB</t>
        </is>
      </c>
      <c r="F51" s="24" t="inlineStr">
        <is>
          <t>Washington Nationals</t>
        </is>
      </c>
      <c r="G51" s="24" t="inlineStr">
        <is>
          <t>Atlanta Braves</t>
        </is>
      </c>
      <c r="H51" s="24" t="inlineStr">
        <is>
          <t>spread</t>
        </is>
      </c>
      <c r="I51" s="24" t="inlineStr">
        <is>
          <t>home</t>
        </is>
      </c>
      <c r="J51" s="25" t="n">
        <v>1.5</v>
      </c>
      <c r="K51" s="24" t="inlineStr">
        <is>
          <t>polymarket_us</t>
        </is>
      </c>
      <c r="L51" s="26" t="n">
        <v>-182</v>
      </c>
      <c r="M51" s="27" t="n">
        <v>1.549451</v>
      </c>
      <c r="N51" s="28" t="n">
        <v>0.64539</v>
      </c>
      <c r="O51" s="28" t="n">
        <v>0.546226</v>
      </c>
      <c r="P51" s="28" t="n">
        <v>0.042131</v>
      </c>
      <c r="Q51" s="28" t="n">
        <v>-0.099164</v>
      </c>
      <c r="R51" s="26" t="n">
        <v>0</v>
      </c>
      <c r="S51" s="29" t="n">
        <v>1</v>
      </c>
      <c r="T51" s="24" t="inlineStr">
        <is>
          <t>measured-edge-margin-v1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2</v>
      </c>
      <c r="X51" s="26" t="n">
        <v>6</v>
      </c>
      <c r="Y51" s="25" t="n">
        <v>1.5</v>
      </c>
      <c r="Z51" s="26" t="n">
        <v>-182</v>
      </c>
      <c r="AA51" s="28" t="n">
        <v>0.645</v>
      </c>
      <c r="AB51" s="28" t="n">
        <v>-0.00039</v>
      </c>
      <c r="AC51" s="30" t="n">
        <v>0.5495</v>
      </c>
      <c r="AD51" s="24" t="inlineStr">
        <is>
          <t>2026-08-01T03:00:04.884635Z</t>
        </is>
      </c>
      <c r="AE51" s="31" t="inlineStr">
        <is>
          <t>Measured Edge Margin: Trend Engine projected 4.68-4.22; raw selected-side p=0.6240, calibrated p=0.5462.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mlb-wsh</t>
        </is>
      </c>
      <c r="AQ51" s="24" t="inlineStr">
        <is>
          <t>Washington Nationals</t>
        </is>
      </c>
      <c r="AR51" s="24" t="inlineStr">
        <is>
          <t>Washington Nationals</t>
        </is>
      </c>
      <c r="AS51" s="24" t="inlineStr">
        <is>
          <t>mlb-atl</t>
        </is>
      </c>
      <c r="AT51" s="24" t="inlineStr">
        <is>
          <t>Atlanta Braves</t>
        </is>
      </c>
      <c r="AU51" s="24" t="inlineStr">
        <is>
          <t>Atlanta Braves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2bc2ce55b0d39a20103f724bbddbde5394909acd49297f52665b596a0ae3ae8b</t>
        </is>
      </c>
      <c r="BB51" s="24" t="inlineStr">
        <is>
          <t>flat_probability_shrinkage_toward_half</t>
        </is>
      </c>
      <c r="BC51" s="24" t="inlineStr">
        <is>
          <t>measured-edge-margin-v1</t>
        </is>
      </c>
      <c r="BD51" s="24" t="inlineStr">
        <is>
          <t>2bc2ce55b0d39a20103f724bbddbde5394909acd49297f52665b596a0ae3ae8b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2026-07-31T21:05:54.725871Z</t>
        </is>
      </c>
      <c r="BI51" s="24" t="inlineStr">
        <is>
          <t>["same_event","same_team_same_day","same_league_same_day"]</t>
        </is>
      </c>
      <c r="BJ51" s="25" t="n">
        <v>1.5</v>
      </c>
      <c r="BK51" s="26" t="n">
        <v>-182</v>
      </c>
      <c r="BL51" s="27" t="n">
        <v>1.549451</v>
      </c>
      <c r="BM51" s="28" t="n">
        <v>0.64539</v>
      </c>
      <c r="BN51" s="28" t="n">
        <v>0.641791</v>
      </c>
      <c r="BO51" s="28" t="n"/>
      <c r="BP51" s="25" t="n"/>
      <c r="BQ51" s="27" t="n">
        <v>1.549451</v>
      </c>
      <c r="BR51" s="28" t="n">
        <v>0.645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n"/>
    </row>
    <row r="52" ht="36" customHeight="1">
      <c r="A52" s="24" t="inlineStr">
        <is>
          <t>1d57acfaf49748c4</t>
        </is>
      </c>
      <c r="B52" s="24" t="inlineStr">
        <is>
          <t>2026-07-31T21:05:54.725871Z</t>
        </is>
      </c>
      <c r="C52" s="24" t="inlineStr">
        <is>
          <t>2026-07-31T23:15Z</t>
        </is>
      </c>
      <c r="D52" s="24" t="inlineStr">
        <is>
          <t>401816338</t>
        </is>
      </c>
      <c r="E52" s="24" t="inlineStr">
        <is>
          <t>MLB</t>
        </is>
      </c>
      <c r="F52" s="24" t="inlineStr">
        <is>
          <t>Washington Nationals</t>
        </is>
      </c>
      <c r="G52" s="24" t="inlineStr">
        <is>
          <t>Atlanta Braves</t>
        </is>
      </c>
      <c r="H52" s="24" t="inlineStr">
        <is>
          <t>total</t>
        </is>
      </c>
      <c r="I52" s="24" t="inlineStr">
        <is>
          <t>under</t>
        </is>
      </c>
      <c r="J52" s="25" t="n">
        <v>9.5</v>
      </c>
      <c r="K52" s="24" t="inlineStr">
        <is>
          <t>polymarket_us</t>
        </is>
      </c>
      <c r="L52" s="26" t="n">
        <v>-122</v>
      </c>
      <c r="M52" s="27" t="n">
        <v>1.819672</v>
      </c>
      <c r="N52" s="28" t="n">
        <v>0.54955</v>
      </c>
      <c r="O52" s="28" t="n">
        <v>0.586459</v>
      </c>
      <c r="P52" s="28" t="n">
        <v>0.042131</v>
      </c>
      <c r="Q52" s="28" t="n">
        <v>0.036909</v>
      </c>
      <c r="R52" s="26" t="n">
        <v>43</v>
      </c>
      <c r="S52" s="29" t="n">
        <v>1.25</v>
      </c>
      <c r="T52" s="24" t="inlineStr">
        <is>
          <t>measured-edge-totals-v1</t>
        </is>
      </c>
      <c r="U52" s="24" t="inlineStr">
        <is>
          <t>settled</t>
        </is>
      </c>
      <c r="V52" s="24" t="inlineStr">
        <is>
          <t>win</t>
        </is>
      </c>
      <c r="W52" s="26" t="n">
        <v>2</v>
      </c>
      <c r="X52" s="26" t="n">
        <v>6</v>
      </c>
      <c r="Y52" s="25" t="n">
        <v>9.5</v>
      </c>
      <c r="Z52" s="26" t="n">
        <v>-122</v>
      </c>
      <c r="AA52" s="28" t="n">
        <v>0.55</v>
      </c>
      <c r="AB52" s="28" t="n">
        <v>0.00045</v>
      </c>
      <c r="AC52" s="30" t="n">
        <v>1.0246</v>
      </c>
      <c r="AD52" s="24" t="inlineStr">
        <is>
          <t>2026-08-01T03:00:05.207093Z</t>
        </is>
      </c>
      <c r="AE52" s="31" t="inlineStr">
        <is>
          <t>Measured Edge Totals: Trend Engine projected 4.68-4.22; raw selected-side p=0.6050, calibrated p=0.5865.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mlb-wsh</t>
        </is>
      </c>
      <c r="AQ52" s="24" t="inlineStr">
        <is>
          <t>Washington Nationals</t>
        </is>
      </c>
      <c r="AR52" s="24" t="inlineStr">
        <is>
          <t>Washington Nationals</t>
        </is>
      </c>
      <c r="AS52" s="24" t="inlineStr">
        <is>
          <t>mlb-atl</t>
        </is>
      </c>
      <c r="AT52" s="24" t="inlineStr">
        <is>
          <t>Atlanta Braves</t>
        </is>
      </c>
      <c r="AU52" s="24" t="inlineStr">
        <is>
          <t>Atlanta Braves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cbc2c9bf5a9569a49e1902c816d96556d704cf10819ca3a9e927721685757d0b</t>
        </is>
      </c>
      <c r="BB52" s="24" t="inlineStr">
        <is>
          <t>flat_probability_shrinkage_toward_half</t>
        </is>
      </c>
      <c r="BC52" s="24" t="inlineStr">
        <is>
          <t>measured-edge-totals-v1</t>
        </is>
      </c>
      <c r="BD52" s="24" t="inlineStr">
        <is>
          <t>cbc2c9bf5a9569a49e1902c816d96556d704cf10819ca3a9e927721685757d0b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2026-07-31T21:05:54.725871Z</t>
        </is>
      </c>
      <c r="BI52" s="24" t="inlineStr">
        <is>
          <t>["same_event","same_team_same_day","same_league_same_day"]</t>
        </is>
      </c>
      <c r="BJ52" s="25" t="n">
        <v>9.5</v>
      </c>
      <c r="BK52" s="26" t="n">
        <v>-122</v>
      </c>
      <c r="BL52" s="27" t="n">
        <v>1.819672</v>
      </c>
      <c r="BM52" s="28" t="n">
        <v>0.54955</v>
      </c>
      <c r="BN52" s="28" t="n">
        <v>0.547264</v>
      </c>
      <c r="BO52" s="28" t="n"/>
      <c r="BP52" s="25" t="n"/>
      <c r="BQ52" s="27" t="n">
        <v>1.819672</v>
      </c>
      <c r="BR52" s="28" t="n">
        <v>0.55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n"/>
    </row>
    <row r="53" ht="36" customHeight="1">
      <c r="A53" s="24" t="inlineStr">
        <is>
          <t>f5699485189e4e76</t>
        </is>
      </c>
      <c r="B53" s="24" t="inlineStr">
        <is>
          <t>2026-07-31T23:29:42.171549Z</t>
        </is>
      </c>
      <c r="C53" s="24" t="inlineStr">
        <is>
          <t>2026-07-31T20:15:00-0400</t>
        </is>
      </c>
      <c r="D53" s="24" t="inlineStr">
        <is>
          <t>401816340</t>
        </is>
      </c>
      <c r="E53" s="24" t="inlineStr">
        <is>
          <t>MLB</t>
        </is>
      </c>
      <c r="F53" s="24" t="inlineStr">
        <is>
          <t>Texas Rangers</t>
        </is>
      </c>
      <c r="G53" s="24" t="inlineStr">
        <is>
          <t>Houston Astros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-117</v>
      </c>
      <c r="M53" s="27" t="n">
        <v>1.854701</v>
      </c>
      <c r="N53" s="28" t="n">
        <v>0.539171</v>
      </c>
      <c r="O53" s="28" t="n">
        <v>0.548061</v>
      </c>
      <c r="P53" s="28" t="n"/>
      <c r="Q53" s="28" t="n">
        <v>0.00889</v>
      </c>
      <c r="R53" s="26" t="n">
        <v>25</v>
      </c>
      <c r="S53" s="29" t="n">
        <v>1</v>
      </c>
      <c r="T53" s="24" t="inlineStr">
        <is>
          <t>mlb-elo-trend-lr-v7</t>
        </is>
      </c>
      <c r="U53" s="24" t="inlineStr">
        <is>
          <t>settled</t>
        </is>
      </c>
      <c r="V53" s="24" t="inlineStr">
        <is>
          <t>win</t>
        </is>
      </c>
      <c r="W53" s="26" t="n">
        <v>2</v>
      </c>
      <c r="X53" s="26" t="n">
        <v>11</v>
      </c>
      <c r="Y53" s="25" t="n"/>
      <c r="Z53" s="26" t="n">
        <v>-117</v>
      </c>
      <c r="AA53" s="28" t="n">
        <v>0.54</v>
      </c>
      <c r="AB53" s="28" t="n">
        <v>0.000829</v>
      </c>
      <c r="AC53" s="30" t="n">
        <v>0.8547</v>
      </c>
      <c r="AD53" s="24" t="inlineStr">
        <is>
          <t>2026-08-01T05:33:39.699571Z</t>
        </is>
      </c>
      <c r="AE53" s="31" t="inlineStr">
        <is>
          <t>Learned LR call at threshold 0.6242; executable ask 0.5400 (aec-mlb-tex-hou-2026-07-31); model edge vs ask +0.0081.</t>
        </is>
      </c>
      <c r="AF53" s="31" t="inlineStr">
        <is>
          <t>Learned model; shadow-qualified via operator override.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mlb-tex</t>
        </is>
      </c>
      <c r="AQ53" s="24" t="inlineStr">
        <is>
          <t>Texas Rangers</t>
        </is>
      </c>
      <c r="AR53" s="24" t="inlineStr">
        <is>
          <t>Texas Rangers</t>
        </is>
      </c>
      <c r="AS53" s="24" t="inlineStr">
        <is>
          <t>mlb-hou</t>
        </is>
      </c>
      <c r="AT53" s="24" t="inlineStr">
        <is>
          <t>Houston Astros</t>
        </is>
      </c>
      <c r="AU53" s="24" t="inlineStr">
        <is>
          <t>Houston Astros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464eef695bfbbdaa819ec6f5e4c5bd1068ed20b92915fb2677220ae91e20d8b6</t>
        </is>
      </c>
      <c r="BB53" s="24" t="inlineStr">
        <is>
          <t>learned_lr</t>
        </is>
      </c>
      <c r="BC53" s="24" t="inlineStr">
        <is>
          <t>mlb-elo-trend-lr-v7</t>
        </is>
      </c>
      <c r="BD53" s="24" t="inlineStr">
        <is>
          <t>464eef695bfbbdaa819ec6f5e4c5bd1068ed20b92915fb2677220ae91e20d8b6</t>
        </is>
      </c>
      <c r="BE53" s="24" t="inlineStr">
        <is>
          <t>524a0fd0934624ad</t>
        </is>
      </c>
      <c r="BF53" s="24" t="inlineStr">
        <is>
          <t>1</t>
        </is>
      </c>
      <c r="BG53" s="24" t="inlineStr">
        <is>
          <t>mlb-elo-trend-lr-v7</t>
        </is>
      </c>
      <c r="BH53" s="24" t="inlineStr">
        <is>
          <t>2026-07-31T23:29:18.070151Z</t>
        </is>
      </c>
      <c r="BI53" s="24" t="inlineStr">
        <is>
          <t>["same_event","same_team_same_day","same_league_same_day"]</t>
        </is>
      </c>
      <c r="BJ53" s="25" t="n"/>
      <c r="BK53" s="26" t="n">
        <v>-117</v>
      </c>
      <c r="BL53" s="27" t="n">
        <v>1.854701</v>
      </c>
      <c r="BM53" s="28" t="n">
        <v>0.539171</v>
      </c>
      <c r="BN53" s="28" t="n">
        <v>0.537313</v>
      </c>
      <c r="BO53" s="28" t="n"/>
      <c r="BP53" s="25" t="n"/>
      <c r="BQ53" s="27" t="n">
        <v>1.854701</v>
      </c>
      <c r="BR53" s="28" t="n">
        <v>0.54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0.5417596979</t>
        </is>
      </c>
      <c r="CD53" s="24" t="inlineStr">
        <is>
          <t>0.96412</t>
        </is>
      </c>
      <c r="CE53" s="24" t="inlineStr">
        <is>
          <t>0.956</t>
        </is>
      </c>
      <c r="CF53" s="24" t="inlineStr">
        <is>
          <t>1</t>
        </is>
      </c>
      <c r="CG53" s="24" t="inlineStr">
        <is>
          <t>2.2</t>
        </is>
      </c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n"/>
    </row>
    <row r="54" ht="36" customHeight="1">
      <c r="A54" s="24" t="inlineStr">
        <is>
          <t>a5d8df625d884626</t>
        </is>
      </c>
      <c r="B54" s="24" t="inlineStr">
        <is>
          <t>2026-07-31T23:29:42.171549Z</t>
        </is>
      </c>
      <c r="C54" s="24" t="inlineStr">
        <is>
          <t>2026-07-31T20:40:00-0400</t>
        </is>
      </c>
      <c r="D54" s="24" t="inlineStr">
        <is>
          <t>401816341</t>
        </is>
      </c>
      <c r="E54" s="24" t="inlineStr">
        <is>
          <t>MLB</t>
        </is>
      </c>
      <c r="F54" s="24" t="inlineStr">
        <is>
          <t>Kansas City Royals</t>
        </is>
      </c>
      <c r="G54" s="24" t="inlineStr">
        <is>
          <t>Colorado Rockies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-104</v>
      </c>
      <c r="M54" s="27" t="n">
        <v>1.961538</v>
      </c>
      <c r="N54" s="28" t="n">
        <v>0.509804</v>
      </c>
      <c r="O54" s="28" t="n">
        <v>0.5955</v>
      </c>
      <c r="P54" s="28" t="n"/>
      <c r="Q54" s="28" t="n">
        <v>0.08569599999999999</v>
      </c>
      <c r="R54" s="26" t="n">
        <v>64</v>
      </c>
      <c r="S54" s="29" t="n">
        <v>1.25</v>
      </c>
      <c r="T54" s="24" t="inlineStr">
        <is>
          <t>mlb-elo-trend-lr-v7</t>
        </is>
      </c>
      <c r="U54" s="24" t="inlineStr">
        <is>
          <t>settled</t>
        </is>
      </c>
      <c r="V54" s="24" t="inlineStr">
        <is>
          <t>loss</t>
        </is>
      </c>
      <c r="W54" s="26" t="n">
        <v>1</v>
      </c>
      <c r="X54" s="26" t="n">
        <v>3</v>
      </c>
      <c r="Y54" s="25" t="n"/>
      <c r="Z54" s="26" t="n">
        <v>-104</v>
      </c>
      <c r="AA54" s="28" t="n">
        <v>0.51</v>
      </c>
      <c r="AB54" s="28" t="n">
        <v>0.000196</v>
      </c>
      <c r="AC54" s="30" t="n">
        <v>-1.25</v>
      </c>
      <c r="AD54" s="24" t="inlineStr">
        <is>
          <t>2026-08-01T05:33:39.994911Z</t>
        </is>
      </c>
      <c r="AE54" s="31" t="inlineStr">
        <is>
          <t>Learned LR call at threshold 0.6242; executable ask 0.5100 (aec-mlb-kc-col-2026-07-31); model edge vs ask +0.0855.</t>
        </is>
      </c>
      <c r="AF54" s="31" t="inlineStr">
        <is>
          <t>Learned model; shadow-qualified via operator override.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mlb-kc</t>
        </is>
      </c>
      <c r="AQ54" s="24" t="inlineStr">
        <is>
          <t>Kansas City Royals</t>
        </is>
      </c>
      <c r="AR54" s="24" t="inlineStr">
        <is>
          <t>Kansas City Royals</t>
        </is>
      </c>
      <c r="AS54" s="24" t="inlineStr">
        <is>
          <t>mlb-col</t>
        </is>
      </c>
      <c r="AT54" s="24" t="inlineStr">
        <is>
          <t>Colorado Rockies</t>
        </is>
      </c>
      <c r="AU54" s="24" t="inlineStr">
        <is>
          <t>Colorado Rockies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464eef695bfbbdaa819ec6f5e4c5bd1068ed20b92915fb2677220ae91e20d8b6</t>
        </is>
      </c>
      <c r="BB54" s="24" t="inlineStr">
        <is>
          <t>learned_lr</t>
        </is>
      </c>
      <c r="BC54" s="24" t="inlineStr">
        <is>
          <t>mlb-elo-trend-lr-v7</t>
        </is>
      </c>
      <c r="BD54" s="24" t="inlineStr">
        <is>
          <t>464eef695bfbbdaa819ec6f5e4c5bd1068ed20b92915fb2677220ae91e20d8b6</t>
        </is>
      </c>
      <c r="BE54" s="24" t="inlineStr">
        <is>
          <t>923d07b1b3b0c2bd</t>
        </is>
      </c>
      <c r="BF54" s="24" t="inlineStr">
        <is>
          <t>1</t>
        </is>
      </c>
      <c r="BG54" s="24" t="inlineStr">
        <is>
          <t>mlb-elo-trend-lr-v7</t>
        </is>
      </c>
      <c r="BH54" s="24" t="inlineStr">
        <is>
          <t>2026-07-31T23:29:19.286255Z</t>
        </is>
      </c>
      <c r="BI54" s="24" t="inlineStr">
        <is>
          <t>["same_event","same_team_same_day","same_league_same_day"]</t>
        </is>
      </c>
      <c r="BJ54" s="25" t="n"/>
      <c r="BK54" s="26" t="n">
        <v>-104</v>
      </c>
      <c r="BL54" s="27" t="n">
        <v>1.961538</v>
      </c>
      <c r="BM54" s="28" t="n">
        <v>0.509804</v>
      </c>
      <c r="BN54" s="28" t="n">
        <v>0.507463</v>
      </c>
      <c r="BO54" s="28" t="n"/>
      <c r="BP54" s="25" t="n"/>
      <c r="BQ54" s="27" t="n">
        <v>1.961538</v>
      </c>
      <c r="BR54" s="28" t="n">
        <v>0.51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inlineStr">
        <is>
          <t>0.4263386442</t>
        </is>
      </c>
      <c r="CD54" s="24" t="inlineStr">
        <is>
          <t>-0.092509</t>
        </is>
      </c>
      <c r="CE54" s="24" t="inlineStr">
        <is>
          <t>1.193</t>
        </is>
      </c>
      <c r="CF54" s="24" t="inlineStr">
        <is>
          <t>1.0177</t>
        </is>
      </c>
      <c r="CG54" s="24" t="inlineStr">
        <is>
          <t>3.8</t>
        </is>
      </c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n"/>
    </row>
    <row r="55" ht="36" customHeight="1">
      <c r="A55" s="24" t="inlineStr">
        <is>
          <t>a2e6ce67dd9c4ecf</t>
        </is>
      </c>
      <c r="B55" s="24" t="inlineStr">
        <is>
          <t>2026-07-31T23:29:42.171549Z</t>
        </is>
      </c>
      <c r="C55" s="24" t="inlineStr">
        <is>
          <t>2026-07-31T21:38:00-0400</t>
        </is>
      </c>
      <c r="D55" s="24" t="inlineStr">
        <is>
          <t>401816344</t>
        </is>
      </c>
      <c r="E55" s="24" t="inlineStr">
        <is>
          <t>MLB</t>
        </is>
      </c>
      <c r="F55" s="24" t="inlineStr">
        <is>
          <t>Milwaukee Brewers</t>
        </is>
      </c>
      <c r="G55" s="24" t="inlineStr">
        <is>
          <t>Los Angeles Angels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polymarket_us</t>
        </is>
      </c>
      <c r="L55" s="26" t="n">
        <v>-156</v>
      </c>
      <c r="M55" s="27" t="n">
        <v>1.641026</v>
      </c>
      <c r="N55" s="28" t="n">
        <v>0.609375</v>
      </c>
      <c r="O55" s="28" t="n">
        <v>0.623039</v>
      </c>
      <c r="P55" s="28" t="n"/>
      <c r="Q55" s="28" t="n">
        <v>0.013664</v>
      </c>
      <c r="R55" s="26" t="n">
        <v>28</v>
      </c>
      <c r="S55" s="29" t="n">
        <v>1.5</v>
      </c>
      <c r="T55" s="24" t="inlineStr">
        <is>
          <t>mlb-elo-trend-lr-v7</t>
        </is>
      </c>
      <c r="U55" s="24" t="inlineStr">
        <is>
          <t>settled</t>
        </is>
      </c>
      <c r="V55" s="24" t="inlineStr">
        <is>
          <t>win</t>
        </is>
      </c>
      <c r="W55" s="26" t="n">
        <v>6</v>
      </c>
      <c r="X55" s="26" t="n">
        <v>2</v>
      </c>
      <c r="Y55" s="25" t="n"/>
      <c r="Z55" s="26" t="n">
        <v>-156</v>
      </c>
      <c r="AA55" s="28" t="n">
        <v>0.61</v>
      </c>
      <c r="AB55" s="28" t="n">
        <v>0.000625</v>
      </c>
      <c r="AC55" s="30" t="n">
        <v>0.9615</v>
      </c>
      <c r="AD55" s="24" t="inlineStr">
        <is>
          <t>2026-08-01T05:33:40.292879Z</t>
        </is>
      </c>
      <c r="AE55" s="31" t="inlineStr">
        <is>
          <t>Learned LR call at threshold 0.6242; executable ask 0.6100 (aec-mlb-mil-laa-2026-07-31); model edge vs ask +0.0130.</t>
        </is>
      </c>
      <c r="AF55" s="31" t="inlineStr">
        <is>
          <t>Learned model; shadow-qualified via operator override.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mlb-mil</t>
        </is>
      </c>
      <c r="AQ55" s="24" t="inlineStr">
        <is>
          <t>Milwaukee Brewers</t>
        </is>
      </c>
      <c r="AR55" s="24" t="inlineStr">
        <is>
          <t>Milwaukee Brewers</t>
        </is>
      </c>
      <c r="AS55" s="24" t="inlineStr">
        <is>
          <t>mlb-laa</t>
        </is>
      </c>
      <c r="AT55" s="24" t="inlineStr">
        <is>
          <t>Los Angeles Angels</t>
        </is>
      </c>
      <c r="AU55" s="24" t="inlineStr">
        <is>
          <t>Los Angeles Angels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464eef695bfbbdaa819ec6f5e4c5bd1068ed20b92915fb2677220ae91e20d8b6</t>
        </is>
      </c>
      <c r="BB55" s="24" t="inlineStr">
        <is>
          <t>learned_lr</t>
        </is>
      </c>
      <c r="BC55" s="24" t="inlineStr">
        <is>
          <t>mlb-elo-trend-lr-v7</t>
        </is>
      </c>
      <c r="BD55" s="24" t="inlineStr">
        <is>
          <t>464eef695bfbbdaa819ec6f5e4c5bd1068ed20b92915fb2677220ae91e20d8b6</t>
        </is>
      </c>
      <c r="BE55" s="24" t="inlineStr">
        <is>
          <t>536a32a342b89fa6</t>
        </is>
      </c>
      <c r="BF55" s="24" t="inlineStr">
        <is>
          <t>1</t>
        </is>
      </c>
      <c r="BG55" s="24" t="inlineStr">
        <is>
          <t>mlb-elo-trend-lr-v7</t>
        </is>
      </c>
      <c r="BH55" s="24" t="inlineStr">
        <is>
          <t>2026-07-31T23:29:19.944430Z</t>
        </is>
      </c>
      <c r="BI55" s="24" t="inlineStr">
        <is>
          <t>["same_event","same_team_same_day","same_league_same_day"]</t>
        </is>
      </c>
      <c r="BJ55" s="25" t="n"/>
      <c r="BK55" s="26" t="n">
        <v>-156</v>
      </c>
      <c r="BL55" s="27" t="n">
        <v>1.641026</v>
      </c>
      <c r="BM55" s="28" t="n">
        <v>0.609375</v>
      </c>
      <c r="BN55" s="28" t="n">
        <v>0.606965</v>
      </c>
      <c r="BO55" s="28" t="n"/>
      <c r="BP55" s="25" t="n"/>
      <c r="BQ55" s="27" t="n">
        <v>1.641026</v>
      </c>
      <c r="BR55" s="28" t="n">
        <v>0.61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inlineStr">
        <is>
          <t>0.3355785191</t>
        </is>
      </c>
      <c r="CD55" s="24" t="inlineStr">
        <is>
          <t>-0.284241</t>
        </is>
      </c>
      <c r="CE55" s="24" t="inlineStr">
        <is>
          <t>1.01</t>
        </is>
      </c>
      <c r="CF55" s="24" t="inlineStr">
        <is>
          <t>1.0122</t>
        </is>
      </c>
      <c r="CG55" s="24" t="inlineStr">
        <is>
          <t>-0.4</t>
        </is>
      </c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n"/>
    </row>
    <row r="56" ht="36" customHeight="1">
      <c r="A56" s="24" t="inlineStr">
        <is>
          <t>7a057b5796e04b28</t>
        </is>
      </c>
      <c r="B56" s="24" t="inlineStr">
        <is>
          <t>2026-07-31T23:29:42.171549Z</t>
        </is>
      </c>
      <c r="C56" s="24" t="inlineStr">
        <is>
          <t>2026-07-31T21:40:00-0400</t>
        </is>
      </c>
      <c r="D56" s="24" t="inlineStr">
        <is>
          <t>401816343</t>
        </is>
      </c>
      <c r="E56" s="24" t="inlineStr">
        <is>
          <t>MLB</t>
        </is>
      </c>
      <c r="F56" s="24" t="inlineStr">
        <is>
          <t>Detroit Tigers</t>
        </is>
      </c>
      <c r="G56" s="24" t="inlineStr">
        <is>
          <t>Athletics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-130</v>
      </c>
      <c r="M56" s="27" t="n">
        <v>1.769231</v>
      </c>
      <c r="N56" s="28" t="n">
        <v>0.565217</v>
      </c>
      <c r="O56" s="28" t="n">
        <v>0.557314</v>
      </c>
      <c r="P56" s="28" t="n"/>
      <c r="Q56" s="28" t="n">
        <v>-0.007903</v>
      </c>
      <c r="R56" s="26" t="n">
        <v>18</v>
      </c>
      <c r="S56" s="29" t="n">
        <v>1</v>
      </c>
      <c r="T56" s="24" t="inlineStr">
        <is>
          <t>mlb-elo-trend-lr-v7</t>
        </is>
      </c>
      <c r="U56" s="24" t="inlineStr">
        <is>
          <t>settled</t>
        </is>
      </c>
      <c r="V56" s="24" t="inlineStr">
        <is>
          <t>win</t>
        </is>
      </c>
      <c r="W56" s="26" t="n">
        <v>13</v>
      </c>
      <c r="X56" s="26" t="n">
        <v>1</v>
      </c>
      <c r="Y56" s="25" t="n"/>
      <c r="Z56" s="26" t="n">
        <v>-130</v>
      </c>
      <c r="AA56" s="28" t="n">
        <v>0.5649999999999999</v>
      </c>
      <c r="AB56" s="28" t="n">
        <v>-0.000217</v>
      </c>
      <c r="AC56" s="30" t="n">
        <v>0.7692</v>
      </c>
      <c r="AD56" s="24" t="inlineStr">
        <is>
          <t>2026-08-01T05:33:41.180045Z</t>
        </is>
      </c>
      <c r="AE56" s="31" t="inlineStr">
        <is>
          <t>Learned LR call at threshold 0.6242; executable ask 0.5650 (aec-mlb-det-ath-2026-07-31); model edge vs ask -0.0077.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mlb-det</t>
        </is>
      </c>
      <c r="AQ56" s="24" t="inlineStr">
        <is>
          <t>Detroit Tigers</t>
        </is>
      </c>
      <c r="AR56" s="24" t="inlineStr">
        <is>
          <t>Detroit Tigers</t>
        </is>
      </c>
      <c r="AS56" s="24" t="inlineStr">
        <is>
          <t>mlb-ath</t>
        </is>
      </c>
      <c r="AT56" s="24" t="inlineStr">
        <is>
          <t>Athletics</t>
        </is>
      </c>
      <c r="AU56" s="24" t="inlineStr">
        <is>
          <t>Athletics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464eef695bfbbdaa819ec6f5e4c5bd1068ed20b92915fb2677220ae91e20d8b6</t>
        </is>
      </c>
      <c r="BB56" s="24" t="inlineStr">
        <is>
          <t>learned_lr</t>
        </is>
      </c>
      <c r="BC56" s="24" t="inlineStr">
        <is>
          <t>mlb-elo-trend-lr-v7</t>
        </is>
      </c>
      <c r="BD56" s="24" t="inlineStr">
        <is>
          <t>464eef695bfbbdaa819ec6f5e4c5bd1068ed20b92915fb2677220ae91e20d8b6</t>
        </is>
      </c>
      <c r="BE56" s="24" t="inlineStr">
        <is>
          <t>eaf96e9b22f1492f</t>
        </is>
      </c>
      <c r="BF56" s="24" t="inlineStr">
        <is>
          <t>1</t>
        </is>
      </c>
      <c r="BG56" s="24" t="inlineStr">
        <is>
          <t>mlb-elo-trend-lr-v7</t>
        </is>
      </c>
      <c r="BH56" s="24" t="inlineStr">
        <is>
          <t>2026-07-31T23:29:20.970194Z</t>
        </is>
      </c>
      <c r="BI56" s="24" t="inlineStr">
        <is>
          <t>["same_event","same_team_same_day","same_league_same_day"]</t>
        </is>
      </c>
      <c r="BJ56" s="25" t="n"/>
      <c r="BK56" s="26" t="n">
        <v>-130</v>
      </c>
      <c r="BL56" s="27" t="n">
        <v>1.769231</v>
      </c>
      <c r="BM56" s="28" t="n">
        <v>0.565217</v>
      </c>
      <c r="BN56" s="28" t="n">
        <v>0.562189</v>
      </c>
      <c r="BO56" s="28" t="n"/>
      <c r="BP56" s="25" t="n"/>
      <c r="BQ56" s="27" t="n">
        <v>1.769231</v>
      </c>
      <c r="BR56" s="28" t="n">
        <v>0.5649999999999999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0.4303979443</t>
        </is>
      </c>
      <c r="CD56" s="24" t="inlineStr">
        <is>
          <t>-2.346854</t>
        </is>
      </c>
      <c r="CE56" s="24" t="inlineStr">
        <is>
          <t>1.153</t>
        </is>
      </c>
      <c r="CF56" s="24" t="inlineStr">
        <is>
          <t>1.0239</t>
        </is>
      </c>
      <c r="CG56" s="24" t="inlineStr">
        <is>
          <t>0.6</t>
        </is>
      </c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n"/>
    </row>
    <row r="57" ht="36" customHeight="1">
      <c r="A57" s="24" t="inlineStr">
        <is>
          <t>6dda98bb166f4f4c</t>
        </is>
      </c>
      <c r="B57" s="24" t="inlineStr">
        <is>
          <t>2026-07-31T23:29:42.171549Z</t>
        </is>
      </c>
      <c r="C57" s="24" t="inlineStr">
        <is>
          <t>2026-07-31T21:45:00-0400</t>
        </is>
      </c>
      <c r="D57" s="24" t="inlineStr">
        <is>
          <t>401816346</t>
        </is>
      </c>
      <c r="E57" s="24" t="inlineStr">
        <is>
          <t>MLB</t>
        </is>
      </c>
      <c r="F57" s="24" t="inlineStr">
        <is>
          <t>San Francisco Giants</t>
        </is>
      </c>
      <c r="G57" s="24" t="inlineStr">
        <is>
          <t>San Diego Padres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0.594553</v>
      </c>
      <c r="P57" s="28" t="n"/>
      <c r="Q57" s="28" t="n">
        <v>0.014721</v>
      </c>
      <c r="R57" s="26" t="n">
        <v>29</v>
      </c>
      <c r="S57" s="29" t="n">
        <v>1.25</v>
      </c>
      <c r="T57" s="24" t="inlineStr">
        <is>
          <t>mlb-elo-trend-lr-v7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7</v>
      </c>
      <c r="Y57" s="25" t="n"/>
      <c r="Z57" s="26" t="n">
        <v>-138</v>
      </c>
      <c r="AA57" s="28" t="n">
        <v>0.58</v>
      </c>
      <c r="AB57" s="28" t="n">
        <v>0.000168</v>
      </c>
      <c r="AC57" s="30" t="n">
        <v>0.9058</v>
      </c>
      <c r="AD57" s="24" t="inlineStr">
        <is>
          <t>2026-08-01T05:33:41.504211Z</t>
        </is>
      </c>
      <c r="AE57" s="31" t="inlineStr">
        <is>
          <t>Learned LR call at threshold 0.6242; executable ask 0.5800 (aec-mlb-sf-sd-2026-07-31); model edge vs ask +0.0146.</t>
        </is>
      </c>
      <c r="AF57" s="31" t="inlineStr">
        <is>
          <t>Learned model; shadow-qualified via operator override.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mlb-sf</t>
        </is>
      </c>
      <c r="AQ57" s="24" t="inlineStr">
        <is>
          <t>San Francisco Giants</t>
        </is>
      </c>
      <c r="AR57" s="24" t="inlineStr">
        <is>
          <t>San Francisco Giants</t>
        </is>
      </c>
      <c r="AS57" s="24" t="inlineStr">
        <is>
          <t>mlb-sd</t>
        </is>
      </c>
      <c r="AT57" s="24" t="inlineStr">
        <is>
          <t>San Diego Padres</t>
        </is>
      </c>
      <c r="AU57" s="24" t="inlineStr">
        <is>
          <t>San Diego Padres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464eef695bfbbdaa819ec6f5e4c5bd1068ed20b92915fb2677220ae91e20d8b6</t>
        </is>
      </c>
      <c r="BB57" s="24" t="inlineStr">
        <is>
          <t>learned_lr</t>
        </is>
      </c>
      <c r="BC57" s="24" t="inlineStr">
        <is>
          <t>mlb-elo-trend-lr-v7</t>
        </is>
      </c>
      <c r="BD57" s="24" t="inlineStr">
        <is>
          <t>464eef695bfbbdaa819ec6f5e4c5bd1068ed20b92915fb2677220ae91e20d8b6</t>
        </is>
      </c>
      <c r="BE57" s="24" t="inlineStr">
        <is>
          <t>9df16cb5c93b6892</t>
        </is>
      </c>
      <c r="BF57" s="24" t="inlineStr">
        <is>
          <t>1</t>
        </is>
      </c>
      <c r="BG57" s="24" t="inlineStr">
        <is>
          <t>mlb-elo-trend-lr-v7</t>
        </is>
      </c>
      <c r="BH57" s="24" t="inlineStr">
        <is>
          <t>2026-07-31T23:29:22.107755Z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>
        <v>0.577114</v>
      </c>
      <c r="BO57" s="28" t="n"/>
      <c r="BP57" s="25" t="n"/>
      <c r="BQ57" s="27" t="n">
        <v>1.724638</v>
      </c>
      <c r="BR57" s="28" t="n">
        <v>0.58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0.5827558821</t>
        </is>
      </c>
      <c r="CD57" s="24" t="inlineStr">
        <is>
          <t>-1.601104</t>
        </is>
      </c>
      <c r="CE57" s="24" t="inlineStr">
        <is>
          <t>0.945</t>
        </is>
      </c>
      <c r="CF57" s="24" t="inlineStr">
        <is>
          <t>1.0049</t>
        </is>
      </c>
      <c r="CG57" s="24" t="inlineStr">
        <is>
          <t>-0.2</t>
        </is>
      </c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n"/>
    </row>
    <row r="58" ht="36" customHeight="1">
      <c r="A58" s="24" t="inlineStr">
        <is>
          <t>3cc74c950ced43ef</t>
        </is>
      </c>
      <c r="B58" s="24" t="inlineStr">
        <is>
          <t>2026-07-31T23:29:42.171549Z</t>
        </is>
      </c>
      <c r="C58" s="24" t="inlineStr">
        <is>
          <t>2026-07-31T22:10:00-0400</t>
        </is>
      </c>
      <c r="D58" s="24" t="inlineStr">
        <is>
          <t>401816342</t>
        </is>
      </c>
      <c r="E58" s="24" t="inlineStr">
        <is>
          <t>MLB</t>
        </is>
      </c>
      <c r="F58" s="24" t="inlineStr">
        <is>
          <t>Boston Red Sox</t>
        </is>
      </c>
      <c r="G58" s="24" t="inlineStr">
        <is>
          <t>Los Angeles Dodgers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polymarket_us</t>
        </is>
      </c>
      <c r="L58" s="26" t="n">
        <v>-125</v>
      </c>
      <c r="M58" s="27" t="n">
        <v>1.8</v>
      </c>
      <c r="N58" s="28" t="n">
        <v>0.555556</v>
      </c>
      <c r="O58" s="28" t="n">
        <v>0.564527</v>
      </c>
      <c r="P58" s="28" t="n"/>
      <c r="Q58" s="28" t="n">
        <v>0.008971</v>
      </c>
      <c r="R58" s="26" t="n">
        <v>26</v>
      </c>
      <c r="S58" s="29" t="n">
        <v>1</v>
      </c>
      <c r="T58" s="24" t="inlineStr">
        <is>
          <t>mlb-elo-trend-lr-v7</t>
        </is>
      </c>
      <c r="U58" s="24" t="inlineStr">
        <is>
          <t>settled</t>
        </is>
      </c>
      <c r="V58" s="24" t="inlineStr">
        <is>
          <t>loss</t>
        </is>
      </c>
      <c r="W58" s="26" t="n">
        <v>9</v>
      </c>
      <c r="X58" s="26" t="n">
        <v>4</v>
      </c>
      <c r="Y58" s="25" t="n"/>
      <c r="Z58" s="26" t="n">
        <v>-125</v>
      </c>
      <c r="AA58" s="28" t="n">
        <v>0.555</v>
      </c>
      <c r="AB58" s="28" t="n">
        <v>-0.000556</v>
      </c>
      <c r="AC58" s="30" t="n">
        <v>-1</v>
      </c>
      <c r="AD58" s="24" t="inlineStr">
        <is>
          <t>2026-08-01T05:33:41.816447Z</t>
        </is>
      </c>
      <c r="AE58" s="31" t="inlineStr">
        <is>
          <t>Learned LR call at threshold 0.6242; executable ask 0.5550 (aec-mlb-bos-lad-2026-07-31); model edge vs ask +0.0095.</t>
        </is>
      </c>
      <c r="AF58" s="31" t="inlineStr">
        <is>
          <t>Learned model; shadow-qualified via operator override.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mlb-bos</t>
        </is>
      </c>
      <c r="AQ58" s="24" t="inlineStr">
        <is>
          <t>Boston Red Sox</t>
        </is>
      </c>
      <c r="AR58" s="24" t="inlineStr">
        <is>
          <t>Boston Red Sox</t>
        </is>
      </c>
      <c r="AS58" s="24" t="inlineStr">
        <is>
          <t>mlb-lad</t>
        </is>
      </c>
      <c r="AT58" s="24" t="inlineStr">
        <is>
          <t>Los Angeles Dodgers</t>
        </is>
      </c>
      <c r="AU58" s="24" t="inlineStr">
        <is>
          <t>Los Angeles Dodgers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464eef695bfbbdaa819ec6f5e4c5bd1068ed20b92915fb2677220ae91e20d8b6</t>
        </is>
      </c>
      <c r="BB58" s="24" t="inlineStr">
        <is>
          <t>learned_lr</t>
        </is>
      </c>
      <c r="BC58" s="24" t="inlineStr">
        <is>
          <t>mlb-elo-trend-lr-v7</t>
        </is>
      </c>
      <c r="BD58" s="24" t="inlineStr">
        <is>
          <t>464eef695bfbbdaa819ec6f5e4c5bd1068ed20b92915fb2677220ae91e20d8b6</t>
        </is>
      </c>
      <c r="BE58" s="24" t="inlineStr">
        <is>
          <t>eadca7460f5bd810</t>
        </is>
      </c>
      <c r="BF58" s="24" t="inlineStr">
        <is>
          <t>1</t>
        </is>
      </c>
      <c r="BG58" s="24" t="inlineStr">
        <is>
          <t>mlb-elo-trend-lr-v7</t>
        </is>
      </c>
      <c r="BH58" s="24" t="inlineStr">
        <is>
          <t>2026-07-31T23:29:23.984993Z</t>
        </is>
      </c>
      <c r="BI58" s="24" t="inlineStr">
        <is>
          <t>["same_event","same_team_same_day","same_league_same_day"]</t>
        </is>
      </c>
      <c r="BJ58" s="25" t="n"/>
      <c r="BK58" s="26" t="n">
        <v>-125</v>
      </c>
      <c r="BL58" s="27" t="n">
        <v>1.8</v>
      </c>
      <c r="BM58" s="28" t="n">
        <v>0.555556</v>
      </c>
      <c r="BN58" s="28" t="n">
        <v>0.552239</v>
      </c>
      <c r="BO58" s="28" t="n"/>
      <c r="BP58" s="25" t="n"/>
      <c r="BQ58" s="27" t="n">
        <v>1.8</v>
      </c>
      <c r="BR58" s="28" t="n">
        <v>0.555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inlineStr">
        <is>
          <t>0.5626775445</t>
        </is>
      </c>
      <c r="CD58" s="24" t="inlineStr">
        <is>
          <t>0.365039</t>
        </is>
      </c>
      <c r="CE58" s="24" t="inlineStr">
        <is>
          <t>1.026</t>
        </is>
      </c>
      <c r="CF58" s="24" t="inlineStr">
        <is>
          <t>1.0057</t>
        </is>
      </c>
      <c r="CG58" s="24" t="inlineStr">
        <is>
          <t>2.2</t>
        </is>
      </c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n"/>
    </row>
    <row r="59" ht="36" customHeight="1">
      <c r="A59" s="24" t="inlineStr">
        <is>
          <t>f094a2aadd8b4718</t>
        </is>
      </c>
      <c r="B59" s="24" t="inlineStr">
        <is>
          <t>2026-07-31T23:29:42.171549Z</t>
        </is>
      </c>
      <c r="C59" s="24" t="inlineStr">
        <is>
          <t>2026-07-31T22:10:00-0400</t>
        </is>
      </c>
      <c r="D59" s="24" t="inlineStr">
        <is>
          <t>401816345</t>
        </is>
      </c>
      <c r="E59" s="24" t="inlineStr">
        <is>
          <t>MLB</t>
        </is>
      </c>
      <c r="F59" s="24" t="inlineStr">
        <is>
          <t>Minnesota Twins</t>
        </is>
      </c>
      <c r="G59" s="24" t="inlineStr">
        <is>
          <t>Seattle Mariners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-156</v>
      </c>
      <c r="M59" s="27" t="n">
        <v>1.641026</v>
      </c>
      <c r="N59" s="28" t="n">
        <v>0.609375</v>
      </c>
      <c r="O59" s="28" t="n">
        <v>0.5951070000000001</v>
      </c>
      <c r="P59" s="28" t="n"/>
      <c r="Q59" s="28" t="n">
        <v>-0.014268</v>
      </c>
      <c r="R59" s="26" t="n">
        <v>14</v>
      </c>
      <c r="S59" s="29" t="n">
        <v>1.25</v>
      </c>
      <c r="T59" s="24" t="inlineStr">
        <is>
          <t>mlb-elo-trend-lr-v7</t>
        </is>
      </c>
      <c r="U59" s="24" t="inlineStr">
        <is>
          <t>settled</t>
        </is>
      </c>
      <c r="V59" s="24" t="inlineStr">
        <is>
          <t>loss</t>
        </is>
      </c>
      <c r="W59" s="26" t="n">
        <v>5</v>
      </c>
      <c r="X59" s="26" t="n">
        <v>3</v>
      </c>
      <c r="Y59" s="25" t="n"/>
      <c r="Z59" s="26" t="n">
        <v>-156</v>
      </c>
      <c r="AA59" s="28" t="n">
        <v>0.61</v>
      </c>
      <c r="AB59" s="28" t="n">
        <v>0.000625</v>
      </c>
      <c r="AC59" s="30" t="n">
        <v>-1.25</v>
      </c>
      <c r="AD59" s="24" t="inlineStr">
        <is>
          <t>2026-08-01T05:33:42.121088Z</t>
        </is>
      </c>
      <c r="AE59" s="31" t="inlineStr">
        <is>
          <t>Learned LR call at threshold 0.6242; executable ask 0.6100 (aec-mlb-min-sea-2026-07-31); model edge vs ask -0.0149.</t>
        </is>
      </c>
      <c r="AF59" s="31" t="inlineStr">
        <is>
          <t>Learned model; shadow-qualified via operator override.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mlb-min</t>
        </is>
      </c>
      <c r="AQ59" s="24" t="inlineStr">
        <is>
          <t>Minnesota Twins</t>
        </is>
      </c>
      <c r="AR59" s="24" t="inlineStr">
        <is>
          <t>Minnesota Twins</t>
        </is>
      </c>
      <c r="AS59" s="24" t="inlineStr">
        <is>
          <t>mlb-sea</t>
        </is>
      </c>
      <c r="AT59" s="24" t="inlineStr">
        <is>
          <t>Seattle Mariners</t>
        </is>
      </c>
      <c r="AU59" s="24" t="inlineStr">
        <is>
          <t>Seattle Mariners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464eef695bfbbdaa819ec6f5e4c5bd1068ed20b92915fb2677220ae91e20d8b6</t>
        </is>
      </c>
      <c r="BB59" s="24" t="inlineStr">
        <is>
          <t>learned_lr</t>
        </is>
      </c>
      <c r="BC59" s="24" t="inlineStr">
        <is>
          <t>mlb-elo-trend-lr-v7</t>
        </is>
      </c>
      <c r="BD59" s="24" t="inlineStr">
        <is>
          <t>464eef695bfbbdaa819ec6f5e4c5bd1068ed20b92915fb2677220ae91e20d8b6</t>
        </is>
      </c>
      <c r="BE59" s="24" t="inlineStr">
        <is>
          <t>883ee144c0c8e904</t>
        </is>
      </c>
      <c r="BF59" s="24" t="inlineStr">
        <is>
          <t>1</t>
        </is>
      </c>
      <c r="BG59" s="24" t="inlineStr">
        <is>
          <t>mlb-elo-trend-lr-v7</t>
        </is>
      </c>
      <c r="BH59" s="24" t="inlineStr">
        <is>
          <t>2026-07-31T23:29:23.070250Z</t>
        </is>
      </c>
      <c r="BI59" s="24" t="inlineStr">
        <is>
          <t>["same_event","same_team_same_day","same_league_same_day"]</t>
        </is>
      </c>
      <c r="BJ59" s="25" t="n"/>
      <c r="BK59" s="26" t="n">
        <v>-156</v>
      </c>
      <c r="BL59" s="27" t="n">
        <v>1.641026</v>
      </c>
      <c r="BM59" s="28" t="n">
        <v>0.609375</v>
      </c>
      <c r="BN59" s="28" t="n">
        <v>0.606965</v>
      </c>
      <c r="BO59" s="28" t="n"/>
      <c r="BP59" s="25" t="n"/>
      <c r="BQ59" s="27" t="n">
        <v>1.641026</v>
      </c>
      <c r="BR59" s="28" t="n">
        <v>0.61</v>
      </c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inlineStr">
        <is>
          <t>0.5861386615</t>
        </is>
      </c>
      <c r="CD59" s="24" t="inlineStr">
        <is>
          <t>1.241555</t>
        </is>
      </c>
      <c r="CE59" s="24" t="inlineStr">
        <is>
          <t>0.936</t>
        </is>
      </c>
      <c r="CF59" s="24" t="inlineStr">
        <is>
          <t>1</t>
        </is>
      </c>
      <c r="CG59" s="24" t="inlineStr">
        <is>
          <t>1.4</t>
        </is>
      </c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n"/>
    </row>
    <row r="60" ht="36" customHeight="1">
      <c r="A60" s="24" t="inlineStr">
        <is>
          <t>bcf76e7710a04234</t>
        </is>
      </c>
      <c r="B60" s="24" t="inlineStr">
        <is>
          <t>2026-07-31T23:29:57.351792Z</t>
        </is>
      </c>
      <c r="C60" s="24" t="inlineStr">
        <is>
          <t>2026-08-01T00:15Z</t>
        </is>
      </c>
      <c r="D60" s="24" t="inlineStr">
        <is>
          <t>401816340</t>
        </is>
      </c>
      <c r="E60" s="24" t="inlineStr">
        <is>
          <t>MLB</t>
        </is>
      </c>
      <c r="F60" s="24" t="inlineStr">
        <is>
          <t>Texas Rangers</t>
        </is>
      </c>
      <c r="G60" s="24" t="inlineStr">
        <is>
          <t>Houston Astros</t>
        </is>
      </c>
      <c r="H60" s="24" t="inlineStr">
        <is>
          <t>spread</t>
        </is>
      </c>
      <c r="I60" s="24" t="inlineStr">
        <is>
          <t>away</t>
        </is>
      </c>
      <c r="J60" s="25" t="n">
        <v>1.5</v>
      </c>
      <c r="K60" s="24" t="inlineStr">
        <is>
          <t>polymarket_us</t>
        </is>
      </c>
      <c r="L60" s="26" t="n">
        <v>-186</v>
      </c>
      <c r="M60" s="27" t="n">
        <v>1.537634</v>
      </c>
      <c r="N60" s="28" t="n">
        <v>0.65035</v>
      </c>
      <c r="O60" s="28" t="n">
        <v>0.554007</v>
      </c>
      <c r="P60" s="28" t="n">
        <v>0.05172</v>
      </c>
      <c r="Q60" s="28" t="n">
        <v>-0.096343</v>
      </c>
      <c r="R60" s="26" t="n">
        <v>0</v>
      </c>
      <c r="S60" s="29" t="n">
        <v>1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loss</t>
        </is>
      </c>
      <c r="W60" s="26" t="n">
        <v>2</v>
      </c>
      <c r="X60" s="26" t="n">
        <v>11</v>
      </c>
      <c r="Y60" s="25" t="n">
        <v>1.5</v>
      </c>
      <c r="Z60" s="26" t="n">
        <v>-186</v>
      </c>
      <c r="AA60" s="28" t="n">
        <v>0.65</v>
      </c>
      <c r="AB60" s="28" t="n">
        <v>-0.00035</v>
      </c>
      <c r="AC60" s="30" t="n">
        <v>-1</v>
      </c>
      <c r="AD60" s="24" t="inlineStr">
        <is>
          <t>2026-08-01T05:33:42.415820Z</t>
        </is>
      </c>
      <c r="AE60" s="31" t="inlineStr">
        <is>
          <t>Measured Edge Margin: Trend Engine projected 4.51-4.59; raw selected-side p=0.6636, calibrated p=0.5540.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mlb-tex</t>
        </is>
      </c>
      <c r="AQ60" s="24" t="inlineStr">
        <is>
          <t>Texas Rangers</t>
        </is>
      </c>
      <c r="AR60" s="24" t="inlineStr">
        <is>
          <t>Texas Rangers</t>
        </is>
      </c>
      <c r="AS60" s="24" t="inlineStr">
        <is>
          <t>mlb-hou</t>
        </is>
      </c>
      <c r="AT60" s="24" t="inlineStr">
        <is>
          <t>Houston Astros</t>
        </is>
      </c>
      <c r="AU60" s="24" t="inlineStr">
        <is>
          <t>Houston Astros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2bc2ce55b0d39a20103f724bbddbde5394909acd49297f52665b596a0ae3ae8b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2bc2ce55b0d39a20103f724bbddbde5394909acd49297f52665b596a0ae3ae8b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2026-07-31T23:29:57.351792Z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-186</v>
      </c>
      <c r="BL60" s="27" t="n">
        <v>1.537634</v>
      </c>
      <c r="BM60" s="28" t="n">
        <v>0.65035</v>
      </c>
      <c r="BN60" s="28" t="n">
        <v>0.646766</v>
      </c>
      <c r="BO60" s="28" t="n"/>
      <c r="BP60" s="25" t="n"/>
      <c r="BQ60" s="27" t="n">
        <v>1.537634</v>
      </c>
      <c r="BR60" s="28" t="n">
        <v>0.65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n"/>
    </row>
    <row r="61" ht="36" customHeight="1">
      <c r="A61" s="24" t="inlineStr">
        <is>
          <t>c4e37775a1054297</t>
        </is>
      </c>
      <c r="B61" s="24" t="inlineStr">
        <is>
          <t>2026-07-31T23:29:57.351792Z</t>
        </is>
      </c>
      <c r="C61" s="24" t="inlineStr">
        <is>
          <t>2026-08-01T00:15Z</t>
        </is>
      </c>
      <c r="D61" s="24" t="inlineStr">
        <is>
          <t>401816340</t>
        </is>
      </c>
      <c r="E61" s="24" t="inlineStr">
        <is>
          <t>MLB</t>
        </is>
      </c>
      <c r="F61" s="24" t="inlineStr">
        <is>
          <t>Texas Rangers</t>
        </is>
      </c>
      <c r="G61" s="24" t="inlineStr">
        <is>
          <t>Houston Astros</t>
        </is>
      </c>
      <c r="H61" s="24" t="inlineStr">
        <is>
          <t>total</t>
        </is>
      </c>
      <c r="I61" s="24" t="inlineStr">
        <is>
          <t>over</t>
        </is>
      </c>
      <c r="J61" s="25" t="n">
        <v>7.5</v>
      </c>
      <c r="K61" s="24" t="inlineStr">
        <is>
          <t>polymarket_us</t>
        </is>
      </c>
      <c r="L61" s="26" t="n">
        <v>100</v>
      </c>
      <c r="M61" s="27" t="n">
        <v>2</v>
      </c>
      <c r="N61" s="28" t="n">
        <v>0.5</v>
      </c>
      <c r="O61" s="28" t="n">
        <v>0.585683</v>
      </c>
      <c r="P61" s="28" t="n">
        <v>0.05172</v>
      </c>
      <c r="Q61" s="28" t="n">
        <v>0.085683</v>
      </c>
      <c r="R61" s="26" t="n">
        <v>62</v>
      </c>
      <c r="S61" s="29" t="n">
        <v>1.25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win</t>
        </is>
      </c>
      <c r="W61" s="26" t="n">
        <v>2</v>
      </c>
      <c r="X61" s="26" t="n">
        <v>11</v>
      </c>
      <c r="Y61" s="25" t="n">
        <v>7.5</v>
      </c>
      <c r="Z61" s="26" t="n">
        <v>100</v>
      </c>
      <c r="AA61" s="28" t="n">
        <v>0.5</v>
      </c>
      <c r="AB61" s="28" t="n">
        <v>0</v>
      </c>
      <c r="AC61" s="30" t="n">
        <v>1.25</v>
      </c>
      <c r="AD61" s="24" t="inlineStr">
        <is>
          <t>2026-08-01T05:33:42.712220Z</t>
        </is>
      </c>
      <c r="AE61" s="31" t="inlineStr">
        <is>
          <t>Measured Edge Totals: Trend Engine projected 4.51-4.59; raw selected-side p=0.6042, calibrated p=0.5857.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mlb-tex</t>
        </is>
      </c>
      <c r="AQ61" s="24" t="inlineStr">
        <is>
          <t>Texas Rangers</t>
        </is>
      </c>
      <c r="AR61" s="24" t="inlineStr">
        <is>
          <t>Texas Rangers</t>
        </is>
      </c>
      <c r="AS61" s="24" t="inlineStr">
        <is>
          <t>mlb-hou</t>
        </is>
      </c>
      <c r="AT61" s="24" t="inlineStr">
        <is>
          <t>Houston Astros</t>
        </is>
      </c>
      <c r="AU61" s="24" t="inlineStr">
        <is>
          <t>Houston Astros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cbc2c9bf5a9569a49e1902c816d96556d704cf10819ca3a9e927721685757d0b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cbc2c9bf5a9569a49e1902c816d96556d704cf10819ca3a9e927721685757d0b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2026-07-31T23:29:57.351792Z</t>
        </is>
      </c>
      <c r="BI61" s="24" t="inlineStr">
        <is>
          <t>["same_event","same_team_same_day","same_league_same_day"]</t>
        </is>
      </c>
      <c r="BJ61" s="25" t="n">
        <v>7.5</v>
      </c>
      <c r="BK61" s="26" t="n">
        <v>100</v>
      </c>
      <c r="BL61" s="27" t="n">
        <v>2</v>
      </c>
      <c r="BM61" s="28" t="n">
        <v>0.5</v>
      </c>
      <c r="BN61" s="28" t="n">
        <v>0.497512</v>
      </c>
      <c r="BO61" s="28" t="n"/>
      <c r="BP61" s="25" t="n"/>
      <c r="BQ61" s="27" t="n">
        <v>2</v>
      </c>
      <c r="BR61" s="28" t="n">
        <v>0.5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n"/>
    </row>
    <row r="62" ht="36" customHeight="1">
      <c r="A62" s="24" t="inlineStr">
        <is>
          <t>d1c24f4002f14130</t>
        </is>
      </c>
      <c r="B62" s="24" t="inlineStr">
        <is>
          <t>2026-07-31T23:29:57.351792Z</t>
        </is>
      </c>
      <c r="C62" s="24" t="inlineStr">
        <is>
          <t>2026-08-01T00:40Z</t>
        </is>
      </c>
      <c r="D62" s="24" t="inlineStr">
        <is>
          <t>401816341</t>
        </is>
      </c>
      <c r="E62" s="24" t="inlineStr">
        <is>
          <t>MLB</t>
        </is>
      </c>
      <c r="F62" s="24" t="inlineStr">
        <is>
          <t>Kansas City Royals</t>
        </is>
      </c>
      <c r="G62" s="24" t="inlineStr">
        <is>
          <t>Colorado Rockies</t>
        </is>
      </c>
      <c r="H62" s="24" t="inlineStr">
        <is>
          <t>spread</t>
        </is>
      </c>
      <c r="I62" s="24" t="inlineStr">
        <is>
          <t>home</t>
        </is>
      </c>
      <c r="J62" s="25" t="n">
        <v>1.5</v>
      </c>
      <c r="K62" s="24" t="inlineStr">
        <is>
          <t>polymarket_us</t>
        </is>
      </c>
      <c r="L62" s="26" t="n">
        <v>-147</v>
      </c>
      <c r="M62" s="27" t="n">
        <v>1.680272</v>
      </c>
      <c r="N62" s="28" t="n">
        <v>0.5951419999999999</v>
      </c>
      <c r="O62" s="28" t="n">
        <v>0.553329</v>
      </c>
      <c r="P62" s="28" t="n">
        <v>0.042131</v>
      </c>
      <c r="Q62" s="28" t="n">
        <v>-0.041813</v>
      </c>
      <c r="R62" s="26" t="n">
        <v>4</v>
      </c>
      <c r="S62" s="29" t="n">
        <v>1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1</v>
      </c>
      <c r="X62" s="26" t="n">
        <v>3</v>
      </c>
      <c r="Y62" s="25" t="n">
        <v>1.5</v>
      </c>
      <c r="Z62" s="26" t="n">
        <v>-147</v>
      </c>
      <c r="AA62" s="28" t="n">
        <v>0.595</v>
      </c>
      <c r="AB62" s="28" t="n">
        <v>-0.000142</v>
      </c>
      <c r="AC62" s="30" t="n">
        <v>0.6803</v>
      </c>
      <c r="AD62" s="24" t="inlineStr">
        <is>
          <t>2026-08-01T05:33:43.009062Z</t>
        </is>
      </c>
      <c r="AE62" s="31" t="inlineStr">
        <is>
          <t>Measured Edge Margin: Trend Engine projected 4.93-4.90; raw selected-side p=0.6602, calibrated p=0.5533.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mlb-kc</t>
        </is>
      </c>
      <c r="AQ62" s="24" t="inlineStr">
        <is>
          <t>Kansas City Royals</t>
        </is>
      </c>
      <c r="AR62" s="24" t="inlineStr">
        <is>
          <t>Kansas City Royals</t>
        </is>
      </c>
      <c r="AS62" s="24" t="inlineStr">
        <is>
          <t>mlb-col</t>
        </is>
      </c>
      <c r="AT62" s="24" t="inlineStr">
        <is>
          <t>Colorado Rockies</t>
        </is>
      </c>
      <c r="AU62" s="24" t="inlineStr">
        <is>
          <t>Colorado Rockies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2bc2ce55b0d39a20103f724bbddbde5394909acd49297f52665b596a0ae3ae8b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2bc2ce55b0d39a20103f724bbddbde5394909acd49297f52665b596a0ae3ae8b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2026-07-31T23:29:57.351792Z</t>
        </is>
      </c>
      <c r="BI62" s="24" t="inlineStr">
        <is>
          <t>["same_event","same_team_same_day","same_league_same_day"]</t>
        </is>
      </c>
      <c r="BJ62" s="25" t="n">
        <v>1.5</v>
      </c>
      <c r="BK62" s="26" t="n">
        <v>-147</v>
      </c>
      <c r="BL62" s="27" t="n">
        <v>1.680272</v>
      </c>
      <c r="BM62" s="28" t="n">
        <v>0.5951419999999999</v>
      </c>
      <c r="BN62" s="28" t="n">
        <v>0.59204</v>
      </c>
      <c r="BO62" s="28" t="n"/>
      <c r="BP62" s="25" t="n"/>
      <c r="BQ62" s="27" t="n">
        <v>1.680272</v>
      </c>
      <c r="BR62" s="28" t="n">
        <v>0.595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n"/>
    </row>
    <row r="63" ht="36" customHeight="1">
      <c r="A63" s="24" t="inlineStr">
        <is>
          <t>badc73ee4f424f71</t>
        </is>
      </c>
      <c r="B63" s="24" t="inlineStr">
        <is>
          <t>2026-07-31T23:29:57.351792Z</t>
        </is>
      </c>
      <c r="C63" s="24" t="inlineStr">
        <is>
          <t>2026-08-01T00:40Z</t>
        </is>
      </c>
      <c r="D63" s="24" t="inlineStr">
        <is>
          <t>401816341</t>
        </is>
      </c>
      <c r="E63" s="24" t="inlineStr">
        <is>
          <t>MLB</t>
        </is>
      </c>
      <c r="F63" s="24" t="inlineStr">
        <is>
          <t>Kansas City Royals</t>
        </is>
      </c>
      <c r="G63" s="24" t="inlineStr">
        <is>
          <t>Colorado Rockies</t>
        </is>
      </c>
      <c r="H63" s="24" t="inlineStr">
        <is>
          <t>total</t>
        </is>
      </c>
      <c r="I63" s="24" t="inlineStr">
        <is>
          <t>under</t>
        </is>
      </c>
      <c r="J63" s="25" t="n">
        <v>10.5</v>
      </c>
      <c r="K63" s="24" t="inlineStr">
        <is>
          <t>polymarket_us</t>
        </is>
      </c>
      <c r="L63" s="26" t="n">
        <v>120</v>
      </c>
      <c r="M63" s="27" t="n">
        <v>2.2</v>
      </c>
      <c r="N63" s="28" t="n">
        <v>0.454545</v>
      </c>
      <c r="O63" s="28" t="n">
        <v>0.577777</v>
      </c>
      <c r="P63" s="28" t="n">
        <v>0.042131</v>
      </c>
      <c r="Q63" s="28" t="n">
        <v>0.123232</v>
      </c>
      <c r="R63" s="26" t="n">
        <v>86</v>
      </c>
      <c r="S63" s="29" t="n">
        <v>1.25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1</v>
      </c>
      <c r="X63" s="26" t="n">
        <v>3</v>
      </c>
      <c r="Y63" s="25" t="n">
        <v>10.5</v>
      </c>
      <c r="Z63" s="26" t="n">
        <v>120</v>
      </c>
      <c r="AA63" s="28" t="n">
        <v>0.455</v>
      </c>
      <c r="AB63" s="28" t="n">
        <v>0.000455</v>
      </c>
      <c r="AC63" s="30" t="n">
        <v>1.5</v>
      </c>
      <c r="AD63" s="24" t="inlineStr">
        <is>
          <t>2026-08-01T05:33:43.302748Z</t>
        </is>
      </c>
      <c r="AE63" s="31" t="inlineStr">
        <is>
          <t>Measured Edge Totals: Trend Engine projected 4.93-4.90; raw selected-side p=0.5961, calibrated p=0.5778.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mlb-kc</t>
        </is>
      </c>
      <c r="AQ63" s="24" t="inlineStr">
        <is>
          <t>Kansas City Royals</t>
        </is>
      </c>
      <c r="AR63" s="24" t="inlineStr">
        <is>
          <t>Kansas City Royals</t>
        </is>
      </c>
      <c r="AS63" s="24" t="inlineStr">
        <is>
          <t>mlb-col</t>
        </is>
      </c>
      <c r="AT63" s="24" t="inlineStr">
        <is>
          <t>Colorado Rockies</t>
        </is>
      </c>
      <c r="AU63" s="24" t="inlineStr">
        <is>
          <t>Colorado Rockies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cbc2c9bf5a9569a49e1902c816d96556d704cf10819ca3a9e927721685757d0b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cbc2c9bf5a9569a49e1902c816d96556d704cf10819ca3a9e927721685757d0b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2026-07-31T23:29:57.351792Z</t>
        </is>
      </c>
      <c r="BI63" s="24" t="inlineStr">
        <is>
          <t>["same_event","same_team_same_day","same_league_same_day"]</t>
        </is>
      </c>
      <c r="BJ63" s="25" t="n">
        <v>10.5</v>
      </c>
      <c r="BK63" s="26" t="n">
        <v>120</v>
      </c>
      <c r="BL63" s="27" t="n">
        <v>2.2</v>
      </c>
      <c r="BM63" s="28" t="n">
        <v>0.454545</v>
      </c>
      <c r="BN63" s="28" t="n">
        <v>0.452736</v>
      </c>
      <c r="BO63" s="28" t="n"/>
      <c r="BP63" s="25" t="n"/>
      <c r="BQ63" s="27" t="n">
        <v>2.2</v>
      </c>
      <c r="BR63" s="28" t="n">
        <v>0.455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n"/>
    </row>
    <row r="64" ht="36" customHeight="1">
      <c r="A64" s="24" t="inlineStr">
        <is>
          <t>0cd03f9c80a4493d</t>
        </is>
      </c>
      <c r="B64" s="24" t="inlineStr">
        <is>
          <t>2026-07-31T23:29:57.351792Z</t>
        </is>
      </c>
      <c r="C64" s="24" t="inlineStr">
        <is>
          <t>2026-08-01T01:38Z</t>
        </is>
      </c>
      <c r="D64" s="24" t="inlineStr">
        <is>
          <t>401816344</t>
        </is>
      </c>
      <c r="E64" s="24" t="inlineStr">
        <is>
          <t>MLB</t>
        </is>
      </c>
      <c r="F64" s="24" t="inlineStr">
        <is>
          <t>Milwaukee Brewers</t>
        </is>
      </c>
      <c r="G64" s="24" t="inlineStr">
        <is>
          <t>Los Angeles Angels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-102</v>
      </c>
      <c r="M64" s="27" t="n">
        <v>1.980392</v>
      </c>
      <c r="N64" s="28" t="n">
        <v>0.50495</v>
      </c>
      <c r="O64" s="28" t="n">
        <v>0.549557</v>
      </c>
      <c r="P64" s="28" t="n">
        <v>0.042131</v>
      </c>
      <c r="Q64" s="28" t="n">
        <v>0.044607</v>
      </c>
      <c r="R64" s="26" t="n">
        <v>47</v>
      </c>
      <c r="S64" s="29" t="n">
        <v>1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6</v>
      </c>
      <c r="X64" s="26" t="n">
        <v>2</v>
      </c>
      <c r="Y64" s="25" t="n">
        <v>1.5</v>
      </c>
      <c r="Z64" s="26" t="n">
        <v>-102</v>
      </c>
      <c r="AA64" s="28" t="n">
        <v>0.505</v>
      </c>
      <c r="AB64" s="28" t="n">
        <v>5e-05</v>
      </c>
      <c r="AC64" s="30" t="n">
        <v>-1</v>
      </c>
      <c r="AD64" s="24" t="inlineStr">
        <is>
          <t>2026-08-01T05:33:43.643410Z</t>
        </is>
      </c>
      <c r="AE64" s="31" t="inlineStr">
        <is>
          <t>Measured Edge Margin: Trend Engine projected 4.91-4.65; raw selected-side p=0.6410, calibrated p=0.5496.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mlb-mil</t>
        </is>
      </c>
      <c r="AQ64" s="24" t="inlineStr">
        <is>
          <t>Milwaukee Brewers</t>
        </is>
      </c>
      <c r="AR64" s="24" t="inlineStr">
        <is>
          <t>Milwaukee Brewers</t>
        </is>
      </c>
      <c r="AS64" s="24" t="inlineStr">
        <is>
          <t>mlb-laa</t>
        </is>
      </c>
      <c r="AT64" s="24" t="inlineStr">
        <is>
          <t>Los Angeles Angels</t>
        </is>
      </c>
      <c r="AU64" s="24" t="inlineStr">
        <is>
          <t>Los Angeles Angels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2bc2ce55b0d39a20103f724bbddbde5394909acd49297f52665b596a0ae3ae8b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2bc2ce55b0d39a20103f724bbddbde5394909acd49297f52665b596a0ae3ae8b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2026-07-31T23:29:57.351792Z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-102</v>
      </c>
      <c r="BL64" s="27" t="n">
        <v>1.980392</v>
      </c>
      <c r="BM64" s="28" t="n">
        <v>0.50495</v>
      </c>
      <c r="BN64" s="28" t="n">
        <v>0.502488</v>
      </c>
      <c r="BO64" s="28" t="n"/>
      <c r="BP64" s="25" t="n"/>
      <c r="BQ64" s="27" t="n">
        <v>1.980392</v>
      </c>
      <c r="BR64" s="28" t="n">
        <v>0.505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n"/>
    </row>
    <row r="65" ht="36" customHeight="1">
      <c r="A65" s="24" t="inlineStr">
        <is>
          <t>c6610733e3444d69</t>
        </is>
      </c>
      <c r="B65" s="24" t="inlineStr">
        <is>
          <t>2026-07-31T23:29:57.351792Z</t>
        </is>
      </c>
      <c r="C65" s="24" t="inlineStr">
        <is>
          <t>2026-08-01T01:38Z</t>
        </is>
      </c>
      <c r="D65" s="24" t="inlineStr">
        <is>
          <t>401816344</t>
        </is>
      </c>
      <c r="E65" s="24" t="inlineStr">
        <is>
          <t>MLB</t>
        </is>
      </c>
      <c r="F65" s="24" t="inlineStr">
        <is>
          <t>Milwaukee Brewers</t>
        </is>
      </c>
      <c r="G65" s="24" t="inlineStr">
        <is>
          <t>Los Angeles Angels</t>
        </is>
      </c>
      <c r="H65" s="24" t="inlineStr">
        <is>
          <t>total</t>
        </is>
      </c>
      <c r="I65" s="24" t="inlineStr">
        <is>
          <t>over</t>
        </is>
      </c>
      <c r="J65" s="25" t="n">
        <v>8.5</v>
      </c>
      <c r="K65" s="24" t="inlineStr">
        <is>
          <t>polymarket_us</t>
        </is>
      </c>
      <c r="L65" s="26" t="n">
        <v>-120</v>
      </c>
      <c r="M65" s="27" t="n">
        <v>1.833333</v>
      </c>
      <c r="N65" s="28" t="n">
        <v>0.545455</v>
      </c>
      <c r="O65" s="28" t="n">
        <v>0.543969</v>
      </c>
      <c r="P65" s="28" t="n">
        <v>0.042131</v>
      </c>
      <c r="Q65" s="28" t="n">
        <v>-0.001486</v>
      </c>
      <c r="R65" s="26" t="n">
        <v>24</v>
      </c>
      <c r="S65" s="29" t="n">
        <v>1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loss</t>
        </is>
      </c>
      <c r="W65" s="26" t="n">
        <v>6</v>
      </c>
      <c r="X65" s="26" t="n">
        <v>2</v>
      </c>
      <c r="Y65" s="25" t="n">
        <v>8.5</v>
      </c>
      <c r="Z65" s="26" t="n">
        <v>-120</v>
      </c>
      <c r="AA65" s="28" t="n">
        <v>0.545</v>
      </c>
      <c r="AB65" s="28" t="n">
        <v>-0.000455</v>
      </c>
      <c r="AC65" s="30" t="n">
        <v>-1</v>
      </c>
      <c r="AD65" s="24" t="inlineStr">
        <is>
          <t>2026-08-01T05:33:43.942073Z</t>
        </is>
      </c>
      <c r="AE65" s="31" t="inlineStr">
        <is>
          <t>Measured Edge Totals: Trend Engine projected 4.91-4.65; raw selected-side p=0.5613, calibrated p=0.5440.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mlb-mil</t>
        </is>
      </c>
      <c r="AQ65" s="24" t="inlineStr">
        <is>
          <t>Milwaukee Brewers</t>
        </is>
      </c>
      <c r="AR65" s="24" t="inlineStr">
        <is>
          <t>Milwaukee Brewers</t>
        </is>
      </c>
      <c r="AS65" s="24" t="inlineStr">
        <is>
          <t>mlb-laa</t>
        </is>
      </c>
      <c r="AT65" s="24" t="inlineStr">
        <is>
          <t>Los Angeles Angels</t>
        </is>
      </c>
      <c r="AU65" s="24" t="inlineStr">
        <is>
          <t>Los Angeles Angels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cbc2c9bf5a9569a49e1902c816d96556d704cf10819ca3a9e927721685757d0b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cbc2c9bf5a9569a49e1902c816d96556d704cf10819ca3a9e927721685757d0b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2026-07-31T23:29:57.351792Z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-120</v>
      </c>
      <c r="BL65" s="27" t="n">
        <v>1.833333</v>
      </c>
      <c r="BM65" s="28" t="n">
        <v>0.545455</v>
      </c>
      <c r="BN65" s="28" t="n">
        <v>0.542289</v>
      </c>
      <c r="BO65" s="28" t="n"/>
      <c r="BP65" s="25" t="n"/>
      <c r="BQ65" s="27" t="n">
        <v>1.833333</v>
      </c>
      <c r="BR65" s="28" t="n">
        <v>0.545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n"/>
    </row>
    <row r="66" ht="36" customHeight="1">
      <c r="A66" s="24" t="inlineStr">
        <is>
          <t>1daf7c1b3a3f48da</t>
        </is>
      </c>
      <c r="B66" s="24" t="inlineStr">
        <is>
          <t>2026-07-31T23:29:57.351792Z</t>
        </is>
      </c>
      <c r="C66" s="24" t="inlineStr">
        <is>
          <t>2026-08-01T01:40Z</t>
        </is>
      </c>
      <c r="D66" s="24" t="inlineStr">
        <is>
          <t>401816343</t>
        </is>
      </c>
      <c r="E66" s="24" t="inlineStr">
        <is>
          <t>MLB</t>
        </is>
      </c>
      <c r="F66" s="24" t="inlineStr">
        <is>
          <t>Detroit Tigers</t>
        </is>
      </c>
      <c r="G66" s="24" t="inlineStr">
        <is>
          <t>Athletics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-117</v>
      </c>
      <c r="M66" s="27" t="n">
        <v>1.854701</v>
      </c>
      <c r="N66" s="28" t="n">
        <v>0.539171</v>
      </c>
      <c r="O66" s="28" t="n">
        <v>0.541755</v>
      </c>
      <c r="P66" s="28" t="n">
        <v>0.042131</v>
      </c>
      <c r="Q66" s="28" t="n">
        <v>0.002584</v>
      </c>
      <c r="R66" s="26" t="n">
        <v>26</v>
      </c>
      <c r="S66" s="29" t="n">
        <v>1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13</v>
      </c>
      <c r="X66" s="26" t="n">
        <v>1</v>
      </c>
      <c r="Y66" s="25" t="n">
        <v>1.5</v>
      </c>
      <c r="Z66" s="26" t="n">
        <v>-117</v>
      </c>
      <c r="AA66" s="28" t="n">
        <v>0.54</v>
      </c>
      <c r="AB66" s="28" t="n">
        <v>0.000829</v>
      </c>
      <c r="AC66" s="30" t="n">
        <v>-1</v>
      </c>
      <c r="AD66" s="24" t="inlineStr">
        <is>
          <t>2026-08-01T05:33:44.245370Z</t>
        </is>
      </c>
      <c r="AE66" s="31" t="inlineStr">
        <is>
          <t>Measured Edge Margin: Trend Engine projected 5.24-4.63; raw selected-side p=0.6013, calibrated p=0.5418.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mlb-det</t>
        </is>
      </c>
      <c r="AQ66" s="24" t="inlineStr">
        <is>
          <t>Detroit Tigers</t>
        </is>
      </c>
      <c r="AR66" s="24" t="inlineStr">
        <is>
          <t>Detroit Tigers</t>
        </is>
      </c>
      <c r="AS66" s="24" t="inlineStr">
        <is>
          <t>mlb-ath</t>
        </is>
      </c>
      <c r="AT66" s="24" t="inlineStr">
        <is>
          <t>Athletics</t>
        </is>
      </c>
      <c r="AU66" s="24" t="inlineStr">
        <is>
          <t>Athletics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2bc2ce55b0d39a20103f724bbddbde5394909acd49297f52665b596a0ae3ae8b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2bc2ce55b0d39a20103f724bbddbde5394909acd49297f52665b596a0ae3ae8b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2026-07-31T23:29:57.351792Z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-117</v>
      </c>
      <c r="BL66" s="27" t="n">
        <v>1.854701</v>
      </c>
      <c r="BM66" s="28" t="n">
        <v>0.539171</v>
      </c>
      <c r="BN66" s="28" t="n">
        <v>0.537313</v>
      </c>
      <c r="BO66" s="28" t="n"/>
      <c r="BP66" s="25" t="n"/>
      <c r="BQ66" s="27" t="n">
        <v>1.854701</v>
      </c>
      <c r="BR66" s="28" t="n">
        <v>0.54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n"/>
    </row>
    <row r="67" ht="36" customHeight="1">
      <c r="A67" s="24" t="inlineStr">
        <is>
          <t>749fd1bc98e145c0</t>
        </is>
      </c>
      <c r="B67" s="24" t="inlineStr">
        <is>
          <t>2026-07-31T23:29:57.351792Z</t>
        </is>
      </c>
      <c r="C67" s="24" t="inlineStr">
        <is>
          <t>2026-08-01T01:40Z</t>
        </is>
      </c>
      <c r="D67" s="24" t="inlineStr">
        <is>
          <t>401816343</t>
        </is>
      </c>
      <c r="E67" s="24" t="inlineStr">
        <is>
          <t>MLB</t>
        </is>
      </c>
      <c r="F67" s="24" t="inlineStr">
        <is>
          <t>Detroit Tigers</t>
        </is>
      </c>
      <c r="G67" s="24" t="inlineStr">
        <is>
          <t>Athletics</t>
        </is>
      </c>
      <c r="H67" s="24" t="inlineStr">
        <is>
          <t>total</t>
        </is>
      </c>
      <c r="I67" s="24" t="inlineStr">
        <is>
          <t>under</t>
        </is>
      </c>
      <c r="J67" s="25" t="n">
        <v>10.5</v>
      </c>
      <c r="K67" s="24" t="inlineStr">
        <is>
          <t>polymarket_us</t>
        </is>
      </c>
      <c r="L67" s="26" t="n">
        <v>115</v>
      </c>
      <c r="M67" s="27" t="n">
        <v>2.15</v>
      </c>
      <c r="N67" s="28" t="n">
        <v>0.465116</v>
      </c>
      <c r="O67" s="28" t="n">
        <v>0.575933</v>
      </c>
      <c r="P67" s="28" t="n">
        <v>0.042131</v>
      </c>
      <c r="Q67" s="28" t="n">
        <v>0.110817</v>
      </c>
      <c r="R67" s="26" t="n">
        <v>80</v>
      </c>
      <c r="S67" s="29" t="n">
        <v>1.25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13</v>
      </c>
      <c r="X67" s="26" t="n">
        <v>1</v>
      </c>
      <c r="Y67" s="25" t="n">
        <v>10.5</v>
      </c>
      <c r="Z67" s="26" t="n">
        <v>115</v>
      </c>
      <c r="AA67" s="28" t="n">
        <v>0.465</v>
      </c>
      <c r="AB67" s="28" t="n">
        <v>-0.000116</v>
      </c>
      <c r="AC67" s="30" t="n">
        <v>-1.25</v>
      </c>
      <c r="AD67" s="24" t="inlineStr">
        <is>
          <t>2026-08-01T05:33:44.546852Z</t>
        </is>
      </c>
      <c r="AE67" s="31" t="inlineStr">
        <is>
          <t>Measured Edge Totals: Trend Engine projected 5.24-4.63; raw selected-side p=0.5942, calibrated p=0.5759.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mlb-det</t>
        </is>
      </c>
      <c r="AQ67" s="24" t="inlineStr">
        <is>
          <t>Detroit Tigers</t>
        </is>
      </c>
      <c r="AR67" s="24" t="inlineStr">
        <is>
          <t>Detroit Tigers</t>
        </is>
      </c>
      <c r="AS67" s="24" t="inlineStr">
        <is>
          <t>mlb-ath</t>
        </is>
      </c>
      <c r="AT67" s="24" t="inlineStr">
        <is>
          <t>Athletics</t>
        </is>
      </c>
      <c r="AU67" s="24" t="inlineStr">
        <is>
          <t>Athletics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cbc2c9bf5a9569a49e1902c816d96556d704cf10819ca3a9e927721685757d0b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cbc2c9bf5a9569a49e1902c816d96556d704cf10819ca3a9e927721685757d0b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2026-07-31T23:29:57.351792Z</t>
        </is>
      </c>
      <c r="BI67" s="24" t="inlineStr">
        <is>
          <t>["same_event","same_team_same_day","same_league_same_day"]</t>
        </is>
      </c>
      <c r="BJ67" s="25" t="n">
        <v>10.5</v>
      </c>
      <c r="BK67" s="26" t="n">
        <v>115</v>
      </c>
      <c r="BL67" s="27" t="n">
        <v>2.15</v>
      </c>
      <c r="BM67" s="28" t="n">
        <v>0.465116</v>
      </c>
      <c r="BN67" s="28" t="n">
        <v>0.462687</v>
      </c>
      <c r="BO67" s="28" t="n"/>
      <c r="BP67" s="25" t="n"/>
      <c r="BQ67" s="27" t="n">
        <v>2.15</v>
      </c>
      <c r="BR67" s="28" t="n">
        <v>0.465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n"/>
    </row>
    <row r="68" ht="36" customHeight="1">
      <c r="A68" s="24" t="inlineStr">
        <is>
          <t>85aff6219f50457d</t>
        </is>
      </c>
      <c r="B68" s="24" t="inlineStr">
        <is>
          <t>2026-07-31T23:29:57.351792Z</t>
        </is>
      </c>
      <c r="C68" s="24" t="inlineStr">
        <is>
          <t>2026-08-01T01:45Z</t>
        </is>
      </c>
      <c r="D68" s="24" t="inlineStr">
        <is>
          <t>401816346</t>
        </is>
      </c>
      <c r="E68" s="24" t="inlineStr">
        <is>
          <t>MLB</t>
        </is>
      </c>
      <c r="F68" s="24" t="inlineStr">
        <is>
          <t>San Francisco Giants</t>
        </is>
      </c>
      <c r="G68" s="24" t="inlineStr">
        <is>
          <t>San Diego Padres</t>
        </is>
      </c>
      <c r="H68" s="24" t="inlineStr">
        <is>
          <t>spread</t>
        </is>
      </c>
      <c r="I68" s="24" t="inlineStr">
        <is>
          <t>away</t>
        </is>
      </c>
      <c r="J68" s="25" t="n">
        <v>1.5</v>
      </c>
      <c r="K68" s="24" t="inlineStr">
        <is>
          <t>polymarket_us</t>
        </is>
      </c>
      <c r="L68" s="26" t="n">
        <v>-153</v>
      </c>
      <c r="M68" s="27" t="n">
        <v>1.653595</v>
      </c>
      <c r="N68" s="28" t="n">
        <v>0.604743</v>
      </c>
      <c r="O68" s="28" t="n">
        <v>0.547277</v>
      </c>
      <c r="P68" s="28" t="n">
        <v>0.05172</v>
      </c>
      <c r="Q68" s="28" t="n">
        <v>-0.057466</v>
      </c>
      <c r="R68" s="26" t="n">
        <v>0</v>
      </c>
      <c r="S68" s="29" t="n">
        <v>1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7</v>
      </c>
      <c r="Y68" s="25" t="n">
        <v>1.5</v>
      </c>
      <c r="Z68" s="26" t="n">
        <v>-153</v>
      </c>
      <c r="AA68" s="28" t="n">
        <v>0.605</v>
      </c>
      <c r="AB68" s="28" t="n">
        <v>0.000257</v>
      </c>
      <c r="AC68" s="30" t="n">
        <v>-1</v>
      </c>
      <c r="AD68" s="24" t="inlineStr">
        <is>
          <t>2026-08-01T05:33:44.866682Z</t>
        </is>
      </c>
      <c r="AE68" s="31" t="inlineStr">
        <is>
          <t>Measured Edge Margin: Trend Engine projected 4.29-4.73; raw selected-side p=0.6294, calibrated p=0.5473.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mlb-sf</t>
        </is>
      </c>
      <c r="AQ68" s="24" t="inlineStr">
        <is>
          <t>San Francisco Giants</t>
        </is>
      </c>
      <c r="AR68" s="24" t="inlineStr">
        <is>
          <t>San Francisco Giants</t>
        </is>
      </c>
      <c r="AS68" s="24" t="inlineStr">
        <is>
          <t>mlb-sd</t>
        </is>
      </c>
      <c r="AT68" s="24" t="inlineStr">
        <is>
          <t>San Diego Padres</t>
        </is>
      </c>
      <c r="AU68" s="24" t="inlineStr">
        <is>
          <t>San Diego Padres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2bc2ce55b0d39a20103f724bbddbde5394909acd49297f52665b596a0ae3ae8b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2bc2ce55b0d39a20103f724bbddbde5394909acd49297f52665b596a0ae3ae8b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2026-07-31T23:29:57.351792Z</t>
        </is>
      </c>
      <c r="BI68" s="24" t="inlineStr">
        <is>
          <t>["same_event","same_team_same_day","same_league_same_day"]</t>
        </is>
      </c>
      <c r="BJ68" s="25" t="n">
        <v>1.5</v>
      </c>
      <c r="BK68" s="26" t="n">
        <v>-153</v>
      </c>
      <c r="BL68" s="27" t="n">
        <v>1.653595</v>
      </c>
      <c r="BM68" s="28" t="n">
        <v>0.604743</v>
      </c>
      <c r="BN68" s="28" t="n">
        <v>0.60199</v>
      </c>
      <c r="BO68" s="28" t="n"/>
      <c r="BP68" s="25" t="n"/>
      <c r="BQ68" s="27" t="n">
        <v>1.653595</v>
      </c>
      <c r="BR68" s="28" t="n">
        <v>0.605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n"/>
    </row>
    <row r="69" ht="36" customHeight="1">
      <c r="A69" s="24" t="inlineStr">
        <is>
          <t>8f72c0641b3f438a</t>
        </is>
      </c>
      <c r="B69" s="24" t="inlineStr">
        <is>
          <t>2026-07-31T23:29:57.351792Z</t>
        </is>
      </c>
      <c r="C69" s="24" t="inlineStr">
        <is>
          <t>2026-08-01T01:45Z</t>
        </is>
      </c>
      <c r="D69" s="24" t="inlineStr">
        <is>
          <t>401816346</t>
        </is>
      </c>
      <c r="E69" s="24" t="inlineStr">
        <is>
          <t>MLB</t>
        </is>
      </c>
      <c r="F69" s="24" t="inlineStr">
        <is>
          <t>San Francisco Giants</t>
        </is>
      </c>
      <c r="G69" s="24" t="inlineStr">
        <is>
          <t>San Diego Padres</t>
        </is>
      </c>
      <c r="H69" s="24" t="inlineStr">
        <is>
          <t>total</t>
        </is>
      </c>
      <c r="I69" s="24" t="inlineStr">
        <is>
          <t>over</t>
        </is>
      </c>
      <c r="J69" s="25" t="n">
        <v>8.5</v>
      </c>
      <c r="K69" s="24" t="inlineStr">
        <is>
          <t>polymarket_us</t>
        </is>
      </c>
      <c r="L69" s="26" t="n">
        <v>-104</v>
      </c>
      <c r="M69" s="27" t="n">
        <v>1.961538</v>
      </c>
      <c r="N69" s="28" t="n">
        <v>0.509804</v>
      </c>
      <c r="O69" s="28" t="n">
        <v>0.50565</v>
      </c>
      <c r="P69" s="28" t="n">
        <v>0.05172</v>
      </c>
      <c r="Q69" s="28" t="n">
        <v>-0.004154</v>
      </c>
      <c r="R69" s="26" t="n">
        <v>17</v>
      </c>
      <c r="S69" s="29" t="n">
        <v>1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0</v>
      </c>
      <c r="X69" s="26" t="n">
        <v>7</v>
      </c>
      <c r="Y69" s="25" t="n">
        <v>8.5</v>
      </c>
      <c r="Z69" s="26" t="n">
        <v>-104</v>
      </c>
      <c r="AA69" s="28" t="n">
        <v>0.51</v>
      </c>
      <c r="AB69" s="28" t="n">
        <v>0.000196</v>
      </c>
      <c r="AC69" s="30" t="n">
        <v>-1</v>
      </c>
      <c r="AD69" s="24" t="inlineStr">
        <is>
          <t>2026-08-01T05:33:45.178918Z</t>
        </is>
      </c>
      <c r="AE69" s="31" t="inlineStr">
        <is>
          <t>Measured Edge Totals: Trend Engine projected 4.29-4.73; raw selected-side p=0.5218, calibrated p=0.5056.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mlb-sf</t>
        </is>
      </c>
      <c r="AQ69" s="24" t="inlineStr">
        <is>
          <t>San Francisco Giants</t>
        </is>
      </c>
      <c r="AR69" s="24" t="inlineStr">
        <is>
          <t>San Francisco Giants</t>
        </is>
      </c>
      <c r="AS69" s="24" t="inlineStr">
        <is>
          <t>mlb-sd</t>
        </is>
      </c>
      <c r="AT69" s="24" t="inlineStr">
        <is>
          <t>San Diego Padres</t>
        </is>
      </c>
      <c r="AU69" s="24" t="inlineStr">
        <is>
          <t>San Diego Padres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cbc2c9bf5a9569a49e1902c816d96556d704cf10819ca3a9e927721685757d0b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cbc2c9bf5a9569a49e1902c816d96556d704cf10819ca3a9e927721685757d0b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2026-07-31T23:29:57.351792Z</t>
        </is>
      </c>
      <c r="BI69" s="24" t="inlineStr">
        <is>
          <t>["same_event","same_team_same_day","same_league_same_day"]</t>
        </is>
      </c>
      <c r="BJ69" s="25" t="n">
        <v>8.5</v>
      </c>
      <c r="BK69" s="26" t="n">
        <v>-104</v>
      </c>
      <c r="BL69" s="27" t="n">
        <v>1.961538</v>
      </c>
      <c r="BM69" s="28" t="n">
        <v>0.509804</v>
      </c>
      <c r="BN69" s="28" t="n">
        <v>0.507463</v>
      </c>
      <c r="BO69" s="28" t="n"/>
      <c r="BP69" s="25" t="n"/>
      <c r="BQ69" s="27" t="n">
        <v>1.961538</v>
      </c>
      <c r="BR69" s="28" t="n">
        <v>0.51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n"/>
    </row>
    <row r="70" ht="36" customHeight="1">
      <c r="A70" s="24" t="inlineStr">
        <is>
          <t>332900b6d965481d</t>
        </is>
      </c>
      <c r="B70" s="24" t="inlineStr">
        <is>
          <t>2026-07-31T23:29:57.351792Z</t>
        </is>
      </c>
      <c r="C70" s="24" t="inlineStr">
        <is>
          <t>2026-08-01T02:10Z</t>
        </is>
      </c>
      <c r="D70" s="24" t="inlineStr">
        <is>
          <t>401816342</t>
        </is>
      </c>
      <c r="E70" s="24" t="inlineStr">
        <is>
          <t>MLB</t>
        </is>
      </c>
      <c r="F70" s="24" t="inlineStr">
        <is>
          <t>Boston Red Sox</t>
        </is>
      </c>
      <c r="G70" s="24" t="inlineStr">
        <is>
          <t>Los Angeles Dodgers</t>
        </is>
      </c>
      <c r="H70" s="24" t="inlineStr">
        <is>
          <t>spread</t>
        </is>
      </c>
      <c r="I70" s="24" t="inlineStr">
        <is>
          <t>away</t>
        </is>
      </c>
      <c r="J70" s="25" t="n">
        <v>1.5</v>
      </c>
      <c r="K70" s="24" t="inlineStr">
        <is>
          <t>polymarket_us</t>
        </is>
      </c>
      <c r="L70" s="26" t="n">
        <v>-178</v>
      </c>
      <c r="M70" s="27" t="n">
        <v>1.561798</v>
      </c>
      <c r="N70" s="28" t="n">
        <v>0.640288</v>
      </c>
      <c r="O70" s="28" t="n">
        <v>0.555903</v>
      </c>
      <c r="P70" s="28" t="n">
        <v>0.042131</v>
      </c>
      <c r="Q70" s="28" t="n">
        <v>-0.084385</v>
      </c>
      <c r="R70" s="26" t="n">
        <v>0</v>
      </c>
      <c r="S70" s="29" t="n">
        <v>1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9</v>
      </c>
      <c r="X70" s="26" t="n">
        <v>4</v>
      </c>
      <c r="Y70" s="25" t="n">
        <v>1.5</v>
      </c>
      <c r="Z70" s="26" t="n">
        <v>-178</v>
      </c>
      <c r="AA70" s="28" t="n">
        <v>0.64</v>
      </c>
      <c r="AB70" s="28" t="n">
        <v>-0.000288</v>
      </c>
      <c r="AC70" s="30" t="n">
        <v>0.5618</v>
      </c>
      <c r="AD70" s="24" t="inlineStr">
        <is>
          <t>2026-08-01T05:33:45.473501Z</t>
        </is>
      </c>
      <c r="AE70" s="31" t="inlineStr">
        <is>
          <t>Measured Edge Margin: Trend Engine projected 4.51-4.43; raw selected-side p=0.6733, calibrated p=0.5559.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mlb-bos</t>
        </is>
      </c>
      <c r="AQ70" s="24" t="inlineStr">
        <is>
          <t>Boston Red Sox</t>
        </is>
      </c>
      <c r="AR70" s="24" t="inlineStr">
        <is>
          <t>Boston Red Sox</t>
        </is>
      </c>
      <c r="AS70" s="24" t="inlineStr">
        <is>
          <t>mlb-lad</t>
        </is>
      </c>
      <c r="AT70" s="24" t="inlineStr">
        <is>
          <t>Los Angeles Dodgers</t>
        </is>
      </c>
      <c r="AU70" s="24" t="inlineStr">
        <is>
          <t>Los Angeles Dodgers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2bc2ce55b0d39a20103f724bbddbde5394909acd49297f52665b596a0ae3ae8b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2bc2ce55b0d39a20103f724bbddbde5394909acd49297f52665b596a0ae3ae8b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2026-07-31T23:29:57.351792Z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-178</v>
      </c>
      <c r="BL70" s="27" t="n">
        <v>1.561798</v>
      </c>
      <c r="BM70" s="28" t="n">
        <v>0.640288</v>
      </c>
      <c r="BN70" s="28" t="n">
        <v>0.636816</v>
      </c>
      <c r="BO70" s="28" t="n"/>
      <c r="BP70" s="25" t="n"/>
      <c r="BQ70" s="27" t="n">
        <v>1.561798</v>
      </c>
      <c r="BR70" s="28" t="n">
        <v>0.64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n"/>
    </row>
    <row r="71" ht="36" customHeight="1">
      <c r="A71" s="24" t="inlineStr">
        <is>
          <t>7c1539ed2e204ea4</t>
        </is>
      </c>
      <c r="B71" s="24" t="inlineStr">
        <is>
          <t>2026-07-31T23:29:57.351792Z</t>
        </is>
      </c>
      <c r="C71" s="24" t="inlineStr">
        <is>
          <t>2026-08-01T02:10Z</t>
        </is>
      </c>
      <c r="D71" s="24" t="inlineStr">
        <is>
          <t>401816342</t>
        </is>
      </c>
      <c r="E71" s="24" t="inlineStr">
        <is>
          <t>MLB</t>
        </is>
      </c>
      <c r="F71" s="24" t="inlineStr">
        <is>
          <t>Boston Red Sox</t>
        </is>
      </c>
      <c r="G71" s="24" t="inlineStr">
        <is>
          <t>Los Angeles Dodgers</t>
        </is>
      </c>
      <c r="H71" s="24" t="inlineStr">
        <is>
          <t>total</t>
        </is>
      </c>
      <c r="I71" s="24" t="inlineStr">
        <is>
          <t>over</t>
        </is>
      </c>
      <c r="J71" s="25" t="n">
        <v>8.5</v>
      </c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0.492456</v>
      </c>
      <c r="P71" s="28" t="n">
        <v>0.042131</v>
      </c>
      <c r="Q71" s="28" t="n">
        <v>0.022972</v>
      </c>
      <c r="R71" s="26" t="n">
        <v>36</v>
      </c>
      <c r="S71" s="29" t="n">
        <v>1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9</v>
      </c>
      <c r="X71" s="26" t="n">
        <v>4</v>
      </c>
      <c r="Y71" s="25" t="n">
        <v>8.5</v>
      </c>
      <c r="Z71" s="26" t="n">
        <v>113</v>
      </c>
      <c r="AA71" s="28" t="n">
        <v>0.47</v>
      </c>
      <c r="AB71" s="28" t="n">
        <v>0.000516</v>
      </c>
      <c r="AC71" s="30" t="n">
        <v>1.13</v>
      </c>
      <c r="AD71" s="24" t="inlineStr">
        <is>
          <t>2026-08-01T05:33:45.765690Z</t>
        </is>
      </c>
      <c r="AE71" s="31" t="inlineStr">
        <is>
          <t>Measured Edge Totals: Trend Engine projected 4.51-4.43; raw selected-side p=0.5081, calibrated p=0.4925.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mlb-bos</t>
        </is>
      </c>
      <c r="AQ71" s="24" t="inlineStr">
        <is>
          <t>Boston Red Sox</t>
        </is>
      </c>
      <c r="AR71" s="24" t="inlineStr">
        <is>
          <t>Boston Red Sox</t>
        </is>
      </c>
      <c r="AS71" s="24" t="inlineStr">
        <is>
          <t>mlb-lad</t>
        </is>
      </c>
      <c r="AT71" s="24" t="inlineStr">
        <is>
          <t>Los Angeles Dodgers</t>
        </is>
      </c>
      <c r="AU71" s="24" t="inlineStr">
        <is>
          <t>Los Angeles Dodgers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cbc2c9bf5a9569a49e1902c816d96556d704cf10819ca3a9e927721685757d0b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cbc2c9bf5a9569a49e1902c816d96556d704cf10819ca3a9e927721685757d0b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2026-07-31T23:29:57.351792Z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113</v>
      </c>
      <c r="BL71" s="27" t="n">
        <v>2.13</v>
      </c>
      <c r="BM71" s="28" t="n">
        <v>0.469484</v>
      </c>
      <c r="BN71" s="28" t="n">
        <v>0.467662</v>
      </c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n"/>
    </row>
    <row r="72" ht="36" customHeight="1">
      <c r="A72" s="24" t="inlineStr">
        <is>
          <t>1f026f8edb744cf0</t>
        </is>
      </c>
      <c r="B72" s="24" t="inlineStr">
        <is>
          <t>2026-07-31T23:29:57.351792Z</t>
        </is>
      </c>
      <c r="C72" s="24" t="inlineStr">
        <is>
          <t>2026-08-01T02:10Z</t>
        </is>
      </c>
      <c r="D72" s="24" t="inlineStr">
        <is>
          <t>401816345</t>
        </is>
      </c>
      <c r="E72" s="24" t="inlineStr">
        <is>
          <t>MLB</t>
        </is>
      </c>
      <c r="F72" s="24" t="inlineStr">
        <is>
          <t>Minnesota Twins</t>
        </is>
      </c>
      <c r="G72" s="24" t="inlineStr">
        <is>
          <t>Seattle Mariners</t>
        </is>
      </c>
      <c r="H72" s="24" t="inlineStr">
        <is>
          <t>spread</t>
        </is>
      </c>
      <c r="I72" s="24" t="inlineStr">
        <is>
          <t>away</t>
        </is>
      </c>
      <c r="J72" s="25" t="n">
        <v>1.5</v>
      </c>
      <c r="K72" s="24" t="inlineStr">
        <is>
          <t>polymarket_us</t>
        </is>
      </c>
      <c r="L72" s="26" t="n">
        <v>-138</v>
      </c>
      <c r="M72" s="27" t="n">
        <v>1.724638</v>
      </c>
      <c r="N72" s="28" t="n">
        <v>0.579832</v>
      </c>
      <c r="O72" s="28" t="n">
        <v>0.54319</v>
      </c>
      <c r="P72" s="28" t="n">
        <v>0.042131</v>
      </c>
      <c r="Q72" s="28" t="n">
        <v>-0.036642</v>
      </c>
      <c r="R72" s="26" t="n">
        <v>6</v>
      </c>
      <c r="S72" s="29" t="n">
        <v>1</v>
      </c>
      <c r="T72" s="24" t="inlineStr">
        <is>
          <t>measured-edge-margin-v1</t>
        </is>
      </c>
      <c r="U72" s="24" t="inlineStr">
        <is>
          <t>settled</t>
        </is>
      </c>
      <c r="V72" s="24" t="inlineStr">
        <is>
          <t>win</t>
        </is>
      </c>
      <c r="W72" s="26" t="n">
        <v>5</v>
      </c>
      <c r="X72" s="26" t="n">
        <v>3</v>
      </c>
      <c r="Y72" s="25" t="n">
        <v>1.5</v>
      </c>
      <c r="Z72" s="26" t="n">
        <v>-138</v>
      </c>
      <c r="AA72" s="28" t="n">
        <v>0.58</v>
      </c>
      <c r="AB72" s="28" t="n">
        <v>0.000168</v>
      </c>
      <c r="AC72" s="30" t="n">
        <v>0.7246</v>
      </c>
      <c r="AD72" s="24" t="inlineStr">
        <is>
          <t>2026-08-01T05:33:46.062823Z</t>
        </is>
      </c>
      <c r="AE72" s="31" t="inlineStr">
        <is>
          <t>Measured Edge Margin: Trend Engine projected 4.36-4.92; raw selected-side p=0.6086, calibrated p=0.5432.</t>
        </is>
      </c>
      <c r="AF72" s="31" t="inlineStr">
        <is>
          <t>Research-only; lineup, bullpen, park, weather, xFIP, and wRC+ may be neutral fallbacks; market availability and BBO depth may change before first pitch.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research_observation</t>
        </is>
      </c>
      <c r="AL72" s="26" t="n">
        <v>3</v>
      </c>
      <c r="AM72" s="24" t="inlineStr">
        <is>
          <t>RESEARCH_OBSERVATION</t>
        </is>
      </c>
      <c r="AN72" s="24" t="inlineStr">
        <is>
          <t>NO_CALL</t>
        </is>
      </c>
      <c r="AO72" s="24" t="inlineStr">
        <is>
          <t>NO_CALL_MODEL_UNVALIDATED</t>
        </is>
      </c>
      <c r="AP72" s="24" t="inlineStr">
        <is>
          <t>mlb-min</t>
        </is>
      </c>
      <c r="AQ72" s="24" t="inlineStr">
        <is>
          <t>Minnesota Twins</t>
        </is>
      </c>
      <c r="AR72" s="24" t="inlineStr">
        <is>
          <t>Minnesota Twins</t>
        </is>
      </c>
      <c r="AS72" s="24" t="inlineStr">
        <is>
          <t>mlb-sea</t>
        </is>
      </c>
      <c r="AT72" s="24" t="inlineStr">
        <is>
          <t>Seattle Mariners</t>
        </is>
      </c>
      <c r="AU72" s="24" t="inlineStr">
        <is>
          <t>Seattle Mariners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research</t>
        </is>
      </c>
      <c r="BA72" s="24" t="inlineStr">
        <is>
          <t>2bc2ce55b0d39a20103f724bbddbde5394909acd49297f52665b596a0ae3ae8b</t>
        </is>
      </c>
      <c r="BB72" s="24" t="inlineStr">
        <is>
          <t>flat_probability_shrinkage_toward_half</t>
        </is>
      </c>
      <c r="BC72" s="24" t="inlineStr">
        <is>
          <t>measured-edge-margin-v1</t>
        </is>
      </c>
      <c r="BD72" s="24" t="inlineStr">
        <is>
          <t>2bc2ce55b0d39a20103f724bbddbde5394909acd49297f52665b596a0ae3ae8b</t>
        </is>
      </c>
      <c r="BE72" s="24" t="inlineStr">
        <is>
          <t>v3</t>
        </is>
      </c>
      <c r="BF72" s="24" t="inlineStr">
        <is>
          <t>1</t>
        </is>
      </c>
      <c r="BG72" s="24" t="inlineStr">
        <is>
          <t>measured-edge-paired-v1</t>
        </is>
      </c>
      <c r="BH72" s="24" t="inlineStr">
        <is>
          <t>2026-07-31T23:29:57.351792Z</t>
        </is>
      </c>
      <c r="BI72" s="24" t="inlineStr">
        <is>
          <t>["same_event","same_team_same_day","same_league_same_day"]</t>
        </is>
      </c>
      <c r="BJ72" s="25" t="n">
        <v>1.5</v>
      </c>
      <c r="BK72" s="26" t="n">
        <v>-138</v>
      </c>
      <c r="BL72" s="27" t="n">
        <v>1.724638</v>
      </c>
      <c r="BM72" s="28" t="n">
        <v>0.579832</v>
      </c>
      <c r="BN72" s="28" t="n">
        <v>0.577114</v>
      </c>
      <c r="BO72" s="28" t="n"/>
      <c r="BP72" s="25" t="n"/>
      <c r="BQ72" s="27" t="n">
        <v>1.724638</v>
      </c>
      <c r="BR72" s="28" t="n">
        <v>0.58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n"/>
    </row>
    <row r="73" ht="36" customHeight="1">
      <c r="A73" s="24" t="inlineStr">
        <is>
          <t>fdb8dae6fb2c4054</t>
        </is>
      </c>
      <c r="B73" s="24" t="inlineStr">
        <is>
          <t>2026-07-31T23:29:57.351792Z</t>
        </is>
      </c>
      <c r="C73" s="24" t="inlineStr">
        <is>
          <t>2026-08-01T02:10Z</t>
        </is>
      </c>
      <c r="D73" s="24" t="inlineStr">
        <is>
          <t>401816345</t>
        </is>
      </c>
      <c r="E73" s="24" t="inlineStr">
        <is>
          <t>MLB</t>
        </is>
      </c>
      <c r="F73" s="24" t="inlineStr">
        <is>
          <t>Minnesota Twins</t>
        </is>
      </c>
      <c r="G73" s="24" t="inlineStr">
        <is>
          <t>Seattle Mariners</t>
        </is>
      </c>
      <c r="H73" s="24" t="inlineStr">
        <is>
          <t>total</t>
        </is>
      </c>
      <c r="I73" s="24" t="inlineStr">
        <is>
          <t>over</t>
        </is>
      </c>
      <c r="J73" s="25" t="n">
        <v>7.5</v>
      </c>
      <c r="K73" s="24" t="inlineStr">
        <is>
          <t>polymarket_us</t>
        </is>
      </c>
      <c r="L73" s="26" t="n">
        <v>-106</v>
      </c>
      <c r="M73" s="27" t="n">
        <v>1.943396</v>
      </c>
      <c r="N73" s="28" t="n">
        <v>0.514563</v>
      </c>
      <c r="O73" s="28" t="n">
        <v>0.588884</v>
      </c>
      <c r="P73" s="28" t="n">
        <v>0.042131</v>
      </c>
      <c r="Q73" s="28" t="n">
        <v>0.074321</v>
      </c>
      <c r="R73" s="26" t="n">
        <v>62</v>
      </c>
      <c r="S73" s="29" t="n">
        <v>1.25</v>
      </c>
      <c r="T73" s="24" t="inlineStr">
        <is>
          <t>measured-edge-totals-v1</t>
        </is>
      </c>
      <c r="U73" s="24" t="inlineStr">
        <is>
          <t>settled</t>
        </is>
      </c>
      <c r="V73" s="24" t="inlineStr">
        <is>
          <t>win</t>
        </is>
      </c>
      <c r="W73" s="26" t="n">
        <v>5</v>
      </c>
      <c r="X73" s="26" t="n">
        <v>3</v>
      </c>
      <c r="Y73" s="25" t="n">
        <v>7.5</v>
      </c>
      <c r="Z73" s="26" t="n">
        <v>-106</v>
      </c>
      <c r="AA73" s="28" t="n">
        <v>0.515</v>
      </c>
      <c r="AB73" s="28" t="n">
        <v>0.000437</v>
      </c>
      <c r="AC73" s="30" t="n">
        <v>1.1792</v>
      </c>
      <c r="AD73" s="24" t="inlineStr">
        <is>
          <t>2026-08-01T05:33:46.404912Z</t>
        </is>
      </c>
      <c r="AE73" s="31" t="inlineStr">
        <is>
          <t>Measured Edge Totals: Trend Engine projected 4.36-4.92; raw selected-side p=0.6076, calibrated p=0.5889.</t>
        </is>
      </c>
      <c r="AF73" s="31" t="inlineStr">
        <is>
          <t>Research-only; lineup, bullpen, park, weather, xFIP, and wRC+ may be neutral fallbacks; market availability and BBO depth may change before first pitch.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mlb-min</t>
        </is>
      </c>
      <c r="AQ73" s="24" t="inlineStr">
        <is>
          <t>Minnesota Twins</t>
        </is>
      </c>
      <c r="AR73" s="24" t="inlineStr">
        <is>
          <t>Minnesota Twins</t>
        </is>
      </c>
      <c r="AS73" s="24" t="inlineStr">
        <is>
          <t>mlb-sea</t>
        </is>
      </c>
      <c r="AT73" s="24" t="inlineStr">
        <is>
          <t>Seattle Mariners</t>
        </is>
      </c>
      <c r="AU73" s="24" t="inlineStr">
        <is>
          <t>Seattle Mariners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research</t>
        </is>
      </c>
      <c r="BA73" s="24" t="inlineStr">
        <is>
          <t>cbc2c9bf5a9569a49e1902c816d96556d704cf10819ca3a9e927721685757d0b</t>
        </is>
      </c>
      <c r="BB73" s="24" t="inlineStr">
        <is>
          <t>flat_probability_shrinkage_toward_half</t>
        </is>
      </c>
      <c r="BC73" s="24" t="inlineStr">
        <is>
          <t>measured-edge-totals-v1</t>
        </is>
      </c>
      <c r="BD73" s="24" t="inlineStr">
        <is>
          <t>cbc2c9bf5a9569a49e1902c816d96556d704cf10819ca3a9e927721685757d0b</t>
        </is>
      </c>
      <c r="BE73" s="24" t="inlineStr">
        <is>
          <t>v3</t>
        </is>
      </c>
      <c r="BF73" s="24" t="inlineStr">
        <is>
          <t>1</t>
        </is>
      </c>
      <c r="BG73" s="24" t="inlineStr">
        <is>
          <t>measured-edge-paired-v1</t>
        </is>
      </c>
      <c r="BH73" s="24" t="inlineStr">
        <is>
          <t>2026-07-31T23:29:57.351792Z</t>
        </is>
      </c>
      <c r="BI73" s="24" t="inlineStr">
        <is>
          <t>["same_event","same_team_same_day","same_league_same_day"]</t>
        </is>
      </c>
      <c r="BJ73" s="25" t="n">
        <v>7.5</v>
      </c>
      <c r="BK73" s="26" t="n">
        <v>-106</v>
      </c>
      <c r="BL73" s="27" t="n">
        <v>1.943396</v>
      </c>
      <c r="BM73" s="28" t="n">
        <v>0.514563</v>
      </c>
      <c r="BN73" s="28" t="n">
        <v>0.5124379999999999</v>
      </c>
      <c r="BO73" s="28" t="n"/>
      <c r="BP73" s="25" t="n"/>
      <c r="BQ73" s="27" t="n">
        <v>1.943396</v>
      </c>
      <c r="BR73" s="28" t="n">
        <v>0.515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n"/>
    </row>
    <row r="74" ht="36" customHeight="1">
      <c r="A74" s="24" t="inlineStr">
        <is>
          <t>090523d0258d47a7</t>
        </is>
      </c>
      <c r="B74" s="24" t="inlineStr">
        <is>
          <t>2026-08-01T18:37:44.379324Z</t>
        </is>
      </c>
      <c r="C74" s="24" t="inlineStr">
        <is>
          <t>2026-08-01T15:07:00-0400</t>
        </is>
      </c>
      <c r="D74" s="24" t="inlineStr">
        <is>
          <t>401816352</t>
        </is>
      </c>
      <c r="E74" s="24" t="inlineStr">
        <is>
          <t>MLB</t>
        </is>
      </c>
      <c r="F74" s="24" t="inlineStr">
        <is>
          <t>St. Louis Cardinals</t>
        </is>
      </c>
      <c r="G74" s="24" t="inlineStr">
        <is>
          <t>Toronto Blue Jays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-153</v>
      </c>
      <c r="M74" s="27" t="n">
        <v>1.653595</v>
      </c>
      <c r="N74" s="28" t="n">
        <v>0.604743</v>
      </c>
      <c r="O74" s="28" t="n">
        <v>0.5354640000000001</v>
      </c>
      <c r="P74" s="28" t="n"/>
      <c r="Q74" s="28" t="n">
        <v>-0.06927899999999999</v>
      </c>
      <c r="R74" s="26" t="n">
        <v>0</v>
      </c>
      <c r="S74" s="29" t="n">
        <v>1</v>
      </c>
      <c r="T74" s="24" t="inlineStr">
        <is>
          <t>mlb-elo-trend-lr-v7</t>
        </is>
      </c>
      <c r="U74" s="24" t="inlineStr">
        <is>
          <t>settled</t>
        </is>
      </c>
      <c r="V74" s="24" t="inlineStr">
        <is>
          <t>win</t>
        </is>
      </c>
      <c r="W74" s="26" t="n">
        <v>1</v>
      </c>
      <c r="X74" s="26" t="n">
        <v>5</v>
      </c>
      <c r="Y74" s="25" t="n"/>
      <c r="Z74" s="26" t="n">
        <v>-153</v>
      </c>
      <c r="AA74" s="28" t="n">
        <v>0.605</v>
      </c>
      <c r="AB74" s="28" t="n">
        <v>0.000257</v>
      </c>
      <c r="AC74" s="30" t="n">
        <v>0.6536</v>
      </c>
      <c r="AD74" s="24" t="inlineStr">
        <is>
          <t>2026-08-01T23:50:52.446031Z</t>
        </is>
      </c>
      <c r="AE74" s="31" t="inlineStr">
        <is>
          <t>Learned LR call at threshold 0.6242; executable ask 0.6050 (aec-mlb-stl-tor-2026-08-01); model edge vs ask -0.0695.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mlb-stl</t>
        </is>
      </c>
      <c r="AQ74" s="24" t="inlineStr">
        <is>
          <t>St. Louis Cardinals</t>
        </is>
      </c>
      <c r="AR74" s="24" t="inlineStr">
        <is>
          <t>St. Louis Cardinals</t>
        </is>
      </c>
      <c r="AS74" s="24" t="inlineStr">
        <is>
          <t>mlb-tor</t>
        </is>
      </c>
      <c r="AT74" s="24" t="inlineStr">
        <is>
          <t>Toronto Blue Jays</t>
        </is>
      </c>
      <c r="AU74" s="24" t="inlineStr">
        <is>
          <t>Toronto Blue Jays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464eef695bfbbdaa819ec6f5e4c5bd1068ed20b92915fb2677220ae91e20d8b6</t>
        </is>
      </c>
      <c r="BB74" s="24" t="inlineStr">
        <is>
          <t>learned_lr</t>
        </is>
      </c>
      <c r="BC74" s="24" t="inlineStr">
        <is>
          <t>mlb-elo-trend-lr-v7</t>
        </is>
      </c>
      <c r="BD74" s="24" t="inlineStr">
        <is>
          <t>464eef695bfbbdaa819ec6f5e4c5bd1068ed20b92915fb2677220ae91e20d8b6</t>
        </is>
      </c>
      <c r="BE74" s="24" t="inlineStr">
        <is>
          <t>a0f0dfbb182ff37a</t>
        </is>
      </c>
      <c r="BF74" s="24" t="inlineStr">
        <is>
          <t>1</t>
        </is>
      </c>
      <c r="BG74" s="24" t="inlineStr">
        <is>
          <t>mlb-elo-trend-lr-v7</t>
        </is>
      </c>
      <c r="BH74" s="24" t="inlineStr">
        <is>
          <t>2026-08-01T18:36:19.970556Z</t>
        </is>
      </c>
      <c r="BI74" s="24" t="inlineStr">
        <is>
          <t>["same_event","same_team_same_day","same_league_same_day"]</t>
        </is>
      </c>
      <c r="BJ74" s="25" t="n"/>
      <c r="BK74" s="26" t="n">
        <v>-153</v>
      </c>
      <c r="BL74" s="27" t="n">
        <v>1.653595</v>
      </c>
      <c r="BM74" s="28" t="n">
        <v>0.604743</v>
      </c>
      <c r="BN74" s="28" t="n">
        <v>0.60199</v>
      </c>
      <c r="BO74" s="28" t="n"/>
      <c r="BP74" s="25" t="n"/>
      <c r="BQ74" s="27" t="n">
        <v>1.653595</v>
      </c>
      <c r="BR74" s="28" t="n">
        <v>0.605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0.5579214953</t>
        </is>
      </c>
      <c r="CD74" s="24" t="inlineStr">
        <is>
          <t>0.999429</t>
        </is>
      </c>
      <c r="CE74" s="24" t="inlineStr">
        <is>
          <t>1.019</t>
        </is>
      </c>
      <c r="CF74" s="24" t="inlineStr">
        <is>
          <t>1</t>
        </is>
      </c>
      <c r="CG74" s="24" t="inlineStr">
        <is>
          <t>-1.4</t>
        </is>
      </c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n"/>
    </row>
    <row r="75" ht="36" customHeight="1">
      <c r="A75" s="24" t="inlineStr">
        <is>
          <t>4b1679abe3c34170</t>
        </is>
      </c>
      <c r="B75" s="24" t="inlineStr">
        <is>
          <t>2026-08-01T18:37:44.379324Z</t>
        </is>
      </c>
      <c r="C75" s="24" t="inlineStr">
        <is>
          <t>2026-08-01T16:10:00-0400</t>
        </is>
      </c>
      <c r="D75" s="24" t="inlineStr">
        <is>
          <t>401816348</t>
        </is>
      </c>
      <c r="E75" s="24" t="inlineStr">
        <is>
          <t>MLB</t>
        </is>
      </c>
      <c r="F75" s="24" t="inlineStr">
        <is>
          <t>Chicago White Sox</t>
        </is>
      </c>
      <c r="G75" s="24" t="inlineStr">
        <is>
          <t>Tampa Bay Rays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-156</v>
      </c>
      <c r="M75" s="27" t="n">
        <v>1.641026</v>
      </c>
      <c r="N75" s="28" t="n">
        <v>0.609375</v>
      </c>
      <c r="O75" s="28" t="n">
        <v>0.558419</v>
      </c>
      <c r="P75" s="28" t="n"/>
      <c r="Q75" s="28" t="n">
        <v>-0.050956</v>
      </c>
      <c r="R75" s="26" t="n">
        <v>0</v>
      </c>
      <c r="S75" s="29" t="n">
        <v>1</v>
      </c>
      <c r="T75" s="24" t="inlineStr">
        <is>
          <t>mlb-elo-trend-lr-v7</t>
        </is>
      </c>
      <c r="U75" s="24" t="inlineStr">
        <is>
          <t>settled</t>
        </is>
      </c>
      <c r="V75" s="24" t="inlineStr">
        <is>
          <t>win</t>
        </is>
      </c>
      <c r="W75" s="26" t="n">
        <v>0</v>
      </c>
      <c r="X75" s="26" t="n">
        <v>1</v>
      </c>
      <c r="Y75" s="25" t="n"/>
      <c r="Z75" s="26" t="n">
        <v>-156</v>
      </c>
      <c r="AA75" s="28" t="n">
        <v>0.61</v>
      </c>
      <c r="AB75" s="28" t="n">
        <v>0.000625</v>
      </c>
      <c r="AC75" s="30" t="n">
        <v>0.641</v>
      </c>
      <c r="AD75" s="24" t="inlineStr">
        <is>
          <t>2026-08-01T23:50:53.182001Z</t>
        </is>
      </c>
      <c r="AE75" s="31" t="inlineStr">
        <is>
          <t>Learned LR call at threshold 0.6242; executable ask 0.6100 (aec-mlb-cws-tb-2026-08-01); model edge vs ask -0.0516.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mlb-cws</t>
        </is>
      </c>
      <c r="AQ75" s="24" t="inlineStr">
        <is>
          <t>Chicago White Sox</t>
        </is>
      </c>
      <c r="AR75" s="24" t="inlineStr">
        <is>
          <t>Chicago White Sox</t>
        </is>
      </c>
      <c r="AS75" s="24" t="inlineStr">
        <is>
          <t>mlb-tb</t>
        </is>
      </c>
      <c r="AT75" s="24" t="inlineStr">
        <is>
          <t>Tampa Bay Rays</t>
        </is>
      </c>
      <c r="AU75" s="24" t="inlineStr">
        <is>
          <t>Tampa Bay Rays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464eef695bfbbdaa819ec6f5e4c5bd1068ed20b92915fb2677220ae91e20d8b6</t>
        </is>
      </c>
      <c r="BB75" s="24" t="inlineStr">
        <is>
          <t>learned_lr</t>
        </is>
      </c>
      <c r="BC75" s="24" t="inlineStr">
        <is>
          <t>mlb-elo-trend-lr-v7</t>
        </is>
      </c>
      <c r="BD75" s="24" t="inlineStr">
        <is>
          <t>464eef695bfbbdaa819ec6f5e4c5bd1068ed20b92915fb2677220ae91e20d8b6</t>
        </is>
      </c>
      <c r="BE75" s="24" t="inlineStr">
        <is>
          <t>ad676df45ee6e775</t>
        </is>
      </c>
      <c r="BF75" s="24" t="inlineStr">
        <is>
          <t>1</t>
        </is>
      </c>
      <c r="BG75" s="24" t="inlineStr">
        <is>
          <t>mlb-elo-trend-lr-v7</t>
        </is>
      </c>
      <c r="BH75" s="24" t="inlineStr">
        <is>
          <t>2026-08-01T18:36:22.182386Z</t>
        </is>
      </c>
      <c r="BI75" s="24" t="inlineStr">
        <is>
          <t>["same_event","same_team_same_day","same_league_same_day"]</t>
        </is>
      </c>
      <c r="BJ75" s="25" t="n"/>
      <c r="BK75" s="26" t="n">
        <v>-156</v>
      </c>
      <c r="BL75" s="27" t="n">
        <v>1.641026</v>
      </c>
      <c r="BM75" s="28" t="n">
        <v>0.609375</v>
      </c>
      <c r="BN75" s="28" t="n">
        <v>0.606965</v>
      </c>
      <c r="BO75" s="28" t="n"/>
      <c r="BP75" s="25" t="n"/>
      <c r="BQ75" s="27" t="n">
        <v>1.641026</v>
      </c>
      <c r="BR75" s="28" t="n">
        <v>0.61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0.5468687943</t>
        </is>
      </c>
      <c r="CD75" s="24" t="inlineStr">
        <is>
          <t>-1.164825</t>
        </is>
      </c>
      <c r="CE75" s="24" t="inlineStr">
        <is>
          <t>0.965</t>
        </is>
      </c>
      <c r="CF75" s="24" t="inlineStr">
        <is>
          <t>1</t>
        </is>
      </c>
      <c r="CG75" s="24" t="inlineStr">
        <is>
          <t>-1.4</t>
        </is>
      </c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n"/>
    </row>
    <row r="76" ht="36" customHeight="1">
      <c r="A76" s="24" t="inlineStr">
        <is>
          <t>ea6695362828438e</t>
        </is>
      </c>
      <c r="B76" s="24" t="inlineStr">
        <is>
          <t>2026-08-01T18:37:44.379324Z</t>
        </is>
      </c>
      <c r="C76" s="24" t="inlineStr">
        <is>
          <t>2026-08-01T16:10:00-0400</t>
        </is>
      </c>
      <c r="D76" s="24" t="inlineStr">
        <is>
          <t>401816349</t>
        </is>
      </c>
      <c r="E76" s="24" t="inlineStr">
        <is>
          <t>MLB</t>
        </is>
      </c>
      <c r="F76" s="24" t="inlineStr">
        <is>
          <t>Miami Marlins</t>
        </is>
      </c>
      <c r="G76" s="24" t="inlineStr">
        <is>
          <t>New York Mets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-122</v>
      </c>
      <c r="M76" s="27" t="n">
        <v>1.819672</v>
      </c>
      <c r="N76" s="28" t="n">
        <v>0.54955</v>
      </c>
      <c r="O76" s="28" t="n">
        <v>0.515788</v>
      </c>
      <c r="P76" s="28" t="n"/>
      <c r="Q76" s="28" t="n">
        <v>-0.033762</v>
      </c>
      <c r="R76" s="26" t="n">
        <v>4</v>
      </c>
      <c r="S76" s="29" t="n">
        <v>1</v>
      </c>
      <c r="T76" s="24" t="inlineStr">
        <is>
          <t>mlb-elo-trend-lr-v7</t>
        </is>
      </c>
      <c r="U76" s="24" t="inlineStr">
        <is>
          <t>settled</t>
        </is>
      </c>
      <c r="V76" s="24" t="inlineStr">
        <is>
          <t>loss</t>
        </is>
      </c>
      <c r="W76" s="26" t="n">
        <v>6</v>
      </c>
      <c r="X76" s="26" t="n">
        <v>2</v>
      </c>
      <c r="Y76" s="25" t="n"/>
      <c r="Z76" s="26" t="n">
        <v>-122</v>
      </c>
      <c r="AA76" s="28" t="n">
        <v>0.55</v>
      </c>
      <c r="AB76" s="28" t="n">
        <v>0.00045</v>
      </c>
      <c r="AC76" s="30" t="n">
        <v>-1</v>
      </c>
      <c r="AD76" s="24" t="inlineStr">
        <is>
          <t>2026-08-01T23:50:53.987612Z</t>
        </is>
      </c>
      <c r="AE76" s="31" t="inlineStr">
        <is>
          <t>Learned LR call at threshold 0.6242; executable ask 0.5500 (aec-mlb-mia-nym-2026-08-01); model edge vs ask -0.0342.</t>
        </is>
      </c>
      <c r="AF76" s="31" t="inlineStr">
        <is>
          <t>Learned model; shadow-qualified via operator override.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mlb-mia</t>
        </is>
      </c>
      <c r="AQ76" s="24" t="inlineStr">
        <is>
          <t>Miami Marlins</t>
        </is>
      </c>
      <c r="AR76" s="24" t="inlineStr">
        <is>
          <t>Miami Marlins</t>
        </is>
      </c>
      <c r="AS76" s="24" t="inlineStr">
        <is>
          <t>mlb-nym</t>
        </is>
      </c>
      <c r="AT76" s="24" t="inlineStr">
        <is>
          <t>New York Mets</t>
        </is>
      </c>
      <c r="AU76" s="24" t="inlineStr">
        <is>
          <t>New York Mets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464eef695bfbbdaa819ec6f5e4c5bd1068ed20b92915fb2677220ae91e20d8b6</t>
        </is>
      </c>
      <c r="BB76" s="24" t="inlineStr">
        <is>
          <t>learned_lr</t>
        </is>
      </c>
      <c r="BC76" s="24" t="inlineStr">
        <is>
          <t>mlb-elo-trend-lr-v7</t>
        </is>
      </c>
      <c r="BD76" s="24" t="inlineStr">
        <is>
          <t>464eef695bfbbdaa819ec6f5e4c5bd1068ed20b92915fb2677220ae91e20d8b6</t>
        </is>
      </c>
      <c r="BE76" s="24" t="inlineStr">
        <is>
          <t>8e71ffd6fce569a4</t>
        </is>
      </c>
      <c r="BF76" s="24" t="inlineStr">
        <is>
          <t>1</t>
        </is>
      </c>
      <c r="BG76" s="24" t="inlineStr">
        <is>
          <t>mlb-elo-trend-lr-v7</t>
        </is>
      </c>
      <c r="BH76" s="24" t="inlineStr">
        <is>
          <t>2026-08-01T18:36:23.073759Z</t>
        </is>
      </c>
      <c r="BI76" s="24" t="inlineStr">
        <is>
          <t>["same_event","same_team_same_day","same_league_same_day"]</t>
        </is>
      </c>
      <c r="BJ76" s="25" t="n"/>
      <c r="BK76" s="26" t="n">
        <v>-122</v>
      </c>
      <c r="BL76" s="27" t="n">
        <v>1.819672</v>
      </c>
      <c r="BM76" s="28" t="n">
        <v>0.54955</v>
      </c>
      <c r="BN76" s="28" t="n">
        <v>0.547264</v>
      </c>
      <c r="BO76" s="28" t="n"/>
      <c r="BP76" s="25" t="n"/>
      <c r="BQ76" s="27" t="n">
        <v>1.819672</v>
      </c>
      <c r="BR76" s="28" t="n">
        <v>0.55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0.5032110055</t>
        </is>
      </c>
      <c r="CD76" s="24" t="inlineStr">
        <is>
          <t>-0.346453</t>
        </is>
      </c>
      <c r="CE76" s="24" t="inlineStr">
        <is>
          <t>0.978</t>
        </is>
      </c>
      <c r="CF76" s="24" t="inlineStr">
        <is>
          <t>1.0209</t>
        </is>
      </c>
      <c r="CG76" s="24" t="inlineStr">
        <is>
          <t>-1.2</t>
        </is>
      </c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n"/>
    </row>
    <row r="77" ht="36" customHeight="1">
      <c r="A77" s="24" t="inlineStr">
        <is>
          <t>d303a55c7be64746</t>
        </is>
      </c>
      <c r="B77" s="24" t="inlineStr">
        <is>
          <t>2026-08-01T18:37:44.379324Z</t>
        </is>
      </c>
      <c r="C77" s="24" t="inlineStr">
        <is>
          <t>2026-08-01T16:10:00-0400</t>
        </is>
      </c>
      <c r="D77" s="24" t="inlineStr">
        <is>
          <t>401816360</t>
        </is>
      </c>
      <c r="E77" s="24" t="inlineStr">
        <is>
          <t>MLB</t>
        </is>
      </c>
      <c r="F77" s="24" t="inlineStr">
        <is>
          <t>Minnesota Twins</t>
        </is>
      </c>
      <c r="G77" s="24" t="inlineStr">
        <is>
          <t>Seattle Mariners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-156</v>
      </c>
      <c r="M77" s="27" t="n">
        <v>1.641026</v>
      </c>
      <c r="N77" s="28" t="n">
        <v>0.609375</v>
      </c>
      <c r="O77" s="28" t="n">
        <v>0.591702</v>
      </c>
      <c r="P77" s="28" t="n"/>
      <c r="Q77" s="28" t="n">
        <v>-0.017673</v>
      </c>
      <c r="R77" s="26" t="n">
        <v>12</v>
      </c>
      <c r="S77" s="29" t="n">
        <v>1.25</v>
      </c>
      <c r="T77" s="24" t="inlineStr">
        <is>
          <t>mlb-elo-trend-lr-v7</t>
        </is>
      </c>
      <c r="U77" s="24" t="inlineStr">
        <is>
          <t>settled</t>
        </is>
      </c>
      <c r="V77" s="24" t="inlineStr">
        <is>
          <t>win</t>
        </is>
      </c>
      <c r="W77" s="26" t="n">
        <v>3</v>
      </c>
      <c r="X77" s="26" t="n">
        <v>4</v>
      </c>
      <c r="Y77" s="25" t="n"/>
      <c r="Z77" s="26" t="n">
        <v>-156</v>
      </c>
      <c r="AA77" s="28" t="n">
        <v>0.61</v>
      </c>
      <c r="AB77" s="28" t="n">
        <v>0.000625</v>
      </c>
      <c r="AC77" s="30" t="n">
        <v>0.8013</v>
      </c>
      <c r="AD77" s="24" t="inlineStr">
        <is>
          <t>2026-08-01T23:50:54.713841Z</t>
        </is>
      </c>
      <c r="AE77" s="31" t="inlineStr">
        <is>
          <t>Learned LR call at threshold 0.6242; executable ask 0.6100 (aec-mlb-min-sea-2026-08-01); model edge vs ask -0.0183.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mlb-min</t>
        </is>
      </c>
      <c r="AQ77" s="24" t="inlineStr">
        <is>
          <t>Minnesota Twins</t>
        </is>
      </c>
      <c r="AR77" s="24" t="inlineStr">
        <is>
          <t>Minnesota Twins</t>
        </is>
      </c>
      <c r="AS77" s="24" t="inlineStr">
        <is>
          <t>mlb-sea</t>
        </is>
      </c>
      <c r="AT77" s="24" t="inlineStr">
        <is>
          <t>Seattle Mariners</t>
        </is>
      </c>
      <c r="AU77" s="24" t="inlineStr">
        <is>
          <t>Seattle Mariners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464eef695bfbbdaa819ec6f5e4c5bd1068ed20b92915fb2677220ae91e20d8b6</t>
        </is>
      </c>
      <c r="BB77" s="24" t="inlineStr">
        <is>
          <t>learned_lr</t>
        </is>
      </c>
      <c r="BC77" s="24" t="inlineStr">
        <is>
          <t>mlb-elo-trend-lr-v7</t>
        </is>
      </c>
      <c r="BD77" s="24" t="inlineStr">
        <is>
          <t>464eef695bfbbdaa819ec6f5e4c5bd1068ed20b92915fb2677220ae91e20d8b6</t>
        </is>
      </c>
      <c r="BE77" s="24" t="inlineStr">
        <is>
          <t>53175a4c13f251cb</t>
        </is>
      </c>
      <c r="BF77" s="24" t="inlineStr">
        <is>
          <t>1</t>
        </is>
      </c>
      <c r="BG77" s="24" t="inlineStr">
        <is>
          <t>mlb-elo-trend-lr-v7</t>
        </is>
      </c>
      <c r="BH77" s="24" t="inlineStr">
        <is>
          <t>2026-08-01T18:36:21.090185Z</t>
        </is>
      </c>
      <c r="BI77" s="24" t="inlineStr">
        <is>
          <t>["same_event","same_team_same_day","same_league_same_day"]</t>
        </is>
      </c>
      <c r="BJ77" s="25" t="n"/>
      <c r="BK77" s="26" t="n">
        <v>-156</v>
      </c>
      <c r="BL77" s="27" t="n">
        <v>1.641026</v>
      </c>
      <c r="BM77" s="28" t="n">
        <v>0.609375</v>
      </c>
      <c r="BN77" s="28" t="n">
        <v>0.606965</v>
      </c>
      <c r="BO77" s="28" t="n"/>
      <c r="BP77" s="25" t="n"/>
      <c r="BQ77" s="27" t="n">
        <v>1.641026</v>
      </c>
      <c r="BR77" s="28" t="n">
        <v>0.61</v>
      </c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0.578722894</t>
        </is>
      </c>
      <c r="CD77" s="24" t="inlineStr">
        <is>
          <t>0.628201</t>
        </is>
      </c>
      <c r="CE77" s="24" t="inlineStr">
        <is>
          <t>0.936</t>
        </is>
      </c>
      <c r="CF77" s="24" t="inlineStr">
        <is>
          <t>1</t>
        </is>
      </c>
      <c r="CG77" s="24" t="inlineStr">
        <is>
          <t>1.2</t>
        </is>
      </c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n"/>
    </row>
    <row r="78" ht="36" customHeight="1">
      <c r="A78" s="24" t="inlineStr">
        <is>
          <t>dce89bd9695442a5</t>
        </is>
      </c>
      <c r="B78" s="24" t="inlineStr">
        <is>
          <t>2026-08-01T18:38:25.468461Z</t>
        </is>
      </c>
      <c r="C78" s="24" t="inlineStr">
        <is>
          <t>2026-08-01T19:07Z</t>
        </is>
      </c>
      <c r="D78" s="24" t="inlineStr">
        <is>
          <t>401816352</t>
        </is>
      </c>
      <c r="E78" s="24" t="inlineStr">
        <is>
          <t>MLB</t>
        </is>
      </c>
      <c r="F78" s="24" t="inlineStr">
        <is>
          <t>St. Louis Cardinals</t>
        </is>
      </c>
      <c r="G78" s="24" t="inlineStr">
        <is>
          <t>Toronto Blue Jays</t>
        </is>
      </c>
      <c r="H78" s="24" t="inlineStr">
        <is>
          <t>spread</t>
        </is>
      </c>
      <c r="I78" s="24" t="inlineStr">
        <is>
          <t>away</t>
        </is>
      </c>
      <c r="J78" s="25" t="n">
        <v>1.5</v>
      </c>
      <c r="K78" s="24" t="inlineStr">
        <is>
          <t>polymarket_us</t>
        </is>
      </c>
      <c r="L78" s="26" t="n">
        <v>-144</v>
      </c>
      <c r="M78" s="27" t="n">
        <v>1.694444</v>
      </c>
      <c r="N78" s="28" t="n">
        <v>0.590164</v>
      </c>
      <c r="O78" s="28" t="n">
        <v>0.5529849999999999</v>
      </c>
      <c r="P78" s="28" t="n">
        <v>0.05172</v>
      </c>
      <c r="Q78" s="28" t="n">
        <v>-0.037179</v>
      </c>
      <c r="R78" s="26" t="n">
        <v>0</v>
      </c>
      <c r="S78" s="29" t="n">
        <v>1</v>
      </c>
      <c r="T78" s="24" t="inlineStr">
        <is>
          <t>measured-edge-margin-v1</t>
        </is>
      </c>
      <c r="U78" s="24" t="inlineStr">
        <is>
          <t>settled</t>
        </is>
      </c>
      <c r="V78" s="24" t="inlineStr">
        <is>
          <t>loss</t>
        </is>
      </c>
      <c r="W78" s="26" t="n">
        <v>1</v>
      </c>
      <c r="X78" s="26" t="n">
        <v>5</v>
      </c>
      <c r="Y78" s="25" t="n">
        <v>1.5</v>
      </c>
      <c r="Z78" s="26" t="n">
        <v>-144</v>
      </c>
      <c r="AA78" s="28" t="n">
        <v>0.59</v>
      </c>
      <c r="AB78" s="28" t="n">
        <v>-0.000164</v>
      </c>
      <c r="AC78" s="30" t="n">
        <v>-1</v>
      </c>
      <c r="AD78" s="24" t="inlineStr">
        <is>
          <t>2026-08-01T23:50:55.435425Z</t>
        </is>
      </c>
      <c r="AE78" s="31" t="inlineStr">
        <is>
          <t>Measured Edge Margin: Trend Engine projected 4.64-4.73; raw selected-side p=0.6584, calibrated p=0.5530.</t>
        </is>
      </c>
      <c r="AF78" s="31" t="inlineStr">
        <is>
          <t>Research-only; lineup, bullpen, park, weather, xFIP, and wRC+ may be neutral fallbacks; market availability and BBO depth may change before first pitch.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mlb-stl</t>
        </is>
      </c>
      <c r="AQ78" s="24" t="inlineStr">
        <is>
          <t>St. Louis Cardinals</t>
        </is>
      </c>
      <c r="AR78" s="24" t="inlineStr">
        <is>
          <t>St. Louis Cardinals</t>
        </is>
      </c>
      <c r="AS78" s="24" t="inlineStr">
        <is>
          <t>mlb-tor</t>
        </is>
      </c>
      <c r="AT78" s="24" t="inlineStr">
        <is>
          <t>Toronto Blue Jays</t>
        </is>
      </c>
      <c r="AU78" s="24" t="inlineStr">
        <is>
          <t>Toronto Blue Jays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2bc2ce55b0d39a20103f724bbddbde5394909acd49297f52665b596a0ae3ae8b</t>
        </is>
      </c>
      <c r="BB78" s="24" t="inlineStr">
        <is>
          <t>flat_probability_shrinkage_toward_half</t>
        </is>
      </c>
      <c r="BC78" s="24" t="inlineStr">
        <is>
          <t>measured-edge-margin-v1</t>
        </is>
      </c>
      <c r="BD78" s="24" t="inlineStr">
        <is>
          <t>2bc2ce55b0d39a20103f724bbddbde5394909acd49297f52665b596a0ae3ae8b</t>
        </is>
      </c>
      <c r="BE78" s="24" t="inlineStr">
        <is>
          <t>v3</t>
        </is>
      </c>
      <c r="BF78" s="24" t="inlineStr">
        <is>
          <t>1</t>
        </is>
      </c>
      <c r="BG78" s="24" t="inlineStr">
        <is>
          <t>measured-edge-paired-v1</t>
        </is>
      </c>
      <c r="BH78" s="24" t="inlineStr">
        <is>
          <t>2026-08-01T18:38:25.468461Z</t>
        </is>
      </c>
      <c r="BI78" s="24" t="inlineStr">
        <is>
          <t>["same_event","same_team_same_day","same_league_same_day"]</t>
        </is>
      </c>
      <c r="BJ78" s="25" t="n">
        <v>1.5</v>
      </c>
      <c r="BK78" s="26" t="n">
        <v>-144</v>
      </c>
      <c r="BL78" s="27" t="n">
        <v>1.694444</v>
      </c>
      <c r="BM78" s="28" t="n">
        <v>0.590164</v>
      </c>
      <c r="BN78" s="28" t="n">
        <v>0.5870649999999999</v>
      </c>
      <c r="BO78" s="28" t="n"/>
      <c r="BP78" s="25" t="n"/>
      <c r="BQ78" s="27" t="n">
        <v>1.694444</v>
      </c>
      <c r="BR78" s="28" t="n">
        <v>0.59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n"/>
    </row>
    <row r="79" ht="36" customHeight="1">
      <c r="A79" s="24" t="inlineStr">
        <is>
          <t>fde80a4b2f894318</t>
        </is>
      </c>
      <c r="B79" s="24" t="inlineStr">
        <is>
          <t>2026-08-01T18:38:25.468461Z</t>
        </is>
      </c>
      <c r="C79" s="24" t="inlineStr">
        <is>
          <t>2026-08-01T19:07Z</t>
        </is>
      </c>
      <c r="D79" s="24" t="inlineStr">
        <is>
          <t>401816352</t>
        </is>
      </c>
      <c r="E79" s="24" t="inlineStr">
        <is>
          <t>MLB</t>
        </is>
      </c>
      <c r="F79" s="24" t="inlineStr">
        <is>
          <t>St. Louis Cardinals</t>
        </is>
      </c>
      <c r="G79" s="24" t="inlineStr">
        <is>
          <t>Toronto Blue Jays</t>
        </is>
      </c>
      <c r="H79" s="24" t="inlineStr">
        <is>
          <t>total</t>
        </is>
      </c>
      <c r="I79" s="24" t="inlineStr">
        <is>
          <t>over</t>
        </is>
      </c>
      <c r="J79" s="25" t="n">
        <v>8.5</v>
      </c>
      <c r="K79" s="24" t="inlineStr">
        <is>
          <t>polymarket_us</t>
        </is>
      </c>
      <c r="L79" s="26" t="n">
        <v>111</v>
      </c>
      <c r="M79" s="27" t="n">
        <v>2.11</v>
      </c>
      <c r="N79" s="28" t="n">
        <v>0.473934</v>
      </c>
      <c r="O79" s="28" t="n">
        <v>0.528302</v>
      </c>
      <c r="P79" s="28" t="n">
        <v>0.05172</v>
      </c>
      <c r="Q79" s="28" t="n">
        <v>0.054368</v>
      </c>
      <c r="R79" s="26" t="n">
        <v>46</v>
      </c>
      <c r="S79" s="29" t="n">
        <v>1</v>
      </c>
      <c r="T79" s="24" t="inlineStr">
        <is>
          <t>measured-edge-totals-v1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5</v>
      </c>
      <c r="Y79" s="25" t="n">
        <v>8.5</v>
      </c>
      <c r="Z79" s="26" t="n">
        <v>111</v>
      </c>
      <c r="AA79" s="28" t="n">
        <v>0.475</v>
      </c>
      <c r="AB79" s="28" t="n">
        <v>0.001066</v>
      </c>
      <c r="AC79" s="30" t="n">
        <v>-1</v>
      </c>
      <c r="AD79" s="24" t="inlineStr">
        <is>
          <t>2026-08-01T23:50:56.176778Z</t>
        </is>
      </c>
      <c r="AE79" s="31" t="inlineStr">
        <is>
          <t>Measured Edge Totals: Trend Engine projected 4.64-4.73; raw selected-side p=0.5451, calibrated p=0.5283.</t>
        </is>
      </c>
      <c r="AF79" s="31" t="inlineStr">
        <is>
          <t>Research-only; lineup, bullpen, park, weather, xFIP, and wRC+ may be neutral fallbacks; market availability and BBO depth may change before first pitch.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research_observation</t>
        </is>
      </c>
      <c r="AL79" s="26" t="n">
        <v>3</v>
      </c>
      <c r="AM79" s="24" t="inlineStr">
        <is>
          <t>RESEARCH_OBSERVATION</t>
        </is>
      </c>
      <c r="AN79" s="24" t="inlineStr">
        <is>
          <t>NO_CALL</t>
        </is>
      </c>
      <c r="AO79" s="24" t="inlineStr">
        <is>
          <t>NO_CALL_MODEL_UNVALIDATED</t>
        </is>
      </c>
      <c r="AP79" s="24" t="inlineStr">
        <is>
          <t>mlb-stl</t>
        </is>
      </c>
      <c r="AQ79" s="24" t="inlineStr">
        <is>
          <t>St. Louis Cardinals</t>
        </is>
      </c>
      <c r="AR79" s="24" t="inlineStr">
        <is>
          <t>St. Louis Cardinals</t>
        </is>
      </c>
      <c r="AS79" s="24" t="inlineStr">
        <is>
          <t>mlb-tor</t>
        </is>
      </c>
      <c r="AT79" s="24" t="inlineStr">
        <is>
          <t>Toronto Blue Jays</t>
        </is>
      </c>
      <c r="AU79" s="24" t="inlineStr">
        <is>
          <t>Toronto Blue Jays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research</t>
        </is>
      </c>
      <c r="BA79" s="24" t="inlineStr">
        <is>
          <t>cbc2c9bf5a9569a49e1902c816d96556d704cf10819ca3a9e927721685757d0b</t>
        </is>
      </c>
      <c r="BB79" s="24" t="inlineStr">
        <is>
          <t>flat_probability_shrinkage_toward_half</t>
        </is>
      </c>
      <c r="BC79" s="24" t="inlineStr">
        <is>
          <t>measured-edge-totals-v1</t>
        </is>
      </c>
      <c r="BD79" s="24" t="inlineStr">
        <is>
          <t>cbc2c9bf5a9569a49e1902c816d96556d704cf10819ca3a9e927721685757d0b</t>
        </is>
      </c>
      <c r="BE79" s="24" t="inlineStr">
        <is>
          <t>v3</t>
        </is>
      </c>
      <c r="BF79" s="24" t="inlineStr">
        <is>
          <t>1</t>
        </is>
      </c>
      <c r="BG79" s="24" t="inlineStr">
        <is>
          <t>measured-edge-paired-v1</t>
        </is>
      </c>
      <c r="BH79" s="24" t="inlineStr">
        <is>
          <t>2026-08-01T18:38:25.468461Z</t>
        </is>
      </c>
      <c r="BI79" s="24" t="inlineStr">
        <is>
          <t>["same_event","same_team_same_day","same_league_same_day"]</t>
        </is>
      </c>
      <c r="BJ79" s="25" t="n">
        <v>8.5</v>
      </c>
      <c r="BK79" s="26" t="n">
        <v>111</v>
      </c>
      <c r="BL79" s="27" t="n">
        <v>2.11</v>
      </c>
      <c r="BM79" s="28" t="n">
        <v>0.473934</v>
      </c>
      <c r="BN79" s="28" t="n">
        <v>0.472637</v>
      </c>
      <c r="BO79" s="28" t="n"/>
      <c r="BP79" s="25" t="n"/>
      <c r="BQ79" s="27" t="n">
        <v>2.11</v>
      </c>
      <c r="BR79" s="28" t="n">
        <v>0.475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n"/>
    </row>
    <row r="80" ht="36" customHeight="1">
      <c r="A80" s="24" t="inlineStr">
        <is>
          <t>53a2e3a55ed248f0</t>
        </is>
      </c>
      <c r="B80" s="24" t="inlineStr">
        <is>
          <t>2026-08-01T18:38:25.468461Z</t>
        </is>
      </c>
      <c r="C80" s="24" t="inlineStr">
        <is>
          <t>2026-08-01T20:10Z</t>
        </is>
      </c>
      <c r="D80" s="24" t="inlineStr">
        <is>
          <t>401816348</t>
        </is>
      </c>
      <c r="E80" s="24" t="inlineStr">
        <is>
          <t>MLB</t>
        </is>
      </c>
      <c r="F80" s="24" t="inlineStr">
        <is>
          <t>Chicago White Sox</t>
        </is>
      </c>
      <c r="G80" s="24" t="inlineStr">
        <is>
          <t>Tampa Bay Rays</t>
        </is>
      </c>
      <c r="H80" s="24" t="inlineStr">
        <is>
          <t>spread</t>
        </is>
      </c>
      <c r="I80" s="24" t="inlineStr">
        <is>
          <t>away</t>
        </is>
      </c>
      <c r="J80" s="25" t="n">
        <v>1.5</v>
      </c>
      <c r="K80" s="24" t="inlineStr">
        <is>
          <t>polymarket_us</t>
        </is>
      </c>
      <c r="L80" s="26" t="n">
        <v>-135</v>
      </c>
      <c r="M80" s="27" t="n">
        <v>1.740741</v>
      </c>
      <c r="N80" s="28" t="n">
        <v>0.574468</v>
      </c>
      <c r="O80" s="28" t="n">
        <v>0.556866</v>
      </c>
      <c r="P80" s="28" t="n">
        <v>0.042131</v>
      </c>
      <c r="Q80" s="28" t="n">
        <v>-0.017602</v>
      </c>
      <c r="R80" s="26" t="n">
        <v>16</v>
      </c>
      <c r="S80" s="29" t="n">
        <v>1</v>
      </c>
      <c r="T80" s="24" t="inlineStr">
        <is>
          <t>measured-edge-margin-v1</t>
        </is>
      </c>
      <c r="U80" s="24" t="inlineStr">
        <is>
          <t>settled</t>
        </is>
      </c>
      <c r="V80" s="24" t="inlineStr">
        <is>
          <t>win</t>
        </is>
      </c>
      <c r="W80" s="26" t="n">
        <v>0</v>
      </c>
      <c r="X80" s="26" t="n">
        <v>1</v>
      </c>
      <c r="Y80" s="25" t="n">
        <v>1.5</v>
      </c>
      <c r="Z80" s="26" t="n">
        <v>-135</v>
      </c>
      <c r="AA80" s="28" t="n">
        <v>0.575</v>
      </c>
      <c r="AB80" s="28" t="n">
        <v>0.000532</v>
      </c>
      <c r="AC80" s="30" t="n">
        <v>0.7407</v>
      </c>
      <c r="AD80" s="24" t="inlineStr">
        <is>
          <t>2026-08-01T23:50:56.898718Z</t>
        </is>
      </c>
      <c r="AE80" s="31" t="inlineStr">
        <is>
          <t>Measured Edge Margin: Trend Engine projected 4.52-4.44; raw selected-side p=0.6782, calibrated p=0.5569.</t>
        </is>
      </c>
      <c r="AF80" s="31" t="inlineStr">
        <is>
          <t>Research-only; lineup, bullpen, park, weather, xFIP, and wRC+ may be neutral fallbacks; market availability and BBO depth may change before first pitch.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NO_CALL_MODEL_UNVALIDATED</t>
        </is>
      </c>
      <c r="AP80" s="24" t="inlineStr">
        <is>
          <t>mlb-cws</t>
        </is>
      </c>
      <c r="AQ80" s="24" t="inlineStr">
        <is>
          <t>Chicago White Sox</t>
        </is>
      </c>
      <c r="AR80" s="24" t="inlineStr">
        <is>
          <t>Chicago White Sox</t>
        </is>
      </c>
      <c r="AS80" s="24" t="inlineStr">
        <is>
          <t>mlb-tb</t>
        </is>
      </c>
      <c r="AT80" s="24" t="inlineStr">
        <is>
          <t>Tampa Bay Rays</t>
        </is>
      </c>
      <c r="AU80" s="24" t="inlineStr">
        <is>
          <t>Tampa Bay Rays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2bc2ce55b0d39a20103f724bbddbde5394909acd49297f52665b596a0ae3ae8b</t>
        </is>
      </c>
      <c r="BB80" s="24" t="inlineStr">
        <is>
          <t>flat_probability_shrinkage_toward_half</t>
        </is>
      </c>
      <c r="BC80" s="24" t="inlineStr">
        <is>
          <t>measured-edge-margin-v1</t>
        </is>
      </c>
      <c r="BD80" s="24" t="inlineStr">
        <is>
          <t>2bc2ce55b0d39a20103f724bbddbde5394909acd49297f52665b596a0ae3ae8b</t>
        </is>
      </c>
      <c r="BE80" s="24" t="inlineStr">
        <is>
          <t>v3</t>
        </is>
      </c>
      <c r="BF80" s="24" t="inlineStr">
        <is>
          <t>1</t>
        </is>
      </c>
      <c r="BG80" s="24" t="inlineStr">
        <is>
          <t>measured-edge-paired-v1</t>
        </is>
      </c>
      <c r="BH80" s="24" t="inlineStr">
        <is>
          <t>2026-08-01T18:38:25.468461Z</t>
        </is>
      </c>
      <c r="BI80" s="24" t="inlineStr">
        <is>
          <t>["same_event","same_team_same_day","same_league_same_day"]</t>
        </is>
      </c>
      <c r="BJ80" s="25" t="n">
        <v>1.5</v>
      </c>
      <c r="BK80" s="26" t="n">
        <v>-135</v>
      </c>
      <c r="BL80" s="27" t="n">
        <v>1.740741</v>
      </c>
      <c r="BM80" s="28" t="n">
        <v>0.574468</v>
      </c>
      <c r="BN80" s="28" t="n">
        <v>0.572139</v>
      </c>
      <c r="BO80" s="28" t="n"/>
      <c r="BP80" s="25" t="n"/>
      <c r="BQ80" s="27" t="n">
        <v>1.740741</v>
      </c>
      <c r="BR80" s="28" t="n">
        <v>0.575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n"/>
    </row>
    <row r="81" ht="36" customHeight="1">
      <c r="A81" s="24" t="inlineStr">
        <is>
          <t>cc33b13ed9b840b9</t>
        </is>
      </c>
      <c r="B81" s="24" t="inlineStr">
        <is>
          <t>2026-08-01T18:38:25.468461Z</t>
        </is>
      </c>
      <c r="C81" s="24" t="inlineStr">
        <is>
          <t>2026-08-01T20:10Z</t>
        </is>
      </c>
      <c r="D81" s="24" t="inlineStr">
        <is>
          <t>401816348</t>
        </is>
      </c>
      <c r="E81" s="24" t="inlineStr">
        <is>
          <t>MLB</t>
        </is>
      </c>
      <c r="F81" s="24" t="inlineStr">
        <is>
          <t>Chicago White Sox</t>
        </is>
      </c>
      <c r="G81" s="24" t="inlineStr">
        <is>
          <t>Tampa Bay Rays</t>
        </is>
      </c>
      <c r="H81" s="24" t="inlineStr">
        <is>
          <t>total</t>
        </is>
      </c>
      <c r="I81" s="24" t="inlineStr">
        <is>
          <t>over</t>
        </is>
      </c>
      <c r="J81" s="25" t="n">
        <v>7.5</v>
      </c>
      <c r="K81" s="24" t="inlineStr">
        <is>
          <t>polymarket_us</t>
        </is>
      </c>
      <c r="L81" s="26" t="n">
        <v>100</v>
      </c>
      <c r="M81" s="27" t="n">
        <v>2</v>
      </c>
      <c r="N81" s="28" t="n">
        <v>0.5</v>
      </c>
      <c r="O81" s="28" t="n">
        <v>0.567639</v>
      </c>
      <c r="P81" s="28" t="n">
        <v>0.042131</v>
      </c>
      <c r="Q81" s="28" t="n">
        <v>0.067639</v>
      </c>
      <c r="R81" s="26" t="n">
        <v>59</v>
      </c>
      <c r="S81" s="29" t="n">
        <v>1.25</v>
      </c>
      <c r="T81" s="24" t="inlineStr">
        <is>
          <t>measured-edge-totals-v1</t>
        </is>
      </c>
      <c r="U81" s="24" t="inlineStr">
        <is>
          <t>settled</t>
        </is>
      </c>
      <c r="V81" s="24" t="inlineStr">
        <is>
          <t>loss</t>
        </is>
      </c>
      <c r="W81" s="26" t="n">
        <v>0</v>
      </c>
      <c r="X81" s="26" t="n">
        <v>1</v>
      </c>
      <c r="Y81" s="25" t="n">
        <v>7.5</v>
      </c>
      <c r="Z81" s="26" t="n">
        <v>100</v>
      </c>
      <c r="AA81" s="28" t="n">
        <v>0.5</v>
      </c>
      <c r="AB81" s="28" t="n">
        <v>0</v>
      </c>
      <c r="AC81" s="30" t="n">
        <v>-1.25</v>
      </c>
      <c r="AD81" s="24" t="inlineStr">
        <is>
          <t>2026-08-01T23:50:57.728981Z</t>
        </is>
      </c>
      <c r="AE81" s="31" t="inlineStr">
        <is>
          <t>Measured Edge Totals: Trend Engine projected 4.52-4.44; raw selected-side p=0.5857, calibrated p=0.5676.</t>
        </is>
      </c>
      <c r="AF81" s="31" t="inlineStr">
        <is>
          <t>Research-only; lineup, bullpen, park, weather, xFIP, and wRC+ may be neutral fallbacks; market availability and BBO depth may change before first pitch.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research_observation</t>
        </is>
      </c>
      <c r="AL81" s="26" t="n">
        <v>3</v>
      </c>
      <c r="AM81" s="24" t="inlineStr">
        <is>
          <t>RESEARCH_OBSERVATION</t>
        </is>
      </c>
      <c r="AN81" s="24" t="inlineStr">
        <is>
          <t>NO_CALL</t>
        </is>
      </c>
      <c r="AO81" s="24" t="inlineStr">
        <is>
          <t>NO_CALL_MODEL_UNVALIDATED</t>
        </is>
      </c>
      <c r="AP81" s="24" t="inlineStr">
        <is>
          <t>mlb-cws</t>
        </is>
      </c>
      <c r="AQ81" s="24" t="inlineStr">
        <is>
          <t>Chicago White Sox</t>
        </is>
      </c>
      <c r="AR81" s="24" t="inlineStr">
        <is>
          <t>Chicago White Sox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cbc2c9bf5a9569a49e1902c816d96556d704cf10819ca3a9e927721685757d0b</t>
        </is>
      </c>
      <c r="BB81" s="24" t="inlineStr">
        <is>
          <t>flat_probability_shrinkage_toward_half</t>
        </is>
      </c>
      <c r="BC81" s="24" t="inlineStr">
        <is>
          <t>measured-edge-totals-v1</t>
        </is>
      </c>
      <c r="BD81" s="24" t="inlineStr">
        <is>
          <t>cbc2c9bf5a9569a49e1902c816d96556d704cf10819ca3a9e927721685757d0b</t>
        </is>
      </c>
      <c r="BE81" s="24" t="inlineStr">
        <is>
          <t>v3</t>
        </is>
      </c>
      <c r="BF81" s="24" t="inlineStr">
        <is>
          <t>1</t>
        </is>
      </c>
      <c r="BG81" s="24" t="inlineStr">
        <is>
          <t>measured-edge-paired-v1</t>
        </is>
      </c>
      <c r="BH81" s="24" t="inlineStr">
        <is>
          <t>2026-08-01T18:38:25.468461Z</t>
        </is>
      </c>
      <c r="BI81" s="24" t="inlineStr">
        <is>
          <t>["same_event","same_team_same_day","same_league_same_day"]</t>
        </is>
      </c>
      <c r="BJ81" s="25" t="n">
        <v>7.5</v>
      </c>
      <c r="BK81" s="26" t="n">
        <v>100</v>
      </c>
      <c r="BL81" s="27" t="n">
        <v>2</v>
      </c>
      <c r="BM81" s="28" t="n">
        <v>0.5</v>
      </c>
      <c r="BN81" s="28" t="n">
        <v>0.497512</v>
      </c>
      <c r="BO81" s="28" t="n"/>
      <c r="BP81" s="25" t="n"/>
      <c r="BQ81" s="27" t="n">
        <v>2</v>
      </c>
      <c r="BR81" s="28" t="n">
        <v>0.5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n"/>
    </row>
    <row r="82" ht="36" customHeight="1">
      <c r="A82" s="24" t="inlineStr">
        <is>
          <t>d3fdf8f34a1b4649</t>
        </is>
      </c>
      <c r="B82" s="24" t="inlineStr">
        <is>
          <t>2026-08-01T18:38:25.468461Z</t>
        </is>
      </c>
      <c r="C82" s="24" t="inlineStr">
        <is>
          <t>2026-08-01T20:10Z</t>
        </is>
      </c>
      <c r="D82" s="24" t="inlineStr">
        <is>
          <t>401816349</t>
        </is>
      </c>
      <c r="E82" s="24" t="inlineStr">
        <is>
          <t>MLB</t>
        </is>
      </c>
      <c r="F82" s="24" t="inlineStr">
        <is>
          <t>Miami Marlins</t>
        </is>
      </c>
      <c r="G82" s="24" t="inlineStr">
        <is>
          <t>New York Mets</t>
        </is>
      </c>
      <c r="H82" s="24" t="inlineStr">
        <is>
          <t>spread</t>
        </is>
      </c>
      <c r="I82" s="24" t="inlineStr">
        <is>
          <t>away</t>
        </is>
      </c>
      <c r="J82" s="25" t="n">
        <v>1.5</v>
      </c>
      <c r="K82" s="24" t="inlineStr">
        <is>
          <t>polymarket_us</t>
        </is>
      </c>
      <c r="L82" s="26" t="n">
        <v>-170</v>
      </c>
      <c r="M82" s="27" t="n">
        <v>1.588235</v>
      </c>
      <c r="N82" s="28" t="n">
        <v>0.62963</v>
      </c>
      <c r="O82" s="28" t="n">
        <v>0.544015</v>
      </c>
      <c r="P82" s="28" t="n">
        <v>0.05172</v>
      </c>
      <c r="Q82" s="28" t="n">
        <v>-0.085615</v>
      </c>
      <c r="R82" s="26" t="n">
        <v>0</v>
      </c>
      <c r="S82" s="29" t="n">
        <v>1</v>
      </c>
      <c r="T82" s="24" t="inlineStr">
        <is>
          <t>measured-edge-margin-v1</t>
        </is>
      </c>
      <c r="U82" s="24" t="inlineStr">
        <is>
          <t>settled</t>
        </is>
      </c>
      <c r="V82" s="24" t="inlineStr">
        <is>
          <t>win</t>
        </is>
      </c>
      <c r="W82" s="26" t="n">
        <v>6</v>
      </c>
      <c r="X82" s="26" t="n">
        <v>2</v>
      </c>
      <c r="Y82" s="25" t="n">
        <v>1.5</v>
      </c>
      <c r="Z82" s="26" t="n">
        <v>-170</v>
      </c>
      <c r="AA82" s="28" t="n">
        <v>0.63</v>
      </c>
      <c r="AB82" s="28" t="n">
        <v>0.00037</v>
      </c>
      <c r="AC82" s="30" t="n">
        <v>0.5881999999999999</v>
      </c>
      <c r="AD82" s="24" t="inlineStr">
        <is>
          <t>2026-08-01T23:50:58.540283Z</t>
        </is>
      </c>
      <c r="AE82" s="31" t="inlineStr">
        <is>
          <t>Measured Edge Margin: Trend Engine projected 4.21-4.73; raw selected-side p=0.6128, calibrated p=0.5440.</t>
        </is>
      </c>
      <c r="AF82" s="31" t="inlineStr">
        <is>
          <t>Research-only; lineup, bullpen, park, weather, xFIP, and wRC+ may be neutral fallbacks; market availability and BBO depth may change before first pitch.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research_observation</t>
        </is>
      </c>
      <c r="AL82" s="26" t="n">
        <v>3</v>
      </c>
      <c r="AM82" s="24" t="inlineStr">
        <is>
          <t>RESEARCH_OBSERVATION</t>
        </is>
      </c>
      <c r="AN82" s="24" t="inlineStr">
        <is>
          <t>NO_CALL</t>
        </is>
      </c>
      <c r="AO82" s="24" t="inlineStr">
        <is>
          <t>NO_CALL_MODEL_UNVALIDATED</t>
        </is>
      </c>
      <c r="AP82" s="24" t="inlineStr">
        <is>
          <t>mlb-mia</t>
        </is>
      </c>
      <c r="AQ82" s="24" t="inlineStr">
        <is>
          <t>Miami Marlins</t>
        </is>
      </c>
      <c r="AR82" s="24" t="inlineStr">
        <is>
          <t>Miami Marlins</t>
        </is>
      </c>
      <c r="AS82" s="24" t="inlineStr">
        <is>
          <t>mlb-nym</t>
        </is>
      </c>
      <c r="AT82" s="24" t="inlineStr">
        <is>
          <t>New York Mets</t>
        </is>
      </c>
      <c r="AU82" s="24" t="inlineStr">
        <is>
          <t>New York Mets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research</t>
        </is>
      </c>
      <c r="BA82" s="24" t="inlineStr">
        <is>
          <t>2bc2ce55b0d39a20103f724bbddbde5394909acd49297f52665b596a0ae3ae8b</t>
        </is>
      </c>
      <c r="BB82" s="24" t="inlineStr">
        <is>
          <t>flat_probability_shrinkage_toward_half</t>
        </is>
      </c>
      <c r="BC82" s="24" t="inlineStr">
        <is>
          <t>measured-edge-margin-v1</t>
        </is>
      </c>
      <c r="BD82" s="24" t="inlineStr">
        <is>
          <t>2bc2ce55b0d39a20103f724bbddbde5394909acd49297f52665b596a0ae3ae8b</t>
        </is>
      </c>
      <c r="BE82" s="24" t="inlineStr">
        <is>
          <t>v3</t>
        </is>
      </c>
      <c r="BF82" s="24" t="inlineStr">
        <is>
          <t>1</t>
        </is>
      </c>
      <c r="BG82" s="24" t="inlineStr">
        <is>
          <t>measured-edge-paired-v1</t>
        </is>
      </c>
      <c r="BH82" s="24" t="inlineStr">
        <is>
          <t>2026-08-01T18:38:25.468461Z</t>
        </is>
      </c>
      <c r="BI82" s="24" t="inlineStr">
        <is>
          <t>["same_event","same_team_same_day","same_league_same_day"]</t>
        </is>
      </c>
      <c r="BJ82" s="25" t="n">
        <v>1.5</v>
      </c>
      <c r="BK82" s="26" t="n">
        <v>-170</v>
      </c>
      <c r="BL82" s="27" t="n">
        <v>1.588235</v>
      </c>
      <c r="BM82" s="28" t="n">
        <v>0.62963</v>
      </c>
      <c r="BN82" s="28" t="n">
        <v>0.626866</v>
      </c>
      <c r="BO82" s="28" t="n"/>
      <c r="BP82" s="25" t="n"/>
      <c r="BQ82" s="27" t="n">
        <v>1.588235</v>
      </c>
      <c r="BR82" s="28" t="n">
        <v>0.63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n"/>
    </row>
    <row r="83" ht="36" customHeight="1">
      <c r="A83" s="24" t="inlineStr">
        <is>
          <t>31fc43af9c9848fa</t>
        </is>
      </c>
      <c r="B83" s="24" t="inlineStr">
        <is>
          <t>2026-08-01T18:38:25.468461Z</t>
        </is>
      </c>
      <c r="C83" s="24" t="inlineStr">
        <is>
          <t>2026-08-01T20:10Z</t>
        </is>
      </c>
      <c r="D83" s="24" t="inlineStr">
        <is>
          <t>401816349</t>
        </is>
      </c>
      <c r="E83" s="24" t="inlineStr">
        <is>
          <t>MLB</t>
        </is>
      </c>
      <c r="F83" s="24" t="inlineStr">
        <is>
          <t>Miami Marlins</t>
        </is>
      </c>
      <c r="G83" s="24" t="inlineStr">
        <is>
          <t>New York Mets</t>
        </is>
      </c>
      <c r="H83" s="24" t="inlineStr">
        <is>
          <t>total</t>
        </is>
      </c>
      <c r="I83" s="24" t="inlineStr">
        <is>
          <t>over</t>
        </is>
      </c>
      <c r="J83" s="25" t="n">
        <v>8.5</v>
      </c>
      <c r="K83" s="24" t="inlineStr">
        <is>
          <t>polymarket_us</t>
        </is>
      </c>
      <c r="L83" s="26" t="n">
        <v>-122</v>
      </c>
      <c r="M83" s="27" t="n">
        <v>1.819672</v>
      </c>
      <c r="N83" s="28" t="n">
        <v>0.54955</v>
      </c>
      <c r="O83" s="28" t="n">
        <v>0.488139</v>
      </c>
      <c r="P83" s="28" t="n">
        <v>0.05172</v>
      </c>
      <c r="Q83" s="28" t="n">
        <v>-0.061411</v>
      </c>
      <c r="R83" s="26" t="n">
        <v>0</v>
      </c>
      <c r="S83" s="29" t="n">
        <v>1</v>
      </c>
      <c r="T83" s="24" t="inlineStr">
        <is>
          <t>measured-edge-totals-v1</t>
        </is>
      </c>
      <c r="U83" s="24" t="inlineStr">
        <is>
          <t>settled</t>
        </is>
      </c>
      <c r="V83" s="24" t="inlineStr">
        <is>
          <t>loss</t>
        </is>
      </c>
      <c r="W83" s="26" t="n">
        <v>6</v>
      </c>
      <c r="X83" s="26" t="n">
        <v>2</v>
      </c>
      <c r="Y83" s="25" t="n">
        <v>8.5</v>
      </c>
      <c r="Z83" s="26" t="n">
        <v>-122</v>
      </c>
      <c r="AA83" s="28" t="n">
        <v>0.55</v>
      </c>
      <c r="AB83" s="28" t="n">
        <v>0.00045</v>
      </c>
      <c r="AC83" s="30" t="n">
        <v>-1</v>
      </c>
      <c r="AD83" s="24" t="inlineStr">
        <is>
          <t>2026-08-01T23:50:59.262224Z</t>
        </is>
      </c>
      <c r="AE83" s="31" t="inlineStr">
        <is>
          <t>Measured Edge Totals: Trend Engine projected 4.21-4.73; raw selected-side p=0.5037, calibrated p=0.4881.</t>
        </is>
      </c>
      <c r="AF83" s="31" t="inlineStr">
        <is>
          <t>Research-only; lineup, bullpen, park, weather, xFIP, and wRC+ may be neutral fallbacks; market availability and BBO depth may change before first pitch.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research_observation</t>
        </is>
      </c>
      <c r="AL83" s="26" t="n">
        <v>3</v>
      </c>
      <c r="AM83" s="24" t="inlineStr">
        <is>
          <t>RESEARCH_OBSERVATION</t>
        </is>
      </c>
      <c r="AN83" s="24" t="inlineStr">
        <is>
          <t>NO_CALL</t>
        </is>
      </c>
      <c r="AO83" s="24" t="inlineStr">
        <is>
          <t>NO_CALL_MODEL_UNVALIDATED</t>
        </is>
      </c>
      <c r="AP83" s="24" t="inlineStr">
        <is>
          <t>mlb-mia</t>
        </is>
      </c>
      <c r="AQ83" s="24" t="inlineStr">
        <is>
          <t>Miami Marlins</t>
        </is>
      </c>
      <c r="AR83" s="24" t="inlineStr">
        <is>
          <t>Miami Marlins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research</t>
        </is>
      </c>
      <c r="BA83" s="24" t="inlineStr">
        <is>
          <t>cbc2c9bf5a9569a49e1902c816d96556d704cf10819ca3a9e927721685757d0b</t>
        </is>
      </c>
      <c r="BB83" s="24" t="inlineStr">
        <is>
          <t>flat_probability_shrinkage_toward_half</t>
        </is>
      </c>
      <c r="BC83" s="24" t="inlineStr">
        <is>
          <t>measured-edge-totals-v1</t>
        </is>
      </c>
      <c r="BD83" s="24" t="inlineStr">
        <is>
          <t>cbc2c9bf5a9569a49e1902c816d96556d704cf10819ca3a9e927721685757d0b</t>
        </is>
      </c>
      <c r="BE83" s="24" t="inlineStr">
        <is>
          <t>v3</t>
        </is>
      </c>
      <c r="BF83" s="24" t="inlineStr">
        <is>
          <t>1</t>
        </is>
      </c>
      <c r="BG83" s="24" t="inlineStr">
        <is>
          <t>measured-edge-paired-v1</t>
        </is>
      </c>
      <c r="BH83" s="24" t="inlineStr">
        <is>
          <t>2026-08-01T18:38:25.468461Z</t>
        </is>
      </c>
      <c r="BI83" s="24" t="inlineStr">
        <is>
          <t>["same_event","same_team_same_day","same_league_same_day"]</t>
        </is>
      </c>
      <c r="BJ83" s="25" t="n">
        <v>8.5</v>
      </c>
      <c r="BK83" s="26" t="n">
        <v>-122</v>
      </c>
      <c r="BL83" s="27" t="n">
        <v>1.819672</v>
      </c>
      <c r="BM83" s="28" t="n">
        <v>0.54955</v>
      </c>
      <c r="BN83" s="28" t="n">
        <v>0.547264</v>
      </c>
      <c r="BO83" s="28" t="n"/>
      <c r="BP83" s="25" t="n"/>
      <c r="BQ83" s="27" t="n">
        <v>1.819672</v>
      </c>
      <c r="BR83" s="28" t="n">
        <v>0.55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n"/>
    </row>
    <row r="84" ht="36" customHeight="1">
      <c r="A84" s="24" t="inlineStr">
        <is>
          <t>ec83628205ea4fed</t>
        </is>
      </c>
      <c r="B84" s="24" t="inlineStr">
        <is>
          <t>2026-08-01T18:38:25.468461Z</t>
        </is>
      </c>
      <c r="C84" s="24" t="inlineStr">
        <is>
          <t>2026-08-01T20:10Z</t>
        </is>
      </c>
      <c r="D84" s="24" t="inlineStr">
        <is>
          <t>401816360</t>
        </is>
      </c>
      <c r="E84" s="24" t="inlineStr">
        <is>
          <t>MLB</t>
        </is>
      </c>
      <c r="F84" s="24" t="inlineStr">
        <is>
          <t>Minnesota Twins</t>
        </is>
      </c>
      <c r="G84" s="24" t="inlineStr">
        <is>
          <t>Seattle Mariners</t>
        </is>
      </c>
      <c r="H84" s="24" t="inlineStr">
        <is>
          <t>spread</t>
        </is>
      </c>
      <c r="I84" s="24" t="inlineStr">
        <is>
          <t>away</t>
        </is>
      </c>
      <c r="J84" s="25" t="n">
        <v>1.5</v>
      </c>
      <c r="K84" s="24" t="inlineStr">
        <is>
          <t>polymarket_us</t>
        </is>
      </c>
      <c r="L84" s="26" t="n">
        <v>-144</v>
      </c>
      <c r="M84" s="27" t="n">
        <v>1.694444</v>
      </c>
      <c r="N84" s="28" t="n">
        <v>0.590164</v>
      </c>
      <c r="O84" s="28" t="n">
        <v>0.548643</v>
      </c>
      <c r="P84" s="28" t="n">
        <v>0.042131</v>
      </c>
      <c r="Q84" s="28" t="n">
        <v>-0.041521</v>
      </c>
      <c r="R84" s="26" t="n">
        <v>4</v>
      </c>
      <c r="S84" s="29" t="n">
        <v>1</v>
      </c>
      <c r="T84" s="24" t="inlineStr">
        <is>
          <t>measured-edge-margin-v1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4</v>
      </c>
      <c r="Y84" s="25" t="n">
        <v>1.5</v>
      </c>
      <c r="Z84" s="26" t="n">
        <v>-144</v>
      </c>
      <c r="AA84" s="28" t="n">
        <v>0.59</v>
      </c>
      <c r="AB84" s="28" t="n">
        <v>-0.000164</v>
      </c>
      <c r="AC84" s="30" t="n">
        <v>0.6944</v>
      </c>
      <c r="AD84" s="24" t="inlineStr">
        <is>
          <t>2026-08-01T23:50:59.981913Z</t>
        </is>
      </c>
      <c r="AE84" s="31" t="inlineStr">
        <is>
          <t>Measured Edge Margin: Trend Engine projected 4.36-4.68; raw selected-side p=0.6363, calibrated p=0.5486.</t>
        </is>
      </c>
      <c r="AF84" s="31" t="inlineStr">
        <is>
          <t>Research-only; lineup, bullpen, park, weather, xFIP, and wRC+ may be neutral fallbacks; market availability and BBO depth may change before first pitch.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mlb-min</t>
        </is>
      </c>
      <c r="AQ84" s="24" t="inlineStr">
        <is>
          <t>Minnesota Twins</t>
        </is>
      </c>
      <c r="AR84" s="24" t="inlineStr">
        <is>
          <t>Minnesota Twins</t>
        </is>
      </c>
      <c r="AS84" s="24" t="inlineStr">
        <is>
          <t>mlb-sea</t>
        </is>
      </c>
      <c r="AT84" s="24" t="inlineStr">
        <is>
          <t>Seattle Mariners</t>
        </is>
      </c>
      <c r="AU84" s="24" t="inlineStr">
        <is>
          <t>Seattle Mariners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research</t>
        </is>
      </c>
      <c r="BA84" s="24" t="inlineStr">
        <is>
          <t>2bc2ce55b0d39a20103f724bbddbde5394909acd49297f52665b596a0ae3ae8b</t>
        </is>
      </c>
      <c r="BB84" s="24" t="inlineStr">
        <is>
          <t>flat_probability_shrinkage_toward_half</t>
        </is>
      </c>
      <c r="BC84" s="24" t="inlineStr">
        <is>
          <t>measured-edge-margin-v1</t>
        </is>
      </c>
      <c r="BD84" s="24" t="inlineStr">
        <is>
          <t>2bc2ce55b0d39a20103f724bbddbde5394909acd49297f52665b596a0ae3ae8b</t>
        </is>
      </c>
      <c r="BE84" s="24" t="inlineStr">
        <is>
          <t>v3</t>
        </is>
      </c>
      <c r="BF84" s="24" t="inlineStr">
        <is>
          <t>1</t>
        </is>
      </c>
      <c r="BG84" s="24" t="inlineStr">
        <is>
          <t>measured-edge-paired-v1</t>
        </is>
      </c>
      <c r="BH84" s="24" t="inlineStr">
        <is>
          <t>2026-08-01T18:38:25.468461Z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-144</v>
      </c>
      <c r="BL84" s="27" t="n">
        <v>1.694444</v>
      </c>
      <c r="BM84" s="28" t="n">
        <v>0.590164</v>
      </c>
      <c r="BN84" s="28" t="n">
        <v>0.5870649999999999</v>
      </c>
      <c r="BO84" s="28" t="n"/>
      <c r="BP84" s="25" t="n"/>
      <c r="BQ84" s="27" t="n">
        <v>1.694444</v>
      </c>
      <c r="BR84" s="28" t="n">
        <v>0.59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n"/>
    </row>
    <row r="85" ht="36" customHeight="1">
      <c r="A85" s="24" t="inlineStr">
        <is>
          <t>21428e43c77d4c5e</t>
        </is>
      </c>
      <c r="B85" s="24" t="inlineStr">
        <is>
          <t>2026-08-01T18:38:25.468461Z</t>
        </is>
      </c>
      <c r="C85" s="24" t="inlineStr">
        <is>
          <t>2026-08-01T20:10Z</t>
        </is>
      </c>
      <c r="D85" s="24" t="inlineStr">
        <is>
          <t>401816360</t>
        </is>
      </c>
      <c r="E85" s="24" t="inlineStr">
        <is>
          <t>MLB</t>
        </is>
      </c>
      <c r="F85" s="24" t="inlineStr">
        <is>
          <t>Minnesota Twins</t>
        </is>
      </c>
      <c r="G85" s="24" t="inlineStr">
        <is>
          <t>Seattle Mariners</t>
        </is>
      </c>
      <c r="H85" s="24" t="inlineStr">
        <is>
          <t>total</t>
        </is>
      </c>
      <c r="I85" s="24" t="inlineStr">
        <is>
          <t>over</t>
        </is>
      </c>
      <c r="J85" s="25" t="n">
        <v>7.5</v>
      </c>
      <c r="K85" s="24" t="inlineStr">
        <is>
          <t>polymarket_us</t>
        </is>
      </c>
      <c r="L85" s="26" t="n">
        <v>117</v>
      </c>
      <c r="M85" s="27" t="n">
        <v>2.17</v>
      </c>
      <c r="N85" s="28" t="n">
        <v>0.460829</v>
      </c>
      <c r="O85" s="28" t="n">
        <v>0.5787949999999999</v>
      </c>
      <c r="P85" s="28" t="n">
        <v>0.042131</v>
      </c>
      <c r="Q85" s="28" t="n">
        <v>0.117966</v>
      </c>
      <c r="R85" s="26" t="n">
        <v>84</v>
      </c>
      <c r="S85" s="29" t="n">
        <v>1.25</v>
      </c>
      <c r="T85" s="24" t="inlineStr">
        <is>
          <t>measured-edge-totals-v1</t>
        </is>
      </c>
      <c r="U85" s="24" t="inlineStr">
        <is>
          <t>settled</t>
        </is>
      </c>
      <c r="V85" s="24" t="inlineStr">
        <is>
          <t>loss</t>
        </is>
      </c>
      <c r="W85" s="26" t="n">
        <v>3</v>
      </c>
      <c r="X85" s="26" t="n">
        <v>4</v>
      </c>
      <c r="Y85" s="25" t="n">
        <v>7.5</v>
      </c>
      <c r="Z85" s="26" t="n">
        <v>117</v>
      </c>
      <c r="AA85" s="28" t="n">
        <v>0.46</v>
      </c>
      <c r="AB85" s="28" t="n">
        <v>-0.000829</v>
      </c>
      <c r="AC85" s="30" t="n">
        <v>-1.25</v>
      </c>
      <c r="AD85" s="24" t="inlineStr">
        <is>
          <t>2026-08-01T23:51:00.708985Z</t>
        </is>
      </c>
      <c r="AE85" s="31" t="inlineStr">
        <is>
          <t>Measured Edge Totals: Trend Engine projected 4.36-4.68; raw selected-side p=0.5971, calibrated p=0.5788.</t>
        </is>
      </c>
      <c r="AF85" s="31" t="inlineStr">
        <is>
          <t>Research-only; lineup, bullpen, park, weather, xFIP, and wRC+ may be neutral fallbacks; market availability and BBO depth may change before first pitch.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NO_CALL_MODEL_UNVALIDATED</t>
        </is>
      </c>
      <c r="AP85" s="24" t="inlineStr">
        <is>
          <t>mlb-min</t>
        </is>
      </c>
      <c r="AQ85" s="24" t="inlineStr">
        <is>
          <t>Minnesota Twins</t>
        </is>
      </c>
      <c r="AR85" s="24" t="inlineStr">
        <is>
          <t>Minnesota Twins</t>
        </is>
      </c>
      <c r="AS85" s="24" t="inlineStr">
        <is>
          <t>mlb-sea</t>
        </is>
      </c>
      <c r="AT85" s="24" t="inlineStr">
        <is>
          <t>Seattle Mariners</t>
        </is>
      </c>
      <c r="AU85" s="24" t="inlineStr">
        <is>
          <t>Seattle Mariners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cbc2c9bf5a9569a49e1902c816d96556d704cf10819ca3a9e927721685757d0b</t>
        </is>
      </c>
      <c r="BB85" s="24" t="inlineStr">
        <is>
          <t>flat_probability_shrinkage_toward_half</t>
        </is>
      </c>
      <c r="BC85" s="24" t="inlineStr">
        <is>
          <t>measured-edge-totals-v1</t>
        </is>
      </c>
      <c r="BD85" s="24" t="inlineStr">
        <is>
          <t>cbc2c9bf5a9569a49e1902c816d96556d704cf10819ca3a9e927721685757d0b</t>
        </is>
      </c>
      <c r="BE85" s="24" t="inlineStr">
        <is>
          <t>v3</t>
        </is>
      </c>
      <c r="BF85" s="24" t="inlineStr">
        <is>
          <t>1</t>
        </is>
      </c>
      <c r="BG85" s="24" t="inlineStr">
        <is>
          <t>measured-edge-paired-v1</t>
        </is>
      </c>
      <c r="BH85" s="24" t="inlineStr">
        <is>
          <t>2026-08-01T18:38:25.468461Z</t>
        </is>
      </c>
      <c r="BI85" s="24" t="inlineStr">
        <is>
          <t>["same_event","same_team_same_day","same_league_same_day"]</t>
        </is>
      </c>
      <c r="BJ85" s="25" t="n">
        <v>7.5</v>
      </c>
      <c r="BK85" s="26" t="n">
        <v>117</v>
      </c>
      <c r="BL85" s="27" t="n">
        <v>2.17</v>
      </c>
      <c r="BM85" s="28" t="n">
        <v>0.460829</v>
      </c>
      <c r="BN85" s="28" t="n">
        <v>0.457711</v>
      </c>
      <c r="BO85" s="28" t="n"/>
      <c r="BP85" s="25" t="n"/>
      <c r="BQ85" s="27" t="n">
        <v>2.17</v>
      </c>
      <c r="BR85" s="28" t="n">
        <v>0.46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n"/>
    </row>
    <row r="86" ht="36" customHeight="1">
      <c r="A86" s="24" t="inlineStr">
        <is>
          <t>2469e3d27f3d4837</t>
        </is>
      </c>
      <c r="B86" s="24" t="inlineStr">
        <is>
          <t>2026-08-01T20:15:07.885436Z</t>
        </is>
      </c>
      <c r="C86" s="24" t="inlineStr">
        <is>
          <t>2026-08-01T18:40:00-0400</t>
        </is>
      </c>
      <c r="D86" s="24" t="inlineStr">
        <is>
          <t>401816351</t>
        </is>
      </c>
      <c r="E86" s="24" t="inlineStr">
        <is>
          <t>MLB</t>
        </is>
      </c>
      <c r="F86" s="24" t="inlineStr">
        <is>
          <t>Pittsburgh Pirates</t>
        </is>
      </c>
      <c r="G86" s="24" t="inlineStr">
        <is>
          <t>Cincinnati Reds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-113</v>
      </c>
      <c r="M86" s="27" t="n">
        <v>1.884956</v>
      </c>
      <c r="N86" s="28" t="n">
        <v>0.530516</v>
      </c>
      <c r="O86" s="28" t="n">
        <v>0.514401</v>
      </c>
      <c r="P86" s="28" t="n"/>
      <c r="Q86" s="28" t="n">
        <v>-0.016115</v>
      </c>
      <c r="R86" s="26" t="n">
        <v>14</v>
      </c>
      <c r="S86" s="29" t="n">
        <v>1</v>
      </c>
      <c r="T86" s="24" t="inlineStr">
        <is>
          <t>mlb-elo-trend-lr-v7</t>
        </is>
      </c>
      <c r="U86" s="24" t="inlineStr">
        <is>
          <t>settled</t>
        </is>
      </c>
      <c r="V86" s="24" t="inlineStr">
        <is>
          <t>win</t>
        </is>
      </c>
      <c r="W86" s="26" t="n">
        <v>4</v>
      </c>
      <c r="X86" s="26" t="n">
        <v>1</v>
      </c>
      <c r="Y86" s="25" t="n"/>
      <c r="Z86" s="26" t="n">
        <v>-113</v>
      </c>
      <c r="AA86" s="28" t="n">
        <v>0.53</v>
      </c>
      <c r="AB86" s="28" t="n">
        <v>-0.000516</v>
      </c>
      <c r="AC86" s="30" t="n">
        <v>0.885</v>
      </c>
      <c r="AD86" s="24" t="inlineStr">
        <is>
          <t>2026-08-02T03:25:53.630797Z</t>
        </is>
      </c>
      <c r="AE86" s="31" t="inlineStr">
        <is>
          <t>Learned LR call at threshold 0.6242; executable ask 0.5300 (aec-mlb-pit-cin-2026-08-01); model edge vs ask -0.0156.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mlb-pit</t>
        </is>
      </c>
      <c r="AQ86" s="24" t="inlineStr">
        <is>
          <t>Pittsburgh Pirates</t>
        </is>
      </c>
      <c r="AR86" s="24" t="inlineStr">
        <is>
          <t>Pittsburgh Pirates</t>
        </is>
      </c>
      <c r="AS86" s="24" t="inlineStr">
        <is>
          <t>mlb-cin</t>
        </is>
      </c>
      <c r="AT86" s="24" t="inlineStr">
        <is>
          <t>Cincinnati Reds</t>
        </is>
      </c>
      <c r="AU86" s="24" t="inlineStr">
        <is>
          <t>Cincinnati Reds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464eef695bfbbdaa819ec6f5e4c5bd1068ed20b92915fb2677220ae91e20d8b6</t>
        </is>
      </c>
      <c r="BB86" s="24" t="inlineStr">
        <is>
          <t>learned_lr</t>
        </is>
      </c>
      <c r="BC86" s="24" t="inlineStr">
        <is>
          <t>mlb-elo-trend-lr-v7</t>
        </is>
      </c>
      <c r="BD86" s="24" t="inlineStr">
        <is>
          <t>464eef695bfbbdaa819ec6f5e4c5bd1068ed20b92915fb2677220ae91e20d8b6</t>
        </is>
      </c>
      <c r="BE86" s="24" t="inlineStr">
        <is>
          <t>8c1940db78503612</t>
        </is>
      </c>
      <c r="BF86" s="24" t="inlineStr">
        <is>
          <t>1</t>
        </is>
      </c>
      <c r="BG86" s="24" t="inlineStr">
        <is>
          <t>mlb-elo-trend-lr-v7</t>
        </is>
      </c>
      <c r="BH86" s="24" t="inlineStr">
        <is>
          <t>2026-08-01T20:14:06.422794Z</t>
        </is>
      </c>
      <c r="BI86" s="24" t="inlineStr">
        <is>
          <t>["same_event","same_team_same_day","same_league_same_day"]</t>
        </is>
      </c>
      <c r="BJ86" s="25" t="n"/>
      <c r="BK86" s="26" t="n">
        <v>-113</v>
      </c>
      <c r="BL86" s="27" t="n">
        <v>1.884956</v>
      </c>
      <c r="BM86" s="28" t="n">
        <v>0.530516</v>
      </c>
      <c r="BN86" s="28" t="n">
        <v>0.527363</v>
      </c>
      <c r="BO86" s="28" t="n"/>
      <c r="BP86" s="25" t="n"/>
      <c r="BQ86" s="27" t="n">
        <v>1.884956</v>
      </c>
      <c r="BR86" s="28" t="n">
        <v>0.53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0.4970624032</t>
        </is>
      </c>
      <c r="CD86" s="24" t="inlineStr">
        <is>
          <t>1.00651</t>
        </is>
      </c>
      <c r="CE86" s="24" t="inlineStr">
        <is>
          <t>1.036</t>
        </is>
      </c>
      <c r="CF86" s="24" t="inlineStr">
        <is>
          <t>1.0084</t>
        </is>
      </c>
      <c r="CG86" s="24" t="inlineStr">
        <is>
          <t>-0.6</t>
        </is>
      </c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n"/>
    </row>
    <row r="87" ht="36" customHeight="1">
      <c r="A87" s="24" t="inlineStr">
        <is>
          <t>bdb8ee06112d422a</t>
        </is>
      </c>
      <c r="B87" s="24" t="inlineStr">
        <is>
          <t>2026-08-01T20:15:07.885436Z</t>
        </is>
      </c>
      <c r="C87" s="24" t="inlineStr">
        <is>
          <t>2026-08-01T19:05:00-0400</t>
        </is>
      </c>
      <c r="D87" s="24" t="inlineStr">
        <is>
          <t>401816350</t>
        </is>
      </c>
      <c r="E87" s="24" t="inlineStr">
        <is>
          <t>MLB</t>
        </is>
      </c>
      <c r="F87" s="24" t="inlineStr">
        <is>
          <t>Philadelphia Phillies</t>
        </is>
      </c>
      <c r="G87" s="24" t="inlineStr">
        <is>
          <t>Baltimore Orioles</t>
        </is>
      </c>
      <c r="H87" s="24" t="inlineStr">
        <is>
          <t>moneyline</t>
        </is>
      </c>
      <c r="I87" s="24" t="inlineStr">
        <is>
          <t>away</t>
        </is>
      </c>
      <c r="J87" s="25" t="n"/>
      <c r="K87" s="24" t="inlineStr">
        <is>
          <t>polymarket_us</t>
        </is>
      </c>
      <c r="L87" s="26" t="n">
        <v>-138</v>
      </c>
      <c r="M87" s="27" t="n">
        <v>1.724638</v>
      </c>
      <c r="N87" s="28" t="n">
        <v>0.579832</v>
      </c>
      <c r="O87" s="28" t="n">
        <v>0.513137</v>
      </c>
      <c r="P87" s="28" t="n"/>
      <c r="Q87" s="28" t="n">
        <v>-0.066695</v>
      </c>
      <c r="R87" s="26" t="n">
        <v>0</v>
      </c>
      <c r="S87" s="29" t="n">
        <v>1</v>
      </c>
      <c r="T87" s="24" t="inlineStr">
        <is>
          <t>mlb-elo-trend-lr-v7</t>
        </is>
      </c>
      <c r="U87" s="24" t="inlineStr">
        <is>
          <t>settled</t>
        </is>
      </c>
      <c r="V87" s="24" t="inlineStr">
        <is>
          <t>win</t>
        </is>
      </c>
      <c r="W87" s="26" t="n">
        <v>5</v>
      </c>
      <c r="X87" s="26" t="n">
        <v>0</v>
      </c>
      <c r="Y87" s="25" t="n"/>
      <c r="Z87" s="26" t="n">
        <v>-138</v>
      </c>
      <c r="AA87" s="28" t="n">
        <v>0.58</v>
      </c>
      <c r="AB87" s="28" t="n">
        <v>0.000168</v>
      </c>
      <c r="AC87" s="30" t="n">
        <v>0.7246</v>
      </c>
      <c r="AD87" s="24" t="inlineStr">
        <is>
          <t>2026-08-02T03:25:54.081558Z</t>
        </is>
      </c>
      <c r="AE87" s="31" t="inlineStr">
        <is>
          <t>Learned LR call at threshold 0.6242; executable ask 0.5800 (aec-mlb-phi-bal-2026-08-01); model edge vs ask -0.0669.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mlb-phi</t>
        </is>
      </c>
      <c r="AQ87" s="24" t="inlineStr">
        <is>
          <t>Philadelphia Phillies</t>
        </is>
      </c>
      <c r="AR87" s="24" t="inlineStr">
        <is>
          <t>Philadelphia Phillies</t>
        </is>
      </c>
      <c r="AS87" s="24" t="inlineStr">
        <is>
          <t>mlb-bal</t>
        </is>
      </c>
      <c r="AT87" s="24" t="inlineStr">
        <is>
          <t>Baltimore Orioles</t>
        </is>
      </c>
      <c r="AU87" s="24" t="inlineStr">
        <is>
          <t>Baltimore Orioles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464eef695bfbbdaa819ec6f5e4c5bd1068ed20b92915fb2677220ae91e20d8b6</t>
        </is>
      </c>
      <c r="BB87" s="24" t="inlineStr">
        <is>
          <t>learned_lr</t>
        </is>
      </c>
      <c r="BC87" s="24" t="inlineStr">
        <is>
          <t>mlb-elo-trend-lr-v7</t>
        </is>
      </c>
      <c r="BD87" s="24" t="inlineStr">
        <is>
          <t>464eef695bfbbdaa819ec6f5e4c5bd1068ed20b92915fb2677220ae91e20d8b6</t>
        </is>
      </c>
      <c r="BE87" s="24" t="inlineStr">
        <is>
          <t>d586eb6336d4b039</t>
        </is>
      </c>
      <c r="BF87" s="24" t="inlineStr">
        <is>
          <t>1</t>
        </is>
      </c>
      <c r="BG87" s="24" t="inlineStr">
        <is>
          <t>mlb-elo-trend-lr-v7</t>
        </is>
      </c>
      <c r="BH87" s="24" t="inlineStr">
        <is>
          <t>2026-08-01T20:14:07.264311Z</t>
        </is>
      </c>
      <c r="BI87" s="24" t="inlineStr">
        <is>
          <t>["same_event","same_team_same_day","same_league_same_day"]</t>
        </is>
      </c>
      <c r="BJ87" s="25" t="n"/>
      <c r="BK87" s="26" t="n">
        <v>-138</v>
      </c>
      <c r="BL87" s="27" t="n">
        <v>1.724638</v>
      </c>
      <c r="BM87" s="28" t="n">
        <v>0.579832</v>
      </c>
      <c r="BN87" s="28" t="n">
        <v>0.577114</v>
      </c>
      <c r="BO87" s="28" t="n"/>
      <c r="BP87" s="25" t="n"/>
      <c r="BQ87" s="27" t="n">
        <v>1.724638</v>
      </c>
      <c r="BR87" s="28" t="n">
        <v>0.58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0.4932721792</t>
        </is>
      </c>
      <c r="CD87" s="24" t="inlineStr">
        <is>
          <t>1.020825</t>
        </is>
      </c>
      <c r="CE87" s="24" t="inlineStr">
        <is>
          <t>1.03</t>
        </is>
      </c>
      <c r="CF87" s="24" t="inlineStr">
        <is>
          <t>1.0145</t>
        </is>
      </c>
      <c r="CG87" s="24" t="inlineStr">
        <is>
          <t>1.6</t>
        </is>
      </c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n"/>
    </row>
    <row r="88" ht="36" customHeight="1">
      <c r="A88" s="24" t="inlineStr">
        <is>
          <t>9afb3d9535a94f55</t>
        </is>
      </c>
      <c r="B88" s="24" t="inlineStr">
        <is>
          <t>2026-08-01T20:15:07.885436Z</t>
        </is>
      </c>
      <c r="C88" s="24" t="inlineStr">
        <is>
          <t>2026-08-01T19:10:00-0400</t>
        </is>
      </c>
      <c r="D88" s="24" t="inlineStr">
        <is>
          <t>401816355</t>
        </is>
      </c>
      <c r="E88" s="24" t="inlineStr">
        <is>
          <t>MLB</t>
        </is>
      </c>
      <c r="F88" s="24" t="inlineStr">
        <is>
          <t>Texas Rangers</t>
        </is>
      </c>
      <c r="G88" s="24" t="inlineStr">
        <is>
          <t>Houston Astros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115</v>
      </c>
      <c r="M88" s="27" t="n">
        <v>2.15</v>
      </c>
      <c r="N88" s="28" t="n">
        <v>0.465116</v>
      </c>
      <c r="O88" s="28" t="n">
        <v>0.542652</v>
      </c>
      <c r="P88" s="28" t="n"/>
      <c r="Q88" s="28" t="n">
        <v>0.07753599999999999</v>
      </c>
      <c r="R88" s="26" t="n">
        <v>60</v>
      </c>
      <c r="S88" s="29" t="n">
        <v>1</v>
      </c>
      <c r="T88" s="24" t="inlineStr">
        <is>
          <t>mlb-elo-trend-lr-v7</t>
        </is>
      </c>
      <c r="U88" s="24" t="inlineStr">
        <is>
          <t>settled</t>
        </is>
      </c>
      <c r="V88" s="24" t="inlineStr">
        <is>
          <t>win</t>
        </is>
      </c>
      <c r="W88" s="26" t="n">
        <v>4</v>
      </c>
      <c r="X88" s="26" t="n">
        <v>5</v>
      </c>
      <c r="Y88" s="25" t="n"/>
      <c r="Z88" s="26" t="n">
        <v>115</v>
      </c>
      <c r="AA88" s="28" t="n">
        <v>0.465</v>
      </c>
      <c r="AB88" s="28" t="n">
        <v>-0.000116</v>
      </c>
      <c r="AC88" s="30" t="n">
        <v>1.15</v>
      </c>
      <c r="AD88" s="24" t="inlineStr">
        <is>
          <t>2026-08-02T03:25:54.632517Z</t>
        </is>
      </c>
      <c r="AE88" s="31" t="inlineStr">
        <is>
          <t>Learned LR call at threshold 0.6242; executable ask 0.4650 (aec-mlb-tex-hou-2026-08-01); model edge vs ask +0.0777.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mlb-tex</t>
        </is>
      </c>
      <c r="AQ88" s="24" t="inlineStr">
        <is>
          <t>Texas Rangers</t>
        </is>
      </c>
      <c r="AR88" s="24" t="inlineStr">
        <is>
          <t>Texas Rangers</t>
        </is>
      </c>
      <c r="AS88" s="24" t="inlineStr">
        <is>
          <t>mlb-hou</t>
        </is>
      </c>
      <c r="AT88" s="24" t="inlineStr">
        <is>
          <t>Houston Astros</t>
        </is>
      </c>
      <c r="AU88" s="24" t="inlineStr">
        <is>
          <t>Houston Astros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464eef695bfbbdaa819ec6f5e4c5bd1068ed20b92915fb2677220ae91e20d8b6</t>
        </is>
      </c>
      <c r="BB88" s="24" t="inlineStr">
        <is>
          <t>learned_lr</t>
        </is>
      </c>
      <c r="BC88" s="24" t="inlineStr">
        <is>
          <t>mlb-elo-trend-lr-v7</t>
        </is>
      </c>
      <c r="BD88" s="24" t="inlineStr">
        <is>
          <t>464eef695bfbbdaa819ec6f5e4c5bd1068ed20b92915fb2677220ae91e20d8b6</t>
        </is>
      </c>
      <c r="BE88" s="24" t="inlineStr">
        <is>
          <t>f2965fa6c6fef7a3</t>
        </is>
      </c>
      <c r="BF88" s="24" t="inlineStr">
        <is>
          <t>1</t>
        </is>
      </c>
      <c r="BG88" s="24" t="inlineStr">
        <is>
          <t>mlb-elo-trend-lr-v7</t>
        </is>
      </c>
      <c r="BH88" s="24" t="inlineStr">
        <is>
          <t>2026-08-01T20:14:08.292559Z</t>
        </is>
      </c>
      <c r="BI88" s="24" t="inlineStr">
        <is>
          <t>["same_event","same_team_same_day","same_league_same_day"]</t>
        </is>
      </c>
      <c r="BJ88" s="25" t="n"/>
      <c r="BK88" s="26" t="n">
        <v>115</v>
      </c>
      <c r="BL88" s="27" t="n">
        <v>2.15</v>
      </c>
      <c r="BM88" s="28" t="n">
        <v>0.465116</v>
      </c>
      <c r="BN88" s="28" t="n">
        <v>0.462687</v>
      </c>
      <c r="BO88" s="28" t="n"/>
      <c r="BP88" s="25" t="n"/>
      <c r="BQ88" s="27" t="n">
        <v>2.15</v>
      </c>
      <c r="BR88" s="28" t="n">
        <v>0.465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0.5536392121</t>
        </is>
      </c>
      <c r="CD88" s="24" t="inlineStr">
        <is>
          <t>2.366358</t>
        </is>
      </c>
      <c r="CE88" s="24" t="inlineStr">
        <is>
          <t>0.956</t>
        </is>
      </c>
      <c r="CF88" s="24" t="inlineStr">
        <is>
          <t>1</t>
        </is>
      </c>
      <c r="CG88" s="24" t="inlineStr">
        <is>
          <t>0.6</t>
        </is>
      </c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n"/>
    </row>
    <row r="89" ht="36" customHeight="1">
      <c r="A89" s="24" t="inlineStr">
        <is>
          <t>80decdff0e21477d</t>
        </is>
      </c>
      <c r="B89" s="24" t="inlineStr">
        <is>
          <t>2026-08-01T20:15:07.885436Z</t>
        </is>
      </c>
      <c r="C89" s="24" t="inlineStr">
        <is>
          <t>2026-08-01T19:15:00-0400</t>
        </is>
      </c>
      <c r="D89" s="24" t="inlineStr">
        <is>
          <t>401816347</t>
        </is>
      </c>
      <c r="E89" s="24" t="inlineStr">
        <is>
          <t>MLB</t>
        </is>
      </c>
      <c r="F89" s="24" t="inlineStr">
        <is>
          <t>Arizona Diamondbacks</t>
        </is>
      </c>
      <c r="G89" s="24" t="inlineStr">
        <is>
          <t>Cleveland Guardians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-163</v>
      </c>
      <c r="M89" s="27" t="n">
        <v>1.613497</v>
      </c>
      <c r="N89" s="28" t="n">
        <v>0.619772</v>
      </c>
      <c r="O89" s="28" t="n">
        <v>0.534072</v>
      </c>
      <c r="P89" s="28" t="n"/>
      <c r="Q89" s="28" t="n">
        <v>-0.0857</v>
      </c>
      <c r="R89" s="26" t="n">
        <v>0</v>
      </c>
      <c r="S89" s="29" t="n">
        <v>1</v>
      </c>
      <c r="T89" s="24" t="inlineStr">
        <is>
          <t>mlb-elo-trend-lr-v7</t>
        </is>
      </c>
      <c r="U89" s="24" t="inlineStr">
        <is>
          <t>settled</t>
        </is>
      </c>
      <c r="V89" s="24" t="inlineStr">
        <is>
          <t>loss</t>
        </is>
      </c>
      <c r="W89" s="26" t="n">
        <v>12</v>
      </c>
      <c r="X89" s="26" t="n">
        <v>8</v>
      </c>
      <c r="Y89" s="25" t="n"/>
      <c r="Z89" s="26" t="n">
        <v>-163</v>
      </c>
      <c r="AA89" s="28" t="n">
        <v>0.62</v>
      </c>
      <c r="AB89" s="28" t="n">
        <v>0.000228</v>
      </c>
      <c r="AC89" s="30" t="n">
        <v>-1</v>
      </c>
      <c r="AD89" s="24" t="inlineStr">
        <is>
          <t>2026-08-02T03:25:55.198220Z</t>
        </is>
      </c>
      <c r="AE89" s="31" t="inlineStr">
        <is>
          <t>Learned LR call at threshold 0.6242; executable ask 0.6200 (aec-mlb-az-cle-2026-08-01); model edge vs ask -0.0859.</t>
        </is>
      </c>
      <c r="AF89" s="31" t="inlineStr">
        <is>
          <t>Learned model; shadow-qualified via operator override.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mlb-ari</t>
        </is>
      </c>
      <c r="AQ89" s="24" t="inlineStr">
        <is>
          <t>Arizona Diamondbacks</t>
        </is>
      </c>
      <c r="AR89" s="24" t="inlineStr">
        <is>
          <t>Arizona Diamondbacks</t>
        </is>
      </c>
      <c r="AS89" s="24" t="inlineStr">
        <is>
          <t>mlb-cle</t>
        </is>
      </c>
      <c r="AT89" s="24" t="inlineStr">
        <is>
          <t>Cleveland Guardians</t>
        </is>
      </c>
      <c r="AU89" s="24" t="inlineStr">
        <is>
          <t>Cleveland Guardians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464eef695bfbbdaa819ec6f5e4c5bd1068ed20b92915fb2677220ae91e20d8b6</t>
        </is>
      </c>
      <c r="BB89" s="24" t="inlineStr">
        <is>
          <t>learned_lr</t>
        </is>
      </c>
      <c r="BC89" s="24" t="inlineStr">
        <is>
          <t>mlb-elo-trend-lr-v7</t>
        </is>
      </c>
      <c r="BD89" s="24" t="inlineStr">
        <is>
          <t>464eef695bfbbdaa819ec6f5e4c5bd1068ed20b92915fb2677220ae91e20d8b6</t>
        </is>
      </c>
      <c r="BE89" s="24" t="inlineStr">
        <is>
          <t>5291b1c09a366ec8</t>
        </is>
      </c>
      <c r="BF89" s="24" t="inlineStr">
        <is>
          <t>1</t>
        </is>
      </c>
      <c r="BG89" s="24" t="inlineStr">
        <is>
          <t>mlb-elo-trend-lr-v7</t>
        </is>
      </c>
      <c r="BH89" s="24" t="inlineStr">
        <is>
          <t>2026-08-01T20:14:10.378899Z</t>
        </is>
      </c>
      <c r="BI89" s="24" t="inlineStr">
        <is>
          <t>["same_event","same_team_same_day","same_league_same_day"]</t>
        </is>
      </c>
      <c r="BJ89" s="25" t="n"/>
      <c r="BK89" s="26" t="n">
        <v>-163</v>
      </c>
      <c r="BL89" s="27" t="n">
        <v>1.613497</v>
      </c>
      <c r="BM89" s="28" t="n">
        <v>0.619772</v>
      </c>
      <c r="BN89" s="28" t="n">
        <v>0.616915</v>
      </c>
      <c r="BO89" s="28" t="n"/>
      <c r="BP89" s="25" t="n"/>
      <c r="BQ89" s="27" t="n">
        <v>1.613497</v>
      </c>
      <c r="BR89" s="28" t="n">
        <v>0.62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0.5245055589</t>
        </is>
      </c>
      <c r="CD89" s="24" t="inlineStr">
        <is>
          <t>-0.916106</t>
        </is>
      </c>
      <c r="CE89" s="24" t="inlineStr">
        <is>
          <t>0.966</t>
        </is>
      </c>
      <c r="CF89" s="24" t="inlineStr">
        <is>
          <t>1.0098</t>
        </is>
      </c>
      <c r="CG89" s="24" t="inlineStr">
        <is>
          <t>-1.6</t>
        </is>
      </c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n"/>
    </row>
    <row r="90" ht="36" customHeight="1">
      <c r="A90" s="24" t="inlineStr">
        <is>
          <t>826ef427778d489b</t>
        </is>
      </c>
      <c r="B90" s="24" t="inlineStr">
        <is>
          <t>2026-08-01T20:15:07.885436Z</t>
        </is>
      </c>
      <c r="C90" s="24" t="inlineStr">
        <is>
          <t>2026-08-01T19:15:00-0400</t>
        </is>
      </c>
      <c r="D90" s="24" t="inlineStr">
        <is>
          <t>401816353</t>
        </is>
      </c>
      <c r="E90" s="24" t="inlineStr">
        <is>
          <t>MLB</t>
        </is>
      </c>
      <c r="F90" s="24" t="inlineStr">
        <is>
          <t>Washington Nationals</t>
        </is>
      </c>
      <c r="G90" s="24" t="inlineStr">
        <is>
          <t>Atlanta Braves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-160</v>
      </c>
      <c r="M90" s="27" t="n">
        <v>1.625</v>
      </c>
      <c r="N90" s="28" t="n">
        <v>0.615385</v>
      </c>
      <c r="O90" s="28" t="n">
        <v>0.6128</v>
      </c>
      <c r="P90" s="28" t="n"/>
      <c r="Q90" s="28" t="n">
        <v>-0.002585</v>
      </c>
      <c r="R90" s="26" t="n">
        <v>20</v>
      </c>
      <c r="S90" s="29" t="n">
        <v>1.5</v>
      </c>
      <c r="T90" s="24" t="inlineStr">
        <is>
          <t>mlb-elo-trend-lr-v7</t>
        </is>
      </c>
      <c r="U90" s="24" t="inlineStr">
        <is>
          <t>settled</t>
        </is>
      </c>
      <c r="V90" s="24" t="inlineStr">
        <is>
          <t>win</t>
        </is>
      </c>
      <c r="W90" s="26" t="n">
        <v>3</v>
      </c>
      <c r="X90" s="26" t="n">
        <v>8</v>
      </c>
      <c r="Y90" s="25" t="n"/>
      <c r="Z90" s="26" t="n">
        <v>-160</v>
      </c>
      <c r="AA90" s="28" t="n">
        <v>0.615</v>
      </c>
      <c r="AB90" s="28" t="n">
        <v>-0.000385</v>
      </c>
      <c r="AC90" s="30" t="n">
        <v>0.9375</v>
      </c>
      <c r="AD90" s="24" t="inlineStr">
        <is>
          <t>2026-08-02T03:25:55.762276Z</t>
        </is>
      </c>
      <c r="AE90" s="31" t="inlineStr">
        <is>
          <t>Learned LR call at threshold 0.6242; executable ask 0.6150 (aec-mlb-wsh-atl-2026-08-01); model edge vs ask -0.0022.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mlb-wsh</t>
        </is>
      </c>
      <c r="AQ90" s="24" t="inlineStr">
        <is>
          <t>Washington Nationals</t>
        </is>
      </c>
      <c r="AR90" s="24" t="inlineStr">
        <is>
          <t>Washington Nationals</t>
        </is>
      </c>
      <c r="AS90" s="24" t="inlineStr">
        <is>
          <t>mlb-atl</t>
        </is>
      </c>
      <c r="AT90" s="24" t="inlineStr">
        <is>
          <t>Atlanta Braves</t>
        </is>
      </c>
      <c r="AU90" s="24" t="inlineStr">
        <is>
          <t>Atlanta Braves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464eef695bfbbdaa819ec6f5e4c5bd1068ed20b92915fb2677220ae91e20d8b6</t>
        </is>
      </c>
      <c r="BB90" s="24" t="inlineStr">
        <is>
          <t>learned_lr</t>
        </is>
      </c>
      <c r="BC90" s="24" t="inlineStr">
        <is>
          <t>mlb-elo-trend-lr-v7</t>
        </is>
      </c>
      <c r="BD90" s="24" t="inlineStr">
        <is>
          <t>464eef695bfbbdaa819ec6f5e4c5bd1068ed20b92915fb2677220ae91e20d8b6</t>
        </is>
      </c>
      <c r="BE90" s="24" t="inlineStr">
        <is>
          <t>d766ec0b9c7d91f2</t>
        </is>
      </c>
      <c r="BF90" s="24" t="inlineStr">
        <is>
          <t>1</t>
        </is>
      </c>
      <c r="BG90" s="24" t="inlineStr">
        <is>
          <t>mlb-elo-trend-lr-v7</t>
        </is>
      </c>
      <c r="BH90" s="24" t="inlineStr">
        <is>
          <t>2026-08-01T20:14:11.394186Z</t>
        </is>
      </c>
      <c r="BI90" s="24" t="inlineStr">
        <is>
          <t>["same_event","same_team_same_day","same_league_same_day"]</t>
        </is>
      </c>
      <c r="BJ90" s="25" t="n"/>
      <c r="BK90" s="26" t="n">
        <v>-160</v>
      </c>
      <c r="BL90" s="27" t="n">
        <v>1.625</v>
      </c>
      <c r="BM90" s="28" t="n">
        <v>0.615385</v>
      </c>
      <c r="BN90" s="28" t="n">
        <v>0.61194</v>
      </c>
      <c r="BO90" s="28" t="n"/>
      <c r="BP90" s="25" t="n"/>
      <c r="BQ90" s="27" t="n">
        <v>1.625</v>
      </c>
      <c r="BR90" s="28" t="n">
        <v>0.615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0.6266199013</t>
        </is>
      </c>
      <c r="CD90" s="24" t="inlineStr">
        <is>
          <t>0.430565</t>
        </is>
      </c>
      <c r="CE90" s="24" t="inlineStr">
        <is>
          <t>0.929</t>
        </is>
      </c>
      <c r="CF90" s="24" t="inlineStr">
        <is>
          <t>1.0145</t>
        </is>
      </c>
      <c r="CG90" s="24" t="inlineStr">
        <is>
          <t>-0.4</t>
        </is>
      </c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n"/>
    </row>
    <row r="91" ht="36" customHeight="1">
      <c r="A91" s="24" t="inlineStr">
        <is>
          <t>33337a0a2b594340</t>
        </is>
      </c>
      <c r="B91" s="24" t="inlineStr">
        <is>
          <t>2026-08-01T20:15:07.885436Z</t>
        </is>
      </c>
      <c r="C91" s="24" t="inlineStr">
        <is>
          <t>2026-08-01T19:15:00-0400</t>
        </is>
      </c>
      <c r="D91" s="24" t="inlineStr">
        <is>
          <t>401816354</t>
        </is>
      </c>
      <c r="E91" s="24" t="inlineStr">
        <is>
          <t>MLB</t>
        </is>
      </c>
      <c r="F91" s="24" t="inlineStr">
        <is>
          <t>New York Yankees</t>
        </is>
      </c>
      <c r="G91" s="24" t="inlineStr">
        <is>
          <t>Chicago Cubs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-111</v>
      </c>
      <c r="M91" s="27" t="n">
        <v>1.900901</v>
      </c>
      <c r="N91" s="28" t="n">
        <v>0.526066</v>
      </c>
      <c r="O91" s="28" t="n">
        <v>0.546777</v>
      </c>
      <c r="P91" s="28" t="n"/>
      <c r="Q91" s="28" t="n">
        <v>0.020711</v>
      </c>
      <c r="R91" s="26" t="n">
        <v>32</v>
      </c>
      <c r="S91" s="29" t="n">
        <v>1</v>
      </c>
      <c r="T91" s="24" t="inlineStr">
        <is>
          <t>mlb-elo-trend-lr-v7</t>
        </is>
      </c>
      <c r="U91" s="24" t="inlineStr">
        <is>
          <t>settled</t>
        </is>
      </c>
      <c r="V91" s="24" t="inlineStr">
        <is>
          <t>win</t>
        </is>
      </c>
      <c r="W91" s="26" t="n">
        <v>2</v>
      </c>
      <c r="X91" s="26" t="n">
        <v>5</v>
      </c>
      <c r="Y91" s="25" t="n"/>
      <c r="Z91" s="26" t="n">
        <v>-111</v>
      </c>
      <c r="AA91" s="28" t="n">
        <v>0.525</v>
      </c>
      <c r="AB91" s="28" t="n">
        <v>-0.001066</v>
      </c>
      <c r="AC91" s="30" t="n">
        <v>0.9009</v>
      </c>
      <c r="AD91" s="24" t="inlineStr">
        <is>
          <t>2026-08-02T03:25:56.350258Z</t>
        </is>
      </c>
      <c r="AE91" s="31" t="inlineStr">
        <is>
          <t>Learned LR call at threshold 0.6242; executable ask 0.5250 (aec-mlb-nyy-chc-2026-08-01); model edge vs ask +0.0218.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mlb-nyy</t>
        </is>
      </c>
      <c r="AQ91" s="24" t="inlineStr">
        <is>
          <t>New York Yankees</t>
        </is>
      </c>
      <c r="AR91" s="24" t="inlineStr">
        <is>
          <t>New York Yankees</t>
        </is>
      </c>
      <c r="AS91" s="24" t="inlineStr">
        <is>
          <t>mlb-chc</t>
        </is>
      </c>
      <c r="AT91" s="24" t="inlineStr">
        <is>
          <t>Chicago Cubs</t>
        </is>
      </c>
      <c r="AU91" s="24" t="inlineStr">
        <is>
          <t>Chicago Cubs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464eef695bfbbdaa819ec6f5e4c5bd1068ed20b92915fb2677220ae91e20d8b6</t>
        </is>
      </c>
      <c r="BB91" s="24" t="inlineStr">
        <is>
          <t>learned_lr</t>
        </is>
      </c>
      <c r="BC91" s="24" t="inlineStr">
        <is>
          <t>mlb-elo-trend-lr-v7</t>
        </is>
      </c>
      <c r="BD91" s="24" t="inlineStr">
        <is>
          <t>464eef695bfbbdaa819ec6f5e4c5bd1068ed20b92915fb2677220ae91e20d8b6</t>
        </is>
      </c>
      <c r="BE91" s="24" t="inlineStr">
        <is>
          <t>7cb47d99adfeb29c</t>
        </is>
      </c>
      <c r="BF91" s="24" t="inlineStr">
        <is>
          <t>1</t>
        </is>
      </c>
      <c r="BG91" s="24" t="inlineStr">
        <is>
          <t>mlb-elo-trend-lr-v7</t>
        </is>
      </c>
      <c r="BH91" s="24" t="inlineStr">
        <is>
          <t>2026-08-01T20:14:09.257400Z</t>
        </is>
      </c>
      <c r="BI91" s="24" t="inlineStr">
        <is>
          <t>["same_event","same_team_same_day","same_league_same_day"]</t>
        </is>
      </c>
      <c r="BJ91" s="25" t="n"/>
      <c r="BK91" s="26" t="n">
        <v>-111</v>
      </c>
      <c r="BL91" s="27" t="n">
        <v>1.900901</v>
      </c>
      <c r="BM91" s="28" t="n">
        <v>0.526066</v>
      </c>
      <c r="BN91" s="28" t="n">
        <v>0.522388</v>
      </c>
      <c r="BO91" s="28" t="n"/>
      <c r="BP91" s="25" t="n"/>
      <c r="BQ91" s="27" t="n">
        <v>1.900901</v>
      </c>
      <c r="BR91" s="28" t="n">
        <v>0.525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0.5407844181</t>
        </is>
      </c>
      <c r="CD91" s="24" t="inlineStr">
        <is>
          <t>-0.04604</t>
        </is>
      </c>
      <c r="CE91" s="24" t="inlineStr">
        <is>
          <t>0.986</t>
        </is>
      </c>
      <c r="CF91" s="24" t="inlineStr">
        <is>
          <t>1.0117</t>
        </is>
      </c>
      <c r="CG91" s="24" t="inlineStr">
        <is>
          <t>-0.6</t>
        </is>
      </c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n"/>
    </row>
    <row r="92" ht="36" customHeight="1">
      <c r="A92" s="24" t="inlineStr">
        <is>
          <t>4aa24f315791436a</t>
        </is>
      </c>
      <c r="B92" s="24" t="inlineStr">
        <is>
          <t>2026-08-01T20:15:41.530944Z</t>
        </is>
      </c>
      <c r="C92" s="24" t="inlineStr">
        <is>
          <t>2026-08-01T22:40Z</t>
        </is>
      </c>
      <c r="D92" s="24" t="inlineStr">
        <is>
          <t>401816351</t>
        </is>
      </c>
      <c r="E92" s="24" t="inlineStr">
        <is>
          <t>MLB</t>
        </is>
      </c>
      <c r="F92" s="24" t="inlineStr">
        <is>
          <t>Pittsburgh Pirates</t>
        </is>
      </c>
      <c r="G92" s="24" t="inlineStr">
        <is>
          <t>Cincinnati Reds</t>
        </is>
      </c>
      <c r="H92" s="24" t="inlineStr">
        <is>
          <t>spread</t>
        </is>
      </c>
      <c r="I92" s="24" t="inlineStr">
        <is>
          <t>home</t>
        </is>
      </c>
      <c r="J92" s="25" t="n">
        <v>1.5</v>
      </c>
      <c r="K92" s="24" t="inlineStr">
        <is>
          <t>polymarket_us</t>
        </is>
      </c>
      <c r="L92" s="26" t="n">
        <v>-147</v>
      </c>
      <c r="M92" s="27" t="n">
        <v>1.680272</v>
      </c>
      <c r="N92" s="28" t="n">
        <v>0.5951419999999999</v>
      </c>
      <c r="O92" s="28" t="n">
        <v>0.641669</v>
      </c>
      <c r="P92" s="28" t="n">
        <v>0.042131</v>
      </c>
      <c r="Q92" s="28" t="n">
        <v>0.046527</v>
      </c>
      <c r="R92" s="26" t="n">
        <v>48</v>
      </c>
      <c r="S92" s="29" t="n">
        <v>1.75</v>
      </c>
      <c r="T92" s="24" t="inlineStr">
        <is>
          <t>measured-edge-margin-v2</t>
        </is>
      </c>
      <c r="U92" s="24" t="inlineStr">
        <is>
          <t>settled</t>
        </is>
      </c>
      <c r="V92" s="24" t="inlineStr">
        <is>
          <t>loss</t>
        </is>
      </c>
      <c r="W92" s="26" t="n">
        <v>4</v>
      </c>
      <c r="X92" s="26" t="n">
        <v>1</v>
      </c>
      <c r="Y92" s="25" t="n">
        <v>1.5</v>
      </c>
      <c r="Z92" s="26" t="n">
        <v>-147</v>
      </c>
      <c r="AA92" s="28" t="n">
        <v>0.595</v>
      </c>
      <c r="AB92" s="28" t="n">
        <v>-0.000142</v>
      </c>
      <c r="AC92" s="30" t="n">
        <v>-1.75</v>
      </c>
      <c r="AD92" s="24" t="inlineStr">
        <is>
          <t>2026-08-02T03:25:57.031730Z</t>
        </is>
      </c>
      <c r="AE92" s="31" t="inlineStr">
        <is>
          <t>Measured Edge Margin: Trend Engine projected 4.48-5.03; raw selected-side p=0.7158, calibrated p=0.6417.</t>
        </is>
      </c>
      <c r="AF92" s="31" t="inlineStr">
        <is>
          <t>Research-only; lineup, bullpen, park, weather, xFIP, and wRC+ may be neutral fallbacks; market availability and BBO depth may change before first pitch.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NO_CALL_MODEL_UNVALIDATED</t>
        </is>
      </c>
      <c r="AP92" s="24" t="inlineStr">
        <is>
          <t>mlb-pit</t>
        </is>
      </c>
      <c r="AQ92" s="24" t="inlineStr">
        <is>
          <t>Pittsburgh Pirates</t>
        </is>
      </c>
      <c r="AR92" s="24" t="inlineStr">
        <is>
          <t>Pittsburgh Pirates</t>
        </is>
      </c>
      <c r="AS92" s="24" t="inlineStr">
        <is>
          <t>mlb-cin</t>
        </is>
      </c>
      <c r="AT92" s="24" t="inlineStr">
        <is>
          <t>Cincinnati Reds</t>
        </is>
      </c>
      <c r="AU92" s="24" t="inlineStr">
        <is>
          <t>Cincinnati Reds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research</t>
        </is>
      </c>
      <c r="BA92" s="24" t="inlineStr">
        <is>
          <t>8360b122264b796b0fb193095cfe4506c7e064e5f3f8c0a659aec41efd08dd25</t>
        </is>
      </c>
      <c r="BB92" s="24" t="inlineStr">
        <is>
          <t>flat_probability_shrinkage_toward_half</t>
        </is>
      </c>
      <c r="BC92" s="24" t="inlineStr">
        <is>
          <t>measured-edge-margin-v2</t>
        </is>
      </c>
      <c r="BD92" s="24" t="inlineStr">
        <is>
          <t>8360b122264b796b0fb193095cfe4506c7e064e5f3f8c0a659aec41efd08dd25</t>
        </is>
      </c>
      <c r="BE92" s="24" t="inlineStr">
        <is>
          <t>v3</t>
        </is>
      </c>
      <c r="BF92" s="24" t="inlineStr">
        <is>
          <t>1</t>
        </is>
      </c>
      <c r="BG92" s="24" t="inlineStr">
        <is>
          <t>measured-edge-paired-v1</t>
        </is>
      </c>
      <c r="BH92" s="24" t="inlineStr">
        <is>
          <t>2026-08-01T20:15:41.530944Z</t>
        </is>
      </c>
      <c r="BI92" s="24" t="inlineStr">
        <is>
          <t>["same_event","same_team_same_day","same_league_same_day"]</t>
        </is>
      </c>
      <c r="BJ92" s="25" t="n">
        <v>1.5</v>
      </c>
      <c r="BK92" s="26" t="n">
        <v>-147</v>
      </c>
      <c r="BL92" s="27" t="n">
        <v>1.680272</v>
      </c>
      <c r="BM92" s="28" t="n">
        <v>0.5951419999999999</v>
      </c>
      <c r="BN92" s="28" t="n">
        <v>0.59204</v>
      </c>
      <c r="BO92" s="28" t="n"/>
      <c r="BP92" s="25" t="n"/>
      <c r="BQ92" s="27" t="n">
        <v>1.680272</v>
      </c>
      <c r="BR92" s="28" t="n">
        <v>0.595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n"/>
    </row>
    <row r="93" ht="36" customHeight="1">
      <c r="A93" s="24" t="inlineStr">
        <is>
          <t>f8042d9d33e049b2</t>
        </is>
      </c>
      <c r="B93" s="24" t="inlineStr">
        <is>
          <t>2026-08-01T20:15:41.530944Z</t>
        </is>
      </c>
      <c r="C93" s="24" t="inlineStr">
        <is>
          <t>2026-08-01T22:40Z</t>
        </is>
      </c>
      <c r="D93" s="24" t="inlineStr">
        <is>
          <t>401816351</t>
        </is>
      </c>
      <c r="E93" s="24" t="inlineStr">
        <is>
          <t>MLB</t>
        </is>
      </c>
      <c r="F93" s="24" t="inlineStr">
        <is>
          <t>Pittsburgh Pirates</t>
        </is>
      </c>
      <c r="G93" s="24" t="inlineStr">
        <is>
          <t>Cincinnati Reds</t>
        </is>
      </c>
      <c r="H93" s="24" t="inlineStr">
        <is>
          <t>total</t>
        </is>
      </c>
      <c r="I93" s="24" t="inlineStr">
        <is>
          <t>over</t>
        </is>
      </c>
      <c r="J93" s="25" t="n">
        <v>8.5</v>
      </c>
      <c r="K93" s="24" t="inlineStr">
        <is>
          <t>polymarket_us</t>
        </is>
      </c>
      <c r="L93" s="26" t="n">
        <v>106</v>
      </c>
      <c r="M93" s="27" t="n">
        <v>2.06</v>
      </c>
      <c r="N93" s="28" t="n">
        <v>0.485437</v>
      </c>
      <c r="O93" s="28" t="n">
        <v>0.529614</v>
      </c>
      <c r="P93" s="28" t="n">
        <v>0.042131</v>
      </c>
      <c r="Q93" s="28" t="n">
        <v>0.044177</v>
      </c>
      <c r="R93" s="26" t="n">
        <v>47</v>
      </c>
      <c r="S93" s="29" t="n">
        <v>1</v>
      </c>
      <c r="T93" s="24" t="inlineStr">
        <is>
          <t>measured-edge-totals-v2</t>
        </is>
      </c>
      <c r="U93" s="24" t="inlineStr">
        <is>
          <t>settled</t>
        </is>
      </c>
      <c r="V93" s="24" t="inlineStr">
        <is>
          <t>loss</t>
        </is>
      </c>
      <c r="W93" s="26" t="n">
        <v>4</v>
      </c>
      <c r="X93" s="26" t="n">
        <v>1</v>
      </c>
      <c r="Y93" s="25" t="n">
        <v>8.5</v>
      </c>
      <c r="Z93" s="26" t="n">
        <v>106</v>
      </c>
      <c r="AA93" s="28" t="n">
        <v>0.485</v>
      </c>
      <c r="AB93" s="28" t="n">
        <v>-0.000437</v>
      </c>
      <c r="AC93" s="30" t="n">
        <v>-1</v>
      </c>
      <c r="AD93" s="24" t="inlineStr">
        <is>
          <t>2026-08-02T03:25:57.664534Z</t>
        </is>
      </c>
      <c r="AE93" s="31" t="inlineStr">
        <is>
          <t>Measured Edge Totals: Trend Engine projected 4.48-5.03; raw selected-side p=0.5634, calibrated p=0.5296.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mlb-pit</t>
        </is>
      </c>
      <c r="AQ93" s="24" t="inlineStr">
        <is>
          <t>Pittsburgh Pirates</t>
        </is>
      </c>
      <c r="AR93" s="24" t="inlineStr">
        <is>
          <t>Pittsburgh Pirates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433578016242b27f9c1c7132cc6b5a2bcc7dd1b0234590c12a944455a88e71bd</t>
        </is>
      </c>
      <c r="BB93" s="24" t="inlineStr">
        <is>
          <t>flat_probability_shrinkage_toward_half</t>
        </is>
      </c>
      <c r="BC93" s="24" t="inlineStr">
        <is>
          <t>measured-edge-totals-v2</t>
        </is>
      </c>
      <c r="BD93" s="24" t="inlineStr">
        <is>
          <t>433578016242b27f9c1c7132cc6b5a2bcc7dd1b0234590c12a944455a88e71bd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2026-08-01T20:15:41.530944Z</t>
        </is>
      </c>
      <c r="BI93" s="24" t="inlineStr">
        <is>
          <t>["same_event","same_team_same_day","same_league_same_day"]</t>
        </is>
      </c>
      <c r="BJ93" s="25" t="n">
        <v>8.5</v>
      </c>
      <c r="BK93" s="26" t="n">
        <v>106</v>
      </c>
      <c r="BL93" s="27" t="n">
        <v>2.06</v>
      </c>
      <c r="BM93" s="28" t="n">
        <v>0.485437</v>
      </c>
      <c r="BN93" s="28" t="n">
        <v>0.482587</v>
      </c>
      <c r="BO93" s="28" t="n"/>
      <c r="BP93" s="25" t="n"/>
      <c r="BQ93" s="27" t="n">
        <v>2.06</v>
      </c>
      <c r="BR93" s="28" t="n">
        <v>0.485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n"/>
    </row>
    <row r="94" ht="36" customHeight="1">
      <c r="A94" s="24" t="inlineStr">
        <is>
          <t>467a3dcd365542d4</t>
        </is>
      </c>
      <c r="B94" s="24" t="inlineStr">
        <is>
          <t>2026-08-01T20:15:41.530944Z</t>
        </is>
      </c>
      <c r="C94" s="24" t="inlineStr">
        <is>
          <t>2026-08-01T23:05Z</t>
        </is>
      </c>
      <c r="D94" s="24" t="inlineStr">
        <is>
          <t>401816350</t>
        </is>
      </c>
      <c r="E94" s="24" t="inlineStr">
        <is>
          <t>MLB</t>
        </is>
      </c>
      <c r="F94" s="24" t="inlineStr">
        <is>
          <t>Philadelphia Phillies</t>
        </is>
      </c>
      <c r="G94" s="24" t="inlineStr">
        <is>
          <t>Baltimore Orioles</t>
        </is>
      </c>
      <c r="H94" s="24" t="inlineStr">
        <is>
          <t>spread</t>
        </is>
      </c>
      <c r="I94" s="24" t="inlineStr">
        <is>
          <t>home</t>
        </is>
      </c>
      <c r="J94" s="25" t="n">
        <v>1.5</v>
      </c>
      <c r="K94" s="24" t="inlineStr">
        <is>
          <t>polymarket_us</t>
        </is>
      </c>
      <c r="L94" s="26" t="n">
        <v>-125</v>
      </c>
      <c r="M94" s="27" t="n">
        <v>1.8</v>
      </c>
      <c r="N94" s="28" t="n">
        <v>0.555556</v>
      </c>
      <c r="O94" s="28" t="n">
        <v>0.634813</v>
      </c>
      <c r="P94" s="28" t="n">
        <v>0.042131</v>
      </c>
      <c r="Q94" s="28" t="n">
        <v>0.07925699999999999</v>
      </c>
      <c r="R94" s="26" t="n">
        <v>64</v>
      </c>
      <c r="S94" s="29" t="n">
        <v>1.5</v>
      </c>
      <c r="T94" s="24" t="inlineStr">
        <is>
          <t>measured-edge-margin-v2</t>
        </is>
      </c>
      <c r="U94" s="24" t="inlineStr">
        <is>
          <t>settled</t>
        </is>
      </c>
      <c r="V94" s="24" t="inlineStr">
        <is>
          <t>loss</t>
        </is>
      </c>
      <c r="W94" s="26" t="n">
        <v>5</v>
      </c>
      <c r="X94" s="26" t="n">
        <v>0</v>
      </c>
      <c r="Y94" s="25" t="n">
        <v>1.5</v>
      </c>
      <c r="Z94" s="26" t="n">
        <v>-125</v>
      </c>
      <c r="AA94" s="28" t="n">
        <v>0.555</v>
      </c>
      <c r="AB94" s="28" t="n">
        <v>-0.000556</v>
      </c>
      <c r="AC94" s="30" t="n">
        <v>-1.5</v>
      </c>
      <c r="AD94" s="24" t="inlineStr">
        <is>
          <t>2026-08-02T03:25:58.270271Z</t>
        </is>
      </c>
      <c r="AE94" s="31" t="inlineStr">
        <is>
          <t>Measured Edge Margin: Trend Engine projected 4.43-4.91; raw selected-side p=0.7054, calibrated p=0.6348.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mlb-phi</t>
        </is>
      </c>
      <c r="AQ94" s="24" t="inlineStr">
        <is>
          <t>Philadelphia Phillies</t>
        </is>
      </c>
      <c r="AR94" s="24" t="inlineStr">
        <is>
          <t>Philadelphia Phillies</t>
        </is>
      </c>
      <c r="AS94" s="24" t="inlineStr">
        <is>
          <t>mlb-bal</t>
        </is>
      </c>
      <c r="AT94" s="24" t="inlineStr">
        <is>
          <t>Baltimore Orioles</t>
        </is>
      </c>
      <c r="AU94" s="24" t="inlineStr">
        <is>
          <t>Baltimore Orioles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8360b122264b796b0fb193095cfe4506c7e064e5f3f8c0a659aec41efd08dd25</t>
        </is>
      </c>
      <c r="BB94" s="24" t="inlineStr">
        <is>
          <t>flat_probability_shrinkage_toward_half</t>
        </is>
      </c>
      <c r="BC94" s="24" t="inlineStr">
        <is>
          <t>measured-edge-margin-v2</t>
        </is>
      </c>
      <c r="BD94" s="24" t="inlineStr">
        <is>
          <t>8360b122264b796b0fb193095cfe4506c7e064e5f3f8c0a659aec41efd08dd25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2026-08-01T20:15:41.530944Z</t>
        </is>
      </c>
      <c r="BI94" s="24" t="inlineStr">
        <is>
          <t>["same_event","same_team_same_day","same_league_same_day"]</t>
        </is>
      </c>
      <c r="BJ94" s="25" t="n">
        <v>1.5</v>
      </c>
      <c r="BK94" s="26" t="n">
        <v>-125</v>
      </c>
      <c r="BL94" s="27" t="n">
        <v>1.8</v>
      </c>
      <c r="BM94" s="28" t="n">
        <v>0.555556</v>
      </c>
      <c r="BN94" s="28" t="n">
        <v>0.552239</v>
      </c>
      <c r="BO94" s="28" t="n"/>
      <c r="BP94" s="25" t="n"/>
      <c r="BQ94" s="27" t="n">
        <v>1.8</v>
      </c>
      <c r="BR94" s="28" t="n">
        <v>0.555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n"/>
    </row>
    <row r="95" ht="36" customHeight="1">
      <c r="A95" s="24" t="inlineStr">
        <is>
          <t>524e6e93080f4caf</t>
        </is>
      </c>
      <c r="B95" s="24" t="inlineStr">
        <is>
          <t>2026-08-01T20:15:41.530944Z</t>
        </is>
      </c>
      <c r="C95" s="24" t="inlineStr">
        <is>
          <t>2026-08-01T23:05Z</t>
        </is>
      </c>
      <c r="D95" s="24" t="inlineStr">
        <is>
          <t>401816350</t>
        </is>
      </c>
      <c r="E95" s="24" t="inlineStr">
        <is>
          <t>MLB</t>
        </is>
      </c>
      <c r="F95" s="24" t="inlineStr">
        <is>
          <t>Philadelphia Phillies</t>
        </is>
      </c>
      <c r="G95" s="24" t="inlineStr">
        <is>
          <t>Baltimore Orioles</t>
        </is>
      </c>
      <c r="H95" s="24" t="inlineStr">
        <is>
          <t>total</t>
        </is>
      </c>
      <c r="I95" s="24" t="inlineStr">
        <is>
          <t>over</t>
        </is>
      </c>
      <c r="J95" s="25" t="n">
        <v>8.5</v>
      </c>
      <c r="K95" s="24" t="inlineStr">
        <is>
          <t>polymarket_us</t>
        </is>
      </c>
      <c r="L95" s="26" t="n">
        <v>111</v>
      </c>
      <c r="M95" s="27" t="n">
        <v>2.11</v>
      </c>
      <c r="N95" s="28" t="n">
        <v>0.473934</v>
      </c>
      <c r="O95" s="28" t="n">
        <v>0.523873</v>
      </c>
      <c r="P95" s="28" t="n">
        <v>0.042131</v>
      </c>
      <c r="Q95" s="28" t="n">
        <v>0.049939</v>
      </c>
      <c r="R95" s="26" t="n">
        <v>50</v>
      </c>
      <c r="S95" s="29" t="n">
        <v>1</v>
      </c>
      <c r="T95" s="24" t="inlineStr">
        <is>
          <t>measured-edge-totals-v2</t>
        </is>
      </c>
      <c r="U95" s="24" t="inlineStr">
        <is>
          <t>settled</t>
        </is>
      </c>
      <c r="V95" s="24" t="inlineStr">
        <is>
          <t>loss</t>
        </is>
      </c>
      <c r="W95" s="26" t="n">
        <v>5</v>
      </c>
      <c r="X95" s="26" t="n">
        <v>0</v>
      </c>
      <c r="Y95" s="25" t="n">
        <v>8.5</v>
      </c>
      <c r="Z95" s="26" t="n">
        <v>111</v>
      </c>
      <c r="AA95" s="28" t="n">
        <v>0.475</v>
      </c>
      <c r="AB95" s="28" t="n">
        <v>0.001066</v>
      </c>
      <c r="AC95" s="30" t="n">
        <v>-1</v>
      </c>
      <c r="AD95" s="24" t="inlineStr">
        <is>
          <t>2026-08-02T03:25:58.832776Z</t>
        </is>
      </c>
      <c r="AE95" s="31" t="inlineStr">
        <is>
          <t>Measured Edge Totals: Trend Engine projected 4.43-4.91; raw selected-side p=0.5466, calibrated p=0.5239.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mlb-phi</t>
        </is>
      </c>
      <c r="AQ95" s="24" t="inlineStr">
        <is>
          <t>Philadelphia Phillies</t>
        </is>
      </c>
      <c r="AR95" s="24" t="inlineStr">
        <is>
          <t>Philadelphia Phillies</t>
        </is>
      </c>
      <c r="AS95" s="24" t="inlineStr">
        <is>
          <t>mlb-bal</t>
        </is>
      </c>
      <c r="AT95" s="24" t="inlineStr">
        <is>
          <t>Baltimore Orioles</t>
        </is>
      </c>
      <c r="AU95" s="24" t="inlineStr">
        <is>
          <t>Baltimore Orioles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433578016242b27f9c1c7132cc6b5a2bcc7dd1b0234590c12a944455a88e71bd</t>
        </is>
      </c>
      <c r="BB95" s="24" t="inlineStr">
        <is>
          <t>flat_probability_shrinkage_toward_half</t>
        </is>
      </c>
      <c r="BC95" s="24" t="inlineStr">
        <is>
          <t>measured-edge-totals-v2</t>
        </is>
      </c>
      <c r="BD95" s="24" t="inlineStr">
        <is>
          <t>433578016242b27f9c1c7132cc6b5a2bcc7dd1b0234590c12a944455a88e71bd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2026-08-01T20:15:41.530944Z</t>
        </is>
      </c>
      <c r="BI95" s="24" t="inlineStr">
        <is>
          <t>["same_event","same_team_same_day","same_league_same_day"]</t>
        </is>
      </c>
      <c r="BJ95" s="25" t="n">
        <v>8.5</v>
      </c>
      <c r="BK95" s="26" t="n">
        <v>111</v>
      </c>
      <c r="BL95" s="27" t="n">
        <v>2.11</v>
      </c>
      <c r="BM95" s="28" t="n">
        <v>0.473934</v>
      </c>
      <c r="BN95" s="28" t="n">
        <v>0.472637</v>
      </c>
      <c r="BO95" s="28" t="n"/>
      <c r="BP95" s="25" t="n"/>
      <c r="BQ95" s="27" t="n">
        <v>2.11</v>
      </c>
      <c r="BR95" s="28" t="n">
        <v>0.475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n"/>
    </row>
    <row r="96" ht="36" customHeight="1">
      <c r="A96" s="24" t="inlineStr">
        <is>
          <t>a4bc30a0261348a3</t>
        </is>
      </c>
      <c r="B96" s="24" t="inlineStr">
        <is>
          <t>2026-08-01T20:15:41.530944Z</t>
        </is>
      </c>
      <c r="C96" s="24" t="inlineStr">
        <is>
          <t>2026-08-01T23:10Z</t>
        </is>
      </c>
      <c r="D96" s="24" t="inlineStr">
        <is>
          <t>401816355</t>
        </is>
      </c>
      <c r="E96" s="24" t="inlineStr">
        <is>
          <t>MLB</t>
        </is>
      </c>
      <c r="F96" s="24" t="inlineStr">
        <is>
          <t>Texas Rangers</t>
        </is>
      </c>
      <c r="G96" s="24" t="inlineStr">
        <is>
          <t>Houston Astros</t>
        </is>
      </c>
      <c r="H96" s="24" t="inlineStr">
        <is>
          <t>spread</t>
        </is>
      </c>
      <c r="I96" s="24" t="inlineStr">
        <is>
          <t>home</t>
        </is>
      </c>
      <c r="J96" s="25" t="n">
        <v>1.5</v>
      </c>
      <c r="K96" s="24" t="inlineStr">
        <is>
          <t>polymarket_us</t>
        </is>
      </c>
      <c r="L96" s="26" t="n">
        <v>-147</v>
      </c>
      <c r="M96" s="27" t="n">
        <v>1.680272</v>
      </c>
      <c r="N96" s="28" t="n">
        <v>0.5951419999999999</v>
      </c>
      <c r="O96" s="28" t="n">
        <v>0.599055</v>
      </c>
      <c r="P96" s="28" t="n">
        <v>0.05172</v>
      </c>
      <c r="Q96" s="28" t="n">
        <v>0.003913</v>
      </c>
      <c r="R96" s="26" t="n">
        <v>21</v>
      </c>
      <c r="S96" s="29" t="n">
        <v>1.25</v>
      </c>
      <c r="T96" s="24" t="inlineStr">
        <is>
          <t>measured-edge-margin-v2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5</v>
      </c>
      <c r="Y96" s="25" t="n">
        <v>1.5</v>
      </c>
      <c r="Z96" s="26" t="n">
        <v>-147</v>
      </c>
      <c r="AA96" s="28" t="n">
        <v>0.595</v>
      </c>
      <c r="AB96" s="28" t="n">
        <v>-0.000142</v>
      </c>
      <c r="AC96" s="30" t="n">
        <v>0.8502999999999999</v>
      </c>
      <c r="AD96" s="24" t="inlineStr">
        <is>
          <t>2026-08-02T03:25:59.357983Z</t>
        </is>
      </c>
      <c r="AE96" s="31" t="inlineStr">
        <is>
          <t>Measured Edge Margin: Trend Engine projected 4.79-4.61; raw selected-side p=0.6509, calibrated p=0.5991.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mlb-tex</t>
        </is>
      </c>
      <c r="AQ96" s="24" t="inlineStr">
        <is>
          <t>Texas Rangers</t>
        </is>
      </c>
      <c r="AR96" s="24" t="inlineStr">
        <is>
          <t>Texas Rangers</t>
        </is>
      </c>
      <c r="AS96" s="24" t="inlineStr">
        <is>
          <t>mlb-hou</t>
        </is>
      </c>
      <c r="AT96" s="24" t="inlineStr">
        <is>
          <t>Houston Astros</t>
        </is>
      </c>
      <c r="AU96" s="24" t="inlineStr">
        <is>
          <t>Houston Astros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8360b122264b796b0fb193095cfe4506c7e064e5f3f8c0a659aec41efd08dd25</t>
        </is>
      </c>
      <c r="BB96" s="24" t="inlineStr">
        <is>
          <t>flat_probability_shrinkage_toward_half</t>
        </is>
      </c>
      <c r="BC96" s="24" t="inlineStr">
        <is>
          <t>measured-edge-margin-v2</t>
        </is>
      </c>
      <c r="BD96" s="24" t="inlineStr">
        <is>
          <t>8360b122264b796b0fb193095cfe4506c7e064e5f3f8c0a659aec41efd08dd25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2026-08-01T20:15:41.530944Z</t>
        </is>
      </c>
      <c r="BI96" s="24" t="inlineStr">
        <is>
          <t>["same_event","same_team_same_day","same_league_same_day"]</t>
        </is>
      </c>
      <c r="BJ96" s="25" t="n">
        <v>1.5</v>
      </c>
      <c r="BK96" s="26" t="n">
        <v>-147</v>
      </c>
      <c r="BL96" s="27" t="n">
        <v>1.680272</v>
      </c>
      <c r="BM96" s="28" t="n">
        <v>0.5951419999999999</v>
      </c>
      <c r="BN96" s="28" t="n">
        <v>0.59204</v>
      </c>
      <c r="BO96" s="28" t="n"/>
      <c r="BP96" s="25" t="n"/>
      <c r="BQ96" s="27" t="n">
        <v>1.680272</v>
      </c>
      <c r="BR96" s="28" t="n">
        <v>0.595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n"/>
    </row>
    <row r="97" ht="36" customHeight="1">
      <c r="A97" s="24" t="inlineStr">
        <is>
          <t>a13b680f399c4008</t>
        </is>
      </c>
      <c r="B97" s="24" t="inlineStr">
        <is>
          <t>2026-08-01T20:15:41.530944Z</t>
        </is>
      </c>
      <c r="C97" s="24" t="inlineStr">
        <is>
          <t>2026-08-01T23:10Z</t>
        </is>
      </c>
      <c r="D97" s="24" t="inlineStr">
        <is>
          <t>401816355</t>
        </is>
      </c>
      <c r="E97" s="24" t="inlineStr">
        <is>
          <t>MLB</t>
        </is>
      </c>
      <c r="F97" s="24" t="inlineStr">
        <is>
          <t>Texas Rangers</t>
        </is>
      </c>
      <c r="G97" s="24" t="inlineStr">
        <is>
          <t>Houston Astros</t>
        </is>
      </c>
      <c r="H97" s="24" t="inlineStr">
        <is>
          <t>total</t>
        </is>
      </c>
      <c r="I97" s="24" t="inlineStr">
        <is>
          <t>over</t>
        </is>
      </c>
      <c r="J97" s="25" t="n">
        <v>8.5</v>
      </c>
      <c r="K97" s="24" t="inlineStr">
        <is>
          <t>polymarket_us</t>
        </is>
      </c>
      <c r="L97" s="26" t="n">
        <v>106</v>
      </c>
      <c r="M97" s="27" t="n">
        <v>2.06</v>
      </c>
      <c r="N97" s="28" t="n">
        <v>0.485437</v>
      </c>
      <c r="O97" s="28" t="n">
        <v>0.526641</v>
      </c>
      <c r="P97" s="28" t="n">
        <v>0.05172</v>
      </c>
      <c r="Q97" s="28" t="n">
        <v>0.041204</v>
      </c>
      <c r="R97" s="26" t="n">
        <v>40</v>
      </c>
      <c r="S97" s="29" t="n">
        <v>1</v>
      </c>
      <c r="T97" s="24" t="inlineStr">
        <is>
          <t>measured-edge-totals-v2</t>
        </is>
      </c>
      <c r="U97" s="24" t="inlineStr">
        <is>
          <t>settled</t>
        </is>
      </c>
      <c r="V97" s="24" t="inlineStr">
        <is>
          <t>win</t>
        </is>
      </c>
      <c r="W97" s="26" t="n">
        <v>4</v>
      </c>
      <c r="X97" s="26" t="n">
        <v>5</v>
      </c>
      <c r="Y97" s="25" t="n">
        <v>8.5</v>
      </c>
      <c r="Z97" s="26" t="n">
        <v>106</v>
      </c>
      <c r="AA97" s="28" t="n">
        <v>0.485</v>
      </c>
      <c r="AB97" s="28" t="n">
        <v>-0.000437</v>
      </c>
      <c r="AC97" s="30" t="n">
        <v>1.06</v>
      </c>
      <c r="AD97" s="24" t="inlineStr">
        <is>
          <t>2026-08-02T03:25:59.884982Z</t>
        </is>
      </c>
      <c r="AE97" s="31" t="inlineStr">
        <is>
          <t>Measured Edge Totals: Trend Engine projected 4.79-4.61; raw selected-side p=0.5547, calibrated p=0.5266.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mlb-tex</t>
        </is>
      </c>
      <c r="AQ97" s="24" t="inlineStr">
        <is>
          <t>Texas Rangers</t>
        </is>
      </c>
      <c r="AR97" s="24" t="inlineStr">
        <is>
          <t>Texas Rangers</t>
        </is>
      </c>
      <c r="AS97" s="24" t="inlineStr">
        <is>
          <t>mlb-hou</t>
        </is>
      </c>
      <c r="AT97" s="24" t="inlineStr">
        <is>
          <t>Houston Astros</t>
        </is>
      </c>
      <c r="AU97" s="24" t="inlineStr">
        <is>
          <t>Houston Astros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433578016242b27f9c1c7132cc6b5a2bcc7dd1b0234590c12a944455a88e71bd</t>
        </is>
      </c>
      <c r="BB97" s="24" t="inlineStr">
        <is>
          <t>flat_probability_shrinkage_toward_half</t>
        </is>
      </c>
      <c r="BC97" s="24" t="inlineStr">
        <is>
          <t>measured-edge-totals-v2</t>
        </is>
      </c>
      <c r="BD97" s="24" t="inlineStr">
        <is>
          <t>433578016242b27f9c1c7132cc6b5a2bcc7dd1b0234590c12a944455a88e71bd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2026-08-01T20:15:41.530944Z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106</v>
      </c>
      <c r="BL97" s="27" t="n">
        <v>2.06</v>
      </c>
      <c r="BM97" s="28" t="n">
        <v>0.485437</v>
      </c>
      <c r="BN97" s="28" t="n">
        <v>0.482587</v>
      </c>
      <c r="BO97" s="28" t="n"/>
      <c r="BP97" s="25" t="n"/>
      <c r="BQ97" s="27" t="n">
        <v>2.06</v>
      </c>
      <c r="BR97" s="28" t="n">
        <v>0.485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n"/>
    </row>
    <row r="98" ht="36" customHeight="1">
      <c r="A98" s="24" t="inlineStr">
        <is>
          <t>025e6dfc254a4339</t>
        </is>
      </c>
      <c r="B98" s="24" t="inlineStr">
        <is>
          <t>2026-08-01T20:15:41.530944Z</t>
        </is>
      </c>
      <c r="C98" s="24" t="inlineStr">
        <is>
          <t>2026-08-01T23:15Z</t>
        </is>
      </c>
      <c r="D98" s="24" t="inlineStr">
        <is>
          <t>401816347</t>
        </is>
      </c>
      <c r="E98" s="24" t="inlineStr">
        <is>
          <t>MLB</t>
        </is>
      </c>
      <c r="F98" s="24" t="inlineStr">
        <is>
          <t>Arizona Diamondbacks</t>
        </is>
      </c>
      <c r="G98" s="24" t="inlineStr">
        <is>
          <t>Cleveland Guardians</t>
        </is>
      </c>
      <c r="H98" s="24" t="inlineStr">
        <is>
          <t>spread</t>
        </is>
      </c>
      <c r="I98" s="24" t="inlineStr">
        <is>
          <t>away</t>
        </is>
      </c>
      <c r="J98" s="25" t="n">
        <v>1.5</v>
      </c>
      <c r="K98" s="24" t="inlineStr">
        <is>
          <t>polymarket_us</t>
        </is>
      </c>
      <c r="L98" s="26" t="n">
        <v>-133</v>
      </c>
      <c r="M98" s="27" t="n">
        <v>1.75188</v>
      </c>
      <c r="N98" s="28" t="n">
        <v>0.570815</v>
      </c>
      <c r="O98" s="28" t="n">
        <v>0.567924</v>
      </c>
      <c r="P98" s="28" t="n">
        <v>0.05172</v>
      </c>
      <c r="Q98" s="28" t="n">
        <v>-0.002891</v>
      </c>
      <c r="R98" s="26" t="n">
        <v>18</v>
      </c>
      <c r="S98" s="29" t="n">
        <v>1</v>
      </c>
      <c r="T98" s="24" t="inlineStr">
        <is>
          <t>measured-edge-margin-v2</t>
        </is>
      </c>
      <c r="U98" s="24" t="inlineStr">
        <is>
          <t>settled</t>
        </is>
      </c>
      <c r="V98" s="24" t="inlineStr">
        <is>
          <t>win</t>
        </is>
      </c>
      <c r="W98" s="26" t="n">
        <v>12</v>
      </c>
      <c r="X98" s="26" t="n">
        <v>8</v>
      </c>
      <c r="Y98" s="25" t="n">
        <v>1.5</v>
      </c>
      <c r="Z98" s="26" t="n">
        <v>-133</v>
      </c>
      <c r="AA98" s="28" t="n">
        <v>0.57</v>
      </c>
      <c r="AB98" s="28" t="n">
        <v>-0.000815</v>
      </c>
      <c r="AC98" s="30" t="n">
        <v>0.7519</v>
      </c>
      <c r="AD98" s="24" t="inlineStr">
        <is>
          <t>2026-08-02T03:26:00.414987Z</t>
        </is>
      </c>
      <c r="AE98" s="31" t="inlineStr">
        <is>
          <t>Measured Edge Margin: Trend Engine projected 4.02-4.73; raw selected-side p=0.6035, calibrated p=0.5679.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mlb-ari</t>
        </is>
      </c>
      <c r="AQ98" s="24" t="inlineStr">
        <is>
          <t>Arizona Diamondbacks</t>
        </is>
      </c>
      <c r="AR98" s="24" t="inlineStr">
        <is>
          <t>Arizona Diamondbacks</t>
        </is>
      </c>
      <c r="AS98" s="24" t="inlineStr">
        <is>
          <t>mlb-cle</t>
        </is>
      </c>
      <c r="AT98" s="24" t="inlineStr">
        <is>
          <t>Cleveland Guardians</t>
        </is>
      </c>
      <c r="AU98" s="24" t="inlineStr">
        <is>
          <t>Cleveland Guardians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8360b122264b796b0fb193095cfe4506c7e064e5f3f8c0a659aec41efd08dd25</t>
        </is>
      </c>
      <c r="BB98" s="24" t="inlineStr">
        <is>
          <t>flat_probability_shrinkage_toward_half</t>
        </is>
      </c>
      <c r="BC98" s="24" t="inlineStr">
        <is>
          <t>measured-edge-margin-v2</t>
        </is>
      </c>
      <c r="BD98" s="24" t="inlineStr">
        <is>
          <t>8360b122264b796b0fb193095cfe4506c7e064e5f3f8c0a659aec41efd08dd25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2026-08-01T20:15:41.530944Z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-133</v>
      </c>
      <c r="BL98" s="27" t="n">
        <v>1.75188</v>
      </c>
      <c r="BM98" s="28" t="n">
        <v>0.570815</v>
      </c>
      <c r="BN98" s="28" t="n">
        <v>0.567164</v>
      </c>
      <c r="BO98" s="28" t="n"/>
      <c r="BP98" s="25" t="n"/>
      <c r="BQ98" s="27" t="n">
        <v>1.75188</v>
      </c>
      <c r="BR98" s="28" t="n">
        <v>0.57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n"/>
    </row>
    <row r="99" ht="36" customHeight="1">
      <c r="A99" s="24" t="inlineStr">
        <is>
          <t>e7eb99b6b7d34a9d</t>
        </is>
      </c>
      <c r="B99" s="24" t="inlineStr">
        <is>
          <t>2026-08-01T20:15:41.530944Z</t>
        </is>
      </c>
      <c r="C99" s="24" t="inlineStr">
        <is>
          <t>2026-08-01T23:15Z</t>
        </is>
      </c>
      <c r="D99" s="24" t="inlineStr">
        <is>
          <t>401816347</t>
        </is>
      </c>
      <c r="E99" s="24" t="inlineStr">
        <is>
          <t>MLB</t>
        </is>
      </c>
      <c r="F99" s="24" t="inlineStr">
        <is>
          <t>Arizona Diamondbacks</t>
        </is>
      </c>
      <c r="G99" s="24" t="inlineStr">
        <is>
          <t>Cleveland Guardians</t>
        </is>
      </c>
      <c r="H99" s="24" t="inlineStr">
        <is>
          <t>total</t>
        </is>
      </c>
      <c r="I99" s="24" t="inlineStr">
        <is>
          <t>under</t>
        </is>
      </c>
      <c r="J99" s="25" t="n">
        <v>8.5</v>
      </c>
      <c r="K99" s="24" t="inlineStr">
        <is>
          <t>polymarket_us</t>
        </is>
      </c>
      <c r="L99" s="26" t="n">
        <v>-111</v>
      </c>
      <c r="M99" s="27" t="n">
        <v>1.900901</v>
      </c>
      <c r="N99" s="28" t="n">
        <v>0.526066</v>
      </c>
      <c r="O99" s="28" t="n">
        <v>0.509231</v>
      </c>
      <c r="P99" s="28" t="n">
        <v>0.05172</v>
      </c>
      <c r="Q99" s="28" t="n">
        <v>-0.016835</v>
      </c>
      <c r="R99" s="26" t="n">
        <v>11</v>
      </c>
      <c r="S99" s="29" t="n">
        <v>1</v>
      </c>
      <c r="T99" s="24" t="inlineStr">
        <is>
          <t>measured-edge-totals-v2</t>
        </is>
      </c>
      <c r="U99" s="24" t="inlineStr">
        <is>
          <t>settled</t>
        </is>
      </c>
      <c r="V99" s="24" t="inlineStr">
        <is>
          <t>loss</t>
        </is>
      </c>
      <c r="W99" s="26" t="n">
        <v>12</v>
      </c>
      <c r="X99" s="26" t="n">
        <v>8</v>
      </c>
      <c r="Y99" s="25" t="n">
        <v>8.5</v>
      </c>
      <c r="Z99" s="26" t="n">
        <v>-111</v>
      </c>
      <c r="AA99" s="28" t="n">
        <v>0.525</v>
      </c>
      <c r="AB99" s="28" t="n">
        <v>-0.001066</v>
      </c>
      <c r="AC99" s="30" t="n">
        <v>-1</v>
      </c>
      <c r="AD99" s="24" t="inlineStr">
        <is>
          <t>2026-08-02T03:26:00.966797Z</t>
        </is>
      </c>
      <c r="AE99" s="31" t="inlineStr">
        <is>
          <t>Measured Edge Totals: Trend Engine projected 4.02-4.73; raw selected-side p=0.5038, calibrated p=0.5092.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mlb-ari</t>
        </is>
      </c>
      <c r="AQ99" s="24" t="inlineStr">
        <is>
          <t>Arizona Diamondbacks</t>
        </is>
      </c>
      <c r="AR99" s="24" t="inlineStr">
        <is>
          <t>Arizona Diamondbacks</t>
        </is>
      </c>
      <c r="AS99" s="24" t="inlineStr">
        <is>
          <t>mlb-cle</t>
        </is>
      </c>
      <c r="AT99" s="24" t="inlineStr">
        <is>
          <t>Cleveland Guardians</t>
        </is>
      </c>
      <c r="AU99" s="24" t="inlineStr">
        <is>
          <t>Cleveland Guardians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433578016242b27f9c1c7132cc6b5a2bcc7dd1b0234590c12a944455a88e71bd</t>
        </is>
      </c>
      <c r="BB99" s="24" t="inlineStr">
        <is>
          <t>flat_probability_shrinkage_toward_half</t>
        </is>
      </c>
      <c r="BC99" s="24" t="inlineStr">
        <is>
          <t>measured-edge-totals-v2</t>
        </is>
      </c>
      <c r="BD99" s="24" t="inlineStr">
        <is>
          <t>433578016242b27f9c1c7132cc6b5a2bcc7dd1b0234590c12a944455a88e71bd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2026-08-01T20:15:41.530944Z</t>
        </is>
      </c>
      <c r="BI99" s="24" t="inlineStr">
        <is>
          <t>["same_event","same_team_same_day","same_league_same_day"]</t>
        </is>
      </c>
      <c r="BJ99" s="25" t="n">
        <v>8.5</v>
      </c>
      <c r="BK99" s="26" t="n">
        <v>-111</v>
      </c>
      <c r="BL99" s="27" t="n">
        <v>1.900901</v>
      </c>
      <c r="BM99" s="28" t="n">
        <v>0.526066</v>
      </c>
      <c r="BN99" s="28" t="n">
        <v>0.522388</v>
      </c>
      <c r="BO99" s="28" t="n"/>
      <c r="BP99" s="25" t="n"/>
      <c r="BQ99" s="27" t="n">
        <v>1.900901</v>
      </c>
      <c r="BR99" s="28" t="n">
        <v>0.525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n"/>
    </row>
    <row r="100" ht="36" customHeight="1">
      <c r="A100" s="24" t="inlineStr">
        <is>
          <t>c6abafb6682c4b30</t>
        </is>
      </c>
      <c r="B100" s="24" t="inlineStr">
        <is>
          <t>2026-08-01T20:15:41.530944Z</t>
        </is>
      </c>
      <c r="C100" s="24" t="inlineStr">
        <is>
          <t>2026-08-01T23:15Z</t>
        </is>
      </c>
      <c r="D100" s="24" t="inlineStr">
        <is>
          <t>401816353</t>
        </is>
      </c>
      <c r="E100" s="24" t="inlineStr">
        <is>
          <t>MLB</t>
        </is>
      </c>
      <c r="F100" s="24" t="inlineStr">
        <is>
          <t>Washington Nationals</t>
        </is>
      </c>
      <c r="G100" s="24" t="inlineStr">
        <is>
          <t>Atlanta Braves</t>
        </is>
      </c>
      <c r="H100" s="24" t="inlineStr">
        <is>
          <t>spread</t>
        </is>
      </c>
      <c r="I100" s="24" t="inlineStr">
        <is>
          <t>away</t>
        </is>
      </c>
      <c r="J100" s="25" t="n">
        <v>1.5</v>
      </c>
      <c r="K100" s="24" t="inlineStr">
        <is>
          <t>polymarket_us</t>
        </is>
      </c>
      <c r="L100" s="26" t="n">
        <v>-127</v>
      </c>
      <c r="M100" s="27" t="n">
        <v>1.787402</v>
      </c>
      <c r="N100" s="28" t="n">
        <v>0.5594710000000001</v>
      </c>
      <c r="O100" s="28" t="n">
        <v>0.571729</v>
      </c>
      <c r="P100" s="28" t="n">
        <v>0.042131</v>
      </c>
      <c r="Q100" s="28" t="n">
        <v>0.012258</v>
      </c>
      <c r="R100" s="26" t="n">
        <v>31</v>
      </c>
      <c r="S100" s="29" t="n">
        <v>1.25</v>
      </c>
      <c r="T100" s="24" t="inlineStr">
        <is>
          <t>measured-edge-margin-v2</t>
        </is>
      </c>
      <c r="U100" s="24" t="inlineStr">
        <is>
          <t>settled</t>
        </is>
      </c>
      <c r="V100" s="24" t="inlineStr">
        <is>
          <t>loss</t>
        </is>
      </c>
      <c r="W100" s="26" t="n">
        <v>3</v>
      </c>
      <c r="X100" s="26" t="n">
        <v>8</v>
      </c>
      <c r="Y100" s="25" t="n">
        <v>1.5</v>
      </c>
      <c r="Z100" s="26" t="n">
        <v>-127</v>
      </c>
      <c r="AA100" s="28" t="n">
        <v>0.5600000000000001</v>
      </c>
      <c r="AB100" s="28" t="n">
        <v>0.000529</v>
      </c>
      <c r="AC100" s="30" t="n">
        <v>-1.25</v>
      </c>
      <c r="AD100" s="24" t="inlineStr">
        <is>
          <t>2026-08-02T03:26:01.546903Z</t>
        </is>
      </c>
      <c r="AE100" s="31" t="inlineStr">
        <is>
          <t>Measured Edge Margin: Trend Engine projected 4.41-5.01; raw selected-side p=0.6092, calibrated p=0.5717.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mlb-wsh</t>
        </is>
      </c>
      <c r="AQ100" s="24" t="inlineStr">
        <is>
          <t>Washington Nationals</t>
        </is>
      </c>
      <c r="AR100" s="24" t="inlineStr">
        <is>
          <t>Washington Nationals</t>
        </is>
      </c>
      <c r="AS100" s="24" t="inlineStr">
        <is>
          <t>mlb-atl</t>
        </is>
      </c>
      <c r="AT100" s="24" t="inlineStr">
        <is>
          <t>Atlanta Braves</t>
        </is>
      </c>
      <c r="AU100" s="24" t="inlineStr">
        <is>
          <t>Atlanta Braves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8360b122264b796b0fb193095cfe4506c7e064e5f3f8c0a659aec41efd08dd25</t>
        </is>
      </c>
      <c r="BB100" s="24" t="inlineStr">
        <is>
          <t>flat_probability_shrinkage_toward_half</t>
        </is>
      </c>
      <c r="BC100" s="24" t="inlineStr">
        <is>
          <t>measured-edge-margin-v2</t>
        </is>
      </c>
      <c r="BD100" s="24" t="inlineStr">
        <is>
          <t>8360b122264b796b0fb193095cfe4506c7e064e5f3f8c0a659aec41efd08dd25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2026-08-01T20:15:41.530944Z</t>
        </is>
      </c>
      <c r="BI100" s="24" t="inlineStr">
        <is>
          <t>["same_event","same_team_same_day","same_league_same_day"]</t>
        </is>
      </c>
      <c r="BJ100" s="25" t="n">
        <v>1.5</v>
      </c>
      <c r="BK100" s="26" t="n">
        <v>-127</v>
      </c>
      <c r="BL100" s="27" t="n">
        <v>1.787402</v>
      </c>
      <c r="BM100" s="28" t="n">
        <v>0.5594710000000001</v>
      </c>
      <c r="BN100" s="28" t="n">
        <v>0.557214</v>
      </c>
      <c r="BO100" s="28" t="n"/>
      <c r="BP100" s="25" t="n"/>
      <c r="BQ100" s="27" t="n">
        <v>1.787402</v>
      </c>
      <c r="BR100" s="28" t="n">
        <v>0.5600000000000001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n"/>
    </row>
    <row r="101" ht="36" customHeight="1">
      <c r="A101" s="24" t="inlineStr">
        <is>
          <t>6fb5c07d4adc473f</t>
        </is>
      </c>
      <c r="B101" s="24" t="inlineStr">
        <is>
          <t>2026-08-01T20:15:41.530944Z</t>
        </is>
      </c>
      <c r="C101" s="24" t="inlineStr">
        <is>
          <t>2026-08-01T23:15Z</t>
        </is>
      </c>
      <c r="D101" s="24" t="inlineStr">
        <is>
          <t>401816353</t>
        </is>
      </c>
      <c r="E101" s="24" t="inlineStr">
        <is>
          <t>MLB</t>
        </is>
      </c>
      <c r="F101" s="24" t="inlineStr">
        <is>
          <t>Washington Nationals</t>
        </is>
      </c>
      <c r="G101" s="24" t="inlineStr">
        <is>
          <t>Atlanta Braves</t>
        </is>
      </c>
      <c r="H101" s="24" t="inlineStr">
        <is>
          <t>total</t>
        </is>
      </c>
      <c r="I101" s="24" t="inlineStr">
        <is>
          <t>under</t>
        </is>
      </c>
      <c r="J101" s="25" t="n">
        <v>9.5</v>
      </c>
      <c r="K101" s="24" t="inlineStr">
        <is>
          <t>polymarket_us</t>
        </is>
      </c>
      <c r="L101" s="26" t="n">
        <v>-111</v>
      </c>
      <c r="M101" s="27" t="n">
        <v>1.900901</v>
      </c>
      <c r="N101" s="28" t="n">
        <v>0.526066</v>
      </c>
      <c r="O101" s="28" t="n">
        <v>0.527495</v>
      </c>
      <c r="P101" s="28" t="n">
        <v>0.042131</v>
      </c>
      <c r="Q101" s="28" t="n">
        <v>0.001429</v>
      </c>
      <c r="R101" s="26" t="n">
        <v>25</v>
      </c>
      <c r="S101" s="29" t="n">
        <v>1</v>
      </c>
      <c r="T101" s="24" t="inlineStr">
        <is>
          <t>measured-edge-totals-v2</t>
        </is>
      </c>
      <c r="U101" s="24" t="inlineStr">
        <is>
          <t>settled</t>
        </is>
      </c>
      <c r="V101" s="24" t="inlineStr">
        <is>
          <t>loss</t>
        </is>
      </c>
      <c r="W101" s="26" t="n">
        <v>3</v>
      </c>
      <c r="X101" s="26" t="n">
        <v>8</v>
      </c>
      <c r="Y101" s="25" t="n">
        <v>9.5</v>
      </c>
      <c r="Z101" s="26" t="n">
        <v>-111</v>
      </c>
      <c r="AA101" s="28" t="n">
        <v>0.525</v>
      </c>
      <c r="AB101" s="28" t="n">
        <v>-0.001066</v>
      </c>
      <c r="AC101" s="30" t="n">
        <v>-1</v>
      </c>
      <c r="AD101" s="24" t="inlineStr">
        <is>
          <t>2026-08-02T03:26:02.159533Z</t>
        </is>
      </c>
      <c r="AE101" s="31" t="inlineStr">
        <is>
          <t>Measured Edge Totals: Trend Engine projected 4.41-5.01; raw selected-side p=0.5572, calibrated p=0.5275.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mlb-wsh</t>
        </is>
      </c>
      <c r="AQ101" s="24" t="inlineStr">
        <is>
          <t>Washington Nationals</t>
        </is>
      </c>
      <c r="AR101" s="24" t="inlineStr">
        <is>
          <t>Washington Nationals</t>
        </is>
      </c>
      <c r="AS101" s="24" t="inlineStr">
        <is>
          <t>mlb-atl</t>
        </is>
      </c>
      <c r="AT101" s="24" t="inlineStr">
        <is>
          <t>Atlanta Braves</t>
        </is>
      </c>
      <c r="AU101" s="24" t="inlineStr">
        <is>
          <t>Atlanta Braves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433578016242b27f9c1c7132cc6b5a2bcc7dd1b0234590c12a944455a88e71bd</t>
        </is>
      </c>
      <c r="BB101" s="24" t="inlineStr">
        <is>
          <t>flat_probability_shrinkage_toward_half</t>
        </is>
      </c>
      <c r="BC101" s="24" t="inlineStr">
        <is>
          <t>measured-edge-totals-v2</t>
        </is>
      </c>
      <c r="BD101" s="24" t="inlineStr">
        <is>
          <t>433578016242b27f9c1c7132cc6b5a2bcc7dd1b0234590c12a944455a88e71bd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2026-08-01T20:15:41.530944Z</t>
        </is>
      </c>
      <c r="BI101" s="24" t="inlineStr">
        <is>
          <t>["same_event","same_team_same_day","same_league_same_day"]</t>
        </is>
      </c>
      <c r="BJ101" s="25" t="n">
        <v>9.5</v>
      </c>
      <c r="BK101" s="26" t="n">
        <v>-111</v>
      </c>
      <c r="BL101" s="27" t="n">
        <v>1.900901</v>
      </c>
      <c r="BM101" s="28" t="n">
        <v>0.526066</v>
      </c>
      <c r="BN101" s="28" t="n">
        <v>0.522388</v>
      </c>
      <c r="BO101" s="28" t="n"/>
      <c r="BP101" s="25" t="n"/>
      <c r="BQ101" s="27" t="n">
        <v>1.900901</v>
      </c>
      <c r="BR101" s="28" t="n">
        <v>0.525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n"/>
    </row>
    <row r="102" ht="36" customHeight="1">
      <c r="A102" s="24" t="inlineStr">
        <is>
          <t>65c158a1a4f34697</t>
        </is>
      </c>
      <c r="B102" s="24" t="inlineStr">
        <is>
          <t>2026-08-01T20:15:41.530944Z</t>
        </is>
      </c>
      <c r="C102" s="24" t="inlineStr">
        <is>
          <t>2026-08-01T23:15Z</t>
        </is>
      </c>
      <c r="D102" s="24" t="inlineStr">
        <is>
          <t>401816354</t>
        </is>
      </c>
      <c r="E102" s="24" t="inlineStr">
        <is>
          <t>MLB</t>
        </is>
      </c>
      <c r="F102" s="24" t="inlineStr">
        <is>
          <t>New York Yankees</t>
        </is>
      </c>
      <c r="G102" s="24" t="inlineStr">
        <is>
          <t>Chicago Cubs</t>
        </is>
      </c>
      <c r="H102" s="24" t="inlineStr">
        <is>
          <t>spread</t>
        </is>
      </c>
      <c r="I102" s="24" t="inlineStr">
        <is>
          <t>home</t>
        </is>
      </c>
      <c r="J102" s="25" t="n">
        <v>1.5</v>
      </c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0.608372</v>
      </c>
      <c r="P102" s="28" t="n">
        <v>0.042131</v>
      </c>
      <c r="Q102" s="28" t="n">
        <v>-0.051492</v>
      </c>
      <c r="R102" s="26" t="n">
        <v>0</v>
      </c>
      <c r="S102" s="29" t="n">
        <v>1.5</v>
      </c>
      <c r="T102" s="24" t="inlineStr">
        <is>
          <t>measured-edge-margin-v2</t>
        </is>
      </c>
      <c r="U102" s="24" t="inlineStr">
        <is>
          <t>settled</t>
        </is>
      </c>
      <c r="V102" s="24" t="inlineStr">
        <is>
          <t>win</t>
        </is>
      </c>
      <c r="W102" s="26" t="n">
        <v>2</v>
      </c>
      <c r="X102" s="26" t="n">
        <v>5</v>
      </c>
      <c r="Y102" s="25" t="n">
        <v>1.5</v>
      </c>
      <c r="Z102" s="26" t="n">
        <v>-194</v>
      </c>
      <c r="AA102" s="28" t="n">
        <v>0.66</v>
      </c>
      <c r="AB102" s="28" t="n">
        <v>0.000136</v>
      </c>
      <c r="AC102" s="30" t="n">
        <v>0.7732</v>
      </c>
      <c r="AD102" s="24" t="inlineStr">
        <is>
          <t>2026-08-02T03:26:02.756178Z</t>
        </is>
      </c>
      <c r="AE102" s="31" t="inlineStr">
        <is>
          <t>Measured Edge Margin: Trend Engine projected 4.74-4.76; raw selected-side p=0.6651, calibrated p=0.6084.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mlb-nyy</t>
        </is>
      </c>
      <c r="AQ102" s="24" t="inlineStr">
        <is>
          <t>New York Yankees</t>
        </is>
      </c>
      <c r="AR102" s="24" t="inlineStr">
        <is>
          <t>New York Yankees</t>
        </is>
      </c>
      <c r="AS102" s="24" t="inlineStr">
        <is>
          <t>mlb-chc</t>
        </is>
      </c>
      <c r="AT102" s="24" t="inlineStr">
        <is>
          <t>Chicago Cubs</t>
        </is>
      </c>
      <c r="AU102" s="24" t="inlineStr">
        <is>
          <t>Chicago Cubs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8360b122264b796b0fb193095cfe4506c7e064e5f3f8c0a659aec41efd08dd25</t>
        </is>
      </c>
      <c r="BB102" s="24" t="inlineStr">
        <is>
          <t>flat_probability_shrinkage_toward_half</t>
        </is>
      </c>
      <c r="BC102" s="24" t="inlineStr">
        <is>
          <t>measured-edge-margin-v2</t>
        </is>
      </c>
      <c r="BD102" s="24" t="inlineStr">
        <is>
          <t>8360b122264b796b0fb193095cfe4506c7e064e5f3f8c0a659aec41efd08dd25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2026-08-01T20:15:41.530944Z</t>
        </is>
      </c>
      <c r="BI102" s="24" t="inlineStr">
        <is>
          <t>["same_event","same_team_same_day","same_league_same_day"]</t>
        </is>
      </c>
      <c r="BJ102" s="25" t="n">
        <v>1.5</v>
      </c>
      <c r="BK102" s="26" t="n">
        <v>-194</v>
      </c>
      <c r="BL102" s="27" t="n">
        <v>1.515464</v>
      </c>
      <c r="BM102" s="28" t="n">
        <v>0.659864</v>
      </c>
      <c r="BN102" s="28" t="n">
        <v>0.656716</v>
      </c>
      <c r="BO102" s="28" t="n"/>
      <c r="BP102" s="25" t="n"/>
      <c r="BQ102" s="27" t="n">
        <v>1.515464</v>
      </c>
      <c r="BR102" s="28" t="n">
        <v>0.66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n"/>
    </row>
    <row r="103" ht="36" customHeight="1">
      <c r="A103" s="24" t="inlineStr">
        <is>
          <t>dccae496dc9d4020</t>
        </is>
      </c>
      <c r="B103" s="24" t="inlineStr">
        <is>
          <t>2026-08-01T20:15:41.530944Z</t>
        </is>
      </c>
      <c r="C103" s="24" t="inlineStr">
        <is>
          <t>2026-08-01T23:15Z</t>
        </is>
      </c>
      <c r="D103" s="24" t="inlineStr">
        <is>
          <t>401816354</t>
        </is>
      </c>
      <c r="E103" s="24" t="inlineStr">
        <is>
          <t>MLB</t>
        </is>
      </c>
      <c r="F103" s="24" t="inlineStr">
        <is>
          <t>New York Yankees</t>
        </is>
      </c>
      <c r="G103" s="24" t="inlineStr">
        <is>
          <t>Chicago Cubs</t>
        </is>
      </c>
      <c r="H103" s="24" t="inlineStr">
        <is>
          <t>total</t>
        </is>
      </c>
      <c r="I103" s="24" t="inlineStr">
        <is>
          <t>over</t>
        </is>
      </c>
      <c r="J103" s="25" t="n">
        <v>6.5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0.592316</v>
      </c>
      <c r="P103" s="28" t="n">
        <v>0.042131</v>
      </c>
      <c r="Q103" s="28" t="n">
        <v>0.122832</v>
      </c>
      <c r="R103" s="26" t="n">
        <v>86</v>
      </c>
      <c r="S103" s="29" t="n">
        <v>1.25</v>
      </c>
      <c r="T103" s="24" t="inlineStr">
        <is>
          <t>measured-edge-totals-v2</t>
        </is>
      </c>
      <c r="U103" s="24" t="inlineStr">
        <is>
          <t>settled</t>
        </is>
      </c>
      <c r="V103" s="24" t="inlineStr">
        <is>
          <t>win</t>
        </is>
      </c>
      <c r="W103" s="26" t="n">
        <v>2</v>
      </c>
      <c r="X103" s="26" t="n">
        <v>5</v>
      </c>
      <c r="Y103" s="25" t="n">
        <v>6.5</v>
      </c>
      <c r="Z103" s="26" t="n">
        <v>113</v>
      </c>
      <c r="AA103" s="28" t="n">
        <v>0.47</v>
      </c>
      <c r="AB103" s="28" t="n">
        <v>0.000516</v>
      </c>
      <c r="AC103" s="30" t="n">
        <v>1.4125</v>
      </c>
      <c r="AD103" s="24" t="inlineStr">
        <is>
          <t>2026-08-02T03:26:03.339275Z</t>
        </is>
      </c>
      <c r="AE103" s="31" t="inlineStr">
        <is>
          <t>Measured Edge Totals: Trend Engine projected 4.74-4.76; raw selected-side p=0.7469, calibrated p=0.5923.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mlb-nyy</t>
        </is>
      </c>
      <c r="AQ103" s="24" t="inlineStr">
        <is>
          <t>New York Yankees</t>
        </is>
      </c>
      <c r="AR103" s="24" t="inlineStr">
        <is>
          <t>New York Yankees</t>
        </is>
      </c>
      <c r="AS103" s="24" t="inlineStr">
        <is>
          <t>mlb-chc</t>
        </is>
      </c>
      <c r="AT103" s="24" t="inlineStr">
        <is>
          <t>Chicago Cubs</t>
        </is>
      </c>
      <c r="AU103" s="24" t="inlineStr">
        <is>
          <t>Chicago Cubs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433578016242b27f9c1c7132cc6b5a2bcc7dd1b0234590c12a944455a88e71bd</t>
        </is>
      </c>
      <c r="BB103" s="24" t="inlineStr">
        <is>
          <t>flat_probability_shrinkage_toward_half</t>
        </is>
      </c>
      <c r="BC103" s="24" t="inlineStr">
        <is>
          <t>measured-edge-totals-v2</t>
        </is>
      </c>
      <c r="BD103" s="24" t="inlineStr">
        <is>
          <t>433578016242b27f9c1c7132cc6b5a2bcc7dd1b0234590c12a944455a88e71bd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2026-08-01T20:15:41.530944Z</t>
        </is>
      </c>
      <c r="BI103" s="24" t="inlineStr">
        <is>
          <t>["same_event","same_team_same_day","same_league_same_day"]</t>
        </is>
      </c>
      <c r="BJ103" s="25" t="n">
        <v>6.5</v>
      </c>
      <c r="BK103" s="26" t="n">
        <v>113</v>
      </c>
      <c r="BL103" s="27" t="n">
        <v>2.13</v>
      </c>
      <c r="BM103" s="28" t="n">
        <v>0.469484</v>
      </c>
      <c r="BN103" s="28" t="n">
        <v>0.467662</v>
      </c>
      <c r="BO103" s="28" t="n"/>
      <c r="BP103" s="25" t="n"/>
      <c r="BQ103" s="27" t="n">
        <v>2.13</v>
      </c>
      <c r="BR103" s="28" t="n">
        <v>0.47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n"/>
    </row>
    <row r="104" ht="36" customHeight="1">
      <c r="A104" s="24" t="inlineStr">
        <is>
          <t>3b5841d83fef493f</t>
        </is>
      </c>
      <c r="B104" s="24" t="inlineStr">
        <is>
          <t>2026-08-01T23:52:21.502342Z</t>
        </is>
      </c>
      <c r="C104" s="24" t="inlineStr">
        <is>
          <t>2026-08-01T20:10:00-0400</t>
        </is>
      </c>
      <c r="D104" s="24" t="inlineStr">
        <is>
          <t>401816356</t>
        </is>
      </c>
      <c r="E104" s="24" t="inlineStr">
        <is>
          <t>MLB</t>
        </is>
      </c>
      <c r="F104" s="24" t="inlineStr">
        <is>
          <t>Kansas City Royals</t>
        </is>
      </c>
      <c r="G104" s="24" t="inlineStr">
        <is>
          <t>Colorado Rockies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115</v>
      </c>
      <c r="M104" s="27" t="n">
        <v>2.15</v>
      </c>
      <c r="N104" s="28" t="n">
        <v>0.465116</v>
      </c>
      <c r="O104" s="28" t="n">
        <v>0.59943</v>
      </c>
      <c r="P104" s="28" t="n"/>
      <c r="Q104" s="28" t="n">
        <v>0.134314</v>
      </c>
      <c r="R104" s="26" t="n">
        <v>88</v>
      </c>
      <c r="S104" s="29" t="n">
        <v>1.25</v>
      </c>
      <c r="T104" s="24" t="inlineStr">
        <is>
          <t>mlb-elo-trend-lr-v7</t>
        </is>
      </c>
      <c r="U104" s="24" t="inlineStr">
        <is>
          <t>settled</t>
        </is>
      </c>
      <c r="V104" s="24" t="inlineStr">
        <is>
          <t>loss</t>
        </is>
      </c>
      <c r="W104" s="26" t="n">
        <v>6</v>
      </c>
      <c r="X104" s="26" t="n">
        <v>12</v>
      </c>
      <c r="Y104" s="25" t="n"/>
      <c r="Z104" s="26" t="n">
        <v>115</v>
      </c>
      <c r="AA104" s="28" t="n">
        <v>0.465</v>
      </c>
      <c r="AB104" s="28" t="n">
        <v>-0.000116</v>
      </c>
      <c r="AC104" s="30" t="n">
        <v>-1.25</v>
      </c>
      <c r="AD104" s="24" t="inlineStr">
        <is>
          <t>2026-08-02T03:26:03.879357Z</t>
        </is>
      </c>
      <c r="AE104" s="31" t="inlineStr">
        <is>
          <t>Learned LR call at threshold 0.6242; executable ask 0.4650 (aec-mlb-kc-col-2026-08-01); model edge vs ask +0.1344.</t>
        </is>
      </c>
      <c r="AF104" s="31" t="inlineStr">
        <is>
          <t>Learned model; shadow-qualified via operator override.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model_qualified</t>
        </is>
      </c>
      <c r="AL104" s="26" t="n">
        <v>3</v>
      </c>
      <c r="AM104" s="24" t="inlineStr">
        <is>
          <t>QUALIFIED_SHADOW_CALL</t>
        </is>
      </c>
      <c r="AN104" s="24" t="inlineStr">
        <is>
          <t>CALL</t>
        </is>
      </c>
      <c r="AO104" s="24" t="inlineStr">
        <is>
          <t>QUALIFIED</t>
        </is>
      </c>
      <c r="AP104" s="24" t="inlineStr">
        <is>
          <t>mlb-kc</t>
        </is>
      </c>
      <c r="AQ104" s="24" t="inlineStr">
        <is>
          <t>Kansas City Royals</t>
        </is>
      </c>
      <c r="AR104" s="24" t="inlineStr">
        <is>
          <t>Kansas City Royals</t>
        </is>
      </c>
      <c r="AS104" s="24" t="inlineStr">
        <is>
          <t>mlb-col</t>
        </is>
      </c>
      <c r="AT104" s="24" t="inlineStr">
        <is>
          <t>Colorado Rockies</t>
        </is>
      </c>
      <c r="AU104" s="24" t="inlineStr">
        <is>
          <t>Colorado Rockies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464eef695bfbbdaa819ec6f5e4c5bd1068ed20b92915fb2677220ae91e20d8b6</t>
        </is>
      </c>
      <c r="BB104" s="24" t="inlineStr">
        <is>
          <t>learned_lr</t>
        </is>
      </c>
      <c r="BC104" s="24" t="inlineStr">
        <is>
          <t>mlb-elo-trend-lr-v7</t>
        </is>
      </c>
      <c r="BD104" s="24" t="inlineStr">
        <is>
          <t>464eef695bfbbdaa819ec6f5e4c5bd1068ed20b92915fb2677220ae91e20d8b6</t>
        </is>
      </c>
      <c r="BE104" s="24" t="inlineStr">
        <is>
          <t>f816e731583b605d</t>
        </is>
      </c>
      <c r="BF104" s="24" t="inlineStr">
        <is>
          <t>1</t>
        </is>
      </c>
      <c r="BG104" s="24" t="inlineStr">
        <is>
          <t>mlb-elo-trend-lr-v7</t>
        </is>
      </c>
      <c r="BH104" s="24" t="inlineStr">
        <is>
          <t>2026-08-01T23:51:47.419062Z</t>
        </is>
      </c>
      <c r="BI104" s="24" t="inlineStr">
        <is>
          <t>["same_event","same_team_same_day","same_league_same_day"]</t>
        </is>
      </c>
      <c r="BJ104" s="25" t="n"/>
      <c r="BK104" s="26" t="n">
        <v>115</v>
      </c>
      <c r="BL104" s="27" t="n">
        <v>2.15</v>
      </c>
      <c r="BM104" s="28" t="n">
        <v>0.465116</v>
      </c>
      <c r="BN104" s="28" t="n">
        <v>0.462687</v>
      </c>
      <c r="BO104" s="28" t="n"/>
      <c r="BP104" s="25" t="n"/>
      <c r="BQ104" s="27" t="n">
        <v>2.15</v>
      </c>
      <c r="BR104" s="28" t="n">
        <v>0.465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inlineStr">
        <is>
          <t>0.4336227344</t>
        </is>
      </c>
      <c r="CD104" s="24" t="inlineStr">
        <is>
          <t>0.282629</t>
        </is>
      </c>
      <c r="CE104" s="24" t="inlineStr">
        <is>
          <t>1.193</t>
        </is>
      </c>
      <c r="CF104" s="24" t="inlineStr">
        <is>
          <t>1.0257</t>
        </is>
      </c>
      <c r="CG104" s="24" t="inlineStr">
        <is>
          <t>2.2</t>
        </is>
      </c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n"/>
    </row>
    <row r="105" ht="36" customHeight="1">
      <c r="A105" s="24" t="inlineStr">
        <is>
          <t>49b9445418b14f77</t>
        </is>
      </c>
      <c r="B105" s="24" t="inlineStr">
        <is>
          <t>2026-08-01T23:52:21.502342Z</t>
        </is>
      </c>
      <c r="C105" s="24" t="inlineStr">
        <is>
          <t>2026-08-01T20:40:00-0400</t>
        </is>
      </c>
      <c r="D105" s="24" t="inlineStr">
        <is>
          <t>401816361</t>
        </is>
      </c>
      <c r="E105" s="24" t="inlineStr">
        <is>
          <t>MLB</t>
        </is>
      </c>
      <c r="F105" s="24" t="inlineStr">
        <is>
          <t>San Francisco Giants</t>
        </is>
      </c>
      <c r="G105" s="24" t="inlineStr">
        <is>
          <t>San Diego Padres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-141</v>
      </c>
      <c r="M105" s="27" t="n">
        <v>1.70922</v>
      </c>
      <c r="N105" s="28" t="n">
        <v>0.585062</v>
      </c>
      <c r="O105" s="28" t="n">
        <v>0.586302</v>
      </c>
      <c r="P105" s="28" t="n"/>
      <c r="Q105" s="28" t="n">
        <v>0.00124</v>
      </c>
      <c r="R105" s="26" t="n">
        <v>22</v>
      </c>
      <c r="S105" s="29" t="n">
        <v>1.25</v>
      </c>
      <c r="T105" s="24" t="inlineStr">
        <is>
          <t>mlb-elo-trend-lr-v7</t>
        </is>
      </c>
      <c r="U105" s="24" t="inlineStr">
        <is>
          <t>settled</t>
        </is>
      </c>
      <c r="V105" s="24" t="inlineStr">
        <is>
          <t>win</t>
        </is>
      </c>
      <c r="W105" s="26" t="n">
        <v>5</v>
      </c>
      <c r="X105" s="26" t="n">
        <v>6</v>
      </c>
      <c r="Y105" s="25" t="n"/>
      <c r="Z105" s="26" t="n">
        <v>-141</v>
      </c>
      <c r="AA105" s="28" t="n">
        <v>0.585</v>
      </c>
      <c r="AB105" s="28" t="n">
        <v>-6.2e-05</v>
      </c>
      <c r="AC105" s="30" t="n">
        <v>0.8865</v>
      </c>
      <c r="AD105" s="24" t="inlineStr">
        <is>
          <t>2026-08-02T04:26:12.354214Z</t>
        </is>
      </c>
      <c r="AE105" s="31" t="inlineStr">
        <is>
          <t>Learned LR call at threshold 0.6242; executable ask 0.5850 (aec-mlb-sf-sd-2026-08-01); model edge vs ask +0.0013.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3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mlb-sf</t>
        </is>
      </c>
      <c r="AQ105" s="24" t="inlineStr">
        <is>
          <t>San Francisco Giants</t>
        </is>
      </c>
      <c r="AR105" s="24" t="inlineStr">
        <is>
          <t>San Francisco Giants</t>
        </is>
      </c>
      <c r="AS105" s="24" t="inlineStr">
        <is>
          <t>mlb-sd</t>
        </is>
      </c>
      <c r="AT105" s="24" t="inlineStr">
        <is>
          <t>San Diego Padres</t>
        </is>
      </c>
      <c r="AU105" s="24" t="inlineStr">
        <is>
          <t>San Diego Padres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464eef695bfbbdaa819ec6f5e4c5bd1068ed20b92915fb2677220ae91e20d8b6</t>
        </is>
      </c>
      <c r="BB105" s="24" t="inlineStr">
        <is>
          <t>learned_lr</t>
        </is>
      </c>
      <c r="BC105" s="24" t="inlineStr">
        <is>
          <t>mlb-elo-trend-lr-v7</t>
        </is>
      </c>
      <c r="BD105" s="24" t="inlineStr">
        <is>
          <t>464eef695bfbbdaa819ec6f5e4c5bd1068ed20b92915fb2677220ae91e20d8b6</t>
        </is>
      </c>
      <c r="BE105" s="24" t="inlineStr">
        <is>
          <t>3254957dc6cbdcf2</t>
        </is>
      </c>
      <c r="BF105" s="24" t="inlineStr">
        <is>
          <t>1</t>
        </is>
      </c>
      <c r="BG105" s="24" t="inlineStr">
        <is>
          <t>mlb-elo-trend-lr-v7</t>
        </is>
      </c>
      <c r="BH105" s="24" t="inlineStr">
        <is>
          <t>2026-08-01T23:51:48.315062Z</t>
        </is>
      </c>
      <c r="BI105" s="24" t="inlineStr">
        <is>
          <t>["same_event","same_team_same_day","same_league_same_day"]</t>
        </is>
      </c>
      <c r="BJ105" s="25" t="n"/>
      <c r="BK105" s="26" t="n">
        <v>-141</v>
      </c>
      <c r="BL105" s="27" t="n">
        <v>1.70922</v>
      </c>
      <c r="BM105" s="28" t="n">
        <v>0.585062</v>
      </c>
      <c r="BN105" s="28" t="n">
        <v>0.58209</v>
      </c>
      <c r="BO105" s="28" t="n"/>
      <c r="BP105" s="25" t="n"/>
      <c r="BQ105" s="27" t="n">
        <v>1.70922</v>
      </c>
      <c r="BR105" s="28" t="n">
        <v>0.585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0.5921899564</t>
        </is>
      </c>
      <c r="CD105" s="24" t="inlineStr">
        <is>
          <t>-0.027918</t>
        </is>
      </c>
      <c r="CE105" s="24" t="inlineStr">
        <is>
          <t>0.945</t>
        </is>
      </c>
      <c r="CF105" s="24" t="inlineStr">
        <is>
          <t>1.0097</t>
        </is>
      </c>
      <c r="CG105" s="24" t="inlineStr">
        <is>
          <t>-1.8</t>
        </is>
      </c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n"/>
    </row>
    <row r="106" ht="36" customHeight="1">
      <c r="A106" s="24" t="inlineStr">
        <is>
          <t>dac17ac452fb4da5</t>
        </is>
      </c>
      <c r="B106" s="24" t="inlineStr">
        <is>
          <t>2026-08-01T23:52:21.502342Z</t>
        </is>
      </c>
      <c r="C106" s="24" t="inlineStr">
        <is>
          <t>2026-08-01T21:10:00-0400</t>
        </is>
      </c>
      <c r="D106" s="24" t="inlineStr">
        <is>
          <t>401816357</t>
        </is>
      </c>
      <c r="E106" s="24" t="inlineStr">
        <is>
          <t>MLB</t>
        </is>
      </c>
      <c r="F106" s="24" t="inlineStr">
        <is>
          <t>Boston Red Sox</t>
        </is>
      </c>
      <c r="G106" s="24" t="inlineStr">
        <is>
          <t>Los Angeles Dodgers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-167</v>
      </c>
      <c r="M106" s="27" t="n">
        <v>1.598802</v>
      </c>
      <c r="N106" s="28" t="n">
        <v>0.625468</v>
      </c>
      <c r="O106" s="28" t="n">
        <v>0.561639</v>
      </c>
      <c r="P106" s="28" t="n"/>
      <c r="Q106" s="28" t="n">
        <v>-0.063829</v>
      </c>
      <c r="R106" s="26" t="n">
        <v>0</v>
      </c>
      <c r="S106" s="29" t="n">
        <v>1</v>
      </c>
      <c r="T106" s="24" t="inlineStr">
        <is>
          <t>mlb-elo-trend-lr-v7</t>
        </is>
      </c>
      <c r="U106" s="24" t="inlineStr">
        <is>
          <t>settled</t>
        </is>
      </c>
      <c r="V106" s="24" t="inlineStr">
        <is>
          <t>loss</t>
        </is>
      </c>
      <c r="W106" s="26" t="n">
        <v>3</v>
      </c>
      <c r="X106" s="26" t="n">
        <v>2</v>
      </c>
      <c r="Y106" s="25" t="n"/>
      <c r="Z106" s="26" t="n">
        <v>-167</v>
      </c>
      <c r="AA106" s="28" t="n">
        <v>0.625</v>
      </c>
      <c r="AB106" s="28" t="n">
        <v>-0.000468</v>
      </c>
      <c r="AC106" s="30" t="n">
        <v>-1</v>
      </c>
      <c r="AD106" s="24" t="inlineStr">
        <is>
          <t>2026-08-02T03:26:04.410132Z</t>
        </is>
      </c>
      <c r="AE106" s="31" t="inlineStr">
        <is>
          <t>Learned LR call at threshold 0.6242; executable ask 0.6250 (aec-mlb-bos-lad-2026-08-01); model edge vs ask -0.0634.</t>
        </is>
      </c>
      <c r="AF106" s="31" t="inlineStr">
        <is>
          <t>Learned model; shadow-qualified via operator override.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3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mlb-bos</t>
        </is>
      </c>
      <c r="AQ106" s="24" t="inlineStr">
        <is>
          <t>Boston Red Sox</t>
        </is>
      </c>
      <c r="AR106" s="24" t="inlineStr">
        <is>
          <t>Boston Red Sox</t>
        </is>
      </c>
      <c r="AS106" s="24" t="inlineStr">
        <is>
          <t>mlb-lad</t>
        </is>
      </c>
      <c r="AT106" s="24" t="inlineStr">
        <is>
          <t>Los Angeles Dodgers</t>
        </is>
      </c>
      <c r="AU106" s="24" t="inlineStr">
        <is>
          <t>Los Angeles Dodgers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464eef695bfbbdaa819ec6f5e4c5bd1068ed20b92915fb2677220ae91e20d8b6</t>
        </is>
      </c>
      <c r="BB106" s="24" t="inlineStr">
        <is>
          <t>learned_lr</t>
        </is>
      </c>
      <c r="BC106" s="24" t="inlineStr">
        <is>
          <t>mlb-elo-trend-lr-v7</t>
        </is>
      </c>
      <c r="BD106" s="24" t="inlineStr">
        <is>
          <t>464eef695bfbbdaa819ec6f5e4c5bd1068ed20b92915fb2677220ae91e20d8b6</t>
        </is>
      </c>
      <c r="BE106" s="24" t="inlineStr">
        <is>
          <t>066806f0bd99b27f</t>
        </is>
      </c>
      <c r="BF106" s="24" t="inlineStr">
        <is>
          <t>1</t>
        </is>
      </c>
      <c r="BG106" s="24" t="inlineStr">
        <is>
          <t>mlb-elo-trend-lr-v7</t>
        </is>
      </c>
      <c r="BH106" s="24" t="inlineStr">
        <is>
          <t>2026-08-01T23:51:49.237000Z</t>
        </is>
      </c>
      <c r="BI106" s="24" t="inlineStr">
        <is>
          <t>["same_event","same_team_same_day","same_league_same_day"]</t>
        </is>
      </c>
      <c r="BJ106" s="25" t="n"/>
      <c r="BK106" s="26" t="n">
        <v>-167</v>
      </c>
      <c r="BL106" s="27" t="n">
        <v>1.598802</v>
      </c>
      <c r="BM106" s="28" t="n">
        <v>0.625468</v>
      </c>
      <c r="BN106" s="28" t="n">
        <v>0.621891</v>
      </c>
      <c r="BO106" s="28" t="n"/>
      <c r="BP106" s="25" t="n"/>
      <c r="BQ106" s="27" t="n">
        <v>1.598802</v>
      </c>
      <c r="BR106" s="28" t="n">
        <v>0.625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0.5509882979</t>
        </is>
      </c>
      <c r="CD106" s="24" t="inlineStr">
        <is>
          <t>-0.724816</t>
        </is>
      </c>
      <c r="CE106" s="24" t="inlineStr">
        <is>
          <t>1.026</t>
        </is>
      </c>
      <c r="CF106" s="24" t="inlineStr">
        <is>
          <t>1.0134</t>
        </is>
      </c>
      <c r="CG106" s="24" t="inlineStr">
        <is>
          <t>2.4</t>
        </is>
      </c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n"/>
    </row>
    <row r="107" ht="36" customHeight="1">
      <c r="A107" s="24" t="inlineStr">
        <is>
          <t>34961301f0b6462c</t>
        </is>
      </c>
      <c r="B107" s="24" t="inlineStr">
        <is>
          <t>2026-08-01T23:52:21.502342Z</t>
        </is>
      </c>
      <c r="C107" s="24" t="inlineStr">
        <is>
          <t>2026-08-01T21:38:00-0400</t>
        </is>
      </c>
      <c r="D107" s="24" t="inlineStr">
        <is>
          <t>401816359</t>
        </is>
      </c>
      <c r="E107" s="24" t="inlineStr">
        <is>
          <t>MLB</t>
        </is>
      </c>
      <c r="F107" s="24" t="inlineStr">
        <is>
          <t>Milwaukee Brewers</t>
        </is>
      </c>
      <c r="G107" s="24" t="inlineStr">
        <is>
          <t>Los Angeles Angels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-138</v>
      </c>
      <c r="M107" s="27" t="n">
        <v>1.724638</v>
      </c>
      <c r="N107" s="28" t="n">
        <v>0.579832</v>
      </c>
      <c r="O107" s="28" t="n">
        <v>0.623445</v>
      </c>
      <c r="P107" s="28" t="n"/>
      <c r="Q107" s="28" t="n">
        <v>0.043613</v>
      </c>
      <c r="R107" s="26" t="n">
        <v>43</v>
      </c>
      <c r="S107" s="29" t="n">
        <v>1.5</v>
      </c>
      <c r="T107" s="24" t="inlineStr">
        <is>
          <t>mlb-elo-trend-lr-v7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</v>
      </c>
      <c r="Y107" s="25" t="n"/>
      <c r="Z107" s="26" t="n">
        <v>-138</v>
      </c>
      <c r="AA107" s="28" t="n">
        <v>0.58</v>
      </c>
      <c r="AB107" s="28" t="n">
        <v>0.000168</v>
      </c>
      <c r="AC107" s="30" t="n">
        <v>1.087</v>
      </c>
      <c r="AD107" s="24" t="inlineStr">
        <is>
          <t>2026-08-02T04:26:13.049162Z</t>
        </is>
      </c>
      <c r="AE107" s="31" t="inlineStr">
        <is>
          <t>Learned LR call at threshold 0.6242; executable ask 0.5800 (aec-mlb-mil-laa-2026-08-01); model edge vs ask +0.0434.</t>
        </is>
      </c>
      <c r="AF107" s="31" t="inlineStr">
        <is>
          <t>Learned model; shadow-qualified via operator override.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3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mlb-mil</t>
        </is>
      </c>
      <c r="AQ107" s="24" t="inlineStr">
        <is>
          <t>Milwaukee Brewers</t>
        </is>
      </c>
      <c r="AR107" s="24" t="inlineStr">
        <is>
          <t>Milwaukee Brewers</t>
        </is>
      </c>
      <c r="AS107" s="24" t="inlineStr">
        <is>
          <t>mlb-laa</t>
        </is>
      </c>
      <c r="AT107" s="24" t="inlineStr">
        <is>
          <t>Los Angeles Angels</t>
        </is>
      </c>
      <c r="AU107" s="24" t="inlineStr">
        <is>
          <t>Los Angeles Angels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464eef695bfbbdaa819ec6f5e4c5bd1068ed20b92915fb2677220ae91e20d8b6</t>
        </is>
      </c>
      <c r="BB107" s="24" t="inlineStr">
        <is>
          <t>learned_lr</t>
        </is>
      </c>
      <c r="BC107" s="24" t="inlineStr">
        <is>
          <t>mlb-elo-trend-lr-v7</t>
        </is>
      </c>
      <c r="BD107" s="24" t="inlineStr">
        <is>
          <t>464eef695bfbbdaa819ec6f5e4c5bd1068ed20b92915fb2677220ae91e20d8b6</t>
        </is>
      </c>
      <c r="BE107" s="24" t="inlineStr">
        <is>
          <t>bf9d0c69dcbae233</t>
        </is>
      </c>
      <c r="BF107" s="24" t="inlineStr">
        <is>
          <t>1</t>
        </is>
      </c>
      <c r="BG107" s="24" t="inlineStr">
        <is>
          <t>mlb-elo-trend-lr-v7</t>
        </is>
      </c>
      <c r="BH107" s="24" t="inlineStr">
        <is>
          <t>2026-08-01T23:51:49.966869Z</t>
        </is>
      </c>
      <c r="BI107" s="24" t="inlineStr">
        <is>
          <t>["same_event","same_team_same_day","same_league_same_day"]</t>
        </is>
      </c>
      <c r="BJ107" s="25" t="n"/>
      <c r="BK107" s="26" t="n">
        <v>-138</v>
      </c>
      <c r="BL107" s="27" t="n">
        <v>1.724638</v>
      </c>
      <c r="BM107" s="28" t="n">
        <v>0.579832</v>
      </c>
      <c r="BN107" s="28" t="n">
        <v>0.577114</v>
      </c>
      <c r="BO107" s="28" t="n"/>
      <c r="BP107" s="25" t="n"/>
      <c r="BQ107" s="27" t="n">
        <v>1.724638</v>
      </c>
      <c r="BR107" s="28" t="n">
        <v>0.58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inlineStr">
        <is>
          <t>0.3303372609</t>
        </is>
      </c>
      <c r="CD107" s="24" t="inlineStr">
        <is>
          <t>-0.606627</t>
        </is>
      </c>
      <c r="CE107" s="24" t="inlineStr">
        <is>
          <t>1.01</t>
        </is>
      </c>
      <c r="CF107" s="24" t="inlineStr">
        <is>
          <t>1.0096</t>
        </is>
      </c>
      <c r="CG107" s="24" t="inlineStr">
        <is>
          <t>0</t>
        </is>
      </c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n"/>
    </row>
    <row r="108" ht="36" customHeight="1">
      <c r="A108" s="24" t="inlineStr">
        <is>
          <t>906e1e669bac4779</t>
        </is>
      </c>
      <c r="B108" s="24" t="inlineStr">
        <is>
          <t>2026-08-01T23:52:21.502342Z</t>
        </is>
      </c>
      <c r="C108" s="24" t="inlineStr">
        <is>
          <t>2026-08-01T21:40:00-0400</t>
        </is>
      </c>
      <c r="D108" s="24" t="inlineStr">
        <is>
          <t>401816358</t>
        </is>
      </c>
      <c r="E108" s="24" t="inlineStr">
        <is>
          <t>MLB</t>
        </is>
      </c>
      <c r="F108" s="24" t="inlineStr">
        <is>
          <t>Detroit Tigers</t>
        </is>
      </c>
      <c r="G108" s="24" t="inlineStr">
        <is>
          <t>Athletics</t>
        </is>
      </c>
      <c r="H108" s="24" t="inlineStr">
        <is>
          <t>moneyline</t>
        </is>
      </c>
      <c r="I108" s="24" t="inlineStr">
        <is>
          <t>away</t>
        </is>
      </c>
      <c r="J108" s="25" t="n"/>
      <c r="K108" s="24" t="inlineStr">
        <is>
          <t>polymarket_us</t>
        </is>
      </c>
      <c r="L108" s="26" t="n">
        <v>-163</v>
      </c>
      <c r="M108" s="27" t="n">
        <v>1.613497</v>
      </c>
      <c r="N108" s="28" t="n">
        <v>0.619772</v>
      </c>
      <c r="O108" s="28" t="n">
        <v>0.55925</v>
      </c>
      <c r="P108" s="28" t="n"/>
      <c r="Q108" s="28" t="n">
        <v>-0.060522</v>
      </c>
      <c r="R108" s="26" t="n">
        <v>0</v>
      </c>
      <c r="S108" s="29" t="n">
        <v>1</v>
      </c>
      <c r="T108" s="24" t="inlineStr">
        <is>
          <t>mlb-elo-trend-lr-v7</t>
        </is>
      </c>
      <c r="U108" s="24" t="inlineStr">
        <is>
          <t>settled</t>
        </is>
      </c>
      <c r="V108" s="24" t="inlineStr">
        <is>
          <t>win</t>
        </is>
      </c>
      <c r="W108" s="26" t="n">
        <v>8</v>
      </c>
      <c r="X108" s="26" t="n">
        <v>6</v>
      </c>
      <c r="Y108" s="25" t="n"/>
      <c r="Z108" s="26" t="n">
        <v>-163</v>
      </c>
      <c r="AA108" s="28" t="n">
        <v>0.62</v>
      </c>
      <c r="AB108" s="28" t="n">
        <v>0.000228</v>
      </c>
      <c r="AC108" s="30" t="n">
        <v>0.6135</v>
      </c>
      <c r="AD108" s="24" t="inlineStr">
        <is>
          <t>2026-08-02T05:39:16.890092Z</t>
        </is>
      </c>
      <c r="AE108" s="31" t="inlineStr">
        <is>
          <t>Learned LR call at threshold 0.6242; executable ask 0.6200 (aec-mlb-det-ath-2026-08-01); model edge vs ask -0.0607.</t>
        </is>
      </c>
      <c r="AF108" s="31" t="inlineStr">
        <is>
          <t>Learned model; shadow-qualified via operator override.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mlb-det</t>
        </is>
      </c>
      <c r="AQ108" s="24" t="inlineStr">
        <is>
          <t>Detroit Tigers</t>
        </is>
      </c>
      <c r="AR108" s="24" t="inlineStr">
        <is>
          <t>Detroit Tigers</t>
        </is>
      </c>
      <c r="AS108" s="24" t="inlineStr">
        <is>
          <t>mlb-ath</t>
        </is>
      </c>
      <c r="AT108" s="24" t="inlineStr">
        <is>
          <t>Athletics</t>
        </is>
      </c>
      <c r="AU108" s="24" t="inlineStr">
        <is>
          <t>Athletics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464eef695bfbbdaa819ec6f5e4c5bd1068ed20b92915fb2677220ae91e20d8b6</t>
        </is>
      </c>
      <c r="BB108" s="24" t="inlineStr">
        <is>
          <t>learned_lr</t>
        </is>
      </c>
      <c r="BC108" s="24" t="inlineStr">
        <is>
          <t>mlb-elo-trend-lr-v7</t>
        </is>
      </c>
      <c r="BD108" s="24" t="inlineStr">
        <is>
          <t>464eef695bfbbdaa819ec6f5e4c5bd1068ed20b92915fb2677220ae91e20d8b6</t>
        </is>
      </c>
      <c r="BE108" s="24" t="inlineStr">
        <is>
          <t>c336d1fbc170b694</t>
        </is>
      </c>
      <c r="BF108" s="24" t="inlineStr">
        <is>
          <t>1</t>
        </is>
      </c>
      <c r="BG108" s="24" t="inlineStr">
        <is>
          <t>mlb-elo-trend-lr-v7</t>
        </is>
      </c>
      <c r="BH108" s="24" t="inlineStr">
        <is>
          <t>2026-08-01T23:51:51.085087Z</t>
        </is>
      </c>
      <c r="BI108" s="24" t="inlineStr">
        <is>
          <t>["same_event","same_team_same_day","same_league_same_day"]</t>
        </is>
      </c>
      <c r="BJ108" s="25" t="n"/>
      <c r="BK108" s="26" t="n">
        <v>-163</v>
      </c>
      <c r="BL108" s="27" t="n">
        <v>1.613497</v>
      </c>
      <c r="BM108" s="28" t="n">
        <v>0.619772</v>
      </c>
      <c r="BN108" s="28" t="n">
        <v>0.616915</v>
      </c>
      <c r="BO108" s="28" t="n"/>
      <c r="BP108" s="25" t="n"/>
      <c r="BQ108" s="27" t="n">
        <v>1.613497</v>
      </c>
      <c r="BR108" s="28" t="n">
        <v>0.62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inlineStr">
        <is>
          <t>0.4182489247</t>
        </is>
      </c>
      <c r="CD108" s="24" t="inlineStr">
        <is>
          <t>-3.451557</t>
        </is>
      </c>
      <c r="CE108" s="24" t="inlineStr">
        <is>
          <t>1.153</t>
        </is>
      </c>
      <c r="CF108" s="24" t="inlineStr">
        <is>
          <t>1.0254</t>
        </is>
      </c>
      <c r="CG108" s="24" t="inlineStr">
        <is>
          <t>1</t>
        </is>
      </c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n"/>
    </row>
    <row r="109" ht="36" customHeight="1">
      <c r="A109" s="24" t="inlineStr">
        <is>
          <t>a8302dcd85cc4351</t>
        </is>
      </c>
      <c r="B109" s="24" t="inlineStr">
        <is>
          <t>2026-08-01T23:52:39.479166Z</t>
        </is>
      </c>
      <c r="C109" s="24" t="inlineStr">
        <is>
          <t>2026-08-02T00:10Z</t>
        </is>
      </c>
      <c r="D109" s="24" t="inlineStr">
        <is>
          <t>401816356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Colorado Rockies</t>
        </is>
      </c>
      <c r="H109" s="24" t="inlineStr">
        <is>
          <t>spread</t>
        </is>
      </c>
      <c r="I109" s="24" t="inlineStr">
        <is>
          <t>away</t>
        </is>
      </c>
      <c r="J109" s="25" t="n">
        <v>1.5</v>
      </c>
      <c r="K109" s="24" t="inlineStr">
        <is>
          <t>polymarket_us</t>
        </is>
      </c>
      <c r="L109" s="26" t="n">
        <v>-167</v>
      </c>
      <c r="M109" s="27" t="n">
        <v>1.598802</v>
      </c>
      <c r="N109" s="28" t="n">
        <v>0.625468</v>
      </c>
      <c r="O109" s="28" t="n">
        <v>0.608274</v>
      </c>
      <c r="P109" s="28" t="n">
        <v>0.042131</v>
      </c>
      <c r="Q109" s="28" t="n">
        <v>-0.017194</v>
      </c>
      <c r="R109" s="26" t="n">
        <v>16</v>
      </c>
      <c r="S109" s="29" t="n">
        <v>1.5</v>
      </c>
      <c r="T109" s="24" t="inlineStr">
        <is>
          <t>measured-edge-margin-v2</t>
        </is>
      </c>
      <c r="U109" s="24" t="inlineStr">
        <is>
          <t>settled</t>
        </is>
      </c>
      <c r="V109" s="24" t="inlineStr">
        <is>
          <t>loss</t>
        </is>
      </c>
      <c r="W109" s="26" t="n">
        <v>6</v>
      </c>
      <c r="X109" s="26" t="n">
        <v>12</v>
      </c>
      <c r="Y109" s="25" t="n">
        <v>1.5</v>
      </c>
      <c r="Z109" s="26" t="n">
        <v>-167</v>
      </c>
      <c r="AA109" s="28" t="n">
        <v>0.625</v>
      </c>
      <c r="AB109" s="28" t="n">
        <v>-0.000468</v>
      </c>
      <c r="AC109" s="30" t="n">
        <v>-1.5</v>
      </c>
      <c r="AD109" s="24" t="inlineStr">
        <is>
          <t>2026-08-02T03:26:04.987733Z</t>
        </is>
      </c>
      <c r="AE109" s="31" t="inlineStr">
        <is>
          <t>Measured Edge Margin: Trend Engine projected 5.10-5.03; raw selected-side p=0.6650, calibrated p=0.6083.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mlb-col</t>
        </is>
      </c>
      <c r="AT109" s="24" t="inlineStr">
        <is>
          <t>Colorado Rockies</t>
        </is>
      </c>
      <c r="AU109" s="24" t="inlineStr">
        <is>
          <t>Colorado Rockies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8360b122264b796b0fb193095cfe4506c7e064e5f3f8c0a659aec41efd08dd25</t>
        </is>
      </c>
      <c r="BB109" s="24" t="inlineStr">
        <is>
          <t>flat_probability_shrinkage_toward_half</t>
        </is>
      </c>
      <c r="BC109" s="24" t="inlineStr">
        <is>
          <t>measured-edge-margin-v2</t>
        </is>
      </c>
      <c r="BD109" s="24" t="inlineStr">
        <is>
          <t>8360b122264b796b0fb193095cfe4506c7e064e5f3f8c0a659aec41efd08dd25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2026-08-01T23:52:39.479166Z</t>
        </is>
      </c>
      <c r="BI109" s="24" t="inlineStr">
        <is>
          <t>["same_event","same_team_same_day","same_league_same_day"]</t>
        </is>
      </c>
      <c r="BJ109" s="25" t="n">
        <v>1.5</v>
      </c>
      <c r="BK109" s="26" t="n">
        <v>-167</v>
      </c>
      <c r="BL109" s="27" t="n">
        <v>1.598802</v>
      </c>
      <c r="BM109" s="28" t="n">
        <v>0.625468</v>
      </c>
      <c r="BN109" s="28" t="n">
        <v>0.621891</v>
      </c>
      <c r="BO109" s="28" t="n"/>
      <c r="BP109" s="25" t="n"/>
      <c r="BQ109" s="27" t="n">
        <v>1.598802</v>
      </c>
      <c r="BR109" s="28" t="n">
        <v>0.625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n"/>
    </row>
    <row r="110" ht="36" customHeight="1">
      <c r="A110" s="24" t="inlineStr">
        <is>
          <t>0f21a302528244cc</t>
        </is>
      </c>
      <c r="B110" s="24" t="inlineStr">
        <is>
          <t>2026-08-01T23:52:39.479166Z</t>
        </is>
      </c>
      <c r="C110" s="24" t="inlineStr">
        <is>
          <t>2026-08-02T00:10Z</t>
        </is>
      </c>
      <c r="D110" s="24" t="inlineStr">
        <is>
          <t>401816356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Colorado Rockies</t>
        </is>
      </c>
      <c r="H110" s="24" t="inlineStr">
        <is>
          <t>total</t>
        </is>
      </c>
      <c r="I110" s="24" t="inlineStr">
        <is>
          <t>under</t>
        </is>
      </c>
      <c r="J110" s="25" t="n">
        <v>11.5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0.561409</v>
      </c>
      <c r="P110" s="28" t="n">
        <v>0.042131</v>
      </c>
      <c r="Q110" s="28" t="n">
        <v>0.061409</v>
      </c>
      <c r="R110" s="26" t="n">
        <v>55</v>
      </c>
      <c r="S110" s="29" t="n">
        <v>1.25</v>
      </c>
      <c r="T110" s="24" t="inlineStr">
        <is>
          <t>measured-edge-totals-v2</t>
        </is>
      </c>
      <c r="U110" s="24" t="inlineStr">
        <is>
          <t>settled</t>
        </is>
      </c>
      <c r="V110" s="24" t="inlineStr">
        <is>
          <t>loss</t>
        </is>
      </c>
      <c r="W110" s="26" t="n">
        <v>6</v>
      </c>
      <c r="X110" s="26" t="n">
        <v>12</v>
      </c>
      <c r="Y110" s="25" t="n">
        <v>11.5</v>
      </c>
      <c r="Z110" s="26" t="n">
        <v>100</v>
      </c>
      <c r="AA110" s="28" t="n">
        <v>0.5</v>
      </c>
      <c r="AB110" s="28" t="n">
        <v>0</v>
      </c>
      <c r="AC110" s="30" t="n">
        <v>-1.25</v>
      </c>
      <c r="AD110" s="24" t="inlineStr">
        <is>
          <t>2026-08-02T03:26:05.548958Z</t>
        </is>
      </c>
      <c r="AE110" s="31" t="inlineStr">
        <is>
          <t>Measured Edge Totals: Trend Engine projected 5.10-5.03; raw selected-side p=0.6564, calibrated p=0.5614.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mlb-col</t>
        </is>
      </c>
      <c r="AT110" s="24" t="inlineStr">
        <is>
          <t>Colorado Rockies</t>
        </is>
      </c>
      <c r="AU110" s="24" t="inlineStr">
        <is>
          <t>Colorado Rockies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433578016242b27f9c1c7132cc6b5a2bcc7dd1b0234590c12a944455a88e71bd</t>
        </is>
      </c>
      <c r="BB110" s="24" t="inlineStr">
        <is>
          <t>flat_probability_shrinkage_toward_half</t>
        </is>
      </c>
      <c r="BC110" s="24" t="inlineStr">
        <is>
          <t>measured-edge-totals-v2</t>
        </is>
      </c>
      <c r="BD110" s="24" t="inlineStr">
        <is>
          <t>433578016242b27f9c1c7132cc6b5a2bcc7dd1b0234590c12a944455a88e71bd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2026-08-01T23:52:39.479166Z</t>
        </is>
      </c>
      <c r="BI110" s="24" t="inlineStr">
        <is>
          <t>["same_event","same_team_same_day","same_league_same_day"]</t>
        </is>
      </c>
      <c r="BJ110" s="25" t="n">
        <v>11.5</v>
      </c>
      <c r="BK110" s="26" t="n">
        <v>100</v>
      </c>
      <c r="BL110" s="27" t="n">
        <v>2</v>
      </c>
      <c r="BM110" s="28" t="n">
        <v>0.5</v>
      </c>
      <c r="BN110" s="28" t="n">
        <v>0.497512</v>
      </c>
      <c r="BO110" s="28" t="n"/>
      <c r="BP110" s="25" t="n"/>
      <c r="BQ110" s="27" t="n">
        <v>2</v>
      </c>
      <c r="BR110" s="28" t="n">
        <v>0.5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n"/>
    </row>
    <row r="111" ht="36" customHeight="1">
      <c r="A111" s="24" t="inlineStr">
        <is>
          <t>cd2d9862386a4efc</t>
        </is>
      </c>
      <c r="B111" s="24" t="inlineStr">
        <is>
          <t>2026-08-01T23:52:39.479166Z</t>
        </is>
      </c>
      <c r="C111" s="24" t="inlineStr">
        <is>
          <t>2026-08-02T00:40Z</t>
        </is>
      </c>
      <c r="D111" s="24" t="inlineStr">
        <is>
          <t>401816361</t>
        </is>
      </c>
      <c r="E111" s="24" t="inlineStr">
        <is>
          <t>MLB</t>
        </is>
      </c>
      <c r="F111" s="24" t="inlineStr">
        <is>
          <t>San Francisco Giants</t>
        </is>
      </c>
      <c r="G111" s="24" t="inlineStr">
        <is>
          <t>San Diego Padres</t>
        </is>
      </c>
      <c r="H111" s="24" t="inlineStr">
        <is>
          <t>spread</t>
        </is>
      </c>
      <c r="I111" s="24" t="inlineStr">
        <is>
          <t>away</t>
        </is>
      </c>
      <c r="J111" s="25" t="n">
        <v>1.5</v>
      </c>
      <c r="K111" s="24" t="inlineStr">
        <is>
          <t>polymarket_us</t>
        </is>
      </c>
      <c r="L111" s="26" t="n">
        <v>-153</v>
      </c>
      <c r="M111" s="27" t="n">
        <v>1.653595</v>
      </c>
      <c r="N111" s="28" t="n">
        <v>0.604743</v>
      </c>
      <c r="O111" s="28" t="n">
        <v>0.621429</v>
      </c>
      <c r="P111" s="28" t="n">
        <v>0.042131</v>
      </c>
      <c r="Q111" s="28" t="n">
        <v>0.016686</v>
      </c>
      <c r="R111" s="26" t="n">
        <v>33</v>
      </c>
      <c r="S111" s="29" t="n">
        <v>1.5</v>
      </c>
      <c r="T111" s="24" t="inlineStr">
        <is>
          <t>measured-edge-margin-v2</t>
        </is>
      </c>
      <c r="U111" s="24" t="inlineStr">
        <is>
          <t>settled</t>
        </is>
      </c>
      <c r="V111" s="24" t="inlineStr">
        <is>
          <t>win</t>
        </is>
      </c>
      <c r="W111" s="26" t="n">
        <v>5</v>
      </c>
      <c r="X111" s="26" t="n">
        <v>6</v>
      </c>
      <c r="Y111" s="25" t="n">
        <v>1.5</v>
      </c>
      <c r="Z111" s="26" t="n">
        <v>-153</v>
      </c>
      <c r="AA111" s="28" t="n">
        <v>0.605</v>
      </c>
      <c r="AB111" s="28" t="n">
        <v>0.000257</v>
      </c>
      <c r="AC111" s="30" t="n">
        <v>0.9804</v>
      </c>
      <c r="AD111" s="24" t="inlineStr">
        <is>
          <t>2026-08-02T04:26:13.568842Z</t>
        </is>
      </c>
      <c r="AE111" s="31" t="inlineStr">
        <is>
          <t>Measured Edge Margin: Trend Engine projected 4.97-4.72; raw selected-side p=0.6850, calibrated p=0.6214.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mlb-sf</t>
        </is>
      </c>
      <c r="AQ111" s="24" t="inlineStr">
        <is>
          <t>San Francisco Giants</t>
        </is>
      </c>
      <c r="AR111" s="24" t="inlineStr">
        <is>
          <t>San Francisco Giants</t>
        </is>
      </c>
      <c r="AS111" s="24" t="inlineStr">
        <is>
          <t>mlb-sd</t>
        </is>
      </c>
      <c r="AT111" s="24" t="inlineStr">
        <is>
          <t>San Diego Padres</t>
        </is>
      </c>
      <c r="AU111" s="24" t="inlineStr">
        <is>
          <t>San Diego Padres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8360b122264b796b0fb193095cfe4506c7e064e5f3f8c0a659aec41efd08dd25</t>
        </is>
      </c>
      <c r="BB111" s="24" t="inlineStr">
        <is>
          <t>flat_probability_shrinkage_toward_half</t>
        </is>
      </c>
      <c r="BC111" s="24" t="inlineStr">
        <is>
          <t>measured-edge-margin-v2</t>
        </is>
      </c>
      <c r="BD111" s="24" t="inlineStr">
        <is>
          <t>8360b122264b796b0fb193095cfe4506c7e064e5f3f8c0a659aec41efd08dd25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2026-08-01T23:52:39.479166Z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-153</v>
      </c>
      <c r="BL111" s="27" t="n">
        <v>1.653595</v>
      </c>
      <c r="BM111" s="28" t="n">
        <v>0.604743</v>
      </c>
      <c r="BN111" s="28" t="n">
        <v>0.60199</v>
      </c>
      <c r="BO111" s="28" t="n"/>
      <c r="BP111" s="25" t="n"/>
      <c r="BQ111" s="27" t="n">
        <v>1.653595</v>
      </c>
      <c r="BR111" s="28" t="n">
        <v>0.605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n"/>
    </row>
    <row r="112" ht="36" customHeight="1">
      <c r="A112" s="24" t="inlineStr">
        <is>
          <t>460d3ac964b54fb9</t>
        </is>
      </c>
      <c r="B112" s="24" t="inlineStr">
        <is>
          <t>2026-08-01T23:52:39.479166Z</t>
        </is>
      </c>
      <c r="C112" s="24" t="inlineStr">
        <is>
          <t>2026-08-02T00:40Z</t>
        </is>
      </c>
      <c r="D112" s="24" t="inlineStr">
        <is>
          <t>401816361</t>
        </is>
      </c>
      <c r="E112" s="24" t="inlineStr">
        <is>
          <t>MLB</t>
        </is>
      </c>
      <c r="F112" s="24" t="inlineStr">
        <is>
          <t>San Francisco Giants</t>
        </is>
      </c>
      <c r="G112" s="24" t="inlineStr">
        <is>
          <t>San Diego Padres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108</v>
      </c>
      <c r="M112" s="27" t="n">
        <v>2.08</v>
      </c>
      <c r="N112" s="28" t="n">
        <v>0.480769</v>
      </c>
      <c r="O112" s="28" t="n">
        <v>0.5338000000000001</v>
      </c>
      <c r="P112" s="28" t="n">
        <v>0.042131</v>
      </c>
      <c r="Q112" s="28" t="n">
        <v>0.053031</v>
      </c>
      <c r="R112" s="26" t="n">
        <v>51</v>
      </c>
      <c r="S112" s="29" t="n">
        <v>1</v>
      </c>
      <c r="T112" s="24" t="inlineStr">
        <is>
          <t>measured-edge-totals-v2</t>
        </is>
      </c>
      <c r="U112" s="24" t="inlineStr">
        <is>
          <t>settled</t>
        </is>
      </c>
      <c r="V112" s="24" t="inlineStr">
        <is>
          <t>win</t>
        </is>
      </c>
      <c r="W112" s="26" t="n">
        <v>5</v>
      </c>
      <c r="X112" s="26" t="n">
        <v>6</v>
      </c>
      <c r="Y112" s="25" t="n">
        <v>8.5</v>
      </c>
      <c r="Z112" s="26" t="n">
        <v>108</v>
      </c>
      <c r="AA112" s="28" t="n">
        <v>0.48</v>
      </c>
      <c r="AB112" s="28" t="n">
        <v>-0.000769</v>
      </c>
      <c r="AC112" s="30" t="n">
        <v>1.08</v>
      </c>
      <c r="AD112" s="24" t="inlineStr">
        <is>
          <t>2026-08-02T04:26:14.039588Z</t>
        </is>
      </c>
      <c r="AE112" s="31" t="inlineStr">
        <is>
          <t>Measured Edge Totals: Trend Engine projected 4.97-4.72; raw selected-side p=0.5756, calibrated p=0.5338.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mlb-sf</t>
        </is>
      </c>
      <c r="AQ112" s="24" t="inlineStr">
        <is>
          <t>San Francisco Giants</t>
        </is>
      </c>
      <c r="AR112" s="24" t="inlineStr">
        <is>
          <t>San Francisco Giants</t>
        </is>
      </c>
      <c r="AS112" s="24" t="inlineStr">
        <is>
          <t>mlb-sd</t>
        </is>
      </c>
      <c r="AT112" s="24" t="inlineStr">
        <is>
          <t>San Diego Padres</t>
        </is>
      </c>
      <c r="AU112" s="24" t="inlineStr">
        <is>
          <t>San Diego Padres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433578016242b27f9c1c7132cc6b5a2bcc7dd1b0234590c12a944455a88e71bd</t>
        </is>
      </c>
      <c r="BB112" s="24" t="inlineStr">
        <is>
          <t>flat_probability_shrinkage_toward_half</t>
        </is>
      </c>
      <c r="BC112" s="24" t="inlineStr">
        <is>
          <t>measured-edge-totals-v2</t>
        </is>
      </c>
      <c r="BD112" s="24" t="inlineStr">
        <is>
          <t>433578016242b27f9c1c7132cc6b5a2bcc7dd1b0234590c12a944455a88e71bd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2026-08-01T23:52:39.479166Z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108</v>
      </c>
      <c r="BL112" s="27" t="n">
        <v>2.08</v>
      </c>
      <c r="BM112" s="28" t="n">
        <v>0.480769</v>
      </c>
      <c r="BN112" s="28" t="n">
        <v>0.477612</v>
      </c>
      <c r="BO112" s="28" t="n"/>
      <c r="BP112" s="25" t="n"/>
      <c r="BQ112" s="27" t="n">
        <v>2.08</v>
      </c>
      <c r="BR112" s="28" t="n">
        <v>0.48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n"/>
    </row>
    <row r="113" ht="36" customHeight="1">
      <c r="A113" s="24" t="inlineStr">
        <is>
          <t>33bd68b7d7af45d1</t>
        </is>
      </c>
      <c r="B113" s="24" t="inlineStr">
        <is>
          <t>2026-08-01T23:52:39.479166Z</t>
        </is>
      </c>
      <c r="C113" s="24" t="inlineStr">
        <is>
          <t>2026-08-02T01:10Z</t>
        </is>
      </c>
      <c r="D113" s="24" t="inlineStr">
        <is>
          <t>401816357</t>
        </is>
      </c>
      <c r="E113" s="24" t="inlineStr">
        <is>
          <t>MLB</t>
        </is>
      </c>
      <c r="F113" s="24" t="inlineStr">
        <is>
          <t>Boston Red Sox</t>
        </is>
      </c>
      <c r="G113" s="24" t="inlineStr">
        <is>
          <t>Los Angeles Dodgers</t>
        </is>
      </c>
      <c r="H113" s="24" t="inlineStr">
        <is>
          <t>spread</t>
        </is>
      </c>
      <c r="I113" s="24" t="inlineStr">
        <is>
          <t>away</t>
        </is>
      </c>
      <c r="J113" s="25" t="n">
        <v>1.5</v>
      </c>
      <c r="K113" s="24" t="inlineStr">
        <is>
          <t>polymarket_us</t>
        </is>
      </c>
      <c r="L113" s="26" t="n">
        <v>-138</v>
      </c>
      <c r="M113" s="27" t="n">
        <v>1.724638</v>
      </c>
      <c r="N113" s="28" t="n">
        <v>0.579832</v>
      </c>
      <c r="O113" s="28" t="n">
        <v>0.5855399999999999</v>
      </c>
      <c r="P113" s="28" t="n">
        <v>0.042131</v>
      </c>
      <c r="Q113" s="28" t="n">
        <v>0.005708</v>
      </c>
      <c r="R113" s="26" t="n">
        <v>28</v>
      </c>
      <c r="S113" s="29" t="n">
        <v>1.25</v>
      </c>
      <c r="T113" s="24" t="inlineStr">
        <is>
          <t>measured-edge-margin-v2</t>
        </is>
      </c>
      <c r="U113" s="24" t="inlineStr">
        <is>
          <t>settled</t>
        </is>
      </c>
      <c r="V113" s="24" t="inlineStr">
        <is>
          <t>win</t>
        </is>
      </c>
      <c r="W113" s="26" t="n">
        <v>3</v>
      </c>
      <c r="X113" s="26" t="n">
        <v>2</v>
      </c>
      <c r="Y113" s="25" t="n">
        <v>1.5</v>
      </c>
      <c r="Z113" s="26" t="n">
        <v>-138</v>
      </c>
      <c r="AA113" s="28" t="n">
        <v>0.58</v>
      </c>
      <c r="AB113" s="28" t="n">
        <v>0.000168</v>
      </c>
      <c r="AC113" s="30" t="n">
        <v>0.9058</v>
      </c>
      <c r="AD113" s="24" t="inlineStr">
        <is>
          <t>2026-08-02T03:26:06.086063Z</t>
        </is>
      </c>
      <c r="AE113" s="31" t="inlineStr">
        <is>
          <t>Measured Edge Margin: Trend Engine projected 4.26-4.73; raw selected-side p=0.6303, calibrated p=0.5855.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mlb-bos</t>
        </is>
      </c>
      <c r="AQ113" s="24" t="inlineStr">
        <is>
          <t>Boston Red Sox</t>
        </is>
      </c>
      <c r="AR113" s="24" t="inlineStr">
        <is>
          <t>Boston Red Sox</t>
        </is>
      </c>
      <c r="AS113" s="24" t="inlineStr">
        <is>
          <t>mlb-lad</t>
        </is>
      </c>
      <c r="AT113" s="24" t="inlineStr">
        <is>
          <t>Los Angeles Dodgers</t>
        </is>
      </c>
      <c r="AU113" s="24" t="inlineStr">
        <is>
          <t>Los Angeles Dodgers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8360b122264b796b0fb193095cfe4506c7e064e5f3f8c0a659aec41efd08dd25</t>
        </is>
      </c>
      <c r="BB113" s="24" t="inlineStr">
        <is>
          <t>flat_probability_shrinkage_toward_half</t>
        </is>
      </c>
      <c r="BC113" s="24" t="inlineStr">
        <is>
          <t>measured-edge-margin-v2</t>
        </is>
      </c>
      <c r="BD113" s="24" t="inlineStr">
        <is>
          <t>8360b122264b796b0fb193095cfe4506c7e064e5f3f8c0a659aec41efd08dd25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2026-08-01T23:52:39.479166Z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-138</v>
      </c>
      <c r="BL113" s="27" t="n">
        <v>1.724638</v>
      </c>
      <c r="BM113" s="28" t="n">
        <v>0.579832</v>
      </c>
      <c r="BN113" s="28" t="n">
        <v>0.577114</v>
      </c>
      <c r="BO113" s="28" t="n"/>
      <c r="BP113" s="25" t="n"/>
      <c r="BQ113" s="27" t="n">
        <v>1.724638</v>
      </c>
      <c r="BR113" s="28" t="n">
        <v>0.58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n"/>
    </row>
    <row r="114" ht="36" customHeight="1">
      <c r="A114" s="24" t="inlineStr">
        <is>
          <t>fd4b348108b34346</t>
        </is>
      </c>
      <c r="B114" s="24" t="inlineStr">
        <is>
          <t>2026-08-01T23:52:39.479166Z</t>
        </is>
      </c>
      <c r="C114" s="24" t="inlineStr">
        <is>
          <t>2026-08-02T01:10Z</t>
        </is>
      </c>
      <c r="D114" s="24" t="inlineStr">
        <is>
          <t>401816357</t>
        </is>
      </c>
      <c r="E114" s="24" t="inlineStr">
        <is>
          <t>MLB</t>
        </is>
      </c>
      <c r="F114" s="24" t="inlineStr">
        <is>
          <t>Boston Red Sox</t>
        </is>
      </c>
      <c r="G114" s="24" t="inlineStr">
        <is>
          <t>Los Angeles Dodgers</t>
        </is>
      </c>
      <c r="H114" s="24" t="inlineStr">
        <is>
          <t>total</t>
        </is>
      </c>
      <c r="I114" s="24" t="inlineStr">
        <is>
          <t>over</t>
        </is>
      </c>
      <c r="J114" s="25" t="n">
        <v>7.5</v>
      </c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0.536875</v>
      </c>
      <c r="P114" s="28" t="n">
        <v>0.042131</v>
      </c>
      <c r="Q114" s="28" t="n">
        <v>0.076046</v>
      </c>
      <c r="R114" s="26" t="n">
        <v>63</v>
      </c>
      <c r="S114" s="29" t="n">
        <v>1</v>
      </c>
      <c r="T114" s="24" t="inlineStr">
        <is>
          <t>measured-edge-totals-v2</t>
        </is>
      </c>
      <c r="U114" s="24" t="inlineStr">
        <is>
          <t>settled</t>
        </is>
      </c>
      <c r="V114" s="24" t="inlineStr">
        <is>
          <t>loss</t>
        </is>
      </c>
      <c r="W114" s="26" t="n">
        <v>3</v>
      </c>
      <c r="X114" s="26" t="n">
        <v>2</v>
      </c>
      <c r="Y114" s="25" t="n">
        <v>7.5</v>
      </c>
      <c r="Z114" s="26" t="n">
        <v>117</v>
      </c>
      <c r="AA114" s="28" t="n">
        <v>0.46</v>
      </c>
      <c r="AB114" s="28" t="n">
        <v>-0.000829</v>
      </c>
      <c r="AC114" s="30" t="n">
        <v>-1</v>
      </c>
      <c r="AD114" s="24" t="inlineStr">
        <is>
          <t>2026-08-02T03:26:06.617227Z</t>
        </is>
      </c>
      <c r="AE114" s="31" t="inlineStr">
        <is>
          <t>Measured Edge Totals: Trend Engine projected 4.26-4.73; raw selected-side p=0.5847, calibrated p=0.5369.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mlb-bos</t>
        </is>
      </c>
      <c r="AQ114" s="24" t="inlineStr">
        <is>
          <t>Boston Red Sox</t>
        </is>
      </c>
      <c r="AR114" s="24" t="inlineStr">
        <is>
          <t>Boston Red Sox</t>
        </is>
      </c>
      <c r="AS114" s="24" t="inlineStr">
        <is>
          <t>mlb-lad</t>
        </is>
      </c>
      <c r="AT114" s="24" t="inlineStr">
        <is>
          <t>Los Angeles Dodgers</t>
        </is>
      </c>
      <c r="AU114" s="24" t="inlineStr">
        <is>
          <t>Los Angeles Dodgers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433578016242b27f9c1c7132cc6b5a2bcc7dd1b0234590c12a944455a88e71bd</t>
        </is>
      </c>
      <c r="BB114" s="24" t="inlineStr">
        <is>
          <t>flat_probability_shrinkage_toward_half</t>
        </is>
      </c>
      <c r="BC114" s="24" t="inlineStr">
        <is>
          <t>measured-edge-totals-v2</t>
        </is>
      </c>
      <c r="BD114" s="24" t="inlineStr">
        <is>
          <t>433578016242b27f9c1c7132cc6b5a2bcc7dd1b0234590c12a944455a88e71bd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2026-08-01T23:52:39.479166Z</t>
        </is>
      </c>
      <c r="BI114" s="24" t="inlineStr">
        <is>
          <t>["same_event","same_team_same_day","same_league_same_day"]</t>
        </is>
      </c>
      <c r="BJ114" s="25" t="n">
        <v>7.5</v>
      </c>
      <c r="BK114" s="26" t="n">
        <v>117</v>
      </c>
      <c r="BL114" s="27" t="n">
        <v>2.17</v>
      </c>
      <c r="BM114" s="28" t="n">
        <v>0.460829</v>
      </c>
      <c r="BN114" s="28" t="n">
        <v>0.457711</v>
      </c>
      <c r="BO114" s="28" t="n"/>
      <c r="BP114" s="25" t="n"/>
      <c r="BQ114" s="27" t="n">
        <v>2.17</v>
      </c>
      <c r="BR114" s="28" t="n">
        <v>0.46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n"/>
    </row>
    <row r="115" ht="36" customHeight="1">
      <c r="A115" s="24" t="inlineStr">
        <is>
          <t>a68808b3454d43b2</t>
        </is>
      </c>
      <c r="B115" s="24" t="inlineStr">
        <is>
          <t>2026-08-01T23:52:39.479166Z</t>
        </is>
      </c>
      <c r="C115" s="24" t="inlineStr">
        <is>
          <t>2026-08-02T01:38Z</t>
        </is>
      </c>
      <c r="D115" s="24" t="inlineStr">
        <is>
          <t>401816359</t>
        </is>
      </c>
      <c r="E115" s="24" t="inlineStr">
        <is>
          <t>MLB</t>
        </is>
      </c>
      <c r="F115" s="24" t="inlineStr">
        <is>
          <t>Milwaukee Brewers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home</t>
        </is>
      </c>
      <c r="J115" s="25" t="n">
        <v>1.5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0.6323530000000001</v>
      </c>
      <c r="P115" s="28" t="n">
        <v>0.042131</v>
      </c>
      <c r="Q115" s="28" t="n">
        <v>0.093182</v>
      </c>
      <c r="R115" s="26" t="n">
        <v>71</v>
      </c>
      <c r="S115" s="29" t="n">
        <v>1.5</v>
      </c>
      <c r="T115" s="24" t="inlineStr">
        <is>
          <t>measured-edge-margin-v2</t>
        </is>
      </c>
      <c r="U115" s="24" t="inlineStr">
        <is>
          <t>settled</t>
        </is>
      </c>
      <c r="V115" s="24" t="inlineStr">
        <is>
          <t>loss</t>
        </is>
      </c>
      <c r="W115" s="26" t="n">
        <v>3</v>
      </c>
      <c r="X115" s="26" t="n">
        <v>1</v>
      </c>
      <c r="Y115" s="25" t="n">
        <v>1.5</v>
      </c>
      <c r="Z115" s="26" t="n">
        <v>-117</v>
      </c>
      <c r="AA115" s="28" t="n">
        <v>0.54</v>
      </c>
      <c r="AB115" s="28" t="n">
        <v>0.000829</v>
      </c>
      <c r="AC115" s="30" t="n">
        <v>-1.5</v>
      </c>
      <c r="AD115" s="24" t="inlineStr">
        <is>
          <t>2026-08-02T04:26:14.595420Z</t>
        </is>
      </c>
      <c r="AE115" s="31" t="inlineStr">
        <is>
          <t>Measured Edge Margin: Trend Engine projected 4.46-4.83; raw selected-side p=0.7016, calibrated p=0.6324.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mlb-mil</t>
        </is>
      </c>
      <c r="AQ115" s="24" t="inlineStr">
        <is>
          <t>Milwaukee Brewers</t>
        </is>
      </c>
      <c r="AR115" s="24" t="inlineStr">
        <is>
          <t>Milwaukee Brewers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8360b122264b796b0fb193095cfe4506c7e064e5f3f8c0a659aec41efd08dd25</t>
        </is>
      </c>
      <c r="BB115" s="24" t="inlineStr">
        <is>
          <t>flat_probability_shrinkage_toward_half</t>
        </is>
      </c>
      <c r="BC115" s="24" t="inlineStr">
        <is>
          <t>measured-edge-margin-v2</t>
        </is>
      </c>
      <c r="BD115" s="24" t="inlineStr">
        <is>
          <t>8360b122264b796b0fb193095cfe4506c7e064e5f3f8c0a659aec41efd08dd25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2026-08-01T23:52:39.479166Z</t>
        </is>
      </c>
      <c r="BI115" s="24" t="inlineStr">
        <is>
          <t>["same_event","same_team_same_day","same_league_same_day"]</t>
        </is>
      </c>
      <c r="BJ115" s="25" t="n">
        <v>1.5</v>
      </c>
      <c r="BK115" s="26" t="n">
        <v>-117</v>
      </c>
      <c r="BL115" s="27" t="n">
        <v>1.854701</v>
      </c>
      <c r="BM115" s="28" t="n">
        <v>0.539171</v>
      </c>
      <c r="BN115" s="28" t="n">
        <v>0.537313</v>
      </c>
      <c r="BO115" s="28" t="n"/>
      <c r="BP115" s="25" t="n"/>
      <c r="BQ115" s="27" t="n">
        <v>1.854701</v>
      </c>
      <c r="BR115" s="28" t="n">
        <v>0.54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n"/>
    </row>
    <row r="116" ht="36" customHeight="1">
      <c r="A116" s="24" t="inlineStr">
        <is>
          <t>2476d7cf9c294516</t>
        </is>
      </c>
      <c r="B116" s="24" t="inlineStr">
        <is>
          <t>2026-08-01T23:52:39.479166Z</t>
        </is>
      </c>
      <c r="C116" s="24" t="inlineStr">
        <is>
          <t>2026-08-02T01:38Z</t>
        </is>
      </c>
      <c r="D116" s="24" t="inlineStr">
        <is>
          <t>401816359</t>
        </is>
      </c>
      <c r="E116" s="24" t="inlineStr">
        <is>
          <t>MLB</t>
        </is>
      </c>
      <c r="F116" s="24" t="inlineStr">
        <is>
          <t>Milwaukee Brewers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over</t>
        </is>
      </c>
      <c r="J116" s="25" t="n">
        <v>8.5</v>
      </c>
      <c r="K116" s="24" t="inlineStr">
        <is>
          <t>polymarket_us</t>
        </is>
      </c>
      <c r="L116" s="26" t="n">
        <v>-120</v>
      </c>
      <c r="M116" s="27" t="n">
        <v>1.833333</v>
      </c>
      <c r="N116" s="28" t="n">
        <v>0.545455</v>
      </c>
      <c r="O116" s="28" t="n">
        <v>0.521054</v>
      </c>
      <c r="P116" s="28" t="n">
        <v>0.042131</v>
      </c>
      <c r="Q116" s="28" t="n">
        <v>-0.024401</v>
      </c>
      <c r="R116" s="26" t="n">
        <v>13</v>
      </c>
      <c r="S116" s="29" t="n">
        <v>1</v>
      </c>
      <c r="T116" s="24" t="inlineStr">
        <is>
          <t>measured-edge-totals-v2</t>
        </is>
      </c>
      <c r="U116" s="24" t="inlineStr">
        <is>
          <t>settled</t>
        </is>
      </c>
      <c r="V116" s="24" t="inlineStr">
        <is>
          <t>loss</t>
        </is>
      </c>
      <c r="W116" s="26" t="n">
        <v>3</v>
      </c>
      <c r="X116" s="26" t="n">
        <v>1</v>
      </c>
      <c r="Y116" s="25" t="n">
        <v>8.5</v>
      </c>
      <c r="Z116" s="26" t="n">
        <v>-120</v>
      </c>
      <c r="AA116" s="28" t="n">
        <v>0.545</v>
      </c>
      <c r="AB116" s="28" t="n">
        <v>-0.000455</v>
      </c>
      <c r="AC116" s="30" t="n">
        <v>-1</v>
      </c>
      <c r="AD116" s="24" t="inlineStr">
        <is>
          <t>2026-08-02T04:26:15.051688Z</t>
        </is>
      </c>
      <c r="AE116" s="31" t="inlineStr">
        <is>
          <t>Measured Edge Totals: Trend Engine projected 4.46-4.83; raw selected-side p=0.5383, calibrated p=0.5211.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mlb-mil</t>
        </is>
      </c>
      <c r="AQ116" s="24" t="inlineStr">
        <is>
          <t>Milwaukee Brewers</t>
        </is>
      </c>
      <c r="AR116" s="24" t="inlineStr">
        <is>
          <t>Milwaukee Brewers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433578016242b27f9c1c7132cc6b5a2bcc7dd1b0234590c12a944455a88e71bd</t>
        </is>
      </c>
      <c r="BB116" s="24" t="inlineStr">
        <is>
          <t>flat_probability_shrinkage_toward_half</t>
        </is>
      </c>
      <c r="BC116" s="24" t="inlineStr">
        <is>
          <t>measured-edge-totals-v2</t>
        </is>
      </c>
      <c r="BD116" s="24" t="inlineStr">
        <is>
          <t>433578016242b27f9c1c7132cc6b5a2bcc7dd1b0234590c12a944455a88e71bd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2026-08-01T23:52:39.479166Z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-120</v>
      </c>
      <c r="BL116" s="27" t="n">
        <v>1.833333</v>
      </c>
      <c r="BM116" s="28" t="n">
        <v>0.545455</v>
      </c>
      <c r="BN116" s="28" t="n">
        <v>0.542289</v>
      </c>
      <c r="BO116" s="28" t="n"/>
      <c r="BP116" s="25" t="n"/>
      <c r="BQ116" s="27" t="n">
        <v>1.833333</v>
      </c>
      <c r="BR116" s="28" t="n">
        <v>0.545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n"/>
    </row>
    <row r="117" ht="36" customHeight="1">
      <c r="A117" s="24" t="inlineStr">
        <is>
          <t>6c913b248fc5448c</t>
        </is>
      </c>
      <c r="B117" s="24" t="inlineStr">
        <is>
          <t>2026-08-01T23:52:39.479166Z</t>
        </is>
      </c>
      <c r="C117" s="24" t="inlineStr">
        <is>
          <t>2026-08-02T01:40Z</t>
        </is>
      </c>
      <c r="D117" s="24" t="inlineStr">
        <is>
          <t>401816358</t>
        </is>
      </c>
      <c r="E117" s="24" t="inlineStr">
        <is>
          <t>MLB</t>
        </is>
      </c>
      <c r="F117" s="24" t="inlineStr">
        <is>
          <t>Detroit Tigers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home</t>
        </is>
      </c>
      <c r="J117" s="25" t="n">
        <v>1.5</v>
      </c>
      <c r="K117" s="24" t="inlineStr">
        <is>
          <t>polymarket_us</t>
        </is>
      </c>
      <c r="L117" s="26" t="n">
        <v>106</v>
      </c>
      <c r="M117" s="27" t="n">
        <v>2.06</v>
      </c>
      <c r="N117" s="28" t="n">
        <v>0.485437</v>
      </c>
      <c r="O117" s="28" t="n">
        <v>0.605321</v>
      </c>
      <c r="P117" s="28" t="n">
        <v>0.042131</v>
      </c>
      <c r="Q117" s="28" t="n">
        <v>0.119884</v>
      </c>
      <c r="R117" s="26" t="n">
        <v>85</v>
      </c>
      <c r="S117" s="29" t="n">
        <v>1.5</v>
      </c>
      <c r="T117" s="24" t="inlineStr">
        <is>
          <t>measured-edge-margin-v2</t>
        </is>
      </c>
      <c r="U117" s="24" t="inlineStr">
        <is>
          <t>settled</t>
        </is>
      </c>
      <c r="V117" s="24" t="inlineStr">
        <is>
          <t>loss</t>
        </is>
      </c>
      <c r="W117" s="26" t="n">
        <v>8</v>
      </c>
      <c r="X117" s="26" t="n">
        <v>6</v>
      </c>
      <c r="Y117" s="25" t="n">
        <v>1.5</v>
      </c>
      <c r="Z117" s="26" t="n">
        <v>106</v>
      </c>
      <c r="AA117" s="28" t="n">
        <v>0.485</v>
      </c>
      <c r="AB117" s="28" t="n">
        <v>-0.000437</v>
      </c>
      <c r="AC117" s="30" t="n">
        <v>-1.5</v>
      </c>
      <c r="AD117" s="24" t="inlineStr">
        <is>
          <t>2026-08-02T05:39:17.917036Z</t>
        </is>
      </c>
      <c r="AE117" s="31" t="inlineStr">
        <is>
          <t>Measured Edge Margin: Trend Engine projected 5.11-5.12; raw selected-side p=0.6604, calibrated p=0.6053.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mlb-det</t>
        </is>
      </c>
      <c r="AQ117" s="24" t="inlineStr">
        <is>
          <t>Detroit Tigers</t>
        </is>
      </c>
      <c r="AR117" s="24" t="inlineStr">
        <is>
          <t>Detroit Tigers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8360b122264b796b0fb193095cfe4506c7e064e5f3f8c0a659aec41efd08dd25</t>
        </is>
      </c>
      <c r="BB117" s="24" t="inlineStr">
        <is>
          <t>flat_probability_shrinkage_toward_half</t>
        </is>
      </c>
      <c r="BC117" s="24" t="inlineStr">
        <is>
          <t>measured-edge-margin-v2</t>
        </is>
      </c>
      <c r="BD117" s="24" t="inlineStr">
        <is>
          <t>8360b122264b796b0fb193095cfe4506c7e064e5f3f8c0a659aec41efd08dd25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2026-08-01T23:52:39.479166Z</t>
        </is>
      </c>
      <c r="BI117" s="24" t="inlineStr">
        <is>
          <t>["same_event","same_team_same_day","same_league_same_day"]</t>
        </is>
      </c>
      <c r="BJ117" s="25" t="n">
        <v>1.5</v>
      </c>
      <c r="BK117" s="26" t="n">
        <v>106</v>
      </c>
      <c r="BL117" s="27" t="n">
        <v>2.06</v>
      </c>
      <c r="BM117" s="28" t="n">
        <v>0.485437</v>
      </c>
      <c r="BN117" s="28" t="n">
        <v>0.482587</v>
      </c>
      <c r="BO117" s="28" t="n"/>
      <c r="BP117" s="25" t="n"/>
      <c r="BQ117" s="27" t="n">
        <v>2.06</v>
      </c>
      <c r="BR117" s="28" t="n">
        <v>0.485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n"/>
    </row>
    <row r="118" ht="36" customHeight="1">
      <c r="A118" s="24" t="inlineStr">
        <is>
          <t>76c280e71b0f4b3b</t>
        </is>
      </c>
      <c r="B118" s="24" t="inlineStr">
        <is>
          <t>2026-08-01T23:52:39.479166Z</t>
        </is>
      </c>
      <c r="C118" s="24" t="inlineStr">
        <is>
          <t>2026-08-02T01:40Z</t>
        </is>
      </c>
      <c r="D118" s="24" t="inlineStr">
        <is>
          <t>401816358</t>
        </is>
      </c>
      <c r="E118" s="24" t="inlineStr">
        <is>
          <t>MLB</t>
        </is>
      </c>
      <c r="F118" s="24" t="inlineStr">
        <is>
          <t>Detroit Tigers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10.5</v>
      </c>
      <c r="K118" s="24" t="inlineStr">
        <is>
          <t>polymarket_us</t>
        </is>
      </c>
      <c r="L118" s="26" t="n">
        <v>-108</v>
      </c>
      <c r="M118" s="27" t="n">
        <v>1.925926</v>
      </c>
      <c r="N118" s="28" t="n">
        <v>0.519231</v>
      </c>
      <c r="O118" s="28" t="n">
        <v>0.526846</v>
      </c>
      <c r="P118" s="28" t="n">
        <v>0.042131</v>
      </c>
      <c r="Q118" s="28" t="n">
        <v>0.007615</v>
      </c>
      <c r="R118" s="26" t="n">
        <v>29</v>
      </c>
      <c r="S118" s="29" t="n">
        <v>1</v>
      </c>
      <c r="T118" s="24" t="inlineStr">
        <is>
          <t>measured-edge-totals-v2</t>
        </is>
      </c>
      <c r="U118" s="24" t="inlineStr">
        <is>
          <t>settled</t>
        </is>
      </c>
      <c r="V118" s="24" t="inlineStr">
        <is>
          <t>loss</t>
        </is>
      </c>
      <c r="W118" s="26" t="n">
        <v>8</v>
      </c>
      <c r="X118" s="26" t="n">
        <v>6</v>
      </c>
      <c r="Y118" s="25" t="n">
        <v>10.5</v>
      </c>
      <c r="Z118" s="26" t="n">
        <v>-108</v>
      </c>
      <c r="AA118" s="28" t="n">
        <v>0.52</v>
      </c>
      <c r="AB118" s="28" t="n">
        <v>0.000769</v>
      </c>
      <c r="AC118" s="30" t="n">
        <v>-1</v>
      </c>
      <c r="AD118" s="24" t="inlineStr">
        <is>
          <t>2026-08-02T05:39:18.942737Z</t>
        </is>
      </c>
      <c r="AE118" s="31" t="inlineStr">
        <is>
          <t>Measured Edge Totals: Trend Engine projected 5.11-5.12; raw selected-side p=0.5553, calibrated p=0.5268.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mlb-det</t>
        </is>
      </c>
      <c r="AQ118" s="24" t="inlineStr">
        <is>
          <t>Detroit Tigers</t>
        </is>
      </c>
      <c r="AR118" s="24" t="inlineStr">
        <is>
          <t>Detroit Tigers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433578016242b27f9c1c7132cc6b5a2bcc7dd1b0234590c12a944455a88e71bd</t>
        </is>
      </c>
      <c r="BB118" s="24" t="inlineStr">
        <is>
          <t>flat_probability_shrinkage_toward_half</t>
        </is>
      </c>
      <c r="BC118" s="24" t="inlineStr">
        <is>
          <t>measured-edge-totals-v2</t>
        </is>
      </c>
      <c r="BD118" s="24" t="inlineStr">
        <is>
          <t>433578016242b27f9c1c7132cc6b5a2bcc7dd1b0234590c12a944455a88e71bd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2026-08-01T23:52:39.479166Z</t>
        </is>
      </c>
      <c r="BI118" s="24" t="inlineStr">
        <is>
          <t>["same_event","same_team_same_day","same_league_same_day"]</t>
        </is>
      </c>
      <c r="BJ118" s="25" t="n">
        <v>10.5</v>
      </c>
      <c r="BK118" s="26" t="n">
        <v>-108</v>
      </c>
      <c r="BL118" s="27" t="n">
        <v>1.925926</v>
      </c>
      <c r="BM118" s="28" t="n">
        <v>0.519231</v>
      </c>
      <c r="BN118" s="28" t="n">
        <v>0.517413</v>
      </c>
      <c r="BO118" s="28" t="n"/>
      <c r="BP118" s="25" t="n"/>
      <c r="BQ118" s="27" t="n">
        <v>1.925926</v>
      </c>
      <c r="BR118" s="28" t="n">
        <v>0.52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n"/>
    </row>
    <row r="119" ht="36" customHeight="1">
      <c r="A119" s="24" t="inlineStr">
        <is>
          <t>e8b9477dbc3f4279</t>
        </is>
      </c>
      <c r="B119" s="24" t="inlineStr">
        <is>
          <t>2026-08-02T17:27:52.928541Z</t>
        </is>
      </c>
      <c r="C119" s="24" t="inlineStr">
        <is>
          <t>2026-08-02T13:35:00-0400</t>
        </is>
      </c>
      <c r="D119" s="24" t="inlineStr">
        <is>
          <t>401816365</t>
        </is>
      </c>
      <c r="E119" s="24" t="inlineStr">
        <is>
          <t>MLB</t>
        </is>
      </c>
      <c r="F119" s="24" t="inlineStr">
        <is>
          <t>Philadelphia Phillies</t>
        </is>
      </c>
      <c r="G119" s="24" t="inlineStr">
        <is>
          <t>Baltimore Orioles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-130</v>
      </c>
      <c r="M119" s="27" t="n">
        <v>1.769231</v>
      </c>
      <c r="N119" s="28" t="n">
        <v>0.565217</v>
      </c>
      <c r="O119" s="28" t="n">
        <v>0.510159</v>
      </c>
      <c r="P119" s="28" t="n"/>
      <c r="Q119" s="28" t="n">
        <v>-0.055058</v>
      </c>
      <c r="R119" s="26" t="n">
        <v>0</v>
      </c>
      <c r="S119" s="29" t="n">
        <v>1</v>
      </c>
      <c r="T119" s="24" t="inlineStr">
        <is>
          <t>mlb-elo-trend-lr-v7</t>
        </is>
      </c>
      <c r="U119" s="24" t="inlineStr">
        <is>
          <t>settled</t>
        </is>
      </c>
      <c r="V119" s="24" t="inlineStr">
        <is>
          <t>win</t>
        </is>
      </c>
      <c r="W119" s="26" t="n">
        <v>8</v>
      </c>
      <c r="X119" s="26" t="n">
        <v>0</v>
      </c>
      <c r="Y119" s="25" t="n"/>
      <c r="Z119" s="26" t="n">
        <v>-133</v>
      </c>
      <c r="AA119" s="28" t="n">
        <v>0.57</v>
      </c>
      <c r="AB119" s="28" t="n">
        <v>0.004783</v>
      </c>
      <c r="AC119" s="30" t="n">
        <v>0.7692</v>
      </c>
      <c r="AD119" s="24" t="inlineStr">
        <is>
          <t>2026-08-02T23:12:00.522783Z</t>
        </is>
      </c>
      <c r="AE119" s="31" t="inlineStr">
        <is>
          <t>Learned LR call at threshold 0.6242; executable ask 0.5650 (aec-mlb-phi-bal-2026-08-02); model edge vs ask -0.0548.</t>
        </is>
      </c>
      <c r="AF119" s="31" t="inlineStr">
        <is>
          <t>Learned model; shadow-qualified via operator override.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3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mlb-phi</t>
        </is>
      </c>
      <c r="AQ119" s="24" t="inlineStr">
        <is>
          <t>Philadelphia Phillies</t>
        </is>
      </c>
      <c r="AR119" s="24" t="inlineStr">
        <is>
          <t>Philadelphia Phillies</t>
        </is>
      </c>
      <c r="AS119" s="24" t="inlineStr">
        <is>
          <t>mlb-bal</t>
        </is>
      </c>
      <c r="AT119" s="24" t="inlineStr">
        <is>
          <t>Baltimore Orioles</t>
        </is>
      </c>
      <c r="AU119" s="24" t="inlineStr">
        <is>
          <t>Baltimore Orioles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464eef695bfbbdaa819ec6f5e4c5bd1068ed20b92915fb2677220ae91e20d8b6</t>
        </is>
      </c>
      <c r="BB119" s="24" t="inlineStr">
        <is>
          <t>learned_lr</t>
        </is>
      </c>
      <c r="BC119" s="24" t="inlineStr">
        <is>
          <t>mlb-elo-trend-lr-v7</t>
        </is>
      </c>
      <c r="BD119" s="24" t="inlineStr">
        <is>
          <t>464eef695bfbbdaa819ec6f5e4c5bd1068ed20b92915fb2677220ae91e20d8b6</t>
        </is>
      </c>
      <c r="BE119" s="24" t="inlineStr">
        <is>
          <t>49479e987644e024</t>
        </is>
      </c>
      <c r="BF119" s="24" t="inlineStr">
        <is>
          <t>1</t>
        </is>
      </c>
      <c r="BG119" s="24" t="inlineStr">
        <is>
          <t>mlb-elo-trend-lr-v7</t>
        </is>
      </c>
      <c r="BH119" s="24" t="inlineStr">
        <is>
          <t>2026-08-02T17:26:18.691417Z</t>
        </is>
      </c>
      <c r="BI119" s="24" t="inlineStr">
        <is>
          <t>["same_event","same_team_same_day","same_league_same_day"]</t>
        </is>
      </c>
      <c r="BJ119" s="25" t="n"/>
      <c r="BK119" s="26" t="n">
        <v>-130</v>
      </c>
      <c r="BL119" s="27" t="n">
        <v>1.769231</v>
      </c>
      <c r="BM119" s="28" t="n">
        <v>0.565217</v>
      </c>
      <c r="BN119" s="28" t="n">
        <v>0.562189</v>
      </c>
      <c r="BO119" s="28" t="n"/>
      <c r="BP119" s="25" t="n"/>
      <c r="BQ119" s="27" t="n">
        <v>1.75188</v>
      </c>
      <c r="BR119" s="28" t="n">
        <v>0.57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inlineStr">
        <is>
          <t>0.4831243511</t>
        </is>
      </c>
      <c r="CD119" s="24" t="inlineStr">
        <is>
          <t>-0.050102</t>
        </is>
      </c>
      <c r="CE119" s="24" t="inlineStr">
        <is>
          <t>1.03</t>
        </is>
      </c>
      <c r="CF119" s="24" t="inlineStr">
        <is>
          <t>1.019</t>
        </is>
      </c>
      <c r="CG119" s="24" t="inlineStr">
        <is>
          <t>2.8</t>
        </is>
      </c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inlineStr">
        <is>
          <t>0.510159</t>
        </is>
      </c>
      <c r="CS119" s="24" t="inlineStr">
        <is>
          <t>False</t>
        </is>
      </c>
    </row>
    <row r="120" ht="36" customHeight="1">
      <c r="A120" s="24" t="inlineStr">
        <is>
          <t>54fd030403e949ac</t>
        </is>
      </c>
      <c r="B120" s="24" t="inlineStr">
        <is>
          <t>2026-08-02T17:27:52.928541Z</t>
        </is>
      </c>
      <c r="C120" s="24" t="inlineStr">
        <is>
          <t>2026-08-02T13:35:00-0400</t>
        </is>
      </c>
      <c r="D120" s="24" t="inlineStr">
        <is>
          <t>401816368</t>
        </is>
      </c>
      <c r="E120" s="24" t="inlineStr">
        <is>
          <t>MLB</t>
        </is>
      </c>
      <c r="F120" s="24" t="inlineStr">
        <is>
          <t>Washington Nationals</t>
        </is>
      </c>
      <c r="G120" s="24" t="inlineStr">
        <is>
          <t>Atlanta Braves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-122</v>
      </c>
      <c r="M120" s="27" t="n">
        <v>1.819672</v>
      </c>
      <c r="N120" s="28" t="n">
        <v>0.54955</v>
      </c>
      <c r="O120" s="28" t="n">
        <v>0.600464</v>
      </c>
      <c r="P120" s="28" t="n"/>
      <c r="Q120" s="28" t="n">
        <v>0.050914</v>
      </c>
      <c r="R120" s="26" t="n">
        <v>47</v>
      </c>
      <c r="S120" s="29" t="n">
        <v>1.25</v>
      </c>
      <c r="T120" s="24" t="inlineStr">
        <is>
          <t>mlb-elo-trend-lr-v7</t>
        </is>
      </c>
      <c r="U120" s="24" t="inlineStr">
        <is>
          <t>settled</t>
        </is>
      </c>
      <c r="V120" s="24" t="inlineStr">
        <is>
          <t>win</t>
        </is>
      </c>
      <c r="W120" s="26" t="n">
        <v>2</v>
      </c>
      <c r="X120" s="26" t="n">
        <v>4</v>
      </c>
      <c r="Y120" s="25" t="n"/>
      <c r="Z120" s="26" t="n">
        <v>-122</v>
      </c>
      <c r="AA120" s="28" t="n">
        <v>0.55</v>
      </c>
      <c r="AB120" s="28" t="n">
        <v>0.00045</v>
      </c>
      <c r="AC120" s="30" t="n">
        <v>1.0246</v>
      </c>
      <c r="AD120" s="24" t="inlineStr">
        <is>
          <t>2026-08-02T23:12:01.611733Z</t>
        </is>
      </c>
      <c r="AE120" s="31" t="inlineStr">
        <is>
          <t>Learned LR call at threshold 0.6242; executable ask 0.5500 (aec-mlb-wsh-atl-2026-08-02); model edge vs ask +0.0505.</t>
        </is>
      </c>
      <c r="AF120" s="31" t="inlineStr">
        <is>
          <t>Learned model; shadow-qualified via operator override.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3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mlb-wsh</t>
        </is>
      </c>
      <c r="AQ120" s="24" t="inlineStr">
        <is>
          <t>Washington Nationals</t>
        </is>
      </c>
      <c r="AR120" s="24" t="inlineStr">
        <is>
          <t>Washington Nationals</t>
        </is>
      </c>
      <c r="AS120" s="24" t="inlineStr">
        <is>
          <t>mlb-atl</t>
        </is>
      </c>
      <c r="AT120" s="24" t="inlineStr">
        <is>
          <t>Atlanta Braves</t>
        </is>
      </c>
      <c r="AU120" s="24" t="inlineStr">
        <is>
          <t>Atlanta Braves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464eef695bfbbdaa819ec6f5e4c5bd1068ed20b92915fb2677220ae91e20d8b6</t>
        </is>
      </c>
      <c r="BB120" s="24" t="inlineStr">
        <is>
          <t>learned_lr</t>
        </is>
      </c>
      <c r="BC120" s="24" t="inlineStr">
        <is>
          <t>mlb-elo-trend-lr-v7</t>
        </is>
      </c>
      <c r="BD120" s="24" t="inlineStr">
        <is>
          <t>464eef695bfbbdaa819ec6f5e4c5bd1068ed20b92915fb2677220ae91e20d8b6</t>
        </is>
      </c>
      <c r="BE120" s="24" t="inlineStr">
        <is>
          <t>73dc550984f25411</t>
        </is>
      </c>
      <c r="BF120" s="24" t="inlineStr">
        <is>
          <t>1</t>
        </is>
      </c>
      <c r="BG120" s="24" t="inlineStr">
        <is>
          <t>mlb-elo-trend-lr-v7</t>
        </is>
      </c>
      <c r="BH120" s="24" t="inlineStr">
        <is>
          <t>2026-08-02T17:26:19.692469Z</t>
        </is>
      </c>
      <c r="BI120" s="24" t="inlineStr">
        <is>
          <t>["same_event","same_team_same_day","same_league_same_day"]</t>
        </is>
      </c>
      <c r="BJ120" s="25" t="n"/>
      <c r="BK120" s="26" t="n">
        <v>-122</v>
      </c>
      <c r="BL120" s="27" t="n">
        <v>1.819672</v>
      </c>
      <c r="BM120" s="28" t="n">
        <v>0.54955</v>
      </c>
      <c r="BN120" s="28" t="n">
        <v>0.547264</v>
      </c>
      <c r="BO120" s="28" t="n"/>
      <c r="BP120" s="25" t="n"/>
      <c r="BQ120" s="27" t="n">
        <v>1.819672</v>
      </c>
      <c r="BR120" s="28" t="n">
        <v>0.55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inlineStr">
        <is>
          <t>0.6335187094</t>
        </is>
      </c>
      <c r="CD120" s="24" t="inlineStr">
        <is>
          <t>1.061773</t>
        </is>
      </c>
      <c r="CE120" s="24" t="inlineStr">
        <is>
          <t>0.929</t>
        </is>
      </c>
      <c r="CF120" s="24" t="inlineStr">
        <is>
          <t>1.0183</t>
        </is>
      </c>
      <c r="CG120" s="24" t="inlineStr">
        <is>
          <t>-3.6</t>
        </is>
      </c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inlineStr">
        <is>
          <t>0.600464</t>
        </is>
      </c>
      <c r="CS120" s="24" t="inlineStr">
        <is>
          <t>True</t>
        </is>
      </c>
    </row>
    <row r="121" ht="36" customHeight="1">
      <c r="A121" s="24" t="inlineStr">
        <is>
          <t>1ab367e6297947f8</t>
        </is>
      </c>
      <c r="B121" s="24" t="inlineStr">
        <is>
          <t>2026-08-02T17:27:52.928541Z</t>
        </is>
      </c>
      <c r="C121" s="24" t="inlineStr">
        <is>
          <t>2026-08-02T13:37:00-0400</t>
        </is>
      </c>
      <c r="D121" s="24" t="inlineStr">
        <is>
          <t>401816367</t>
        </is>
      </c>
      <c r="E121" s="24" t="inlineStr">
        <is>
          <t>MLB</t>
        </is>
      </c>
      <c r="F121" s="24" t="inlineStr">
        <is>
          <t>St. Louis Cardinals</t>
        </is>
      </c>
      <c r="G121" s="24" t="inlineStr">
        <is>
          <t>Toronto Blue Jays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-120</v>
      </c>
      <c r="M121" s="27" t="n">
        <v>1.833333</v>
      </c>
      <c r="N121" s="28" t="n">
        <v>0.545455</v>
      </c>
      <c r="O121" s="28" t="n">
        <v>0.536276</v>
      </c>
      <c r="P121" s="28" t="n"/>
      <c r="Q121" s="28" t="n">
        <v>-0.009179</v>
      </c>
      <c r="R121" s="26" t="n">
        <v>17</v>
      </c>
      <c r="S121" s="29" t="n">
        <v>1</v>
      </c>
      <c r="T121" s="24" t="inlineStr">
        <is>
          <t>mlb-elo-trend-lr-v7</t>
        </is>
      </c>
      <c r="U121" s="24" t="inlineStr">
        <is>
          <t>settled</t>
        </is>
      </c>
      <c r="V121" s="24" t="inlineStr">
        <is>
          <t>loss</t>
        </is>
      </c>
      <c r="W121" s="26" t="n">
        <v>5</v>
      </c>
      <c r="X121" s="26" t="n">
        <v>1</v>
      </c>
      <c r="Y121" s="25" t="n"/>
      <c r="Z121" s="26" t="n">
        <v>-122</v>
      </c>
      <c r="AA121" s="28" t="n">
        <v>0.55</v>
      </c>
      <c r="AB121" s="28" t="n">
        <v>0.004545</v>
      </c>
      <c r="AC121" s="30" t="n">
        <v>-1</v>
      </c>
      <c r="AD121" s="24" t="inlineStr">
        <is>
          <t>2026-08-02T23:12:02.726740Z</t>
        </is>
      </c>
      <c r="AE121" s="31" t="inlineStr">
        <is>
          <t>Learned LR call at threshold 0.6242; executable ask 0.5450 (aec-mlb-stl-tor-2026-08-02); model edge vs ask -0.0087.</t>
        </is>
      </c>
      <c r="AF121" s="31" t="inlineStr">
        <is>
          <t>Learned model; shadow-qualified via operator override.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3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mlb-stl</t>
        </is>
      </c>
      <c r="AQ121" s="24" t="inlineStr">
        <is>
          <t>St. Louis Cardinals</t>
        </is>
      </c>
      <c r="AR121" s="24" t="inlineStr">
        <is>
          <t>St. Louis Cardinals</t>
        </is>
      </c>
      <c r="AS121" s="24" t="inlineStr">
        <is>
          <t>mlb-tor</t>
        </is>
      </c>
      <c r="AT121" s="24" t="inlineStr">
        <is>
          <t>Toronto Blue Jays</t>
        </is>
      </c>
      <c r="AU121" s="24" t="inlineStr">
        <is>
          <t>Toronto Blue Jays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464eef695bfbbdaa819ec6f5e4c5bd1068ed20b92915fb2677220ae91e20d8b6</t>
        </is>
      </c>
      <c r="BB121" s="24" t="inlineStr">
        <is>
          <t>learned_lr</t>
        </is>
      </c>
      <c r="BC121" s="24" t="inlineStr">
        <is>
          <t>mlb-elo-trend-lr-v7</t>
        </is>
      </c>
      <c r="BD121" s="24" t="inlineStr">
        <is>
          <t>464eef695bfbbdaa819ec6f5e4c5bd1068ed20b92915fb2677220ae91e20d8b6</t>
        </is>
      </c>
      <c r="BE121" s="24" t="inlineStr">
        <is>
          <t>429c13d4c562f5e8</t>
        </is>
      </c>
      <c r="BF121" s="24" t="inlineStr">
        <is>
          <t>1</t>
        </is>
      </c>
      <c r="BG121" s="24" t="inlineStr">
        <is>
          <t>mlb-elo-trend-lr-v7</t>
        </is>
      </c>
      <c r="BH121" s="24" t="inlineStr">
        <is>
          <t>2026-08-02T17:26:20.623512Z</t>
        </is>
      </c>
      <c r="BI121" s="24" t="inlineStr">
        <is>
          <t>["same_event","same_team_same_day","same_league_same_day"]</t>
        </is>
      </c>
      <c r="BJ121" s="25" t="n"/>
      <c r="BK121" s="26" t="n">
        <v>-120</v>
      </c>
      <c r="BL121" s="27" t="n">
        <v>1.833333</v>
      </c>
      <c r="BM121" s="28" t="n">
        <v>0.545455</v>
      </c>
      <c r="BN121" s="28" t="n">
        <v>0.542289</v>
      </c>
      <c r="BO121" s="28" t="n"/>
      <c r="BP121" s="25" t="n"/>
      <c r="BQ121" s="27" t="n">
        <v>1.819672</v>
      </c>
      <c r="BR121" s="28" t="n">
        <v>0.55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inlineStr">
        <is>
          <t>0.5658417148</t>
        </is>
      </c>
      <c r="CD121" s="24" t="inlineStr">
        <is>
          <t>1.499161</t>
        </is>
      </c>
      <c r="CE121" s="24" t="inlineStr">
        <is>
          <t>1.019</t>
        </is>
      </c>
      <c r="CF121" s="24" t="inlineStr">
        <is>
          <t>1.0</t>
        </is>
      </c>
      <c r="CG121" s="24" t="inlineStr">
        <is>
          <t>-2.0</t>
        </is>
      </c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inlineStr">
        <is>
          <t>0.536276</t>
        </is>
      </c>
      <c r="CS121" s="24" t="inlineStr">
        <is>
          <t>False</t>
        </is>
      </c>
    </row>
    <row r="122" ht="36" customHeight="1">
      <c r="A122" s="24" t="inlineStr">
        <is>
          <t>b81757c406fb4c1a</t>
        </is>
      </c>
      <c r="B122" s="24" t="inlineStr">
        <is>
          <t>2026-08-02T17:28:55.256054Z</t>
        </is>
      </c>
      <c r="C122" s="24" t="inlineStr">
        <is>
          <t>2026-08-02T17:35Z</t>
        </is>
      </c>
      <c r="D122" s="24" t="inlineStr">
        <is>
          <t>401816365</t>
        </is>
      </c>
      <c r="E122" s="24" t="inlineStr">
        <is>
          <t>MLB</t>
        </is>
      </c>
      <c r="F122" s="24" t="inlineStr">
        <is>
          <t>Philadelphia Phillies</t>
        </is>
      </c>
      <c r="G122" s="24" t="inlineStr">
        <is>
          <t>Baltimore Orioles</t>
        </is>
      </c>
      <c r="H122" s="24" t="inlineStr">
        <is>
          <t>spread</t>
        </is>
      </c>
      <c r="I122" s="24" t="inlineStr">
        <is>
          <t>home</t>
        </is>
      </c>
      <c r="J122" s="25" t="n">
        <v>1.5</v>
      </c>
      <c r="K122" s="24" t="inlineStr">
        <is>
          <t>polymarket_us</t>
        </is>
      </c>
      <c r="L122" s="26" t="n">
        <v>-130</v>
      </c>
      <c r="M122" s="27" t="n">
        <v>1.769231</v>
      </c>
      <c r="N122" s="28" t="n">
        <v>0.565217</v>
      </c>
      <c r="O122" s="28" t="n">
        <v>0.614868</v>
      </c>
      <c r="P122" s="28" t="n">
        <v>0.042131</v>
      </c>
      <c r="Q122" s="28" t="n">
        <v>0.049651</v>
      </c>
      <c r="R122" s="26" t="n">
        <v>51</v>
      </c>
      <c r="S122" s="29" t="n">
        <v>1.5</v>
      </c>
      <c r="T122" s="24" t="inlineStr">
        <is>
          <t>measured-edge-margin-v2</t>
        </is>
      </c>
      <c r="U122" s="24" t="inlineStr">
        <is>
          <t>settled</t>
        </is>
      </c>
      <c r="V122" s="24" t="inlineStr">
        <is>
          <t>loss</t>
        </is>
      </c>
      <c r="W122" s="26" t="n">
        <v>8</v>
      </c>
      <c r="X122" s="26" t="n">
        <v>0</v>
      </c>
      <c r="Y122" s="25" t="n">
        <v>1.5</v>
      </c>
      <c r="Z122" s="26" t="n">
        <v>-130</v>
      </c>
      <c r="AA122" s="28" t="n">
        <v>0.5649999999999999</v>
      </c>
      <c r="AB122" s="28" t="n">
        <v>-0.000217</v>
      </c>
      <c r="AC122" s="30" t="n">
        <v>-1.5</v>
      </c>
      <c r="AD122" s="24" t="inlineStr">
        <is>
          <t>2026-08-02T23:12:03.800599Z</t>
        </is>
      </c>
      <c r="AE122" s="31" t="inlineStr">
        <is>
          <t>Measured Edge Margin: Trend Engine projected 4.52-4.52; raw selected-side p=0.6750, calibrated p=0.6149.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3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mlb-phi</t>
        </is>
      </c>
      <c r="AQ122" s="24" t="inlineStr">
        <is>
          <t>Philadelphia Phillies</t>
        </is>
      </c>
      <c r="AR122" s="24" t="inlineStr">
        <is>
          <t>Philadelphia Phillies</t>
        </is>
      </c>
      <c r="AS122" s="24" t="inlineStr">
        <is>
          <t>mlb-bal</t>
        </is>
      </c>
      <c r="AT122" s="24" t="inlineStr">
        <is>
          <t>Baltimore Orioles</t>
        </is>
      </c>
      <c r="AU122" s="24" t="inlineStr">
        <is>
          <t>Baltimore Orioles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8360b122264b796b0fb193095cfe4506c7e064e5f3f8c0a659aec41efd08dd25</t>
        </is>
      </c>
      <c r="BB122" s="24" t="inlineStr">
        <is>
          <t>flat_probability_shrinkage_toward_half</t>
        </is>
      </c>
      <c r="BC122" s="24" t="inlineStr">
        <is>
          <t>measured-edge-margin-v2</t>
        </is>
      </c>
      <c r="BD122" s="24" t="inlineStr">
        <is>
          <t>8360b122264b796b0fb193095cfe4506c7e064e5f3f8c0a659aec41efd08dd25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2026-08-02T17:28:55.256054Z</t>
        </is>
      </c>
      <c r="BI122" s="24" t="inlineStr">
        <is>
          <t>["same_event","same_team_same_day","same_league_same_day"]</t>
        </is>
      </c>
      <c r="BJ122" s="25" t="n">
        <v>1.5</v>
      </c>
      <c r="BK122" s="26" t="n">
        <v>-130</v>
      </c>
      <c r="BL122" s="27" t="n">
        <v>1.769231</v>
      </c>
      <c r="BM122" s="28" t="n">
        <v>0.565217</v>
      </c>
      <c r="BN122" s="28" t="n">
        <v>0.562189</v>
      </c>
      <c r="BO122" s="28" t="n"/>
      <c r="BP122" s="25" t="n"/>
      <c r="BQ122" s="27" t="n">
        <v>1.769231</v>
      </c>
      <c r="BR122" s="28" t="n">
        <v>0.5649999999999999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</row>
    <row r="123" ht="36" customHeight="1">
      <c r="A123" s="24" t="inlineStr">
        <is>
          <t>145da2fc85314d6a</t>
        </is>
      </c>
      <c r="B123" s="24" t="inlineStr">
        <is>
          <t>2026-08-02T17:28:55.256054Z</t>
        </is>
      </c>
      <c r="C123" s="24" t="inlineStr">
        <is>
          <t>2026-08-02T17:35Z</t>
        </is>
      </c>
      <c r="D123" s="24" t="inlineStr">
        <is>
          <t>401816365</t>
        </is>
      </c>
      <c r="E123" s="24" t="inlineStr">
        <is>
          <t>MLB</t>
        </is>
      </c>
      <c r="F123" s="24" t="inlineStr">
        <is>
          <t>Philadelphia Phillies</t>
        </is>
      </c>
      <c r="G123" s="24" t="inlineStr">
        <is>
          <t>Baltimore Orioles</t>
        </is>
      </c>
      <c r="H123" s="24" t="inlineStr">
        <is>
          <t>total</t>
        </is>
      </c>
      <c r="I123" s="24" t="inlineStr">
        <is>
          <t>over</t>
        </is>
      </c>
      <c r="J123" s="25" t="n">
        <v>8.5</v>
      </c>
      <c r="K123" s="24" t="inlineStr">
        <is>
          <t>polymarket_us</t>
        </is>
      </c>
      <c r="L123" s="26" t="n">
        <v>113</v>
      </c>
      <c r="M123" s="27" t="n">
        <v>2.13</v>
      </c>
      <c r="N123" s="28" t="n">
        <v>0.469484</v>
      </c>
      <c r="O123" s="28" t="n">
        <v>0.515126</v>
      </c>
      <c r="P123" s="28" t="n">
        <v>0.042131</v>
      </c>
      <c r="Q123" s="28" t="n">
        <v>0.045642</v>
      </c>
      <c r="R123" s="26" t="n">
        <v>48</v>
      </c>
      <c r="S123" s="29" t="n">
        <v>1</v>
      </c>
      <c r="T123" s="24" t="inlineStr">
        <is>
          <t>measured-edge-totals-v2</t>
        </is>
      </c>
      <c r="U123" s="24" t="inlineStr">
        <is>
          <t>settled</t>
        </is>
      </c>
      <c r="V123" s="24" t="inlineStr">
        <is>
          <t>loss</t>
        </is>
      </c>
      <c r="W123" s="26" t="n">
        <v>8</v>
      </c>
      <c r="X123" s="26" t="n">
        <v>0</v>
      </c>
      <c r="Y123" s="25" t="n">
        <v>8.5</v>
      </c>
      <c r="Z123" s="26" t="n">
        <v>113</v>
      </c>
      <c r="AA123" s="28" t="n">
        <v>0.47</v>
      </c>
      <c r="AB123" s="28" t="n">
        <v>0.000516</v>
      </c>
      <c r="AC123" s="30" t="n">
        <v>-1</v>
      </c>
      <c r="AD123" s="24" t="inlineStr">
        <is>
          <t>2026-08-02T23:12:04.928375Z</t>
        </is>
      </c>
      <c r="AE123" s="31" t="inlineStr">
        <is>
          <t>Measured Edge Totals: Trend Engine projected 4.52-4.52; raw selected-side p=0.5210, calibrated p=0.5151.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3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mlb-phi</t>
        </is>
      </c>
      <c r="AQ123" s="24" t="inlineStr">
        <is>
          <t>Philadelphia Phillies</t>
        </is>
      </c>
      <c r="AR123" s="24" t="inlineStr">
        <is>
          <t>Philadelphia Phillies</t>
        </is>
      </c>
      <c r="AS123" s="24" t="inlineStr">
        <is>
          <t>mlb-bal</t>
        </is>
      </c>
      <c r="AT123" s="24" t="inlineStr">
        <is>
          <t>Baltimore Orioles</t>
        </is>
      </c>
      <c r="AU123" s="24" t="inlineStr">
        <is>
          <t>Baltimore Orioles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433578016242b27f9c1c7132cc6b5a2bcc7dd1b0234590c12a944455a88e71bd</t>
        </is>
      </c>
      <c r="BB123" s="24" t="inlineStr">
        <is>
          <t>flat_probability_shrinkage_toward_half</t>
        </is>
      </c>
      <c r="BC123" s="24" t="inlineStr">
        <is>
          <t>measured-edge-totals-v2</t>
        </is>
      </c>
      <c r="BD123" s="24" t="inlineStr">
        <is>
          <t>433578016242b27f9c1c7132cc6b5a2bcc7dd1b0234590c12a944455a88e71bd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2026-08-02T17:28:55.256054Z</t>
        </is>
      </c>
      <c r="BI123" s="24" t="inlineStr">
        <is>
          <t>["same_event","same_team_same_day","same_league_same_day"]</t>
        </is>
      </c>
      <c r="BJ123" s="25" t="n">
        <v>8.5</v>
      </c>
      <c r="BK123" s="26" t="n">
        <v>113</v>
      </c>
      <c r="BL123" s="27" t="n">
        <v>2.13</v>
      </c>
      <c r="BM123" s="28" t="n">
        <v>0.469484</v>
      </c>
      <c r="BN123" s="28" t="n">
        <v>0.467662</v>
      </c>
      <c r="BO123" s="28" t="n"/>
      <c r="BP123" s="25" t="n"/>
      <c r="BQ123" s="27" t="n">
        <v>2.13</v>
      </c>
      <c r="BR123" s="28" t="n">
        <v>0.47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014742c6476a4e41</t>
        </is>
      </c>
      <c r="B124" s="24" t="inlineStr">
        <is>
          <t>2026-08-02T17:28:55.256054Z</t>
        </is>
      </c>
      <c r="C124" s="24" t="inlineStr">
        <is>
          <t>2026-08-02T17:35Z</t>
        </is>
      </c>
      <c r="D124" s="24" t="inlineStr">
        <is>
          <t>401816368</t>
        </is>
      </c>
      <c r="E124" s="24" t="inlineStr">
        <is>
          <t>MLB</t>
        </is>
      </c>
      <c r="F124" s="24" t="inlineStr">
        <is>
          <t>Washington Nationals</t>
        </is>
      </c>
      <c r="G124" s="24" t="inlineStr">
        <is>
          <t>Atlanta Braves</t>
        </is>
      </c>
      <c r="H124" s="24" t="inlineStr">
        <is>
          <t>spread</t>
        </is>
      </c>
      <c r="I124" s="24" t="inlineStr">
        <is>
          <t>away</t>
        </is>
      </c>
      <c r="J124" s="25" t="n">
        <v>1.5</v>
      </c>
      <c r="K124" s="24" t="inlineStr">
        <is>
          <t>polymarket_us</t>
        </is>
      </c>
      <c r="L124" s="26" t="n">
        <v>-178</v>
      </c>
      <c r="M124" s="27" t="n">
        <v>1.561798</v>
      </c>
      <c r="N124" s="28" t="n">
        <v>0.640288</v>
      </c>
      <c r="O124" s="28" t="n">
        <v>0.612965</v>
      </c>
      <c r="P124" s="28" t="n">
        <v>0.042131</v>
      </c>
      <c r="Q124" s="28" t="n">
        <v>-0.027323</v>
      </c>
      <c r="R124" s="26" t="n">
        <v>13</v>
      </c>
      <c r="S124" s="29" t="n">
        <v>1.5</v>
      </c>
      <c r="T124" s="24" t="inlineStr">
        <is>
          <t>measured-edge-margin-v2</t>
        </is>
      </c>
      <c r="U124" s="24" t="inlineStr">
        <is>
          <t>settled</t>
        </is>
      </c>
      <c r="V124" s="24" t="inlineStr">
        <is>
          <t>loss</t>
        </is>
      </c>
      <c r="W124" s="26" t="n">
        <v>2</v>
      </c>
      <c r="X124" s="26" t="n">
        <v>4</v>
      </c>
      <c r="Y124" s="25" t="n">
        <v>1.5</v>
      </c>
      <c r="Z124" s="26" t="n">
        <v>-178</v>
      </c>
      <c r="AA124" s="28" t="n">
        <v>0.64</v>
      </c>
      <c r="AB124" s="28" t="n">
        <v>-0.000288</v>
      </c>
      <c r="AC124" s="30" t="n">
        <v>-1.5</v>
      </c>
      <c r="AD124" s="24" t="inlineStr">
        <is>
          <t>2026-08-02T23:12:06.017458Z</t>
        </is>
      </c>
      <c r="AE124" s="31" t="inlineStr">
        <is>
          <t>Measured Edge Margin: Trend Engine projected 4.45-4.46; raw selected-side p=0.6721, calibrated p=0.6130.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3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mlb-wsh</t>
        </is>
      </c>
      <c r="AQ124" s="24" t="inlineStr">
        <is>
          <t>Washington Nationals</t>
        </is>
      </c>
      <c r="AR124" s="24" t="inlineStr">
        <is>
          <t>Washington Nationals</t>
        </is>
      </c>
      <c r="AS124" s="24" t="inlineStr">
        <is>
          <t>mlb-atl</t>
        </is>
      </c>
      <c r="AT124" s="24" t="inlineStr">
        <is>
          <t>Atlanta Braves</t>
        </is>
      </c>
      <c r="AU124" s="24" t="inlineStr">
        <is>
          <t>Atlanta Braves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8360b122264b796b0fb193095cfe4506c7e064e5f3f8c0a659aec41efd08dd25</t>
        </is>
      </c>
      <c r="BB124" s="24" t="inlineStr">
        <is>
          <t>flat_probability_shrinkage_toward_half</t>
        </is>
      </c>
      <c r="BC124" s="24" t="inlineStr">
        <is>
          <t>measured-edge-margin-v2</t>
        </is>
      </c>
      <c r="BD124" s="24" t="inlineStr">
        <is>
          <t>8360b122264b796b0fb193095cfe4506c7e064e5f3f8c0a659aec41efd08dd25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2026-08-02T17:28:55.256054Z</t>
        </is>
      </c>
      <c r="BI124" s="24" t="inlineStr">
        <is>
          <t>["same_event","same_team_same_day","same_league_same_day"]</t>
        </is>
      </c>
      <c r="BJ124" s="25" t="n">
        <v>1.5</v>
      </c>
      <c r="BK124" s="26" t="n">
        <v>-178</v>
      </c>
      <c r="BL124" s="27" t="n">
        <v>1.561798</v>
      </c>
      <c r="BM124" s="28" t="n">
        <v>0.640288</v>
      </c>
      <c r="BN124" s="28" t="n">
        <v>0.636816</v>
      </c>
      <c r="BO124" s="28" t="n"/>
      <c r="BP124" s="25" t="n"/>
      <c r="BQ124" s="27" t="n">
        <v>1.561798</v>
      </c>
      <c r="BR124" s="28" t="n">
        <v>0.64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c6c5a977e85247da</t>
        </is>
      </c>
      <c r="B125" s="24" t="inlineStr">
        <is>
          <t>2026-08-02T17:28:55.256054Z</t>
        </is>
      </c>
      <c r="C125" s="24" t="inlineStr">
        <is>
          <t>2026-08-02T17:35Z</t>
        </is>
      </c>
      <c r="D125" s="24" t="inlineStr">
        <is>
          <t>401816368</t>
        </is>
      </c>
      <c r="E125" s="24" t="inlineStr">
        <is>
          <t>MLB</t>
        </is>
      </c>
      <c r="F125" s="24" t="inlineStr">
        <is>
          <t>Washington Nationals</t>
        </is>
      </c>
      <c r="G125" s="24" t="inlineStr">
        <is>
          <t>Atlanta Braves</t>
        </is>
      </c>
      <c r="H125" s="24" t="inlineStr">
        <is>
          <t>total</t>
        </is>
      </c>
      <c r="I125" s="24" t="inlineStr">
        <is>
          <t>over</t>
        </is>
      </c>
      <c r="J125" s="25" t="n">
        <v>8.5</v>
      </c>
      <c r="K125" s="24" t="inlineStr">
        <is>
          <t>polymarket_us</t>
        </is>
      </c>
      <c r="L125" s="26" t="n">
        <v>-122</v>
      </c>
      <c r="M125" s="27" t="n">
        <v>1.819672</v>
      </c>
      <c r="N125" s="28" t="n">
        <v>0.54955</v>
      </c>
      <c r="O125" s="28" t="n">
        <v>0.510393</v>
      </c>
      <c r="P125" s="28" t="n">
        <v>0.042131</v>
      </c>
      <c r="Q125" s="28" t="n">
        <v>-0.039157</v>
      </c>
      <c r="R125" s="26" t="n">
        <v>6</v>
      </c>
      <c r="S125" s="29" t="n">
        <v>1</v>
      </c>
      <c r="T125" s="24" t="inlineStr">
        <is>
          <t>measured-edge-totals-v2</t>
        </is>
      </c>
      <c r="U125" s="24" t="inlineStr">
        <is>
          <t>settled</t>
        </is>
      </c>
      <c r="V125" s="24" t="inlineStr">
        <is>
          <t>loss</t>
        </is>
      </c>
      <c r="W125" s="26" t="n">
        <v>2</v>
      </c>
      <c r="X125" s="26" t="n">
        <v>4</v>
      </c>
      <c r="Y125" s="25" t="n">
        <v>8.5</v>
      </c>
      <c r="Z125" s="26" t="n">
        <v>-122</v>
      </c>
      <c r="AA125" s="28" t="n">
        <v>0.55</v>
      </c>
      <c r="AB125" s="28" t="n">
        <v>0.00045</v>
      </c>
      <c r="AC125" s="30" t="n">
        <v>-1</v>
      </c>
      <c r="AD125" s="24" t="inlineStr">
        <is>
          <t>2026-08-02T23:12:07.151869Z</t>
        </is>
      </c>
      <c r="AE125" s="31" t="inlineStr">
        <is>
          <t>Measured Edge Totals: Trend Engine projected 4.45-4.46; raw selected-side p=0.5071, calibrated p=0.5104.</t>
        </is>
      </c>
      <c r="AF125" s="31" t="inlineStr">
        <is>
          <t>Research-only; lineup, bullpen, park, weather, xFIP, and wRC+ may be neutral fallbacks; market availability and BBO depth may change before first pitch.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mlb-wsh</t>
        </is>
      </c>
      <c r="AQ125" s="24" t="inlineStr">
        <is>
          <t>Washington Nationals</t>
        </is>
      </c>
      <c r="AR125" s="24" t="inlineStr">
        <is>
          <t>Washington Nationals</t>
        </is>
      </c>
      <c r="AS125" s="24" t="inlineStr">
        <is>
          <t>mlb-atl</t>
        </is>
      </c>
      <c r="AT125" s="24" t="inlineStr">
        <is>
          <t>Atlanta Braves</t>
        </is>
      </c>
      <c r="AU125" s="24" t="inlineStr">
        <is>
          <t>Atlanta Braves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433578016242b27f9c1c7132cc6b5a2bcc7dd1b0234590c12a944455a88e71bd</t>
        </is>
      </c>
      <c r="BB125" s="24" t="inlineStr">
        <is>
          <t>flat_probability_shrinkage_toward_half</t>
        </is>
      </c>
      <c r="BC125" s="24" t="inlineStr">
        <is>
          <t>measured-edge-totals-v2</t>
        </is>
      </c>
      <c r="BD125" s="24" t="inlineStr">
        <is>
          <t>433578016242b27f9c1c7132cc6b5a2bcc7dd1b0234590c12a944455a88e71bd</t>
        </is>
      </c>
      <c r="BE125" s="24" t="inlineStr">
        <is>
          <t>v3</t>
        </is>
      </c>
      <c r="BF125" s="24" t="inlineStr">
        <is>
          <t>1</t>
        </is>
      </c>
      <c r="BG125" s="24" t="inlineStr">
        <is>
          <t>measured-edge-paired-v1</t>
        </is>
      </c>
      <c r="BH125" s="24" t="inlineStr">
        <is>
          <t>2026-08-02T17:28:55.256054Z</t>
        </is>
      </c>
      <c r="BI125" s="24" t="inlineStr">
        <is>
          <t>["same_event","same_team_same_day","same_league_same_day"]</t>
        </is>
      </c>
      <c r="BJ125" s="25" t="n">
        <v>8.5</v>
      </c>
      <c r="BK125" s="26" t="n">
        <v>-122</v>
      </c>
      <c r="BL125" s="27" t="n">
        <v>1.819672</v>
      </c>
      <c r="BM125" s="28" t="n">
        <v>0.54955</v>
      </c>
      <c r="BN125" s="28" t="n">
        <v>0.547264</v>
      </c>
      <c r="BO125" s="28" t="n"/>
      <c r="BP125" s="25" t="n"/>
      <c r="BQ125" s="27" t="n">
        <v>1.819672</v>
      </c>
      <c r="BR125" s="28" t="n">
        <v>0.55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False</t>
        </is>
      </c>
    </row>
    <row r="126" ht="36" customHeight="1">
      <c r="A126" s="24" t="inlineStr">
        <is>
          <t>a813a5e00c514edc</t>
        </is>
      </c>
      <c r="B126" s="24" t="inlineStr">
        <is>
          <t>2026-08-02T17:28:55.256054Z</t>
        </is>
      </c>
      <c r="C126" s="24" t="inlineStr">
        <is>
          <t>2026-08-02T17:37Z</t>
        </is>
      </c>
      <c r="D126" s="24" t="inlineStr">
        <is>
          <t>401816367</t>
        </is>
      </c>
      <c r="E126" s="24" t="inlineStr">
        <is>
          <t>MLB</t>
        </is>
      </c>
      <c r="F126" s="24" t="inlineStr">
        <is>
          <t>St. Louis Cardinals</t>
        </is>
      </c>
      <c r="G126" s="24" t="inlineStr">
        <is>
          <t>Toronto Blue Jays</t>
        </is>
      </c>
      <c r="H126" s="24" t="inlineStr">
        <is>
          <t>spread</t>
        </is>
      </c>
      <c r="I126" s="24" t="inlineStr">
        <is>
          <t>away</t>
        </is>
      </c>
      <c r="J126" s="25" t="n">
        <v>1.5</v>
      </c>
      <c r="K126" s="24" t="inlineStr">
        <is>
          <t>polymarket_us</t>
        </is>
      </c>
      <c r="L126" s="26" t="n">
        <v>-174</v>
      </c>
      <c r="M126" s="27" t="n">
        <v>1.574713</v>
      </c>
      <c r="N126" s="28" t="n">
        <v>0.635036</v>
      </c>
      <c r="O126" s="28" t="n">
        <v>0.6256930000000001</v>
      </c>
      <c r="P126" s="28" t="n">
        <v>0.05172</v>
      </c>
      <c r="Q126" s="28" t="n">
        <v>-0.009343000000000001</v>
      </c>
      <c r="R126" s="26" t="n">
        <v>16</v>
      </c>
      <c r="S126" s="29" t="n">
        <v>1.5</v>
      </c>
      <c r="T126" s="24" t="inlineStr">
        <is>
          <t>measured-edge-margin-v2</t>
        </is>
      </c>
      <c r="U126" s="24" t="inlineStr">
        <is>
          <t>settled</t>
        </is>
      </c>
      <c r="V126" s="24" t="inlineStr">
        <is>
          <t>win</t>
        </is>
      </c>
      <c r="W126" s="26" t="n">
        <v>5</v>
      </c>
      <c r="X126" s="26" t="n">
        <v>1</v>
      </c>
      <c r="Y126" s="25" t="n">
        <v>1.5</v>
      </c>
      <c r="Z126" s="26" t="n">
        <v>-174</v>
      </c>
      <c r="AA126" s="28" t="n">
        <v>0.635</v>
      </c>
      <c r="AB126" s="28" t="n">
        <v>-3.6e-05</v>
      </c>
      <c r="AC126" s="30" t="n">
        <v>0.8621</v>
      </c>
      <c r="AD126" s="24" t="inlineStr">
        <is>
          <t>2026-08-02T23:12:08.233178Z</t>
        </is>
      </c>
      <c r="AE126" s="31" t="inlineStr">
        <is>
          <t>Measured Edge Margin: Trend Engine projected 5.24-4.85; raw selected-side p=0.6915, calibrated p=0.6257.</t>
        </is>
      </c>
      <c r="AF126" s="31" t="inlineStr">
        <is>
          <t>Research-only; lineup, bullpen, park, weather, xFIP, and wRC+ may be neutral fallbacks; market availability and BBO depth may change before first pitch.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3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mlb-stl</t>
        </is>
      </c>
      <c r="AQ126" s="24" t="inlineStr">
        <is>
          <t>St. Louis Cardinals</t>
        </is>
      </c>
      <c r="AR126" s="24" t="inlineStr">
        <is>
          <t>St. Louis Cardinals</t>
        </is>
      </c>
      <c r="AS126" s="24" t="inlineStr">
        <is>
          <t>mlb-tor</t>
        </is>
      </c>
      <c r="AT126" s="24" t="inlineStr">
        <is>
          <t>Toronto Blue Jays</t>
        </is>
      </c>
      <c r="AU126" s="24" t="inlineStr">
        <is>
          <t>Toronto Blue Jays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8360b122264b796b0fb193095cfe4506c7e064e5f3f8c0a659aec41efd08dd25</t>
        </is>
      </c>
      <c r="BB126" s="24" t="inlineStr">
        <is>
          <t>flat_probability_shrinkage_toward_half</t>
        </is>
      </c>
      <c r="BC126" s="24" t="inlineStr">
        <is>
          <t>measured-edge-margin-v2</t>
        </is>
      </c>
      <c r="BD126" s="24" t="inlineStr">
        <is>
          <t>8360b122264b796b0fb193095cfe4506c7e064e5f3f8c0a659aec41efd08dd25</t>
        </is>
      </c>
      <c r="BE126" s="24" t="inlineStr">
        <is>
          <t>v3</t>
        </is>
      </c>
      <c r="BF126" s="24" t="inlineStr">
        <is>
          <t>1</t>
        </is>
      </c>
      <c r="BG126" s="24" t="inlineStr">
        <is>
          <t>measured-edge-paired-v1</t>
        </is>
      </c>
      <c r="BH126" s="24" t="inlineStr">
        <is>
          <t>2026-08-02T17:28:55.256054Z</t>
        </is>
      </c>
      <c r="BI126" s="24" t="inlineStr">
        <is>
          <t>["same_event","same_team_same_day","same_league_same_day"]</t>
        </is>
      </c>
      <c r="BJ126" s="25" t="n">
        <v>1.5</v>
      </c>
      <c r="BK126" s="26" t="n">
        <v>-174</v>
      </c>
      <c r="BL126" s="27" t="n">
        <v>1.574713</v>
      </c>
      <c r="BM126" s="28" t="n">
        <v>0.635036</v>
      </c>
      <c r="BN126" s="28" t="n">
        <v>0.631841</v>
      </c>
      <c r="BO126" s="28" t="n"/>
      <c r="BP126" s="25" t="n"/>
      <c r="BQ126" s="27" t="n">
        <v>1.574713</v>
      </c>
      <c r="BR126" s="28" t="n">
        <v>0.635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</row>
    <row r="127" ht="36" customHeight="1">
      <c r="A127" s="24" t="inlineStr">
        <is>
          <t>61ff584adf8e4aee</t>
        </is>
      </c>
      <c r="B127" s="24" t="inlineStr">
        <is>
          <t>2026-08-02T17:28:55.256054Z</t>
        </is>
      </c>
      <c r="C127" s="24" t="inlineStr">
        <is>
          <t>2026-08-02T17:37Z</t>
        </is>
      </c>
      <c r="D127" s="24" t="inlineStr">
        <is>
          <t>401816367</t>
        </is>
      </c>
      <c r="E127" s="24" t="inlineStr">
        <is>
          <t>MLB</t>
        </is>
      </c>
      <c r="F127" s="24" t="inlineStr">
        <is>
          <t>St. Louis Cardinals</t>
        </is>
      </c>
      <c r="G127" s="24" t="inlineStr">
        <is>
          <t>Toronto Blue Jays</t>
        </is>
      </c>
      <c r="H127" s="24" t="inlineStr">
        <is>
          <t>total</t>
        </is>
      </c>
      <c r="I127" s="24" t="inlineStr">
        <is>
          <t>over</t>
        </is>
      </c>
      <c r="J127" s="25" t="n">
        <v>8.5</v>
      </c>
      <c r="K127" s="24" t="inlineStr">
        <is>
          <t>polymarket_us</t>
        </is>
      </c>
      <c r="L127" s="26" t="n">
        <v>-106</v>
      </c>
      <c r="M127" s="27" t="n">
        <v>1.943396</v>
      </c>
      <c r="N127" s="28" t="n">
        <v>0.514563</v>
      </c>
      <c r="O127" s="28" t="n">
        <v>0.5447340000000001</v>
      </c>
      <c r="P127" s="28" t="n">
        <v>0.05172</v>
      </c>
      <c r="Q127" s="28" t="n">
        <v>0.030171</v>
      </c>
      <c r="R127" s="26" t="n">
        <v>35</v>
      </c>
      <c r="S127" s="29" t="n">
        <v>1</v>
      </c>
      <c r="T127" s="24" t="inlineStr">
        <is>
          <t>measured-edge-totals-v2</t>
        </is>
      </c>
      <c r="U127" s="24" t="inlineStr">
        <is>
          <t>settled</t>
        </is>
      </c>
      <c r="V127" s="24" t="inlineStr">
        <is>
          <t>loss</t>
        </is>
      </c>
      <c r="W127" s="26" t="n">
        <v>5</v>
      </c>
      <c r="X127" s="26" t="n">
        <v>1</v>
      </c>
      <c r="Y127" s="25" t="n">
        <v>8.5</v>
      </c>
      <c r="Z127" s="26" t="n">
        <v>-106</v>
      </c>
      <c r="AA127" s="28" t="n">
        <v>0.515</v>
      </c>
      <c r="AB127" s="28" t="n">
        <v>0.000437</v>
      </c>
      <c r="AC127" s="30" t="n">
        <v>-1</v>
      </c>
      <c r="AD127" s="24" t="inlineStr">
        <is>
          <t>2026-08-02T23:12:09.363602Z</t>
        </is>
      </c>
      <c r="AE127" s="31" t="inlineStr">
        <is>
          <t>Measured Edge Totals: Trend Engine projected 5.24-4.85; raw selected-side p=0.6077, calibrated p=0.5447.</t>
        </is>
      </c>
      <c r="AF127" s="31" t="inlineStr">
        <is>
          <t>Research-only; lineup, bullpen, park, weather, xFIP, and wRC+ may be neutral fallbacks; market availability and BBO depth may change before first pitch.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mlb-stl</t>
        </is>
      </c>
      <c r="AQ127" s="24" t="inlineStr">
        <is>
          <t>St. Louis Cardinals</t>
        </is>
      </c>
      <c r="AR127" s="24" t="inlineStr">
        <is>
          <t>St. Louis Cardinals</t>
        </is>
      </c>
      <c r="AS127" s="24" t="inlineStr">
        <is>
          <t>mlb-tor</t>
        </is>
      </c>
      <c r="AT127" s="24" t="inlineStr">
        <is>
          <t>Toronto Blue Jays</t>
        </is>
      </c>
      <c r="AU127" s="24" t="inlineStr">
        <is>
          <t>Toronto Blue Jays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433578016242b27f9c1c7132cc6b5a2bcc7dd1b0234590c12a944455a88e71bd</t>
        </is>
      </c>
      <c r="BB127" s="24" t="inlineStr">
        <is>
          <t>flat_probability_shrinkage_toward_half</t>
        </is>
      </c>
      <c r="BC127" s="24" t="inlineStr">
        <is>
          <t>measured-edge-totals-v2</t>
        </is>
      </c>
      <c r="BD127" s="24" t="inlineStr">
        <is>
          <t>433578016242b27f9c1c7132cc6b5a2bcc7dd1b0234590c12a944455a88e71bd</t>
        </is>
      </c>
      <c r="BE127" s="24" t="inlineStr">
        <is>
          <t>v3</t>
        </is>
      </c>
      <c r="BF127" s="24" t="inlineStr">
        <is>
          <t>1</t>
        </is>
      </c>
      <c r="BG127" s="24" t="inlineStr">
        <is>
          <t>measured-edge-paired-v1</t>
        </is>
      </c>
      <c r="BH127" s="24" t="inlineStr">
        <is>
          <t>2026-08-02T17:28:55.256054Z</t>
        </is>
      </c>
      <c r="BI127" s="24" t="inlineStr">
        <is>
          <t>["same_event","same_team_same_day","same_league_same_day"]</t>
        </is>
      </c>
      <c r="BJ127" s="25" t="n">
        <v>8.5</v>
      </c>
      <c r="BK127" s="26" t="n">
        <v>-106</v>
      </c>
      <c r="BL127" s="27" t="n">
        <v>1.943396</v>
      </c>
      <c r="BM127" s="28" t="n">
        <v>0.514563</v>
      </c>
      <c r="BN127" s="28" t="n">
        <v>0.5124379999999999</v>
      </c>
      <c r="BO127" s="28" t="n"/>
      <c r="BP127" s="25" t="n"/>
      <c r="BQ127" s="27" t="n">
        <v>1.943396</v>
      </c>
      <c r="BR127" s="28" t="n">
        <v>0.515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1a5947e15dc34e52</t>
        </is>
      </c>
      <c r="B128" s="24" t="inlineStr">
        <is>
          <t>2026-08-02T17:39:31.703776Z</t>
        </is>
      </c>
      <c r="C128" s="24" t="inlineStr">
        <is>
          <t>2026-08-02T13:40:00-0400</t>
        </is>
      </c>
      <c r="D128" s="24" t="inlineStr">
        <is>
          <t>401816362</t>
        </is>
      </c>
      <c r="E128" s="24" t="inlineStr">
        <is>
          <t>MLB</t>
        </is>
      </c>
      <c r="F128" s="24" t="inlineStr">
        <is>
          <t>Arizona Diamondbacks</t>
        </is>
      </c>
      <c r="G128" s="24" t="inlineStr">
        <is>
          <t>Cleveland Guardians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-167</v>
      </c>
      <c r="M128" s="27" t="n">
        <v>1.598802</v>
      </c>
      <c r="N128" s="28" t="n">
        <v>0.625468</v>
      </c>
      <c r="O128" s="28" t="n">
        <v>0.541975</v>
      </c>
      <c r="P128" s="28" t="n"/>
      <c r="Q128" s="28" t="n">
        <v>-0.083493</v>
      </c>
      <c r="R128" s="26" t="n">
        <v>0</v>
      </c>
      <c r="S128" s="29" t="n">
        <v>1</v>
      </c>
      <c r="T128" s="24" t="inlineStr">
        <is>
          <t>mlb-elo-trend-lr-v7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5</v>
      </c>
      <c r="Y128" s="25" t="n"/>
      <c r="Z128" s="26" t="n">
        <v>-167</v>
      </c>
      <c r="AA128" s="28" t="n">
        <v>0.625</v>
      </c>
      <c r="AB128" s="28" t="n">
        <v>-0.000468</v>
      </c>
      <c r="AC128" s="30" t="n">
        <v>0.5988</v>
      </c>
      <c r="AD128" s="24" t="inlineStr">
        <is>
          <t>2026-08-02T23:12:10.448598Z</t>
        </is>
      </c>
      <c r="AE128" s="31" t="inlineStr">
        <is>
          <t>Learned LR call at threshold 0.6242; executable ask 0.6250 (aec-mlb-az-cle-2026-08-02); model edge vs ask -0.0830.</t>
        </is>
      </c>
      <c r="AF128" s="31" t="inlineStr">
        <is>
          <t>Learned model; shadow-qualified via operator override.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3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mlb-ari</t>
        </is>
      </c>
      <c r="AQ128" s="24" t="inlineStr">
        <is>
          <t>Arizona Diamondbacks</t>
        </is>
      </c>
      <c r="AR128" s="24" t="inlineStr">
        <is>
          <t>Arizona Diamondbacks</t>
        </is>
      </c>
      <c r="AS128" s="24" t="inlineStr">
        <is>
          <t>mlb-cle</t>
        </is>
      </c>
      <c r="AT128" s="24" t="inlineStr">
        <is>
          <t>Cleveland Guardians</t>
        </is>
      </c>
      <c r="AU128" s="24" t="inlineStr">
        <is>
          <t>Cleveland Guardians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464eef695bfbbdaa819ec6f5e4c5bd1068ed20b92915fb2677220ae91e20d8b6</t>
        </is>
      </c>
      <c r="BB128" s="24" t="inlineStr">
        <is>
          <t>learned_lr</t>
        </is>
      </c>
      <c r="BC128" s="24" t="inlineStr">
        <is>
          <t>mlb-elo-trend-lr-v7</t>
        </is>
      </c>
      <c r="BD128" s="24" t="inlineStr">
        <is>
          <t>464eef695bfbbdaa819ec6f5e4c5bd1068ed20b92915fb2677220ae91e20d8b6</t>
        </is>
      </c>
      <c r="BE128" s="24" t="inlineStr">
        <is>
          <t>3abf364aadf2cd68</t>
        </is>
      </c>
      <c r="BF128" s="24" t="inlineStr">
        <is>
          <t>1</t>
        </is>
      </c>
      <c r="BG128" s="24" t="inlineStr">
        <is>
          <t>mlb-elo-trend-lr-v7</t>
        </is>
      </c>
      <c r="BH128" s="24" t="inlineStr">
        <is>
          <t>2026-08-02T17:38:04.655437Z</t>
        </is>
      </c>
      <c r="BI128" s="24" t="inlineStr">
        <is>
          <t>["same_event","same_team_same_day","same_league_same_day"]</t>
        </is>
      </c>
      <c r="BJ128" s="25" t="n"/>
      <c r="BK128" s="26" t="n">
        <v>-167</v>
      </c>
      <c r="BL128" s="27" t="n">
        <v>1.598802</v>
      </c>
      <c r="BM128" s="28" t="n">
        <v>0.625468</v>
      </c>
      <c r="BN128" s="28" t="n">
        <v>0.621891</v>
      </c>
      <c r="BO128" s="28" t="n"/>
      <c r="BP128" s="25" t="n"/>
      <c r="BQ128" s="27" t="n">
        <v>1.598802</v>
      </c>
      <c r="BR128" s="28" t="n">
        <v>0.625</v>
      </c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inlineStr">
        <is>
          <t>0.5147263352</t>
        </is>
      </c>
      <c r="CD128" s="24" t="inlineStr">
        <is>
          <t>-1.620545</t>
        </is>
      </c>
      <c r="CE128" s="24" t="inlineStr">
        <is>
          <t>0.966</t>
        </is>
      </c>
      <c r="CF128" s="24" t="inlineStr">
        <is>
          <t>1.012</t>
        </is>
      </c>
      <c r="CG128" s="24" t="inlineStr">
        <is>
          <t>1.0</t>
        </is>
      </c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inlineStr">
        <is>
          <t>0.541975</t>
        </is>
      </c>
      <c r="CS128" s="24" t="inlineStr">
        <is>
          <t>False</t>
        </is>
      </c>
    </row>
    <row r="129" ht="36" customHeight="1">
      <c r="A129" s="24" t="inlineStr">
        <is>
          <t>c40c23fc56004fd9</t>
        </is>
      </c>
      <c r="B129" s="24" t="inlineStr">
        <is>
          <t>2026-08-02T17:39:31.703776Z</t>
        </is>
      </c>
      <c r="C129" s="24" t="inlineStr">
        <is>
          <t>2026-08-02T13:40:00-0400</t>
        </is>
      </c>
      <c r="D129" s="24" t="inlineStr">
        <is>
          <t>401816363</t>
        </is>
      </c>
      <c r="E129" s="24" t="inlineStr">
        <is>
          <t>MLB</t>
        </is>
      </c>
      <c r="F129" s="24" t="inlineStr">
        <is>
          <t>Chicago White Sox</t>
        </is>
      </c>
      <c r="G129" s="24" t="inlineStr">
        <is>
          <t>Tampa Bay Rays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0.565508</v>
      </c>
      <c r="P129" s="28" t="n"/>
      <c r="Q129" s="28" t="n">
        <v>-0.014324</v>
      </c>
      <c r="R129" s="26" t="n">
        <v>14</v>
      </c>
      <c r="S129" s="29" t="n">
        <v>1</v>
      </c>
      <c r="T129" s="24" t="inlineStr">
        <is>
          <t>mlb-elo-trend-lr-v7</t>
        </is>
      </c>
      <c r="U129" s="24" t="inlineStr">
        <is>
          <t>settled</t>
        </is>
      </c>
      <c r="V129" s="24" t="inlineStr">
        <is>
          <t>loss</t>
        </is>
      </c>
      <c r="W129" s="26" t="n">
        <v>9</v>
      </c>
      <c r="X129" s="26" t="n">
        <v>1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2026-08-02T23:12:11.578863Z</t>
        </is>
      </c>
      <c r="AE129" s="31" t="inlineStr">
        <is>
          <t>Learned LR call at threshold 0.6242; executable ask 0.5800 (aec-mlb-cws-tb-2026-08-02); model edge vs ask -0.0145.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3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mlb-cws</t>
        </is>
      </c>
      <c r="AQ129" s="24" t="inlineStr">
        <is>
          <t>Chicago White Sox</t>
        </is>
      </c>
      <c r="AR129" s="24" t="inlineStr">
        <is>
          <t>Chicago White Sox</t>
        </is>
      </c>
      <c r="AS129" s="24" t="inlineStr">
        <is>
          <t>mlb-tb</t>
        </is>
      </c>
      <c r="AT129" s="24" t="inlineStr">
        <is>
          <t>Tampa Bay Rays</t>
        </is>
      </c>
      <c r="AU129" s="24" t="inlineStr">
        <is>
          <t>Tampa Bay Rays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464eef695bfbbdaa819ec6f5e4c5bd1068ed20b92915fb2677220ae91e20d8b6</t>
        </is>
      </c>
      <c r="BB129" s="24" t="inlineStr">
        <is>
          <t>learned_lr</t>
        </is>
      </c>
      <c r="BC129" s="24" t="inlineStr">
        <is>
          <t>mlb-elo-trend-lr-v7</t>
        </is>
      </c>
      <c r="BD129" s="24" t="inlineStr">
        <is>
          <t>464eef695bfbbdaa819ec6f5e4c5bd1068ed20b92915fb2677220ae91e20d8b6</t>
        </is>
      </c>
      <c r="BE129" s="24" t="inlineStr">
        <is>
          <t>adafae297aed5d6c</t>
        </is>
      </c>
      <c r="BF129" s="24" t="inlineStr">
        <is>
          <t>1</t>
        </is>
      </c>
      <c r="BG129" s="24" t="inlineStr">
        <is>
          <t>mlb-elo-trend-lr-v7</t>
        </is>
      </c>
      <c r="BH129" s="24" t="inlineStr">
        <is>
          <t>2026-08-02T17:38:07.328919Z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0.577114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0.5503982216</t>
        </is>
      </c>
      <c r="CD129" s="24" t="inlineStr">
        <is>
          <t>-0.597101</t>
        </is>
      </c>
      <c r="CE129" s="24" t="inlineStr">
        <is>
          <t>0.965</t>
        </is>
      </c>
      <c r="CF129" s="24" t="inlineStr">
        <is>
          <t>1.0</t>
        </is>
      </c>
      <c r="CG129" s="24" t="inlineStr">
        <is>
          <t>0.2</t>
        </is>
      </c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0.565508</t>
        </is>
      </c>
      <c r="CS129" s="24" t="inlineStr">
        <is>
          <t>False</t>
        </is>
      </c>
    </row>
    <row r="130" ht="36" customHeight="1">
      <c r="A130" s="24" t="inlineStr">
        <is>
          <t>5f844f505785403d</t>
        </is>
      </c>
      <c r="B130" s="24" t="inlineStr">
        <is>
          <t>2026-08-02T17:39:31.703776Z</t>
        </is>
      </c>
      <c r="C130" s="24" t="inlineStr">
        <is>
          <t>2026-08-02T13:40:00-0400</t>
        </is>
      </c>
      <c r="D130" s="24" t="inlineStr">
        <is>
          <t>401816364</t>
        </is>
      </c>
      <c r="E130" s="24" t="inlineStr">
        <is>
          <t>MLB</t>
        </is>
      </c>
      <c r="F130" s="24" t="inlineStr">
        <is>
          <t>Miami Marlins</t>
        </is>
      </c>
      <c r="G130" s="24" t="inlineStr">
        <is>
          <t>New York Mets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111</v>
      </c>
      <c r="M130" s="27" t="n">
        <v>2.11</v>
      </c>
      <c r="N130" s="28" t="n">
        <v>0.473934</v>
      </c>
      <c r="O130" s="28" t="n">
        <v>0.519289</v>
      </c>
      <c r="P130" s="28" t="n"/>
      <c r="Q130" s="28" t="n">
        <v>0.045355</v>
      </c>
      <c r="R130" s="26" t="n">
        <v>43</v>
      </c>
      <c r="S130" s="29" t="n">
        <v>1</v>
      </c>
      <c r="T130" s="24" t="inlineStr">
        <is>
          <t>mlb-elo-trend-lr-v7</t>
        </is>
      </c>
      <c r="U130" s="24" t="inlineStr">
        <is>
          <t>settled</t>
        </is>
      </c>
      <c r="V130" s="24" t="inlineStr">
        <is>
          <t>loss</t>
        </is>
      </c>
      <c r="W130" s="26" t="n">
        <v>2</v>
      </c>
      <c r="X130" s="26" t="n">
        <v>0</v>
      </c>
      <c r="Y130" s="25" t="n"/>
      <c r="Z130" s="26" t="n">
        <v>111</v>
      </c>
      <c r="AA130" s="28" t="n">
        <v>0.475</v>
      </c>
      <c r="AB130" s="28" t="n">
        <v>0.001066</v>
      </c>
      <c r="AC130" s="30" t="n">
        <v>-1</v>
      </c>
      <c r="AD130" s="24" t="inlineStr">
        <is>
          <t>2026-08-02T23:12:12.670399Z</t>
        </is>
      </c>
      <c r="AE130" s="31" t="inlineStr">
        <is>
          <t>Learned LR call at threshold 0.6242; executable ask 0.4750 (aec-mlb-mia-nym-2026-08-02); model edge vs ask +0.0443.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3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mlb-mia</t>
        </is>
      </c>
      <c r="AQ130" s="24" t="inlineStr">
        <is>
          <t>Miami Marlins</t>
        </is>
      </c>
      <c r="AR130" s="24" t="inlineStr">
        <is>
          <t>Miami Marlins</t>
        </is>
      </c>
      <c r="AS130" s="24" t="inlineStr">
        <is>
          <t>mlb-nym</t>
        </is>
      </c>
      <c r="AT130" s="24" t="inlineStr">
        <is>
          <t>New York Mets</t>
        </is>
      </c>
      <c r="AU130" s="24" t="inlineStr">
        <is>
          <t>New York Mets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464eef695bfbbdaa819ec6f5e4c5bd1068ed20b92915fb2677220ae91e20d8b6</t>
        </is>
      </c>
      <c r="BB130" s="24" t="inlineStr">
        <is>
          <t>learned_lr</t>
        </is>
      </c>
      <c r="BC130" s="24" t="inlineStr">
        <is>
          <t>mlb-elo-trend-lr-v7</t>
        </is>
      </c>
      <c r="BD130" s="24" t="inlineStr">
        <is>
          <t>464eef695bfbbdaa819ec6f5e4c5bd1068ed20b92915fb2677220ae91e20d8b6</t>
        </is>
      </c>
      <c r="BE130" s="24" t="inlineStr">
        <is>
          <t>4f285de198a5830f</t>
        </is>
      </c>
      <c r="BF130" s="24" t="inlineStr">
        <is>
          <t>1</t>
        </is>
      </c>
      <c r="BG130" s="24" t="inlineStr">
        <is>
          <t>mlb-elo-trend-lr-v7</t>
        </is>
      </c>
      <c r="BH130" s="24" t="inlineStr">
        <is>
          <t>2026-08-02T17:38:06.224274Z</t>
        </is>
      </c>
      <c r="BI130" s="24" t="inlineStr">
        <is>
          <t>["same_event","same_team_same_day","same_league_same_day"]</t>
        </is>
      </c>
      <c r="BJ130" s="25" t="n"/>
      <c r="BK130" s="26" t="n">
        <v>111</v>
      </c>
      <c r="BL130" s="27" t="n">
        <v>2.11</v>
      </c>
      <c r="BM130" s="28" t="n">
        <v>0.473934</v>
      </c>
      <c r="BN130" s="28" t="n">
        <v>0.472637</v>
      </c>
      <c r="BO130" s="28" t="n"/>
      <c r="BP130" s="25" t="n"/>
      <c r="BQ130" s="27" t="n">
        <v>2.11</v>
      </c>
      <c r="BR130" s="28" t="n">
        <v>0.475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0.4938777222</t>
        </is>
      </c>
      <c r="CD130" s="24" t="inlineStr">
        <is>
          <t>-0.998113</t>
        </is>
      </c>
      <c r="CE130" s="24" t="inlineStr">
        <is>
          <t>0.978</t>
        </is>
      </c>
      <c r="CF130" s="24" t="inlineStr">
        <is>
          <t>1.0209</t>
        </is>
      </c>
      <c r="CG130" s="24" t="inlineStr">
        <is>
          <t>0.4</t>
        </is>
      </c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0.519289</t>
        </is>
      </c>
      <c r="CS130" s="24" t="inlineStr">
        <is>
          <t>True</t>
        </is>
      </c>
    </row>
    <row r="131" ht="36" customHeight="1">
      <c r="A131" s="24" t="inlineStr">
        <is>
          <t>f188688d85494d56</t>
        </is>
      </c>
      <c r="B131" s="24" t="inlineStr">
        <is>
          <t>2026-08-02T17:39:31.703776Z</t>
        </is>
      </c>
      <c r="C131" s="24" t="inlineStr">
        <is>
          <t>2026-08-02T13:40:00-0400</t>
        </is>
      </c>
      <c r="D131" s="24" t="inlineStr">
        <is>
          <t>401816366</t>
        </is>
      </c>
      <c r="E131" s="24" t="inlineStr">
        <is>
          <t>MLB</t>
        </is>
      </c>
      <c r="F131" s="24" t="inlineStr">
        <is>
          <t>Pittsburgh Pirates</t>
        </is>
      </c>
      <c r="G131" s="24" t="inlineStr">
        <is>
          <t>Cincinnati Reds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127</v>
      </c>
      <c r="M131" s="27" t="n">
        <v>2.27</v>
      </c>
      <c r="N131" s="28" t="n">
        <v>0.440529</v>
      </c>
      <c r="O131" s="28" t="n">
        <v>0.518519</v>
      </c>
      <c r="P131" s="28" t="n"/>
      <c r="Q131" s="28" t="n">
        <v>0.07799</v>
      </c>
      <c r="R131" s="26" t="n">
        <v>60</v>
      </c>
      <c r="S131" s="29" t="n">
        <v>1</v>
      </c>
      <c r="T131" s="24" t="inlineStr">
        <is>
          <t>mlb-elo-trend-lr-v7</t>
        </is>
      </c>
      <c r="U131" s="24" t="inlineStr">
        <is>
          <t>settled</t>
        </is>
      </c>
      <c r="V131" s="24" t="inlineStr">
        <is>
          <t>loss</t>
        </is>
      </c>
      <c r="W131" s="26" t="n">
        <v>2</v>
      </c>
      <c r="X131" s="26" t="n">
        <v>10</v>
      </c>
      <c r="Y131" s="25" t="n"/>
      <c r="Z131" s="26" t="n">
        <v>127</v>
      </c>
      <c r="AA131" s="28" t="n">
        <v>0.44</v>
      </c>
      <c r="AB131" s="28" t="n">
        <v>-0.000529</v>
      </c>
      <c r="AC131" s="30" t="n">
        <v>-1</v>
      </c>
      <c r="AD131" s="24" t="inlineStr">
        <is>
          <t>2026-08-02T23:12:13.814559Z</t>
        </is>
      </c>
      <c r="AE131" s="31" t="inlineStr">
        <is>
          <t>Learned LR call at threshold 0.6242; executable ask 0.4400 (aec-mlb-pit-cin-2026-08-02); model edge vs ask +0.0785.</t>
        </is>
      </c>
      <c r="AF131" s="31" t="inlineStr">
        <is>
          <t>Learned model; shadow-qualified via operator override.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mlb-pit</t>
        </is>
      </c>
      <c r="AQ131" s="24" t="inlineStr">
        <is>
          <t>Pittsburgh Pirates</t>
        </is>
      </c>
      <c r="AR131" s="24" t="inlineStr">
        <is>
          <t>Pittsburgh Pirates</t>
        </is>
      </c>
      <c r="AS131" s="24" t="inlineStr">
        <is>
          <t>mlb-cin</t>
        </is>
      </c>
      <c r="AT131" s="24" t="inlineStr">
        <is>
          <t>Cincinnati Reds</t>
        </is>
      </c>
      <c r="AU131" s="24" t="inlineStr">
        <is>
          <t>Cincinnati Reds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464eef695bfbbdaa819ec6f5e4c5bd1068ed20b92915fb2677220ae91e20d8b6</t>
        </is>
      </c>
      <c r="BB131" s="24" t="inlineStr">
        <is>
          <t>learned_lr</t>
        </is>
      </c>
      <c r="BC131" s="24" t="inlineStr">
        <is>
          <t>mlb-elo-trend-lr-v7</t>
        </is>
      </c>
      <c r="BD131" s="24" t="inlineStr">
        <is>
          <t>464eef695bfbbdaa819ec6f5e4c5bd1068ed20b92915fb2677220ae91e20d8b6</t>
        </is>
      </c>
      <c r="BE131" s="24" t="inlineStr">
        <is>
          <t>2316e9a0ae11b344</t>
        </is>
      </c>
      <c r="BF131" s="24" t="inlineStr">
        <is>
          <t>1</t>
        </is>
      </c>
      <c r="BG131" s="24" t="inlineStr">
        <is>
          <t>mlb-elo-trend-lr-v7</t>
        </is>
      </c>
      <c r="BH131" s="24" t="inlineStr">
        <is>
          <t>2026-08-02T17:38:05.375042Z</t>
        </is>
      </c>
      <c r="BI131" s="24" t="inlineStr">
        <is>
          <t>["same_event","same_team_same_day","same_league_same_day"]</t>
        </is>
      </c>
      <c r="BJ131" s="25" t="n"/>
      <c r="BK131" s="26" t="n">
        <v>127</v>
      </c>
      <c r="BL131" s="27" t="n">
        <v>2.27</v>
      </c>
      <c r="BM131" s="28" t="n">
        <v>0.440529</v>
      </c>
      <c r="BN131" s="28" t="n">
        <v>0.437811</v>
      </c>
      <c r="BO131" s="28" t="n"/>
      <c r="BP131" s="25" t="n"/>
      <c r="BQ131" s="27" t="n">
        <v>2.27</v>
      </c>
      <c r="BR131" s="28" t="n">
        <v>0.44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0.4891381657</t>
        </is>
      </c>
      <c r="CD131" s="24" t="inlineStr">
        <is>
          <t>0.471311</t>
        </is>
      </c>
      <c r="CE131" s="24" t="inlineStr">
        <is>
          <t>1.036</t>
        </is>
      </c>
      <c r="CF131" s="24" t="inlineStr">
        <is>
          <t>1.0043</t>
        </is>
      </c>
      <c r="CG131" s="24" t="inlineStr">
        <is>
          <t>-0.8</t>
        </is>
      </c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0.518519</t>
        </is>
      </c>
      <c r="CS131" s="24" t="inlineStr">
        <is>
          <t>True</t>
        </is>
      </c>
    </row>
    <row r="132" ht="36" customHeight="1">
      <c r="A132" s="24" t="inlineStr">
        <is>
          <t>af4a64dfc1ca4135</t>
        </is>
      </c>
      <c r="B132" s="24" t="inlineStr">
        <is>
          <t>2026-08-02T18:09:00.555377Z</t>
        </is>
      </c>
      <c r="C132" s="24" t="inlineStr">
        <is>
          <t>2026-08-02T14:10:00-0400</t>
        </is>
      </c>
      <c r="D132" s="24" t="inlineStr">
        <is>
          <t>401816370</t>
        </is>
      </c>
      <c r="E132" s="24" t="inlineStr">
        <is>
          <t>MLB</t>
        </is>
      </c>
      <c r="F132" s="24" t="inlineStr">
        <is>
          <t>Texas Rangers</t>
        </is>
      </c>
      <c r="G132" s="24" t="inlineStr">
        <is>
          <t>Houston Astros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-127</v>
      </c>
      <c r="M132" s="27" t="n">
        <v>1.787402</v>
      </c>
      <c r="N132" s="28" t="n">
        <v>0.5594710000000001</v>
      </c>
      <c r="O132" s="28" t="n">
        <v>0.538187</v>
      </c>
      <c r="P132" s="28" t="n"/>
      <c r="Q132" s="28" t="n">
        <v>-0.021284</v>
      </c>
      <c r="R132" s="26" t="n">
        <v>10</v>
      </c>
      <c r="S132" s="29" t="n">
        <v>1</v>
      </c>
      <c r="T132" s="24" t="inlineStr">
        <is>
          <t>mlb-elo-trend-lr-v7</t>
        </is>
      </c>
      <c r="U132" s="24" t="inlineStr">
        <is>
          <t>settled</t>
        </is>
      </c>
      <c r="V132" s="24" t="inlineStr">
        <is>
          <t>win</t>
        </is>
      </c>
      <c r="W132" s="26" t="n">
        <v>3</v>
      </c>
      <c r="X132" s="26" t="n">
        <v>7</v>
      </c>
      <c r="Y132" s="25" t="n"/>
      <c r="Z132" s="26" t="n">
        <v>-127</v>
      </c>
      <c r="AA132" s="28" t="n">
        <v>0.5600000000000001</v>
      </c>
      <c r="AB132" s="28" t="n">
        <v>0.000529</v>
      </c>
      <c r="AC132" s="30" t="n">
        <v>0.7874</v>
      </c>
      <c r="AD132" s="24" t="inlineStr">
        <is>
          <t>2026-08-02T23:12:20.622465Z</t>
        </is>
      </c>
      <c r="AE132" s="31" t="inlineStr">
        <is>
          <t>Learned LR call at threshold 0.6242; executable ask 0.5600 (aec-mlb-tex-hou-2026-08-02); model edge vs ask -0.0218.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3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mlb-tex</t>
        </is>
      </c>
      <c r="AQ132" s="24" t="inlineStr">
        <is>
          <t>Texas Rangers</t>
        </is>
      </c>
      <c r="AR132" s="24" t="inlineStr">
        <is>
          <t>Texas Rangers</t>
        </is>
      </c>
      <c r="AS132" s="24" t="inlineStr">
        <is>
          <t>mlb-hou</t>
        </is>
      </c>
      <c r="AT132" s="24" t="inlineStr">
        <is>
          <t>Houston Astros</t>
        </is>
      </c>
      <c r="AU132" s="24" t="inlineStr">
        <is>
          <t>Houston Astros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464eef695bfbbdaa819ec6f5e4c5bd1068ed20b92915fb2677220ae91e20d8b6</t>
        </is>
      </c>
      <c r="BB132" s="24" t="inlineStr">
        <is>
          <t>learned_lr</t>
        </is>
      </c>
      <c r="BC132" s="24" t="inlineStr">
        <is>
          <t>mlb-elo-trend-lr-v7</t>
        </is>
      </c>
      <c r="BD132" s="24" t="inlineStr">
        <is>
          <t>464eef695bfbbdaa819ec6f5e4c5bd1068ed20b92915fb2677220ae91e20d8b6</t>
        </is>
      </c>
      <c r="BE132" s="24" t="inlineStr">
        <is>
          <t>2d42dfba300c1668</t>
        </is>
      </c>
      <c r="BF132" s="24" t="inlineStr">
        <is>
          <t>1</t>
        </is>
      </c>
      <c r="BG132" s="24" t="inlineStr">
        <is>
          <t>mlb-elo-trend-lr-v7</t>
        </is>
      </c>
      <c r="BH132" s="24" t="inlineStr">
        <is>
          <t>2026-08-02T18:07:38.400166Z</t>
        </is>
      </c>
      <c r="BI132" s="24" t="inlineStr">
        <is>
          <t>["same_event","same_team_same_day","same_league_same_day"]</t>
        </is>
      </c>
      <c r="BJ132" s="25" t="n"/>
      <c r="BK132" s="26" t="n">
        <v>-127</v>
      </c>
      <c r="BL132" s="27" t="n">
        <v>1.787402</v>
      </c>
      <c r="BM132" s="28" t="n">
        <v>0.5594710000000001</v>
      </c>
      <c r="BN132" s="28" t="n">
        <v>0.557214</v>
      </c>
      <c r="BO132" s="28" t="n"/>
      <c r="BP132" s="25" t="n"/>
      <c r="BQ132" s="27" t="n">
        <v>1.787402</v>
      </c>
      <c r="BR132" s="28" t="n">
        <v>0.5600000000000001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0.5570987062</t>
        </is>
      </c>
      <c r="CD132" s="24" t="inlineStr">
        <is>
          <t>1.976345</t>
        </is>
      </c>
      <c r="CE132" s="24" t="inlineStr">
        <is>
          <t>0.956</t>
        </is>
      </c>
      <c r="CF132" s="24" t="inlineStr">
        <is>
          <t>1.0</t>
        </is>
      </c>
      <c r="CG132" s="24" t="inlineStr">
        <is>
          <t>-1.4</t>
        </is>
      </c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0.538187</t>
        </is>
      </c>
      <c r="CS132" s="24" t="inlineStr">
        <is>
          <t>False</t>
        </is>
      </c>
    </row>
    <row r="133" ht="36" customHeight="1">
      <c r="A133" s="24" t="inlineStr">
        <is>
          <t>952aed5c390d427c</t>
        </is>
      </c>
      <c r="B133" s="24" t="inlineStr">
        <is>
          <t>2026-08-02T18:09:00.555377Z</t>
        </is>
      </c>
      <c r="C133" s="24" t="inlineStr">
        <is>
          <t>2026-08-02T14:20:00-0400</t>
        </is>
      </c>
      <c r="D133" s="24" t="inlineStr">
        <is>
          <t>401816369</t>
        </is>
      </c>
      <c r="E133" s="24" t="inlineStr">
        <is>
          <t>MLB</t>
        </is>
      </c>
      <c r="F133" s="24" t="inlineStr">
        <is>
          <t>New York Yankees</t>
        </is>
      </c>
      <c r="G133" s="24" t="inlineStr">
        <is>
          <t>Chicago Cubs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0.549522</v>
      </c>
      <c r="P133" s="28" t="n"/>
      <c r="Q133" s="28" t="n">
        <v>0.06875299999999999</v>
      </c>
      <c r="R133" s="26" t="n">
        <v>56</v>
      </c>
      <c r="S133" s="29" t="n">
        <v>1</v>
      </c>
      <c r="T133" s="24" t="inlineStr">
        <is>
          <t>mlb-elo-trend-lr-v7</t>
        </is>
      </c>
      <c r="U133" s="24" t="inlineStr">
        <is>
          <t>settled</t>
        </is>
      </c>
      <c r="V133" s="24" t="inlineStr">
        <is>
          <t>loss</t>
        </is>
      </c>
      <c r="W133" s="26" t="n">
        <v>2</v>
      </c>
      <c r="X133" s="26" t="n">
        <v>1</v>
      </c>
      <c r="Y133" s="25" t="n"/>
      <c r="Z133" s="26" t="n">
        <v>108</v>
      </c>
      <c r="AA133" s="28" t="n">
        <v>0.48</v>
      </c>
      <c r="AB133" s="28" t="n">
        <v>-0.000769</v>
      </c>
      <c r="AC133" s="30" t="n">
        <v>-1</v>
      </c>
      <c r="AD133" s="24" t="inlineStr">
        <is>
          <t>2026-08-02T23:12:21.757354Z</t>
        </is>
      </c>
      <c r="AE133" s="31" t="inlineStr">
        <is>
          <t>Learned LR call at threshold 0.6242; executable ask 0.4800 (aec-mlb-nyy-chc-2026-08-02); model edge vs ask +0.0695.</t>
        </is>
      </c>
      <c r="AF133" s="31" t="inlineStr">
        <is>
          <t>Learned model; shadow-qualified via operator override.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model_qualified</t>
        </is>
      </c>
      <c r="AL133" s="26" t="n">
        <v>3</v>
      </c>
      <c r="AM133" s="24" t="inlineStr">
        <is>
          <t>QUALIFIED_SHADOW_CALL</t>
        </is>
      </c>
      <c r="AN133" s="24" t="inlineStr">
        <is>
          <t>CALL</t>
        </is>
      </c>
      <c r="AO133" s="24" t="inlineStr">
        <is>
          <t>QUALIFIED</t>
        </is>
      </c>
      <c r="AP133" s="24" t="inlineStr">
        <is>
          <t>mlb-nyy</t>
        </is>
      </c>
      <c r="AQ133" s="24" t="inlineStr">
        <is>
          <t>New York Yankees</t>
        </is>
      </c>
      <c r="AR133" s="24" t="inlineStr">
        <is>
          <t>New York Yankees</t>
        </is>
      </c>
      <c r="AS133" s="24" t="inlineStr">
        <is>
          <t>mlb-chc</t>
        </is>
      </c>
      <c r="AT133" s="24" t="inlineStr">
        <is>
          <t>Chicago Cubs</t>
        </is>
      </c>
      <c r="AU133" s="24" t="inlineStr">
        <is>
          <t>Chicago Cubs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464eef695bfbbdaa819ec6f5e4c5bd1068ed20b92915fb2677220ae91e20d8b6</t>
        </is>
      </c>
      <c r="BB133" s="24" t="inlineStr">
        <is>
          <t>learned_lr</t>
        </is>
      </c>
      <c r="BC133" s="24" t="inlineStr">
        <is>
          <t>mlb-elo-trend-lr-v7</t>
        </is>
      </c>
      <c r="BD133" s="24" t="inlineStr">
        <is>
          <t>464eef695bfbbdaa819ec6f5e4c5bd1068ed20b92915fb2677220ae91e20d8b6</t>
        </is>
      </c>
      <c r="BE133" s="24" t="inlineStr">
        <is>
          <t>6803e5ed5586b9a1</t>
        </is>
      </c>
      <c r="BF133" s="24" t="inlineStr">
        <is>
          <t>1</t>
        </is>
      </c>
      <c r="BG133" s="24" t="inlineStr">
        <is>
          <t>mlb-elo-trend-lr-v7</t>
        </is>
      </c>
      <c r="BH133" s="24" t="inlineStr">
        <is>
          <t>2026-08-02T18:07:39.064650Z</t>
        </is>
      </c>
      <c r="BI133" s="24" t="inlineStr">
        <is>
          <t>["same_event","same_team_same_day","same_league_same_day"]</t>
        </is>
      </c>
      <c r="BJ133" s="25" t="n"/>
      <c r="BK133" s="26" t="n">
        <v>108</v>
      </c>
      <c r="BL133" s="27" t="n">
        <v>2.08</v>
      </c>
      <c r="BM133" s="28" t="n">
        <v>0.480769</v>
      </c>
      <c r="BN133" s="28" t="n">
        <v>0.477612</v>
      </c>
      <c r="BO133" s="28" t="n"/>
      <c r="BP133" s="25" t="n"/>
      <c r="BQ133" s="27" t="n">
        <v>2.08</v>
      </c>
      <c r="BR133" s="28" t="n">
        <v>0.48</v>
      </c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inlineStr">
        <is>
          <t>0.5479631024</t>
        </is>
      </c>
      <c r="CD133" s="24" t="inlineStr">
        <is>
          <t>0.358864</t>
        </is>
      </c>
      <c r="CE133" s="24" t="inlineStr">
        <is>
          <t>0.986</t>
        </is>
      </c>
      <c r="CF133" s="24" t="inlineStr">
        <is>
          <t>1.0082</t>
        </is>
      </c>
      <c r="CG133" s="24" t="inlineStr">
        <is>
          <t>-0.8</t>
        </is>
      </c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inlineStr">
        <is>
          <t>0.549522</t>
        </is>
      </c>
      <c r="CS133" s="24" t="inlineStr">
        <is>
          <t>True</t>
        </is>
      </c>
    </row>
    <row r="134" ht="36" customHeight="1">
      <c r="A134" s="24" t="inlineStr">
        <is>
          <t>ac87eb76de434213</t>
        </is>
      </c>
      <c r="B134" s="24" t="inlineStr">
        <is>
          <t>2026-08-02T18:09:31.256815Z</t>
        </is>
      </c>
      <c r="C134" s="24" t="inlineStr">
        <is>
          <t>2026-08-02T18:10Z</t>
        </is>
      </c>
      <c r="D134" s="24" t="inlineStr">
        <is>
          <t>401816370</t>
        </is>
      </c>
      <c r="E134" s="24" t="inlineStr">
        <is>
          <t>MLB</t>
        </is>
      </c>
      <c r="F134" s="24" t="inlineStr">
        <is>
          <t>Texas Rangers</t>
        </is>
      </c>
      <c r="G134" s="24" t="inlineStr">
        <is>
          <t>Houston Astros</t>
        </is>
      </c>
      <c r="H134" s="24" t="inlineStr">
        <is>
          <t>spread</t>
        </is>
      </c>
      <c r="I134" s="24" t="inlineStr">
        <is>
          <t>away</t>
        </is>
      </c>
      <c r="J134" s="25" t="n">
        <v>1.5</v>
      </c>
      <c r="K134" s="24" t="inlineStr">
        <is>
          <t>polymarket_us</t>
        </is>
      </c>
      <c r="L134" s="26" t="n">
        <v>-167</v>
      </c>
      <c r="M134" s="27" t="n">
        <v>1.598802</v>
      </c>
      <c r="N134" s="28" t="n">
        <v>0.625468</v>
      </c>
      <c r="O134" s="28" t="n">
        <v>0.580882</v>
      </c>
      <c r="P134" s="28" t="n">
        <v>0.042131</v>
      </c>
      <c r="Q134" s="28" t="n">
        <v>-0.044586</v>
      </c>
      <c r="R134" s="26" t="n">
        <v>4</v>
      </c>
      <c r="S134" s="29" t="n">
        <v>1.25</v>
      </c>
      <c r="T134" s="24" t="inlineStr">
        <is>
          <t>measured-edge-margin-v2</t>
        </is>
      </c>
      <c r="U134" s="24" t="inlineStr">
        <is>
          <t>settled</t>
        </is>
      </c>
      <c r="V134" s="24" t="inlineStr">
        <is>
          <t>loss</t>
        </is>
      </c>
      <c r="W134" s="26" t="n">
        <v>3</v>
      </c>
      <c r="X134" s="26" t="n">
        <v>7</v>
      </c>
      <c r="Y134" s="25" t="n">
        <v>1.5</v>
      </c>
      <c r="Z134" s="26" t="n">
        <v>-167</v>
      </c>
      <c r="AA134" s="28" t="n">
        <v>0.625</v>
      </c>
      <c r="AB134" s="28" t="n">
        <v>-0.000468</v>
      </c>
      <c r="AC134" s="30" t="n">
        <v>-1.25</v>
      </c>
      <c r="AD134" s="24" t="inlineStr">
        <is>
          <t>2026-08-02T23:12:22.851902Z</t>
        </is>
      </c>
      <c r="AE134" s="31" t="inlineStr">
        <is>
          <t>Measured Edge Margin: Trend Engine projected 4.10-4.64; raw selected-side p=0.6232, calibrated p=0.5809.</t>
        </is>
      </c>
      <c r="AF134" s="31" t="inlineStr">
        <is>
          <t>Research-only; lineup, bullpen, park, weather, xFIP, and wRC+ may be neutral fallbacks; market availability and BBO depth may change before first pitch.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3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mlb-tex</t>
        </is>
      </c>
      <c r="AQ134" s="24" t="inlineStr">
        <is>
          <t>Texas Rangers</t>
        </is>
      </c>
      <c r="AR134" s="24" t="inlineStr">
        <is>
          <t>Texas Rangers</t>
        </is>
      </c>
      <c r="AS134" s="24" t="inlineStr">
        <is>
          <t>mlb-hou</t>
        </is>
      </c>
      <c r="AT134" s="24" t="inlineStr">
        <is>
          <t>Houston Astros</t>
        </is>
      </c>
      <c r="AU134" s="24" t="inlineStr">
        <is>
          <t>Houston Astros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8360b122264b796b0fb193095cfe4506c7e064e5f3f8c0a659aec41efd08dd25</t>
        </is>
      </c>
      <c r="BB134" s="24" t="inlineStr">
        <is>
          <t>flat_probability_shrinkage_toward_half</t>
        </is>
      </c>
      <c r="BC134" s="24" t="inlineStr">
        <is>
          <t>measured-edge-margin-v2</t>
        </is>
      </c>
      <c r="BD134" s="24" t="inlineStr">
        <is>
          <t>8360b122264b796b0fb193095cfe4506c7e064e5f3f8c0a659aec41efd08dd25</t>
        </is>
      </c>
      <c r="BE134" s="24" t="inlineStr">
        <is>
          <t>v3</t>
        </is>
      </c>
      <c r="BF134" s="24" t="inlineStr">
        <is>
          <t>1</t>
        </is>
      </c>
      <c r="BG134" s="24" t="inlineStr">
        <is>
          <t>measured-edge-paired-v1</t>
        </is>
      </c>
      <c r="BH134" s="24" t="inlineStr">
        <is>
          <t>2026-08-02T18:09:31.256815Z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-167</v>
      </c>
      <c r="BL134" s="27" t="n">
        <v>1.598802</v>
      </c>
      <c r="BM134" s="28" t="n">
        <v>0.625468</v>
      </c>
      <c r="BN134" s="28" t="n">
        <v>0.621891</v>
      </c>
      <c r="BO134" s="28" t="n"/>
      <c r="BP134" s="25" t="n"/>
      <c r="BQ134" s="27" t="n">
        <v>1.598802</v>
      </c>
      <c r="BR134" s="28" t="n">
        <v>0.625</v>
      </c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cb4e24c3081d483a</t>
        </is>
      </c>
      <c r="B135" s="24" t="inlineStr">
        <is>
          <t>2026-08-02T18:09:31.256815Z</t>
        </is>
      </c>
      <c r="C135" s="24" t="inlineStr">
        <is>
          <t>2026-08-02T18:10Z</t>
        </is>
      </c>
      <c r="D135" s="24" t="inlineStr">
        <is>
          <t>401816370</t>
        </is>
      </c>
      <c r="E135" s="24" t="inlineStr">
        <is>
          <t>MLB</t>
        </is>
      </c>
      <c r="F135" s="24" t="inlineStr">
        <is>
          <t>Texas Rangers</t>
        </is>
      </c>
      <c r="G135" s="24" t="inlineStr">
        <is>
          <t>Houston Astros</t>
        </is>
      </c>
      <c r="H135" s="24" t="inlineStr">
        <is>
          <t>total</t>
        </is>
      </c>
      <c r="I135" s="24" t="inlineStr">
        <is>
          <t>under</t>
        </is>
      </c>
      <c r="J135" s="25" t="n">
        <v>8.5</v>
      </c>
      <c r="K135" s="24" t="inlineStr">
        <is>
          <t>polymarket_us</t>
        </is>
      </c>
      <c r="L135" s="26" t="n">
        <v>-102</v>
      </c>
      <c r="M135" s="27" t="n">
        <v>1.980392</v>
      </c>
      <c r="N135" s="28" t="n">
        <v>0.50495</v>
      </c>
      <c r="O135" s="28" t="n">
        <v>0.511521</v>
      </c>
      <c r="P135" s="28" t="n">
        <v>0.042131</v>
      </c>
      <c r="Q135" s="28" t="n">
        <v>0.006571</v>
      </c>
      <c r="R135" s="26" t="n">
        <v>29</v>
      </c>
      <c r="S135" s="29" t="n">
        <v>1</v>
      </c>
      <c r="T135" s="24" t="inlineStr">
        <is>
          <t>measured-edge-totals-v2</t>
        </is>
      </c>
      <c r="U135" s="24" t="inlineStr">
        <is>
          <t>settled</t>
        </is>
      </c>
      <c r="V135" s="24" t="inlineStr">
        <is>
          <t>loss</t>
        </is>
      </c>
      <c r="W135" s="26" t="n">
        <v>3</v>
      </c>
      <c r="X135" s="26" t="n">
        <v>7</v>
      </c>
      <c r="Y135" s="25" t="n">
        <v>8.5</v>
      </c>
      <c r="Z135" s="26" t="n">
        <v>-102</v>
      </c>
      <c r="AA135" s="28" t="n">
        <v>0.505</v>
      </c>
      <c r="AB135" s="28" t="n">
        <v>5e-05</v>
      </c>
      <c r="AC135" s="30" t="n">
        <v>-1</v>
      </c>
      <c r="AD135" s="24" t="inlineStr">
        <is>
          <t>2026-08-02T23:12:23.986126Z</t>
        </is>
      </c>
      <c r="AE135" s="31" t="inlineStr">
        <is>
          <t>Measured Edge Totals: Trend Engine projected 4.10-4.64; raw selected-side p=0.5104, calibrated p=0.5115.</t>
        </is>
      </c>
      <c r="AF135" s="31" t="inlineStr">
        <is>
          <t>Research-only; lineup, bullpen, park, weather, xFIP, and wRC+ may be neutral fallbacks; market availability and BBO depth may change before first pitch.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3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mlb-tex</t>
        </is>
      </c>
      <c r="AQ135" s="24" t="inlineStr">
        <is>
          <t>Texas Rangers</t>
        </is>
      </c>
      <c r="AR135" s="24" t="inlineStr">
        <is>
          <t>Texas Rangers</t>
        </is>
      </c>
      <c r="AS135" s="24" t="inlineStr">
        <is>
          <t>mlb-hou</t>
        </is>
      </c>
      <c r="AT135" s="24" t="inlineStr">
        <is>
          <t>Houston Astros</t>
        </is>
      </c>
      <c r="AU135" s="24" t="inlineStr">
        <is>
          <t>Houston Astros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433578016242b27f9c1c7132cc6b5a2bcc7dd1b0234590c12a944455a88e71bd</t>
        </is>
      </c>
      <c r="BB135" s="24" t="inlineStr">
        <is>
          <t>flat_probability_shrinkage_toward_half</t>
        </is>
      </c>
      <c r="BC135" s="24" t="inlineStr">
        <is>
          <t>measured-edge-totals-v2</t>
        </is>
      </c>
      <c r="BD135" s="24" t="inlineStr">
        <is>
          <t>433578016242b27f9c1c7132cc6b5a2bcc7dd1b0234590c12a944455a88e71bd</t>
        </is>
      </c>
      <c r="BE135" s="24" t="inlineStr">
        <is>
          <t>v3</t>
        </is>
      </c>
      <c r="BF135" s="24" t="inlineStr">
        <is>
          <t>1</t>
        </is>
      </c>
      <c r="BG135" s="24" t="inlineStr">
        <is>
          <t>measured-edge-paired-v1</t>
        </is>
      </c>
      <c r="BH135" s="24" t="inlineStr">
        <is>
          <t>2026-08-02T18:09:31.256815Z</t>
        </is>
      </c>
      <c r="BI135" s="24" t="inlineStr">
        <is>
          <t>["same_event","same_team_same_day","same_league_same_day"]</t>
        </is>
      </c>
      <c r="BJ135" s="25" t="n">
        <v>8.5</v>
      </c>
      <c r="BK135" s="26" t="n">
        <v>-102</v>
      </c>
      <c r="BL135" s="27" t="n">
        <v>1.980392</v>
      </c>
      <c r="BM135" s="28" t="n">
        <v>0.50495</v>
      </c>
      <c r="BN135" s="28" t="n">
        <v>0.502488</v>
      </c>
      <c r="BO135" s="28" t="n"/>
      <c r="BP135" s="25" t="n"/>
      <c r="BQ135" s="27" t="n">
        <v>1.980392</v>
      </c>
      <c r="BR135" s="28" t="n">
        <v>0.505</v>
      </c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</row>
    <row r="136" ht="36" customHeight="1">
      <c r="A136" s="24" t="inlineStr">
        <is>
          <t>ac690661b6a74444</t>
        </is>
      </c>
      <c r="B136" s="24" t="inlineStr">
        <is>
          <t>2026-08-02T18:09:31.256815Z</t>
        </is>
      </c>
      <c r="C136" s="24" t="inlineStr">
        <is>
          <t>2026-08-02T18:20Z</t>
        </is>
      </c>
      <c r="D136" s="24" t="inlineStr">
        <is>
          <t>401816369</t>
        </is>
      </c>
      <c r="E136" s="24" t="inlineStr">
        <is>
          <t>MLB</t>
        </is>
      </c>
      <c r="F136" s="24" t="inlineStr">
        <is>
          <t>New York Yankees</t>
        </is>
      </c>
      <c r="G136" s="24" t="inlineStr">
        <is>
          <t>Chicago Cubs</t>
        </is>
      </c>
      <c r="H136" s="24" t="inlineStr">
        <is>
          <t>spread</t>
        </is>
      </c>
      <c r="I136" s="24" t="inlineStr">
        <is>
          <t>home</t>
        </is>
      </c>
      <c r="J136" s="25" t="n">
        <v>1.5</v>
      </c>
      <c r="K136" s="24" t="inlineStr">
        <is>
          <t>polymarket_us</t>
        </is>
      </c>
      <c r="L136" s="26" t="n">
        <v>-167</v>
      </c>
      <c r="M136" s="27" t="n">
        <v>1.598802</v>
      </c>
      <c r="N136" s="28" t="n">
        <v>0.625468</v>
      </c>
      <c r="O136" s="28" t="n">
        <v>0.605256</v>
      </c>
      <c r="P136" s="28" t="n">
        <v>0.042131</v>
      </c>
      <c r="Q136" s="28" t="n">
        <v>-0.020212</v>
      </c>
      <c r="R136" s="26" t="n">
        <v>16</v>
      </c>
      <c r="S136" s="29" t="n">
        <v>1.5</v>
      </c>
      <c r="T136" s="24" t="inlineStr">
        <is>
          <t>measured-edge-margin-v2</t>
        </is>
      </c>
      <c r="U136" s="24" t="inlineStr">
        <is>
          <t>settled</t>
        </is>
      </c>
      <c r="V136" s="24" t="inlineStr">
        <is>
          <t>win</t>
        </is>
      </c>
      <c r="W136" s="26" t="n">
        <v>2</v>
      </c>
      <c r="X136" s="26" t="n">
        <v>1</v>
      </c>
      <c r="Y136" s="25" t="n">
        <v>1.5</v>
      </c>
      <c r="Z136" s="26" t="n">
        <v>-167</v>
      </c>
      <c r="AA136" s="28" t="n">
        <v>0.625</v>
      </c>
      <c r="AB136" s="28" t="n">
        <v>-0.000468</v>
      </c>
      <c r="AC136" s="30" t="n">
        <v>0.8982</v>
      </c>
      <c r="AD136" s="24" t="inlineStr">
        <is>
          <t>2026-08-02T23:12:25.091893Z</t>
        </is>
      </c>
      <c r="AE136" s="31" t="inlineStr">
        <is>
          <t>Measured Edge Margin: Trend Engine projected 4.57-4.52; raw selected-side p=0.6603, calibrated p=0.6053.</t>
        </is>
      </c>
      <c r="AF136" s="31" t="inlineStr">
        <is>
          <t>Research-only; lineup, bullpen, park, weather, xFIP, and wRC+ may be neutral fallbacks; market availability and BBO depth may change before first pitch.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3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mlb-nyy</t>
        </is>
      </c>
      <c r="AQ136" s="24" t="inlineStr">
        <is>
          <t>New York Yankees</t>
        </is>
      </c>
      <c r="AR136" s="24" t="inlineStr">
        <is>
          <t>New York Yankees</t>
        </is>
      </c>
      <c r="AS136" s="24" t="inlineStr">
        <is>
          <t>mlb-chc</t>
        </is>
      </c>
      <c r="AT136" s="24" t="inlineStr">
        <is>
          <t>Chicago Cubs</t>
        </is>
      </c>
      <c r="AU136" s="24" t="inlineStr">
        <is>
          <t>Chicago Cubs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8360b122264b796b0fb193095cfe4506c7e064e5f3f8c0a659aec41efd08dd25</t>
        </is>
      </c>
      <c r="BB136" s="24" t="inlineStr">
        <is>
          <t>flat_probability_shrinkage_toward_half</t>
        </is>
      </c>
      <c r="BC136" s="24" t="inlineStr">
        <is>
          <t>measured-edge-margin-v2</t>
        </is>
      </c>
      <c r="BD136" s="24" t="inlineStr">
        <is>
          <t>8360b122264b796b0fb193095cfe4506c7e064e5f3f8c0a659aec41efd08dd25</t>
        </is>
      </c>
      <c r="BE136" s="24" t="inlineStr">
        <is>
          <t>v3</t>
        </is>
      </c>
      <c r="BF136" s="24" t="inlineStr">
        <is>
          <t>1</t>
        </is>
      </c>
      <c r="BG136" s="24" t="inlineStr">
        <is>
          <t>measured-edge-paired-v1</t>
        </is>
      </c>
      <c r="BH136" s="24" t="inlineStr">
        <is>
          <t>2026-08-02T18:09:31.256815Z</t>
        </is>
      </c>
      <c r="BI136" s="24" t="inlineStr">
        <is>
          <t>["same_event","same_team_same_day","same_league_same_day"]</t>
        </is>
      </c>
      <c r="BJ136" s="25" t="n">
        <v>1.5</v>
      </c>
      <c r="BK136" s="26" t="n">
        <v>-167</v>
      </c>
      <c r="BL136" s="27" t="n">
        <v>1.598802</v>
      </c>
      <c r="BM136" s="28" t="n">
        <v>0.625468</v>
      </c>
      <c r="BN136" s="28" t="n">
        <v>0.621891</v>
      </c>
      <c r="BO136" s="28" t="n"/>
      <c r="BP136" s="25" t="n"/>
      <c r="BQ136" s="27" t="n">
        <v>1.598802</v>
      </c>
      <c r="BR136" s="28" t="n">
        <v>0.625</v>
      </c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ce34ac3954c145e3</t>
        </is>
      </c>
      <c r="B137" s="24" t="inlineStr">
        <is>
          <t>2026-08-02T18:09:31.256815Z</t>
        </is>
      </c>
      <c r="C137" s="24" t="inlineStr">
        <is>
          <t>2026-08-02T18:20Z</t>
        </is>
      </c>
      <c r="D137" s="24" t="inlineStr">
        <is>
          <t>401816369</t>
        </is>
      </c>
      <c r="E137" s="24" t="inlineStr">
        <is>
          <t>MLB</t>
        </is>
      </c>
      <c r="F137" s="24" t="inlineStr">
        <is>
          <t>New York Yankees</t>
        </is>
      </c>
      <c r="G137" s="24" t="inlineStr">
        <is>
          <t>Chicago Cubs</t>
        </is>
      </c>
      <c r="H137" s="24" t="inlineStr">
        <is>
          <t>total</t>
        </is>
      </c>
      <c r="I137" s="24" t="inlineStr">
        <is>
          <t>over</t>
        </is>
      </c>
      <c r="J137" s="25" t="n">
        <v>6.5</v>
      </c>
      <c r="K137" s="24" t="inlineStr">
        <is>
          <t>polymarket_us</t>
        </is>
      </c>
      <c r="L137" s="26" t="n">
        <v>-113</v>
      </c>
      <c r="M137" s="27" t="n">
        <v>1.884956</v>
      </c>
      <c r="N137" s="28" t="n">
        <v>0.530516</v>
      </c>
      <c r="O137" s="28" t="n">
        <v>0.584337</v>
      </c>
      <c r="P137" s="28" t="n">
        <v>0.042131</v>
      </c>
      <c r="Q137" s="28" t="n">
        <v>0.053821</v>
      </c>
      <c r="R137" s="26" t="n">
        <v>53</v>
      </c>
      <c r="S137" s="29" t="n">
        <v>1.25</v>
      </c>
      <c r="T137" s="24" t="inlineStr">
        <is>
          <t>measured-edge-totals-v2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1</v>
      </c>
      <c r="Y137" s="25" t="n">
        <v>6.5</v>
      </c>
      <c r="Z137" s="26" t="n">
        <v>-113</v>
      </c>
      <c r="AA137" s="28" t="n">
        <v>0.53</v>
      </c>
      <c r="AB137" s="28" t="n">
        <v>-0.000516</v>
      </c>
      <c r="AC137" s="30" t="n">
        <v>-1.25</v>
      </c>
      <c r="AD137" s="24" t="inlineStr">
        <is>
          <t>2026-08-02T23:12:26.233540Z</t>
        </is>
      </c>
      <c r="AE137" s="31" t="inlineStr">
        <is>
          <t>Measured Edge Totals: Trend Engine projected 4.57-4.52; raw selected-side p=0.7236, calibrated p=0.5843.</t>
        </is>
      </c>
      <c r="AF137" s="31" t="inlineStr">
        <is>
          <t>Research-only; lineup, bullpen, park, weather, xFIP, and wRC+ may be neutral fallbacks; market availability and BBO depth may change before first pitch.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3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mlb-nyy</t>
        </is>
      </c>
      <c r="AQ137" s="24" t="inlineStr">
        <is>
          <t>New York Yankees</t>
        </is>
      </c>
      <c r="AR137" s="24" t="inlineStr">
        <is>
          <t>New York Yankees</t>
        </is>
      </c>
      <c r="AS137" s="24" t="inlineStr">
        <is>
          <t>mlb-chc</t>
        </is>
      </c>
      <c r="AT137" s="24" t="inlineStr">
        <is>
          <t>Chicago Cubs</t>
        </is>
      </c>
      <c r="AU137" s="24" t="inlineStr">
        <is>
          <t>Chicago Cubs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433578016242b27f9c1c7132cc6b5a2bcc7dd1b0234590c12a944455a88e71bd</t>
        </is>
      </c>
      <c r="BB137" s="24" t="inlineStr">
        <is>
          <t>flat_probability_shrinkage_toward_half</t>
        </is>
      </c>
      <c r="BC137" s="24" t="inlineStr">
        <is>
          <t>measured-edge-totals-v2</t>
        </is>
      </c>
      <c r="BD137" s="24" t="inlineStr">
        <is>
          <t>433578016242b27f9c1c7132cc6b5a2bcc7dd1b0234590c12a944455a88e71bd</t>
        </is>
      </c>
      <c r="BE137" s="24" t="inlineStr">
        <is>
          <t>v3</t>
        </is>
      </c>
      <c r="BF137" s="24" t="inlineStr">
        <is>
          <t>1</t>
        </is>
      </c>
      <c r="BG137" s="24" t="inlineStr">
        <is>
          <t>measured-edge-paired-v1</t>
        </is>
      </c>
      <c r="BH137" s="24" t="inlineStr">
        <is>
          <t>2026-08-02T18:09:31.256815Z</t>
        </is>
      </c>
      <c r="BI137" s="24" t="inlineStr">
        <is>
          <t>["same_event","same_team_same_day","same_league_same_day"]</t>
        </is>
      </c>
      <c r="BJ137" s="25" t="n">
        <v>6.5</v>
      </c>
      <c r="BK137" s="26" t="n">
        <v>-113</v>
      </c>
      <c r="BL137" s="27" t="n">
        <v>1.884956</v>
      </c>
      <c r="BM137" s="28" t="n">
        <v>0.530516</v>
      </c>
      <c r="BN137" s="28" t="n">
        <v>0.527363</v>
      </c>
      <c r="BO137" s="28" t="n"/>
      <c r="BP137" s="25" t="n"/>
      <c r="BQ137" s="27" t="n">
        <v>1.884956</v>
      </c>
      <c r="BR137" s="28" t="n">
        <v>0.53</v>
      </c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b11eddceb4fd45a8</t>
        </is>
      </c>
      <c r="B138" s="24" t="inlineStr">
        <is>
          <t>2026-08-02T18:46:13.612768Z</t>
        </is>
      </c>
      <c r="C138" s="24" t="inlineStr">
        <is>
          <t>2026-08-02T15:10:00-0400</t>
        </is>
      </c>
      <c r="D138" s="24" t="inlineStr">
        <is>
          <t>401816371</t>
        </is>
      </c>
      <c r="E138" s="24" t="inlineStr">
        <is>
          <t>MLB</t>
        </is>
      </c>
      <c r="F138" s="24" t="inlineStr">
        <is>
          <t>Kansas City Royals</t>
        </is>
      </c>
      <c r="G138" s="24" t="inlineStr">
        <is>
          <t>Colorado Rockies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polymarket_us</t>
        </is>
      </c>
      <c r="L138" s="26" t="n">
        <v>115</v>
      </c>
      <c r="M138" s="27" t="n">
        <v>2.15</v>
      </c>
      <c r="N138" s="28" t="n">
        <v>0.465116</v>
      </c>
      <c r="O138" s="28" t="n">
        <v>0.60003</v>
      </c>
      <c r="P138" s="28" t="n"/>
      <c r="Q138" s="28" t="n">
        <v>0.134914</v>
      </c>
      <c r="R138" s="26" t="n">
        <v>89</v>
      </c>
      <c r="S138" s="29" t="n">
        <v>1.25</v>
      </c>
      <c r="T138" s="24" t="inlineStr">
        <is>
          <t>mlb-elo-trend-lr-v7</t>
        </is>
      </c>
      <c r="U138" s="24" t="inlineStr">
        <is>
          <t>settled</t>
        </is>
      </c>
      <c r="V138" s="24" t="inlineStr">
        <is>
          <t>loss</t>
        </is>
      </c>
      <c r="W138" s="26" t="n">
        <v>1</v>
      </c>
      <c r="X138" s="26" t="n">
        <v>8</v>
      </c>
      <c r="Y138" s="25" t="n"/>
      <c r="Z138" s="26" t="n">
        <v>115</v>
      </c>
      <c r="AA138" s="28" t="n">
        <v>0.465</v>
      </c>
      <c r="AB138" s="28" t="n">
        <v>-0.000116</v>
      </c>
      <c r="AC138" s="30" t="n">
        <v>-1.25</v>
      </c>
      <c r="AD138" s="24" t="inlineStr">
        <is>
          <t>2026-08-02T23:12:28.579132Z</t>
        </is>
      </c>
      <c r="AE138" s="31" t="inlineStr">
        <is>
          <t>Learned LR call at threshold 0.6242; executable ask 0.4650 (aec-mlb-kc-col-2026-08-02); model edge vs ask +0.1350.</t>
        </is>
      </c>
      <c r="AF138" s="31" t="inlineStr">
        <is>
          <t>Learned model; shadow-qualified via operator override.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3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mlb-kc</t>
        </is>
      </c>
      <c r="AQ138" s="24" t="inlineStr">
        <is>
          <t>Kansas City Royals</t>
        </is>
      </c>
      <c r="AR138" s="24" t="inlineStr">
        <is>
          <t>Kansas City Royals</t>
        </is>
      </c>
      <c r="AS138" s="24" t="inlineStr">
        <is>
          <t>mlb-col</t>
        </is>
      </c>
      <c r="AT138" s="24" t="inlineStr">
        <is>
          <t>Colorado Rockies</t>
        </is>
      </c>
      <c r="AU138" s="24" t="inlineStr">
        <is>
          <t>Colorado Rockies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464eef695bfbbdaa819ec6f5e4c5bd1068ed20b92915fb2677220ae91e20d8b6</t>
        </is>
      </c>
      <c r="BB138" s="24" t="inlineStr">
        <is>
          <t>learned_lr</t>
        </is>
      </c>
      <c r="BC138" s="24" t="inlineStr">
        <is>
          <t>mlb-elo-trend-lr-v7</t>
        </is>
      </c>
      <c r="BD138" s="24" t="inlineStr">
        <is>
          <t>464eef695bfbbdaa819ec6f5e4c5bd1068ed20b92915fb2677220ae91e20d8b6</t>
        </is>
      </c>
      <c r="BE138" s="24" t="inlineStr">
        <is>
          <t>07cce04c03d59f93</t>
        </is>
      </c>
      <c r="BF138" s="24" t="inlineStr">
        <is>
          <t>1</t>
        </is>
      </c>
      <c r="BG138" s="24" t="inlineStr">
        <is>
          <t>mlb-elo-trend-lr-v7</t>
        </is>
      </c>
      <c r="BH138" s="24" t="inlineStr">
        <is>
          <t>2026-08-02T18:44:40.063102Z</t>
        </is>
      </c>
      <c r="BI138" s="24" t="inlineStr">
        <is>
          <t>["same_event","same_team_same_day","same_league_same_day"]</t>
        </is>
      </c>
      <c r="BJ138" s="25" t="n"/>
      <c r="BK138" s="26" t="n">
        <v>115</v>
      </c>
      <c r="BL138" s="27" t="n">
        <v>2.15</v>
      </c>
      <c r="BM138" s="28" t="n">
        <v>0.465116</v>
      </c>
      <c r="BN138" s="28" t="n">
        <v>0.462687</v>
      </c>
      <c r="BO138" s="28" t="n"/>
      <c r="BP138" s="25" t="n"/>
      <c r="BQ138" s="27" t="n">
        <v>2.15</v>
      </c>
      <c r="BR138" s="28" t="n">
        <v>0.465</v>
      </c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inlineStr">
        <is>
          <t>0.4463973804</t>
        </is>
      </c>
      <c r="CD138" s="24" t="inlineStr">
        <is>
          <t>1.55286</t>
        </is>
      </c>
      <c r="CE138" s="24" t="inlineStr">
        <is>
          <t>1.193</t>
        </is>
      </c>
      <c r="CF138" s="24" t="inlineStr">
        <is>
          <t>1.0309</t>
        </is>
      </c>
      <c r="CG138" s="24" t="inlineStr">
        <is>
          <t>1.4</t>
        </is>
      </c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inlineStr">
        <is>
          <t>0.60003</t>
        </is>
      </c>
      <c r="CS138" s="24" t="inlineStr">
        <is>
          <t>True</t>
        </is>
      </c>
    </row>
    <row r="139" ht="36" customHeight="1">
      <c r="A139" s="24" t="inlineStr">
        <is>
          <t>7cef1116f3f84429</t>
        </is>
      </c>
      <c r="B139" s="24" t="inlineStr">
        <is>
          <t>2026-08-02T18:46:13.612768Z</t>
        </is>
      </c>
      <c r="C139" s="24" t="inlineStr">
        <is>
          <t>2026-08-02T15:15:00-0400</t>
        </is>
      </c>
      <c r="D139" s="24" t="inlineStr">
        <is>
          <t>401816374</t>
        </is>
      </c>
      <c r="E139" s="24" t="inlineStr">
        <is>
          <t>MLB</t>
        </is>
      </c>
      <c r="F139" s="24" t="inlineStr">
        <is>
          <t>Milwaukee Brewers</t>
        </is>
      </c>
      <c r="G139" s="24" t="inlineStr">
        <is>
          <t>Los Angeles Angels</t>
        </is>
      </c>
      <c r="H139" s="24" t="inlineStr">
        <is>
          <t>moneyline</t>
        </is>
      </c>
      <c r="I139" s="24" t="inlineStr">
        <is>
          <t>away</t>
        </is>
      </c>
      <c r="J139" s="25" t="n"/>
      <c r="K139" s="24" t="inlineStr">
        <is>
          <t>polymarket_us</t>
        </is>
      </c>
      <c r="L139" s="26" t="n">
        <v>-208</v>
      </c>
      <c r="M139" s="27" t="n">
        <v>1.480769</v>
      </c>
      <c r="N139" s="28" t="n">
        <v>0.675325</v>
      </c>
      <c r="O139" s="28" t="n">
        <v>0.625602</v>
      </c>
      <c r="P139" s="28" t="n"/>
      <c r="Q139" s="28" t="n">
        <v>-0.049723</v>
      </c>
      <c r="R139" s="26" t="n">
        <v>0</v>
      </c>
      <c r="S139" s="29" t="n">
        <v>1.5</v>
      </c>
      <c r="T139" s="24" t="inlineStr">
        <is>
          <t>mlb-elo-trend-lr-v7</t>
        </is>
      </c>
      <c r="U139" s="24" t="inlineStr">
        <is>
          <t>settled</t>
        </is>
      </c>
      <c r="V139" s="24" t="inlineStr">
        <is>
          <t>loss</t>
        </is>
      </c>
      <c r="W139" s="26" t="n">
        <v>0</v>
      </c>
      <c r="X139" s="26" t="n">
        <v>3</v>
      </c>
      <c r="Y139" s="25" t="n"/>
      <c r="Z139" s="26" t="n">
        <v>-208</v>
      </c>
      <c r="AA139" s="28" t="n">
        <v>0.675</v>
      </c>
      <c r="AB139" s="28" t="n">
        <v>-0.000325</v>
      </c>
      <c r="AC139" s="30" t="n">
        <v>-1.5</v>
      </c>
      <c r="AD139" s="24" t="inlineStr">
        <is>
          <t>2026-08-02T23:12:29.672621Z</t>
        </is>
      </c>
      <c r="AE139" s="31" t="inlineStr">
        <is>
          <t>Learned LR call at threshold 0.6242; executable ask 0.6750 (aec-mlb-mil-laa-2026-08-02); model edge vs ask -0.0494.</t>
        </is>
      </c>
      <c r="AF139" s="31" t="inlineStr">
        <is>
          <t>Learned model; shadow-qualified via operator override.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3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mlb-mil</t>
        </is>
      </c>
      <c r="AQ139" s="24" t="inlineStr">
        <is>
          <t>Milwaukee Brewers</t>
        </is>
      </c>
      <c r="AR139" s="24" t="inlineStr">
        <is>
          <t>Milwaukee Brewers</t>
        </is>
      </c>
      <c r="AS139" s="24" t="inlineStr">
        <is>
          <t>mlb-laa</t>
        </is>
      </c>
      <c r="AT139" s="24" t="inlineStr">
        <is>
          <t>Los Angeles Angels</t>
        </is>
      </c>
      <c r="AU139" s="24" t="inlineStr">
        <is>
          <t>Los Angeles Angels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464eef695bfbbdaa819ec6f5e4c5bd1068ed20b92915fb2677220ae91e20d8b6</t>
        </is>
      </c>
      <c r="BB139" s="24" t="inlineStr">
        <is>
          <t>learned_lr</t>
        </is>
      </c>
      <c r="BC139" s="24" t="inlineStr">
        <is>
          <t>mlb-elo-trend-lr-v7</t>
        </is>
      </c>
      <c r="BD139" s="24" t="inlineStr">
        <is>
          <t>464eef695bfbbdaa819ec6f5e4c5bd1068ed20b92915fb2677220ae91e20d8b6</t>
        </is>
      </c>
      <c r="BE139" s="24" t="inlineStr">
        <is>
          <t>6989455cd566cbdd</t>
        </is>
      </c>
      <c r="BF139" s="24" t="inlineStr">
        <is>
          <t>1</t>
        </is>
      </c>
      <c r="BG139" s="24" t="inlineStr">
        <is>
          <t>mlb-elo-trend-lr-v7</t>
        </is>
      </c>
      <c r="BH139" s="24" t="inlineStr">
        <is>
          <t>2026-08-02T18:44:40.713780Z</t>
        </is>
      </c>
      <c r="BI139" s="24" t="inlineStr">
        <is>
          <t>["same_event","same_team_same_day","same_league_same_day"]</t>
        </is>
      </c>
      <c r="BJ139" s="25" t="n"/>
      <c r="BK139" s="26" t="n">
        <v>-208</v>
      </c>
      <c r="BL139" s="27" t="n">
        <v>1.480769</v>
      </c>
      <c r="BM139" s="28" t="n">
        <v>0.675325</v>
      </c>
      <c r="BN139" s="28" t="n">
        <v>0.671642</v>
      </c>
      <c r="BO139" s="28" t="n"/>
      <c r="BP139" s="25" t="n"/>
      <c r="BQ139" s="27" t="n">
        <v>1.480769</v>
      </c>
      <c r="BR139" s="28" t="n">
        <v>0.675</v>
      </c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inlineStr">
        <is>
          <t>0.3268450055</t>
        </is>
      </c>
      <c r="CD139" s="24" t="inlineStr">
        <is>
          <t>-0.59379</t>
        </is>
      </c>
      <c r="CE139" s="24" t="inlineStr">
        <is>
          <t>1.01</t>
        </is>
      </c>
      <c r="CF139" s="24" t="inlineStr">
        <is>
          <t>1.0174</t>
        </is>
      </c>
      <c r="CG139" s="24" t="inlineStr">
        <is>
          <t>0.2</t>
        </is>
      </c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inlineStr">
        <is>
          <t>0.625602</t>
        </is>
      </c>
      <c r="CS139" s="24" t="inlineStr">
        <is>
          <t>False</t>
        </is>
      </c>
    </row>
    <row r="140" ht="36" customHeight="1">
      <c r="A140" s="24" t="inlineStr">
        <is>
          <t>893aed80d14f4303</t>
        </is>
      </c>
      <c r="B140" s="24" t="inlineStr">
        <is>
          <t>2026-08-02T18:46:36.549310Z</t>
        </is>
      </c>
      <c r="C140" s="24" t="inlineStr">
        <is>
          <t>2026-08-02T19:10Z</t>
        </is>
      </c>
      <c r="D140" s="24" t="inlineStr">
        <is>
          <t>401816371</t>
        </is>
      </c>
      <c r="E140" s="24" t="inlineStr">
        <is>
          <t>MLB</t>
        </is>
      </c>
      <c r="F140" s="24" t="inlineStr">
        <is>
          <t>Kansas City Royals</t>
        </is>
      </c>
      <c r="G140" s="24" t="inlineStr">
        <is>
          <t>Colorado Rockies</t>
        </is>
      </c>
      <c r="H140" s="24" t="inlineStr">
        <is>
          <t>spread</t>
        </is>
      </c>
      <c r="I140" s="24" t="inlineStr">
        <is>
          <t>away</t>
        </is>
      </c>
      <c r="J140" s="25" t="n">
        <v>1.5</v>
      </c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0.629958</v>
      </c>
      <c r="P140" s="28" t="n">
        <v>0.042131</v>
      </c>
      <c r="Q140" s="28" t="n">
        <v>0.010186</v>
      </c>
      <c r="R140" s="26" t="n">
        <v>31</v>
      </c>
      <c r="S140" s="29" t="n">
        <v>1.5</v>
      </c>
      <c r="T140" s="24" t="inlineStr">
        <is>
          <t>measured-edge-margin-v2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</v>
      </c>
      <c r="X140" s="26" t="n">
        <v>8</v>
      </c>
      <c r="Y140" s="25" t="n">
        <v>1.5</v>
      </c>
      <c r="Z140" s="26" t="n">
        <v>-163</v>
      </c>
      <c r="AA140" s="28" t="n">
        <v>0.62</v>
      </c>
      <c r="AB140" s="28" t="n">
        <v>0.000228</v>
      </c>
      <c r="AC140" s="30" t="n">
        <v>-1.5</v>
      </c>
      <c r="AD140" s="24" t="inlineStr">
        <is>
          <t>2026-08-02T23:12:30.832483Z</t>
        </is>
      </c>
      <c r="AE140" s="31" t="inlineStr">
        <is>
          <t>Measured Edge Margin: Trend Engine projected 5.90-5.32; raw selected-side p=0.6980, calibrated p=0.6300.</t>
        </is>
      </c>
      <c r="AF140" s="31" t="inlineStr">
        <is>
          <t>Research-only; lineup, bullpen, park, weather, xFIP, and wRC+ may be neutral fallbacks; market availability and BBO depth may change before first pitch.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3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mlb-kc</t>
        </is>
      </c>
      <c r="AQ140" s="24" t="inlineStr">
        <is>
          <t>Kansas City Royals</t>
        </is>
      </c>
      <c r="AR140" s="24" t="inlineStr">
        <is>
          <t>Kansas City Royals</t>
        </is>
      </c>
      <c r="AS140" s="24" t="inlineStr">
        <is>
          <t>mlb-col</t>
        </is>
      </c>
      <c r="AT140" s="24" t="inlineStr">
        <is>
          <t>Colorado Rockies</t>
        </is>
      </c>
      <c r="AU140" s="24" t="inlineStr">
        <is>
          <t>Colorado Rockies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8360b122264b796b0fb193095cfe4506c7e064e5f3f8c0a659aec41efd08dd25</t>
        </is>
      </c>
      <c r="BB140" s="24" t="inlineStr">
        <is>
          <t>flat_probability_shrinkage_toward_half</t>
        </is>
      </c>
      <c r="BC140" s="24" t="inlineStr">
        <is>
          <t>measured-edge-margin-v2</t>
        </is>
      </c>
      <c r="BD140" s="24" t="inlineStr">
        <is>
          <t>8360b122264b796b0fb193095cfe4506c7e064e5f3f8c0a659aec41efd08dd25</t>
        </is>
      </c>
      <c r="BE140" s="24" t="inlineStr">
        <is>
          <t>v3</t>
        </is>
      </c>
      <c r="BF140" s="24" t="inlineStr">
        <is>
          <t>1</t>
        </is>
      </c>
      <c r="BG140" s="24" t="inlineStr">
        <is>
          <t>measured-edge-paired-v1</t>
        </is>
      </c>
      <c r="BH140" s="24" t="inlineStr">
        <is>
          <t>2026-08-02T18:46:36.549310Z</t>
        </is>
      </c>
      <c r="BI140" s="24" t="inlineStr">
        <is>
          <t>["same_event","same_team_same_day","same_league_same_day"]</t>
        </is>
      </c>
      <c r="BJ140" s="25" t="n">
        <v>1.5</v>
      </c>
      <c r="BK140" s="26" t="n">
        <v>-163</v>
      </c>
      <c r="BL140" s="27" t="n">
        <v>1.613497</v>
      </c>
      <c r="BM140" s="28" t="n">
        <v>0.619772</v>
      </c>
      <c r="BN140" s="28" t="n">
        <v>0.616915</v>
      </c>
      <c r="BO140" s="28" t="n"/>
      <c r="BP140" s="25" t="n"/>
      <c r="BQ140" s="27" t="n">
        <v>1.613497</v>
      </c>
      <c r="BR140" s="28" t="n">
        <v>0.62</v>
      </c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</row>
    <row r="141" ht="36" customHeight="1">
      <c r="A141" s="24" t="inlineStr">
        <is>
          <t>71780c61364048ed</t>
        </is>
      </c>
      <c r="B141" s="24" t="inlineStr">
        <is>
          <t>2026-08-02T18:46:36.549310Z</t>
        </is>
      </c>
      <c r="C141" s="24" t="inlineStr">
        <is>
          <t>2026-08-02T19:10Z</t>
        </is>
      </c>
      <c r="D141" s="24" t="inlineStr">
        <is>
          <t>401816371</t>
        </is>
      </c>
      <c r="E141" s="24" t="inlineStr">
        <is>
          <t>MLB</t>
        </is>
      </c>
      <c r="F141" s="24" t="inlineStr">
        <is>
          <t>Kansas City Royals</t>
        </is>
      </c>
      <c r="G141" s="24" t="inlineStr">
        <is>
          <t>Colorado Rockies</t>
        </is>
      </c>
      <c r="H141" s="24" t="inlineStr">
        <is>
          <t>total</t>
        </is>
      </c>
      <c r="I141" s="24" t="inlineStr">
        <is>
          <t>under</t>
        </is>
      </c>
      <c r="J141" s="25" t="n">
        <v>11.5</v>
      </c>
      <c r="K141" s="24" t="inlineStr">
        <is>
          <t>polymarket_us</t>
        </is>
      </c>
      <c r="L141" s="26" t="n">
        <v>-104</v>
      </c>
      <c r="M141" s="27" t="n">
        <v>1.961538</v>
      </c>
      <c r="N141" s="28" t="n">
        <v>0.509804</v>
      </c>
      <c r="O141" s="28" t="n">
        <v>0.533133</v>
      </c>
      <c r="P141" s="28" t="n">
        <v>0.042131</v>
      </c>
      <c r="Q141" s="28" t="n">
        <v>0.023329</v>
      </c>
      <c r="R141" s="26" t="n">
        <v>38</v>
      </c>
      <c r="S141" s="29" t="n">
        <v>1</v>
      </c>
      <c r="T141" s="24" t="inlineStr">
        <is>
          <t>measured-edge-totals-v2</t>
        </is>
      </c>
      <c r="U141" s="24" t="inlineStr">
        <is>
          <t>settled</t>
        </is>
      </c>
      <c r="V141" s="24" t="inlineStr">
        <is>
          <t>win</t>
        </is>
      </c>
      <c r="W141" s="26" t="n">
        <v>1</v>
      </c>
      <c r="X141" s="26" t="n">
        <v>8</v>
      </c>
      <c r="Y141" s="25" t="n">
        <v>11.5</v>
      </c>
      <c r="Z141" s="26" t="n">
        <v>-104</v>
      </c>
      <c r="AA141" s="28" t="n">
        <v>0.51</v>
      </c>
      <c r="AB141" s="28" t="n">
        <v>0.000196</v>
      </c>
      <c r="AC141" s="30" t="n">
        <v>0.9615</v>
      </c>
      <c r="AD141" s="24" t="inlineStr">
        <is>
          <t>2026-08-02T23:12:31.933250Z</t>
        </is>
      </c>
      <c r="AE141" s="31" t="inlineStr">
        <is>
          <t>Measured Edge Totals: Trend Engine projected 5.90-5.32; raw selected-side p=0.5737, calibrated p=0.5331.</t>
        </is>
      </c>
      <c r="AF141" s="31" t="inlineStr">
        <is>
          <t>Research-only; lineup, bullpen, park, weather, xFIP, and wRC+ may be neutral fallbacks; market availability and BBO depth may change before first pitch.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3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mlb-kc</t>
        </is>
      </c>
      <c r="AQ141" s="24" t="inlineStr">
        <is>
          <t>Kansas City Royals</t>
        </is>
      </c>
      <c r="AR141" s="24" t="inlineStr">
        <is>
          <t>Kansas City Royals</t>
        </is>
      </c>
      <c r="AS141" s="24" t="inlineStr">
        <is>
          <t>mlb-col</t>
        </is>
      </c>
      <c r="AT141" s="24" t="inlineStr">
        <is>
          <t>Colorado Rockies</t>
        </is>
      </c>
      <c r="AU141" s="24" t="inlineStr">
        <is>
          <t>Colorado Rockies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research</t>
        </is>
      </c>
      <c r="BA141" s="24" t="inlineStr">
        <is>
          <t>433578016242b27f9c1c7132cc6b5a2bcc7dd1b0234590c12a944455a88e71bd</t>
        </is>
      </c>
      <c r="BB141" s="24" t="inlineStr">
        <is>
          <t>flat_probability_shrinkage_toward_half</t>
        </is>
      </c>
      <c r="BC141" s="24" t="inlineStr">
        <is>
          <t>measured-edge-totals-v2</t>
        </is>
      </c>
      <c r="BD141" s="24" t="inlineStr">
        <is>
          <t>433578016242b27f9c1c7132cc6b5a2bcc7dd1b0234590c12a944455a88e71bd</t>
        </is>
      </c>
      <c r="BE141" s="24" t="inlineStr">
        <is>
          <t>v3</t>
        </is>
      </c>
      <c r="BF141" s="24" t="inlineStr">
        <is>
          <t>1</t>
        </is>
      </c>
      <c r="BG141" s="24" t="inlineStr">
        <is>
          <t>measured-edge-paired-v1</t>
        </is>
      </c>
      <c r="BH141" s="24" t="inlineStr">
        <is>
          <t>2026-08-02T18:46:36.549310Z</t>
        </is>
      </c>
      <c r="BI141" s="24" t="inlineStr">
        <is>
          <t>["same_event","same_team_same_day","same_league_same_day"]</t>
        </is>
      </c>
      <c r="BJ141" s="25" t="n">
        <v>11.5</v>
      </c>
      <c r="BK141" s="26" t="n">
        <v>-104</v>
      </c>
      <c r="BL141" s="27" t="n">
        <v>1.961538</v>
      </c>
      <c r="BM141" s="28" t="n">
        <v>0.509804</v>
      </c>
      <c r="BN141" s="28" t="n">
        <v>0.507463</v>
      </c>
      <c r="BO141" s="28" t="n"/>
      <c r="BP141" s="25" t="n"/>
      <c r="BQ141" s="27" t="n">
        <v>1.961538</v>
      </c>
      <c r="BR141" s="28" t="n">
        <v>0.51</v>
      </c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28aa277eb09e4ad9</t>
        </is>
      </c>
      <c r="B142" s="24" t="inlineStr">
        <is>
          <t>2026-08-02T18:46:36.549310Z</t>
        </is>
      </c>
      <c r="C142" s="24" t="inlineStr">
        <is>
          <t>2026-08-02T19:15Z</t>
        </is>
      </c>
      <c r="D142" s="24" t="inlineStr">
        <is>
          <t>401816374</t>
        </is>
      </c>
      <c r="E142" s="24" t="inlineStr">
        <is>
          <t>MLB</t>
        </is>
      </c>
      <c r="F142" s="24" t="inlineStr">
        <is>
          <t>Milwaukee Brewers</t>
        </is>
      </c>
      <c r="G142" s="24" t="inlineStr">
        <is>
          <t>Los Angeles Angels</t>
        </is>
      </c>
      <c r="H142" s="24" t="inlineStr">
        <is>
          <t>spread</t>
        </is>
      </c>
      <c r="I142" s="24" t="inlineStr">
        <is>
          <t>home</t>
        </is>
      </c>
      <c r="J142" s="25" t="n">
        <v>1.5</v>
      </c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0.5552280000000001</v>
      </c>
      <c r="P142" s="28" t="n">
        <v>0.042131</v>
      </c>
      <c r="Q142" s="28" t="n">
        <v>0.094399</v>
      </c>
      <c r="R142" s="26" t="n">
        <v>73</v>
      </c>
      <c r="S142" s="29" t="n">
        <v>1</v>
      </c>
      <c r="T142" s="24" t="inlineStr">
        <is>
          <t>measured-edge-margin-v2</t>
        </is>
      </c>
      <c r="U142" s="24" t="inlineStr">
        <is>
          <t>settled</t>
        </is>
      </c>
      <c r="V142" s="24" t="inlineStr">
        <is>
          <t>win</t>
        </is>
      </c>
      <c r="W142" s="26" t="n">
        <v>0</v>
      </c>
      <c r="X142" s="26" t="n">
        <v>3</v>
      </c>
      <c r="Y142" s="25" t="n">
        <v>1.5</v>
      </c>
      <c r="Z142" s="26" t="n">
        <v>117</v>
      </c>
      <c r="AA142" s="28" t="n">
        <v>0.46</v>
      </c>
      <c r="AB142" s="28" t="n">
        <v>-0.000829</v>
      </c>
      <c r="AC142" s="30" t="n">
        <v>1.17</v>
      </c>
      <c r="AD142" s="24" t="inlineStr">
        <is>
          <t>2026-08-02T23:12:33.081655Z</t>
        </is>
      </c>
      <c r="AE142" s="31" t="inlineStr">
        <is>
          <t>Measured Edge Margin: Trend Engine projected 4.07-3.09; raw selected-side p=0.5841, calibrated p=0.5552.</t>
        </is>
      </c>
      <c r="AF142" s="31" t="inlineStr">
        <is>
          <t>Research-only; lineup, bullpen, park, weather, xFIP, and wRC+ may be neutral fallbacks; market availability and BBO depth may change before first pitch.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3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mlb-mil</t>
        </is>
      </c>
      <c r="AQ142" s="24" t="inlineStr">
        <is>
          <t>Milwaukee Brewers</t>
        </is>
      </c>
      <c r="AR142" s="24" t="inlineStr">
        <is>
          <t>Milwaukee Brewers</t>
        </is>
      </c>
      <c r="AS142" s="24" t="inlineStr">
        <is>
          <t>mlb-laa</t>
        </is>
      </c>
      <c r="AT142" s="24" t="inlineStr">
        <is>
          <t>Los Angeles Angels</t>
        </is>
      </c>
      <c r="AU142" s="24" t="inlineStr">
        <is>
          <t>Los Angeles Angels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research</t>
        </is>
      </c>
      <c r="BA142" s="24" t="inlineStr">
        <is>
          <t>8360b122264b796b0fb193095cfe4506c7e064e5f3f8c0a659aec41efd08dd25</t>
        </is>
      </c>
      <c r="BB142" s="24" t="inlineStr">
        <is>
          <t>flat_probability_shrinkage_toward_half</t>
        </is>
      </c>
      <c r="BC142" s="24" t="inlineStr">
        <is>
          <t>measured-edge-margin-v2</t>
        </is>
      </c>
      <c r="BD142" s="24" t="inlineStr">
        <is>
          <t>8360b122264b796b0fb193095cfe4506c7e064e5f3f8c0a659aec41efd08dd25</t>
        </is>
      </c>
      <c r="BE142" s="24" t="inlineStr">
        <is>
          <t>v3</t>
        </is>
      </c>
      <c r="BF142" s="24" t="inlineStr">
        <is>
          <t>1</t>
        </is>
      </c>
      <c r="BG142" s="24" t="inlineStr">
        <is>
          <t>measured-edge-paired-v1</t>
        </is>
      </c>
      <c r="BH142" s="24" t="inlineStr">
        <is>
          <t>2026-08-02T18:46:36.549310Z</t>
        </is>
      </c>
      <c r="BI142" s="24" t="inlineStr">
        <is>
          <t>["same_event","same_team_same_day","same_league_same_day"]</t>
        </is>
      </c>
      <c r="BJ142" s="25" t="n">
        <v>1.5</v>
      </c>
      <c r="BK142" s="26" t="n">
        <v>117</v>
      </c>
      <c r="BL142" s="27" t="n">
        <v>2.17</v>
      </c>
      <c r="BM142" s="28" t="n">
        <v>0.460829</v>
      </c>
      <c r="BN142" s="28" t="n">
        <v>0.457711</v>
      </c>
      <c r="BO142" s="28" t="n"/>
      <c r="BP142" s="25" t="n"/>
      <c r="BQ142" s="27" t="n">
        <v>2.17</v>
      </c>
      <c r="BR142" s="28" t="n">
        <v>0.46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56326cb336554bf2</t>
        </is>
      </c>
      <c r="B143" s="24" t="inlineStr">
        <is>
          <t>2026-08-02T18:46:36.549310Z</t>
        </is>
      </c>
      <c r="C143" s="24" t="inlineStr">
        <is>
          <t>2026-08-02T19:15Z</t>
        </is>
      </c>
      <c r="D143" s="24" t="inlineStr">
        <is>
          <t>401816374</t>
        </is>
      </c>
      <c r="E143" s="24" t="inlineStr">
        <is>
          <t>MLB</t>
        </is>
      </c>
      <c r="F143" s="24" t="inlineStr">
        <is>
          <t>Milwaukee Brewers</t>
        </is>
      </c>
      <c r="G143" s="24" t="inlineStr">
        <is>
          <t>Los Angeles Angels</t>
        </is>
      </c>
      <c r="H143" s="24" t="inlineStr">
        <is>
          <t>total</t>
        </is>
      </c>
      <c r="I143" s="24" t="inlineStr">
        <is>
          <t>under</t>
        </is>
      </c>
      <c r="J143" s="25" t="n">
        <v>7.5</v>
      </c>
      <c r="K143" s="24" t="inlineStr">
        <is>
          <t>polymarket_us</t>
        </is>
      </c>
      <c r="L143" s="26" t="n">
        <v>-108</v>
      </c>
      <c r="M143" s="27" t="n">
        <v>1.925926</v>
      </c>
      <c r="N143" s="28" t="n">
        <v>0.519231</v>
      </c>
      <c r="O143" s="28" t="n">
        <v>0.537285</v>
      </c>
      <c r="P143" s="28" t="n">
        <v>0.042131</v>
      </c>
      <c r="Q143" s="28" t="n">
        <v>0.018054</v>
      </c>
      <c r="R143" s="26" t="n">
        <v>35</v>
      </c>
      <c r="S143" s="29" t="n">
        <v>1</v>
      </c>
      <c r="T143" s="24" t="inlineStr">
        <is>
          <t>measured-edge-totals-v2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3</v>
      </c>
      <c r="Y143" s="25" t="n">
        <v>7.5</v>
      </c>
      <c r="Z143" s="26" t="n">
        <v>-108</v>
      </c>
      <c r="AA143" s="28" t="n">
        <v>0.52</v>
      </c>
      <c r="AB143" s="28" t="n">
        <v>0.000769</v>
      </c>
      <c r="AC143" s="30" t="n">
        <v>0.9258999999999999</v>
      </c>
      <c r="AD143" s="24" t="inlineStr">
        <is>
          <t>2026-08-02T23:12:34.186731Z</t>
        </is>
      </c>
      <c r="AE143" s="31" t="inlineStr">
        <is>
          <t>Measured Edge Totals: Trend Engine projected 4.07-3.09; raw selected-side p=0.5858, calibrated p=0.5373.</t>
        </is>
      </c>
      <c r="AF143" s="31" t="inlineStr">
        <is>
          <t>Research-only; lineup, bullpen, park, weather, xFIP, and wRC+ may be neutral fallbacks; market availability and BBO depth may change before first pitch.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3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mlb-mil</t>
        </is>
      </c>
      <c r="AQ143" s="24" t="inlineStr">
        <is>
          <t>Milwaukee Brewers</t>
        </is>
      </c>
      <c r="AR143" s="24" t="inlineStr">
        <is>
          <t>Milwaukee Brewers</t>
        </is>
      </c>
      <c r="AS143" s="24" t="inlineStr">
        <is>
          <t>mlb-laa</t>
        </is>
      </c>
      <c r="AT143" s="24" t="inlineStr">
        <is>
          <t>Los Angeles Angels</t>
        </is>
      </c>
      <c r="AU143" s="24" t="inlineStr">
        <is>
          <t>Los Angeles Angels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research</t>
        </is>
      </c>
      <c r="BA143" s="24" t="inlineStr">
        <is>
          <t>433578016242b27f9c1c7132cc6b5a2bcc7dd1b0234590c12a944455a88e71bd</t>
        </is>
      </c>
      <c r="BB143" s="24" t="inlineStr">
        <is>
          <t>flat_probability_shrinkage_toward_half</t>
        </is>
      </c>
      <c r="BC143" s="24" t="inlineStr">
        <is>
          <t>measured-edge-totals-v2</t>
        </is>
      </c>
      <c r="BD143" s="24" t="inlineStr">
        <is>
          <t>433578016242b27f9c1c7132cc6b5a2bcc7dd1b0234590c12a944455a88e71bd</t>
        </is>
      </c>
      <c r="BE143" s="24" t="inlineStr">
        <is>
          <t>v3</t>
        </is>
      </c>
      <c r="BF143" s="24" t="inlineStr">
        <is>
          <t>1</t>
        </is>
      </c>
      <c r="BG143" s="24" t="inlineStr">
        <is>
          <t>measured-edge-paired-v1</t>
        </is>
      </c>
      <c r="BH143" s="24" t="inlineStr">
        <is>
          <t>2026-08-02T18:46:36.549310Z</t>
        </is>
      </c>
      <c r="BI143" s="24" t="inlineStr">
        <is>
          <t>["same_event","same_team_same_day","same_league_same_day"]</t>
        </is>
      </c>
      <c r="BJ143" s="25" t="n">
        <v>7.5</v>
      </c>
      <c r="BK143" s="26" t="n">
        <v>-108</v>
      </c>
      <c r="BL143" s="27" t="n">
        <v>1.925926</v>
      </c>
      <c r="BM143" s="28" t="n">
        <v>0.519231</v>
      </c>
      <c r="BN143" s="28" t="n">
        <v>0.517413</v>
      </c>
      <c r="BO143" s="28" t="n"/>
      <c r="BP143" s="25" t="n"/>
      <c r="BQ143" s="27" t="n">
        <v>1.925926</v>
      </c>
      <c r="BR143" s="28" t="n">
        <v>0.52</v>
      </c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92a0e910a4d643a0</t>
        </is>
      </c>
      <c r="B144" s="24" t="inlineStr">
        <is>
          <t>2026-08-02T19:28:41.982598Z</t>
        </is>
      </c>
      <c r="C144" s="24" t="inlineStr">
        <is>
          <t>2026-08-02T16:05:00-0400</t>
        </is>
      </c>
      <c r="D144" s="24" t="inlineStr">
        <is>
          <t>401816373</t>
        </is>
      </c>
      <c r="E144" s="24" t="inlineStr">
        <is>
          <t>MLB</t>
        </is>
      </c>
      <c r="F144" s="24" t="inlineStr">
        <is>
          <t>Detroit Tigers</t>
        </is>
      </c>
      <c r="G144" s="24" t="inlineStr">
        <is>
          <t>Athletics</t>
        </is>
      </c>
      <c r="H144" s="24" t="inlineStr">
        <is>
          <t>moneyline</t>
        </is>
      </c>
      <c r="I144" s="24" t="inlineStr">
        <is>
          <t>away</t>
        </is>
      </c>
      <c r="J144" s="25" t="n"/>
      <c r="K144" s="24" t="inlineStr">
        <is>
          <t>polymarket_us</t>
        </is>
      </c>
      <c r="L144" s="26" t="n">
        <v>-115</v>
      </c>
      <c r="M144" s="27" t="n">
        <v>1.869565</v>
      </c>
      <c r="N144" s="28" t="n">
        <v>0.534884</v>
      </c>
      <c r="O144" s="28" t="n">
        <v>0.559378</v>
      </c>
      <c r="P144" s="28" t="n"/>
      <c r="Q144" s="28" t="n">
        <v>0.024494</v>
      </c>
      <c r="R144" s="26" t="n">
        <v>34</v>
      </c>
      <c r="S144" s="29" t="n">
        <v>1</v>
      </c>
      <c r="T144" s="24" t="inlineStr">
        <is>
          <t>mlb-elo-trend-lr-v7</t>
        </is>
      </c>
      <c r="U144" s="24" t="inlineStr">
        <is>
          <t>settled</t>
        </is>
      </c>
      <c r="V144" s="24" t="inlineStr">
        <is>
          <t>win</t>
        </is>
      </c>
      <c r="W144" s="26" t="n">
        <v>11</v>
      </c>
      <c r="X144" s="26" t="n">
        <v>0</v>
      </c>
      <c r="Y144" s="25" t="n"/>
      <c r="Z144" s="26" t="n">
        <v>-115</v>
      </c>
      <c r="AA144" s="28" t="n">
        <v>0.535</v>
      </c>
      <c r="AB144" s="28" t="n">
        <v>0.000116</v>
      </c>
      <c r="AC144" s="30" t="n">
        <v>0.8696</v>
      </c>
      <c r="AD144" s="24" t="inlineStr">
        <is>
          <t>2026-08-03T02:34:10.065548Z</t>
        </is>
      </c>
      <c r="AE144" s="31" t="inlineStr">
        <is>
          <t>Learned LR call at threshold 0.6242; executable ask 0.5350 (aec-mlb-det-ath-2026-08-02); model edge vs ask +0.0244.</t>
        </is>
      </c>
      <c r="AF144" s="31" t="inlineStr">
        <is>
          <t>Learned model; shadow-qualified via operator override.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3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mlb-det</t>
        </is>
      </c>
      <c r="AQ144" s="24" t="inlineStr">
        <is>
          <t>Detroit Tigers</t>
        </is>
      </c>
      <c r="AR144" s="24" t="inlineStr">
        <is>
          <t>Detroit Tigers</t>
        </is>
      </c>
      <c r="AS144" s="24" t="inlineStr">
        <is>
          <t>mlb-ath</t>
        </is>
      </c>
      <c r="AT144" s="24" t="inlineStr">
        <is>
          <t>Athletics</t>
        </is>
      </c>
      <c r="AU144" s="24" t="inlineStr">
        <is>
          <t>Athletics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464eef695bfbbdaa819ec6f5e4c5bd1068ed20b92915fb2677220ae91e20d8b6</t>
        </is>
      </c>
      <c r="BB144" s="24" t="inlineStr">
        <is>
          <t>learned_lr</t>
        </is>
      </c>
      <c r="BC144" s="24" t="inlineStr">
        <is>
          <t>mlb-elo-trend-lr-v7</t>
        </is>
      </c>
      <c r="BD144" s="24" t="inlineStr">
        <is>
          <t>464eef695bfbbdaa819ec6f5e4c5bd1068ed20b92915fb2677220ae91e20d8b6</t>
        </is>
      </c>
      <c r="BE144" s="24" t="inlineStr">
        <is>
          <t>cae2c55128a7fa45</t>
        </is>
      </c>
      <c r="BF144" s="24" t="inlineStr">
        <is>
          <t>1</t>
        </is>
      </c>
      <c r="BG144" s="24" t="inlineStr">
        <is>
          <t>mlb-elo-trend-lr-v7</t>
        </is>
      </c>
      <c r="BH144" s="24" t="inlineStr">
        <is>
          <t>2026-08-02T19:27:34.287912Z</t>
        </is>
      </c>
      <c r="BI144" s="24" t="inlineStr">
        <is>
          <t>["same_event","same_team_same_day","same_league_same_day"]</t>
        </is>
      </c>
      <c r="BJ144" s="25" t="n"/>
      <c r="BK144" s="26" t="n">
        <v>-115</v>
      </c>
      <c r="BL144" s="27" t="n">
        <v>1.869565</v>
      </c>
      <c r="BM144" s="28" t="n">
        <v>0.534884</v>
      </c>
      <c r="BN144" s="28" t="n">
        <v>0.532338</v>
      </c>
      <c r="BO144" s="28" t="n"/>
      <c r="BP144" s="25" t="n"/>
      <c r="BQ144" s="27" t="n">
        <v>1.869565</v>
      </c>
      <c r="BR144" s="28" t="n">
        <v>0.535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0.4182489247</t>
        </is>
      </c>
      <c r="CD144" s="24" t="inlineStr">
        <is>
          <t>-3.449013</t>
        </is>
      </c>
      <c r="CE144" s="24" t="inlineStr">
        <is>
          <t>1.153</t>
        </is>
      </c>
      <c r="CF144" s="24" t="inlineStr">
        <is>
          <t>1.0276</t>
        </is>
      </c>
      <c r="CG144" s="24" t="inlineStr">
        <is>
          <t>1.0</t>
        </is>
      </c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0.559378</t>
        </is>
      </c>
      <c r="CS144" s="24" t="inlineStr">
        <is>
          <t>True</t>
        </is>
      </c>
    </row>
    <row r="145" ht="36" customHeight="1">
      <c r="A145" s="24" t="inlineStr">
        <is>
          <t>6123232040ed4c6a</t>
        </is>
      </c>
      <c r="B145" s="24" t="inlineStr">
        <is>
          <t>2026-08-02T19:28:41.982598Z</t>
        </is>
      </c>
      <c r="C145" s="24" t="inlineStr">
        <is>
          <t>2026-08-02T16:10:00-0400</t>
        </is>
      </c>
      <c r="D145" s="24" t="inlineStr">
        <is>
          <t>401816375</t>
        </is>
      </c>
      <c r="E145" s="24" t="inlineStr">
        <is>
          <t>MLB</t>
        </is>
      </c>
      <c r="F145" s="24" t="inlineStr">
        <is>
          <t>Minnesota Twins</t>
        </is>
      </c>
      <c r="G145" s="24" t="inlineStr">
        <is>
          <t>Seattle Mariners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-130</v>
      </c>
      <c r="M145" s="27" t="n">
        <v>1.769231</v>
      </c>
      <c r="N145" s="28" t="n">
        <v>0.565217</v>
      </c>
      <c r="O145" s="28" t="n">
        <v>0.596425</v>
      </c>
      <c r="P145" s="28" t="n"/>
      <c r="Q145" s="28" t="n">
        <v>0.031208</v>
      </c>
      <c r="R145" s="26" t="n">
        <v>37</v>
      </c>
      <c r="S145" s="29" t="n">
        <v>1.25</v>
      </c>
      <c r="T145" s="24" t="inlineStr">
        <is>
          <t>mlb-elo-trend-lr-v7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7</v>
      </c>
      <c r="Y145" s="25" t="n"/>
      <c r="Z145" s="26" t="n">
        <v>-130</v>
      </c>
      <c r="AA145" s="28" t="n">
        <v>0.5649999999999999</v>
      </c>
      <c r="AB145" s="28" t="n">
        <v>-0.000217</v>
      </c>
      <c r="AC145" s="30" t="n">
        <v>0.9615</v>
      </c>
      <c r="AD145" s="24" t="inlineStr">
        <is>
          <t>2026-08-02T23:12:46.830757Z</t>
        </is>
      </c>
      <c r="AE145" s="31" t="inlineStr">
        <is>
          <t>Learned LR call at threshold 0.6242; executable ask 0.5650 (aec-mlb-min-sea-2026-08-02); model edge vs ask +0.0314.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mlb-min</t>
        </is>
      </c>
      <c r="AQ145" s="24" t="inlineStr">
        <is>
          <t>Minnesota Twins</t>
        </is>
      </c>
      <c r="AR145" s="24" t="inlineStr">
        <is>
          <t>Minnesota Twins</t>
        </is>
      </c>
      <c r="AS145" s="24" t="inlineStr">
        <is>
          <t>mlb-sea</t>
        </is>
      </c>
      <c r="AT145" s="24" t="inlineStr">
        <is>
          <t>Seattle Mariners</t>
        </is>
      </c>
      <c r="AU145" s="24" t="inlineStr">
        <is>
          <t>Seattle Mariners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464eef695bfbbdaa819ec6f5e4c5bd1068ed20b92915fb2677220ae91e20d8b6</t>
        </is>
      </c>
      <c r="BB145" s="24" t="inlineStr">
        <is>
          <t>learned_lr</t>
        </is>
      </c>
      <c r="BC145" s="24" t="inlineStr">
        <is>
          <t>mlb-elo-trend-lr-v7</t>
        </is>
      </c>
      <c r="BD145" s="24" t="inlineStr">
        <is>
          <t>464eef695bfbbdaa819ec6f5e4c5bd1068ed20b92915fb2677220ae91e20d8b6</t>
        </is>
      </c>
      <c r="BE145" s="24" t="inlineStr">
        <is>
          <t>e58bfb84888a3f7a</t>
        </is>
      </c>
      <c r="BF145" s="24" t="inlineStr">
        <is>
          <t>1</t>
        </is>
      </c>
      <c r="BG145" s="24" t="inlineStr">
        <is>
          <t>mlb-elo-trend-lr-v7</t>
        </is>
      </c>
      <c r="BH145" s="24" t="inlineStr">
        <is>
          <t>2026-08-02T19:27:36.298456Z</t>
        </is>
      </c>
      <c r="BI145" s="24" t="inlineStr">
        <is>
          <t>["same_event","same_team_same_day","same_league_same_day"]</t>
        </is>
      </c>
      <c r="BJ145" s="25" t="n"/>
      <c r="BK145" s="26" t="n">
        <v>-130</v>
      </c>
      <c r="BL145" s="27" t="n">
        <v>1.769231</v>
      </c>
      <c r="BM145" s="28" t="n">
        <v>0.565217</v>
      </c>
      <c r="BN145" s="28" t="n">
        <v>0.562189</v>
      </c>
      <c r="BO145" s="28" t="n"/>
      <c r="BP145" s="25" t="n"/>
      <c r="BQ145" s="27" t="n">
        <v>1.769231</v>
      </c>
      <c r="BR145" s="28" t="n">
        <v>0.5649999999999999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inlineStr">
        <is>
          <t>0.5819178739</t>
        </is>
      </c>
      <c r="CD145" s="24" t="inlineStr">
        <is>
          <t>0.703281</t>
        </is>
      </c>
      <c r="CE145" s="24" t="inlineStr">
        <is>
          <t>0.936</t>
        </is>
      </c>
      <c r="CF145" s="24" t="inlineStr">
        <is>
          <t>1.0</t>
        </is>
      </c>
      <c r="CG145" s="24" t="inlineStr">
        <is>
          <t>1.8</t>
        </is>
      </c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inlineStr">
        <is>
          <t>0.596425</t>
        </is>
      </c>
      <c r="CS145" s="24" t="inlineStr">
        <is>
          <t>True</t>
        </is>
      </c>
    </row>
    <row r="146" ht="36" customHeight="1">
      <c r="A146" s="24" t="inlineStr">
        <is>
          <t>aa98c1e4a4aa471b</t>
        </is>
      </c>
      <c r="B146" s="24" t="inlineStr">
        <is>
          <t>2026-08-02T19:28:41.982598Z</t>
        </is>
      </c>
      <c r="C146" s="24" t="inlineStr">
        <is>
          <t>2026-08-02T16:10:00-0400</t>
        </is>
      </c>
      <c r="D146" s="24" t="inlineStr">
        <is>
          <t>401816376</t>
        </is>
      </c>
      <c r="E146" s="24" t="inlineStr">
        <is>
          <t>MLB</t>
        </is>
      </c>
      <c r="F146" s="24" t="inlineStr">
        <is>
          <t>San Francisco Giants</t>
        </is>
      </c>
      <c r="G146" s="24" t="inlineStr">
        <is>
          <t>San Diego Padres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polymarket_us</t>
        </is>
      </c>
      <c r="L146" s="26" t="n">
        <v>-120</v>
      </c>
      <c r="M146" s="27" t="n">
        <v>1.833333</v>
      </c>
      <c r="N146" s="28" t="n">
        <v>0.545455</v>
      </c>
      <c r="O146" s="28" t="n">
        <v>0.589226</v>
      </c>
      <c r="P146" s="28" t="n"/>
      <c r="Q146" s="28" t="n">
        <v>0.043771</v>
      </c>
      <c r="R146" s="26" t="n">
        <v>43</v>
      </c>
      <c r="S146" s="29" t="n">
        <v>1.25</v>
      </c>
      <c r="T146" s="24" t="inlineStr">
        <is>
          <t>mlb-elo-trend-lr-v7</t>
        </is>
      </c>
      <c r="U146" s="24" t="inlineStr">
        <is>
          <t>settled</t>
        </is>
      </c>
      <c r="V146" s="24" t="inlineStr">
        <is>
          <t>win</t>
        </is>
      </c>
      <c r="W146" s="26" t="n">
        <v>4</v>
      </c>
      <c r="X146" s="26" t="n">
        <v>5</v>
      </c>
      <c r="Y146" s="25" t="n"/>
      <c r="Z146" s="26" t="n">
        <v>-120</v>
      </c>
      <c r="AA146" s="28" t="n">
        <v>0.545</v>
      </c>
      <c r="AB146" s="28" t="n">
        <v>-0.000455</v>
      </c>
      <c r="AC146" s="30" t="n">
        <v>1.0417</v>
      </c>
      <c r="AD146" s="24" t="inlineStr">
        <is>
          <t>2026-08-03T02:34:12.634407Z</t>
        </is>
      </c>
      <c r="AE146" s="31" t="inlineStr">
        <is>
          <t>Learned LR call at threshold 0.6242; executable ask 0.5450 (aec-mlb-sf-sd-2026-08-02); model edge vs ask +0.0442.</t>
        </is>
      </c>
      <c r="AF146" s="31" t="inlineStr">
        <is>
          <t>Learned model; shadow-qualified via operator override.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model_qualified</t>
        </is>
      </c>
      <c r="AL146" s="26" t="n">
        <v>3</v>
      </c>
      <c r="AM146" s="24" t="inlineStr">
        <is>
          <t>QUALIFIED_SHADOW_CALL</t>
        </is>
      </c>
      <c r="AN146" s="24" t="inlineStr">
        <is>
          <t>CALL</t>
        </is>
      </c>
      <c r="AO146" s="24" t="inlineStr">
        <is>
          <t>QUALIFIED</t>
        </is>
      </c>
      <c r="AP146" s="24" t="inlineStr">
        <is>
          <t>mlb-sf</t>
        </is>
      </c>
      <c r="AQ146" s="24" t="inlineStr">
        <is>
          <t>San Francisco Giants</t>
        </is>
      </c>
      <c r="AR146" s="24" t="inlineStr">
        <is>
          <t>San Francisco Giants</t>
        </is>
      </c>
      <c r="AS146" s="24" t="inlineStr">
        <is>
          <t>mlb-sd</t>
        </is>
      </c>
      <c r="AT146" s="24" t="inlineStr">
        <is>
          <t>San Diego Padres</t>
        </is>
      </c>
      <c r="AU146" s="24" t="inlineStr">
        <is>
          <t>San Diego Padres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464eef695bfbbdaa819ec6f5e4c5bd1068ed20b92915fb2677220ae91e20d8b6</t>
        </is>
      </c>
      <c r="BB146" s="24" t="inlineStr">
        <is>
          <t>learned_lr</t>
        </is>
      </c>
      <c r="BC146" s="24" t="inlineStr">
        <is>
          <t>mlb-elo-trend-lr-v7</t>
        </is>
      </c>
      <c r="BD146" s="24" t="inlineStr">
        <is>
          <t>464eef695bfbbdaa819ec6f5e4c5bd1068ed20b92915fb2677220ae91e20d8b6</t>
        </is>
      </c>
      <c r="BE146" s="24" t="inlineStr">
        <is>
          <t>8b5b12a8cace3be8</t>
        </is>
      </c>
      <c r="BF146" s="24" t="inlineStr">
        <is>
          <t>1</t>
        </is>
      </c>
      <c r="BG146" s="24" t="inlineStr">
        <is>
          <t>mlb-elo-trend-lr-v7</t>
        </is>
      </c>
      <c r="BH146" s="24" t="inlineStr">
        <is>
          <t>2026-08-02T19:27:35.275071Z</t>
        </is>
      </c>
      <c r="BI146" s="24" t="inlineStr">
        <is>
          <t>["same_event","same_team_same_day","same_league_same_day"]</t>
        </is>
      </c>
      <c r="BJ146" s="25" t="n"/>
      <c r="BK146" s="26" t="n">
        <v>-120</v>
      </c>
      <c r="BL146" s="27" t="n">
        <v>1.833333</v>
      </c>
      <c r="BM146" s="28" t="n">
        <v>0.545455</v>
      </c>
      <c r="BN146" s="28" t="n">
        <v>0.542289</v>
      </c>
      <c r="BO146" s="28" t="n"/>
      <c r="BP146" s="25" t="n"/>
      <c r="BQ146" s="27" t="n">
        <v>1.833333</v>
      </c>
      <c r="BR146" s="28" t="n">
        <v>0.545</v>
      </c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inlineStr">
        <is>
          <t>0.5952401601</t>
        </is>
      </c>
      <c r="CD146" s="24" t="inlineStr">
        <is>
          <t>0.046644</t>
        </is>
      </c>
      <c r="CE146" s="24" t="inlineStr">
        <is>
          <t>0.945</t>
        </is>
      </c>
      <c r="CF146" s="24" t="inlineStr">
        <is>
          <t>1.0081</t>
        </is>
      </c>
      <c r="CG146" s="24" t="inlineStr">
        <is>
          <t>-1.6</t>
        </is>
      </c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inlineStr">
        <is>
          <t>0.589226</t>
        </is>
      </c>
      <c r="CS146" s="24" t="inlineStr">
        <is>
          <t>True</t>
        </is>
      </c>
    </row>
    <row r="147" ht="36" customHeight="1">
      <c r="A147" s="24" t="inlineStr">
        <is>
          <t>cdbfd00aaf6c4a27</t>
        </is>
      </c>
      <c r="B147" s="24" t="inlineStr">
        <is>
          <t>2026-08-02T19:28:59.526399Z</t>
        </is>
      </c>
      <c r="C147" s="24" t="inlineStr">
        <is>
          <t>2026-08-02T20:05Z</t>
        </is>
      </c>
      <c r="D147" s="24" t="inlineStr">
        <is>
          <t>401816373</t>
        </is>
      </c>
      <c r="E147" s="24" t="inlineStr">
        <is>
          <t>MLB</t>
        </is>
      </c>
      <c r="F147" s="24" t="inlineStr">
        <is>
          <t>Detroit Tigers</t>
        </is>
      </c>
      <c r="G147" s="24" t="inlineStr">
        <is>
          <t>Athletics</t>
        </is>
      </c>
      <c r="H147" s="24" t="inlineStr">
        <is>
          <t>spread</t>
        </is>
      </c>
      <c r="I147" s="24" t="inlineStr">
        <is>
          <t>home</t>
        </is>
      </c>
      <c r="J147" s="25" t="n">
        <v>1.5</v>
      </c>
      <c r="K147" s="24" t="inlineStr">
        <is>
          <t>polymarket_us</t>
        </is>
      </c>
      <c r="L147" s="26" t="n">
        <v>-141</v>
      </c>
      <c r="M147" s="27" t="n">
        <v>1.70922</v>
      </c>
      <c r="N147" s="28" t="n">
        <v>0.585062</v>
      </c>
      <c r="O147" s="28" t="n">
        <v>0.522653</v>
      </c>
      <c r="P147" s="28" t="n">
        <v>0.042131</v>
      </c>
      <c r="Q147" s="28" t="n">
        <v>-0.062409</v>
      </c>
      <c r="R147" s="26" t="n">
        <v>0</v>
      </c>
      <c r="S147" s="29" t="n">
        <v>1</v>
      </c>
      <c r="T147" s="24" t="inlineStr">
        <is>
          <t>measured-edge-margin-v2</t>
        </is>
      </c>
      <c r="U147" s="24" t="inlineStr">
        <is>
          <t>settled</t>
        </is>
      </c>
      <c r="V147" s="24" t="inlineStr">
        <is>
          <t>loss</t>
        </is>
      </c>
      <c r="W147" s="26" t="n">
        <v>11</v>
      </c>
      <c r="X147" s="26" t="n">
        <v>0</v>
      </c>
      <c r="Y147" s="25" t="n">
        <v>1.5</v>
      </c>
      <c r="Z147" s="26" t="n">
        <v>-141</v>
      </c>
      <c r="AA147" s="28" t="n">
        <v>0.585</v>
      </c>
      <c r="AB147" s="28" t="n">
        <v>-6.2e-05</v>
      </c>
      <c r="AC147" s="30" t="n">
        <v>-1</v>
      </c>
      <c r="AD147" s="24" t="inlineStr">
        <is>
          <t>2026-08-03T02:34:13.756296Z</t>
        </is>
      </c>
      <c r="AE147" s="31" t="inlineStr">
        <is>
          <t>Measured Edge Margin: Trend Engine projected 5.88-4.54; raw selected-side p=0.5344, calibrated p=0.5227.</t>
        </is>
      </c>
      <c r="AF147" s="31" t="inlineStr">
        <is>
          <t>Research-only; lineup, bullpen, park, weather, xFIP, and wRC+ may be neutral fallbacks; market availability and BBO depth may change before first pitch.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3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mlb-det</t>
        </is>
      </c>
      <c r="AQ147" s="24" t="inlineStr">
        <is>
          <t>Detroit Tigers</t>
        </is>
      </c>
      <c r="AR147" s="24" t="inlineStr">
        <is>
          <t>Detroit Tigers</t>
        </is>
      </c>
      <c r="AS147" s="24" t="inlineStr">
        <is>
          <t>mlb-ath</t>
        </is>
      </c>
      <c r="AT147" s="24" t="inlineStr">
        <is>
          <t>Athletics</t>
        </is>
      </c>
      <c r="AU147" s="24" t="inlineStr">
        <is>
          <t>Athletics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8360b122264b796b0fb193095cfe4506c7e064e5f3f8c0a659aec41efd08dd25</t>
        </is>
      </c>
      <c r="BB147" s="24" t="inlineStr">
        <is>
          <t>flat_probability_shrinkage_toward_half</t>
        </is>
      </c>
      <c r="BC147" s="24" t="inlineStr">
        <is>
          <t>measured-edge-margin-v2</t>
        </is>
      </c>
      <c r="BD147" s="24" t="inlineStr">
        <is>
          <t>8360b122264b796b0fb193095cfe4506c7e064e5f3f8c0a659aec41efd08dd25</t>
        </is>
      </c>
      <c r="BE147" s="24" t="inlineStr">
        <is>
          <t>v3</t>
        </is>
      </c>
      <c r="BF147" s="24" t="inlineStr">
        <is>
          <t>1</t>
        </is>
      </c>
      <c r="BG147" s="24" t="inlineStr">
        <is>
          <t>measured-edge-paired-v1</t>
        </is>
      </c>
      <c r="BH147" s="24" t="inlineStr">
        <is>
          <t>2026-08-02T19:28:59.526399Z</t>
        </is>
      </c>
      <c r="BI147" s="24" t="inlineStr">
        <is>
          <t>["same_event","same_team_same_day","same_league_same_day"]</t>
        </is>
      </c>
      <c r="BJ147" s="25" t="n">
        <v>1.5</v>
      </c>
      <c r="BK147" s="26" t="n">
        <v>-141</v>
      </c>
      <c r="BL147" s="27" t="n">
        <v>1.70922</v>
      </c>
      <c r="BM147" s="28" t="n">
        <v>0.585062</v>
      </c>
      <c r="BN147" s="28" t="n">
        <v>0.58209</v>
      </c>
      <c r="BO147" s="28" t="n"/>
      <c r="BP147" s="25" t="n"/>
      <c r="BQ147" s="27" t="n">
        <v>1.70922</v>
      </c>
      <c r="BR147" s="28" t="n">
        <v>0.585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</row>
    <row r="148" ht="36" customHeight="1">
      <c r="A148" s="24" t="inlineStr">
        <is>
          <t>a1d6630d03e4477e</t>
        </is>
      </c>
      <c r="B148" s="24" t="inlineStr">
        <is>
          <t>2026-08-02T19:28:59.526399Z</t>
        </is>
      </c>
      <c r="C148" s="24" t="inlineStr">
        <is>
          <t>2026-08-02T20:05Z</t>
        </is>
      </c>
      <c r="D148" s="24" t="inlineStr">
        <is>
          <t>401816373</t>
        </is>
      </c>
      <c r="E148" s="24" t="inlineStr">
        <is>
          <t>MLB</t>
        </is>
      </c>
      <c r="F148" s="24" t="inlineStr">
        <is>
          <t>Detroit Tigers</t>
        </is>
      </c>
      <c r="G148" s="24" t="inlineStr">
        <is>
          <t>Athletics</t>
        </is>
      </c>
      <c r="H148" s="24" t="inlineStr">
        <is>
          <t>total</t>
        </is>
      </c>
      <c r="I148" s="24" t="inlineStr">
        <is>
          <t>under</t>
        </is>
      </c>
      <c r="J148" s="25" t="n">
        <v>10.5</v>
      </c>
      <c r="K148" s="24" t="inlineStr">
        <is>
          <t>polymarket_us</t>
        </is>
      </c>
      <c r="L148" s="26" t="n">
        <v>-117</v>
      </c>
      <c r="M148" s="27" t="n">
        <v>1.854701</v>
      </c>
      <c r="N148" s="28" t="n">
        <v>0.539171</v>
      </c>
      <c r="O148" s="28" t="n">
        <v>0.522079</v>
      </c>
      <c r="P148" s="28" t="n">
        <v>0.042131</v>
      </c>
      <c r="Q148" s="28" t="n">
        <v>-0.017092</v>
      </c>
      <c r="R148" s="26" t="n">
        <v>17</v>
      </c>
      <c r="S148" s="29" t="n">
        <v>1</v>
      </c>
      <c r="T148" s="24" t="inlineStr">
        <is>
          <t>measured-edge-totals-v2</t>
        </is>
      </c>
      <c r="U148" s="24" t="inlineStr">
        <is>
          <t>settled</t>
        </is>
      </c>
      <c r="V148" s="24" t="inlineStr">
        <is>
          <t>loss</t>
        </is>
      </c>
      <c r="W148" s="26" t="n">
        <v>11</v>
      </c>
      <c r="X148" s="26" t="n">
        <v>0</v>
      </c>
      <c r="Y148" s="25" t="n">
        <v>10.5</v>
      </c>
      <c r="Z148" s="26" t="n">
        <v>-117</v>
      </c>
      <c r="AA148" s="28" t="n">
        <v>0.54</v>
      </c>
      <c r="AB148" s="28" t="n">
        <v>0.000829</v>
      </c>
      <c r="AC148" s="30" t="n">
        <v>-1</v>
      </c>
      <c r="AD148" s="24" t="inlineStr">
        <is>
          <t>2026-08-03T02:34:14.851515Z</t>
        </is>
      </c>
      <c r="AE148" s="31" t="inlineStr">
        <is>
          <t>Measured Edge Totals: Trend Engine projected 5.88-4.54; raw selected-side p=0.5413, calibrated p=0.5221.</t>
        </is>
      </c>
      <c r="AF148" s="31" t="inlineStr">
        <is>
          <t>Research-only; lineup, bullpen, park, weather, xFIP, and wRC+ may be neutral fallbacks; market availability and BBO depth may change before first pitch.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mlb-det</t>
        </is>
      </c>
      <c r="AQ148" s="24" t="inlineStr">
        <is>
          <t>Detroit Tigers</t>
        </is>
      </c>
      <c r="AR148" s="24" t="inlineStr">
        <is>
          <t>Detroit Tigers</t>
        </is>
      </c>
      <c r="AS148" s="24" t="inlineStr">
        <is>
          <t>mlb-ath</t>
        </is>
      </c>
      <c r="AT148" s="24" t="inlineStr">
        <is>
          <t>Athletics</t>
        </is>
      </c>
      <c r="AU148" s="24" t="inlineStr">
        <is>
          <t>Athletics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433578016242b27f9c1c7132cc6b5a2bcc7dd1b0234590c12a944455a88e71bd</t>
        </is>
      </c>
      <c r="BB148" s="24" t="inlineStr">
        <is>
          <t>flat_probability_shrinkage_toward_half</t>
        </is>
      </c>
      <c r="BC148" s="24" t="inlineStr">
        <is>
          <t>measured-edge-totals-v2</t>
        </is>
      </c>
      <c r="BD148" s="24" t="inlineStr">
        <is>
          <t>433578016242b27f9c1c7132cc6b5a2bcc7dd1b0234590c12a944455a88e71bd</t>
        </is>
      </c>
      <c r="BE148" s="24" t="inlineStr">
        <is>
          <t>v3</t>
        </is>
      </c>
      <c r="BF148" s="24" t="inlineStr">
        <is>
          <t>1</t>
        </is>
      </c>
      <c r="BG148" s="24" t="inlineStr">
        <is>
          <t>measured-edge-paired-v1</t>
        </is>
      </c>
      <c r="BH148" s="24" t="inlineStr">
        <is>
          <t>2026-08-02T19:28:59.526399Z</t>
        </is>
      </c>
      <c r="BI148" s="24" t="inlineStr">
        <is>
          <t>["same_event","same_team_same_day","same_league_same_day"]</t>
        </is>
      </c>
      <c r="BJ148" s="25" t="n">
        <v>10.5</v>
      </c>
      <c r="BK148" s="26" t="n">
        <v>-117</v>
      </c>
      <c r="BL148" s="27" t="n">
        <v>1.854701</v>
      </c>
      <c r="BM148" s="28" t="n">
        <v>0.539171</v>
      </c>
      <c r="BN148" s="28" t="n">
        <v>0.537313</v>
      </c>
      <c r="BO148" s="28" t="n"/>
      <c r="BP148" s="25" t="n"/>
      <c r="BQ148" s="27" t="n">
        <v>1.854701</v>
      </c>
      <c r="BR148" s="28" t="n">
        <v>0.54</v>
      </c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</row>
    <row r="149" ht="36" customHeight="1">
      <c r="A149" s="24" t="inlineStr">
        <is>
          <t>e163ce20f3ce438f</t>
        </is>
      </c>
      <c r="B149" s="24" t="inlineStr">
        <is>
          <t>2026-08-02T19:28:59.526399Z</t>
        </is>
      </c>
      <c r="C149" s="24" t="inlineStr">
        <is>
          <t>2026-08-02T20:10Z</t>
        </is>
      </c>
      <c r="D149" s="24" t="inlineStr">
        <is>
          <t>401816375</t>
        </is>
      </c>
      <c r="E149" s="24" t="inlineStr">
        <is>
          <t>MLB</t>
        </is>
      </c>
      <c r="F149" s="24" t="inlineStr">
        <is>
          <t>Minnesota Twins</t>
        </is>
      </c>
      <c r="G149" s="24" t="inlineStr">
        <is>
          <t>Seattle Mariners</t>
        </is>
      </c>
      <c r="H149" s="24" t="inlineStr">
        <is>
          <t>spread</t>
        </is>
      </c>
      <c r="I149" s="24" t="inlineStr">
        <is>
          <t>away</t>
        </is>
      </c>
      <c r="J149" s="25" t="n">
        <v>1.5</v>
      </c>
      <c r="K149" s="24" t="inlineStr">
        <is>
          <t>polymarket_us</t>
        </is>
      </c>
      <c r="L149" s="26" t="n">
        <v>-174</v>
      </c>
      <c r="M149" s="27" t="n">
        <v>1.574713</v>
      </c>
      <c r="N149" s="28" t="n">
        <v>0.635036</v>
      </c>
      <c r="O149" s="28" t="n">
        <v>0.628678</v>
      </c>
      <c r="P149" s="28" t="n">
        <v>0.042131</v>
      </c>
      <c r="Q149" s="28" t="n">
        <v>-0.006358</v>
      </c>
      <c r="R149" s="26" t="n">
        <v>23</v>
      </c>
      <c r="S149" s="29" t="n">
        <v>1.5</v>
      </c>
      <c r="T149" s="24" t="inlineStr">
        <is>
          <t>measured-edge-margin-v2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6</v>
      </c>
      <c r="X149" s="26" t="n">
        <v>7</v>
      </c>
      <c r="Y149" s="25" t="n">
        <v>1.5</v>
      </c>
      <c r="Z149" s="26" t="n">
        <v>-174</v>
      </c>
      <c r="AA149" s="28" t="n">
        <v>0.635</v>
      </c>
      <c r="AB149" s="28" t="n">
        <v>-3.6e-05</v>
      </c>
      <c r="AC149" s="30" t="n">
        <v>0.8621</v>
      </c>
      <c r="AD149" s="24" t="inlineStr">
        <is>
          <t>2026-08-02T23:12:47.970975Z</t>
        </is>
      </c>
      <c r="AE149" s="31" t="inlineStr">
        <is>
          <t>Measured Edge Margin: Trend Engine projected 4.08-3.93; raw selected-side p=0.6960, calibrated p=0.6287.</t>
        </is>
      </c>
      <c r="AF149" s="31" t="inlineStr">
        <is>
          <t>Research-only; lineup, bullpen, park, weather, xFIP, and wRC+ may be neutral fallbacks; market availability and BBO depth may change before first pitch.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3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mlb-min</t>
        </is>
      </c>
      <c r="AQ149" s="24" t="inlineStr">
        <is>
          <t>Minnesota Twins</t>
        </is>
      </c>
      <c r="AR149" s="24" t="inlineStr">
        <is>
          <t>Minnesota Twins</t>
        </is>
      </c>
      <c r="AS149" s="24" t="inlineStr">
        <is>
          <t>mlb-sea</t>
        </is>
      </c>
      <c r="AT149" s="24" t="inlineStr">
        <is>
          <t>Seattle Mariners</t>
        </is>
      </c>
      <c r="AU149" s="24" t="inlineStr">
        <is>
          <t>Seattle Mariners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8360b122264b796b0fb193095cfe4506c7e064e5f3f8c0a659aec41efd08dd25</t>
        </is>
      </c>
      <c r="BB149" s="24" t="inlineStr">
        <is>
          <t>flat_probability_shrinkage_toward_half</t>
        </is>
      </c>
      <c r="BC149" s="24" t="inlineStr">
        <is>
          <t>measured-edge-margin-v2</t>
        </is>
      </c>
      <c r="BD149" s="24" t="inlineStr">
        <is>
          <t>8360b122264b796b0fb193095cfe4506c7e064e5f3f8c0a659aec41efd08dd25</t>
        </is>
      </c>
      <c r="BE149" s="24" t="inlineStr">
        <is>
          <t>v3</t>
        </is>
      </c>
      <c r="BF149" s="24" t="inlineStr">
        <is>
          <t>1</t>
        </is>
      </c>
      <c r="BG149" s="24" t="inlineStr">
        <is>
          <t>measured-edge-paired-v1</t>
        </is>
      </c>
      <c r="BH149" s="24" t="inlineStr">
        <is>
          <t>2026-08-02T19:28:59.526399Z</t>
        </is>
      </c>
      <c r="BI149" s="24" t="inlineStr">
        <is>
          <t>["same_event","same_team_same_day","same_league_same_day"]</t>
        </is>
      </c>
      <c r="BJ149" s="25" t="n">
        <v>1.5</v>
      </c>
      <c r="BK149" s="26" t="n">
        <v>-174</v>
      </c>
      <c r="BL149" s="27" t="n">
        <v>1.574713</v>
      </c>
      <c r="BM149" s="28" t="n">
        <v>0.635036</v>
      </c>
      <c r="BN149" s="28" t="n">
        <v>0.631841</v>
      </c>
      <c r="BO149" s="28" t="n"/>
      <c r="BP149" s="25" t="n"/>
      <c r="BQ149" s="27" t="n">
        <v>1.574713</v>
      </c>
      <c r="BR149" s="28" t="n">
        <v>0.635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</row>
    <row r="150" ht="36" customHeight="1">
      <c r="A150" s="24" t="inlineStr">
        <is>
          <t>a5491aaa9b244458</t>
        </is>
      </c>
      <c r="B150" s="24" t="inlineStr">
        <is>
          <t>2026-08-02T19:28:59.526399Z</t>
        </is>
      </c>
      <c r="C150" s="24" t="inlineStr">
        <is>
          <t>2026-08-02T20:10Z</t>
        </is>
      </c>
      <c r="D150" s="24" t="inlineStr">
        <is>
          <t>401816375</t>
        </is>
      </c>
      <c r="E150" s="24" t="inlineStr">
        <is>
          <t>MLB</t>
        </is>
      </c>
      <c r="F150" s="24" t="inlineStr">
        <is>
          <t>Minnesota Twins</t>
        </is>
      </c>
      <c r="G150" s="24" t="inlineStr">
        <is>
          <t>Seattle Mariners</t>
        </is>
      </c>
      <c r="H150" s="24" t="inlineStr">
        <is>
          <t>total</t>
        </is>
      </c>
      <c r="I150" s="24" t="inlineStr">
        <is>
          <t>over</t>
        </is>
      </c>
      <c r="J150" s="25" t="n">
        <v>6.5</v>
      </c>
      <c r="K150" s="24" t="inlineStr">
        <is>
          <t>polymarket_us</t>
        </is>
      </c>
      <c r="L150" s="26" t="n">
        <v>-127</v>
      </c>
      <c r="M150" s="27" t="n">
        <v>1.787402</v>
      </c>
      <c r="N150" s="28" t="n">
        <v>0.5594710000000001</v>
      </c>
      <c r="O150" s="28" t="n">
        <v>0.554985</v>
      </c>
      <c r="P150" s="28" t="n">
        <v>0.042131</v>
      </c>
      <c r="Q150" s="28" t="n">
        <v>-0.004486</v>
      </c>
      <c r="R150" s="26" t="n">
        <v>24</v>
      </c>
      <c r="S150" s="29" t="n">
        <v>1</v>
      </c>
      <c r="T150" s="24" t="inlineStr">
        <is>
          <t>measured-edge-totals-v2</t>
        </is>
      </c>
      <c r="U150" s="24" t="inlineStr">
        <is>
          <t>settled</t>
        </is>
      </c>
      <c r="V150" s="24" t="inlineStr">
        <is>
          <t>win</t>
        </is>
      </c>
      <c r="W150" s="26" t="n">
        <v>6</v>
      </c>
      <c r="X150" s="26" t="n">
        <v>7</v>
      </c>
      <c r="Y150" s="25" t="n">
        <v>6.5</v>
      </c>
      <c r="Z150" s="26" t="n">
        <v>-127</v>
      </c>
      <c r="AA150" s="28" t="n">
        <v>0.5600000000000001</v>
      </c>
      <c r="AB150" s="28" t="n">
        <v>0.000529</v>
      </c>
      <c r="AC150" s="30" t="n">
        <v>0.7874</v>
      </c>
      <c r="AD150" s="24" t="inlineStr">
        <is>
          <t>2026-08-02T23:12:49.078464Z</t>
        </is>
      </c>
      <c r="AE150" s="31" t="inlineStr">
        <is>
          <t>Measured Edge Totals: Trend Engine projected 4.08-3.93; raw selected-side p=0.6377, calibrated p=0.5550.</t>
        </is>
      </c>
      <c r="AF150" s="31" t="inlineStr">
        <is>
          <t>Research-only; lineup, bullpen, park, weather, xFIP, and wRC+ may be neutral fallbacks; market availability and BBO depth may change before first pitch.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3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mlb-min</t>
        </is>
      </c>
      <c r="AQ150" s="24" t="inlineStr">
        <is>
          <t>Minnesota Twins</t>
        </is>
      </c>
      <c r="AR150" s="24" t="inlineStr">
        <is>
          <t>Minnesota Twins</t>
        </is>
      </c>
      <c r="AS150" s="24" t="inlineStr">
        <is>
          <t>mlb-sea</t>
        </is>
      </c>
      <c r="AT150" s="24" t="inlineStr">
        <is>
          <t>Seattle Mariners</t>
        </is>
      </c>
      <c r="AU150" s="24" t="inlineStr">
        <is>
          <t>Seattle Mariners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433578016242b27f9c1c7132cc6b5a2bcc7dd1b0234590c12a944455a88e71bd</t>
        </is>
      </c>
      <c r="BB150" s="24" t="inlineStr">
        <is>
          <t>flat_probability_shrinkage_toward_half</t>
        </is>
      </c>
      <c r="BC150" s="24" t="inlineStr">
        <is>
          <t>measured-edge-totals-v2</t>
        </is>
      </c>
      <c r="BD150" s="24" t="inlineStr">
        <is>
          <t>433578016242b27f9c1c7132cc6b5a2bcc7dd1b0234590c12a944455a88e71bd</t>
        </is>
      </c>
      <c r="BE150" s="24" t="inlineStr">
        <is>
          <t>v3</t>
        </is>
      </c>
      <c r="BF150" s="24" t="inlineStr">
        <is>
          <t>1</t>
        </is>
      </c>
      <c r="BG150" s="24" t="inlineStr">
        <is>
          <t>measured-edge-paired-v1</t>
        </is>
      </c>
      <c r="BH150" s="24" t="inlineStr">
        <is>
          <t>2026-08-02T19:28:59.526399Z</t>
        </is>
      </c>
      <c r="BI150" s="24" t="inlineStr">
        <is>
          <t>["same_event","same_team_same_day","same_league_same_day"]</t>
        </is>
      </c>
      <c r="BJ150" s="25" t="n">
        <v>6.5</v>
      </c>
      <c r="BK150" s="26" t="n">
        <v>-127</v>
      </c>
      <c r="BL150" s="27" t="n">
        <v>1.787402</v>
      </c>
      <c r="BM150" s="28" t="n">
        <v>0.5594710000000001</v>
      </c>
      <c r="BN150" s="28" t="n">
        <v>0.557214</v>
      </c>
      <c r="BO150" s="28" t="n"/>
      <c r="BP150" s="25" t="n"/>
      <c r="BQ150" s="27" t="n">
        <v>1.787402</v>
      </c>
      <c r="BR150" s="28" t="n">
        <v>0.5600000000000001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</row>
    <row r="151" ht="36" customHeight="1">
      <c r="A151" s="24" t="inlineStr">
        <is>
          <t>4e1c56d8d61e407f</t>
        </is>
      </c>
      <c r="B151" s="24" t="inlineStr">
        <is>
          <t>2026-08-02T19:28:59.526399Z</t>
        </is>
      </c>
      <c r="C151" s="24" t="inlineStr">
        <is>
          <t>2026-08-02T20:10Z</t>
        </is>
      </c>
      <c r="D151" s="24" t="inlineStr">
        <is>
          <t>401816376</t>
        </is>
      </c>
      <c r="E151" s="24" t="inlineStr">
        <is>
          <t>MLB</t>
        </is>
      </c>
      <c r="F151" s="24" t="inlineStr">
        <is>
          <t>San Francisco Giants</t>
        </is>
      </c>
      <c r="G151" s="24" t="inlineStr">
        <is>
          <t>San Diego Padres</t>
        </is>
      </c>
      <c r="H151" s="24" t="inlineStr">
        <is>
          <t>spread</t>
        </is>
      </c>
      <c r="I151" s="24" t="inlineStr">
        <is>
          <t>away</t>
        </is>
      </c>
      <c r="J151" s="25" t="n">
        <v>1.5</v>
      </c>
      <c r="K151" s="24" t="inlineStr">
        <is>
          <t>polymarket_us</t>
        </is>
      </c>
      <c r="L151" s="26" t="n">
        <v>-182</v>
      </c>
      <c r="M151" s="27" t="n">
        <v>1.549451</v>
      </c>
      <c r="N151" s="28" t="n">
        <v>0.64539</v>
      </c>
      <c r="O151" s="28" t="n">
        <v>0.60355</v>
      </c>
      <c r="P151" s="28" t="n">
        <v>0.042131</v>
      </c>
      <c r="Q151" s="28" t="n">
        <v>-0.04184</v>
      </c>
      <c r="R151" s="26" t="n">
        <v>6</v>
      </c>
      <c r="S151" s="29" t="n">
        <v>1.5</v>
      </c>
      <c r="T151" s="24" t="inlineStr">
        <is>
          <t>measured-edge-margin-v2</t>
        </is>
      </c>
      <c r="U151" s="24" t="inlineStr">
        <is>
          <t>settled</t>
        </is>
      </c>
      <c r="V151" s="24" t="inlineStr">
        <is>
          <t>win</t>
        </is>
      </c>
      <c r="W151" s="26" t="n">
        <v>4</v>
      </c>
      <c r="X151" s="26" t="n">
        <v>5</v>
      </c>
      <c r="Y151" s="25" t="n">
        <v>1.5</v>
      </c>
      <c r="Z151" s="26" t="n">
        <v>-182</v>
      </c>
      <c r="AA151" s="28" t="n">
        <v>0.645</v>
      </c>
      <c r="AB151" s="28" t="n">
        <v>-0.00039</v>
      </c>
      <c r="AC151" s="30" t="n">
        <v>0.8242</v>
      </c>
      <c r="AD151" s="24" t="inlineStr">
        <is>
          <t>2026-08-03T02:34:15.985871Z</t>
        </is>
      </c>
      <c r="AE151" s="31" t="inlineStr">
        <is>
          <t>Measured Edge Margin: Trend Engine projected 4.68-4.77; raw selected-side p=0.6577, calibrated p=0.6035.</t>
        </is>
      </c>
      <c r="AF151" s="31" t="inlineStr">
        <is>
          <t>Research-only; lineup, bullpen, park, weather, xFIP, and wRC+ may be neutral fallbacks; market availability and BBO depth may change before first pitch.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3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mlb-sf</t>
        </is>
      </c>
      <c r="AQ151" s="24" t="inlineStr">
        <is>
          <t>San Francisco Giants</t>
        </is>
      </c>
      <c r="AR151" s="24" t="inlineStr">
        <is>
          <t>San Francisco Giants</t>
        </is>
      </c>
      <c r="AS151" s="24" t="inlineStr">
        <is>
          <t>mlb-sd</t>
        </is>
      </c>
      <c r="AT151" s="24" t="inlineStr">
        <is>
          <t>San Diego Padres</t>
        </is>
      </c>
      <c r="AU151" s="24" t="inlineStr">
        <is>
          <t>San Diego Padres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research</t>
        </is>
      </c>
      <c r="BA151" s="24" t="inlineStr">
        <is>
          <t>8360b122264b796b0fb193095cfe4506c7e064e5f3f8c0a659aec41efd08dd25</t>
        </is>
      </c>
      <c r="BB151" s="24" t="inlineStr">
        <is>
          <t>flat_probability_shrinkage_toward_half</t>
        </is>
      </c>
      <c r="BC151" s="24" t="inlineStr">
        <is>
          <t>measured-edge-margin-v2</t>
        </is>
      </c>
      <c r="BD151" s="24" t="inlineStr">
        <is>
          <t>8360b122264b796b0fb193095cfe4506c7e064e5f3f8c0a659aec41efd08dd25</t>
        </is>
      </c>
      <c r="BE151" s="24" t="inlineStr">
        <is>
          <t>v3</t>
        </is>
      </c>
      <c r="BF151" s="24" t="inlineStr">
        <is>
          <t>1</t>
        </is>
      </c>
      <c r="BG151" s="24" t="inlineStr">
        <is>
          <t>measured-edge-paired-v1</t>
        </is>
      </c>
      <c r="BH151" s="24" t="inlineStr">
        <is>
          <t>2026-08-02T19:28:59.526399Z</t>
        </is>
      </c>
      <c r="BI151" s="24" t="inlineStr">
        <is>
          <t>["same_event","same_team_same_day","same_league_same_day"]</t>
        </is>
      </c>
      <c r="BJ151" s="25" t="n">
        <v>1.5</v>
      </c>
      <c r="BK151" s="26" t="n">
        <v>-182</v>
      </c>
      <c r="BL151" s="27" t="n">
        <v>1.549451</v>
      </c>
      <c r="BM151" s="28" t="n">
        <v>0.64539</v>
      </c>
      <c r="BN151" s="28" t="n">
        <v>0.641791</v>
      </c>
      <c r="BO151" s="28" t="n"/>
      <c r="BP151" s="25" t="n"/>
      <c r="BQ151" s="27" t="n">
        <v>1.549451</v>
      </c>
      <c r="BR151" s="28" t="n">
        <v>0.645</v>
      </c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9e0052b003c34b20</t>
        </is>
      </c>
      <c r="B152" s="24" t="inlineStr">
        <is>
          <t>2026-08-02T19:28:59.526399Z</t>
        </is>
      </c>
      <c r="C152" s="24" t="inlineStr">
        <is>
          <t>2026-08-02T20:10Z</t>
        </is>
      </c>
      <c r="D152" s="24" t="inlineStr">
        <is>
          <t>401816376</t>
        </is>
      </c>
      <c r="E152" s="24" t="inlineStr">
        <is>
          <t>MLB</t>
        </is>
      </c>
      <c r="F152" s="24" t="inlineStr">
        <is>
          <t>San Francisco Giants</t>
        </is>
      </c>
      <c r="G152" s="24" t="inlineStr">
        <is>
          <t>San Diego Padres</t>
        </is>
      </c>
      <c r="H152" s="24" t="inlineStr">
        <is>
          <t>total</t>
        </is>
      </c>
      <c r="I152" s="24" t="inlineStr">
        <is>
          <t>over</t>
        </is>
      </c>
      <c r="J152" s="25" t="n">
        <v>7.5</v>
      </c>
      <c r="K152" s="24" t="inlineStr">
        <is>
          <t>polymarket_us</t>
        </is>
      </c>
      <c r="L152" s="26" t="n">
        <v>-120</v>
      </c>
      <c r="M152" s="27" t="n">
        <v>1.833333</v>
      </c>
      <c r="N152" s="28" t="n">
        <v>0.545455</v>
      </c>
      <c r="O152" s="28" t="n">
        <v>0.553687</v>
      </c>
      <c r="P152" s="28" t="n">
        <v>0.042131</v>
      </c>
      <c r="Q152" s="28" t="n">
        <v>0.008232</v>
      </c>
      <c r="R152" s="26" t="n">
        <v>30</v>
      </c>
      <c r="S152" s="29" t="n">
        <v>1</v>
      </c>
      <c r="T152" s="24" t="inlineStr">
        <is>
          <t>measured-edge-totals-v2</t>
        </is>
      </c>
      <c r="U152" s="24" t="inlineStr">
        <is>
          <t>settled</t>
        </is>
      </c>
      <c r="V152" s="24" t="inlineStr">
        <is>
          <t>win</t>
        </is>
      </c>
      <c r="W152" s="26" t="n">
        <v>4</v>
      </c>
      <c r="X152" s="26" t="n">
        <v>5</v>
      </c>
      <c r="Y152" s="25" t="n">
        <v>7.5</v>
      </c>
      <c r="Z152" s="26" t="n">
        <v>-120</v>
      </c>
      <c r="AA152" s="28" t="n">
        <v>0.545</v>
      </c>
      <c r="AB152" s="28" t="n">
        <v>-0.000455</v>
      </c>
      <c r="AC152" s="30" t="n">
        <v>0.8333</v>
      </c>
      <c r="AD152" s="24" t="inlineStr">
        <is>
          <t>2026-08-03T02:34:17.084403Z</t>
        </is>
      </c>
      <c r="AE152" s="31" t="inlineStr">
        <is>
          <t>Measured Edge Totals: Trend Engine projected 4.68-4.77; raw selected-side p=0.6339, calibrated p=0.5537.</t>
        </is>
      </c>
      <c r="AF152" s="31" t="inlineStr">
        <is>
          <t>Research-only; lineup, bullpen, park, weather, xFIP, and wRC+ may be neutral fallbacks; market availability and BBO depth may change before first pitch.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3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mlb-sf</t>
        </is>
      </c>
      <c r="AQ152" s="24" t="inlineStr">
        <is>
          <t>San Francisco Giants</t>
        </is>
      </c>
      <c r="AR152" s="24" t="inlineStr">
        <is>
          <t>San Francisco Giants</t>
        </is>
      </c>
      <c r="AS152" s="24" t="inlineStr">
        <is>
          <t>mlb-sd</t>
        </is>
      </c>
      <c r="AT152" s="24" t="inlineStr">
        <is>
          <t>San Diego Padres</t>
        </is>
      </c>
      <c r="AU152" s="24" t="inlineStr">
        <is>
          <t>San Diego Padres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research</t>
        </is>
      </c>
      <c r="BA152" s="24" t="inlineStr">
        <is>
          <t>433578016242b27f9c1c7132cc6b5a2bcc7dd1b0234590c12a944455a88e71bd</t>
        </is>
      </c>
      <c r="BB152" s="24" t="inlineStr">
        <is>
          <t>flat_probability_shrinkage_toward_half</t>
        </is>
      </c>
      <c r="BC152" s="24" t="inlineStr">
        <is>
          <t>measured-edge-totals-v2</t>
        </is>
      </c>
      <c r="BD152" s="24" t="inlineStr">
        <is>
          <t>433578016242b27f9c1c7132cc6b5a2bcc7dd1b0234590c12a944455a88e71bd</t>
        </is>
      </c>
      <c r="BE152" s="24" t="inlineStr">
        <is>
          <t>v3</t>
        </is>
      </c>
      <c r="BF152" s="24" t="inlineStr">
        <is>
          <t>1</t>
        </is>
      </c>
      <c r="BG152" s="24" t="inlineStr">
        <is>
          <t>measured-edge-paired-v1</t>
        </is>
      </c>
      <c r="BH152" s="24" t="inlineStr">
        <is>
          <t>2026-08-02T19:28:59.526399Z</t>
        </is>
      </c>
      <c r="BI152" s="24" t="inlineStr">
        <is>
          <t>["same_event","same_team_same_day","same_league_same_day"]</t>
        </is>
      </c>
      <c r="BJ152" s="25" t="n">
        <v>7.5</v>
      </c>
      <c r="BK152" s="26" t="n">
        <v>-120</v>
      </c>
      <c r="BL152" s="27" t="n">
        <v>1.833333</v>
      </c>
      <c r="BM152" s="28" t="n">
        <v>0.545455</v>
      </c>
      <c r="BN152" s="28" t="n">
        <v>0.542289</v>
      </c>
      <c r="BO152" s="28" t="n"/>
      <c r="BP152" s="25" t="n"/>
      <c r="BQ152" s="27" t="n">
        <v>1.833333</v>
      </c>
      <c r="BR152" s="28" t="n">
        <v>0.545</v>
      </c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</row>
    <row r="153" ht="36" customHeight="1">
      <c r="A153" s="24" t="inlineStr">
        <is>
          <t>d533b1a254e941d5</t>
        </is>
      </c>
      <c r="B153" s="24" t="inlineStr">
        <is>
          <t>2026-08-02T23:14:34.350495Z</t>
        </is>
      </c>
      <c r="C153" s="24" t="inlineStr">
        <is>
          <t>2026-08-02T19:20:00-0400</t>
        </is>
      </c>
      <c r="D153" s="24" t="inlineStr">
        <is>
          <t>401816372</t>
        </is>
      </c>
      <c r="E153" s="24" t="inlineStr">
        <is>
          <t>MLB</t>
        </is>
      </c>
      <c r="F153" s="24" t="inlineStr">
        <is>
          <t>Boston Red Sox</t>
        </is>
      </c>
      <c r="G153" s="24" t="inlineStr">
        <is>
          <t>Los Angeles Dodgers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-167</v>
      </c>
      <c r="M153" s="27" t="n">
        <v>1.598802</v>
      </c>
      <c r="N153" s="28" t="n">
        <v>0.625468</v>
      </c>
      <c r="O153" s="28" t="n">
        <v>0.559308</v>
      </c>
      <c r="P153" s="28" t="n"/>
      <c r="Q153" s="28" t="n">
        <v>-0.06616</v>
      </c>
      <c r="R153" s="26" t="n">
        <v>0</v>
      </c>
      <c r="S153" s="29" t="n">
        <v>1</v>
      </c>
      <c r="T153" s="24" t="inlineStr">
        <is>
          <t>mlb-elo-trend-lr-v7</t>
        </is>
      </c>
      <c r="U153" s="24" t="inlineStr">
        <is>
          <t>settled</t>
        </is>
      </c>
      <c r="V153" s="24" t="inlineStr">
        <is>
          <t>loss</t>
        </is>
      </c>
      <c r="W153" s="26" t="n">
        <v>8</v>
      </c>
      <c r="X153" s="26" t="n">
        <v>4</v>
      </c>
      <c r="Y153" s="25" t="n"/>
      <c r="Z153" s="26" t="n">
        <v>-167</v>
      </c>
      <c r="AA153" s="28" t="n">
        <v>0.625</v>
      </c>
      <c r="AB153" s="28" t="n">
        <v>-0.000468</v>
      </c>
      <c r="AC153" s="30" t="n">
        <v>-1</v>
      </c>
      <c r="AD153" s="24" t="inlineStr">
        <is>
          <t>2026-08-03T02:34:28.136049Z</t>
        </is>
      </c>
      <c r="AE153" s="31" t="inlineStr">
        <is>
          <t>Learned LR call at threshold 0.6242; executable ask 0.6250 (aec-mlb-bos-lad-2026-08-02); model edge vs ask -0.0657.</t>
        </is>
      </c>
      <c r="AF153" s="31" t="inlineStr">
        <is>
          <t>Learned model; shadow-qualified via operator override.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3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mlb-bos</t>
        </is>
      </c>
      <c r="AQ153" s="24" t="inlineStr">
        <is>
          <t>Boston Red Sox</t>
        </is>
      </c>
      <c r="AR153" s="24" t="inlineStr">
        <is>
          <t>Boston Red Sox</t>
        </is>
      </c>
      <c r="AS153" s="24" t="inlineStr">
        <is>
          <t>mlb-lad</t>
        </is>
      </c>
      <c r="AT153" s="24" t="inlineStr">
        <is>
          <t>Los Angeles Dodgers</t>
        </is>
      </c>
      <c r="AU153" s="24" t="inlineStr">
        <is>
          <t>Los Angeles Dodgers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464eef695bfbbdaa819ec6f5e4c5bd1068ed20b92915fb2677220ae91e20d8b6</t>
        </is>
      </c>
      <c r="BB153" s="24" t="inlineStr">
        <is>
          <t>learned_lr</t>
        </is>
      </c>
      <c r="BC153" s="24" t="inlineStr">
        <is>
          <t>mlb-elo-trend-lr-v7</t>
        </is>
      </c>
      <c r="BD153" s="24" t="inlineStr">
        <is>
          <t>464eef695bfbbdaa819ec6f5e4c5bd1068ed20b92915fb2677220ae91e20d8b6</t>
        </is>
      </c>
      <c r="BE153" s="24" t="inlineStr">
        <is>
          <t>26820627b20594e9</t>
        </is>
      </c>
      <c r="BF153" s="24" t="inlineStr">
        <is>
          <t>1</t>
        </is>
      </c>
      <c r="BG153" s="24" t="inlineStr">
        <is>
          <t>mlb-elo-trend-lr-v7</t>
        </is>
      </c>
      <c r="BH153" s="24" t="inlineStr">
        <is>
          <t>2026-08-02T23:13:56.204079Z</t>
        </is>
      </c>
      <c r="BI153" s="24" t="inlineStr">
        <is>
          <t>["same_event","same_team_same_day","same_league_same_day"]</t>
        </is>
      </c>
      <c r="BJ153" s="25" t="n"/>
      <c r="BK153" s="26" t="n">
        <v>-167</v>
      </c>
      <c r="BL153" s="27" t="n">
        <v>1.598802</v>
      </c>
      <c r="BM153" s="28" t="n">
        <v>0.625468</v>
      </c>
      <c r="BN153" s="28" t="n">
        <v>0.621891</v>
      </c>
      <c r="BO153" s="28" t="n"/>
      <c r="BP153" s="25" t="n"/>
      <c r="BQ153" s="27" t="n">
        <v>1.598802</v>
      </c>
      <c r="BR153" s="28" t="n">
        <v>0.625</v>
      </c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inlineStr">
        <is>
          <t>0.5465616607</t>
        </is>
      </c>
      <c r="CD153" s="24" t="inlineStr">
        <is>
          <t>-0.812713</t>
        </is>
      </c>
      <c r="CE153" s="24" t="inlineStr">
        <is>
          <t>1.026</t>
        </is>
      </c>
      <c r="CF153" s="24" t="inlineStr">
        <is>
          <t>1.0186</t>
        </is>
      </c>
      <c r="CG153" s="24" t="inlineStr">
        <is>
          <t>2.6</t>
        </is>
      </c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inlineStr">
        <is>
          <t>0.559308</t>
        </is>
      </c>
      <c r="CS153" s="24" t="inlineStr">
        <is>
          <t>False</t>
        </is>
      </c>
    </row>
    <row r="154" ht="36" customHeight="1">
      <c r="A154" s="24" t="inlineStr">
        <is>
          <t>333c1308d7d242f9</t>
        </is>
      </c>
      <c r="B154" s="24" t="inlineStr">
        <is>
          <t>2026-08-02T23:14:42.456082Z</t>
        </is>
      </c>
      <c r="C154" s="24" t="inlineStr">
        <is>
          <t>2026-08-02T23:20Z</t>
        </is>
      </c>
      <c r="D154" s="24" t="inlineStr">
        <is>
          <t>401816372</t>
        </is>
      </c>
      <c r="E154" s="24" t="inlineStr">
        <is>
          <t>MLB</t>
        </is>
      </c>
      <c r="F154" s="24" t="inlineStr">
        <is>
          <t>Boston Red Sox</t>
        </is>
      </c>
      <c r="G154" s="24" t="inlineStr">
        <is>
          <t>Los Angeles Dodgers</t>
        </is>
      </c>
      <c r="H154" s="24" t="inlineStr">
        <is>
          <t>spread</t>
        </is>
      </c>
      <c r="I154" s="24" t="inlineStr">
        <is>
          <t>away</t>
        </is>
      </c>
      <c r="J154" s="25" t="n">
        <v>1.5</v>
      </c>
      <c r="K154" s="24" t="inlineStr">
        <is>
          <t>polymarket_us</t>
        </is>
      </c>
      <c r="L154" s="26" t="n">
        <v>-130</v>
      </c>
      <c r="M154" s="27" t="n">
        <v>1.769231</v>
      </c>
      <c r="N154" s="28" t="n">
        <v>0.565217</v>
      </c>
      <c r="O154" s="28" t="n">
        <v>0.660959</v>
      </c>
      <c r="P154" s="28" t="n">
        <v>0.042131</v>
      </c>
      <c r="Q154" s="28" t="n">
        <v>0.09574199999999999</v>
      </c>
      <c r="R154" s="26" t="n">
        <v>74</v>
      </c>
      <c r="S154" s="29" t="n">
        <v>1.75</v>
      </c>
      <c r="T154" s="24" t="inlineStr">
        <is>
          <t>measured-edge-margin-v2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8</v>
      </c>
      <c r="X154" s="26" t="n">
        <v>4</v>
      </c>
      <c r="Y154" s="25" t="n">
        <v>1.5</v>
      </c>
      <c r="Z154" s="26" t="n">
        <v>-130</v>
      </c>
      <c r="AA154" s="28" t="n">
        <v>0.5649999999999999</v>
      </c>
      <c r="AB154" s="28" t="n">
        <v>-0.000217</v>
      </c>
      <c r="AC154" s="30" t="n">
        <v>1.3462</v>
      </c>
      <c r="AD154" s="24" t="inlineStr">
        <is>
          <t>2026-08-03T02:34:29.280935Z</t>
        </is>
      </c>
      <c r="AE154" s="31" t="inlineStr">
        <is>
          <t>Measured Edge Margin: Trend Engine projected 4.69-3.91; raw selected-side p=0.7452, calibrated p=0.6610.</t>
        </is>
      </c>
      <c r="AF154" s="31" t="inlineStr">
        <is>
          <t>Research-only; lineup, bullpen, park, weather, xFIP, and wRC+ may be neutral fallbacks; market availability and BBO depth may change before first pitch.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3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mlb-bos</t>
        </is>
      </c>
      <c r="AQ154" s="24" t="inlineStr">
        <is>
          <t>Boston Red Sox</t>
        </is>
      </c>
      <c r="AR154" s="24" t="inlineStr">
        <is>
          <t>Boston Red Sox</t>
        </is>
      </c>
      <c r="AS154" s="24" t="inlineStr">
        <is>
          <t>mlb-lad</t>
        </is>
      </c>
      <c r="AT154" s="24" t="inlineStr">
        <is>
          <t>Los Angeles Dodgers</t>
        </is>
      </c>
      <c r="AU154" s="24" t="inlineStr">
        <is>
          <t>Los Angeles Dodgers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research</t>
        </is>
      </c>
      <c r="BA154" s="24" t="inlineStr">
        <is>
          <t>8360b122264b796b0fb193095cfe4506c7e064e5f3f8c0a659aec41efd08dd25</t>
        </is>
      </c>
      <c r="BB154" s="24" t="inlineStr">
        <is>
          <t>flat_probability_shrinkage_toward_half</t>
        </is>
      </c>
      <c r="BC154" s="24" t="inlineStr">
        <is>
          <t>measured-edge-margin-v2</t>
        </is>
      </c>
      <c r="BD154" s="24" t="inlineStr">
        <is>
          <t>8360b122264b796b0fb193095cfe4506c7e064e5f3f8c0a659aec41efd08dd25</t>
        </is>
      </c>
      <c r="BE154" s="24" t="inlineStr">
        <is>
          <t>v3</t>
        </is>
      </c>
      <c r="BF154" s="24" t="inlineStr">
        <is>
          <t>1</t>
        </is>
      </c>
      <c r="BG154" s="24" t="inlineStr">
        <is>
          <t>measured-edge-paired-v1</t>
        </is>
      </c>
      <c r="BH154" s="24" t="inlineStr">
        <is>
          <t>2026-08-02T23:14:42.456082Z</t>
        </is>
      </c>
      <c r="BI154" s="24" t="inlineStr">
        <is>
          <t>["same_event","same_team_same_day","same_league_same_day"]</t>
        </is>
      </c>
      <c r="BJ154" s="25" t="n">
        <v>1.5</v>
      </c>
      <c r="BK154" s="26" t="n">
        <v>-130</v>
      </c>
      <c r="BL154" s="27" t="n">
        <v>1.769231</v>
      </c>
      <c r="BM154" s="28" t="n">
        <v>0.565217</v>
      </c>
      <c r="BN154" s="28" t="n">
        <v>0.562189</v>
      </c>
      <c r="BO154" s="28" t="n"/>
      <c r="BP154" s="25" t="n"/>
      <c r="BQ154" s="27" t="n">
        <v>1.769231</v>
      </c>
      <c r="BR154" s="28" t="n">
        <v>0.5649999999999999</v>
      </c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37962c1231a749de</t>
        </is>
      </c>
      <c r="B155" s="24" t="inlineStr">
        <is>
          <t>2026-08-02T23:14:42.456082Z</t>
        </is>
      </c>
      <c r="C155" s="24" t="inlineStr">
        <is>
          <t>2026-08-02T23:20Z</t>
        </is>
      </c>
      <c r="D155" s="24" t="inlineStr">
        <is>
          <t>401816372</t>
        </is>
      </c>
      <c r="E155" s="24" t="inlineStr">
        <is>
          <t>MLB</t>
        </is>
      </c>
      <c r="F155" s="24" t="inlineStr">
        <is>
          <t>Boston Red Sox</t>
        </is>
      </c>
      <c r="G155" s="24" t="inlineStr">
        <is>
          <t>Los Angeles Dodgers</t>
        </is>
      </c>
      <c r="H155" s="24" t="inlineStr">
        <is>
          <t>total</t>
        </is>
      </c>
      <c r="I155" s="24" t="inlineStr">
        <is>
          <t>under</t>
        </is>
      </c>
      <c r="J155" s="25" t="n">
        <v>8.5</v>
      </c>
      <c r="K155" s="24" t="inlineStr">
        <is>
          <t>polymarket_us</t>
        </is>
      </c>
      <c r="L155" s="26" t="n">
        <v>-102</v>
      </c>
      <c r="M155" s="27" t="n">
        <v>1.980392</v>
      </c>
      <c r="N155" s="28" t="n">
        <v>0.50495</v>
      </c>
      <c r="O155" s="28" t="n">
        <v>0.516783</v>
      </c>
      <c r="P155" s="28" t="n">
        <v>0.042131</v>
      </c>
      <c r="Q155" s="28" t="n">
        <v>0.011833</v>
      </c>
      <c r="R155" s="26" t="n">
        <v>32</v>
      </c>
      <c r="S155" s="29" t="n">
        <v>1</v>
      </c>
      <c r="T155" s="24" t="inlineStr">
        <is>
          <t>measured-edge-totals-v2</t>
        </is>
      </c>
      <c r="U155" s="24" t="inlineStr">
        <is>
          <t>settled</t>
        </is>
      </c>
      <c r="V155" s="24" t="inlineStr">
        <is>
          <t>loss</t>
        </is>
      </c>
      <c r="W155" s="26" t="n">
        <v>8</v>
      </c>
      <c r="X155" s="26" t="n">
        <v>4</v>
      </c>
      <c r="Y155" s="25" t="n">
        <v>8.5</v>
      </c>
      <c r="Z155" s="26" t="n">
        <v>-102</v>
      </c>
      <c r="AA155" s="28" t="n">
        <v>0.505</v>
      </c>
      <c r="AB155" s="28" t="n">
        <v>5e-05</v>
      </c>
      <c r="AC155" s="30" t="n">
        <v>-1</v>
      </c>
      <c r="AD155" s="24" t="inlineStr">
        <is>
          <t>2026-08-03T02:34:30.384400Z</t>
        </is>
      </c>
      <c r="AE155" s="31" t="inlineStr">
        <is>
          <t>Measured Edge Totals: Trend Engine projected 4.69-3.91; raw selected-side p=0.5259, calibrated p=0.5168.</t>
        </is>
      </c>
      <c r="AF155" s="31" t="inlineStr">
        <is>
          <t>Research-only; lineup, bullpen, park, weather, xFIP, and wRC+ may be neutral fallbacks; market availability and BBO depth may change before first pitch.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mlb-bos</t>
        </is>
      </c>
      <c r="AQ155" s="24" t="inlineStr">
        <is>
          <t>Boston Red Sox</t>
        </is>
      </c>
      <c r="AR155" s="24" t="inlineStr">
        <is>
          <t>Boston Red Sox</t>
        </is>
      </c>
      <c r="AS155" s="24" t="inlineStr">
        <is>
          <t>mlb-lad</t>
        </is>
      </c>
      <c r="AT155" s="24" t="inlineStr">
        <is>
          <t>Los Angeles Dodgers</t>
        </is>
      </c>
      <c r="AU155" s="24" t="inlineStr">
        <is>
          <t>Los Angeles Dodgers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research</t>
        </is>
      </c>
      <c r="BA155" s="24" t="inlineStr">
        <is>
          <t>433578016242b27f9c1c7132cc6b5a2bcc7dd1b0234590c12a944455a88e71bd</t>
        </is>
      </c>
      <c r="BB155" s="24" t="inlineStr">
        <is>
          <t>flat_probability_shrinkage_toward_half</t>
        </is>
      </c>
      <c r="BC155" s="24" t="inlineStr">
        <is>
          <t>measured-edge-totals-v2</t>
        </is>
      </c>
      <c r="BD155" s="24" t="inlineStr">
        <is>
          <t>433578016242b27f9c1c7132cc6b5a2bcc7dd1b0234590c12a944455a88e71bd</t>
        </is>
      </c>
      <c r="BE155" s="24" t="inlineStr">
        <is>
          <t>v3</t>
        </is>
      </c>
      <c r="BF155" s="24" t="inlineStr">
        <is>
          <t>1</t>
        </is>
      </c>
      <c r="BG155" s="24" t="inlineStr">
        <is>
          <t>measured-edge-paired-v1</t>
        </is>
      </c>
      <c r="BH155" s="24" t="inlineStr">
        <is>
          <t>2026-08-02T23:14:42.456082Z</t>
        </is>
      </c>
      <c r="BI155" s="24" t="inlineStr">
        <is>
          <t>["same_event","same_team_same_day","same_league_same_day"]</t>
        </is>
      </c>
      <c r="BJ155" s="25" t="n">
        <v>8.5</v>
      </c>
      <c r="BK155" s="26" t="n">
        <v>-102</v>
      </c>
      <c r="BL155" s="27" t="n">
        <v>1.980392</v>
      </c>
      <c r="BM155" s="28" t="n">
        <v>0.50495</v>
      </c>
      <c r="BN155" s="28" t="n">
        <v>0.502488</v>
      </c>
      <c r="BO155" s="28" t="n"/>
      <c r="BP155" s="25" t="n"/>
      <c r="BQ155" s="27" t="n">
        <v>1.980392</v>
      </c>
      <c r="BR155" s="28" t="n">
        <v>0.505</v>
      </c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c559d43152394936</t>
        </is>
      </c>
      <c r="B156" s="24" t="inlineStr">
        <is>
          <t>2026-08-03T19:53:17.543566Z</t>
        </is>
      </c>
      <c r="C156" s="24" t="inlineStr">
        <is>
          <t>2026-08-03T18:40:00-0400</t>
        </is>
      </c>
      <c r="D156" s="24" t="inlineStr">
        <is>
          <t>401816378</t>
        </is>
      </c>
      <c r="E156" s="24" t="inlineStr">
        <is>
          <t>MLB</t>
        </is>
      </c>
      <c r="F156" s="24" t="inlineStr">
        <is>
          <t>Washington Nationals</t>
        </is>
      </c>
      <c r="G156" s="24" t="inlineStr">
        <is>
          <t>Philadelphia Phillies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-144</v>
      </c>
      <c r="M156" s="27" t="n">
        <v>1.694444</v>
      </c>
      <c r="N156" s="28" t="n">
        <v>0.590164</v>
      </c>
      <c r="O156" s="28" t="n">
        <v>0.580684</v>
      </c>
      <c r="P156" s="28" t="n"/>
      <c r="Q156" s="28" t="n">
        <v>-0.009480000000000001</v>
      </c>
      <c r="R156" s="26" t="n">
        <v>17</v>
      </c>
      <c r="S156" s="29" t="n">
        <v>0</v>
      </c>
      <c r="T156" s="24" t="inlineStr">
        <is>
          <t>mlb-elo-trend-lr-v7</t>
        </is>
      </c>
      <c r="U156" s="24" t="inlineStr">
        <is>
          <t>settled</t>
        </is>
      </c>
      <c r="V156" s="24" t="inlineStr">
        <is>
          <t>win</t>
        </is>
      </c>
      <c r="W156" s="26" t="n">
        <v>3</v>
      </c>
      <c r="X156" s="26" t="n">
        <v>6</v>
      </c>
      <c r="Y156" s="25" t="n"/>
      <c r="Z156" s="26" t="n">
        <v>-144</v>
      </c>
      <c r="AA156" s="28" t="n">
        <v>0.59</v>
      </c>
      <c r="AB156" s="28" t="n">
        <v>-0.000164</v>
      </c>
      <c r="AC156" s="30" t="n">
        <v>0</v>
      </c>
      <c r="AD156" s="24" t="inlineStr">
        <is>
          <t>2026-08-04T01:58:30.299664Z</t>
        </is>
      </c>
      <c r="AE156" s="31" t="inlineStr">
        <is>
          <t>Learned LR call at threshold 0.6242; executable ask 0.5900 (aec-mlb-wsh-phi-2026-08-03); model edge vs ask -0.0093.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research_observation</t>
        </is>
      </c>
      <c r="AL156" s="26" t="n">
        <v>3</v>
      </c>
      <c r="AM156" s="24" t="inlineStr">
        <is>
          <t>RESEARCH_OBSERVATION</t>
        </is>
      </c>
      <c r="AN156" s="24" t="inlineStr">
        <is>
          <t>NO_CALL</t>
        </is>
      </c>
      <c r="AO156" s="24" t="inlineStr">
        <is>
          <t>NO_CALL_BELOW_LEARNED_CONFIDENCE</t>
        </is>
      </c>
      <c r="AP156" s="24" t="inlineStr">
        <is>
          <t>mlb-wsh</t>
        </is>
      </c>
      <c r="AQ156" s="24" t="inlineStr">
        <is>
          <t>Washington Nationals</t>
        </is>
      </c>
      <c r="AR156" s="24" t="inlineStr">
        <is>
          <t>Washington Nationals</t>
        </is>
      </c>
      <c r="AS156" s="24" t="inlineStr">
        <is>
          <t>mlb-phi</t>
        </is>
      </c>
      <c r="AT156" s="24" t="inlineStr">
        <is>
          <t>Philadelphia Phillies</t>
        </is>
      </c>
      <c r="AU156" s="24" t="inlineStr">
        <is>
          <t>Philadelphia Phillies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464eef695bfbbdaa819ec6f5e4c5bd1068ed20b92915fb2677220ae91e20d8b6</t>
        </is>
      </c>
      <c r="BB156" s="24" t="inlineStr">
        <is>
          <t>learned_lr</t>
        </is>
      </c>
      <c r="BC156" s="24" t="inlineStr">
        <is>
          <t>mlb-elo-trend-lr-v7</t>
        </is>
      </c>
      <c r="BD156" s="24" t="inlineStr">
        <is>
          <t>464eef695bfbbdaa819ec6f5e4c5bd1068ed20b92915fb2677220ae91e20d8b6</t>
        </is>
      </c>
      <c r="BE156" s="24" t="inlineStr">
        <is>
          <t>baad173905698358</t>
        </is>
      </c>
      <c r="BF156" s="24" t="inlineStr">
        <is>
          <t>1</t>
        </is>
      </c>
      <c r="BG156" s="24" t="inlineStr">
        <is>
          <t>mlb-elo-trend-lr-v7</t>
        </is>
      </c>
      <c r="BH156" s="24" t="inlineStr">
        <is>
          <t>2026-08-03T19:52:28.680032Z</t>
        </is>
      </c>
      <c r="BI156" s="24" t="inlineStr">
        <is>
          <t>["same_event","same_team_same_day","same_league_same_day"]</t>
        </is>
      </c>
      <c r="BJ156" s="25" t="n"/>
      <c r="BK156" s="26" t="n">
        <v>-144</v>
      </c>
      <c r="BL156" s="27" t="n">
        <v>1.694444</v>
      </c>
      <c r="BM156" s="28" t="n">
        <v>0.590164</v>
      </c>
      <c r="BN156" s="28" t="n">
        <v>0.5870649999999999</v>
      </c>
      <c r="BO156" s="28" t="n"/>
      <c r="BP156" s="25" t="n"/>
      <c r="BQ156" s="27" t="n">
        <v>1.694444</v>
      </c>
      <c r="BR156" s="28" t="n">
        <v>0.59</v>
      </c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inlineStr">
        <is>
          <t>0.6336233127</t>
        </is>
      </c>
      <c r="CD156" s="24" t="inlineStr">
        <is>
          <t>1.918934</t>
        </is>
      </c>
      <c r="CE156" s="24" t="inlineStr">
        <is>
          <t>1.018</t>
        </is>
      </c>
      <c r="CF156" s="24" t="inlineStr">
        <is>
          <t>1.0102</t>
        </is>
      </c>
      <c r="CG156" s="24" t="inlineStr">
        <is>
          <t>-2.6</t>
        </is>
      </c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inlineStr">
        <is>
          <t>0.580684</t>
        </is>
      </c>
      <c r="CS156" s="24" t="inlineStr">
        <is>
          <t>False</t>
        </is>
      </c>
    </row>
    <row r="157" ht="36" customHeight="1">
      <c r="A157" s="24" t="inlineStr">
        <is>
          <t>418c833428434fc8</t>
        </is>
      </c>
      <c r="B157" s="24" t="inlineStr">
        <is>
          <t>2026-08-03T19:53:28.238725Z</t>
        </is>
      </c>
      <c r="C157" s="24" t="inlineStr">
        <is>
          <t>2026-08-03T22:40Z</t>
        </is>
      </c>
      <c r="D157" s="24" t="inlineStr">
        <is>
          <t>401816378</t>
        </is>
      </c>
      <c r="E157" s="24" t="inlineStr">
        <is>
          <t>MLB</t>
        </is>
      </c>
      <c r="F157" s="24" t="inlineStr">
        <is>
          <t>Washington Nationals</t>
        </is>
      </c>
      <c r="G157" s="24" t="inlineStr">
        <is>
          <t>Philadelphia Phillies</t>
        </is>
      </c>
      <c r="H157" s="24" t="inlineStr">
        <is>
          <t>spread</t>
        </is>
      </c>
      <c r="I157" s="24" t="inlineStr">
        <is>
          <t>away</t>
        </is>
      </c>
      <c r="J157" s="25" t="n">
        <v>1.5</v>
      </c>
      <c r="K157" s="24" t="inlineStr">
        <is>
          <t>polymarket_us</t>
        </is>
      </c>
      <c r="L157" s="26" t="n">
        <v>-147</v>
      </c>
      <c r="M157" s="27" t="n">
        <v>1.680272</v>
      </c>
      <c r="N157" s="28" t="n">
        <v>0.5951419999999999</v>
      </c>
      <c r="O157" s="28" t="n">
        <v>0.590231</v>
      </c>
      <c r="P157" s="28" t="n">
        <v>0.042131</v>
      </c>
      <c r="Q157" s="28" t="n">
        <v>-0.004911</v>
      </c>
      <c r="R157" s="26" t="n">
        <v>24</v>
      </c>
      <c r="S157" s="29" t="n">
        <v>1.25</v>
      </c>
      <c r="T157" s="24" t="inlineStr">
        <is>
          <t>measured-edge-margin-v2</t>
        </is>
      </c>
      <c r="U157" s="24" t="inlineStr">
        <is>
          <t>settled</t>
        </is>
      </c>
      <c r="V157" s="24" t="inlineStr">
        <is>
          <t>loss</t>
        </is>
      </c>
      <c r="W157" s="26" t="n">
        <v>3</v>
      </c>
      <c r="X157" s="26" t="n">
        <v>6</v>
      </c>
      <c r="Y157" s="25" t="n">
        <v>1.5</v>
      </c>
      <c r="Z157" s="26" t="n">
        <v>-147</v>
      </c>
      <c r="AA157" s="28" t="n">
        <v>0.595</v>
      </c>
      <c r="AB157" s="28" t="n">
        <v>-0.000142</v>
      </c>
      <c r="AC157" s="30" t="n">
        <v>-1.25</v>
      </c>
      <c r="AD157" s="24" t="inlineStr">
        <is>
          <t>2026-08-04T01:58:30.986228Z</t>
        </is>
      </c>
      <c r="AE157" s="31" t="inlineStr">
        <is>
          <t>Measured Edge Margin: Trend Engine projected 4.77-5.05; raw selected-side p=0.6374, calibrated p=0.5902.</t>
        </is>
      </c>
      <c r="AF157" s="31" t="inlineStr">
        <is>
          <t>Research-only; lineup, bullpen, park, weather, xFIP, and wRC+ may be neutral fallbacks; market availability and BBO depth may change before first pitch.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3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mlb-wsh</t>
        </is>
      </c>
      <c r="AQ157" s="24" t="inlineStr">
        <is>
          <t>Washington Nationals</t>
        </is>
      </c>
      <c r="AR157" s="24" t="inlineStr">
        <is>
          <t>Washington Nationals</t>
        </is>
      </c>
      <c r="AS157" s="24" t="inlineStr">
        <is>
          <t>mlb-phi</t>
        </is>
      </c>
      <c r="AT157" s="24" t="inlineStr">
        <is>
          <t>Philadelphia Phillies</t>
        </is>
      </c>
      <c r="AU157" s="24" t="inlineStr">
        <is>
          <t>Philadelphia Phillies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research</t>
        </is>
      </c>
      <c r="BA157" s="24" t="inlineStr">
        <is>
          <t>8360b122264b796b0fb193095cfe4506c7e064e5f3f8c0a659aec41efd08dd25</t>
        </is>
      </c>
      <c r="BB157" s="24" t="inlineStr">
        <is>
          <t>flat_probability_shrinkage_toward_half</t>
        </is>
      </c>
      <c r="BC157" s="24" t="inlineStr">
        <is>
          <t>measured-edge-margin-v2</t>
        </is>
      </c>
      <c r="BD157" s="24" t="inlineStr">
        <is>
          <t>8360b122264b796b0fb193095cfe4506c7e064e5f3f8c0a659aec41efd08dd25</t>
        </is>
      </c>
      <c r="BE157" s="24" t="inlineStr">
        <is>
          <t>v3</t>
        </is>
      </c>
      <c r="BF157" s="24" t="inlineStr">
        <is>
          <t>1</t>
        </is>
      </c>
      <c r="BG157" s="24" t="inlineStr">
        <is>
          <t>measured-edge-paired-v1</t>
        </is>
      </c>
      <c r="BH157" s="24" t="inlineStr">
        <is>
          <t>2026-08-03T19:53:28.238725Z</t>
        </is>
      </c>
      <c r="BI157" s="24" t="inlineStr">
        <is>
          <t>["same_event","same_team_same_day","same_league_same_day"]</t>
        </is>
      </c>
      <c r="BJ157" s="25" t="n">
        <v>1.5</v>
      </c>
      <c r="BK157" s="26" t="n">
        <v>-147</v>
      </c>
      <c r="BL157" s="27" t="n">
        <v>1.680272</v>
      </c>
      <c r="BM157" s="28" t="n">
        <v>0.5951419999999999</v>
      </c>
      <c r="BN157" s="28" t="n">
        <v>0.59204</v>
      </c>
      <c r="BO157" s="28" t="n"/>
      <c r="BP157" s="25" t="n"/>
      <c r="BQ157" s="27" t="n">
        <v>1.680272</v>
      </c>
      <c r="BR157" s="28" t="n">
        <v>0.595</v>
      </c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</row>
    <row r="158" ht="36" customHeight="1">
      <c r="A158" s="24" t="inlineStr">
        <is>
          <t>ad7dc638e1fd4f3e</t>
        </is>
      </c>
      <c r="B158" s="24" t="inlineStr">
        <is>
          <t>2026-08-03T19:53:28.238725Z</t>
        </is>
      </c>
      <c r="C158" s="24" t="inlineStr">
        <is>
          <t>2026-08-03T22:40Z</t>
        </is>
      </c>
      <c r="D158" s="24" t="inlineStr">
        <is>
          <t>401816378</t>
        </is>
      </c>
      <c r="E158" s="24" t="inlineStr">
        <is>
          <t>MLB</t>
        </is>
      </c>
      <c r="F158" s="24" t="inlineStr">
        <is>
          <t>Washington Nationals</t>
        </is>
      </c>
      <c r="G158" s="24" t="inlineStr">
        <is>
          <t>Philadelphia Phillies</t>
        </is>
      </c>
      <c r="H158" s="24" t="inlineStr">
        <is>
          <t>total</t>
        </is>
      </c>
      <c r="I158" s="24" t="inlineStr">
        <is>
          <t>under</t>
        </is>
      </c>
      <c r="J158" s="25" t="n">
        <v>9.5</v>
      </c>
      <c r="K158" s="24" t="inlineStr">
        <is>
          <t>polymarket_us</t>
        </is>
      </c>
      <c r="L158" s="26" t="n">
        <v>-115</v>
      </c>
      <c r="M158" s="27" t="n">
        <v>1.869565</v>
      </c>
      <c r="N158" s="28" t="n">
        <v>0.534884</v>
      </c>
      <c r="O158" s="28" t="n">
        <v>0.514391</v>
      </c>
      <c r="P158" s="28" t="n">
        <v>0.042131</v>
      </c>
      <c r="Q158" s="28" t="n">
        <v>-0.020493</v>
      </c>
      <c r="R158" s="26" t="n">
        <v>16</v>
      </c>
      <c r="S158" s="29" t="n">
        <v>1</v>
      </c>
      <c r="T158" s="24" t="inlineStr">
        <is>
          <t>measured-edge-totals-v2</t>
        </is>
      </c>
      <c r="U158" s="24" t="inlineStr">
        <is>
          <t>settled</t>
        </is>
      </c>
      <c r="V158" s="24" t="inlineStr">
        <is>
          <t>win</t>
        </is>
      </c>
      <c r="W158" s="26" t="n">
        <v>3</v>
      </c>
      <c r="X158" s="26" t="n">
        <v>6</v>
      </c>
      <c r="Y158" s="25" t="n">
        <v>9.5</v>
      </c>
      <c r="Z158" s="26" t="n">
        <v>-115</v>
      </c>
      <c r="AA158" s="28" t="n">
        <v>0.535</v>
      </c>
      <c r="AB158" s="28" t="n">
        <v>0.000116</v>
      </c>
      <c r="AC158" s="30" t="n">
        <v>0.8696</v>
      </c>
      <c r="AD158" s="24" t="inlineStr">
        <is>
          <t>2026-08-04T01:58:31.646648Z</t>
        </is>
      </c>
      <c r="AE158" s="31" t="inlineStr">
        <is>
          <t>Measured Edge Totals: Trend Engine projected 4.77-5.05; raw selected-side p=0.5189, calibrated p=0.5144.</t>
        </is>
      </c>
      <c r="AF158" s="31" t="inlineStr">
        <is>
          <t>Research-only; lineup, bullpen, park, weather, xFIP, and wRC+ may be neutral fallbacks; market availability and BBO depth may change before first pitch.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3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mlb-wsh</t>
        </is>
      </c>
      <c r="AQ158" s="24" t="inlineStr">
        <is>
          <t>Washington Nationals</t>
        </is>
      </c>
      <c r="AR158" s="24" t="inlineStr">
        <is>
          <t>Washington Nationals</t>
        </is>
      </c>
      <c r="AS158" s="24" t="inlineStr">
        <is>
          <t>mlb-phi</t>
        </is>
      </c>
      <c r="AT158" s="24" t="inlineStr">
        <is>
          <t>Philadelphia Phillies</t>
        </is>
      </c>
      <c r="AU158" s="24" t="inlineStr">
        <is>
          <t>Philadelphia Phillies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research</t>
        </is>
      </c>
      <c r="BA158" s="24" t="inlineStr">
        <is>
          <t>433578016242b27f9c1c7132cc6b5a2bcc7dd1b0234590c12a944455a88e71bd</t>
        </is>
      </c>
      <c r="BB158" s="24" t="inlineStr">
        <is>
          <t>flat_probability_shrinkage_toward_half</t>
        </is>
      </c>
      <c r="BC158" s="24" t="inlineStr">
        <is>
          <t>measured-edge-totals-v2</t>
        </is>
      </c>
      <c r="BD158" s="24" t="inlineStr">
        <is>
          <t>433578016242b27f9c1c7132cc6b5a2bcc7dd1b0234590c12a944455a88e71bd</t>
        </is>
      </c>
      <c r="BE158" s="24" t="inlineStr">
        <is>
          <t>v3</t>
        </is>
      </c>
      <c r="BF158" s="24" t="inlineStr">
        <is>
          <t>1</t>
        </is>
      </c>
      <c r="BG158" s="24" t="inlineStr">
        <is>
          <t>measured-edge-paired-v1</t>
        </is>
      </c>
      <c r="BH158" s="24" t="inlineStr">
        <is>
          <t>2026-08-03T19:53:28.238725Z</t>
        </is>
      </c>
      <c r="BI158" s="24" t="inlineStr">
        <is>
          <t>["same_event","same_team_same_day","same_league_same_day"]</t>
        </is>
      </c>
      <c r="BJ158" s="25" t="n">
        <v>9.5</v>
      </c>
      <c r="BK158" s="26" t="n">
        <v>-115</v>
      </c>
      <c r="BL158" s="27" t="n">
        <v>1.869565</v>
      </c>
      <c r="BM158" s="28" t="n">
        <v>0.534884</v>
      </c>
      <c r="BN158" s="28" t="n">
        <v>0.532338</v>
      </c>
      <c r="BO158" s="28" t="n"/>
      <c r="BP158" s="25" t="n"/>
      <c r="BQ158" s="27" t="n">
        <v>1.869565</v>
      </c>
      <c r="BR158" s="28" t="n">
        <v>0.535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</row>
    <row r="159" ht="36" customHeight="1">
      <c r="A159" s="24" t="inlineStr">
        <is>
          <t>920016b8e9b64530</t>
        </is>
      </c>
      <c r="B159" s="24" t="inlineStr">
        <is>
          <t>2026-08-03T22:56:28.208831Z</t>
        </is>
      </c>
      <c r="C159" s="24" t="inlineStr">
        <is>
          <t>2026-08-03T19:05:00-0400</t>
        </is>
      </c>
      <c r="D159" s="24" t="inlineStr">
        <is>
          <t>401816377</t>
        </is>
      </c>
      <c r="E159" s="24" t="inlineStr">
        <is>
          <t>MLB</t>
        </is>
      </c>
      <c r="F159" s="24" t="inlineStr">
        <is>
          <t>St. Louis Cardinals</t>
        </is>
      </c>
      <c r="G159" s="24" t="inlineStr">
        <is>
          <t>New York Yankees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-213</v>
      </c>
      <c r="M159" s="27" t="n">
        <v>1.469484</v>
      </c>
      <c r="N159" s="28" t="n">
        <v>0.680511</v>
      </c>
      <c r="O159" s="28" t="n">
        <v>0.587948</v>
      </c>
      <c r="P159" s="28" t="n"/>
      <c r="Q159" s="28" t="n">
        <v>-0.09256300000000001</v>
      </c>
      <c r="R159" s="26" t="n">
        <v>0</v>
      </c>
      <c r="S159" s="29" t="n">
        <v>0</v>
      </c>
      <c r="T159" s="24" t="inlineStr">
        <is>
          <t>mlb-elo-trend-lr-v7</t>
        </is>
      </c>
      <c r="U159" s="24" t="inlineStr">
        <is>
          <t>settled</t>
        </is>
      </c>
      <c r="V159" s="24" t="inlineStr">
        <is>
          <t>loss</t>
        </is>
      </c>
      <c r="W159" s="26" t="n">
        <v>13</v>
      </c>
      <c r="X159" s="26" t="n">
        <v>7</v>
      </c>
      <c r="Y159" s="25" t="n"/>
      <c r="Z159" s="26" t="n">
        <v>-213</v>
      </c>
      <c r="AA159" s="28" t="n">
        <v>0.68</v>
      </c>
      <c r="AB159" s="28" t="n">
        <v>-0.000511</v>
      </c>
      <c r="AC159" s="30" t="n">
        <v>0</v>
      </c>
      <c r="AD159" s="24" t="inlineStr">
        <is>
          <t>2026-08-04T03:57:53.088023Z</t>
        </is>
      </c>
      <c r="AE159" s="31" t="inlineStr">
        <is>
          <t>Learned LR call at threshold 0.6242; executable ask 0.6800 (aec-mlb-stl-nyy-2026-08-03); model edge vs ask -0.0921.</t>
        </is>
      </c>
      <c r="AF159" s="31" t="inlineStr">
        <is>
          <t>Learned model; shadow-qualified via operator override.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NO_CALL_BELOW_LEARNED_CONFIDENCE</t>
        </is>
      </c>
      <c r="AP159" s="24" t="inlineStr">
        <is>
          <t>mlb-stl</t>
        </is>
      </c>
      <c r="AQ159" s="24" t="inlineStr">
        <is>
          <t>St. Louis Cardinals</t>
        </is>
      </c>
      <c r="AR159" s="24" t="inlineStr">
        <is>
          <t>St. Louis Cardinals</t>
        </is>
      </c>
      <c r="AS159" s="24" t="inlineStr">
        <is>
          <t>mlb-nyy</t>
        </is>
      </c>
      <c r="AT159" s="24" t="inlineStr">
        <is>
          <t>New York Yankees</t>
        </is>
      </c>
      <c r="AU159" s="24" t="inlineStr">
        <is>
          <t>New York Yankees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464eef695bfbbdaa819ec6f5e4c5bd1068ed20b92915fb2677220ae91e20d8b6</t>
        </is>
      </c>
      <c r="BB159" s="24" t="inlineStr">
        <is>
          <t>learned_lr</t>
        </is>
      </c>
      <c r="BC159" s="24" t="inlineStr">
        <is>
          <t>mlb-elo-trend-lr-v7</t>
        </is>
      </c>
      <c r="BD159" s="24" t="inlineStr">
        <is>
          <t>464eef695bfbbdaa819ec6f5e4c5bd1068ed20b92915fb2677220ae91e20d8b6</t>
        </is>
      </c>
      <c r="BE159" s="24" t="inlineStr">
        <is>
          <t>303d615638dc9014</t>
        </is>
      </c>
      <c r="BF159" s="24" t="inlineStr">
        <is>
          <t>1</t>
        </is>
      </c>
      <c r="BG159" s="24" t="inlineStr">
        <is>
          <t>mlb-elo-trend-lr-v7</t>
        </is>
      </c>
      <c r="BH159" s="24" t="inlineStr">
        <is>
          <t>2026-08-03T22:55:59.402774Z</t>
        </is>
      </c>
      <c r="BI159" s="24" t="inlineStr">
        <is>
          <t>["same_event","same_team_same_day","same_league_same_day"]</t>
        </is>
      </c>
      <c r="BJ159" s="25" t="n"/>
      <c r="BK159" s="26" t="n">
        <v>-213</v>
      </c>
      <c r="BL159" s="27" t="n">
        <v>1.469484</v>
      </c>
      <c r="BM159" s="28" t="n">
        <v>0.680511</v>
      </c>
      <c r="BN159" s="28" t="n">
        <v>0.676617</v>
      </c>
      <c r="BO159" s="28" t="n"/>
      <c r="BP159" s="25" t="n"/>
      <c r="BQ159" s="27" t="n">
        <v>1.469484</v>
      </c>
      <c r="BR159" s="28" t="n">
        <v>0.68</v>
      </c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inlineStr">
        <is>
          <t>0.6151773259</t>
        </is>
      </c>
      <c r="CD159" s="24" t="inlineStr">
        <is>
          <t>0.043055</t>
        </is>
      </c>
      <c r="CE159" s="24" t="inlineStr">
        <is>
          <t>1.012</t>
        </is>
      </c>
      <c r="CF159" s="24" t="inlineStr">
        <is>
          <t>1.0067</t>
        </is>
      </c>
      <c r="CG159" s="24" t="inlineStr">
        <is>
          <t>-0.2</t>
        </is>
      </c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inlineStr">
        <is>
          <t>0.587948</t>
        </is>
      </c>
      <c r="CS159" s="24" t="inlineStr">
        <is>
          <t>False</t>
        </is>
      </c>
    </row>
    <row r="160" ht="36" customHeight="1">
      <c r="A160" s="24" t="inlineStr">
        <is>
          <t>b47af519335c4c5f</t>
        </is>
      </c>
      <c r="B160" s="24" t="inlineStr">
        <is>
          <t>2026-08-03T22:56:28.208831Z</t>
        </is>
      </c>
      <c r="C160" s="24" t="inlineStr">
        <is>
          <t>2026-08-03T19:40:00-0400</t>
        </is>
      </c>
      <c r="D160" s="24" t="inlineStr">
        <is>
          <t>401816380</t>
        </is>
      </c>
      <c r="E160" s="24" t="inlineStr">
        <is>
          <t>MLB</t>
        </is>
      </c>
      <c r="F160" s="24" t="inlineStr">
        <is>
          <t>Pittsburgh Pirates</t>
        </is>
      </c>
      <c r="G160" s="24" t="inlineStr">
        <is>
          <t>Milwaukee Brewers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-141</v>
      </c>
      <c r="M160" s="27" t="n">
        <v>1.70922</v>
      </c>
      <c r="N160" s="28" t="n">
        <v>0.585062</v>
      </c>
      <c r="O160" s="28" t="n">
        <v>0.606371</v>
      </c>
      <c r="P160" s="28" t="n"/>
      <c r="Q160" s="28" t="n">
        <v>0.021309</v>
      </c>
      <c r="R160" s="26" t="n">
        <v>32</v>
      </c>
      <c r="S160" s="29" t="n">
        <v>0</v>
      </c>
      <c r="T160" s="24" t="inlineStr">
        <is>
          <t>mlb-elo-trend-lr-v7</t>
        </is>
      </c>
      <c r="U160" s="24" t="inlineStr">
        <is>
          <t>settled</t>
        </is>
      </c>
      <c r="V160" s="24" t="inlineStr">
        <is>
          <t>loss</t>
        </is>
      </c>
      <c r="W160" s="26" t="n">
        <v>4</v>
      </c>
      <c r="X160" s="26" t="n">
        <v>3</v>
      </c>
      <c r="Y160" s="25" t="n"/>
      <c r="Z160" s="26" t="n">
        <v>-141</v>
      </c>
      <c r="AA160" s="28" t="n">
        <v>0.585</v>
      </c>
      <c r="AB160" s="28" t="n">
        <v>-6.2e-05</v>
      </c>
      <c r="AC160" s="30" t="n">
        <v>0</v>
      </c>
      <c r="AD160" s="24" t="inlineStr">
        <is>
          <t>2026-08-04T03:57:53.806736Z</t>
        </is>
      </c>
      <c r="AE160" s="31" t="inlineStr">
        <is>
          <t>Learned LR call at threshold 0.6242; executable ask 0.5850 (aec-mlb-pit-mil-2026-08-03); model edge vs ask +0.0214.</t>
        </is>
      </c>
      <c r="AF160" s="31" t="inlineStr">
        <is>
          <t>Learned model; shadow-qualified via operator override.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NO_CALL_BELOW_LEARNED_CONFIDENCE</t>
        </is>
      </c>
      <c r="AP160" s="24" t="inlineStr">
        <is>
          <t>mlb-pit</t>
        </is>
      </c>
      <c r="AQ160" s="24" t="inlineStr">
        <is>
          <t>Pittsburgh Pirates</t>
        </is>
      </c>
      <c r="AR160" s="24" t="inlineStr">
        <is>
          <t>Pittsburgh Pirates</t>
        </is>
      </c>
      <c r="AS160" s="24" t="inlineStr">
        <is>
          <t>mlb-mil</t>
        </is>
      </c>
      <c r="AT160" s="24" t="inlineStr">
        <is>
          <t>Milwaukee Brewers</t>
        </is>
      </c>
      <c r="AU160" s="24" t="inlineStr">
        <is>
          <t>Milwaukee Brewers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464eef695bfbbdaa819ec6f5e4c5bd1068ed20b92915fb2677220ae91e20d8b6</t>
        </is>
      </c>
      <c r="BB160" s="24" t="inlineStr">
        <is>
          <t>learned_lr</t>
        </is>
      </c>
      <c r="BC160" s="24" t="inlineStr">
        <is>
          <t>mlb-elo-trend-lr-v7</t>
        </is>
      </c>
      <c r="BD160" s="24" t="inlineStr">
        <is>
          <t>464eef695bfbbdaa819ec6f5e4c5bd1068ed20b92915fb2677220ae91e20d8b6</t>
        </is>
      </c>
      <c r="BE160" s="24" t="inlineStr">
        <is>
          <t>d0fd79047bd5a808</t>
        </is>
      </c>
      <c r="BF160" s="24" t="inlineStr">
        <is>
          <t>1</t>
        </is>
      </c>
      <c r="BG160" s="24" t="inlineStr">
        <is>
          <t>mlb-elo-trend-lr-v7</t>
        </is>
      </c>
      <c r="BH160" s="24" t="inlineStr">
        <is>
          <t>2026-08-03T22:55:59.951180Z</t>
        </is>
      </c>
      <c r="BI160" s="24" t="inlineStr">
        <is>
          <t>["same_event","same_team_same_day","same_league_same_day"]</t>
        </is>
      </c>
      <c r="BJ160" s="25" t="n"/>
      <c r="BK160" s="26" t="n">
        <v>-141</v>
      </c>
      <c r="BL160" s="27" t="n">
        <v>1.70922</v>
      </c>
      <c r="BM160" s="28" t="n">
        <v>0.585062</v>
      </c>
      <c r="BN160" s="28" t="n">
        <v>0.58209</v>
      </c>
      <c r="BO160" s="28" t="n"/>
      <c r="BP160" s="25" t="n"/>
      <c r="BQ160" s="27" t="n">
        <v>1.70922</v>
      </c>
      <c r="BR160" s="28" t="n">
        <v>0.585</v>
      </c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inlineStr">
        <is>
          <t>0.6290548244</t>
        </is>
      </c>
      <c r="CD160" s="24" t="inlineStr">
        <is>
          <t>0.091236</t>
        </is>
      </c>
      <c r="CE160" s="24" t="inlineStr">
        <is>
          <t>0.997</t>
        </is>
      </c>
      <c r="CF160" s="24" t="inlineStr">
        <is>
          <t>1.0</t>
        </is>
      </c>
      <c r="CG160" s="24" t="inlineStr">
        <is>
          <t>-0.2</t>
        </is>
      </c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inlineStr">
        <is>
          <t>0.606371</t>
        </is>
      </c>
      <c r="CS160" s="24" t="inlineStr">
        <is>
          <t>True</t>
        </is>
      </c>
    </row>
    <row r="161" ht="36" customHeight="1">
      <c r="A161" s="24" t="inlineStr">
        <is>
          <t>ec2c4fb8e89a4486</t>
        </is>
      </c>
      <c r="B161" s="24" t="inlineStr">
        <is>
          <t>2026-08-03T22:56:28.208831Z</t>
        </is>
      </c>
      <c r="C161" s="24" t="inlineStr">
        <is>
          <t>2026-08-03T20:00:00-0400</t>
        </is>
      </c>
      <c r="D161" s="24" t="inlineStr">
        <is>
          <t>401816381</t>
        </is>
      </c>
      <c r="E161" s="24" t="inlineStr">
        <is>
          <t>MLB</t>
        </is>
      </c>
      <c r="F161" s="24" t="inlineStr">
        <is>
          <t>San Francisco Giants</t>
        </is>
      </c>
      <c r="G161" s="24" t="inlineStr">
        <is>
          <t>Texas Rangers</t>
        </is>
      </c>
      <c r="H161" s="24" t="inlineStr">
        <is>
          <t>moneyline</t>
        </is>
      </c>
      <c r="I161" s="24" t="inlineStr">
        <is>
          <t>home</t>
        </is>
      </c>
      <c r="J161" s="25" t="n"/>
      <c r="K161" s="24" t="inlineStr">
        <is>
          <t>polymarket_us</t>
        </is>
      </c>
      <c r="L161" s="26" t="n">
        <v>-122</v>
      </c>
      <c r="M161" s="27" t="n">
        <v>1.819672</v>
      </c>
      <c r="N161" s="28" t="n">
        <v>0.54955</v>
      </c>
      <c r="O161" s="28" t="n">
        <v>0.582299</v>
      </c>
      <c r="P161" s="28" t="n"/>
      <c r="Q161" s="28" t="n">
        <v>0.032749</v>
      </c>
      <c r="R161" s="26" t="n">
        <v>38</v>
      </c>
      <c r="S161" s="29" t="n">
        <v>0</v>
      </c>
      <c r="T161" s="24" t="inlineStr">
        <is>
          <t>mlb-elo-trend-lr-v7</t>
        </is>
      </c>
      <c r="U161" s="24" t="inlineStr">
        <is>
          <t>settled</t>
        </is>
      </c>
      <c r="V161" s="24" t="inlineStr">
        <is>
          <t>loss</t>
        </is>
      </c>
      <c r="W161" s="26" t="n">
        <v>5</v>
      </c>
      <c r="X161" s="26" t="n">
        <v>1</v>
      </c>
      <c r="Y161" s="25" t="n"/>
      <c r="Z161" s="26" t="n">
        <v>-122</v>
      </c>
      <c r="AA161" s="28" t="n">
        <v>0.55</v>
      </c>
      <c r="AB161" s="28" t="n">
        <v>0.00045</v>
      </c>
      <c r="AC161" s="30" t="n">
        <v>0</v>
      </c>
      <c r="AD161" s="24" t="inlineStr">
        <is>
          <t>2026-08-04T03:57:54.524081Z</t>
        </is>
      </c>
      <c r="AE161" s="31" t="inlineStr">
        <is>
          <t>Learned LR call at threshold 0.6242; executable ask 0.5500 (aec-mlb-sf-tex-2026-08-03); model edge vs ask +0.0323.</t>
        </is>
      </c>
      <c r="AF161" s="31" t="inlineStr">
        <is>
          <t>Learned model; shadow-qualified via operator override.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research_observation</t>
        </is>
      </c>
      <c r="AL161" s="26" t="n">
        <v>3</v>
      </c>
      <c r="AM161" s="24" t="inlineStr">
        <is>
          <t>RESEARCH_OBSERVATION</t>
        </is>
      </c>
      <c r="AN161" s="24" t="inlineStr">
        <is>
          <t>NO_CALL</t>
        </is>
      </c>
      <c r="AO161" s="24" t="inlineStr">
        <is>
          <t>NO_CALL_BELOW_LEARNED_CONFIDENCE</t>
        </is>
      </c>
      <c r="AP161" s="24" t="inlineStr">
        <is>
          <t>mlb-sf</t>
        </is>
      </c>
      <c r="AQ161" s="24" t="inlineStr">
        <is>
          <t>San Francisco Giants</t>
        </is>
      </c>
      <c r="AR161" s="24" t="inlineStr">
        <is>
          <t>San Francisco Giants</t>
        </is>
      </c>
      <c r="AS161" s="24" t="inlineStr">
        <is>
          <t>mlb-tex</t>
        </is>
      </c>
      <c r="AT161" s="24" t="inlineStr">
        <is>
          <t>Texas Rangers</t>
        </is>
      </c>
      <c r="AU161" s="24" t="inlineStr">
        <is>
          <t>Texas Rangers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464eef695bfbbdaa819ec6f5e4c5bd1068ed20b92915fb2677220ae91e20d8b6</t>
        </is>
      </c>
      <c r="BB161" s="24" t="inlineStr">
        <is>
          <t>learned_lr</t>
        </is>
      </c>
      <c r="BC161" s="24" t="inlineStr">
        <is>
          <t>mlb-elo-trend-lr-v7</t>
        </is>
      </c>
      <c r="BD161" s="24" t="inlineStr">
        <is>
          <t>464eef695bfbbdaa819ec6f5e4c5bd1068ed20b92915fb2677220ae91e20d8b6</t>
        </is>
      </c>
      <c r="BE161" s="24" t="inlineStr">
        <is>
          <t>006597019de6f543</t>
        </is>
      </c>
      <c r="BF161" s="24" t="inlineStr">
        <is>
          <t>1</t>
        </is>
      </c>
      <c r="BG161" s="24" t="inlineStr">
        <is>
          <t>mlb-elo-trend-lr-v7</t>
        </is>
      </c>
      <c r="BH161" s="24" t="inlineStr">
        <is>
          <t>2026-08-03T22:56:00.423208Z</t>
        </is>
      </c>
      <c r="BI161" s="24" t="inlineStr">
        <is>
          <t>["same_event","same_team_same_day","same_league_same_day"]</t>
        </is>
      </c>
      <c r="BJ161" s="25" t="n"/>
      <c r="BK161" s="26" t="n">
        <v>-122</v>
      </c>
      <c r="BL161" s="27" t="n">
        <v>1.819672</v>
      </c>
      <c r="BM161" s="28" t="n">
        <v>0.54955</v>
      </c>
      <c r="BN161" s="28" t="n">
        <v>0.547264</v>
      </c>
      <c r="BO161" s="28" t="n"/>
      <c r="BP161" s="25" t="n"/>
      <c r="BQ161" s="27" t="n">
        <v>1.819672</v>
      </c>
      <c r="BR161" s="28" t="n">
        <v>0.55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inlineStr">
        <is>
          <t>0.5388012475</t>
        </is>
      </c>
      <c r="CD161" s="24" t="inlineStr">
        <is>
          <t>-1.547836</t>
        </is>
      </c>
      <c r="CE161" s="24" t="inlineStr">
        <is>
          <t>0.912</t>
        </is>
      </c>
      <c r="CF161" s="24" t="inlineStr">
        <is>
          <t>1.0</t>
        </is>
      </c>
      <c r="CG161" s="24" t="inlineStr">
        <is>
          <t>0.0</t>
        </is>
      </c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inlineStr">
        <is>
          <t>0.582299</t>
        </is>
      </c>
      <c r="CS161" s="24" t="inlineStr">
        <is>
          <t>True</t>
        </is>
      </c>
    </row>
    <row r="162" ht="36" customHeight="1">
      <c r="A162" s="24" t="inlineStr">
        <is>
          <t>c64ee8bc61814568</t>
        </is>
      </c>
      <c r="B162" s="24" t="inlineStr">
        <is>
          <t>2026-08-03T22:56:28.208831Z</t>
        </is>
      </c>
      <c r="C162" s="24" t="inlineStr">
        <is>
          <t>2026-08-03T20:05:00-0400</t>
        </is>
      </c>
      <c r="D162" s="24" t="inlineStr">
        <is>
          <t>401816379</t>
        </is>
      </c>
      <c r="E162" s="24" t="inlineStr">
        <is>
          <t>MLB</t>
        </is>
      </c>
      <c r="F162" s="24" t="inlineStr">
        <is>
          <t>Los Angeles Dodgers</t>
        </is>
      </c>
      <c r="G162" s="24" t="inlineStr">
        <is>
          <t>Chicago Cubs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115</v>
      </c>
      <c r="M162" s="27" t="n">
        <v>2.15</v>
      </c>
      <c r="N162" s="28" t="n">
        <v>0.465116</v>
      </c>
      <c r="O162" s="28" t="n">
        <v>0.507802</v>
      </c>
      <c r="P162" s="28" t="n"/>
      <c r="Q162" s="28" t="n">
        <v>0.042686</v>
      </c>
      <c r="R162" s="26" t="n">
        <v>43</v>
      </c>
      <c r="S162" s="29" t="n">
        <v>0</v>
      </c>
      <c r="T162" s="24" t="inlineStr">
        <is>
          <t>mlb-elo-trend-lr-v7</t>
        </is>
      </c>
      <c r="U162" s="24" t="inlineStr">
        <is>
          <t>settled</t>
        </is>
      </c>
      <c r="V162" s="24" t="inlineStr">
        <is>
          <t>win</t>
        </is>
      </c>
      <c r="W162" s="26" t="n">
        <v>5</v>
      </c>
      <c r="X162" s="26" t="n">
        <v>10</v>
      </c>
      <c r="Y162" s="25" t="n"/>
      <c r="Z162" s="26" t="n">
        <v>115</v>
      </c>
      <c r="AA162" s="28" t="n">
        <v>0.465</v>
      </c>
      <c r="AB162" s="28" t="n">
        <v>-0.000116</v>
      </c>
      <c r="AC162" s="30" t="n">
        <v>0</v>
      </c>
      <c r="AD162" s="24" t="inlineStr">
        <is>
          <t>2026-08-04T03:57:55.225860Z</t>
        </is>
      </c>
      <c r="AE162" s="31" t="inlineStr">
        <is>
          <t>Learned LR call at threshold 0.6242; executable ask 0.4650 (aec-mlb-lad-chc-2026-08-03); model edge vs ask +0.0428.</t>
        </is>
      </c>
      <c r="AF162" s="31" t="inlineStr">
        <is>
          <t>Learned model; shadow-qualified via operator override.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NO_CALL_BELOW_LEARNED_CONFIDENCE</t>
        </is>
      </c>
      <c r="AP162" s="24" t="inlineStr">
        <is>
          <t>mlb-lad</t>
        </is>
      </c>
      <c r="AQ162" s="24" t="inlineStr">
        <is>
          <t>Los Angeles Dodgers</t>
        </is>
      </c>
      <c r="AR162" s="24" t="inlineStr">
        <is>
          <t>Los Angeles Dodgers</t>
        </is>
      </c>
      <c r="AS162" s="24" t="inlineStr">
        <is>
          <t>mlb-chc</t>
        </is>
      </c>
      <c r="AT162" s="24" t="inlineStr">
        <is>
          <t>Chicago Cubs</t>
        </is>
      </c>
      <c r="AU162" s="24" t="inlineStr">
        <is>
          <t>Chicago Cubs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464eef695bfbbdaa819ec6f5e4c5bd1068ed20b92915fb2677220ae91e20d8b6</t>
        </is>
      </c>
      <c r="BB162" s="24" t="inlineStr">
        <is>
          <t>learned_lr</t>
        </is>
      </c>
      <c r="BC162" s="24" t="inlineStr">
        <is>
          <t>mlb-elo-trend-lr-v7</t>
        </is>
      </c>
      <c r="BD162" s="24" t="inlineStr">
        <is>
          <t>464eef695bfbbdaa819ec6f5e4c5bd1068ed20b92915fb2677220ae91e20d8b6</t>
        </is>
      </c>
      <c r="BE162" s="24" t="inlineStr">
        <is>
          <t>fe34ef10ca318e7d</t>
        </is>
      </c>
      <c r="BF162" s="24" t="inlineStr">
        <is>
          <t>1</t>
        </is>
      </c>
      <c r="BG162" s="24" t="inlineStr">
        <is>
          <t>mlb-elo-trend-lr-v7</t>
        </is>
      </c>
      <c r="BH162" s="24" t="inlineStr">
        <is>
          <t>2026-08-03T22:56:00.880405Z</t>
        </is>
      </c>
      <c r="BI162" s="24" t="inlineStr">
        <is>
          <t>["same_event","same_team_same_day","same_league_same_day"]</t>
        </is>
      </c>
      <c r="BJ162" s="25" t="n"/>
      <c r="BK162" s="26" t="n">
        <v>115</v>
      </c>
      <c r="BL162" s="27" t="n">
        <v>2.15</v>
      </c>
      <c r="BM162" s="28" t="n">
        <v>0.465116</v>
      </c>
      <c r="BN162" s="28" t="n">
        <v>0.462687</v>
      </c>
      <c r="BO162" s="28" t="n"/>
      <c r="BP162" s="25" t="n"/>
      <c r="BQ162" s="27" t="n">
        <v>2.15</v>
      </c>
      <c r="BR162" s="28" t="n">
        <v>0.465</v>
      </c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inlineStr">
        <is>
          <t>0.5062615639</t>
        </is>
      </c>
      <c r="CD162" s="24" t="inlineStr">
        <is>
          <t>-0.710471</t>
        </is>
      </c>
      <c r="CE162" s="24" t="inlineStr">
        <is>
          <t>0.986</t>
        </is>
      </c>
      <c r="CF162" s="24" t="inlineStr">
        <is>
          <t>1.0027</t>
        </is>
      </c>
      <c r="CG162" s="24" t="inlineStr">
        <is>
          <t>-3.6</t>
        </is>
      </c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inlineStr">
        <is>
          <t>0.507802</t>
        </is>
      </c>
      <c r="CS162" s="24" t="inlineStr">
        <is>
          <t>True</t>
        </is>
      </c>
    </row>
    <row r="163" ht="36" customHeight="1">
      <c r="A163" s="24" t="inlineStr">
        <is>
          <t>683dc4b79b1f4a09</t>
        </is>
      </c>
      <c r="B163" s="24" t="inlineStr">
        <is>
          <t>2026-08-03T22:56:28.208831Z</t>
        </is>
      </c>
      <c r="C163" s="24" t="inlineStr">
        <is>
          <t>2026-08-03T20:10:00-0400</t>
        </is>
      </c>
      <c r="D163" s="24" t="inlineStr">
        <is>
          <t>401816382</t>
        </is>
      </c>
      <c r="E163" s="24" t="inlineStr">
        <is>
          <t>MLB</t>
        </is>
      </c>
      <c r="F163" s="24" t="inlineStr">
        <is>
          <t>Toronto Blue Jays</t>
        </is>
      </c>
      <c r="G163" s="24" t="inlineStr">
        <is>
          <t>Houston Astros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-127</v>
      </c>
      <c r="M163" s="27" t="n">
        <v>1.787402</v>
      </c>
      <c r="N163" s="28" t="n">
        <v>0.5594710000000001</v>
      </c>
      <c r="O163" s="28" t="n">
        <v>0.535416</v>
      </c>
      <c r="P163" s="28" t="n"/>
      <c r="Q163" s="28" t="n">
        <v>-0.024055</v>
      </c>
      <c r="R163" s="26" t="n">
        <v>9</v>
      </c>
      <c r="S163" s="29" t="n">
        <v>0</v>
      </c>
      <c r="T163" s="24" t="inlineStr">
        <is>
          <t>mlb-elo-trend-lr-v7</t>
        </is>
      </c>
      <c r="U163" s="24" t="inlineStr">
        <is>
          <t>settled</t>
        </is>
      </c>
      <c r="V163" s="24" t="inlineStr">
        <is>
          <t>loss</t>
        </is>
      </c>
      <c r="W163" s="26" t="n">
        <v>3</v>
      </c>
      <c r="X163" s="26" t="n">
        <v>1</v>
      </c>
      <c r="Y163" s="25" t="n"/>
      <c r="Z163" s="26" t="n">
        <v>-127</v>
      </c>
      <c r="AA163" s="28" t="n">
        <v>0.5600000000000001</v>
      </c>
      <c r="AB163" s="28" t="n">
        <v>0.000529</v>
      </c>
      <c r="AC163" s="30" t="n">
        <v>0</v>
      </c>
      <c r="AD163" s="24" t="inlineStr">
        <is>
          <t>2026-08-04T03:57:55.970221Z</t>
        </is>
      </c>
      <c r="AE163" s="31" t="inlineStr">
        <is>
          <t>Learned LR call at threshold 0.6242; executable ask 0.5600 (aec-mlb-tor-hou-2026-08-03); model edge vs ask -0.0246.</t>
        </is>
      </c>
      <c r="AF163" s="31" t="inlineStr">
        <is>
          <t>Learned model; shadow-qualified via operator override.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research_observation</t>
        </is>
      </c>
      <c r="AL163" s="26" t="n">
        <v>3</v>
      </c>
      <c r="AM163" s="24" t="inlineStr">
        <is>
          <t>RESEARCH_OBSERVATION</t>
        </is>
      </c>
      <c r="AN163" s="24" t="inlineStr">
        <is>
          <t>NO_CALL</t>
        </is>
      </c>
      <c r="AO163" s="24" t="inlineStr">
        <is>
          <t>NO_CALL_BELOW_LEARNED_CONFIDENCE</t>
        </is>
      </c>
      <c r="AP163" s="24" t="inlineStr">
        <is>
          <t>mlb-tor</t>
        </is>
      </c>
      <c r="AQ163" s="24" t="inlineStr">
        <is>
          <t>Toronto Blue Jays</t>
        </is>
      </c>
      <c r="AR163" s="24" t="inlineStr">
        <is>
          <t>Toronto Blue Jays</t>
        </is>
      </c>
      <c r="AS163" s="24" t="inlineStr">
        <is>
          <t>mlb-hou</t>
        </is>
      </c>
      <c r="AT163" s="24" t="inlineStr">
        <is>
          <t>Houston Astros</t>
        </is>
      </c>
      <c r="AU163" s="24" t="inlineStr">
        <is>
          <t>Houston Astros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464eef695bfbbdaa819ec6f5e4c5bd1068ed20b92915fb2677220ae91e20d8b6</t>
        </is>
      </c>
      <c r="BB163" s="24" t="inlineStr">
        <is>
          <t>learned_lr</t>
        </is>
      </c>
      <c r="BC163" s="24" t="inlineStr">
        <is>
          <t>mlb-elo-trend-lr-v7</t>
        </is>
      </c>
      <c r="BD163" s="24" t="inlineStr">
        <is>
          <t>464eef695bfbbdaa819ec6f5e4c5bd1068ed20b92915fb2677220ae91e20d8b6</t>
        </is>
      </c>
      <c r="BE163" s="24" t="inlineStr">
        <is>
          <t>73f9f144b97b20da</t>
        </is>
      </c>
      <c r="BF163" s="24" t="inlineStr">
        <is>
          <t>1</t>
        </is>
      </c>
      <c r="BG163" s="24" t="inlineStr">
        <is>
          <t>mlb-elo-trend-lr-v7</t>
        </is>
      </c>
      <c r="BH163" s="24" t="inlineStr">
        <is>
          <t>2026-08-03T22:56:01.367242Z</t>
        </is>
      </c>
      <c r="BI163" s="24" t="inlineStr">
        <is>
          <t>["same_event","same_team_same_day","same_league_same_day"]</t>
        </is>
      </c>
      <c r="BJ163" s="25" t="n"/>
      <c r="BK163" s="26" t="n">
        <v>-127</v>
      </c>
      <c r="BL163" s="27" t="n">
        <v>1.787402</v>
      </c>
      <c r="BM163" s="28" t="n">
        <v>0.5594710000000001</v>
      </c>
      <c r="BN163" s="28" t="n">
        <v>0.557214</v>
      </c>
      <c r="BO163" s="28" t="n"/>
      <c r="BP163" s="25" t="n"/>
      <c r="BQ163" s="27" t="n">
        <v>1.787402</v>
      </c>
      <c r="BR163" s="28" t="n">
        <v>0.5600000000000001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inlineStr">
        <is>
          <t>0.5381361986</t>
        </is>
      </c>
      <c r="CD163" s="24" t="inlineStr">
        <is>
          <t>2.137741</t>
        </is>
      </c>
      <c r="CE163" s="24" t="inlineStr">
        <is>
          <t>0.956</t>
        </is>
      </c>
      <c r="CF163" s="24" t="inlineStr">
        <is>
          <t>1.0</t>
        </is>
      </c>
      <c r="CG163" s="24" t="inlineStr">
        <is>
          <t>-0.4</t>
        </is>
      </c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inlineStr">
        <is>
          <t>0.535416</t>
        </is>
      </c>
      <c r="CS163" s="24" t="inlineStr">
        <is>
          <t>False</t>
        </is>
      </c>
    </row>
    <row r="164" ht="36" customHeight="1">
      <c r="A164" s="24" t="inlineStr">
        <is>
          <t>5d9b907c62fe4672</t>
        </is>
      </c>
      <c r="B164" s="24" t="inlineStr">
        <is>
          <t>2026-08-03T22:56:28.208831Z</t>
        </is>
      </c>
      <c r="C164" s="24" t="inlineStr">
        <is>
          <t>2026-08-03T20:40:00-0400</t>
        </is>
      </c>
      <c r="D164" s="24" t="inlineStr">
        <is>
          <t>401816383</t>
        </is>
      </c>
      <c r="E164" s="24" t="inlineStr">
        <is>
          <t>MLB</t>
        </is>
      </c>
      <c r="F164" s="24" t="inlineStr">
        <is>
          <t>Tampa Bay Rays</t>
        </is>
      </c>
      <c r="G164" s="24" t="inlineStr">
        <is>
          <t>Colorado Rockies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-170</v>
      </c>
      <c r="M164" s="27" t="n">
        <v>1.588235</v>
      </c>
      <c r="N164" s="28" t="n">
        <v>0.62963</v>
      </c>
      <c r="O164" s="28" t="n">
        <v>0.6482059999999999</v>
      </c>
      <c r="P164" s="28" t="n"/>
      <c r="Q164" s="28" t="n">
        <v>0.018576</v>
      </c>
      <c r="R164" s="26" t="n">
        <v>31</v>
      </c>
      <c r="S164" s="29" t="n">
        <v>1.75</v>
      </c>
      <c r="T164" s="24" t="inlineStr">
        <is>
          <t>mlb-elo-trend-lr-v7</t>
        </is>
      </c>
      <c r="U164" s="24" t="inlineStr">
        <is>
          <t>settled</t>
        </is>
      </c>
      <c r="V164" s="24" t="inlineStr">
        <is>
          <t>win</t>
        </is>
      </c>
      <c r="W164" s="26" t="n">
        <v>13</v>
      </c>
      <c r="X164" s="26" t="n">
        <v>9</v>
      </c>
      <c r="Y164" s="25" t="n"/>
      <c r="Z164" s="26" t="n">
        <v>-170</v>
      </c>
      <c r="AA164" s="28" t="n">
        <v>0.63</v>
      </c>
      <c r="AB164" s="28" t="n">
        <v>0.00037</v>
      </c>
      <c r="AC164" s="30" t="n">
        <v>1.0294</v>
      </c>
      <c r="AD164" s="24" t="inlineStr">
        <is>
          <t>2026-08-04T03:57:56.671622Z</t>
        </is>
      </c>
      <c r="AE164" s="31" t="inlineStr">
        <is>
          <t>Learned LR call at threshold 0.6242; executable ask 0.6300 (aec-mlb-tb-col-2026-08-03); model edge vs ask +0.0182.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3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mlb-tb</t>
        </is>
      </c>
      <c r="AQ164" s="24" t="inlineStr">
        <is>
          <t>Tampa Bay Rays</t>
        </is>
      </c>
      <c r="AR164" s="24" t="inlineStr">
        <is>
          <t>Tampa Bay Rays</t>
        </is>
      </c>
      <c r="AS164" s="24" t="inlineStr">
        <is>
          <t>mlb-col</t>
        </is>
      </c>
      <c r="AT164" s="24" t="inlineStr">
        <is>
          <t>Colorado Rockies</t>
        </is>
      </c>
      <c r="AU164" s="24" t="inlineStr">
        <is>
          <t>Colorado Rockies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464eef695bfbbdaa819ec6f5e4c5bd1068ed20b92915fb2677220ae91e20d8b6</t>
        </is>
      </c>
      <c r="BB164" s="24" t="inlineStr">
        <is>
          <t>learned_lr</t>
        </is>
      </c>
      <c r="BC164" s="24" t="inlineStr">
        <is>
          <t>mlb-elo-trend-lr-v7</t>
        </is>
      </c>
      <c r="BD164" s="24" t="inlineStr">
        <is>
          <t>464eef695bfbbdaa819ec6f5e4c5bd1068ed20b92915fb2677220ae91e20d8b6</t>
        </is>
      </c>
      <c r="BE164" s="24" t="inlineStr">
        <is>
          <t>d8aa2e63047d9809</t>
        </is>
      </c>
      <c r="BF164" s="24" t="inlineStr">
        <is>
          <t>1</t>
        </is>
      </c>
      <c r="BG164" s="24" t="inlineStr">
        <is>
          <t>mlb-elo-trend-lr-v7</t>
        </is>
      </c>
      <c r="BH164" s="24" t="inlineStr">
        <is>
          <t>2026-08-03T22:56:01.752802Z</t>
        </is>
      </c>
      <c r="BI164" s="24" t="inlineStr">
        <is>
          <t>["same_event","same_team_same_day","same_league_same_day"]</t>
        </is>
      </c>
      <c r="BJ164" s="25" t="n"/>
      <c r="BK164" s="26" t="n">
        <v>-170</v>
      </c>
      <c r="BL164" s="27" t="n">
        <v>1.588235</v>
      </c>
      <c r="BM164" s="28" t="n">
        <v>0.62963</v>
      </c>
      <c r="BN164" s="28" t="n">
        <v>0.626866</v>
      </c>
      <c r="BO164" s="28" t="n"/>
      <c r="BP164" s="25" t="n"/>
      <c r="BQ164" s="27" t="n">
        <v>1.588235</v>
      </c>
      <c r="BR164" s="28" t="n">
        <v>0.63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inlineStr">
        <is>
          <t>0.3824194159</t>
        </is>
      </c>
      <c r="CD164" s="24" t="inlineStr">
        <is>
          <t>2.647689</t>
        </is>
      </c>
      <c r="CE164" s="24" t="inlineStr">
        <is>
          <t>1.193</t>
        </is>
      </c>
      <c r="CF164" s="24" t="inlineStr">
        <is>
          <t>1.0225</t>
        </is>
      </c>
      <c r="CG164" s="24" t="inlineStr">
        <is>
          <t>0.4</t>
        </is>
      </c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inlineStr">
        <is>
          <t>0.648206</t>
        </is>
      </c>
      <c r="CS164" s="24" t="inlineStr">
        <is>
          <t>True</t>
        </is>
      </c>
    </row>
    <row r="165" ht="36" customHeight="1">
      <c r="A165" s="24" t="inlineStr">
        <is>
          <t>d61d2619aa6c4943</t>
        </is>
      </c>
      <c r="B165" s="24" t="inlineStr">
        <is>
          <t>2026-08-03T22:56:28.208831Z</t>
        </is>
      </c>
      <c r="C165" s="24" t="inlineStr">
        <is>
          <t>2026-08-03T21:40:00-0400</t>
        </is>
      </c>
      <c r="D165" s="24" t="inlineStr">
        <is>
          <t>401815079</t>
        </is>
      </c>
      <c r="E165" s="24" t="inlineStr">
        <is>
          <t>MLB</t>
        </is>
      </c>
      <c r="F165" s="24" t="inlineStr">
        <is>
          <t>San Diego Padres</t>
        </is>
      </c>
      <c r="G165" s="24" t="inlineStr">
        <is>
          <t>Arizona Diamondbacks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-106</v>
      </c>
      <c r="M165" s="27" t="n">
        <v>1.943396</v>
      </c>
      <c r="N165" s="28" t="n">
        <v>0.514563</v>
      </c>
      <c r="O165" s="28" t="n">
        <v>0.502816</v>
      </c>
      <c r="P165" s="28" t="n"/>
      <c r="Q165" s="28" t="n">
        <v>-0.011747</v>
      </c>
      <c r="R165" s="26" t="n">
        <v>15</v>
      </c>
      <c r="S165" s="29" t="n">
        <v>0</v>
      </c>
      <c r="T165" s="24" t="inlineStr">
        <is>
          <t>mlb-elo-trend-lr-v7</t>
        </is>
      </c>
      <c r="U165" s="24" t="inlineStr">
        <is>
          <t>settled</t>
        </is>
      </c>
      <c r="V165" s="24" t="inlineStr">
        <is>
          <t>win</t>
        </is>
      </c>
      <c r="W165" s="26" t="n">
        <v>1</v>
      </c>
      <c r="X165" s="26" t="n">
        <v>5</v>
      </c>
      <c r="Y165" s="25" t="n"/>
      <c r="Z165" s="26" t="n">
        <v>-106</v>
      </c>
      <c r="AA165" s="28" t="n">
        <v>0.515</v>
      </c>
      <c r="AB165" s="28" t="n">
        <v>0.000437</v>
      </c>
      <c r="AC165" s="30" t="n">
        <v>0</v>
      </c>
      <c r="AD165" s="24" t="inlineStr">
        <is>
          <t>2026-08-04T05:15:17.299023Z</t>
        </is>
      </c>
      <c r="AE165" s="31" t="inlineStr">
        <is>
          <t>Learned LR call at threshold 0.6242; executable ask 0.5150 (aec-mlb-sd-az-2026-08-03); model edge vs ask -0.0122.</t>
        </is>
      </c>
      <c r="AF165" s="31" t="inlineStr">
        <is>
          <t>Learned model; shadow-qualified via operator override.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NO_CALL_BELOW_LEARNED_CONFIDENCE</t>
        </is>
      </c>
      <c r="AP165" s="24" t="inlineStr">
        <is>
          <t>mlb-sd</t>
        </is>
      </c>
      <c r="AQ165" s="24" t="inlineStr">
        <is>
          <t>San Diego Padres</t>
        </is>
      </c>
      <c r="AR165" s="24" t="inlineStr">
        <is>
          <t>San Diego Padres</t>
        </is>
      </c>
      <c r="AS165" s="24" t="inlineStr">
        <is>
          <t>mlb-ari</t>
        </is>
      </c>
      <c r="AT165" s="24" t="inlineStr">
        <is>
          <t>Arizona Diamondbacks</t>
        </is>
      </c>
      <c r="AU165" s="24" t="inlineStr">
        <is>
          <t>Arizona Diamondbacks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464eef695bfbbdaa819ec6f5e4c5bd1068ed20b92915fb2677220ae91e20d8b6</t>
        </is>
      </c>
      <c r="BB165" s="24" t="inlineStr">
        <is>
          <t>learned_lr</t>
        </is>
      </c>
      <c r="BC165" s="24" t="inlineStr">
        <is>
          <t>mlb-elo-trend-lr-v7</t>
        </is>
      </c>
      <c r="BD165" s="24" t="inlineStr">
        <is>
          <t>464eef695bfbbdaa819ec6f5e4c5bd1068ed20b92915fb2677220ae91e20d8b6</t>
        </is>
      </c>
      <c r="BE165" s="24" t="inlineStr">
        <is>
          <t>b574167fe977dcae</t>
        </is>
      </c>
      <c r="BF165" s="24" t="inlineStr">
        <is>
          <t>1</t>
        </is>
      </c>
      <c r="BG165" s="24" t="inlineStr">
        <is>
          <t>mlb-elo-trend-lr-v7</t>
        </is>
      </c>
      <c r="BH165" s="24" t="inlineStr">
        <is>
          <t>2026-08-03T22:56:02.302897Z</t>
        </is>
      </c>
      <c r="BI165" s="24" t="inlineStr">
        <is>
          <t>["same_event","same_team_same_day","same_league_same_day"]</t>
        </is>
      </c>
      <c r="BJ165" s="25" t="n"/>
      <c r="BK165" s="26" t="n">
        <v>-106</v>
      </c>
      <c r="BL165" s="27" t="n">
        <v>1.943396</v>
      </c>
      <c r="BM165" s="28" t="n">
        <v>0.514563</v>
      </c>
      <c r="BN165" s="28" t="n">
        <v>0.5124379999999999</v>
      </c>
      <c r="BO165" s="28" t="n"/>
      <c r="BP165" s="25" t="n"/>
      <c r="BQ165" s="27" t="n">
        <v>1.943396</v>
      </c>
      <c r="BR165" s="28" t="n">
        <v>0.515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inlineStr">
        <is>
          <t>0.5239966198</t>
        </is>
      </c>
      <c r="CD165" s="24" t="inlineStr">
        <is>
          <t>-0.272561</t>
        </is>
      </c>
      <c r="CE165" s="24" t="inlineStr">
        <is>
          <t>1.097</t>
        </is>
      </c>
      <c r="CF165" s="24" t="inlineStr">
        <is>
          <t>1.0</t>
        </is>
      </c>
      <c r="CG165" s="24" t="inlineStr">
        <is>
          <t>0.8</t>
        </is>
      </c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inlineStr">
        <is>
          <t>0.502816</t>
        </is>
      </c>
      <c r="CS165" s="24" t="inlineStr">
        <is>
          <t>False</t>
        </is>
      </c>
    </row>
    <row r="166" ht="36" customHeight="1">
      <c r="A166" s="24" t="inlineStr">
        <is>
          <t>5dc826f3993c4731</t>
        </is>
      </c>
      <c r="B166" s="24" t="inlineStr">
        <is>
          <t>2026-08-03T22:56:38.586421Z</t>
        </is>
      </c>
      <c r="C166" s="24" t="inlineStr">
        <is>
          <t>2026-08-03T23:05Z</t>
        </is>
      </c>
      <c r="D166" s="24" t="inlineStr">
        <is>
          <t>401816377</t>
        </is>
      </c>
      <c r="E166" s="24" t="inlineStr">
        <is>
          <t>MLB</t>
        </is>
      </c>
      <c r="F166" s="24" t="inlineStr">
        <is>
          <t>St. Louis Cardinals</t>
        </is>
      </c>
      <c r="G166" s="24" t="inlineStr">
        <is>
          <t>New York Yankees</t>
        </is>
      </c>
      <c r="H166" s="24" t="inlineStr">
        <is>
          <t>spread</t>
        </is>
      </c>
      <c r="I166" s="24" t="inlineStr">
        <is>
          <t>away</t>
        </is>
      </c>
      <c r="J166" s="25" t="n">
        <v>1.5</v>
      </c>
      <c r="K166" s="24" t="inlineStr">
        <is>
          <t>polymarket_us</t>
        </is>
      </c>
      <c r="L166" s="26" t="n">
        <v>106</v>
      </c>
      <c r="M166" s="27" t="n">
        <v>2.06</v>
      </c>
      <c r="N166" s="28" t="n">
        <v>0.485437</v>
      </c>
      <c r="O166" s="28" t="n">
        <v>0.522193</v>
      </c>
      <c r="P166" s="28" t="n">
        <v>0.042131</v>
      </c>
      <c r="Q166" s="28" t="n">
        <v>0.036756</v>
      </c>
      <c r="R166" s="26" t="n">
        <v>45</v>
      </c>
      <c r="S166" s="29" t="n">
        <v>1</v>
      </c>
      <c r="T166" s="24" t="inlineStr">
        <is>
          <t>measured-edge-margin-v2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13</v>
      </c>
      <c r="X166" s="26" t="n">
        <v>7</v>
      </c>
      <c r="Y166" s="25" t="n">
        <v>1.5</v>
      </c>
      <c r="Z166" s="26" t="n">
        <v>106</v>
      </c>
      <c r="AA166" s="28" t="n">
        <v>0.485</v>
      </c>
      <c r="AB166" s="28" t="n">
        <v>-0.000437</v>
      </c>
      <c r="AC166" s="30" t="n">
        <v>1.06</v>
      </c>
      <c r="AD166" s="24" t="inlineStr">
        <is>
          <t>2026-08-04T03:57:57.930528Z</t>
        </is>
      </c>
      <c r="AE166" s="31" t="inlineStr">
        <is>
          <t>Measured Edge Margin: Trend Engine projected 3.04-4.45; raw selected-side p=0.5337, calibrated p=0.5222.</t>
        </is>
      </c>
      <c r="AF166" s="31" t="inlineStr">
        <is>
          <t>Research-only; lineup, bullpen, park, weather, xFIP, and wRC+ may be neutral fallbacks; market availability and BBO depth may change before first pitch.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3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mlb-stl</t>
        </is>
      </c>
      <c r="AQ166" s="24" t="inlineStr">
        <is>
          <t>St. Louis Cardinals</t>
        </is>
      </c>
      <c r="AR166" s="24" t="inlineStr">
        <is>
          <t>St. Louis Cardinals</t>
        </is>
      </c>
      <c r="AS166" s="24" t="inlineStr">
        <is>
          <t>mlb-nyy</t>
        </is>
      </c>
      <c r="AT166" s="24" t="inlineStr">
        <is>
          <t>New York Yankees</t>
        </is>
      </c>
      <c r="AU166" s="24" t="inlineStr">
        <is>
          <t>New York Yankees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research</t>
        </is>
      </c>
      <c r="BA166" s="24" t="inlineStr">
        <is>
          <t>8360b122264b796b0fb193095cfe4506c7e064e5f3f8c0a659aec41efd08dd25</t>
        </is>
      </c>
      <c r="BB166" s="24" t="inlineStr">
        <is>
          <t>flat_probability_shrinkage_toward_half</t>
        </is>
      </c>
      <c r="BC166" s="24" t="inlineStr">
        <is>
          <t>measured-edge-margin-v2</t>
        </is>
      </c>
      <c r="BD166" s="24" t="inlineStr">
        <is>
          <t>8360b122264b796b0fb193095cfe4506c7e064e5f3f8c0a659aec41efd08dd25</t>
        </is>
      </c>
      <c r="BE166" s="24" t="inlineStr">
        <is>
          <t>v3</t>
        </is>
      </c>
      <c r="BF166" s="24" t="inlineStr">
        <is>
          <t>1</t>
        </is>
      </c>
      <c r="BG166" s="24" t="inlineStr">
        <is>
          <t>measured-edge-paired-v1</t>
        </is>
      </c>
      <c r="BH166" s="24" t="inlineStr">
        <is>
          <t>2026-08-03T22:56:38.586421Z</t>
        </is>
      </c>
      <c r="BI166" s="24" t="inlineStr">
        <is>
          <t>["same_event","same_team_same_day","same_league_same_day"]</t>
        </is>
      </c>
      <c r="BJ166" s="25" t="n">
        <v>1.5</v>
      </c>
      <c r="BK166" s="26" t="n">
        <v>106</v>
      </c>
      <c r="BL166" s="27" t="n">
        <v>2.06</v>
      </c>
      <c r="BM166" s="28" t="n">
        <v>0.485437</v>
      </c>
      <c r="BN166" s="28" t="n">
        <v>0.482587</v>
      </c>
      <c r="BO166" s="28" t="n"/>
      <c r="BP166" s="25" t="n"/>
      <c r="BQ166" s="27" t="n">
        <v>2.06</v>
      </c>
      <c r="BR166" s="28" t="n">
        <v>0.485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571d19c7ef8f4c92</t>
        </is>
      </c>
      <c r="B167" s="24" t="inlineStr">
        <is>
          <t>2026-08-03T22:56:38.586421Z</t>
        </is>
      </c>
      <c r="C167" s="24" t="inlineStr">
        <is>
          <t>2026-08-03T23:05Z</t>
        </is>
      </c>
      <c r="D167" s="24" t="inlineStr">
        <is>
          <t>401816377</t>
        </is>
      </c>
      <c r="E167" s="24" t="inlineStr">
        <is>
          <t>MLB</t>
        </is>
      </c>
      <c r="F167" s="24" t="inlineStr">
        <is>
          <t>St. Louis Cardinals</t>
        </is>
      </c>
      <c r="G167" s="24" t="inlineStr">
        <is>
          <t>New York Yankees</t>
        </is>
      </c>
      <c r="H167" s="24" t="inlineStr">
        <is>
          <t>total</t>
        </is>
      </c>
      <c r="I167" s="24" t="inlineStr">
        <is>
          <t>under</t>
        </is>
      </c>
      <c r="J167" s="25" t="n">
        <v>7.5</v>
      </c>
      <c r="K167" s="24" t="inlineStr">
        <is>
          <t>polymarket_us</t>
        </is>
      </c>
      <c r="L167" s="26" t="n">
        <v>115</v>
      </c>
      <c r="M167" s="27" t="n">
        <v>2.15</v>
      </c>
      <c r="N167" s="28" t="n">
        <v>0.465116</v>
      </c>
      <c r="O167" s="28" t="n">
        <v>0.526111</v>
      </c>
      <c r="P167" s="28" t="n">
        <v>0.042131</v>
      </c>
      <c r="Q167" s="28" t="n">
        <v>0.060995</v>
      </c>
      <c r="R167" s="26" t="n">
        <v>56</v>
      </c>
      <c r="S167" s="29" t="n">
        <v>1</v>
      </c>
      <c r="T167" s="24" t="inlineStr">
        <is>
          <t>measured-edge-totals-v2</t>
        </is>
      </c>
      <c r="U167" s="24" t="inlineStr">
        <is>
          <t>settled</t>
        </is>
      </c>
      <c r="V167" s="24" t="inlineStr">
        <is>
          <t>loss</t>
        </is>
      </c>
      <c r="W167" s="26" t="n">
        <v>13</v>
      </c>
      <c r="X167" s="26" t="n">
        <v>7</v>
      </c>
      <c r="Y167" s="25" t="n">
        <v>7.5</v>
      </c>
      <c r="Z167" s="26" t="n">
        <v>115</v>
      </c>
      <c r="AA167" s="28" t="n">
        <v>0.465</v>
      </c>
      <c r="AB167" s="28" t="n">
        <v>-0.000116</v>
      </c>
      <c r="AC167" s="30" t="n">
        <v>-1</v>
      </c>
      <c r="AD167" s="24" t="inlineStr">
        <is>
          <t>2026-08-04T03:57:58.697107Z</t>
        </is>
      </c>
      <c r="AE167" s="31" t="inlineStr">
        <is>
          <t>Measured Edge Totals: Trend Engine projected 3.04-4.45; raw selected-side p=0.5532, calibrated p=0.5261.</t>
        </is>
      </c>
      <c r="AF167" s="31" t="inlineStr">
        <is>
          <t>Research-only; lineup, bullpen, park, weather, xFIP, and wRC+ may be neutral fallbacks; market availability and BBO depth may change before first pitch.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3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mlb-stl</t>
        </is>
      </c>
      <c r="AQ167" s="24" t="inlineStr">
        <is>
          <t>St. Louis Cardinals</t>
        </is>
      </c>
      <c r="AR167" s="24" t="inlineStr">
        <is>
          <t>St. Louis Cardinals</t>
        </is>
      </c>
      <c r="AS167" s="24" t="inlineStr">
        <is>
          <t>mlb-nyy</t>
        </is>
      </c>
      <c r="AT167" s="24" t="inlineStr">
        <is>
          <t>New York Yankees</t>
        </is>
      </c>
      <c r="AU167" s="24" t="inlineStr">
        <is>
          <t>New York Yankees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research</t>
        </is>
      </c>
      <c r="BA167" s="24" t="inlineStr">
        <is>
          <t>433578016242b27f9c1c7132cc6b5a2bcc7dd1b0234590c12a944455a88e71bd</t>
        </is>
      </c>
      <c r="BB167" s="24" t="inlineStr">
        <is>
          <t>flat_probability_shrinkage_toward_half</t>
        </is>
      </c>
      <c r="BC167" s="24" t="inlineStr">
        <is>
          <t>measured-edge-totals-v2</t>
        </is>
      </c>
      <c r="BD167" s="24" t="inlineStr">
        <is>
          <t>433578016242b27f9c1c7132cc6b5a2bcc7dd1b0234590c12a944455a88e71bd</t>
        </is>
      </c>
      <c r="BE167" s="24" t="inlineStr">
        <is>
          <t>v3</t>
        </is>
      </c>
      <c r="BF167" s="24" t="inlineStr">
        <is>
          <t>1</t>
        </is>
      </c>
      <c r="BG167" s="24" t="inlineStr">
        <is>
          <t>measured-edge-paired-v1</t>
        </is>
      </c>
      <c r="BH167" s="24" t="inlineStr">
        <is>
          <t>2026-08-03T22:56:38.586421Z</t>
        </is>
      </c>
      <c r="BI167" s="24" t="inlineStr">
        <is>
          <t>["same_event","same_team_same_day","same_league_same_day"]</t>
        </is>
      </c>
      <c r="BJ167" s="25" t="n">
        <v>7.5</v>
      </c>
      <c r="BK167" s="26" t="n">
        <v>115</v>
      </c>
      <c r="BL167" s="27" t="n">
        <v>2.15</v>
      </c>
      <c r="BM167" s="28" t="n">
        <v>0.465116</v>
      </c>
      <c r="BN167" s="28" t="n">
        <v>0.462687</v>
      </c>
      <c r="BO167" s="28" t="n"/>
      <c r="BP167" s="25" t="n"/>
      <c r="BQ167" s="27" t="n">
        <v>2.15</v>
      </c>
      <c r="BR167" s="28" t="n">
        <v>0.465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93f160d49f254896</t>
        </is>
      </c>
      <c r="B168" s="24" t="inlineStr">
        <is>
          <t>2026-08-03T22:56:38.586421Z</t>
        </is>
      </c>
      <c r="C168" s="24" t="inlineStr">
        <is>
          <t>2026-08-03T23:40Z</t>
        </is>
      </c>
      <c r="D168" s="24" t="inlineStr">
        <is>
          <t>401816380</t>
        </is>
      </c>
      <c r="E168" s="24" t="inlineStr">
        <is>
          <t>MLB</t>
        </is>
      </c>
      <c r="F168" s="24" t="inlineStr">
        <is>
          <t>Pittsburgh Pirates</t>
        </is>
      </c>
      <c r="G168" s="24" t="inlineStr">
        <is>
          <t>Milwaukee Brewers</t>
        </is>
      </c>
      <c r="H168" s="24" t="inlineStr">
        <is>
          <t>spread</t>
        </is>
      </c>
      <c r="I168" s="24" t="inlineStr">
        <is>
          <t>away</t>
        </is>
      </c>
      <c r="J168" s="25" t="n">
        <v>1.5</v>
      </c>
      <c r="K168" s="24" t="inlineStr">
        <is>
          <t>polymarket_us</t>
        </is>
      </c>
      <c r="L168" s="26" t="n">
        <v>-153</v>
      </c>
      <c r="M168" s="27" t="n">
        <v>1.653595</v>
      </c>
      <c r="N168" s="28" t="n">
        <v>0.604743</v>
      </c>
      <c r="O168" s="28" t="n">
        <v>0.579668</v>
      </c>
      <c r="P168" s="28" t="n">
        <v>0.042131</v>
      </c>
      <c r="Q168" s="28" t="n">
        <v>-0.025075</v>
      </c>
      <c r="R168" s="26" t="n">
        <v>14</v>
      </c>
      <c r="S168" s="29" t="n">
        <v>1.25</v>
      </c>
      <c r="T168" s="24" t="inlineStr">
        <is>
          <t>measured-edge-margin-v2</t>
        </is>
      </c>
      <c r="U168" s="24" t="inlineStr">
        <is>
          <t>settled</t>
        </is>
      </c>
      <c r="V168" s="24" t="inlineStr">
        <is>
          <t>win</t>
        </is>
      </c>
      <c r="W168" s="26" t="n">
        <v>4</v>
      </c>
      <c r="X168" s="26" t="n">
        <v>3</v>
      </c>
      <c r="Y168" s="25" t="n">
        <v>1.5</v>
      </c>
      <c r="Z168" s="26" t="n">
        <v>-153</v>
      </c>
      <c r="AA168" s="28" t="n">
        <v>0.605</v>
      </c>
      <c r="AB168" s="28" t="n">
        <v>0.000257</v>
      </c>
      <c r="AC168" s="30" t="n">
        <v>0.8169999999999999</v>
      </c>
      <c r="AD168" s="24" t="inlineStr">
        <is>
          <t>2026-08-04T03:57:59.428202Z</t>
        </is>
      </c>
      <c r="AE168" s="31" t="inlineStr">
        <is>
          <t>Measured Edge Margin: Trend Engine projected 4.45-4.93; raw selected-side p=0.6213, calibrated p=0.5797.</t>
        </is>
      </c>
      <c r="AF168" s="31" t="inlineStr">
        <is>
          <t>Research-only; lineup, bullpen, park, weather, xFIP, and wRC+ may be neutral fallbacks; market availability and BBO depth may change before first pitch.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3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mlb-pit</t>
        </is>
      </c>
      <c r="AQ168" s="24" t="inlineStr">
        <is>
          <t>Pittsburgh Pirates</t>
        </is>
      </c>
      <c r="AR168" s="24" t="inlineStr">
        <is>
          <t>Pittsburgh Pirates</t>
        </is>
      </c>
      <c r="AS168" s="24" t="inlineStr">
        <is>
          <t>mlb-mil</t>
        </is>
      </c>
      <c r="AT168" s="24" t="inlineStr">
        <is>
          <t>Milwaukee Brewers</t>
        </is>
      </c>
      <c r="AU168" s="24" t="inlineStr">
        <is>
          <t>Milwaukee Brewers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research</t>
        </is>
      </c>
      <c r="BA168" s="24" t="inlineStr">
        <is>
          <t>8360b122264b796b0fb193095cfe4506c7e064e5f3f8c0a659aec41efd08dd25</t>
        </is>
      </c>
      <c r="BB168" s="24" t="inlineStr">
        <is>
          <t>flat_probability_shrinkage_toward_half</t>
        </is>
      </c>
      <c r="BC168" s="24" t="inlineStr">
        <is>
          <t>measured-edge-margin-v2</t>
        </is>
      </c>
      <c r="BD168" s="24" t="inlineStr">
        <is>
          <t>8360b122264b796b0fb193095cfe4506c7e064e5f3f8c0a659aec41efd08dd25</t>
        </is>
      </c>
      <c r="BE168" s="24" t="inlineStr">
        <is>
          <t>v3</t>
        </is>
      </c>
      <c r="BF168" s="24" t="inlineStr">
        <is>
          <t>1</t>
        </is>
      </c>
      <c r="BG168" s="24" t="inlineStr">
        <is>
          <t>measured-edge-paired-v1</t>
        </is>
      </c>
      <c r="BH168" s="24" t="inlineStr">
        <is>
          <t>2026-08-03T22:56:38.586421Z</t>
        </is>
      </c>
      <c r="BI168" s="24" t="inlineStr">
        <is>
          <t>["same_event","same_team_same_day","same_league_same_day"]</t>
        </is>
      </c>
      <c r="BJ168" s="25" t="n">
        <v>1.5</v>
      </c>
      <c r="BK168" s="26" t="n">
        <v>-153</v>
      </c>
      <c r="BL168" s="27" t="n">
        <v>1.653595</v>
      </c>
      <c r="BM168" s="28" t="n">
        <v>0.604743</v>
      </c>
      <c r="BN168" s="28" t="n">
        <v>0.60199</v>
      </c>
      <c r="BO168" s="28" t="n"/>
      <c r="BP168" s="25" t="n"/>
      <c r="BQ168" s="27" t="n">
        <v>1.653595</v>
      </c>
      <c r="BR168" s="28" t="n">
        <v>0.605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</row>
    <row r="169" ht="36" customHeight="1">
      <c r="A169" s="24" t="inlineStr">
        <is>
          <t>054f69d3c6744f59</t>
        </is>
      </c>
      <c r="B169" s="24" t="inlineStr">
        <is>
          <t>2026-08-03T22:56:38.586421Z</t>
        </is>
      </c>
      <c r="C169" s="24" t="inlineStr">
        <is>
          <t>2026-08-03T23:40Z</t>
        </is>
      </c>
      <c r="D169" s="24" t="inlineStr">
        <is>
          <t>401816380</t>
        </is>
      </c>
      <c r="E169" s="24" t="inlineStr">
        <is>
          <t>MLB</t>
        </is>
      </c>
      <c r="F169" s="24" t="inlineStr">
        <is>
          <t>Pittsburgh Pirates</t>
        </is>
      </c>
      <c r="G169" s="24" t="inlineStr">
        <is>
          <t>Milwaukee Brewers</t>
        </is>
      </c>
      <c r="H169" s="24" t="inlineStr">
        <is>
          <t>total</t>
        </is>
      </c>
      <c r="I169" s="24" t="inlineStr">
        <is>
          <t>over</t>
        </is>
      </c>
      <c r="J169" s="25" t="n">
        <v>8.5</v>
      </c>
      <c r="K169" s="24" t="inlineStr">
        <is>
          <t>polymarket_us</t>
        </is>
      </c>
      <c r="L169" s="26" t="n">
        <v>104</v>
      </c>
      <c r="M169" s="27" t="n">
        <v>2.04</v>
      </c>
      <c r="N169" s="28" t="n">
        <v>0.490196</v>
      </c>
      <c r="O169" s="28" t="n">
        <v>0.522643</v>
      </c>
      <c r="P169" s="28" t="n">
        <v>0.042131</v>
      </c>
      <c r="Q169" s="28" t="n">
        <v>0.032447</v>
      </c>
      <c r="R169" s="26" t="n">
        <v>42</v>
      </c>
      <c r="S169" s="29" t="n">
        <v>1</v>
      </c>
      <c r="T169" s="24" t="inlineStr">
        <is>
          <t>measured-edge-totals-v2</t>
        </is>
      </c>
      <c r="U169" s="24" t="inlineStr">
        <is>
          <t>settled</t>
        </is>
      </c>
      <c r="V169" s="24" t="inlineStr">
        <is>
          <t>loss</t>
        </is>
      </c>
      <c r="W169" s="26" t="n">
        <v>4</v>
      </c>
      <c r="X169" s="26" t="n">
        <v>3</v>
      </c>
      <c r="Y169" s="25" t="n">
        <v>8.5</v>
      </c>
      <c r="Z169" s="26" t="n">
        <v>104</v>
      </c>
      <c r="AA169" s="28" t="n">
        <v>0.49</v>
      </c>
      <c r="AB169" s="28" t="n">
        <v>-0.000196</v>
      </c>
      <c r="AC169" s="30" t="n">
        <v>-1</v>
      </c>
      <c r="AD169" s="24" t="inlineStr">
        <is>
          <t>2026-08-04T03:58:00.162716Z</t>
        </is>
      </c>
      <c r="AE169" s="31" t="inlineStr">
        <is>
          <t>Measured Edge Totals: Trend Engine projected 4.45-4.93; raw selected-side p=0.5430, calibrated p=0.5226.</t>
        </is>
      </c>
      <c r="AF169" s="31" t="inlineStr">
        <is>
          <t>Research-only; lineup, bullpen, park, weather, xFIP, and wRC+ may be neutral fallbacks; market availability and BBO depth may change before first pitch.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3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mlb-pit</t>
        </is>
      </c>
      <c r="AQ169" s="24" t="inlineStr">
        <is>
          <t>Pittsburgh Pirates</t>
        </is>
      </c>
      <c r="AR169" s="24" t="inlineStr">
        <is>
          <t>Pittsburgh Pirates</t>
        </is>
      </c>
      <c r="AS169" s="24" t="inlineStr">
        <is>
          <t>mlb-mil</t>
        </is>
      </c>
      <c r="AT169" s="24" t="inlineStr">
        <is>
          <t>Milwaukee Brewers</t>
        </is>
      </c>
      <c r="AU169" s="24" t="inlineStr">
        <is>
          <t>Milwaukee Brewers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research</t>
        </is>
      </c>
      <c r="BA169" s="24" t="inlineStr">
        <is>
          <t>433578016242b27f9c1c7132cc6b5a2bcc7dd1b0234590c12a944455a88e71bd</t>
        </is>
      </c>
      <c r="BB169" s="24" t="inlineStr">
        <is>
          <t>flat_probability_shrinkage_toward_half</t>
        </is>
      </c>
      <c r="BC169" s="24" t="inlineStr">
        <is>
          <t>measured-edge-totals-v2</t>
        </is>
      </c>
      <c r="BD169" s="24" t="inlineStr">
        <is>
          <t>433578016242b27f9c1c7132cc6b5a2bcc7dd1b0234590c12a944455a88e71bd</t>
        </is>
      </c>
      <c r="BE169" s="24" t="inlineStr">
        <is>
          <t>v3</t>
        </is>
      </c>
      <c r="BF169" s="24" t="inlineStr">
        <is>
          <t>1</t>
        </is>
      </c>
      <c r="BG169" s="24" t="inlineStr">
        <is>
          <t>measured-edge-paired-v1</t>
        </is>
      </c>
      <c r="BH169" s="24" t="inlineStr">
        <is>
          <t>2026-08-03T22:56:38.586421Z</t>
        </is>
      </c>
      <c r="BI169" s="24" t="inlineStr">
        <is>
          <t>["same_event","same_team_same_day","same_league_same_day"]</t>
        </is>
      </c>
      <c r="BJ169" s="25" t="n">
        <v>8.5</v>
      </c>
      <c r="BK169" s="26" t="n">
        <v>104</v>
      </c>
      <c r="BL169" s="27" t="n">
        <v>2.04</v>
      </c>
      <c r="BM169" s="28" t="n">
        <v>0.490196</v>
      </c>
      <c r="BN169" s="28" t="n">
        <v>0.487562</v>
      </c>
      <c r="BO169" s="28" t="n"/>
      <c r="BP169" s="25" t="n"/>
      <c r="BQ169" s="27" t="n">
        <v>2.04</v>
      </c>
      <c r="BR169" s="28" t="n">
        <v>0.49</v>
      </c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</row>
    <row r="170" ht="36" customHeight="1">
      <c r="A170" s="24" t="inlineStr">
        <is>
          <t>43a6b0cf685a4f16</t>
        </is>
      </c>
      <c r="B170" s="24" t="inlineStr">
        <is>
          <t>2026-08-03T22:56:38.586421Z</t>
        </is>
      </c>
      <c r="C170" s="24" t="inlineStr">
        <is>
          <t>2026-08-04T00:00Z</t>
        </is>
      </c>
      <c r="D170" s="24" t="inlineStr">
        <is>
          <t>401816381</t>
        </is>
      </c>
      <c r="E170" s="24" t="inlineStr">
        <is>
          <t>MLB</t>
        </is>
      </c>
      <c r="F170" s="24" t="inlineStr">
        <is>
          <t>San Francisco Giants</t>
        </is>
      </c>
      <c r="G170" s="24" t="inlineStr">
        <is>
          <t>Texas Rangers</t>
        </is>
      </c>
      <c r="H170" s="24" t="inlineStr">
        <is>
          <t>spread</t>
        </is>
      </c>
      <c r="I170" s="24" t="inlineStr">
        <is>
          <t>away</t>
        </is>
      </c>
      <c r="J170" s="25" t="n">
        <v>1.5</v>
      </c>
      <c r="K170" s="24" t="inlineStr">
        <is>
          <t>polymarket_us</t>
        </is>
      </c>
      <c r="L170" s="26" t="n">
        <v>-186</v>
      </c>
      <c r="M170" s="27" t="n">
        <v>1.537634</v>
      </c>
      <c r="N170" s="28" t="n">
        <v>0.65035</v>
      </c>
      <c r="O170" s="28" t="n">
        <v>0.596234</v>
      </c>
      <c r="P170" s="28" t="n">
        <v>0.042131</v>
      </c>
      <c r="Q170" s="28" t="n">
        <v>-0.054116</v>
      </c>
      <c r="R170" s="26" t="n">
        <v>0</v>
      </c>
      <c r="S170" s="29" t="n">
        <v>1.25</v>
      </c>
      <c r="T170" s="24" t="inlineStr">
        <is>
          <t>measured-edge-margin-v2</t>
        </is>
      </c>
      <c r="U170" s="24" t="inlineStr">
        <is>
          <t>settled</t>
        </is>
      </c>
      <c r="V170" s="24" t="inlineStr">
        <is>
          <t>win</t>
        </is>
      </c>
      <c r="W170" s="26" t="n">
        <v>5</v>
      </c>
      <c r="X170" s="26" t="n">
        <v>1</v>
      </c>
      <c r="Y170" s="25" t="n">
        <v>1.5</v>
      </c>
      <c r="Z170" s="26" t="n">
        <v>-186</v>
      </c>
      <c r="AA170" s="28" t="n">
        <v>0.65</v>
      </c>
      <c r="AB170" s="28" t="n">
        <v>-0.00035</v>
      </c>
      <c r="AC170" s="30" t="n">
        <v>0.672</v>
      </c>
      <c r="AD170" s="24" t="inlineStr">
        <is>
          <t>2026-08-04T03:58:00.884434Z</t>
        </is>
      </c>
      <c r="AE170" s="31" t="inlineStr">
        <is>
          <t>Measured Edge Margin: Trend Engine projected 4.50-4.74; raw selected-side p=0.6466, calibrated p=0.5962.</t>
        </is>
      </c>
      <c r="AF170" s="31" t="inlineStr">
        <is>
          <t>Research-only; lineup, bullpen, park, weather, xFIP, and wRC+ may be neutral fallbacks; market availability and BBO depth may change before first pitch.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3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mlb-sf</t>
        </is>
      </c>
      <c r="AQ170" s="24" t="inlineStr">
        <is>
          <t>San Francisco Giants</t>
        </is>
      </c>
      <c r="AR170" s="24" t="inlineStr">
        <is>
          <t>San Francisco Giants</t>
        </is>
      </c>
      <c r="AS170" s="24" t="inlineStr">
        <is>
          <t>mlb-tex</t>
        </is>
      </c>
      <c r="AT170" s="24" t="inlineStr">
        <is>
          <t>Texas Rangers</t>
        </is>
      </c>
      <c r="AU170" s="24" t="inlineStr">
        <is>
          <t>Texas Rangers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research</t>
        </is>
      </c>
      <c r="BA170" s="24" t="inlineStr">
        <is>
          <t>8360b122264b796b0fb193095cfe4506c7e064e5f3f8c0a659aec41efd08dd25</t>
        </is>
      </c>
      <c r="BB170" s="24" t="inlineStr">
        <is>
          <t>flat_probability_shrinkage_toward_half</t>
        </is>
      </c>
      <c r="BC170" s="24" t="inlineStr">
        <is>
          <t>measured-edge-margin-v2</t>
        </is>
      </c>
      <c r="BD170" s="24" t="inlineStr">
        <is>
          <t>8360b122264b796b0fb193095cfe4506c7e064e5f3f8c0a659aec41efd08dd25</t>
        </is>
      </c>
      <c r="BE170" s="24" t="inlineStr">
        <is>
          <t>v3</t>
        </is>
      </c>
      <c r="BF170" s="24" t="inlineStr">
        <is>
          <t>1</t>
        </is>
      </c>
      <c r="BG170" s="24" t="inlineStr">
        <is>
          <t>measured-edge-paired-v1</t>
        </is>
      </c>
      <c r="BH170" s="24" t="inlineStr">
        <is>
          <t>2026-08-03T22:56:38.586421Z</t>
        </is>
      </c>
      <c r="BI170" s="24" t="inlineStr">
        <is>
          <t>["same_event","same_team_same_day","same_league_same_day"]</t>
        </is>
      </c>
      <c r="BJ170" s="25" t="n">
        <v>1.5</v>
      </c>
      <c r="BK170" s="26" t="n">
        <v>-186</v>
      </c>
      <c r="BL170" s="27" t="n">
        <v>1.537634</v>
      </c>
      <c r="BM170" s="28" t="n">
        <v>0.65035</v>
      </c>
      <c r="BN170" s="28" t="n">
        <v>0.646766</v>
      </c>
      <c r="BO170" s="28" t="n"/>
      <c r="BP170" s="25" t="n"/>
      <c r="BQ170" s="27" t="n">
        <v>1.537634</v>
      </c>
      <c r="BR170" s="28" t="n">
        <v>0.65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2c52ef0f9cc246c1</t>
        </is>
      </c>
      <c r="B171" s="24" t="inlineStr">
        <is>
          <t>2026-08-03T22:56:38.586421Z</t>
        </is>
      </c>
      <c r="C171" s="24" t="inlineStr">
        <is>
          <t>2026-08-04T00:00Z</t>
        </is>
      </c>
      <c r="D171" s="24" t="inlineStr">
        <is>
          <t>401816381</t>
        </is>
      </c>
      <c r="E171" s="24" t="inlineStr">
        <is>
          <t>MLB</t>
        </is>
      </c>
      <c r="F171" s="24" t="inlineStr">
        <is>
          <t>San Francisco Giants</t>
        </is>
      </c>
      <c r="G171" s="24" t="inlineStr">
        <is>
          <t>Texas Rangers</t>
        </is>
      </c>
      <c r="H171" s="24" t="inlineStr">
        <is>
          <t>total</t>
        </is>
      </c>
      <c r="I171" s="24" t="inlineStr">
        <is>
          <t>over</t>
        </is>
      </c>
      <c r="J171" s="25" t="n">
        <v>7.5</v>
      </c>
      <c r="K171" s="24" t="inlineStr">
        <is>
          <t>polymarket_us</t>
        </is>
      </c>
      <c r="L171" s="26" t="n">
        <v>-120</v>
      </c>
      <c r="M171" s="27" t="n">
        <v>1.833333</v>
      </c>
      <c r="N171" s="28" t="n">
        <v>0.545455</v>
      </c>
      <c r="O171" s="28" t="n">
        <v>0.5452979999999999</v>
      </c>
      <c r="P171" s="28" t="n">
        <v>0.042131</v>
      </c>
      <c r="Q171" s="28" t="n">
        <v>-0.000157</v>
      </c>
      <c r="R171" s="26" t="n">
        <v>26</v>
      </c>
      <c r="S171" s="29" t="n">
        <v>1</v>
      </c>
      <c r="T171" s="24" t="inlineStr">
        <is>
          <t>measured-edge-totals-v2</t>
        </is>
      </c>
      <c r="U171" s="24" t="inlineStr">
        <is>
          <t>settled</t>
        </is>
      </c>
      <c r="V171" s="24" t="inlineStr">
        <is>
          <t>loss</t>
        </is>
      </c>
      <c r="W171" s="26" t="n">
        <v>5</v>
      </c>
      <c r="X171" s="26" t="n">
        <v>1</v>
      </c>
      <c r="Y171" s="25" t="n">
        <v>7.5</v>
      </c>
      <c r="Z171" s="26" t="n">
        <v>-120</v>
      </c>
      <c r="AA171" s="28" t="n">
        <v>0.545</v>
      </c>
      <c r="AB171" s="28" t="n">
        <v>-0.000455</v>
      </c>
      <c r="AC171" s="30" t="n">
        <v>-1</v>
      </c>
      <c r="AD171" s="24" t="inlineStr">
        <is>
          <t>2026-08-04T03:58:01.655703Z</t>
        </is>
      </c>
      <c r="AE171" s="31" t="inlineStr">
        <is>
          <t>Measured Edge Totals: Trend Engine projected 4.50-4.74; raw selected-side p=0.6093, calibrated p=0.5453.</t>
        </is>
      </c>
      <c r="AF171" s="31" t="inlineStr">
        <is>
          <t>Research-only; lineup, bullpen, park, weather, xFIP, and wRC+ may be neutral fallbacks; market availability and BBO depth may change before first pitch.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3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mlb-sf</t>
        </is>
      </c>
      <c r="AQ171" s="24" t="inlineStr">
        <is>
          <t>San Francisco Giants</t>
        </is>
      </c>
      <c r="AR171" s="24" t="inlineStr">
        <is>
          <t>San Francisco Giants</t>
        </is>
      </c>
      <c r="AS171" s="24" t="inlineStr">
        <is>
          <t>mlb-tex</t>
        </is>
      </c>
      <c r="AT171" s="24" t="inlineStr">
        <is>
          <t>Texas Rangers</t>
        </is>
      </c>
      <c r="AU171" s="24" t="inlineStr">
        <is>
          <t>Texas Rangers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433578016242b27f9c1c7132cc6b5a2bcc7dd1b0234590c12a944455a88e71bd</t>
        </is>
      </c>
      <c r="BB171" s="24" t="inlineStr">
        <is>
          <t>flat_probability_shrinkage_toward_half</t>
        </is>
      </c>
      <c r="BC171" s="24" t="inlineStr">
        <is>
          <t>measured-edge-totals-v2</t>
        </is>
      </c>
      <c r="BD171" s="24" t="inlineStr">
        <is>
          <t>433578016242b27f9c1c7132cc6b5a2bcc7dd1b0234590c12a944455a88e71bd</t>
        </is>
      </c>
      <c r="BE171" s="24" t="inlineStr">
        <is>
          <t>v3</t>
        </is>
      </c>
      <c r="BF171" s="24" t="inlineStr">
        <is>
          <t>1</t>
        </is>
      </c>
      <c r="BG171" s="24" t="inlineStr">
        <is>
          <t>measured-edge-paired-v1</t>
        </is>
      </c>
      <c r="BH171" s="24" t="inlineStr">
        <is>
          <t>2026-08-03T22:56:38.586421Z</t>
        </is>
      </c>
      <c r="BI171" s="24" t="inlineStr">
        <is>
          <t>["same_event","same_team_same_day","same_league_same_day"]</t>
        </is>
      </c>
      <c r="BJ171" s="25" t="n">
        <v>7.5</v>
      </c>
      <c r="BK171" s="26" t="n">
        <v>-120</v>
      </c>
      <c r="BL171" s="27" t="n">
        <v>1.833333</v>
      </c>
      <c r="BM171" s="28" t="n">
        <v>0.545455</v>
      </c>
      <c r="BN171" s="28" t="n">
        <v>0.542289</v>
      </c>
      <c r="BO171" s="28" t="n"/>
      <c r="BP171" s="25" t="n"/>
      <c r="BQ171" s="27" t="n">
        <v>1.833333</v>
      </c>
      <c r="BR171" s="28" t="n">
        <v>0.545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5f8261ece40d442e</t>
        </is>
      </c>
      <c r="B172" s="24" t="inlineStr">
        <is>
          <t>2026-08-03T22:56:38.586421Z</t>
        </is>
      </c>
      <c r="C172" s="24" t="inlineStr">
        <is>
          <t>2026-08-04T00:05Z</t>
        </is>
      </c>
      <c r="D172" s="24" t="inlineStr">
        <is>
          <t>401816379</t>
        </is>
      </c>
      <c r="E172" s="24" t="inlineStr">
        <is>
          <t>MLB</t>
        </is>
      </c>
      <c r="F172" s="24" t="inlineStr">
        <is>
          <t>Los Angeles Dodgers</t>
        </is>
      </c>
      <c r="G172" s="24" t="inlineStr">
        <is>
          <t>Chicago Cubs</t>
        </is>
      </c>
      <c r="H172" s="24" t="inlineStr">
        <is>
          <t>spread</t>
        </is>
      </c>
      <c r="I172" s="24" t="inlineStr">
        <is>
          <t>home</t>
        </is>
      </c>
      <c r="J172" s="25" t="n">
        <v>1.5</v>
      </c>
      <c r="K172" s="24" t="inlineStr">
        <is>
          <t>polymarket_us</t>
        </is>
      </c>
      <c r="L172" s="26" t="n">
        <v>-147</v>
      </c>
      <c r="M172" s="27" t="n">
        <v>1.680272</v>
      </c>
      <c r="N172" s="28" t="n">
        <v>0.5951419999999999</v>
      </c>
      <c r="O172" s="28" t="n">
        <v>0.651609</v>
      </c>
      <c r="P172" s="28" t="n">
        <v>0.042131</v>
      </c>
      <c r="Q172" s="28" t="n">
        <v>0.056467</v>
      </c>
      <c r="R172" s="26" t="n">
        <v>55</v>
      </c>
      <c r="S172" s="29" t="n">
        <v>1.75</v>
      </c>
      <c r="T172" s="24" t="inlineStr">
        <is>
          <t>measured-edge-margin-v2</t>
        </is>
      </c>
      <c r="U172" s="24" t="inlineStr">
        <is>
          <t>settled</t>
        </is>
      </c>
      <c r="V172" s="24" t="inlineStr">
        <is>
          <t>win</t>
        </is>
      </c>
      <c r="W172" s="26" t="n">
        <v>5</v>
      </c>
      <c r="X172" s="26" t="n">
        <v>10</v>
      </c>
      <c r="Y172" s="25" t="n">
        <v>1.5</v>
      </c>
      <c r="Z172" s="26" t="n">
        <v>-147</v>
      </c>
      <c r="AA172" s="28" t="n">
        <v>0.595</v>
      </c>
      <c r="AB172" s="28" t="n">
        <v>-0.000142</v>
      </c>
      <c r="AC172" s="30" t="n">
        <v>1.1905</v>
      </c>
      <c r="AD172" s="24" t="inlineStr">
        <is>
          <t>2026-08-04T03:58:02.362545Z</t>
        </is>
      </c>
      <c r="AE172" s="31" t="inlineStr">
        <is>
          <t>Measured Edge Margin: Trend Engine projected 3.69-4.17; raw selected-side p=0.7310, calibrated p=0.6516.</t>
        </is>
      </c>
      <c r="AF172" s="31" t="inlineStr">
        <is>
          <t>Research-only; lineup, bullpen, park, weather, xFIP, and wRC+ may be neutral fallbacks; market availability and BBO depth may change before first pitch.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3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mlb-lad</t>
        </is>
      </c>
      <c r="AQ172" s="24" t="inlineStr">
        <is>
          <t>Los Angeles Dodgers</t>
        </is>
      </c>
      <c r="AR172" s="24" t="inlineStr">
        <is>
          <t>Los Angeles Dodgers</t>
        </is>
      </c>
      <c r="AS172" s="24" t="inlineStr">
        <is>
          <t>mlb-chc</t>
        </is>
      </c>
      <c r="AT172" s="24" t="inlineStr">
        <is>
          <t>Chicago Cubs</t>
        </is>
      </c>
      <c r="AU172" s="24" t="inlineStr">
        <is>
          <t>Chicago Cubs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8360b122264b796b0fb193095cfe4506c7e064e5f3f8c0a659aec41efd08dd25</t>
        </is>
      </c>
      <c r="BB172" s="24" t="inlineStr">
        <is>
          <t>flat_probability_shrinkage_toward_half</t>
        </is>
      </c>
      <c r="BC172" s="24" t="inlineStr">
        <is>
          <t>measured-edge-margin-v2</t>
        </is>
      </c>
      <c r="BD172" s="24" t="inlineStr">
        <is>
          <t>8360b122264b796b0fb193095cfe4506c7e064e5f3f8c0a659aec41efd08dd25</t>
        </is>
      </c>
      <c r="BE172" s="24" t="inlineStr">
        <is>
          <t>v3</t>
        </is>
      </c>
      <c r="BF172" s="24" t="inlineStr">
        <is>
          <t>1</t>
        </is>
      </c>
      <c r="BG172" s="24" t="inlineStr">
        <is>
          <t>measured-edge-paired-v1</t>
        </is>
      </c>
      <c r="BH172" s="24" t="inlineStr">
        <is>
          <t>2026-08-03T22:56:38.586421Z</t>
        </is>
      </c>
      <c r="BI172" s="24" t="inlineStr">
        <is>
          <t>["same_event","same_team_same_day","same_league_same_day"]</t>
        </is>
      </c>
      <c r="BJ172" s="25" t="n">
        <v>1.5</v>
      </c>
      <c r="BK172" s="26" t="n">
        <v>-147</v>
      </c>
      <c r="BL172" s="27" t="n">
        <v>1.680272</v>
      </c>
      <c r="BM172" s="28" t="n">
        <v>0.5951419999999999</v>
      </c>
      <c r="BN172" s="28" t="n">
        <v>0.59204</v>
      </c>
      <c r="BO172" s="28" t="n"/>
      <c r="BP172" s="25" t="n"/>
      <c r="BQ172" s="27" t="n">
        <v>1.680272</v>
      </c>
      <c r="BR172" s="28" t="n">
        <v>0.595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6e29118b7f614c8c</t>
        </is>
      </c>
      <c r="B173" s="24" t="inlineStr">
        <is>
          <t>2026-08-03T22:56:38.586421Z</t>
        </is>
      </c>
      <c r="C173" s="24" t="inlineStr">
        <is>
          <t>2026-08-04T00:05Z</t>
        </is>
      </c>
      <c r="D173" s="24" t="inlineStr">
        <is>
          <t>401816379</t>
        </is>
      </c>
      <c r="E173" s="24" t="inlineStr">
        <is>
          <t>MLB</t>
        </is>
      </c>
      <c r="F173" s="24" t="inlineStr">
        <is>
          <t>Los Angeles Dodgers</t>
        </is>
      </c>
      <c r="G173" s="24" t="inlineStr">
        <is>
          <t>Chicago Cubs</t>
        </is>
      </c>
      <c r="H173" s="24" t="inlineStr">
        <is>
          <t>total</t>
        </is>
      </c>
      <c r="I173" s="24" t="inlineStr">
        <is>
          <t>under</t>
        </is>
      </c>
      <c r="J173" s="25" t="n">
        <v>7.5</v>
      </c>
      <c r="K173" s="24" t="inlineStr">
        <is>
          <t>polymarket_us</t>
        </is>
      </c>
      <c r="L173" s="26" t="n">
        <v>120</v>
      </c>
      <c r="M173" s="27" t="n">
        <v>2.2</v>
      </c>
      <c r="N173" s="28" t="n">
        <v>0.454545</v>
      </c>
      <c r="O173" s="28" t="n">
        <v>0.514357</v>
      </c>
      <c r="P173" s="28" t="n">
        <v>0.042131</v>
      </c>
      <c r="Q173" s="28" t="n">
        <v>0.059812</v>
      </c>
      <c r="R173" s="26" t="n">
        <v>56</v>
      </c>
      <c r="S173" s="29" t="n">
        <v>1</v>
      </c>
      <c r="T173" s="24" t="inlineStr">
        <is>
          <t>measured-edge-totals-v2</t>
        </is>
      </c>
      <c r="U173" s="24" t="inlineStr">
        <is>
          <t>settled</t>
        </is>
      </c>
      <c r="V173" s="24" t="inlineStr">
        <is>
          <t>loss</t>
        </is>
      </c>
      <c r="W173" s="26" t="n">
        <v>5</v>
      </c>
      <c r="X173" s="26" t="n">
        <v>10</v>
      </c>
      <c r="Y173" s="25" t="n">
        <v>7.5</v>
      </c>
      <c r="Z173" s="26" t="n">
        <v>120</v>
      </c>
      <c r="AA173" s="28" t="n">
        <v>0.455</v>
      </c>
      <c r="AB173" s="28" t="n">
        <v>0.000455</v>
      </c>
      <c r="AC173" s="30" t="n">
        <v>-1</v>
      </c>
      <c r="AD173" s="24" t="inlineStr">
        <is>
          <t>2026-08-04T03:58:03.051432Z</t>
        </is>
      </c>
      <c r="AE173" s="31" t="inlineStr">
        <is>
          <t>Measured Edge Totals: Trend Engine projected 3.69-4.17; raw selected-side p=0.5188, calibrated p=0.5144.</t>
        </is>
      </c>
      <c r="AF173" s="31" t="inlineStr">
        <is>
          <t>Research-only; lineup, bullpen, park, weather, xFIP, and wRC+ may be neutral fallbacks; market availability and BBO depth may change before first pitch.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3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mlb-lad</t>
        </is>
      </c>
      <c r="AQ173" s="24" t="inlineStr">
        <is>
          <t>Los Angeles Dodgers</t>
        </is>
      </c>
      <c r="AR173" s="24" t="inlineStr">
        <is>
          <t>Los Angeles Dodgers</t>
        </is>
      </c>
      <c r="AS173" s="24" t="inlineStr">
        <is>
          <t>mlb-chc</t>
        </is>
      </c>
      <c r="AT173" s="24" t="inlineStr">
        <is>
          <t>Chicago Cubs</t>
        </is>
      </c>
      <c r="AU173" s="24" t="inlineStr">
        <is>
          <t>Chicago Cubs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research</t>
        </is>
      </c>
      <c r="BA173" s="24" t="inlineStr">
        <is>
          <t>433578016242b27f9c1c7132cc6b5a2bcc7dd1b0234590c12a944455a88e71bd</t>
        </is>
      </c>
      <c r="BB173" s="24" t="inlineStr">
        <is>
          <t>flat_probability_shrinkage_toward_half</t>
        </is>
      </c>
      <c r="BC173" s="24" t="inlineStr">
        <is>
          <t>measured-edge-totals-v2</t>
        </is>
      </c>
      <c r="BD173" s="24" t="inlineStr">
        <is>
          <t>433578016242b27f9c1c7132cc6b5a2bcc7dd1b0234590c12a944455a88e71bd</t>
        </is>
      </c>
      <c r="BE173" s="24" t="inlineStr">
        <is>
          <t>v3</t>
        </is>
      </c>
      <c r="BF173" s="24" t="inlineStr">
        <is>
          <t>1</t>
        </is>
      </c>
      <c r="BG173" s="24" t="inlineStr">
        <is>
          <t>measured-edge-paired-v1</t>
        </is>
      </c>
      <c r="BH173" s="24" t="inlineStr">
        <is>
          <t>2026-08-03T22:56:38.586421Z</t>
        </is>
      </c>
      <c r="BI173" s="24" t="inlineStr">
        <is>
          <t>["same_event","same_team_same_day","same_league_same_day"]</t>
        </is>
      </c>
      <c r="BJ173" s="25" t="n">
        <v>7.5</v>
      </c>
      <c r="BK173" s="26" t="n">
        <v>120</v>
      </c>
      <c r="BL173" s="27" t="n">
        <v>2.2</v>
      </c>
      <c r="BM173" s="28" t="n">
        <v>0.454545</v>
      </c>
      <c r="BN173" s="28" t="n">
        <v>0.452736</v>
      </c>
      <c r="BO173" s="28" t="n"/>
      <c r="BP173" s="25" t="n"/>
      <c r="BQ173" s="27" t="n">
        <v>2.2</v>
      </c>
      <c r="BR173" s="28" t="n">
        <v>0.455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</row>
    <row r="174" ht="36" customHeight="1">
      <c r="A174" s="24" t="inlineStr">
        <is>
          <t>c888eadccc884d10</t>
        </is>
      </c>
      <c r="B174" s="24" t="inlineStr">
        <is>
          <t>2026-08-03T22:56:38.586421Z</t>
        </is>
      </c>
      <c r="C174" s="24" t="inlineStr">
        <is>
          <t>2026-08-04T00:10Z</t>
        </is>
      </c>
      <c r="D174" s="24" t="inlineStr">
        <is>
          <t>401816382</t>
        </is>
      </c>
      <c r="E174" s="24" t="inlineStr">
        <is>
          <t>MLB</t>
        </is>
      </c>
      <c r="F174" s="24" t="inlineStr">
        <is>
          <t>Toronto Blue Jays</t>
        </is>
      </c>
      <c r="G174" s="24" t="inlineStr">
        <is>
          <t>Houston Astros</t>
        </is>
      </c>
      <c r="H174" s="24" t="inlineStr">
        <is>
          <t>spread</t>
        </is>
      </c>
      <c r="I174" s="24" t="inlineStr">
        <is>
          <t>away</t>
        </is>
      </c>
      <c r="J174" s="25" t="n">
        <v>1.5</v>
      </c>
      <c r="K174" s="24" t="inlineStr">
        <is>
          <t>polymarket_us</t>
        </is>
      </c>
      <c r="L174" s="26" t="n">
        <v>-156</v>
      </c>
      <c r="M174" s="27" t="n">
        <v>1.641026</v>
      </c>
      <c r="N174" s="28" t="n">
        <v>0.609375</v>
      </c>
      <c r="O174" s="28" t="n">
        <v>0.533577</v>
      </c>
      <c r="P174" s="28" t="n">
        <v>0.05172</v>
      </c>
      <c r="Q174" s="28" t="n">
        <v>-0.075798</v>
      </c>
      <c r="R174" s="26" t="n">
        <v>0</v>
      </c>
      <c r="S174" s="29" t="n">
        <v>1</v>
      </c>
      <c r="T174" s="24" t="inlineStr">
        <is>
          <t>measured-edge-margin-v2</t>
        </is>
      </c>
      <c r="U174" s="24" t="inlineStr">
        <is>
          <t>settled</t>
        </is>
      </c>
      <c r="V174" s="24" t="inlineStr">
        <is>
          <t>win</t>
        </is>
      </c>
      <c r="W174" s="26" t="n">
        <v>3</v>
      </c>
      <c r="X174" s="26" t="n">
        <v>1</v>
      </c>
      <c r="Y174" s="25" t="n">
        <v>1.5</v>
      </c>
      <c r="Z174" s="26" t="n">
        <v>-156</v>
      </c>
      <c r="AA174" s="28" t="n">
        <v>0.61</v>
      </c>
      <c r="AB174" s="28" t="n">
        <v>0.000625</v>
      </c>
      <c r="AC174" s="30" t="n">
        <v>0.641</v>
      </c>
      <c r="AD174" s="24" t="inlineStr">
        <is>
          <t>2026-08-04T03:58:03.763570Z</t>
        </is>
      </c>
      <c r="AE174" s="31" t="inlineStr">
        <is>
          <t>Measured Edge Margin: Trend Engine projected 4.45-5.54; raw selected-side p=0.5511, calibrated p=0.5336.</t>
        </is>
      </c>
      <c r="AF174" s="31" t="inlineStr">
        <is>
          <t>Research-only; lineup, bullpen, park, weather, xFIP, and wRC+ may be neutral fallbacks; market availability and BBO depth may change before first pitch.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mlb-tor</t>
        </is>
      </c>
      <c r="AQ174" s="24" t="inlineStr">
        <is>
          <t>Toronto Blue Jays</t>
        </is>
      </c>
      <c r="AR174" s="24" t="inlineStr">
        <is>
          <t>Toronto Blue Jays</t>
        </is>
      </c>
      <c r="AS174" s="24" t="inlineStr">
        <is>
          <t>mlb-hou</t>
        </is>
      </c>
      <c r="AT174" s="24" t="inlineStr">
        <is>
          <t>Houston Astros</t>
        </is>
      </c>
      <c r="AU174" s="24" t="inlineStr">
        <is>
          <t>Houston Astros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research</t>
        </is>
      </c>
      <c r="BA174" s="24" t="inlineStr">
        <is>
          <t>8360b122264b796b0fb193095cfe4506c7e064e5f3f8c0a659aec41efd08dd25</t>
        </is>
      </c>
      <c r="BB174" s="24" t="inlineStr">
        <is>
          <t>flat_probability_shrinkage_toward_half</t>
        </is>
      </c>
      <c r="BC174" s="24" t="inlineStr">
        <is>
          <t>measured-edge-margin-v2</t>
        </is>
      </c>
      <c r="BD174" s="24" t="inlineStr">
        <is>
          <t>8360b122264b796b0fb193095cfe4506c7e064e5f3f8c0a659aec41efd08dd25</t>
        </is>
      </c>
      <c r="BE174" s="24" t="inlineStr">
        <is>
          <t>v3</t>
        </is>
      </c>
      <c r="BF174" s="24" t="inlineStr">
        <is>
          <t>1</t>
        </is>
      </c>
      <c r="BG174" s="24" t="inlineStr">
        <is>
          <t>measured-edge-paired-v1</t>
        </is>
      </c>
      <c r="BH174" s="24" t="inlineStr">
        <is>
          <t>2026-08-03T22:56:38.586421Z</t>
        </is>
      </c>
      <c r="BI174" s="24" t="inlineStr">
        <is>
          <t>["same_event","same_team_same_day","same_league_same_day"]</t>
        </is>
      </c>
      <c r="BJ174" s="25" t="n">
        <v>1.5</v>
      </c>
      <c r="BK174" s="26" t="n">
        <v>-156</v>
      </c>
      <c r="BL174" s="27" t="n">
        <v>1.641026</v>
      </c>
      <c r="BM174" s="28" t="n">
        <v>0.609375</v>
      </c>
      <c r="BN174" s="28" t="n">
        <v>0.606965</v>
      </c>
      <c r="BO174" s="28" t="n"/>
      <c r="BP174" s="25" t="n"/>
      <c r="BQ174" s="27" t="n">
        <v>1.641026</v>
      </c>
      <c r="BR174" s="28" t="n">
        <v>0.61</v>
      </c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</row>
    <row r="175" ht="36" customHeight="1">
      <c r="A175" s="24" t="inlineStr">
        <is>
          <t>f1eb989b76e9462d</t>
        </is>
      </c>
      <c r="B175" s="24" t="inlineStr">
        <is>
          <t>2026-08-03T22:56:38.586421Z</t>
        </is>
      </c>
      <c r="C175" s="24" t="inlineStr">
        <is>
          <t>2026-08-04T00:10Z</t>
        </is>
      </c>
      <c r="D175" s="24" t="inlineStr">
        <is>
          <t>401816382</t>
        </is>
      </c>
      <c r="E175" s="24" t="inlineStr">
        <is>
          <t>MLB</t>
        </is>
      </c>
      <c r="F175" s="24" t="inlineStr">
        <is>
          <t>Toronto Blue Jays</t>
        </is>
      </c>
      <c r="G175" s="24" t="inlineStr">
        <is>
          <t>Houston Astros</t>
        </is>
      </c>
      <c r="H175" s="24" t="inlineStr">
        <is>
          <t>total</t>
        </is>
      </c>
      <c r="I175" s="24" t="inlineStr">
        <is>
          <t>under</t>
        </is>
      </c>
      <c r="J175" s="25" t="n">
        <v>9.5</v>
      </c>
      <c r="K175" s="24" t="inlineStr">
        <is>
          <t>polymarket_us</t>
        </is>
      </c>
      <c r="L175" s="26" t="n">
        <v>-115</v>
      </c>
      <c r="M175" s="27" t="n">
        <v>1.869565</v>
      </c>
      <c r="N175" s="28" t="n">
        <v>0.534884</v>
      </c>
      <c r="O175" s="28" t="n">
        <v>0.511777</v>
      </c>
      <c r="P175" s="28" t="n">
        <v>0.05172</v>
      </c>
      <c r="Q175" s="28" t="n">
        <v>-0.023107</v>
      </c>
      <c r="R175" s="26" t="n">
        <v>9</v>
      </c>
      <c r="S175" s="29" t="n">
        <v>1</v>
      </c>
      <c r="T175" s="24" t="inlineStr">
        <is>
          <t>measured-edge-totals-v2</t>
        </is>
      </c>
      <c r="U175" s="24" t="inlineStr">
        <is>
          <t>settled</t>
        </is>
      </c>
      <c r="V175" s="24" t="inlineStr">
        <is>
          <t>win</t>
        </is>
      </c>
      <c r="W175" s="26" t="n">
        <v>3</v>
      </c>
      <c r="X175" s="26" t="n">
        <v>1</v>
      </c>
      <c r="Y175" s="25" t="n">
        <v>9.5</v>
      </c>
      <c r="Z175" s="26" t="n">
        <v>-115</v>
      </c>
      <c r="AA175" s="28" t="n">
        <v>0.535</v>
      </c>
      <c r="AB175" s="28" t="n">
        <v>0.000116</v>
      </c>
      <c r="AC175" s="30" t="n">
        <v>0.8696</v>
      </c>
      <c r="AD175" s="24" t="inlineStr">
        <is>
          <t>2026-08-04T03:58:04.496859Z</t>
        </is>
      </c>
      <c r="AE175" s="31" t="inlineStr">
        <is>
          <t>Measured Edge Totals: Trend Engine projected 4.45-5.54; raw selected-side p=0.5112, calibrated p=0.5118.</t>
        </is>
      </c>
      <c r="AF175" s="31" t="inlineStr">
        <is>
          <t>Research-only; lineup, bullpen, park, weather, xFIP, and wRC+ may be neutral fallbacks; market availability and BBO depth may change before first pitch.</t>
        </is>
      </c>
      <c r="AG175" s="24" t="inlineStr">
        <is>
          <t>not_applicable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3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mlb-tor</t>
        </is>
      </c>
      <c r="AQ175" s="24" t="inlineStr">
        <is>
          <t>Toronto Blue Jays</t>
        </is>
      </c>
      <c r="AR175" s="24" t="inlineStr">
        <is>
          <t>Toronto Blue Jays</t>
        </is>
      </c>
      <c r="AS175" s="24" t="inlineStr">
        <is>
          <t>mlb-hou</t>
        </is>
      </c>
      <c r="AT175" s="24" t="inlineStr">
        <is>
          <t>Houston Astros</t>
        </is>
      </c>
      <c r="AU175" s="24" t="inlineStr">
        <is>
          <t>Houston Astros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research</t>
        </is>
      </c>
      <c r="BA175" s="24" t="inlineStr">
        <is>
          <t>433578016242b27f9c1c7132cc6b5a2bcc7dd1b0234590c12a944455a88e71bd</t>
        </is>
      </c>
      <c r="BB175" s="24" t="inlineStr">
        <is>
          <t>flat_probability_shrinkage_toward_half</t>
        </is>
      </c>
      <c r="BC175" s="24" t="inlineStr">
        <is>
          <t>measured-edge-totals-v2</t>
        </is>
      </c>
      <c r="BD175" s="24" t="inlineStr">
        <is>
          <t>433578016242b27f9c1c7132cc6b5a2bcc7dd1b0234590c12a944455a88e71bd</t>
        </is>
      </c>
      <c r="BE175" s="24" t="inlineStr">
        <is>
          <t>v3</t>
        </is>
      </c>
      <c r="BF175" s="24" t="inlineStr">
        <is>
          <t>1</t>
        </is>
      </c>
      <c r="BG175" s="24" t="inlineStr">
        <is>
          <t>measured-edge-paired-v1</t>
        </is>
      </c>
      <c r="BH175" s="24" t="inlineStr">
        <is>
          <t>2026-08-03T22:56:38.586421Z</t>
        </is>
      </c>
      <c r="BI175" s="24" t="inlineStr">
        <is>
          <t>["same_event","same_team_same_day","same_league_same_day"]</t>
        </is>
      </c>
      <c r="BJ175" s="25" t="n">
        <v>9.5</v>
      </c>
      <c r="BK175" s="26" t="n">
        <v>-115</v>
      </c>
      <c r="BL175" s="27" t="n">
        <v>1.869565</v>
      </c>
      <c r="BM175" s="28" t="n">
        <v>0.534884</v>
      </c>
      <c r="BN175" s="28" t="n">
        <v>0.532338</v>
      </c>
      <c r="BO175" s="28" t="n"/>
      <c r="BP175" s="25" t="n"/>
      <c r="BQ175" s="27" t="n">
        <v>1.869565</v>
      </c>
      <c r="BR175" s="28" t="n">
        <v>0.535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False</t>
        </is>
      </c>
    </row>
    <row r="176" ht="36" customHeight="1">
      <c r="A176" s="24" t="inlineStr">
        <is>
          <t>a4753f38fd7e4d60</t>
        </is>
      </c>
      <c r="B176" s="24" t="inlineStr">
        <is>
          <t>2026-08-03T22:56:38.586421Z</t>
        </is>
      </c>
      <c r="C176" s="24" t="inlineStr">
        <is>
          <t>2026-08-04T00:40Z</t>
        </is>
      </c>
      <c r="D176" s="24" t="inlineStr">
        <is>
          <t>401816383</t>
        </is>
      </c>
      <c r="E176" s="24" t="inlineStr">
        <is>
          <t>MLB</t>
        </is>
      </c>
      <c r="F176" s="24" t="inlineStr">
        <is>
          <t>Tampa Bay Rays</t>
        </is>
      </c>
      <c r="G176" s="24" t="inlineStr">
        <is>
          <t>Colorado Rockies</t>
        </is>
      </c>
      <c r="H176" s="24" t="inlineStr">
        <is>
          <t>spread</t>
        </is>
      </c>
      <c r="I176" s="24" t="inlineStr">
        <is>
          <t>home</t>
        </is>
      </c>
      <c r="J176" s="25" t="n">
        <v>1.5</v>
      </c>
      <c r="K176" s="24" t="inlineStr">
        <is>
          <t>polymarket_us</t>
        </is>
      </c>
      <c r="L176" s="26" t="n">
        <v>108</v>
      </c>
      <c r="M176" s="27" t="n">
        <v>2.08</v>
      </c>
      <c r="N176" s="28" t="n">
        <v>0.480769</v>
      </c>
      <c r="O176" s="28" t="n">
        <v>0.623102</v>
      </c>
      <c r="P176" s="28" t="n">
        <v>0.042131</v>
      </c>
      <c r="Q176" s="28" t="n">
        <v>0.142333</v>
      </c>
      <c r="R176" s="26" t="n">
        <v>97</v>
      </c>
      <c r="S176" s="29" t="n">
        <v>1.5</v>
      </c>
      <c r="T176" s="24" t="inlineStr">
        <is>
          <t>measured-edge-margin-v2</t>
        </is>
      </c>
      <c r="U176" s="24" t="inlineStr">
        <is>
          <t>settled</t>
        </is>
      </c>
      <c r="V176" s="24" t="inlineStr">
        <is>
          <t>loss</t>
        </is>
      </c>
      <c r="W176" s="26" t="n">
        <v>13</v>
      </c>
      <c r="X176" s="26" t="n">
        <v>9</v>
      </c>
      <c r="Y176" s="25" t="n">
        <v>1.5</v>
      </c>
      <c r="Z176" s="26" t="n">
        <v>108</v>
      </c>
      <c r="AA176" s="28" t="n">
        <v>0.48</v>
      </c>
      <c r="AB176" s="28" t="n">
        <v>-0.000769</v>
      </c>
      <c r="AC176" s="30" t="n">
        <v>-1.5</v>
      </c>
      <c r="AD176" s="24" t="inlineStr">
        <is>
          <t>2026-08-04T03:58:05.180395Z</t>
        </is>
      </c>
      <c r="AE176" s="31" t="inlineStr">
        <is>
          <t>Measured Edge Margin: Trend Engine projected 5.20-5.67; raw selected-side p=0.6875, calibrated p=0.6231.</t>
        </is>
      </c>
      <c r="AF176" s="31" t="inlineStr">
        <is>
          <t>Research-only; lineup, bullpen, park, weather, xFIP, and wRC+ may be neutral fallbacks; market availability and BBO depth may change before first pitch.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3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mlb-tb</t>
        </is>
      </c>
      <c r="AQ176" s="24" t="inlineStr">
        <is>
          <t>Tampa Bay Rays</t>
        </is>
      </c>
      <c r="AR176" s="24" t="inlineStr">
        <is>
          <t>Tampa Bay Rays</t>
        </is>
      </c>
      <c r="AS176" s="24" t="inlineStr">
        <is>
          <t>mlb-col</t>
        </is>
      </c>
      <c r="AT176" s="24" t="inlineStr">
        <is>
          <t>Colorado Rockies</t>
        </is>
      </c>
      <c r="AU176" s="24" t="inlineStr">
        <is>
          <t>Colorado Rockies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research</t>
        </is>
      </c>
      <c r="BA176" s="24" t="inlineStr">
        <is>
          <t>8360b122264b796b0fb193095cfe4506c7e064e5f3f8c0a659aec41efd08dd25</t>
        </is>
      </c>
      <c r="BB176" s="24" t="inlineStr">
        <is>
          <t>flat_probability_shrinkage_toward_half</t>
        </is>
      </c>
      <c r="BC176" s="24" t="inlineStr">
        <is>
          <t>measured-edge-margin-v2</t>
        </is>
      </c>
      <c r="BD176" s="24" t="inlineStr">
        <is>
          <t>8360b122264b796b0fb193095cfe4506c7e064e5f3f8c0a659aec41efd08dd25</t>
        </is>
      </c>
      <c r="BE176" s="24" t="inlineStr">
        <is>
          <t>v3</t>
        </is>
      </c>
      <c r="BF176" s="24" t="inlineStr">
        <is>
          <t>1</t>
        </is>
      </c>
      <c r="BG176" s="24" t="inlineStr">
        <is>
          <t>measured-edge-paired-v1</t>
        </is>
      </c>
      <c r="BH176" s="24" t="inlineStr">
        <is>
          <t>2026-08-03T22:56:38.586421Z</t>
        </is>
      </c>
      <c r="BI176" s="24" t="inlineStr">
        <is>
          <t>["same_event","same_team_same_day","same_league_same_day"]</t>
        </is>
      </c>
      <c r="BJ176" s="25" t="n">
        <v>1.5</v>
      </c>
      <c r="BK176" s="26" t="n">
        <v>108</v>
      </c>
      <c r="BL176" s="27" t="n">
        <v>2.08</v>
      </c>
      <c r="BM176" s="28" t="n">
        <v>0.480769</v>
      </c>
      <c r="BN176" s="28" t="n">
        <v>0.477612</v>
      </c>
      <c r="BO176" s="28" t="n"/>
      <c r="BP176" s="25" t="n"/>
      <c r="BQ176" s="27" t="n">
        <v>2.08</v>
      </c>
      <c r="BR176" s="28" t="n">
        <v>0.48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</row>
    <row r="177" ht="36" customHeight="1">
      <c r="A177" s="24" t="inlineStr">
        <is>
          <t>ffa417ff10f94d92</t>
        </is>
      </c>
      <c r="B177" s="24" t="inlineStr">
        <is>
          <t>2026-08-03T22:56:38.586421Z</t>
        </is>
      </c>
      <c r="C177" s="24" t="inlineStr">
        <is>
          <t>2026-08-04T00:40Z</t>
        </is>
      </c>
      <c r="D177" s="24" t="inlineStr">
        <is>
          <t>401816383</t>
        </is>
      </c>
      <c r="E177" s="24" t="inlineStr">
        <is>
          <t>MLB</t>
        </is>
      </c>
      <c r="F177" s="24" t="inlineStr">
        <is>
          <t>Tampa Bay Rays</t>
        </is>
      </c>
      <c r="G177" s="24" t="inlineStr">
        <is>
          <t>Colorado Rockies</t>
        </is>
      </c>
      <c r="H177" s="24" t="inlineStr">
        <is>
          <t>total</t>
        </is>
      </c>
      <c r="I177" s="24" t="inlineStr">
        <is>
          <t>under</t>
        </is>
      </c>
      <c r="J177" s="25" t="n">
        <v>11.5</v>
      </c>
      <c r="K177" s="24" t="inlineStr">
        <is>
          <t>polymarket_us</t>
        </is>
      </c>
      <c r="L177" s="26" t="n">
        <v>-111</v>
      </c>
      <c r="M177" s="27" t="n">
        <v>1.900901</v>
      </c>
      <c r="N177" s="28" t="n">
        <v>0.526066</v>
      </c>
      <c r="O177" s="28" t="n">
        <v>0.542428</v>
      </c>
      <c r="P177" s="28" t="n">
        <v>0.042131</v>
      </c>
      <c r="Q177" s="28" t="n">
        <v>0.016362</v>
      </c>
      <c r="R177" s="26" t="n">
        <v>35</v>
      </c>
      <c r="S177" s="29" t="n">
        <v>1</v>
      </c>
      <c r="T177" s="24" t="inlineStr">
        <is>
          <t>measured-edge-totals-v2</t>
        </is>
      </c>
      <c r="U177" s="24" t="inlineStr">
        <is>
          <t>settled</t>
        </is>
      </c>
      <c r="V177" s="24" t="inlineStr">
        <is>
          <t>loss</t>
        </is>
      </c>
      <c r="W177" s="26" t="n">
        <v>13</v>
      </c>
      <c r="X177" s="26" t="n">
        <v>9</v>
      </c>
      <c r="Y177" s="25" t="n">
        <v>11.5</v>
      </c>
      <c r="Z177" s="26" t="n">
        <v>-111</v>
      </c>
      <c r="AA177" s="28" t="n">
        <v>0.525</v>
      </c>
      <c r="AB177" s="28" t="n">
        <v>-0.001066</v>
      </c>
      <c r="AC177" s="30" t="n">
        <v>-1</v>
      </c>
      <c r="AD177" s="24" t="inlineStr">
        <is>
          <t>2026-08-04T03:58:05.874905Z</t>
        </is>
      </c>
      <c r="AE177" s="31" t="inlineStr">
        <is>
          <t>Measured Edge Totals: Trend Engine projected 5.20-5.67; raw selected-side p=0.6009, calibrated p=0.5424.</t>
        </is>
      </c>
      <c r="AF177" s="31" t="inlineStr">
        <is>
          <t>Research-only; lineup, bullpen, park, weather, xFIP, and wRC+ may be neutral fallbacks; market availability and BBO depth may change before first pitch.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3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mlb-tb</t>
        </is>
      </c>
      <c r="AQ177" s="24" t="inlineStr">
        <is>
          <t>Tampa Bay Rays</t>
        </is>
      </c>
      <c r="AR177" s="24" t="inlineStr">
        <is>
          <t>Tampa Bay Rays</t>
        </is>
      </c>
      <c r="AS177" s="24" t="inlineStr">
        <is>
          <t>mlb-col</t>
        </is>
      </c>
      <c r="AT177" s="24" t="inlineStr">
        <is>
          <t>Colorado Rockies</t>
        </is>
      </c>
      <c r="AU177" s="24" t="inlineStr">
        <is>
          <t>Colorado Rockies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433578016242b27f9c1c7132cc6b5a2bcc7dd1b0234590c12a944455a88e71bd</t>
        </is>
      </c>
      <c r="BB177" s="24" t="inlineStr">
        <is>
          <t>flat_probability_shrinkage_toward_half</t>
        </is>
      </c>
      <c r="BC177" s="24" t="inlineStr">
        <is>
          <t>measured-edge-totals-v2</t>
        </is>
      </c>
      <c r="BD177" s="24" t="inlineStr">
        <is>
          <t>433578016242b27f9c1c7132cc6b5a2bcc7dd1b0234590c12a944455a88e71bd</t>
        </is>
      </c>
      <c r="BE177" s="24" t="inlineStr">
        <is>
          <t>v3</t>
        </is>
      </c>
      <c r="BF177" s="24" t="inlineStr">
        <is>
          <t>1</t>
        </is>
      </c>
      <c r="BG177" s="24" t="inlineStr">
        <is>
          <t>measured-edge-paired-v1</t>
        </is>
      </c>
      <c r="BH177" s="24" t="inlineStr">
        <is>
          <t>2026-08-03T22:56:38.586421Z</t>
        </is>
      </c>
      <c r="BI177" s="24" t="inlineStr">
        <is>
          <t>["same_event","same_team_same_day","same_league_same_day"]</t>
        </is>
      </c>
      <c r="BJ177" s="25" t="n">
        <v>11.5</v>
      </c>
      <c r="BK177" s="26" t="n">
        <v>-111</v>
      </c>
      <c r="BL177" s="27" t="n">
        <v>1.900901</v>
      </c>
      <c r="BM177" s="28" t="n">
        <v>0.526066</v>
      </c>
      <c r="BN177" s="28" t="n">
        <v>0.522388</v>
      </c>
      <c r="BO177" s="28" t="n"/>
      <c r="BP177" s="25" t="n"/>
      <c r="BQ177" s="27" t="n">
        <v>1.900901</v>
      </c>
      <c r="BR177" s="28" t="n">
        <v>0.525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31fdb83f8b4c4d64</t>
        </is>
      </c>
      <c r="B178" s="24" t="inlineStr">
        <is>
          <t>2026-08-03T22:56:38.586421Z</t>
        </is>
      </c>
      <c r="C178" s="24" t="inlineStr">
        <is>
          <t>2026-08-04T01:40Z</t>
        </is>
      </c>
      <c r="D178" s="24" t="inlineStr">
        <is>
          <t>401815079</t>
        </is>
      </c>
      <c r="E178" s="24" t="inlineStr">
        <is>
          <t>MLB</t>
        </is>
      </c>
      <c r="F178" s="24" t="inlineStr">
        <is>
          <t>San Diego Padres</t>
        </is>
      </c>
      <c r="G178" s="24" t="inlineStr">
        <is>
          <t>Arizona Diamondbacks</t>
        </is>
      </c>
      <c r="H178" s="24" t="inlineStr">
        <is>
          <t>spread</t>
        </is>
      </c>
      <c r="I178" s="24" t="inlineStr">
        <is>
          <t>home</t>
        </is>
      </c>
      <c r="J178" s="25" t="n">
        <v>1.5</v>
      </c>
      <c r="K178" s="24" t="inlineStr">
        <is>
          <t>polymarket_us</t>
        </is>
      </c>
      <c r="L178" s="26" t="n">
        <v>-174</v>
      </c>
      <c r="M178" s="27" t="n">
        <v>1.574713</v>
      </c>
      <c r="N178" s="28" t="n">
        <v>0.635036</v>
      </c>
      <c r="O178" s="28" t="n">
        <v>0.625824</v>
      </c>
      <c r="P178" s="28" t="n">
        <v>0.042131</v>
      </c>
      <c r="Q178" s="28" t="n">
        <v>-0.009212</v>
      </c>
      <c r="R178" s="26" t="n">
        <v>22</v>
      </c>
      <c r="S178" s="29" t="n">
        <v>1.5</v>
      </c>
      <c r="T178" s="24" t="inlineStr">
        <is>
          <t>measured-edge-margin-v2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1</v>
      </c>
      <c r="X178" s="26" t="n">
        <v>5</v>
      </c>
      <c r="Y178" s="25" t="n">
        <v>1.5</v>
      </c>
      <c r="Z178" s="26" t="n">
        <v>-174</v>
      </c>
      <c r="AA178" s="28" t="n">
        <v>0.635</v>
      </c>
      <c r="AB178" s="28" t="n">
        <v>-3.6e-05</v>
      </c>
      <c r="AC178" s="30" t="n">
        <v>0.8621</v>
      </c>
      <c r="AD178" s="24" t="inlineStr">
        <is>
          <t>2026-08-04T05:15:17.970643Z</t>
        </is>
      </c>
      <c r="AE178" s="31" t="inlineStr">
        <is>
          <t>Measured Edge Margin: Trend Engine projected 4.26-4.48; raw selected-side p=0.6917, calibrated p=0.6258.</t>
        </is>
      </c>
      <c r="AF178" s="31" t="inlineStr">
        <is>
          <t>Research-only; lineup, bullpen, park, weather, xFIP, and wRC+ may be neutral fallbacks; market availability and BBO depth may change before first pitch.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3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mlb-sd</t>
        </is>
      </c>
      <c r="AQ178" s="24" t="inlineStr">
        <is>
          <t>San Diego Padres</t>
        </is>
      </c>
      <c r="AR178" s="24" t="inlineStr">
        <is>
          <t>San Diego Padres</t>
        </is>
      </c>
      <c r="AS178" s="24" t="inlineStr">
        <is>
          <t>mlb-ari</t>
        </is>
      </c>
      <c r="AT178" s="24" t="inlineStr">
        <is>
          <t>Arizona Diamondbacks</t>
        </is>
      </c>
      <c r="AU178" s="24" t="inlineStr">
        <is>
          <t>Arizona Diamondbacks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8360b122264b796b0fb193095cfe4506c7e064e5f3f8c0a659aec41efd08dd25</t>
        </is>
      </c>
      <c r="BB178" s="24" t="inlineStr">
        <is>
          <t>flat_probability_shrinkage_toward_half</t>
        </is>
      </c>
      <c r="BC178" s="24" t="inlineStr">
        <is>
          <t>measured-edge-margin-v2</t>
        </is>
      </c>
      <c r="BD178" s="24" t="inlineStr">
        <is>
          <t>8360b122264b796b0fb193095cfe4506c7e064e5f3f8c0a659aec41efd08dd25</t>
        </is>
      </c>
      <c r="BE178" s="24" t="inlineStr">
        <is>
          <t>v3</t>
        </is>
      </c>
      <c r="BF178" s="24" t="inlineStr">
        <is>
          <t>1</t>
        </is>
      </c>
      <c r="BG178" s="24" t="inlineStr">
        <is>
          <t>measured-edge-paired-v1</t>
        </is>
      </c>
      <c r="BH178" s="24" t="inlineStr">
        <is>
          <t>2026-08-03T22:56:38.586421Z</t>
        </is>
      </c>
      <c r="BI178" s="24" t="inlineStr">
        <is>
          <t>["same_event","same_team_same_day","same_league_same_day"]</t>
        </is>
      </c>
      <c r="BJ178" s="25" t="n">
        <v>1.5</v>
      </c>
      <c r="BK178" s="26" t="n">
        <v>-174</v>
      </c>
      <c r="BL178" s="27" t="n">
        <v>1.574713</v>
      </c>
      <c r="BM178" s="28" t="n">
        <v>0.635036</v>
      </c>
      <c r="BN178" s="28" t="n">
        <v>0.631841</v>
      </c>
      <c r="BO178" s="28" t="n"/>
      <c r="BP178" s="25" t="n"/>
      <c r="BQ178" s="27" t="n">
        <v>1.574713</v>
      </c>
      <c r="BR178" s="28" t="n">
        <v>0.635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b788ccf3ae75456d</t>
        </is>
      </c>
      <c r="B179" s="24" t="inlineStr">
        <is>
          <t>2026-08-03T22:56:38.586421Z</t>
        </is>
      </c>
      <c r="C179" s="24" t="inlineStr">
        <is>
          <t>2026-08-04T01:40Z</t>
        </is>
      </c>
      <c r="D179" s="24" t="inlineStr">
        <is>
          <t>401815079</t>
        </is>
      </c>
      <c r="E179" s="24" t="inlineStr">
        <is>
          <t>MLB</t>
        </is>
      </c>
      <c r="F179" s="24" t="inlineStr">
        <is>
          <t>San Diego Padres</t>
        </is>
      </c>
      <c r="G179" s="24" t="inlineStr">
        <is>
          <t>Arizona Diamondbacks</t>
        </is>
      </c>
      <c r="H179" s="24" t="inlineStr">
        <is>
          <t>total</t>
        </is>
      </c>
      <c r="I179" s="24" t="inlineStr">
        <is>
          <t>under</t>
        </is>
      </c>
      <c r="J179" s="25" t="n">
        <v>8.5</v>
      </c>
      <c r="K179" s="24" t="inlineStr">
        <is>
          <t>polymarket_us</t>
        </is>
      </c>
      <c r="L179" s="26" t="n">
        <v>115</v>
      </c>
      <c r="M179" s="27" t="n">
        <v>2.15</v>
      </c>
      <c r="N179" s="28" t="n">
        <v>0.465116</v>
      </c>
      <c r="O179" s="28" t="n">
        <v>0.510872</v>
      </c>
      <c r="P179" s="28" t="n">
        <v>0.042131</v>
      </c>
      <c r="Q179" s="28" t="n">
        <v>0.045756</v>
      </c>
      <c r="R179" s="26" t="n">
        <v>49</v>
      </c>
      <c r="S179" s="29" t="n">
        <v>1</v>
      </c>
      <c r="T179" s="24" t="inlineStr">
        <is>
          <t>measured-edge-totals-v2</t>
        </is>
      </c>
      <c r="U179" s="24" t="inlineStr">
        <is>
          <t>settled</t>
        </is>
      </c>
      <c r="V179" s="24" t="inlineStr">
        <is>
          <t>win</t>
        </is>
      </c>
      <c r="W179" s="26" t="n">
        <v>1</v>
      </c>
      <c r="X179" s="26" t="n">
        <v>5</v>
      </c>
      <c r="Y179" s="25" t="n">
        <v>8.5</v>
      </c>
      <c r="Z179" s="26" t="n">
        <v>115</v>
      </c>
      <c r="AA179" s="28" t="n">
        <v>0.465</v>
      </c>
      <c r="AB179" s="28" t="n">
        <v>-0.000116</v>
      </c>
      <c r="AC179" s="30" t="n">
        <v>1.15</v>
      </c>
      <c r="AD179" s="24" t="inlineStr">
        <is>
          <t>2026-08-04T05:15:18.668080Z</t>
        </is>
      </c>
      <c r="AE179" s="31" t="inlineStr">
        <is>
          <t>Measured Edge Totals: Trend Engine projected 4.26-4.48; raw selected-side p=0.5085, calibrated p=0.5109.</t>
        </is>
      </c>
      <c r="AF179" s="31" t="inlineStr">
        <is>
          <t>Research-only; lineup, bullpen, park, weather, xFIP, and wRC+ may be neutral fallbacks; market availability and BBO depth may change before first pitch.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3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mlb-sd</t>
        </is>
      </c>
      <c r="AQ179" s="24" t="inlineStr">
        <is>
          <t>San Diego Padres</t>
        </is>
      </c>
      <c r="AR179" s="24" t="inlineStr">
        <is>
          <t>San Diego Padres</t>
        </is>
      </c>
      <c r="AS179" s="24" t="inlineStr">
        <is>
          <t>mlb-ari</t>
        </is>
      </c>
      <c r="AT179" s="24" t="inlineStr">
        <is>
          <t>Arizona Diamondbacks</t>
        </is>
      </c>
      <c r="AU179" s="24" t="inlineStr">
        <is>
          <t>Arizona Diamondbacks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433578016242b27f9c1c7132cc6b5a2bcc7dd1b0234590c12a944455a88e71bd</t>
        </is>
      </c>
      <c r="BB179" s="24" t="inlineStr">
        <is>
          <t>flat_probability_shrinkage_toward_half</t>
        </is>
      </c>
      <c r="BC179" s="24" t="inlineStr">
        <is>
          <t>measured-edge-totals-v2</t>
        </is>
      </c>
      <c r="BD179" s="24" t="inlineStr">
        <is>
          <t>433578016242b27f9c1c7132cc6b5a2bcc7dd1b0234590c12a944455a88e71bd</t>
        </is>
      </c>
      <c r="BE179" s="24" t="inlineStr">
        <is>
          <t>v3</t>
        </is>
      </c>
      <c r="BF179" s="24" t="inlineStr">
        <is>
          <t>1</t>
        </is>
      </c>
      <c r="BG179" s="24" t="inlineStr">
        <is>
          <t>measured-edge-paired-v1</t>
        </is>
      </c>
      <c r="BH179" s="24" t="inlineStr">
        <is>
          <t>2026-08-03T22:56:38.586421Z</t>
        </is>
      </c>
      <c r="BI179" s="24" t="inlineStr">
        <is>
          <t>["same_event","same_team_same_day","same_league_same_day"]</t>
        </is>
      </c>
      <c r="BJ179" s="25" t="n">
        <v>8.5</v>
      </c>
      <c r="BK179" s="26" t="n">
        <v>115</v>
      </c>
      <c r="BL179" s="27" t="n">
        <v>2.15</v>
      </c>
      <c r="BM179" s="28" t="n">
        <v>0.465116</v>
      </c>
      <c r="BN179" s="28" t="n">
        <v>0.462687</v>
      </c>
      <c r="BO179" s="28" t="n"/>
      <c r="BP179" s="25" t="n"/>
      <c r="BQ179" s="27" t="n">
        <v>2.15</v>
      </c>
      <c r="BR179" s="28" t="n">
        <v>0.465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9fcf54808265454b</t>
        </is>
      </c>
      <c r="B180" s="24" t="inlineStr">
        <is>
          <t>2026-08-05T01:07:48.070985Z</t>
        </is>
      </c>
      <c r="C180" s="24" t="inlineStr">
        <is>
          <t>2026-08-04T21:40:00-0400</t>
        </is>
      </c>
      <c r="D180" s="24" t="inlineStr">
        <is>
          <t>401816397</t>
        </is>
      </c>
      <c r="E180" s="24" t="inlineStr">
        <is>
          <t>MLB</t>
        </is>
      </c>
      <c r="F180" s="24" t="inlineStr">
        <is>
          <t>Detroit Tigers</t>
        </is>
      </c>
      <c r="G180" s="24" t="inlineStr">
        <is>
          <t>Seattle Mariners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-115</v>
      </c>
      <c r="M180" s="27" t="n">
        <v>1.869565</v>
      </c>
      <c r="N180" s="28" t="n">
        <v>0.534884</v>
      </c>
      <c r="O180" s="28" t="n">
        <v>0.545643</v>
      </c>
      <c r="P180" s="28" t="n"/>
      <c r="Q180" s="28" t="n">
        <v>0.010759</v>
      </c>
      <c r="R180" s="26" t="n">
        <v>27</v>
      </c>
      <c r="S180" s="29" t="n">
        <v>0</v>
      </c>
      <c r="T180" s="24" t="inlineStr">
        <is>
          <t>mlb-elo-trend-lr-v8</t>
        </is>
      </c>
      <c r="U180" s="24" t="inlineStr">
        <is>
          <t>settled</t>
        </is>
      </c>
      <c r="V180" s="24" t="inlineStr">
        <is>
          <t>loss</t>
        </is>
      </c>
      <c r="W180" s="26" t="n">
        <v>8</v>
      </c>
      <c r="X180" s="26" t="n">
        <v>0</v>
      </c>
      <c r="Y180" s="25" t="n"/>
      <c r="Z180" s="26" t="n">
        <v>-115</v>
      </c>
      <c r="AA180" s="28" t="n">
        <v>0.535</v>
      </c>
      <c r="AB180" s="28" t="n">
        <v>0.000116</v>
      </c>
      <c r="AC180" s="30" t="n">
        <v>0</v>
      </c>
      <c r="AD180" s="24" t="inlineStr">
        <is>
          <t>2026-08-05T04:21:31.515245Z</t>
        </is>
      </c>
      <c r="AE180" s="31" t="inlineStr">
        <is>
          <t>Learned LR call at threshold 0.5873; executable ask 0.5350 (aec-mlb-det-sea-2026-08-04); model edge vs ask +0.0106.</t>
        </is>
      </c>
      <c r="AF180" s="31" t="inlineStr">
        <is>
          <t>Learned model; shadow-qualified via operator override.</t>
        </is>
      </c>
      <c r="AG180" s="24" t="inlineStr">
        <is>
          <t>review_required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NO_CALL_BELOW_LEARNED_CONFIDENCE</t>
        </is>
      </c>
      <c r="AP180" s="24" t="inlineStr">
        <is>
          <t>mlb-det</t>
        </is>
      </c>
      <c r="AQ180" s="24" t="inlineStr">
        <is>
          <t>Detroit Tigers</t>
        </is>
      </c>
      <c r="AR180" s="24" t="inlineStr">
        <is>
          <t>Detroit Tigers</t>
        </is>
      </c>
      <c r="AS180" s="24" t="inlineStr">
        <is>
          <t>mlb-sea</t>
        </is>
      </c>
      <c r="AT180" s="24" t="inlineStr">
        <is>
          <t>Seattle Mariners</t>
        </is>
      </c>
      <c r="AU180" s="24" t="inlineStr">
        <is>
          <t>Seattle Mariners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6a5c79541b0e50cb9f7318270e63d5ccc65cbd7bc53a019748ff772d49de5075</t>
        </is>
      </c>
      <c r="BB180" s="24" t="inlineStr">
        <is>
          <t>learned_lr</t>
        </is>
      </c>
      <c r="BC180" s="24" t="inlineStr">
        <is>
          <t>mlb-elo-trend-lr-v8</t>
        </is>
      </c>
      <c r="BD180" s="24" t="inlineStr">
        <is>
          <t>6a5c79541b0e50cb9f7318270e63d5ccc65cbd7bc53a019748ff772d49de5075</t>
        </is>
      </c>
      <c r="BE180" s="24" t="inlineStr">
        <is>
          <t>74edfb020976515b</t>
        </is>
      </c>
      <c r="BF180" s="24" t="inlineStr">
        <is>
          <t>1</t>
        </is>
      </c>
      <c r="BG180" s="24" t="inlineStr">
        <is>
          <t>mlb-elo-trend-lr-v8</t>
        </is>
      </c>
      <c r="BH180" s="24" t="inlineStr">
        <is>
          <t>2026-08-05T01:07:10.847192Z</t>
        </is>
      </c>
      <c r="BI180" s="24" t="inlineStr">
        <is>
          <t>["same_event","same_team_same_day","same_league_same_day"]</t>
        </is>
      </c>
      <c r="BJ180" s="25" t="n"/>
      <c r="BK180" s="26" t="n">
        <v>-115</v>
      </c>
      <c r="BL180" s="27" t="n">
        <v>1.869565</v>
      </c>
      <c r="BM180" s="28" t="n">
        <v>0.534884</v>
      </c>
      <c r="BN180" s="28" t="n">
        <v>0.532338</v>
      </c>
      <c r="BO180" s="28" t="n"/>
      <c r="BP180" s="25" t="n"/>
      <c r="BQ180" s="27" t="n">
        <v>1.869565</v>
      </c>
      <c r="BR180" s="28" t="n">
        <v>0.535</v>
      </c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inlineStr">
        <is>
          <t>0.5187867444</t>
        </is>
      </c>
      <c r="CD180" s="24" t="inlineStr">
        <is>
          <t>-2.251026</t>
        </is>
      </c>
      <c r="CE180" s="24" t="inlineStr">
        <is>
          <t>0.936</t>
        </is>
      </c>
      <c r="CF180" s="24" t="inlineStr">
        <is>
          <t>1.0</t>
        </is>
      </c>
      <c r="CG180" s="24" t="n"/>
      <c r="CH180" s="24" t="n"/>
      <c r="CI180" s="24" t="n"/>
      <c r="CJ180" s="24" t="inlineStr">
        <is>
          <t>-0.995971</t>
        </is>
      </c>
      <c r="CK180" s="24" t="n"/>
      <c r="CL180" s="24" t="inlineStr">
        <is>
          <t>0.290771</t>
        </is>
      </c>
      <c r="CM180" s="24" t="inlineStr">
        <is>
          <t>3.6429</t>
        </is>
      </c>
      <c r="CN180" s="24" t="n"/>
      <c r="CO180" s="24" t="n"/>
      <c r="CP180" s="24" t="n"/>
      <c r="CQ180" s="24" t="n"/>
      <c r="CR180" s="24" t="inlineStr">
        <is>
          <t>0.545643</t>
        </is>
      </c>
      <c r="CS180" s="24" t="inlineStr">
        <is>
          <t>True</t>
        </is>
      </c>
    </row>
    <row r="181" ht="36" customHeight="1">
      <c r="A181" s="24" t="inlineStr">
        <is>
          <t>b8aa6ed09819434f</t>
        </is>
      </c>
      <c r="B181" s="24" t="inlineStr">
        <is>
          <t>2026-08-05T01:07:48.070985Z</t>
        </is>
      </c>
      <c r="C181" s="24" t="inlineStr">
        <is>
          <t>2026-08-04T21:40:00-0400</t>
        </is>
      </c>
      <c r="D181" s="24" t="inlineStr">
        <is>
          <t>401816398</t>
        </is>
      </c>
      <c r="E181" s="24" t="inlineStr">
        <is>
          <t>MLB</t>
        </is>
      </c>
      <c r="F181" s="24" t="inlineStr">
        <is>
          <t>San Diego Padres</t>
        </is>
      </c>
      <c r="G181" s="24" t="inlineStr">
        <is>
          <t>Arizona Diamondbacks</t>
        </is>
      </c>
      <c r="H181" s="24" t="inlineStr">
        <is>
          <t>moneyline</t>
        </is>
      </c>
      <c r="I181" s="24" t="inlineStr">
        <is>
          <t>home</t>
        </is>
      </c>
      <c r="J181" s="25" t="n"/>
      <c r="K181" s="24" t="inlineStr">
        <is>
          <t>polymarket_us</t>
        </is>
      </c>
      <c r="L181" s="26" t="n">
        <v>-111</v>
      </c>
      <c r="M181" s="27" t="n">
        <v>1.900901</v>
      </c>
      <c r="N181" s="28" t="n">
        <v>0.526066</v>
      </c>
      <c r="O181" s="28" t="n">
        <v>0.503922</v>
      </c>
      <c r="P181" s="28" t="n"/>
      <c r="Q181" s="28" t="n">
        <v>-0.022144</v>
      </c>
      <c r="R181" s="26" t="n">
        <v>11</v>
      </c>
      <c r="S181" s="29" t="n">
        <v>0</v>
      </c>
      <c r="T181" s="24" t="inlineStr">
        <is>
          <t>mlb-elo-trend-lr-v8</t>
        </is>
      </c>
      <c r="U181" s="24" t="inlineStr">
        <is>
          <t>settled</t>
        </is>
      </c>
      <c r="V181" s="24" t="inlineStr">
        <is>
          <t>loss</t>
        </is>
      </c>
      <c r="W181" s="26" t="n">
        <v>9</v>
      </c>
      <c r="X181" s="26" t="n">
        <v>4</v>
      </c>
      <c r="Y181" s="25" t="n"/>
      <c r="Z181" s="26" t="n">
        <v>-111</v>
      </c>
      <c r="AA181" s="28" t="n">
        <v>0.525</v>
      </c>
      <c r="AB181" s="28" t="n">
        <v>-0.001066</v>
      </c>
      <c r="AC181" s="30" t="n">
        <v>0</v>
      </c>
      <c r="AD181" s="24" t="inlineStr">
        <is>
          <t>2026-08-05T04:33:05.042051Z</t>
        </is>
      </c>
      <c r="AE181" s="31" t="inlineStr">
        <is>
          <t>Learned LR call at threshold 0.5873; executable ask 0.5250 (aec-mlb-sd-az-2026-08-04); model edge vs ask -0.0211. NOTE: NO_CALL_STARTER_ERA_GAP_INSUFFICIENT_HISTORY unavailable for this game — defaulted to neutral, other features used normally.</t>
        </is>
      </c>
      <c r="AF181" s="31" t="inlineStr">
        <is>
          <t>Learned model; shadow-qualified via operator override.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NO_CALL_BELOW_LEARNED_CONFIDENCE</t>
        </is>
      </c>
      <c r="AP181" s="24" t="inlineStr">
        <is>
          <t>mlb-sd</t>
        </is>
      </c>
      <c r="AQ181" s="24" t="inlineStr">
        <is>
          <t>San Diego Padres</t>
        </is>
      </c>
      <c r="AR181" s="24" t="inlineStr">
        <is>
          <t>San Diego Padres</t>
        </is>
      </c>
      <c r="AS181" s="24" t="inlineStr">
        <is>
          <t>mlb-ari</t>
        </is>
      </c>
      <c r="AT181" s="24" t="inlineStr">
        <is>
          <t>Arizona Diamondbacks</t>
        </is>
      </c>
      <c r="AU181" s="24" t="inlineStr">
        <is>
          <t>Arizona Diamondbacks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6a5c79541b0e50cb9f7318270e63d5ccc65cbd7bc53a019748ff772d49de5075</t>
        </is>
      </c>
      <c r="BB181" s="24" t="inlineStr">
        <is>
          <t>learned_lr</t>
        </is>
      </c>
      <c r="BC181" s="24" t="inlineStr">
        <is>
          <t>mlb-elo-trend-lr-v8</t>
        </is>
      </c>
      <c r="BD181" s="24" t="inlineStr">
        <is>
          <t>6a5c79541b0e50cb9f7318270e63d5ccc65cbd7bc53a019748ff772d49de5075</t>
        </is>
      </c>
      <c r="BE181" s="24" t="inlineStr">
        <is>
          <t>3a529a8e501822ee</t>
        </is>
      </c>
      <c r="BF181" s="24" t="inlineStr">
        <is>
          <t>1</t>
        </is>
      </c>
      <c r="BG181" s="24" t="inlineStr">
        <is>
          <t>mlb-elo-trend-lr-v8</t>
        </is>
      </c>
      <c r="BH181" s="24" t="inlineStr">
        <is>
          <t>2026-08-05T01:07:10.040602Z</t>
        </is>
      </c>
      <c r="BI181" s="24" t="inlineStr">
        <is>
          <t>["same_event","same_team_same_day","same_league_same_day"]</t>
        </is>
      </c>
      <c r="BJ181" s="25" t="n"/>
      <c r="BK181" s="26" t="n">
        <v>-111</v>
      </c>
      <c r="BL181" s="27" t="n">
        <v>1.900901</v>
      </c>
      <c r="BM181" s="28" t="n">
        <v>0.526066</v>
      </c>
      <c r="BN181" s="28" t="n">
        <v>0.522388</v>
      </c>
      <c r="BO181" s="28" t="n"/>
      <c r="BP181" s="25" t="n"/>
      <c r="BQ181" s="27" t="n">
        <v>1.900901</v>
      </c>
      <c r="BR181" s="28" t="n">
        <v>0.525</v>
      </c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inlineStr">
        <is>
          <t>0.5327218645</t>
        </is>
      </c>
      <c r="CD181" s="24" t="inlineStr">
        <is>
          <t>0.544571</t>
        </is>
      </c>
      <c r="CE181" s="24" t="inlineStr">
        <is>
          <t>1.097</t>
        </is>
      </c>
      <c r="CF181" s="24" t="inlineStr">
        <is>
          <t>1.0</t>
        </is>
      </c>
      <c r="CG181" s="24" t="n"/>
      <c r="CH181" s="24" t="n"/>
      <c r="CI181" s="24" t="inlineStr">
        <is>
          <t>NO_CALL_STARTER_ERA_GAP_INSUFFICIENT_HISTORY</t>
        </is>
      </c>
      <c r="CJ181" s="24" t="inlineStr">
        <is>
          <t>-0.127634</t>
        </is>
      </c>
      <c r="CK181" s="24" t="n"/>
      <c r="CL181" s="24" t="inlineStr">
        <is>
          <t>-0.132604</t>
        </is>
      </c>
      <c r="CM181" s="24" t="inlineStr">
        <is>
          <t>0.0</t>
        </is>
      </c>
      <c r="CN181" s="24" t="n"/>
      <c r="CO181" s="24" t="n"/>
      <c r="CP181" s="24" t="n"/>
      <c r="CQ181" s="24" t="n"/>
      <c r="CR181" s="24" t="inlineStr">
        <is>
          <t>0.503922</t>
        </is>
      </c>
      <c r="CS181" s="24" t="inlineStr">
        <is>
          <t>False</t>
        </is>
      </c>
    </row>
    <row r="182" ht="36" customHeight="1">
      <c r="A182" s="24" t="inlineStr">
        <is>
          <t>b21e9d25933d4f7e</t>
        </is>
      </c>
      <c r="B182" s="24" t="inlineStr">
        <is>
          <t>2026-08-05T01:08:02.646600Z</t>
        </is>
      </c>
      <c r="C182" s="24" t="inlineStr">
        <is>
          <t>2026-08-05T01:40Z</t>
        </is>
      </c>
      <c r="D182" s="24" t="inlineStr">
        <is>
          <t>401816397</t>
        </is>
      </c>
      <c r="E182" s="24" t="inlineStr">
        <is>
          <t>MLB</t>
        </is>
      </c>
      <c r="F182" s="24" t="inlineStr">
        <is>
          <t>Detroit Tigers</t>
        </is>
      </c>
      <c r="G182" s="24" t="inlineStr">
        <is>
          <t>Seattle Mariners</t>
        </is>
      </c>
      <c r="H182" s="24" t="inlineStr">
        <is>
          <t>spread</t>
        </is>
      </c>
      <c r="I182" s="24" t="inlineStr">
        <is>
          <t>away</t>
        </is>
      </c>
      <c r="J182" s="25" t="n">
        <v>1.5</v>
      </c>
      <c r="K182" s="24" t="inlineStr">
        <is>
          <t>polymarket_us</t>
        </is>
      </c>
      <c r="L182" s="26" t="n">
        <v>-186</v>
      </c>
      <c r="M182" s="27" t="n">
        <v>1.537634</v>
      </c>
      <c r="N182" s="28" t="n">
        <v>0.65035</v>
      </c>
      <c r="O182" s="28" t="n">
        <v>0.657369</v>
      </c>
      <c r="P182" s="28" t="n">
        <v>0.042131</v>
      </c>
      <c r="Q182" s="28" t="n">
        <v>0.007019</v>
      </c>
      <c r="R182" s="26" t="n">
        <v>30</v>
      </c>
      <c r="S182" s="29" t="n">
        <v>1.75</v>
      </c>
      <c r="T182" s="24" t="inlineStr">
        <is>
          <t>measured-edge-margin-v3</t>
        </is>
      </c>
      <c r="U182" s="24" t="inlineStr">
        <is>
          <t>settled</t>
        </is>
      </c>
      <c r="V182" s="24" t="inlineStr">
        <is>
          <t>win</t>
        </is>
      </c>
      <c r="W182" s="26" t="n">
        <v>8</v>
      </c>
      <c r="X182" s="26" t="n">
        <v>0</v>
      </c>
      <c r="Y182" s="25" t="n">
        <v>1.5</v>
      </c>
      <c r="Z182" s="26" t="n">
        <v>-186</v>
      </c>
      <c r="AA182" s="28" t="n">
        <v>0.65</v>
      </c>
      <c r="AB182" s="28" t="n">
        <v>-0.00035</v>
      </c>
      <c r="AC182" s="30" t="n">
        <v>0.9409</v>
      </c>
      <c r="AD182" s="24" t="inlineStr">
        <is>
          <t>2026-08-05T04:21:32.934275Z</t>
        </is>
      </c>
      <c r="AE182" s="31" t="inlineStr">
        <is>
          <t>Measured Edge Margin: Trend Engine projected 4.19-3.76; raw selected-side p=0.7309, calibrated p=0.6574.</t>
        </is>
      </c>
      <c r="AF182" s="31" t="inlineStr">
        <is>
          <t>Research-only; lineup, bullpen, park, weather, xFIP, and wRC+ may be neutral fallbacks; market availability and BBO depth may change before first pitch.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3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mlb-det</t>
        </is>
      </c>
      <c r="AQ182" s="24" t="inlineStr">
        <is>
          <t>Detroit Tigers</t>
        </is>
      </c>
      <c r="AR182" s="24" t="inlineStr">
        <is>
          <t>Detroit Tigers</t>
        </is>
      </c>
      <c r="AS182" s="24" t="inlineStr">
        <is>
          <t>mlb-sea</t>
        </is>
      </c>
      <c r="AT182" s="24" t="inlineStr">
        <is>
          <t>Seattle Mariners</t>
        </is>
      </c>
      <c r="AU182" s="24" t="inlineStr">
        <is>
          <t>Seattle Mariners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research</t>
        </is>
      </c>
      <c r="BA182" s="24" t="inlineStr">
        <is>
          <t>dd339a2eed50d7d83ab2127837995ddab82e879afd27f5414bb6c1f9cd60ba4c</t>
        </is>
      </c>
      <c r="BB182" s="24" t="inlineStr">
        <is>
          <t>flat_probability_shrinkage_toward_half</t>
        </is>
      </c>
      <c r="BC182" s="24" t="inlineStr">
        <is>
          <t>measured-edge-margin-v3</t>
        </is>
      </c>
      <c r="BD182" s="24" t="inlineStr">
        <is>
          <t>dd339a2eed50d7d83ab2127837995ddab82e879afd27f5414bb6c1f9cd60ba4c</t>
        </is>
      </c>
      <c r="BE182" s="24" t="inlineStr">
        <is>
          <t>v3</t>
        </is>
      </c>
      <c r="BF182" s="24" t="inlineStr">
        <is>
          <t>1</t>
        </is>
      </c>
      <c r="BG182" s="24" t="inlineStr">
        <is>
          <t>measured-edge-paired-v1</t>
        </is>
      </c>
      <c r="BH182" s="24" t="inlineStr">
        <is>
          <t>2026-08-05T01:08:02.646600Z</t>
        </is>
      </c>
      <c r="BI182" s="24" t="inlineStr">
        <is>
          <t>["same_event","same_team_same_day","same_league_same_day"]</t>
        </is>
      </c>
      <c r="BJ182" s="25" t="n">
        <v>1.5</v>
      </c>
      <c r="BK182" s="26" t="n">
        <v>-186</v>
      </c>
      <c r="BL182" s="27" t="n">
        <v>1.537634</v>
      </c>
      <c r="BM182" s="28" t="n">
        <v>0.65035</v>
      </c>
      <c r="BN182" s="28" t="n">
        <v>0.646766</v>
      </c>
      <c r="BO182" s="28" t="n"/>
      <c r="BP182" s="25" t="n"/>
      <c r="BQ182" s="27" t="n">
        <v>1.537634</v>
      </c>
      <c r="BR182" s="28" t="n">
        <v>0.65</v>
      </c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</row>
    <row r="183" ht="36" customHeight="1">
      <c r="A183" s="24" t="inlineStr">
        <is>
          <t>2d565b8615ed40c2</t>
        </is>
      </c>
      <c r="B183" s="24" t="inlineStr">
        <is>
          <t>2026-08-05T01:08:02.646600Z</t>
        </is>
      </c>
      <c r="C183" s="24" t="inlineStr">
        <is>
          <t>2026-08-05T01:40Z</t>
        </is>
      </c>
      <c r="D183" s="24" t="inlineStr">
        <is>
          <t>401816397</t>
        </is>
      </c>
      <c r="E183" s="24" t="inlineStr">
        <is>
          <t>MLB</t>
        </is>
      </c>
      <c r="F183" s="24" t="inlineStr">
        <is>
          <t>Detroit Tigers</t>
        </is>
      </c>
      <c r="G183" s="24" t="inlineStr">
        <is>
          <t>Seattle Mariners</t>
        </is>
      </c>
      <c r="H183" s="24" t="inlineStr">
        <is>
          <t>total</t>
        </is>
      </c>
      <c r="I183" s="24" t="inlineStr">
        <is>
          <t>under</t>
        </is>
      </c>
      <c r="J183" s="25" t="n">
        <v>7.5</v>
      </c>
      <c r="K183" s="24" t="inlineStr">
        <is>
          <t>polymarket_us</t>
        </is>
      </c>
      <c r="L183" s="26" t="n">
        <v>108</v>
      </c>
      <c r="M183" s="27" t="n">
        <v>2.08</v>
      </c>
      <c r="N183" s="28" t="n">
        <v>0.480769</v>
      </c>
      <c r="O183" s="28" t="n">
        <v>0.506992</v>
      </c>
      <c r="P183" s="28" t="n">
        <v>0.042131</v>
      </c>
      <c r="Q183" s="28" t="n">
        <v>0.026223</v>
      </c>
      <c r="R183" s="26" t="n">
        <v>39</v>
      </c>
      <c r="S183" s="29" t="n">
        <v>1</v>
      </c>
      <c r="T183" s="24" t="inlineStr">
        <is>
          <t>measured-edge-totals-v3</t>
        </is>
      </c>
      <c r="U183" s="24" t="inlineStr">
        <is>
          <t>settled</t>
        </is>
      </c>
      <c r="V183" s="24" t="inlineStr">
        <is>
          <t>loss</t>
        </is>
      </c>
      <c r="W183" s="26" t="n">
        <v>8</v>
      </c>
      <c r="X183" s="26" t="n">
        <v>0</v>
      </c>
      <c r="Y183" s="25" t="n">
        <v>7.5</v>
      </c>
      <c r="Z183" s="26" t="n">
        <v>108</v>
      </c>
      <c r="AA183" s="28" t="n">
        <v>0.48</v>
      </c>
      <c r="AB183" s="28" t="n">
        <v>-0.000769</v>
      </c>
      <c r="AC183" s="30" t="n">
        <v>-1</v>
      </c>
      <c r="AD183" s="24" t="inlineStr">
        <is>
          <t>2026-08-05T04:21:33.630214Z</t>
        </is>
      </c>
      <c r="AE183" s="31" t="inlineStr">
        <is>
          <t>Measured Edge Totals: Trend Engine projected 4.19-3.76; raw selected-side p=0.5048, calibrated p=0.5070.</t>
        </is>
      </c>
      <c r="AF183" s="31" t="inlineStr">
        <is>
          <t>Research-only; lineup, bullpen, park, weather, xFIP, and wRC+ may be neutral fallbacks; market availability and BBO depth may change before first pitch.</t>
        </is>
      </c>
      <c r="AG183" s="24" t="inlineStr">
        <is>
          <t>review_required</t>
        </is>
      </c>
      <c r="AH183" s="24" t="n"/>
      <c r="AI183" s="31" t="n"/>
      <c r="AJ183" s="31" t="n"/>
      <c r="AK183" s="24" t="inlineStr">
        <is>
          <t>model_qualified</t>
        </is>
      </c>
      <c r="AL183" s="26" t="n">
        <v>3</v>
      </c>
      <c r="AM183" s="24" t="inlineStr">
        <is>
          <t>QUALIFIED_SHADOW_CALL</t>
        </is>
      </c>
      <c r="AN183" s="24" t="inlineStr">
        <is>
          <t>CALL</t>
        </is>
      </c>
      <c r="AO183" s="24" t="inlineStr">
        <is>
          <t>QUALIFIED</t>
        </is>
      </c>
      <c r="AP183" s="24" t="inlineStr">
        <is>
          <t>mlb-det</t>
        </is>
      </c>
      <c r="AQ183" s="24" t="inlineStr">
        <is>
          <t>Detroit Tigers</t>
        </is>
      </c>
      <c r="AR183" s="24" t="inlineStr">
        <is>
          <t>Detroit Tigers</t>
        </is>
      </c>
      <c r="AS183" s="24" t="inlineStr">
        <is>
          <t>mlb-sea</t>
        </is>
      </c>
      <c r="AT183" s="24" t="inlineStr">
        <is>
          <t>Seattle Mariners</t>
        </is>
      </c>
      <c r="AU183" s="24" t="inlineStr">
        <is>
          <t>Seattle Mariners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research</t>
        </is>
      </c>
      <c r="BA183" s="24" t="inlineStr">
        <is>
          <t>95b84332c75d2ce54036eb8de6ada9c78d0f80228c50825c0347281a8b9b49c7</t>
        </is>
      </c>
      <c r="BB183" s="24" t="inlineStr">
        <is>
          <t>flat_probability_shrinkage_toward_half</t>
        </is>
      </c>
      <c r="BC183" s="24" t="inlineStr">
        <is>
          <t>measured-edge-totals-v3</t>
        </is>
      </c>
      <c r="BD183" s="24" t="inlineStr">
        <is>
          <t>95b84332c75d2ce54036eb8de6ada9c78d0f80228c50825c0347281a8b9b49c7</t>
        </is>
      </c>
      <c r="BE183" s="24" t="inlineStr">
        <is>
          <t>v3</t>
        </is>
      </c>
      <c r="BF183" s="24" t="inlineStr">
        <is>
          <t>1</t>
        </is>
      </c>
      <c r="BG183" s="24" t="inlineStr">
        <is>
          <t>measured-edge-paired-v1</t>
        </is>
      </c>
      <c r="BH183" s="24" t="inlineStr">
        <is>
          <t>2026-08-05T01:08:02.646600Z</t>
        </is>
      </c>
      <c r="BI183" s="24" t="inlineStr">
        <is>
          <t>["same_event","same_team_same_day","same_league_same_day"]</t>
        </is>
      </c>
      <c r="BJ183" s="25" t="n">
        <v>7.5</v>
      </c>
      <c r="BK183" s="26" t="n">
        <v>108</v>
      </c>
      <c r="BL183" s="27" t="n">
        <v>2.08</v>
      </c>
      <c r="BM183" s="28" t="n">
        <v>0.480769</v>
      </c>
      <c r="BN183" s="28" t="n">
        <v>0.477612</v>
      </c>
      <c r="BO183" s="28" t="n"/>
      <c r="BP183" s="25" t="n"/>
      <c r="BQ183" s="27" t="n">
        <v>2.08</v>
      </c>
      <c r="BR183" s="28" t="n">
        <v>0.48</v>
      </c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</row>
    <row r="184" ht="36" customHeight="1">
      <c r="A184" s="24" t="inlineStr">
        <is>
          <t>0dfed54d71af4b80</t>
        </is>
      </c>
      <c r="B184" s="24" t="inlineStr">
        <is>
          <t>2026-08-05T01:08:02.646600Z</t>
        </is>
      </c>
      <c r="C184" s="24" t="inlineStr">
        <is>
          <t>2026-08-05T01:40Z</t>
        </is>
      </c>
      <c r="D184" s="24" t="inlineStr">
        <is>
          <t>401816398</t>
        </is>
      </c>
      <c r="E184" s="24" t="inlineStr">
        <is>
          <t>MLB</t>
        </is>
      </c>
      <c r="F184" s="24" t="inlineStr">
        <is>
          <t>San Diego Padres</t>
        </is>
      </c>
      <c r="G184" s="24" t="inlineStr">
        <is>
          <t>Arizona Diamondbacks</t>
        </is>
      </c>
      <c r="H184" s="24" t="inlineStr">
        <is>
          <t>spread</t>
        </is>
      </c>
      <c r="I184" s="24" t="inlineStr">
        <is>
          <t>home</t>
        </is>
      </c>
      <c r="J184" s="25" t="n">
        <v>1.5</v>
      </c>
      <c r="K184" s="24" t="inlineStr">
        <is>
          <t>polymarket_us</t>
        </is>
      </c>
      <c r="L184" s="26" t="n">
        <v>-182</v>
      </c>
      <c r="M184" s="27" t="n">
        <v>1.549451</v>
      </c>
      <c r="N184" s="28" t="n">
        <v>0.64539</v>
      </c>
      <c r="O184" s="28" t="n">
        <v>0.655325</v>
      </c>
      <c r="P184" s="28" t="n">
        <v>0.042131</v>
      </c>
      <c r="Q184" s="28" t="n">
        <v>0.009934999999999999</v>
      </c>
      <c r="R184" s="26" t="n">
        <v>31</v>
      </c>
      <c r="S184" s="29" t="n">
        <v>1.75</v>
      </c>
      <c r="T184" s="24" t="inlineStr">
        <is>
          <t>measured-edge-margin-v3</t>
        </is>
      </c>
      <c r="U184" s="24" t="inlineStr">
        <is>
          <t>settled</t>
        </is>
      </c>
      <c r="V184" s="24" t="inlineStr">
        <is>
          <t>loss</t>
        </is>
      </c>
      <c r="W184" s="26" t="n">
        <v>9</v>
      </c>
      <c r="X184" s="26" t="n">
        <v>4</v>
      </c>
      <c r="Y184" s="25" t="n">
        <v>1.5</v>
      </c>
      <c r="Z184" s="26" t="n">
        <v>-182</v>
      </c>
      <c r="AA184" s="28" t="n">
        <v>0.645</v>
      </c>
      <c r="AB184" s="28" t="n">
        <v>-0.00039</v>
      </c>
      <c r="AC184" s="30" t="n">
        <v>-1.75</v>
      </c>
      <c r="AD184" s="24" t="inlineStr">
        <is>
          <t>2026-08-05T04:33:06.029965Z</t>
        </is>
      </c>
      <c r="AE184" s="31" t="inlineStr">
        <is>
          <t>Measured Edge Margin: Trend Engine projected 4.22-4.93; raw selected-side p=0.7279, calibrated p=0.6553.</t>
        </is>
      </c>
      <c r="AF184" s="31" t="inlineStr">
        <is>
          <t>Research-only; lineup, bullpen, park, weather, xFIP, and wRC+ may be neutral fallbacks; market availability and BBO depth may change before first pitch.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mlb-sd</t>
        </is>
      </c>
      <c r="AQ184" s="24" t="inlineStr">
        <is>
          <t>San Diego Padres</t>
        </is>
      </c>
      <c r="AR184" s="24" t="inlineStr">
        <is>
          <t>San Diego Padres</t>
        </is>
      </c>
      <c r="AS184" s="24" t="inlineStr">
        <is>
          <t>mlb-ari</t>
        </is>
      </c>
      <c r="AT184" s="24" t="inlineStr">
        <is>
          <t>Arizona Diamondbacks</t>
        </is>
      </c>
      <c r="AU184" s="24" t="inlineStr">
        <is>
          <t>Arizona Diamondbacks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dd339a2eed50d7d83ab2127837995ddab82e879afd27f5414bb6c1f9cd60ba4c</t>
        </is>
      </c>
      <c r="BB184" s="24" t="inlineStr">
        <is>
          <t>flat_probability_shrinkage_toward_half</t>
        </is>
      </c>
      <c r="BC184" s="24" t="inlineStr">
        <is>
          <t>measured-edge-margin-v3</t>
        </is>
      </c>
      <c r="BD184" s="24" t="inlineStr">
        <is>
          <t>dd339a2eed50d7d83ab2127837995ddab82e879afd27f5414bb6c1f9cd60ba4c</t>
        </is>
      </c>
      <c r="BE184" s="24" t="inlineStr">
        <is>
          <t>v3</t>
        </is>
      </c>
      <c r="BF184" s="24" t="inlineStr">
        <is>
          <t>1</t>
        </is>
      </c>
      <c r="BG184" s="24" t="inlineStr">
        <is>
          <t>measured-edge-paired-v1</t>
        </is>
      </c>
      <c r="BH184" s="24" t="inlineStr">
        <is>
          <t>2026-08-05T01:08:02.646600Z</t>
        </is>
      </c>
      <c r="BI184" s="24" t="inlineStr">
        <is>
          <t>["same_event","same_team_same_day","same_league_same_day"]</t>
        </is>
      </c>
      <c r="BJ184" s="25" t="n">
        <v>1.5</v>
      </c>
      <c r="BK184" s="26" t="n">
        <v>-182</v>
      </c>
      <c r="BL184" s="27" t="n">
        <v>1.549451</v>
      </c>
      <c r="BM184" s="28" t="n">
        <v>0.64539</v>
      </c>
      <c r="BN184" s="28" t="n">
        <v>0.641791</v>
      </c>
      <c r="BO184" s="28" t="n"/>
      <c r="BP184" s="25" t="n"/>
      <c r="BQ184" s="27" t="n">
        <v>1.549451</v>
      </c>
      <c r="BR184" s="28" t="n">
        <v>0.645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7d4d006e125c4411</t>
        </is>
      </c>
      <c r="B185" s="24" t="inlineStr">
        <is>
          <t>2026-08-05T01:08:02.646600Z</t>
        </is>
      </c>
      <c r="C185" s="24" t="inlineStr">
        <is>
          <t>2026-08-05T01:40Z</t>
        </is>
      </c>
      <c r="D185" s="24" t="inlineStr">
        <is>
          <t>401816398</t>
        </is>
      </c>
      <c r="E185" s="24" t="inlineStr">
        <is>
          <t>MLB</t>
        </is>
      </c>
      <c r="F185" s="24" t="inlineStr">
        <is>
          <t>San Diego Padres</t>
        </is>
      </c>
      <c r="G185" s="24" t="inlineStr">
        <is>
          <t>Arizona Diamondbacks</t>
        </is>
      </c>
      <c r="H185" s="24" t="inlineStr">
        <is>
          <t>total</t>
        </is>
      </c>
      <c r="I185" s="24" t="inlineStr">
        <is>
          <t>over</t>
        </is>
      </c>
      <c r="J185" s="25" t="n">
        <v>8.5</v>
      </c>
      <c r="K185" s="24" t="inlineStr">
        <is>
          <t>polymarket_us</t>
        </is>
      </c>
      <c r="L185" s="26" t="n">
        <v>-117</v>
      </c>
      <c r="M185" s="27" t="n">
        <v>1.854701</v>
      </c>
      <c r="N185" s="28" t="n">
        <v>0.539171</v>
      </c>
      <c r="O185" s="28" t="n">
        <v>0.512594</v>
      </c>
      <c r="P185" s="28" t="n">
        <v>0.042131</v>
      </c>
      <c r="Q185" s="28" t="n">
        <v>-0.026577</v>
      </c>
      <c r="R185" s="26" t="n">
        <v>12</v>
      </c>
      <c r="S185" s="29" t="n">
        <v>1</v>
      </c>
      <c r="T185" s="24" t="inlineStr">
        <is>
          <t>measured-edge-totals-v3</t>
        </is>
      </c>
      <c r="U185" s="24" t="inlineStr">
        <is>
          <t>settled</t>
        </is>
      </c>
      <c r="V185" s="24" t="inlineStr">
        <is>
          <t>win</t>
        </is>
      </c>
      <c r="W185" s="26" t="n">
        <v>9</v>
      </c>
      <c r="X185" s="26" t="n">
        <v>4</v>
      </c>
      <c r="Y185" s="25" t="n">
        <v>8.5</v>
      </c>
      <c r="Z185" s="26" t="n">
        <v>-117</v>
      </c>
      <c r="AA185" s="28" t="n">
        <v>0.54</v>
      </c>
      <c r="AB185" s="28" t="n">
        <v>0.000829</v>
      </c>
      <c r="AC185" s="30" t="n">
        <v>0.8547</v>
      </c>
      <c r="AD185" s="24" t="inlineStr">
        <is>
          <t>2026-08-05T04:33:07.208006Z</t>
        </is>
      </c>
      <c r="AE185" s="31" t="inlineStr">
        <is>
          <t>Measured Edge Totals: Trend Engine projected 4.22-4.93; raw selected-side p=0.5273, calibrated p=0.5126.</t>
        </is>
      </c>
      <c r="AF185" s="31" t="inlineStr">
        <is>
          <t>Research-only; lineup, bullpen, park, weather, xFIP, and wRC+ may be neutral fallbacks; market availability and BBO depth may change before first pitch.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3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mlb-sd</t>
        </is>
      </c>
      <c r="AQ185" s="24" t="inlineStr">
        <is>
          <t>San Diego Padres</t>
        </is>
      </c>
      <c r="AR185" s="24" t="inlineStr">
        <is>
          <t>San Diego Padres</t>
        </is>
      </c>
      <c r="AS185" s="24" t="inlineStr">
        <is>
          <t>mlb-ari</t>
        </is>
      </c>
      <c r="AT185" s="24" t="inlineStr">
        <is>
          <t>Arizona Diamondbacks</t>
        </is>
      </c>
      <c r="AU185" s="24" t="inlineStr">
        <is>
          <t>Arizona Diamondbacks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research</t>
        </is>
      </c>
      <c r="BA185" s="24" t="inlineStr">
        <is>
          <t>95b84332c75d2ce54036eb8de6ada9c78d0f80228c50825c0347281a8b9b49c7</t>
        </is>
      </c>
      <c r="BB185" s="24" t="inlineStr">
        <is>
          <t>flat_probability_shrinkage_toward_half</t>
        </is>
      </c>
      <c r="BC185" s="24" t="inlineStr">
        <is>
          <t>measured-edge-totals-v3</t>
        </is>
      </c>
      <c r="BD185" s="24" t="inlineStr">
        <is>
          <t>95b84332c75d2ce54036eb8de6ada9c78d0f80228c50825c0347281a8b9b49c7</t>
        </is>
      </c>
      <c r="BE185" s="24" t="inlineStr">
        <is>
          <t>v3</t>
        </is>
      </c>
      <c r="BF185" s="24" t="inlineStr">
        <is>
          <t>1</t>
        </is>
      </c>
      <c r="BG185" s="24" t="inlineStr">
        <is>
          <t>measured-edge-paired-v1</t>
        </is>
      </c>
      <c r="BH185" s="24" t="inlineStr">
        <is>
          <t>2026-08-05T01:08:02.646600Z</t>
        </is>
      </c>
      <c r="BI185" s="24" t="inlineStr">
        <is>
          <t>["same_event","same_team_same_day","same_league_same_day"]</t>
        </is>
      </c>
      <c r="BJ185" s="25" t="n">
        <v>8.5</v>
      </c>
      <c r="BK185" s="26" t="n">
        <v>-117</v>
      </c>
      <c r="BL185" s="27" t="n">
        <v>1.854701</v>
      </c>
      <c r="BM185" s="28" t="n">
        <v>0.539171</v>
      </c>
      <c r="BN185" s="28" t="n">
        <v>0.537313</v>
      </c>
      <c r="BO185" s="28" t="n"/>
      <c r="BP185" s="25" t="n"/>
      <c r="BQ185" s="27" t="n">
        <v>1.854701</v>
      </c>
      <c r="BR185" s="28" t="n">
        <v>0.54</v>
      </c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False</t>
        </is>
      </c>
    </row>
    <row r="186" ht="36" customHeight="1">
      <c r="A186" s="24" t="inlineStr">
        <is>
          <t>cb0fc956437b4b98</t>
        </is>
      </c>
      <c r="B186" s="24" t="inlineStr">
        <is>
          <t>2026-08-05T17:02:59.358484Z</t>
        </is>
      </c>
      <c r="C186" s="24" t="inlineStr">
        <is>
          <t>2026-08-05T14:10:00-0400</t>
        </is>
      </c>
      <c r="D186" s="24" t="inlineStr">
        <is>
          <t>401816410</t>
        </is>
      </c>
      <c r="E186" s="24" t="inlineStr">
        <is>
          <t>MLB</t>
        </is>
      </c>
      <c r="F186" s="24" t="inlineStr">
        <is>
          <t>Toronto Blue Jays</t>
        </is>
      </c>
      <c r="G186" s="24" t="inlineStr">
        <is>
          <t>Houston Astros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-208</v>
      </c>
      <c r="M186" s="27" t="n">
        <v>1.480769</v>
      </c>
      <c r="N186" s="28" t="n">
        <v>0.675325</v>
      </c>
      <c r="O186" s="28" t="n">
        <v>0.543314</v>
      </c>
      <c r="P186" s="28" t="n"/>
      <c r="Q186" s="28" t="n">
        <v>-0.132011</v>
      </c>
      <c r="R186" s="26" t="n">
        <v>0</v>
      </c>
      <c r="S186" s="29" t="n">
        <v>0</v>
      </c>
      <c r="T186" s="24" t="inlineStr">
        <is>
          <t>mlb-elo-trend-lr-v8</t>
        </is>
      </c>
      <c r="U186" s="24" t="inlineStr">
        <is>
          <t>settled</t>
        </is>
      </c>
      <c r="V186" s="24" t="inlineStr">
        <is>
          <t>loss</t>
        </is>
      </c>
      <c r="W186" s="26" t="n">
        <v>5</v>
      </c>
      <c r="X186" s="26" t="n">
        <v>4</v>
      </c>
      <c r="Y186" s="25" t="n"/>
      <c r="Z186" s="26" t="n">
        <v>-208</v>
      </c>
      <c r="AA186" s="28" t="n">
        <v>0.675</v>
      </c>
      <c r="AB186" s="28" t="n">
        <v>-0.000325</v>
      </c>
      <c r="AC186" s="30" t="n">
        <v>0</v>
      </c>
      <c r="AD186" s="24" t="inlineStr">
        <is>
          <t>2026-08-06T00:20:19.922813Z</t>
        </is>
      </c>
      <c r="AE186" s="31" t="inlineStr">
        <is>
          <t>Learned LR call at threshold 0.5873; executable ask 0.6750 (aec-mlb-tor-hou-2026-08-05); model edge vs ask -0.1317.</t>
        </is>
      </c>
      <c r="AF186" s="31" t="inlineStr">
        <is>
          <t>Learned model; shadow-qualified via operator override.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research_observation</t>
        </is>
      </c>
      <c r="AL186" s="26" t="n">
        <v>3</v>
      </c>
      <c r="AM186" s="24" t="inlineStr">
        <is>
          <t>RESEARCH_OBSERVATION</t>
        </is>
      </c>
      <c r="AN186" s="24" t="inlineStr">
        <is>
          <t>NO_CALL</t>
        </is>
      </c>
      <c r="AO186" s="24" t="inlineStr">
        <is>
          <t>NO_CALL_WINNER_OVERVALUED</t>
        </is>
      </c>
      <c r="AP186" s="24" t="inlineStr">
        <is>
          <t>mlb-tor</t>
        </is>
      </c>
      <c r="AQ186" s="24" t="inlineStr">
        <is>
          <t>Toronto Blue Jays</t>
        </is>
      </c>
      <c r="AR186" s="24" t="inlineStr">
        <is>
          <t>Toronto Blue Jays</t>
        </is>
      </c>
      <c r="AS186" s="24" t="inlineStr">
        <is>
          <t>mlb-hou</t>
        </is>
      </c>
      <c r="AT186" s="24" t="inlineStr">
        <is>
          <t>Houston Astros</t>
        </is>
      </c>
      <c r="AU186" s="24" t="inlineStr">
        <is>
          <t>Houston Astros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6a5c79541b0e50cb9f7318270e63d5ccc65cbd7bc53a019748ff772d49de5075</t>
        </is>
      </c>
      <c r="BB186" s="24" t="inlineStr">
        <is>
          <t>learned_lr</t>
        </is>
      </c>
      <c r="BC186" s="24" t="inlineStr">
        <is>
          <t>mlb-elo-trend-lr-v8</t>
        </is>
      </c>
      <c r="BD186" s="24" t="inlineStr">
        <is>
          <t>6a5c79541b0e50cb9f7318270e63d5ccc65cbd7bc53a019748ff772d49de5075</t>
        </is>
      </c>
      <c r="BE186" s="24" t="inlineStr">
        <is>
          <t>7363e92b2bdde372</t>
        </is>
      </c>
      <c r="BF186" s="24" t="inlineStr">
        <is>
          <t>1</t>
        </is>
      </c>
      <c r="BG186" s="24" t="inlineStr">
        <is>
          <t>mlb-elo-trend-lr-v8</t>
        </is>
      </c>
      <c r="BH186" s="24" t="inlineStr">
        <is>
          <t>2026-08-05T17:01:43.592867Z</t>
        </is>
      </c>
      <c r="BI186" s="24" t="inlineStr">
        <is>
          <t>["same_event","same_team_same_day","same_league_same_day"]</t>
        </is>
      </c>
      <c r="BJ186" s="25" t="n"/>
      <c r="BK186" s="26" t="n">
        <v>-208</v>
      </c>
      <c r="BL186" s="27" t="n">
        <v>1.480769</v>
      </c>
      <c r="BM186" s="28" t="n">
        <v>0.675325</v>
      </c>
      <c r="BN186" s="28" t="n">
        <v>0.671642</v>
      </c>
      <c r="BO186" s="28" t="n"/>
      <c r="BP186" s="25" t="n"/>
      <c r="BQ186" s="27" t="n">
        <v>1.480769</v>
      </c>
      <c r="BR186" s="28" t="n">
        <v>0.675</v>
      </c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inlineStr">
        <is>
          <t>0.540804065</t>
        </is>
      </c>
      <c r="CD186" s="24" t="inlineStr">
        <is>
          <t>1.610075</t>
        </is>
      </c>
      <c r="CE186" s="24" t="inlineStr">
        <is>
          <t>0.956</t>
        </is>
      </c>
      <c r="CF186" s="24" t="inlineStr">
        <is>
          <t>1.0</t>
        </is>
      </c>
      <c r="CG186" s="24" t="n"/>
      <c r="CH186" s="24" t="n"/>
      <c r="CI186" s="24" t="n"/>
      <c r="CJ186" s="24" t="inlineStr">
        <is>
          <t>0.674406</t>
        </is>
      </c>
      <c r="CK186" s="24" t="n"/>
      <c r="CL186" s="24" t="inlineStr">
        <is>
          <t>-0.128115</t>
        </is>
      </c>
      <c r="CM186" s="24" t="inlineStr">
        <is>
          <t>-1.6882</t>
        </is>
      </c>
      <c r="CN186" s="24" t="n"/>
      <c r="CO186" s="24" t="n"/>
      <c r="CP186" s="24" t="n"/>
      <c r="CQ186" s="24" t="n"/>
      <c r="CR186" s="24" t="inlineStr">
        <is>
          <t>0.543314</t>
        </is>
      </c>
      <c r="CS186" s="24" t="inlineStr">
        <is>
          <t>False</t>
        </is>
      </c>
    </row>
    <row r="187" ht="36" customHeight="1">
      <c r="A187" s="24" t="inlineStr">
        <is>
          <t>c2bb6b803c7a46aa</t>
        </is>
      </c>
      <c r="B187" s="24" t="inlineStr">
        <is>
          <t>2026-08-05T17:02:59.358484Z</t>
        </is>
      </c>
      <c r="C187" s="24" t="inlineStr">
        <is>
          <t>2026-08-05T14:20:00-0400</t>
        </is>
      </c>
      <c r="D187" s="24" t="inlineStr">
        <is>
          <t>401816406</t>
        </is>
      </c>
      <c r="E187" s="24" t="inlineStr">
        <is>
          <t>MLB</t>
        </is>
      </c>
      <c r="F187" s="24" t="inlineStr">
        <is>
          <t>Los Angeles Dodgers</t>
        </is>
      </c>
      <c r="G187" s="24" t="inlineStr">
        <is>
          <t>Chicago Cubs</t>
        </is>
      </c>
      <c r="H187" s="24" t="inlineStr">
        <is>
          <t>moneyline</t>
        </is>
      </c>
      <c r="I187" s="24" t="inlineStr">
        <is>
          <t>home</t>
        </is>
      </c>
      <c r="J187" s="25" t="n"/>
      <c r="K187" s="24" t="inlineStr">
        <is>
          <t>polymarket_us</t>
        </is>
      </c>
      <c r="L187" s="26" t="n">
        <v>-111</v>
      </c>
      <c r="M187" s="27" t="n">
        <v>1.900901</v>
      </c>
      <c r="N187" s="28" t="n">
        <v>0.526066</v>
      </c>
      <c r="O187" s="28" t="n">
        <v>0.522292</v>
      </c>
      <c r="P187" s="28" t="n"/>
      <c r="Q187" s="28" t="n">
        <v>-0.003774</v>
      </c>
      <c r="R187" s="26" t="n">
        <v>20</v>
      </c>
      <c r="S187" s="29" t="n">
        <v>0</v>
      </c>
      <c r="T187" s="24" t="inlineStr">
        <is>
          <t>mlb-elo-trend-lr-v8</t>
        </is>
      </c>
      <c r="U187" s="24" t="inlineStr">
        <is>
          <t>settled</t>
        </is>
      </c>
      <c r="V187" s="24" t="inlineStr">
        <is>
          <t>win</t>
        </is>
      </c>
      <c r="W187" s="26" t="n">
        <v>6</v>
      </c>
      <c r="X187" s="26" t="n">
        <v>7</v>
      </c>
      <c r="Y187" s="25" t="n"/>
      <c r="Z187" s="26" t="n">
        <v>-111</v>
      </c>
      <c r="AA187" s="28" t="n">
        <v>0.525</v>
      </c>
      <c r="AB187" s="28" t="n">
        <v>-0.001066</v>
      </c>
      <c r="AC187" s="30" t="n">
        <v>0</v>
      </c>
      <c r="AD187" s="24" t="inlineStr">
        <is>
          <t>2026-08-06T00:20:20.833011Z</t>
        </is>
      </c>
      <c r="AE187" s="31" t="inlineStr">
        <is>
          <t>Learned LR call at threshold 0.5873; executable ask 0.5250 (aec-mlb-lad-chc-2026-08-05); model edge vs ask -0.0027.</t>
        </is>
      </c>
      <c r="AF187" s="31" t="inlineStr">
        <is>
          <t>Learned model; shadow-qualified via operator override.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NO_CALL_WINNER_OVERVALUED</t>
        </is>
      </c>
      <c r="AP187" s="24" t="inlineStr">
        <is>
          <t>mlb-lad</t>
        </is>
      </c>
      <c r="AQ187" s="24" t="inlineStr">
        <is>
          <t>Los Angeles Dodgers</t>
        </is>
      </c>
      <c r="AR187" s="24" t="inlineStr">
        <is>
          <t>Los Angeles Dodgers</t>
        </is>
      </c>
      <c r="AS187" s="24" t="inlineStr">
        <is>
          <t>mlb-chc</t>
        </is>
      </c>
      <c r="AT187" s="24" t="inlineStr">
        <is>
          <t>Chicago Cubs</t>
        </is>
      </c>
      <c r="AU187" s="24" t="inlineStr">
        <is>
          <t>Chicago Cubs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6a5c79541b0e50cb9f7318270e63d5ccc65cbd7bc53a019748ff772d49de5075</t>
        </is>
      </c>
      <c r="BB187" s="24" t="inlineStr">
        <is>
          <t>learned_lr</t>
        </is>
      </c>
      <c r="BC187" s="24" t="inlineStr">
        <is>
          <t>mlb-elo-trend-lr-v8</t>
        </is>
      </c>
      <c r="BD187" s="24" t="inlineStr">
        <is>
          <t>6a5c79541b0e50cb9f7318270e63d5ccc65cbd7bc53a019748ff772d49de5075</t>
        </is>
      </c>
      <c r="BE187" s="24" t="inlineStr">
        <is>
          <t>cd121ba990e73d6d</t>
        </is>
      </c>
      <c r="BF187" s="24" t="inlineStr">
        <is>
          <t>1</t>
        </is>
      </c>
      <c r="BG187" s="24" t="inlineStr">
        <is>
          <t>mlb-elo-trend-lr-v8</t>
        </is>
      </c>
      <c r="BH187" s="24" t="inlineStr">
        <is>
          <t>2026-08-05T17:01:44.118953Z</t>
        </is>
      </c>
      <c r="BI187" s="24" t="inlineStr">
        <is>
          <t>["same_event","same_team_same_day","same_league_same_day"]</t>
        </is>
      </c>
      <c r="BJ187" s="25" t="n"/>
      <c r="BK187" s="26" t="n">
        <v>-111</v>
      </c>
      <c r="BL187" s="27" t="n">
        <v>1.900901</v>
      </c>
      <c r="BM187" s="28" t="n">
        <v>0.526066</v>
      </c>
      <c r="BN187" s="28" t="n">
        <v>0.522388</v>
      </c>
      <c r="BO187" s="28" t="n"/>
      <c r="BP187" s="25" t="n"/>
      <c r="BQ187" s="27" t="n">
        <v>1.900901</v>
      </c>
      <c r="BR187" s="28" t="n">
        <v>0.525</v>
      </c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inlineStr">
        <is>
          <t>0.5253192927</t>
        </is>
      </c>
      <c r="CD187" s="24" t="inlineStr">
        <is>
          <t>0.944189</t>
        </is>
      </c>
      <c r="CE187" s="24" t="inlineStr">
        <is>
          <t>0.986</t>
        </is>
      </c>
      <c r="CF187" s="24" t="inlineStr">
        <is>
          <t>1.0097</t>
        </is>
      </c>
      <c r="CG187" s="24" t="n"/>
      <c r="CH187" s="24" t="n"/>
      <c r="CI187" s="24" t="n"/>
      <c r="CJ187" s="24" t="inlineStr">
        <is>
          <t>2.898558</t>
        </is>
      </c>
      <c r="CK187" s="24" t="n"/>
      <c r="CL187" s="24" t="inlineStr">
        <is>
          <t>-0.233791</t>
        </is>
      </c>
      <c r="CM187" s="24" t="inlineStr">
        <is>
          <t>-1.2706</t>
        </is>
      </c>
      <c r="CN187" s="24" t="n"/>
      <c r="CO187" s="24" t="n"/>
      <c r="CP187" s="24" t="n"/>
      <c r="CQ187" s="24" t="n"/>
      <c r="CR187" s="24" t="inlineStr">
        <is>
          <t>0.522292</t>
        </is>
      </c>
      <c r="CS187" s="24" t="inlineStr">
        <is>
          <t>False</t>
        </is>
      </c>
    </row>
    <row r="188" ht="36" customHeight="1">
      <c r="A188" s="24" t="inlineStr">
        <is>
          <t>265eccfc10c94e3e</t>
        </is>
      </c>
      <c r="B188" s="24" t="inlineStr">
        <is>
          <t>2026-08-05T17:02:59.358484Z</t>
        </is>
      </c>
      <c r="C188" s="24" t="inlineStr">
        <is>
          <t>2026-08-05T14:35:00-0400</t>
        </is>
      </c>
      <c r="D188" s="24" t="inlineStr">
        <is>
          <t>401816409</t>
        </is>
      </c>
      <c r="E188" s="24" t="inlineStr">
        <is>
          <t>MLB</t>
        </is>
      </c>
      <c r="F188" s="24" t="inlineStr">
        <is>
          <t>San Francisco Giants</t>
        </is>
      </c>
      <c r="G188" s="24" t="inlineStr">
        <is>
          <t>Texas Rangers</t>
        </is>
      </c>
      <c r="H188" s="24" t="inlineStr">
        <is>
          <t>moneyline</t>
        </is>
      </c>
      <c r="I188" s="24" t="inlineStr">
        <is>
          <t>home</t>
        </is>
      </c>
      <c r="J188" s="25" t="n"/>
      <c r="K188" s="24" t="inlineStr">
        <is>
          <t>polymarket_us</t>
        </is>
      </c>
      <c r="L188" s="26" t="n">
        <v>-153</v>
      </c>
      <c r="M188" s="27" t="n">
        <v>1.653595</v>
      </c>
      <c r="N188" s="28" t="n">
        <v>0.604743</v>
      </c>
      <c r="O188" s="28" t="n">
        <v>0.585182</v>
      </c>
      <c r="P188" s="28" t="n"/>
      <c r="Q188" s="28" t="n">
        <v>-0.019561</v>
      </c>
      <c r="R188" s="26" t="n">
        <v>12</v>
      </c>
      <c r="S188" s="29" t="n">
        <v>0</v>
      </c>
      <c r="T188" s="24" t="inlineStr">
        <is>
          <t>mlb-elo-trend-lr-v8</t>
        </is>
      </c>
      <c r="U188" s="24" t="inlineStr">
        <is>
          <t>settled</t>
        </is>
      </c>
      <c r="V188" s="24" t="inlineStr">
        <is>
          <t>win</t>
        </is>
      </c>
      <c r="W188" s="26" t="n">
        <v>0</v>
      </c>
      <c r="X188" s="26" t="n">
        <v>6</v>
      </c>
      <c r="Y188" s="25" t="n"/>
      <c r="Z188" s="26" t="n">
        <v>-153</v>
      </c>
      <c r="AA188" s="28" t="n">
        <v>0.605</v>
      </c>
      <c r="AB188" s="28" t="n">
        <v>0.000257</v>
      </c>
      <c r="AC188" s="30" t="n">
        <v>0</v>
      </c>
      <c r="AD188" s="24" t="inlineStr">
        <is>
          <t>2026-08-06T00:20:21.687592Z</t>
        </is>
      </c>
      <c r="AE188" s="31" t="inlineStr">
        <is>
          <t>Learned LR call at threshold 0.5873; executable ask 0.6050 (aec-mlb-sf-tex-2026-08-05); model edge vs ask -0.0198.</t>
        </is>
      </c>
      <c r="AF188" s="31" t="inlineStr">
        <is>
          <t>Learned model; shadow-qualified via operator override.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NO_CALL_WINNER_OVERVALUED</t>
        </is>
      </c>
      <c r="AP188" s="24" t="inlineStr">
        <is>
          <t>mlb-sf</t>
        </is>
      </c>
      <c r="AQ188" s="24" t="inlineStr">
        <is>
          <t>San Francisco Giants</t>
        </is>
      </c>
      <c r="AR188" s="24" t="inlineStr">
        <is>
          <t>San Francisco Giants</t>
        </is>
      </c>
      <c r="AS188" s="24" t="inlineStr">
        <is>
          <t>mlb-tex</t>
        </is>
      </c>
      <c r="AT188" s="24" t="inlineStr">
        <is>
          <t>Texas Rangers</t>
        </is>
      </c>
      <c r="AU188" s="24" t="inlineStr">
        <is>
          <t>Texas Rangers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6a5c79541b0e50cb9f7318270e63d5ccc65cbd7bc53a019748ff772d49de5075</t>
        </is>
      </c>
      <c r="BB188" s="24" t="inlineStr">
        <is>
          <t>learned_lr</t>
        </is>
      </c>
      <c r="BC188" s="24" t="inlineStr">
        <is>
          <t>mlb-elo-trend-lr-v8</t>
        </is>
      </c>
      <c r="BD188" s="24" t="inlineStr">
        <is>
          <t>6a5c79541b0e50cb9f7318270e63d5ccc65cbd7bc53a019748ff772d49de5075</t>
        </is>
      </c>
      <c r="BE188" s="24" t="inlineStr">
        <is>
          <t>b14707c8a9267bdd</t>
        </is>
      </c>
      <c r="BF188" s="24" t="inlineStr">
        <is>
          <t>1</t>
        </is>
      </c>
      <c r="BG188" s="24" t="inlineStr">
        <is>
          <t>mlb-elo-trend-lr-v8</t>
        </is>
      </c>
      <c r="BH188" s="24" t="inlineStr">
        <is>
          <t>2026-08-05T17:01:44.692636Z</t>
        </is>
      </c>
      <c r="BI188" s="24" t="inlineStr">
        <is>
          <t>["same_event","same_team_same_day","same_league_same_day"]</t>
        </is>
      </c>
      <c r="BJ188" s="25" t="n"/>
      <c r="BK188" s="26" t="n">
        <v>-153</v>
      </c>
      <c r="BL188" s="27" t="n">
        <v>1.653595</v>
      </c>
      <c r="BM188" s="28" t="n">
        <v>0.604743</v>
      </c>
      <c r="BN188" s="28" t="n">
        <v>0.60199</v>
      </c>
      <c r="BO188" s="28" t="n"/>
      <c r="BP188" s="25" t="n"/>
      <c r="BQ188" s="27" t="n">
        <v>1.653595</v>
      </c>
      <c r="BR188" s="28" t="n">
        <v>0.605</v>
      </c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inlineStr">
        <is>
          <t>0.5324528355</t>
        </is>
      </c>
      <c r="CD188" s="24" t="inlineStr">
        <is>
          <t>-1.3294</t>
        </is>
      </c>
      <c r="CE188" s="24" t="inlineStr">
        <is>
          <t>0.912</t>
        </is>
      </c>
      <c r="CF188" s="24" t="inlineStr">
        <is>
          <t>1.0</t>
        </is>
      </c>
      <c r="CG188" s="24" t="n"/>
      <c r="CH188" s="24" t="n"/>
      <c r="CI188" s="24" t="n"/>
      <c r="CJ188" s="24" t="inlineStr">
        <is>
          <t>-0.362485</t>
        </is>
      </c>
      <c r="CK188" s="24" t="n"/>
      <c r="CL188" s="24" t="inlineStr">
        <is>
          <t>0.552499</t>
        </is>
      </c>
      <c r="CM188" s="24" t="inlineStr">
        <is>
          <t>-0.6122</t>
        </is>
      </c>
      <c r="CN188" s="24" t="n"/>
      <c r="CO188" s="24" t="n"/>
      <c r="CP188" s="24" t="n"/>
      <c r="CQ188" s="24" t="n"/>
      <c r="CR188" s="24" t="inlineStr">
        <is>
          <t>0.585182</t>
        </is>
      </c>
      <c r="CS188" s="24" t="inlineStr">
        <is>
          <t>False</t>
        </is>
      </c>
    </row>
    <row r="189" ht="36" customHeight="1">
      <c r="A189" s="24" t="inlineStr">
        <is>
          <t>32b5459c62254d6a</t>
        </is>
      </c>
      <c r="B189" s="24" t="inlineStr">
        <is>
          <t>2026-08-05T17:02:59.358484Z</t>
        </is>
      </c>
      <c r="C189" s="24" t="inlineStr">
        <is>
          <t>2026-08-05T15:10:00-0400</t>
        </is>
      </c>
      <c r="D189" s="24" t="inlineStr">
        <is>
          <t>401816411</t>
        </is>
      </c>
      <c r="E189" s="24" t="inlineStr">
        <is>
          <t>MLB</t>
        </is>
      </c>
      <c r="F189" s="24" t="inlineStr">
        <is>
          <t>Tampa Bay Rays</t>
        </is>
      </c>
      <c r="G189" s="24" t="inlineStr">
        <is>
          <t>Colorado Rockies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polymarket_us</t>
        </is>
      </c>
      <c r="L189" s="26" t="n">
        <v>-153</v>
      </c>
      <c r="M189" s="27" t="n">
        <v>1.653595</v>
      </c>
      <c r="N189" s="28" t="n">
        <v>0.604743</v>
      </c>
      <c r="O189" s="28" t="n">
        <v>0.6508969999999999</v>
      </c>
      <c r="P189" s="28" t="n"/>
      <c r="Q189" s="28" t="n">
        <v>0.046154</v>
      </c>
      <c r="R189" s="26" t="n">
        <v>44</v>
      </c>
      <c r="S189" s="29" t="n">
        <v>0</v>
      </c>
      <c r="T189" s="24" t="inlineStr">
        <is>
          <t>mlb-elo-trend-lr-v8</t>
        </is>
      </c>
      <c r="U189" s="24" t="inlineStr">
        <is>
          <t>settled</t>
        </is>
      </c>
      <c r="V189" s="24" t="inlineStr">
        <is>
          <t>win</t>
        </is>
      </c>
      <c r="W189" s="26" t="n">
        <v>4</v>
      </c>
      <c r="X189" s="26" t="n">
        <v>0</v>
      </c>
      <c r="Y189" s="25" t="n"/>
      <c r="Z189" s="26" t="n">
        <v>-153</v>
      </c>
      <c r="AA189" s="28" t="n">
        <v>0.605</v>
      </c>
      <c r="AB189" s="28" t="n">
        <v>0.000257</v>
      </c>
      <c r="AC189" s="30" t="n">
        <v>0</v>
      </c>
      <c r="AD189" s="24" t="inlineStr">
        <is>
          <t>2026-08-06T00:20:22.552849Z</t>
        </is>
      </c>
      <c r="AE189" s="31" t="inlineStr">
        <is>
          <t>Learned LR call at threshold 0.5873; executable ask 0.6050 (aec-mlb-tb-col-2026-08-05); model edge vs ask +0.0459.</t>
        </is>
      </c>
      <c r="AF189" s="31" t="inlineStr">
        <is>
          <t>Learned model; shadow-qualified via operator override.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research_observation</t>
        </is>
      </c>
      <c r="AL189" s="26" t="n">
        <v>3</v>
      </c>
      <c r="AM189" s="24" t="inlineStr">
        <is>
          <t>RESEARCH_OBSERVATION</t>
        </is>
      </c>
      <c r="AN189" s="24" t="inlineStr">
        <is>
          <t>NO_CALL</t>
        </is>
      </c>
      <c r="AO189" s="24" t="inlineStr">
        <is>
          <t>NO_CALL_WINNER_OVERVALUED</t>
        </is>
      </c>
      <c r="AP189" s="24" t="inlineStr">
        <is>
          <t>mlb-tb</t>
        </is>
      </c>
      <c r="AQ189" s="24" t="inlineStr">
        <is>
          <t>Tampa Bay Rays</t>
        </is>
      </c>
      <c r="AR189" s="24" t="inlineStr">
        <is>
          <t>Tampa Bay Rays</t>
        </is>
      </c>
      <c r="AS189" s="24" t="inlineStr">
        <is>
          <t>mlb-col</t>
        </is>
      </c>
      <c r="AT189" s="24" t="inlineStr">
        <is>
          <t>Colorado Rockies</t>
        </is>
      </c>
      <c r="AU189" s="24" t="inlineStr">
        <is>
          <t>Colorado Rockies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6a5c79541b0e50cb9f7318270e63d5ccc65cbd7bc53a019748ff772d49de5075</t>
        </is>
      </c>
      <c r="BB189" s="24" t="inlineStr">
        <is>
          <t>learned_lr</t>
        </is>
      </c>
      <c r="BC189" s="24" t="inlineStr">
        <is>
          <t>mlb-elo-trend-lr-v8</t>
        </is>
      </c>
      <c r="BD189" s="24" t="inlineStr">
        <is>
          <t>6a5c79541b0e50cb9f7318270e63d5ccc65cbd7bc53a019748ff772d49de5075</t>
        </is>
      </c>
      <c r="BE189" s="24" t="inlineStr">
        <is>
          <t>bad8c8f6d9c491bf</t>
        </is>
      </c>
      <c r="BF189" s="24" t="inlineStr">
        <is>
          <t>1</t>
        </is>
      </c>
      <c r="BG189" s="24" t="inlineStr">
        <is>
          <t>mlb-elo-trend-lr-v8</t>
        </is>
      </c>
      <c r="BH189" s="24" t="inlineStr">
        <is>
          <t>2026-08-05T17:01:45.186103Z</t>
        </is>
      </c>
      <c r="BI189" s="24" t="inlineStr">
        <is>
          <t>["same_event","same_team_same_day","same_league_same_day"]</t>
        </is>
      </c>
      <c r="BJ189" s="25" t="n"/>
      <c r="BK189" s="26" t="n">
        <v>-153</v>
      </c>
      <c r="BL189" s="27" t="n">
        <v>1.653595</v>
      </c>
      <c r="BM189" s="28" t="n">
        <v>0.604743</v>
      </c>
      <c r="BN189" s="28" t="n">
        <v>0.60199</v>
      </c>
      <c r="BO189" s="28" t="n"/>
      <c r="BP189" s="25" t="n"/>
      <c r="BQ189" s="27" t="n">
        <v>1.653595</v>
      </c>
      <c r="BR189" s="28" t="n">
        <v>0.605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inlineStr">
        <is>
          <t>0.3717088646</t>
        </is>
      </c>
      <c r="CD189" s="24" t="inlineStr">
        <is>
          <t>1.48701</t>
        </is>
      </c>
      <c r="CE189" s="24" t="inlineStr">
        <is>
          <t>1.193</t>
        </is>
      </c>
      <c r="CF189" s="24" t="inlineStr">
        <is>
          <t>1.0028</t>
        </is>
      </c>
      <c r="CG189" s="24" t="n"/>
      <c r="CH189" s="24" t="n"/>
      <c r="CI189" s="24" t="n"/>
      <c r="CJ189" s="24" t="inlineStr">
        <is>
          <t>0.458973</t>
        </is>
      </c>
      <c r="CK189" s="24" t="n"/>
      <c r="CL189" s="24" t="inlineStr">
        <is>
          <t>0.032773</t>
        </is>
      </c>
      <c r="CM189" s="24" t="inlineStr">
        <is>
          <t>3.3324</t>
        </is>
      </c>
      <c r="CN189" s="24" t="n"/>
      <c r="CO189" s="24" t="n"/>
      <c r="CP189" s="24" t="n"/>
      <c r="CQ189" s="24" t="n"/>
      <c r="CR189" s="24" t="inlineStr">
        <is>
          <t>0.650897</t>
        </is>
      </c>
      <c r="CS189" s="24" t="inlineStr">
        <is>
          <t>True</t>
        </is>
      </c>
    </row>
    <row r="190" ht="36" customHeight="1">
      <c r="A190" s="24" t="inlineStr">
        <is>
          <t>d6a4490a20d84ed8</t>
        </is>
      </c>
      <c r="B190" s="24" t="inlineStr">
        <is>
          <t>2026-08-05T17:03:21.201331Z</t>
        </is>
      </c>
      <c r="C190" s="24" t="inlineStr">
        <is>
          <t>2026-08-05T18:10Z</t>
        </is>
      </c>
      <c r="D190" s="24" t="inlineStr">
        <is>
          <t>401816410</t>
        </is>
      </c>
      <c r="E190" s="24" t="inlineStr">
        <is>
          <t>MLB</t>
        </is>
      </c>
      <c r="F190" s="24" t="inlineStr">
        <is>
          <t>Toronto Blue Jays</t>
        </is>
      </c>
      <c r="G190" s="24" t="inlineStr">
        <is>
          <t>Houston Astros</t>
        </is>
      </c>
      <c r="H190" s="24" t="inlineStr">
        <is>
          <t>spread</t>
        </is>
      </c>
      <c r="I190" s="24" t="inlineStr">
        <is>
          <t>home</t>
        </is>
      </c>
      <c r="J190" s="25" t="n">
        <v>-1.5</v>
      </c>
      <c r="K190" s="24" t="inlineStr">
        <is>
          <t>polymarket_us</t>
        </is>
      </c>
      <c r="L190" s="26" t="n">
        <v>-104</v>
      </c>
      <c r="M190" s="27" t="n">
        <v>1.961538</v>
      </c>
      <c r="N190" s="28" t="n">
        <v>0.509804</v>
      </c>
      <c r="O190" s="28" t="n">
        <v>0.443716</v>
      </c>
      <c r="P190" s="28" t="n">
        <v>0.042131</v>
      </c>
      <c r="Q190" s="28" t="n">
        <v>-0.06608799999999999</v>
      </c>
      <c r="R190" s="26" t="n">
        <v>0</v>
      </c>
      <c r="S190" s="29" t="n">
        <v>0</v>
      </c>
      <c r="T190" s="24" t="inlineStr">
        <is>
          <t>measured-edge-margin-v3</t>
        </is>
      </c>
      <c r="U190" s="24" t="inlineStr">
        <is>
          <t>settled</t>
        </is>
      </c>
      <c r="V190" s="24" t="inlineStr">
        <is>
          <t>loss</t>
        </is>
      </c>
      <c r="W190" s="26" t="n">
        <v>5</v>
      </c>
      <c r="X190" s="26" t="n">
        <v>4</v>
      </c>
      <c r="Y190" s="25" t="n">
        <v>-1.5</v>
      </c>
      <c r="Z190" s="26" t="n">
        <v>-104</v>
      </c>
      <c r="AA190" s="28" t="n">
        <v>0.51</v>
      </c>
      <c r="AB190" s="28" t="n">
        <v>0.000196</v>
      </c>
      <c r="AC190" s="30" t="n">
        <v>0</v>
      </c>
      <c r="AD190" s="24" t="inlineStr">
        <is>
          <t>2026-08-06T00:20:23.453362Z</t>
        </is>
      </c>
      <c r="AE190" s="31" t="inlineStr">
        <is>
          <t>Measured Edge Margin: Trend Engine projected 4.45-5.29; raw selected-side p=0.4174, calibrated p=0.4437.</t>
        </is>
      </c>
      <c r="AF190" s="31" t="inlineStr">
        <is>
          <t>Research-only; lineup, bullpen, park, weather, xFIP, and wRC+ may be neutral fallbacks; market availability and BBO depth may change before first pitch.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NO_CALL_WINNER_OVERVALUED</t>
        </is>
      </c>
      <c r="AP190" s="24" t="inlineStr">
        <is>
          <t>mlb-tor</t>
        </is>
      </c>
      <c r="AQ190" s="24" t="inlineStr">
        <is>
          <t>Toronto Blue Jays</t>
        </is>
      </c>
      <c r="AR190" s="24" t="inlineStr">
        <is>
          <t>Toronto Blue Jays</t>
        </is>
      </c>
      <c r="AS190" s="24" t="inlineStr">
        <is>
          <t>mlb-hou</t>
        </is>
      </c>
      <c r="AT190" s="24" t="inlineStr">
        <is>
          <t>Houston Astros</t>
        </is>
      </c>
      <c r="AU190" s="24" t="inlineStr">
        <is>
          <t>Houston Astros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research</t>
        </is>
      </c>
      <c r="BA190" s="24" t="inlineStr">
        <is>
          <t>dd339a2eed50d7d83ab2127837995ddab82e879afd27f5414bb6c1f9cd60ba4c</t>
        </is>
      </c>
      <c r="BB190" s="24" t="inlineStr">
        <is>
          <t>flat_probability_shrinkage_toward_half</t>
        </is>
      </c>
      <c r="BC190" s="24" t="inlineStr">
        <is>
          <t>measured-edge-margin-v3</t>
        </is>
      </c>
      <c r="BD190" s="24" t="inlineStr">
        <is>
          <t>dd339a2eed50d7d83ab2127837995ddab82e879afd27f5414bb6c1f9cd60ba4c</t>
        </is>
      </c>
      <c r="BE190" s="24" t="inlineStr">
        <is>
          <t>v3</t>
        </is>
      </c>
      <c r="BF190" s="24" t="inlineStr">
        <is>
          <t>1</t>
        </is>
      </c>
      <c r="BG190" s="24" t="inlineStr">
        <is>
          <t>measured-edge-paired-v1</t>
        </is>
      </c>
      <c r="BH190" s="24" t="inlineStr">
        <is>
          <t>2026-08-05T17:03:21.201331Z</t>
        </is>
      </c>
      <c r="BI190" s="24" t="inlineStr">
        <is>
          <t>["same_event","same_team_same_day","same_league_same_day"]</t>
        </is>
      </c>
      <c r="BJ190" s="25" t="n">
        <v>-1.5</v>
      </c>
      <c r="BK190" s="26" t="n">
        <v>-104</v>
      </c>
      <c r="BL190" s="27" t="n">
        <v>1.961538</v>
      </c>
      <c r="BM190" s="28" t="n">
        <v>0.509804</v>
      </c>
      <c r="BN190" s="28" t="n">
        <v>0.507463</v>
      </c>
      <c r="BO190" s="28" t="n"/>
      <c r="BP190" s="25" t="n"/>
      <c r="BQ190" s="27" t="n">
        <v>1.961538</v>
      </c>
      <c r="BR190" s="28" t="n">
        <v>0.51</v>
      </c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False</t>
        </is>
      </c>
    </row>
    <row r="191" ht="36" customHeight="1">
      <c r="A191" s="24" t="inlineStr">
        <is>
          <t>8d9d3d1572a04460</t>
        </is>
      </c>
      <c r="B191" s="24" t="inlineStr">
        <is>
          <t>2026-08-05T17:03:21.201331Z</t>
        </is>
      </c>
      <c r="C191" s="24" t="inlineStr">
        <is>
          <t>2026-08-05T18:10Z</t>
        </is>
      </c>
      <c r="D191" s="24" t="inlineStr">
        <is>
          <t>401816410</t>
        </is>
      </c>
      <c r="E191" s="24" t="inlineStr">
        <is>
          <t>MLB</t>
        </is>
      </c>
      <c r="F191" s="24" t="inlineStr">
        <is>
          <t>Toronto Blue Jays</t>
        </is>
      </c>
      <c r="G191" s="24" t="inlineStr">
        <is>
          <t>Houston Astros</t>
        </is>
      </c>
      <c r="H191" s="24" t="inlineStr">
        <is>
          <t>total</t>
        </is>
      </c>
      <c r="I191" s="24" t="inlineStr">
        <is>
          <t>over</t>
        </is>
      </c>
      <c r="J191" s="25" t="n">
        <v>8.5</v>
      </c>
      <c r="K191" s="24" t="inlineStr">
        <is>
          <t>polymarket_us</t>
        </is>
      </c>
      <c r="L191" s="26" t="n">
        <v>115</v>
      </c>
      <c r="M191" s="27" t="n">
        <v>2.15</v>
      </c>
      <c r="N191" s="28" t="n">
        <v>0.465116</v>
      </c>
      <c r="O191" s="28" t="n">
        <v>0.524616</v>
      </c>
      <c r="P191" s="28" t="n">
        <v>0.042131</v>
      </c>
      <c r="Q191" s="28" t="n">
        <v>0.0595</v>
      </c>
      <c r="R191" s="26" t="n">
        <v>56</v>
      </c>
      <c r="S191" s="29" t="n">
        <v>0</v>
      </c>
      <c r="T191" s="24" t="inlineStr">
        <is>
          <t>measured-edge-totals-v3</t>
        </is>
      </c>
      <c r="U191" s="24" t="inlineStr">
        <is>
          <t>settled</t>
        </is>
      </c>
      <c r="V191" s="24" t="inlineStr">
        <is>
          <t>win</t>
        </is>
      </c>
      <c r="W191" s="26" t="n">
        <v>5</v>
      </c>
      <c r="X191" s="26" t="n">
        <v>4</v>
      </c>
      <c r="Y191" s="25" t="n">
        <v>8.5</v>
      </c>
      <c r="Z191" s="26" t="n">
        <v>115</v>
      </c>
      <c r="AA191" s="28" t="n">
        <v>0.465</v>
      </c>
      <c r="AB191" s="28" t="n">
        <v>-0.000116</v>
      </c>
      <c r="AC191" s="30" t="n">
        <v>0</v>
      </c>
      <c r="AD191" s="24" t="inlineStr">
        <is>
          <t>2026-08-06T00:20:24.337619Z</t>
        </is>
      </c>
      <c r="AE191" s="31" t="inlineStr">
        <is>
          <t>Measured Edge Totals: Trend Engine projected 4.45-5.29; raw selected-side p=0.5757, calibrated p=0.5246.</t>
        </is>
      </c>
      <c r="AF191" s="31" t="inlineStr">
        <is>
          <t>Research-only; lineup, bullpen, park, weather, xFIP, and wRC+ may be neutral fallbacks; market availability and BBO depth may change before first pitch.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NO_CALL_WINNER_OVERVALUED</t>
        </is>
      </c>
      <c r="AP191" s="24" t="inlineStr">
        <is>
          <t>mlb-tor</t>
        </is>
      </c>
      <c r="AQ191" s="24" t="inlineStr">
        <is>
          <t>Toronto Blue Jays</t>
        </is>
      </c>
      <c r="AR191" s="24" t="inlineStr">
        <is>
          <t>Toronto Blue Jays</t>
        </is>
      </c>
      <c r="AS191" s="24" t="inlineStr">
        <is>
          <t>mlb-hou</t>
        </is>
      </c>
      <c r="AT191" s="24" t="inlineStr">
        <is>
          <t>Houston Astros</t>
        </is>
      </c>
      <c r="AU191" s="24" t="inlineStr">
        <is>
          <t>Houston Astros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research</t>
        </is>
      </c>
      <c r="BA191" s="24" t="inlineStr">
        <is>
          <t>95b84332c75d2ce54036eb8de6ada9c78d0f80228c50825c0347281a8b9b49c7</t>
        </is>
      </c>
      <c r="BB191" s="24" t="inlineStr">
        <is>
          <t>flat_probability_shrinkage_toward_half</t>
        </is>
      </c>
      <c r="BC191" s="24" t="inlineStr">
        <is>
          <t>measured-edge-totals-v3</t>
        </is>
      </c>
      <c r="BD191" s="24" t="inlineStr">
        <is>
          <t>95b84332c75d2ce54036eb8de6ada9c78d0f80228c50825c0347281a8b9b49c7</t>
        </is>
      </c>
      <c r="BE191" s="24" t="inlineStr">
        <is>
          <t>v3</t>
        </is>
      </c>
      <c r="BF191" s="24" t="inlineStr">
        <is>
          <t>1</t>
        </is>
      </c>
      <c r="BG191" s="24" t="inlineStr">
        <is>
          <t>measured-edge-paired-v1</t>
        </is>
      </c>
      <c r="BH191" s="24" t="inlineStr">
        <is>
          <t>2026-08-05T17:03:21.201331Z</t>
        </is>
      </c>
      <c r="BI191" s="24" t="inlineStr">
        <is>
          <t>["same_event","same_team_same_day","same_league_same_day"]</t>
        </is>
      </c>
      <c r="BJ191" s="25" t="n">
        <v>8.5</v>
      </c>
      <c r="BK191" s="26" t="n">
        <v>115</v>
      </c>
      <c r="BL191" s="27" t="n">
        <v>2.15</v>
      </c>
      <c r="BM191" s="28" t="n">
        <v>0.465116</v>
      </c>
      <c r="BN191" s="28" t="n">
        <v>0.462687</v>
      </c>
      <c r="BO191" s="28" t="n"/>
      <c r="BP191" s="25" t="n"/>
      <c r="BQ191" s="27" t="n">
        <v>2.15</v>
      </c>
      <c r="BR191" s="28" t="n">
        <v>0.465</v>
      </c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True</t>
        </is>
      </c>
    </row>
    <row r="192" ht="36" customHeight="1">
      <c r="A192" s="24" t="inlineStr">
        <is>
          <t>1070572256ac4a03</t>
        </is>
      </c>
      <c r="B192" s="24" t="inlineStr">
        <is>
          <t>2026-08-05T17:03:21.201331Z</t>
        </is>
      </c>
      <c r="C192" s="24" t="inlineStr">
        <is>
          <t>2026-08-05T18:20Z</t>
        </is>
      </c>
      <c r="D192" s="24" t="inlineStr">
        <is>
          <t>401816406</t>
        </is>
      </c>
      <c r="E192" s="24" t="inlineStr">
        <is>
          <t>MLB</t>
        </is>
      </c>
      <c r="F192" s="24" t="inlineStr">
        <is>
          <t>Los Angeles Dodgers</t>
        </is>
      </c>
      <c r="G192" s="24" t="inlineStr">
        <is>
          <t>Chicago Cubs</t>
        </is>
      </c>
      <c r="H192" s="24" t="inlineStr">
        <is>
          <t>spread</t>
        </is>
      </c>
      <c r="I192" s="24" t="inlineStr">
        <is>
          <t>home</t>
        </is>
      </c>
      <c r="J192" s="25" t="n">
        <v>-1.5</v>
      </c>
      <c r="K192" s="24" t="inlineStr">
        <is>
          <t>polymarket_us</t>
        </is>
      </c>
      <c r="L192" s="26" t="n">
        <v>167</v>
      </c>
      <c r="M192" s="27" t="n">
        <v>2.67</v>
      </c>
      <c r="N192" s="28" t="n">
        <v>0.374532</v>
      </c>
      <c r="O192" s="28" t="n">
        <v>0.427431</v>
      </c>
      <c r="P192" s="28" t="n">
        <v>0.042131</v>
      </c>
      <c r="Q192" s="28" t="n">
        <v>0.052899</v>
      </c>
      <c r="R192" s="26" t="n">
        <v>52</v>
      </c>
      <c r="S192" s="29" t="n">
        <v>0</v>
      </c>
      <c r="T192" s="24" t="inlineStr">
        <is>
          <t>measured-edge-margin-v3</t>
        </is>
      </c>
      <c r="U192" s="24" t="inlineStr">
        <is>
          <t>settled</t>
        </is>
      </c>
      <c r="V192" s="24" t="inlineStr">
        <is>
          <t>loss</t>
        </is>
      </c>
      <c r="W192" s="26" t="n">
        <v>6</v>
      </c>
      <c r="X192" s="26" t="n">
        <v>7</v>
      </c>
      <c r="Y192" s="25" t="n">
        <v>-1.5</v>
      </c>
      <c r="Z192" s="26" t="n">
        <v>167</v>
      </c>
      <c r="AA192" s="28" t="n">
        <v>0.375</v>
      </c>
      <c r="AB192" s="28" t="n">
        <v>0.000468</v>
      </c>
      <c r="AC192" s="30" t="n">
        <v>0</v>
      </c>
      <c r="AD192" s="24" t="inlineStr">
        <is>
          <t>2026-08-06T00:20:25.263663Z</t>
        </is>
      </c>
      <c r="AE192" s="31" t="inlineStr">
        <is>
          <t>Measured Edge Margin: Trend Engine projected 3.96-4.59; raw selected-side p=0.3935, calibrated p=0.4274.</t>
        </is>
      </c>
      <c r="AF192" s="31" t="inlineStr">
        <is>
          <t>Research-only; lineup, bullpen, park, weather, xFIP, and wRC+ may be neutral fallbacks; market availability and BBO depth may change before first pitch.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research_observation</t>
        </is>
      </c>
      <c r="AL192" s="26" t="n">
        <v>3</v>
      </c>
      <c r="AM192" s="24" t="inlineStr">
        <is>
          <t>RESEARCH_OBSERVATION</t>
        </is>
      </c>
      <c r="AN192" s="24" t="inlineStr">
        <is>
          <t>NO_CALL</t>
        </is>
      </c>
      <c r="AO192" s="24" t="inlineStr">
        <is>
          <t>NO_CALL_WINNER_OVERVALUED</t>
        </is>
      </c>
      <c r="AP192" s="24" t="inlineStr">
        <is>
          <t>mlb-lad</t>
        </is>
      </c>
      <c r="AQ192" s="24" t="inlineStr">
        <is>
          <t>Los Angeles Dodgers</t>
        </is>
      </c>
      <c r="AR192" s="24" t="inlineStr">
        <is>
          <t>Los Angeles Dodgers</t>
        </is>
      </c>
      <c r="AS192" s="24" t="inlineStr">
        <is>
          <t>mlb-chc</t>
        </is>
      </c>
      <c r="AT192" s="24" t="inlineStr">
        <is>
          <t>Chicago Cubs</t>
        </is>
      </c>
      <c r="AU192" s="24" t="inlineStr">
        <is>
          <t>Chicago Cubs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research</t>
        </is>
      </c>
      <c r="BA192" s="24" t="inlineStr">
        <is>
          <t>dd339a2eed50d7d83ab2127837995ddab82e879afd27f5414bb6c1f9cd60ba4c</t>
        </is>
      </c>
      <c r="BB192" s="24" t="inlineStr">
        <is>
          <t>flat_probability_shrinkage_toward_half</t>
        </is>
      </c>
      <c r="BC192" s="24" t="inlineStr">
        <is>
          <t>measured-edge-margin-v3</t>
        </is>
      </c>
      <c r="BD192" s="24" t="inlineStr">
        <is>
          <t>dd339a2eed50d7d83ab2127837995ddab82e879afd27f5414bb6c1f9cd60ba4c</t>
        </is>
      </c>
      <c r="BE192" s="24" t="inlineStr">
        <is>
          <t>v3</t>
        </is>
      </c>
      <c r="BF192" s="24" t="inlineStr">
        <is>
          <t>1</t>
        </is>
      </c>
      <c r="BG192" s="24" t="inlineStr">
        <is>
          <t>measured-edge-paired-v1</t>
        </is>
      </c>
      <c r="BH192" s="24" t="inlineStr">
        <is>
          <t>2026-08-05T17:03:21.201331Z</t>
        </is>
      </c>
      <c r="BI192" s="24" t="inlineStr">
        <is>
          <t>["same_event","same_team_same_day","same_league_same_day"]</t>
        </is>
      </c>
      <c r="BJ192" s="25" t="n">
        <v>-1.5</v>
      </c>
      <c r="BK192" s="26" t="n">
        <v>167</v>
      </c>
      <c r="BL192" s="27" t="n">
        <v>2.67</v>
      </c>
      <c r="BM192" s="28" t="n">
        <v>0.374532</v>
      </c>
      <c r="BN192" s="28" t="n">
        <v>0.373134</v>
      </c>
      <c r="BO192" s="28" t="n"/>
      <c r="BP192" s="25" t="n"/>
      <c r="BQ192" s="27" t="n">
        <v>2.67</v>
      </c>
      <c r="BR192" s="28" t="n">
        <v>0.375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a5b1c89015a74283</t>
        </is>
      </c>
      <c r="B193" s="24" t="inlineStr">
        <is>
          <t>2026-08-05T17:03:21.201331Z</t>
        </is>
      </c>
      <c r="C193" s="24" t="inlineStr">
        <is>
          <t>2026-08-05T18:20Z</t>
        </is>
      </c>
      <c r="D193" s="24" t="inlineStr">
        <is>
          <t>401816406</t>
        </is>
      </c>
      <c r="E193" s="24" t="inlineStr">
        <is>
          <t>MLB</t>
        </is>
      </c>
      <c r="F193" s="24" t="inlineStr">
        <is>
          <t>Los Angeles Dodgers</t>
        </is>
      </c>
      <c r="G193" s="24" t="inlineStr">
        <is>
          <t>Chicago Cubs</t>
        </is>
      </c>
      <c r="H193" s="24" t="inlineStr">
        <is>
          <t>total</t>
        </is>
      </c>
      <c r="I193" s="24" t="inlineStr">
        <is>
          <t>under</t>
        </is>
      </c>
      <c r="J193" s="25" t="n">
        <v>9.5</v>
      </c>
      <c r="K193" s="24" t="inlineStr">
        <is>
          <t>polymarket_us</t>
        </is>
      </c>
      <c r="L193" s="26" t="n">
        <v>111</v>
      </c>
      <c r="M193" s="27" t="n">
        <v>2.11</v>
      </c>
      <c r="N193" s="28" t="n">
        <v>0.473934</v>
      </c>
      <c r="O193" s="28" t="n">
        <v>0.540402</v>
      </c>
      <c r="P193" s="28" t="n">
        <v>0.042131</v>
      </c>
      <c r="Q193" s="28" t="n">
        <v>0.066468</v>
      </c>
      <c r="R193" s="26" t="n">
        <v>59</v>
      </c>
      <c r="S193" s="29" t="n">
        <v>0</v>
      </c>
      <c r="T193" s="24" t="inlineStr">
        <is>
          <t>measured-edge-totals-v3</t>
        </is>
      </c>
      <c r="U193" s="24" t="inlineStr">
        <is>
          <t>settled</t>
        </is>
      </c>
      <c r="V193" s="24" t="inlineStr">
        <is>
          <t>loss</t>
        </is>
      </c>
      <c r="W193" s="26" t="n">
        <v>6</v>
      </c>
      <c r="X193" s="26" t="n">
        <v>7</v>
      </c>
      <c r="Y193" s="25" t="n">
        <v>9.5</v>
      </c>
      <c r="Z193" s="26" t="n">
        <v>111</v>
      </c>
      <c r="AA193" s="28" t="n">
        <v>0.475</v>
      </c>
      <c r="AB193" s="28" t="n">
        <v>0.001066</v>
      </c>
      <c r="AC193" s="30" t="n">
        <v>0</v>
      </c>
      <c r="AD193" s="24" t="inlineStr">
        <is>
          <t>2026-08-06T00:20:26.119807Z</t>
        </is>
      </c>
      <c r="AE193" s="31" t="inlineStr">
        <is>
          <t>Measured Edge Totals: Trend Engine projected 3.96-4.59; raw selected-side p=0.6393, calibrated p=0.5404.</t>
        </is>
      </c>
      <c r="AF193" s="31" t="inlineStr">
        <is>
          <t>Research-only; lineup, bullpen, park, weather, xFIP, and wRC+ may be neutral fallbacks; market availability and BBO depth may change before first pitch.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research_observation</t>
        </is>
      </c>
      <c r="AL193" s="26" t="n">
        <v>3</v>
      </c>
      <c r="AM193" s="24" t="inlineStr">
        <is>
          <t>RESEARCH_OBSERVATION</t>
        </is>
      </c>
      <c r="AN193" s="24" t="inlineStr">
        <is>
          <t>NO_CALL</t>
        </is>
      </c>
      <c r="AO193" s="24" t="inlineStr">
        <is>
          <t>NO_CALL_WINNER_OVERVALUED</t>
        </is>
      </c>
      <c r="AP193" s="24" t="inlineStr">
        <is>
          <t>mlb-lad</t>
        </is>
      </c>
      <c r="AQ193" s="24" t="inlineStr">
        <is>
          <t>Los Angeles Dodgers</t>
        </is>
      </c>
      <c r="AR193" s="24" t="inlineStr">
        <is>
          <t>Los Angeles Dodgers</t>
        </is>
      </c>
      <c r="AS193" s="24" t="inlineStr">
        <is>
          <t>mlb-chc</t>
        </is>
      </c>
      <c r="AT193" s="24" t="inlineStr">
        <is>
          <t>Chicago Cubs</t>
        </is>
      </c>
      <c r="AU193" s="24" t="inlineStr">
        <is>
          <t>Chicago Cubs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research</t>
        </is>
      </c>
      <c r="BA193" s="24" t="inlineStr">
        <is>
          <t>95b84332c75d2ce54036eb8de6ada9c78d0f80228c50825c0347281a8b9b49c7</t>
        </is>
      </c>
      <c r="BB193" s="24" t="inlineStr">
        <is>
          <t>flat_probability_shrinkage_toward_half</t>
        </is>
      </c>
      <c r="BC193" s="24" t="inlineStr">
        <is>
          <t>measured-edge-totals-v3</t>
        </is>
      </c>
      <c r="BD193" s="24" t="inlineStr">
        <is>
          <t>95b84332c75d2ce54036eb8de6ada9c78d0f80228c50825c0347281a8b9b49c7</t>
        </is>
      </c>
      <c r="BE193" s="24" t="inlineStr">
        <is>
          <t>v3</t>
        </is>
      </c>
      <c r="BF193" s="24" t="inlineStr">
        <is>
          <t>1</t>
        </is>
      </c>
      <c r="BG193" s="24" t="inlineStr">
        <is>
          <t>measured-edge-paired-v1</t>
        </is>
      </c>
      <c r="BH193" s="24" t="inlineStr">
        <is>
          <t>2026-08-05T17:03:21.201331Z</t>
        </is>
      </c>
      <c r="BI193" s="24" t="inlineStr">
        <is>
          <t>["same_event","same_team_same_day","same_league_same_day"]</t>
        </is>
      </c>
      <c r="BJ193" s="25" t="n">
        <v>9.5</v>
      </c>
      <c r="BK193" s="26" t="n">
        <v>111</v>
      </c>
      <c r="BL193" s="27" t="n">
        <v>2.11</v>
      </c>
      <c r="BM193" s="28" t="n">
        <v>0.473934</v>
      </c>
      <c r="BN193" s="28" t="n">
        <v>0.472637</v>
      </c>
      <c r="BO193" s="28" t="n"/>
      <c r="BP193" s="25" t="n"/>
      <c r="BQ193" s="27" t="n">
        <v>2.11</v>
      </c>
      <c r="BR193" s="28" t="n">
        <v>0.475</v>
      </c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8bf63ca660e2496e</t>
        </is>
      </c>
      <c r="B194" s="24" t="inlineStr">
        <is>
          <t>2026-08-05T17:03:21.201331Z</t>
        </is>
      </c>
      <c r="C194" s="24" t="inlineStr">
        <is>
          <t>2026-08-05T18:35Z</t>
        </is>
      </c>
      <c r="D194" s="24" t="inlineStr">
        <is>
          <t>401816409</t>
        </is>
      </c>
      <c r="E194" s="24" t="inlineStr">
        <is>
          <t>MLB</t>
        </is>
      </c>
      <c r="F194" s="24" t="inlineStr">
        <is>
          <t>San Francisco Giants</t>
        </is>
      </c>
      <c r="G194" s="24" t="inlineStr">
        <is>
          <t>Texas Rangers</t>
        </is>
      </c>
      <c r="H194" s="24" t="inlineStr">
        <is>
          <t>spread</t>
        </is>
      </c>
      <c r="I194" s="24" t="inlineStr">
        <is>
          <t>home</t>
        </is>
      </c>
      <c r="J194" s="25" t="n">
        <v>-1.5</v>
      </c>
      <c r="K194" s="24" t="inlineStr">
        <is>
          <t>polymarket_us</t>
        </is>
      </c>
      <c r="L194" s="26" t="n">
        <v>135</v>
      </c>
      <c r="M194" s="27" t="n">
        <v>2.35</v>
      </c>
      <c r="N194" s="28" t="n">
        <v>0.425532</v>
      </c>
      <c r="O194" s="28" t="n">
        <v>0.408522</v>
      </c>
      <c r="P194" s="28" t="n">
        <v>0.05172</v>
      </c>
      <c r="Q194" s="28" t="n">
        <v>-0.01701</v>
      </c>
      <c r="R194" s="26" t="n">
        <v>12</v>
      </c>
      <c r="S194" s="29" t="n">
        <v>0</v>
      </c>
      <c r="T194" s="24" t="inlineStr">
        <is>
          <t>measured-edge-margin-v3</t>
        </is>
      </c>
      <c r="U194" s="24" t="inlineStr">
        <is>
          <t>settled</t>
        </is>
      </c>
      <c r="V194" s="24" t="inlineStr">
        <is>
          <t>win</t>
        </is>
      </c>
      <c r="W194" s="26" t="n">
        <v>0</v>
      </c>
      <c r="X194" s="26" t="n">
        <v>6</v>
      </c>
      <c r="Y194" s="25" t="n">
        <v>-1.5</v>
      </c>
      <c r="Z194" s="26" t="n">
        <v>135</v>
      </c>
      <c r="AA194" s="28" t="n">
        <v>0.425</v>
      </c>
      <c r="AB194" s="28" t="n">
        <v>-0.000532</v>
      </c>
      <c r="AC194" s="30" t="n">
        <v>0</v>
      </c>
      <c r="AD194" s="24" t="inlineStr">
        <is>
          <t>2026-08-06T00:20:26.985641Z</t>
        </is>
      </c>
      <c r="AE194" s="31" t="inlineStr">
        <is>
          <t>Measured Edge Margin: Trend Engine projected 4.57-4.92; raw selected-side p=0.3658, calibrated p=0.4085.</t>
        </is>
      </c>
      <c r="AF194" s="31" t="inlineStr">
        <is>
          <t>Research-only; lineup, bullpen, park, weather, xFIP, and wRC+ may be neutral fallbacks; market availability and BBO depth may change before first pitch.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research_observation</t>
        </is>
      </c>
      <c r="AL194" s="26" t="n">
        <v>3</v>
      </c>
      <c r="AM194" s="24" t="inlineStr">
        <is>
          <t>RESEARCH_OBSERVATION</t>
        </is>
      </c>
      <c r="AN194" s="24" t="inlineStr">
        <is>
          <t>NO_CALL</t>
        </is>
      </c>
      <c r="AO194" s="24" t="inlineStr">
        <is>
          <t>NO_CALL_WINNER_OVERVALUED</t>
        </is>
      </c>
      <c r="AP194" s="24" t="inlineStr">
        <is>
          <t>mlb-sf</t>
        </is>
      </c>
      <c r="AQ194" s="24" t="inlineStr">
        <is>
          <t>San Francisco Giants</t>
        </is>
      </c>
      <c r="AR194" s="24" t="inlineStr">
        <is>
          <t>San Francisco Giants</t>
        </is>
      </c>
      <c r="AS194" s="24" t="inlineStr">
        <is>
          <t>mlb-tex</t>
        </is>
      </c>
      <c r="AT194" s="24" t="inlineStr">
        <is>
          <t>Texas Rangers</t>
        </is>
      </c>
      <c r="AU194" s="24" t="inlineStr">
        <is>
          <t>Texas Rangers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research</t>
        </is>
      </c>
      <c r="BA194" s="24" t="inlineStr">
        <is>
          <t>dd339a2eed50d7d83ab2127837995ddab82e879afd27f5414bb6c1f9cd60ba4c</t>
        </is>
      </c>
      <c r="BB194" s="24" t="inlineStr">
        <is>
          <t>flat_probability_shrinkage_toward_half</t>
        </is>
      </c>
      <c r="BC194" s="24" t="inlineStr">
        <is>
          <t>measured-edge-margin-v3</t>
        </is>
      </c>
      <c r="BD194" s="24" t="inlineStr">
        <is>
          <t>dd339a2eed50d7d83ab2127837995ddab82e879afd27f5414bb6c1f9cd60ba4c</t>
        </is>
      </c>
      <c r="BE194" s="24" t="inlineStr">
        <is>
          <t>v3</t>
        </is>
      </c>
      <c r="BF194" s="24" t="inlineStr">
        <is>
          <t>1</t>
        </is>
      </c>
      <c r="BG194" s="24" t="inlineStr">
        <is>
          <t>measured-edge-paired-v1</t>
        </is>
      </c>
      <c r="BH194" s="24" t="inlineStr">
        <is>
          <t>2026-08-05T17:03:21.201331Z</t>
        </is>
      </c>
      <c r="BI194" s="24" t="inlineStr">
        <is>
          <t>["same_event","same_team_same_day","same_league_same_day"]</t>
        </is>
      </c>
      <c r="BJ194" s="25" t="n">
        <v>-1.5</v>
      </c>
      <c r="BK194" s="26" t="n">
        <v>135</v>
      </c>
      <c r="BL194" s="27" t="n">
        <v>2.35</v>
      </c>
      <c r="BM194" s="28" t="n">
        <v>0.425532</v>
      </c>
      <c r="BN194" s="28" t="n">
        <v>0.422886</v>
      </c>
      <c r="BO194" s="28" t="n"/>
      <c r="BP194" s="25" t="n"/>
      <c r="BQ194" s="27" t="n">
        <v>2.35</v>
      </c>
      <c r="BR194" s="28" t="n">
        <v>0.425</v>
      </c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</row>
    <row r="195" ht="36" customHeight="1">
      <c r="A195" s="24" t="inlineStr">
        <is>
          <t>dad1f3922eae467a</t>
        </is>
      </c>
      <c r="B195" s="24" t="inlineStr">
        <is>
          <t>2026-08-05T17:03:21.201331Z</t>
        </is>
      </c>
      <c r="C195" s="24" t="inlineStr">
        <is>
          <t>2026-08-05T18:35Z</t>
        </is>
      </c>
      <c r="D195" s="24" t="inlineStr">
        <is>
          <t>401816409</t>
        </is>
      </c>
      <c r="E195" s="24" t="inlineStr">
        <is>
          <t>MLB</t>
        </is>
      </c>
      <c r="F195" s="24" t="inlineStr">
        <is>
          <t>San Francisco Giants</t>
        </is>
      </c>
      <c r="G195" s="24" t="inlineStr">
        <is>
          <t>Texas Rangers</t>
        </is>
      </c>
      <c r="H195" s="24" t="inlineStr">
        <is>
          <t>total</t>
        </is>
      </c>
      <c r="I195" s="24" t="inlineStr">
        <is>
          <t>over</t>
        </is>
      </c>
      <c r="J195" s="25" t="n">
        <v>8.5</v>
      </c>
      <c r="K195" s="24" t="inlineStr">
        <is>
          <t>polymarket_us</t>
        </is>
      </c>
      <c r="L195" s="26" t="n">
        <v>102</v>
      </c>
      <c r="M195" s="27" t="n">
        <v>2.02</v>
      </c>
      <c r="N195" s="28" t="n">
        <v>0.49505</v>
      </c>
      <c r="O195" s="28" t="n">
        <v>0.519474</v>
      </c>
      <c r="P195" s="28" t="n">
        <v>0.05172</v>
      </c>
      <c r="Q195" s="28" t="n">
        <v>0.024424</v>
      </c>
      <c r="R195" s="26" t="n">
        <v>32</v>
      </c>
      <c r="S195" s="29" t="n">
        <v>0</v>
      </c>
      <c r="T195" s="24" t="inlineStr">
        <is>
          <t>measured-edge-totals-v3</t>
        </is>
      </c>
      <c r="U195" s="24" t="inlineStr">
        <is>
          <t>settled</t>
        </is>
      </c>
      <c r="V195" s="24" t="inlineStr">
        <is>
          <t>loss</t>
        </is>
      </c>
      <c r="W195" s="26" t="n">
        <v>0</v>
      </c>
      <c r="X195" s="26" t="n">
        <v>6</v>
      </c>
      <c r="Y195" s="25" t="n">
        <v>8.5</v>
      </c>
      <c r="Z195" s="26" t="n">
        <v>102</v>
      </c>
      <c r="AA195" s="28" t="n">
        <v>0.495</v>
      </c>
      <c r="AB195" s="28" t="n">
        <v>-5e-05</v>
      </c>
      <c r="AC195" s="30" t="n">
        <v>0</v>
      </c>
      <c r="AD195" s="24" t="inlineStr">
        <is>
          <t>2026-08-06T00:20:27.888586Z</t>
        </is>
      </c>
      <c r="AE195" s="31" t="inlineStr">
        <is>
          <t>Measured Edge Totals: Trend Engine projected 4.57-4.92; raw selected-side p=0.5551, calibrated p=0.5195.</t>
        </is>
      </c>
      <c r="AF195" s="31" t="inlineStr">
        <is>
          <t>Research-only; lineup, bullpen, park, weather, xFIP, and wRC+ may be neutral fallbacks; market availability and BBO depth may change before first pitch.</t>
        </is>
      </c>
      <c r="AG195" s="24" t="inlineStr">
        <is>
          <t>review_required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NO_CALL_WINNER_OVERVALUED</t>
        </is>
      </c>
      <c r="AP195" s="24" t="inlineStr">
        <is>
          <t>mlb-sf</t>
        </is>
      </c>
      <c r="AQ195" s="24" t="inlineStr">
        <is>
          <t>San Francisco Giants</t>
        </is>
      </c>
      <c r="AR195" s="24" t="inlineStr">
        <is>
          <t>San Francisco Giants</t>
        </is>
      </c>
      <c r="AS195" s="24" t="inlineStr">
        <is>
          <t>mlb-tex</t>
        </is>
      </c>
      <c r="AT195" s="24" t="inlineStr">
        <is>
          <t>Texas Rangers</t>
        </is>
      </c>
      <c r="AU195" s="24" t="inlineStr">
        <is>
          <t>Texas Rangers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95b84332c75d2ce54036eb8de6ada9c78d0f80228c50825c0347281a8b9b49c7</t>
        </is>
      </c>
      <c r="BB195" s="24" t="inlineStr">
        <is>
          <t>flat_probability_shrinkage_toward_half</t>
        </is>
      </c>
      <c r="BC195" s="24" t="inlineStr">
        <is>
          <t>measured-edge-totals-v3</t>
        </is>
      </c>
      <c r="BD195" s="24" t="inlineStr">
        <is>
          <t>95b84332c75d2ce54036eb8de6ada9c78d0f80228c50825c0347281a8b9b49c7</t>
        </is>
      </c>
      <c r="BE195" s="24" t="inlineStr">
        <is>
          <t>v3</t>
        </is>
      </c>
      <c r="BF195" s="24" t="inlineStr">
        <is>
          <t>1</t>
        </is>
      </c>
      <c r="BG195" s="24" t="inlineStr">
        <is>
          <t>measured-edge-paired-v1</t>
        </is>
      </c>
      <c r="BH195" s="24" t="inlineStr">
        <is>
          <t>2026-08-05T17:03:21.201331Z</t>
        </is>
      </c>
      <c r="BI195" s="24" t="inlineStr">
        <is>
          <t>["same_event","same_team_same_day","same_league_same_day"]</t>
        </is>
      </c>
      <c r="BJ195" s="25" t="n">
        <v>8.5</v>
      </c>
      <c r="BK195" s="26" t="n">
        <v>102</v>
      </c>
      <c r="BL195" s="27" t="n">
        <v>2.02</v>
      </c>
      <c r="BM195" s="28" t="n">
        <v>0.49505</v>
      </c>
      <c r="BN195" s="28" t="n">
        <v>0.492537</v>
      </c>
      <c r="BO195" s="28" t="n"/>
      <c r="BP195" s="25" t="n"/>
      <c r="BQ195" s="27" t="n">
        <v>2.02</v>
      </c>
      <c r="BR195" s="28" t="n">
        <v>0.495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f91d5786d1e14a82</t>
        </is>
      </c>
      <c r="B196" s="24" t="inlineStr">
        <is>
          <t>2026-08-05T17:03:21.201331Z</t>
        </is>
      </c>
      <c r="C196" s="24" t="inlineStr">
        <is>
          <t>2026-08-05T19:10Z</t>
        </is>
      </c>
      <c r="D196" s="24" t="inlineStr">
        <is>
          <t>401816411</t>
        </is>
      </c>
      <c r="E196" s="24" t="inlineStr">
        <is>
          <t>MLB</t>
        </is>
      </c>
      <c r="F196" s="24" t="inlineStr">
        <is>
          <t>Tampa Bay Rays</t>
        </is>
      </c>
      <c r="G196" s="24" t="inlineStr">
        <is>
          <t>Colorado Rockies</t>
        </is>
      </c>
      <c r="H196" s="24" t="inlineStr">
        <is>
          <t>spread</t>
        </is>
      </c>
      <c r="I196" s="24" t="inlineStr">
        <is>
          <t>away</t>
        </is>
      </c>
      <c r="J196" s="25" t="n">
        <v>-1.5</v>
      </c>
      <c r="K196" s="24" t="inlineStr">
        <is>
          <t>polymarket_us</t>
        </is>
      </c>
      <c r="L196" s="26" t="n">
        <v>-104</v>
      </c>
      <c r="M196" s="27" t="n">
        <v>1.961538</v>
      </c>
      <c r="N196" s="28" t="n">
        <v>0.509804</v>
      </c>
      <c r="O196" s="28" t="n">
        <v>0.392543</v>
      </c>
      <c r="P196" s="28" t="n">
        <v>0.042131</v>
      </c>
      <c r="Q196" s="28" t="n">
        <v>-0.117261</v>
      </c>
      <c r="R196" s="26" t="n">
        <v>0</v>
      </c>
      <c r="S196" s="29" t="n">
        <v>0</v>
      </c>
      <c r="T196" s="24" t="inlineStr">
        <is>
          <t>measured-edge-margin-v3</t>
        </is>
      </c>
      <c r="U196" s="24" t="inlineStr">
        <is>
          <t>settled</t>
        </is>
      </c>
      <c r="V196" s="24" t="inlineStr">
        <is>
          <t>win</t>
        </is>
      </c>
      <c r="W196" s="26" t="n">
        <v>4</v>
      </c>
      <c r="X196" s="26" t="n">
        <v>0</v>
      </c>
      <c r="Y196" s="25" t="n">
        <v>-1.5</v>
      </c>
      <c r="Z196" s="26" t="n">
        <v>-104</v>
      </c>
      <c r="AA196" s="28" t="n">
        <v>0.51</v>
      </c>
      <c r="AB196" s="28" t="n">
        <v>0.000196</v>
      </c>
      <c r="AC196" s="30" t="n">
        <v>0</v>
      </c>
      <c r="AD196" s="24" t="inlineStr">
        <is>
          <t>2026-08-06T00:20:28.753241Z</t>
        </is>
      </c>
      <c r="AE196" s="31" t="inlineStr">
        <is>
          <t>Measured Edge Margin: Trend Engine projected 4.81-4.66; raw selected-side p=0.3423, calibrated p=0.3925.</t>
        </is>
      </c>
      <c r="AF196" s="31" t="inlineStr">
        <is>
          <t>Research-only; lineup, bullpen, park, weather, xFIP, and wRC+ may be neutral fallbacks; market availability and BBO depth may change before first pitch.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NO_CALL_WINNER_OVERVALUED</t>
        </is>
      </c>
      <c r="AP196" s="24" t="inlineStr">
        <is>
          <t>mlb-tb</t>
        </is>
      </c>
      <c r="AQ196" s="24" t="inlineStr">
        <is>
          <t>Tampa Bay Rays</t>
        </is>
      </c>
      <c r="AR196" s="24" t="inlineStr">
        <is>
          <t>Tampa Bay Rays</t>
        </is>
      </c>
      <c r="AS196" s="24" t="inlineStr">
        <is>
          <t>mlb-col</t>
        </is>
      </c>
      <c r="AT196" s="24" t="inlineStr">
        <is>
          <t>Colorado Rockies</t>
        </is>
      </c>
      <c r="AU196" s="24" t="inlineStr">
        <is>
          <t>Colorado Rockies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dd339a2eed50d7d83ab2127837995ddab82e879afd27f5414bb6c1f9cd60ba4c</t>
        </is>
      </c>
      <c r="BB196" s="24" t="inlineStr">
        <is>
          <t>flat_probability_shrinkage_toward_half</t>
        </is>
      </c>
      <c r="BC196" s="24" t="inlineStr">
        <is>
          <t>measured-edge-margin-v3</t>
        </is>
      </c>
      <c r="BD196" s="24" t="inlineStr">
        <is>
          <t>dd339a2eed50d7d83ab2127837995ddab82e879afd27f5414bb6c1f9cd60ba4c</t>
        </is>
      </c>
      <c r="BE196" s="24" t="inlineStr">
        <is>
          <t>v3</t>
        </is>
      </c>
      <c r="BF196" s="24" t="inlineStr">
        <is>
          <t>1</t>
        </is>
      </c>
      <c r="BG196" s="24" t="inlineStr">
        <is>
          <t>measured-edge-paired-v1</t>
        </is>
      </c>
      <c r="BH196" s="24" t="inlineStr">
        <is>
          <t>2026-08-05T17:03:21.201331Z</t>
        </is>
      </c>
      <c r="BI196" s="24" t="inlineStr">
        <is>
          <t>["same_event","same_team_same_day","same_league_same_day"]</t>
        </is>
      </c>
      <c r="BJ196" s="25" t="n">
        <v>-1.5</v>
      </c>
      <c r="BK196" s="26" t="n">
        <v>-104</v>
      </c>
      <c r="BL196" s="27" t="n">
        <v>1.961538</v>
      </c>
      <c r="BM196" s="28" t="n">
        <v>0.509804</v>
      </c>
      <c r="BN196" s="28" t="n">
        <v>0.507463</v>
      </c>
      <c r="BO196" s="28" t="n"/>
      <c r="BP196" s="25" t="n"/>
      <c r="BQ196" s="27" t="n">
        <v>1.961538</v>
      </c>
      <c r="BR196" s="28" t="n">
        <v>0.51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</row>
    <row r="197" ht="36" customHeight="1">
      <c r="A197" s="24" t="inlineStr">
        <is>
          <t>f6b281bdc6ff4eed</t>
        </is>
      </c>
      <c r="B197" s="24" t="inlineStr">
        <is>
          <t>2026-08-05T17:03:21.201331Z</t>
        </is>
      </c>
      <c r="C197" s="24" t="inlineStr">
        <is>
          <t>2026-08-05T19:10Z</t>
        </is>
      </c>
      <c r="D197" s="24" t="inlineStr">
        <is>
          <t>401816411</t>
        </is>
      </c>
      <c r="E197" s="24" t="inlineStr">
        <is>
          <t>MLB</t>
        </is>
      </c>
      <c r="F197" s="24" t="inlineStr">
        <is>
          <t>Tampa Bay Rays</t>
        </is>
      </c>
      <c r="G197" s="24" t="inlineStr">
        <is>
          <t>Colorado Rockies</t>
        </is>
      </c>
      <c r="H197" s="24" t="inlineStr">
        <is>
          <t>total</t>
        </is>
      </c>
      <c r="I197" s="24" t="inlineStr">
        <is>
          <t>under</t>
        </is>
      </c>
      <c r="J197" s="25" t="n">
        <v>11.5</v>
      </c>
      <c r="K197" s="24" t="inlineStr">
        <is>
          <t>polymarket_us</t>
        </is>
      </c>
      <c r="L197" s="26" t="n">
        <v>-115</v>
      </c>
      <c r="M197" s="27" t="n">
        <v>1.869565</v>
      </c>
      <c r="N197" s="28" t="n">
        <v>0.534884</v>
      </c>
      <c r="O197" s="28" t="n">
        <v>0.559082</v>
      </c>
      <c r="P197" s="28" t="n">
        <v>0.042131</v>
      </c>
      <c r="Q197" s="28" t="n">
        <v>0.024198</v>
      </c>
      <c r="R197" s="26" t="n">
        <v>38</v>
      </c>
      <c r="S197" s="29" t="n">
        <v>0</v>
      </c>
      <c r="T197" s="24" t="inlineStr">
        <is>
          <t>measured-edge-totals-v3</t>
        </is>
      </c>
      <c r="U197" s="24" t="inlineStr">
        <is>
          <t>settled</t>
        </is>
      </c>
      <c r="V197" s="24" t="inlineStr">
        <is>
          <t>win</t>
        </is>
      </c>
      <c r="W197" s="26" t="n">
        <v>4</v>
      </c>
      <c r="X197" s="26" t="n">
        <v>0</v>
      </c>
      <c r="Y197" s="25" t="n">
        <v>11.5</v>
      </c>
      <c r="Z197" s="26" t="n">
        <v>-115</v>
      </c>
      <c r="AA197" s="28" t="n">
        <v>0.535</v>
      </c>
      <c r="AB197" s="28" t="n">
        <v>0.000116</v>
      </c>
      <c r="AC197" s="30" t="n">
        <v>0</v>
      </c>
      <c r="AD197" s="24" t="inlineStr">
        <is>
          <t>2026-08-06T00:20:29.653425Z</t>
        </is>
      </c>
      <c r="AE197" s="31" t="inlineStr">
        <is>
          <t>Measured Edge Totals: Trend Engine projected 4.81-4.66; raw selected-side p=0.7145, calibrated p=0.5591.</t>
        </is>
      </c>
      <c r="AF197" s="31" t="inlineStr">
        <is>
          <t>Research-only; lineup, bullpen, park, weather, xFIP, and wRC+ may be neutral fallbacks; market availability and BBO depth may change before first pitch.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research_observation</t>
        </is>
      </c>
      <c r="AL197" s="26" t="n">
        <v>3</v>
      </c>
      <c r="AM197" s="24" t="inlineStr">
        <is>
          <t>RESEARCH_OBSERVATION</t>
        </is>
      </c>
      <c r="AN197" s="24" t="inlineStr">
        <is>
          <t>NO_CALL</t>
        </is>
      </c>
      <c r="AO197" s="24" t="inlineStr">
        <is>
          <t>NO_CALL_WINNER_OVERVALUED</t>
        </is>
      </c>
      <c r="AP197" s="24" t="inlineStr">
        <is>
          <t>mlb-tb</t>
        </is>
      </c>
      <c r="AQ197" s="24" t="inlineStr">
        <is>
          <t>Tampa Bay Rays</t>
        </is>
      </c>
      <c r="AR197" s="24" t="inlineStr">
        <is>
          <t>Tampa Bay Rays</t>
        </is>
      </c>
      <c r="AS197" s="24" t="inlineStr">
        <is>
          <t>mlb-col</t>
        </is>
      </c>
      <c r="AT197" s="24" t="inlineStr">
        <is>
          <t>Colorado Rockies</t>
        </is>
      </c>
      <c r="AU197" s="24" t="inlineStr">
        <is>
          <t>Colorado Rockies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95b84332c75d2ce54036eb8de6ada9c78d0f80228c50825c0347281a8b9b49c7</t>
        </is>
      </c>
      <c r="BB197" s="24" t="inlineStr">
        <is>
          <t>flat_probability_shrinkage_toward_half</t>
        </is>
      </c>
      <c r="BC197" s="24" t="inlineStr">
        <is>
          <t>measured-edge-totals-v3</t>
        </is>
      </c>
      <c r="BD197" s="24" t="inlineStr">
        <is>
          <t>95b84332c75d2ce54036eb8de6ada9c78d0f80228c50825c0347281a8b9b49c7</t>
        </is>
      </c>
      <c r="BE197" s="24" t="inlineStr">
        <is>
          <t>v3</t>
        </is>
      </c>
      <c r="BF197" s="24" t="inlineStr">
        <is>
          <t>1</t>
        </is>
      </c>
      <c r="BG197" s="24" t="inlineStr">
        <is>
          <t>measured-edge-paired-v1</t>
        </is>
      </c>
      <c r="BH197" s="24" t="inlineStr">
        <is>
          <t>2026-08-05T17:03:21.201331Z</t>
        </is>
      </c>
      <c r="BI197" s="24" t="inlineStr">
        <is>
          <t>["same_event","same_team_same_day","same_league_same_day"]</t>
        </is>
      </c>
      <c r="BJ197" s="25" t="n">
        <v>11.5</v>
      </c>
      <c r="BK197" s="26" t="n">
        <v>-115</v>
      </c>
      <c r="BL197" s="27" t="n">
        <v>1.869565</v>
      </c>
      <c r="BM197" s="28" t="n">
        <v>0.534884</v>
      </c>
      <c r="BN197" s="28" t="n">
        <v>0.532338</v>
      </c>
      <c r="BO197" s="28" t="n"/>
      <c r="BP197" s="25" t="n"/>
      <c r="BQ197" s="27" t="n">
        <v>1.869565</v>
      </c>
      <c r="BR197" s="28" t="n">
        <v>0.535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fb14f9f9b366492b</t>
        </is>
      </c>
      <c r="B198" s="24" t="inlineStr">
        <is>
          <t>2026-08-05T21:01:20.386769Z</t>
        </is>
      </c>
      <c r="C198" s="24" t="inlineStr">
        <is>
          <t>2026-08-05T18:35:00-0400</t>
        </is>
      </c>
      <c r="D198" s="24" t="inlineStr">
        <is>
          <t>401816399</t>
        </is>
      </c>
      <c r="E198" s="24" t="inlineStr">
        <is>
          <t>MLB</t>
        </is>
      </c>
      <c r="F198" s="24" t="inlineStr">
        <is>
          <t>Los Angeles Angels</t>
        </is>
      </c>
      <c r="G198" s="24" t="inlineStr">
        <is>
          <t>Baltimore Orioles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polymarket_us</t>
        </is>
      </c>
      <c r="L198" s="26" t="n">
        <v>-125</v>
      </c>
      <c r="M198" s="27" t="n">
        <v>1.8</v>
      </c>
      <c r="N198" s="28" t="n">
        <v>0.555556</v>
      </c>
      <c r="O198" s="28" t="n">
        <v>0.620128</v>
      </c>
      <c r="P198" s="28" t="n"/>
      <c r="Q198" s="28" t="n">
        <v>0.064572</v>
      </c>
      <c r="R198" s="26" t="n">
        <v>54</v>
      </c>
      <c r="S198" s="29" t="n">
        <v>0</v>
      </c>
      <c r="T198" s="24" t="inlineStr">
        <is>
          <t>mlb-elo-trend-lr-v8</t>
        </is>
      </c>
      <c r="U198" s="24" t="inlineStr">
        <is>
          <t>settled</t>
        </is>
      </c>
      <c r="V198" s="24" t="inlineStr">
        <is>
          <t>win</t>
        </is>
      </c>
      <c r="W198" s="26" t="n">
        <v>2</v>
      </c>
      <c r="X198" s="26" t="n">
        <v>5</v>
      </c>
      <c r="Y198" s="25" t="n"/>
      <c r="Z198" s="26" t="n">
        <v>-125</v>
      </c>
      <c r="AA198" s="28" t="n">
        <v>0.555</v>
      </c>
      <c r="AB198" s="28" t="n">
        <v>-0.000556</v>
      </c>
      <c r="AC198" s="30" t="n">
        <v>0</v>
      </c>
      <c r="AD198" s="24" t="inlineStr">
        <is>
          <t>2026-08-06T03:25:38.681711Z</t>
        </is>
      </c>
      <c r="AE198" s="31" t="inlineStr">
        <is>
          <t>Learned LR call at threshold 0.5873; executable ask 0.5550 (aec-mlb-laa-bal-2026-08-05); model edge vs ask +0.0651.</t>
        </is>
      </c>
      <c r="AF198" s="31" t="inlineStr">
        <is>
          <t>Learned model; shadow-qualified via operator override.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NO_CALL_WINNER_OVERVALUED</t>
        </is>
      </c>
      <c r="AP198" s="24" t="inlineStr">
        <is>
          <t>mlb-laa</t>
        </is>
      </c>
      <c r="AQ198" s="24" t="inlineStr">
        <is>
          <t>Los Angeles Angels</t>
        </is>
      </c>
      <c r="AR198" s="24" t="inlineStr">
        <is>
          <t>Los Angeles Angels</t>
        </is>
      </c>
      <c r="AS198" s="24" t="inlineStr">
        <is>
          <t>mlb-bal</t>
        </is>
      </c>
      <c r="AT198" s="24" t="inlineStr">
        <is>
          <t>Baltimore Orioles</t>
        </is>
      </c>
      <c r="AU198" s="24" t="inlineStr">
        <is>
          <t>Baltimore Orioles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6a5c79541b0e50cb9f7318270e63d5ccc65cbd7bc53a019748ff772d49de5075</t>
        </is>
      </c>
      <c r="BB198" s="24" t="inlineStr">
        <is>
          <t>learned_lr</t>
        </is>
      </c>
      <c r="BC198" s="24" t="inlineStr">
        <is>
          <t>mlb-elo-trend-lr-v8</t>
        </is>
      </c>
      <c r="BD198" s="24" t="inlineStr">
        <is>
          <t>6a5c79541b0e50cb9f7318270e63d5ccc65cbd7bc53a019748ff772d49de5075</t>
        </is>
      </c>
      <c r="BE198" s="24" t="inlineStr">
        <is>
          <t>733906b627a19369</t>
        </is>
      </c>
      <c r="BF198" s="24" t="inlineStr">
        <is>
          <t>1</t>
        </is>
      </c>
      <c r="BG198" s="24" t="inlineStr">
        <is>
          <t>mlb-elo-trend-lr-v8</t>
        </is>
      </c>
      <c r="BH198" s="24" t="inlineStr">
        <is>
          <t>2026-08-05T21:00:45.060709Z</t>
        </is>
      </c>
      <c r="BI198" s="24" t="inlineStr">
        <is>
          <t>["same_event","same_team_same_day","same_league_same_day"]</t>
        </is>
      </c>
      <c r="BJ198" s="25" t="n"/>
      <c r="BK198" s="26" t="n">
        <v>-125</v>
      </c>
      <c r="BL198" s="27" t="n">
        <v>1.8</v>
      </c>
      <c r="BM198" s="28" t="n">
        <v>0.555556</v>
      </c>
      <c r="BN198" s="28" t="n">
        <v>0.552239</v>
      </c>
      <c r="BO198" s="28" t="n"/>
      <c r="BP198" s="25" t="n"/>
      <c r="BQ198" s="27" t="n">
        <v>1.8</v>
      </c>
      <c r="BR198" s="28" t="n">
        <v>0.555</v>
      </c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inlineStr">
        <is>
          <t>0.6265993564</t>
        </is>
      </c>
      <c r="CD198" s="24" t="inlineStr">
        <is>
          <t>0.186002</t>
        </is>
      </c>
      <c r="CE198" s="24" t="inlineStr">
        <is>
          <t>1.03</t>
        </is>
      </c>
      <c r="CF198" s="24" t="inlineStr">
        <is>
          <t>1.0124</t>
        </is>
      </c>
      <c r="CG198" s="24" t="n"/>
      <c r="CH198" s="24" t="n"/>
      <c r="CI198" s="24" t="n"/>
      <c r="CJ198" s="24" t="inlineStr">
        <is>
          <t>-1.60185</t>
        </is>
      </c>
      <c r="CK198" s="24" t="n"/>
      <c r="CL198" s="24" t="inlineStr">
        <is>
          <t>0.070802</t>
        </is>
      </c>
      <c r="CM198" s="24" t="inlineStr">
        <is>
          <t>-4.8571</t>
        </is>
      </c>
      <c r="CN198" s="24" t="n"/>
      <c r="CO198" s="24" t="n"/>
      <c r="CP198" s="24" t="n"/>
      <c r="CQ198" s="24" t="n"/>
      <c r="CR198" s="24" t="inlineStr">
        <is>
          <t>0.620128</t>
        </is>
      </c>
      <c r="CS198" s="24" t="inlineStr">
        <is>
          <t>True</t>
        </is>
      </c>
    </row>
    <row r="199" ht="36" customHeight="1">
      <c r="A199" s="24" t="inlineStr">
        <is>
          <t>45514563121b4834</t>
        </is>
      </c>
      <c r="B199" s="24" t="inlineStr">
        <is>
          <t>2026-08-05T21:01:20.386769Z</t>
        </is>
      </c>
      <c r="C199" s="24" t="inlineStr">
        <is>
          <t>2026-08-05T18:40:00-0400</t>
        </is>
      </c>
      <c r="D199" s="24" t="inlineStr">
        <is>
          <t>401816400</t>
        </is>
      </c>
      <c r="E199" s="24" t="inlineStr">
        <is>
          <t>MLB</t>
        </is>
      </c>
      <c r="F199" s="24" t="inlineStr">
        <is>
          <t>Athletics</t>
        </is>
      </c>
      <c r="G199" s="24" t="inlineStr">
        <is>
          <t>Cincinnati Reds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-150</v>
      </c>
      <c r="M199" s="27" t="n">
        <v>1.666667</v>
      </c>
      <c r="N199" s="28" t="n">
        <v>0.6</v>
      </c>
      <c r="O199" s="28" t="n">
        <v>0.532159</v>
      </c>
      <c r="P199" s="28" t="n"/>
      <c r="Q199" s="28" t="n">
        <v>-0.067841</v>
      </c>
      <c r="R199" s="26" t="n">
        <v>0</v>
      </c>
      <c r="S199" s="29" t="n">
        <v>0</v>
      </c>
      <c r="T199" s="24" t="inlineStr">
        <is>
          <t>mlb-elo-trend-lr-v8</t>
        </is>
      </c>
      <c r="U199" s="24" t="inlineStr">
        <is>
          <t>settled</t>
        </is>
      </c>
      <c r="V199" s="24" t="inlineStr">
        <is>
          <t>win</t>
        </is>
      </c>
      <c r="W199" s="26" t="n">
        <v>2</v>
      </c>
      <c r="X199" s="26" t="n">
        <v>3</v>
      </c>
      <c r="Y199" s="25" t="n"/>
      <c r="Z199" s="26" t="n">
        <v>-150</v>
      </c>
      <c r="AA199" s="28" t="n">
        <v>0.6</v>
      </c>
      <c r="AB199" s="28" t="n">
        <v>0</v>
      </c>
      <c r="AC199" s="30" t="n">
        <v>0</v>
      </c>
      <c r="AD199" s="24" t="inlineStr">
        <is>
          <t>2026-08-06T03:25:40.517053Z</t>
        </is>
      </c>
      <c r="AE199" s="31" t="inlineStr">
        <is>
          <t>Learned LR call at threshold 0.5873; executable ask 0.6000 (aec-mlb-ath-cin-2026-08-05); model edge vs ask -0.0678.</t>
        </is>
      </c>
      <c r="AF199" s="31" t="inlineStr">
        <is>
          <t>Learned model; shadow-qualified via operator override.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research_observation</t>
        </is>
      </c>
      <c r="AL199" s="26" t="n">
        <v>3</v>
      </c>
      <c r="AM199" s="24" t="inlineStr">
        <is>
          <t>RESEARCH_OBSERVATION</t>
        </is>
      </c>
      <c r="AN199" s="24" t="inlineStr">
        <is>
          <t>NO_CALL</t>
        </is>
      </c>
      <c r="AO199" s="24" t="inlineStr">
        <is>
          <t>NO_CALL_WINNER_OVERVALUED</t>
        </is>
      </c>
      <c r="AP199" s="24" t="inlineStr">
        <is>
          <t>mlb-ath</t>
        </is>
      </c>
      <c r="AQ199" s="24" t="inlineStr">
        <is>
          <t>Athletics</t>
        </is>
      </c>
      <c r="AR199" s="24" t="inlineStr">
        <is>
          <t>Athletics</t>
        </is>
      </c>
      <c r="AS199" s="24" t="inlineStr">
        <is>
          <t>mlb-cin</t>
        </is>
      </c>
      <c r="AT199" s="24" t="inlineStr">
        <is>
          <t>Cincinnati Reds</t>
        </is>
      </c>
      <c r="AU199" s="24" t="inlineStr">
        <is>
          <t>Cincinnati Reds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6a5c79541b0e50cb9f7318270e63d5ccc65cbd7bc53a019748ff772d49de5075</t>
        </is>
      </c>
      <c r="BB199" s="24" t="inlineStr">
        <is>
          <t>learned_lr</t>
        </is>
      </c>
      <c r="BC199" s="24" t="inlineStr">
        <is>
          <t>mlb-elo-trend-lr-v8</t>
        </is>
      </c>
      <c r="BD199" s="24" t="inlineStr">
        <is>
          <t>6a5c79541b0e50cb9f7318270e63d5ccc65cbd7bc53a019748ff772d49de5075</t>
        </is>
      </c>
      <c r="BE199" s="24" t="inlineStr">
        <is>
          <t>2f8950260ee7a4d4</t>
        </is>
      </c>
      <c r="BF199" s="24" t="inlineStr">
        <is>
          <t>1</t>
        </is>
      </c>
      <c r="BG199" s="24" t="inlineStr">
        <is>
          <t>mlb-elo-trend-lr-v8</t>
        </is>
      </c>
      <c r="BH199" s="24" t="inlineStr">
        <is>
          <t>2026-08-05T21:00:46.705183Z</t>
        </is>
      </c>
      <c r="BI199" s="24" t="inlineStr">
        <is>
          <t>["same_event","same_team_same_day","same_league_same_day"]</t>
        </is>
      </c>
      <c r="BJ199" s="25" t="n"/>
      <c r="BK199" s="26" t="n">
        <v>-150</v>
      </c>
      <c r="BL199" s="27" t="n">
        <v>1.666667</v>
      </c>
      <c r="BM199" s="28" t="n">
        <v>0.6</v>
      </c>
      <c r="BN199" s="28" t="n">
        <v>0.597015</v>
      </c>
      <c r="BO199" s="28" t="n"/>
      <c r="BP199" s="25" t="n"/>
      <c r="BQ199" s="27" t="n">
        <v>1.666667</v>
      </c>
      <c r="BR199" s="28" t="n">
        <v>0.6</v>
      </c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inlineStr">
        <is>
          <t>0.605145909</t>
        </is>
      </c>
      <c r="CD199" s="24" t="inlineStr">
        <is>
          <t>1.683621</t>
        </is>
      </c>
      <c r="CE199" s="24" t="inlineStr">
        <is>
          <t>1.036</t>
        </is>
      </c>
      <c r="CF199" s="24" t="inlineStr">
        <is>
          <t>1.0179</t>
        </is>
      </c>
      <c r="CG199" s="24" t="n"/>
      <c r="CH199" s="24" t="n"/>
      <c r="CI199" s="24" t="n"/>
      <c r="CJ199" s="24" t="inlineStr">
        <is>
          <t>1.179075</t>
        </is>
      </c>
      <c r="CK199" s="24" t="n"/>
      <c r="CL199" s="24" t="inlineStr">
        <is>
          <t>-0.944095</t>
        </is>
      </c>
      <c r="CM199" s="24" t="inlineStr">
        <is>
          <t>0.2662</t>
        </is>
      </c>
      <c r="CN199" s="24" t="n"/>
      <c r="CO199" s="24" t="n"/>
      <c r="CP199" s="24" t="n"/>
      <c r="CQ199" s="24" t="n"/>
      <c r="CR199" s="24" t="inlineStr">
        <is>
          <t>0.532159</t>
        </is>
      </c>
      <c r="CS199" s="24" t="inlineStr">
        <is>
          <t>False</t>
        </is>
      </c>
    </row>
    <row r="200" ht="36" customHeight="1">
      <c r="A200" s="24" t="inlineStr">
        <is>
          <t>9f1403eeb3a54967</t>
        </is>
      </c>
      <c r="B200" s="24" t="inlineStr">
        <is>
          <t>2026-08-05T21:01:20.386769Z</t>
        </is>
      </c>
      <c r="C200" s="24" t="inlineStr">
        <is>
          <t>2026-08-05T18:40:00-0400</t>
        </is>
      </c>
      <c r="D200" s="24" t="inlineStr">
        <is>
          <t>401816403</t>
        </is>
      </c>
      <c r="E200" s="24" t="inlineStr">
        <is>
          <t>MLB</t>
        </is>
      </c>
      <c r="F200" s="24" t="inlineStr">
        <is>
          <t>New York Mets</t>
        </is>
      </c>
      <c r="G200" s="24" t="inlineStr">
        <is>
          <t>Cleveland Guardians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polymarket_us</t>
        </is>
      </c>
      <c r="L200" s="26" t="n">
        <v>-106</v>
      </c>
      <c r="M200" s="27" t="n">
        <v>1.943396</v>
      </c>
      <c r="N200" s="28" t="n">
        <v>0.514563</v>
      </c>
      <c r="O200" s="28" t="n">
        <v>0.570176</v>
      </c>
      <c r="P200" s="28" t="n"/>
      <c r="Q200" s="28" t="n">
        <v>0.055613</v>
      </c>
      <c r="R200" s="26" t="n">
        <v>49</v>
      </c>
      <c r="S200" s="29" t="n">
        <v>0</v>
      </c>
      <c r="T200" s="24" t="inlineStr">
        <is>
          <t>mlb-elo-trend-lr-v8</t>
        </is>
      </c>
      <c r="U200" s="24" t="inlineStr">
        <is>
          <t>settled</t>
        </is>
      </c>
      <c r="V200" s="24" t="inlineStr">
        <is>
          <t>loss</t>
        </is>
      </c>
      <c r="W200" s="26" t="n">
        <v>6</v>
      </c>
      <c r="X200" s="26" t="n">
        <v>5</v>
      </c>
      <c r="Y200" s="25" t="n"/>
      <c r="Z200" s="26" t="n">
        <v>-106</v>
      </c>
      <c r="AA200" s="28" t="n">
        <v>0.515</v>
      </c>
      <c r="AB200" s="28" t="n">
        <v>0.000437</v>
      </c>
      <c r="AC200" s="30" t="n">
        <v>0</v>
      </c>
      <c r="AD200" s="24" t="inlineStr">
        <is>
          <t>2026-08-06T03:25:42.473577Z</t>
        </is>
      </c>
      <c r="AE200" s="31" t="inlineStr">
        <is>
          <t>Learned LR call at threshold 0.5873; executable ask 0.5150 (aec-mlb-nym-cle-2026-08-05); model edge vs ask +0.0552.</t>
        </is>
      </c>
      <c r="AF200" s="31" t="inlineStr">
        <is>
          <t>Learned model; shadow-qualified via operator override.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NO_CALL_WINNER_OVERVALUED</t>
        </is>
      </c>
      <c r="AP200" s="24" t="inlineStr">
        <is>
          <t>mlb-nym</t>
        </is>
      </c>
      <c r="AQ200" s="24" t="inlineStr">
        <is>
          <t>New York Mets</t>
        </is>
      </c>
      <c r="AR200" s="24" t="inlineStr">
        <is>
          <t>New York Mets</t>
        </is>
      </c>
      <c r="AS200" s="24" t="inlineStr">
        <is>
          <t>mlb-cle</t>
        </is>
      </c>
      <c r="AT200" s="24" t="inlineStr">
        <is>
          <t>Cleveland Guardians</t>
        </is>
      </c>
      <c r="AU200" s="24" t="inlineStr">
        <is>
          <t>Cleveland Guardians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6a5c79541b0e50cb9f7318270e63d5ccc65cbd7bc53a019748ff772d49de5075</t>
        </is>
      </c>
      <c r="BB200" s="24" t="inlineStr">
        <is>
          <t>learned_lr</t>
        </is>
      </c>
      <c r="BC200" s="24" t="inlineStr">
        <is>
          <t>mlb-elo-trend-lr-v8</t>
        </is>
      </c>
      <c r="BD200" s="24" t="inlineStr">
        <is>
          <t>6a5c79541b0e50cb9f7318270e63d5ccc65cbd7bc53a019748ff772d49de5075</t>
        </is>
      </c>
      <c r="BE200" s="24" t="inlineStr">
        <is>
          <t>1967000172c70546</t>
        </is>
      </c>
      <c r="BF200" s="24" t="inlineStr">
        <is>
          <t>1</t>
        </is>
      </c>
      <c r="BG200" s="24" t="inlineStr">
        <is>
          <t>mlb-elo-trend-lr-v8</t>
        </is>
      </c>
      <c r="BH200" s="24" t="inlineStr">
        <is>
          <t>2026-08-05T21:00:46.075346Z</t>
        </is>
      </c>
      <c r="BI200" s="24" t="inlineStr">
        <is>
          <t>["same_event","same_team_same_day","same_league_same_day"]</t>
        </is>
      </c>
      <c r="BJ200" s="25" t="n"/>
      <c r="BK200" s="26" t="n">
        <v>-106</v>
      </c>
      <c r="BL200" s="27" t="n">
        <v>1.943396</v>
      </c>
      <c r="BM200" s="28" t="n">
        <v>0.514563</v>
      </c>
      <c r="BN200" s="28" t="n">
        <v>0.5124379999999999</v>
      </c>
      <c r="BO200" s="28" t="n"/>
      <c r="BP200" s="25" t="n"/>
      <c r="BQ200" s="27" t="n">
        <v>1.943396</v>
      </c>
      <c r="BR200" s="28" t="n">
        <v>0.515</v>
      </c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inlineStr">
        <is>
          <t>0.5729512211</t>
        </is>
      </c>
      <c r="CD200" s="24" t="inlineStr">
        <is>
          <t>0.551507</t>
        </is>
      </c>
      <c r="CE200" s="24" t="inlineStr">
        <is>
          <t>0.966</t>
        </is>
      </c>
      <c r="CF200" s="24" t="inlineStr">
        <is>
          <t>1.0103</t>
        </is>
      </c>
      <c r="CG200" s="24" t="n"/>
      <c r="CH200" s="24" t="n"/>
      <c r="CI200" s="24" t="n"/>
      <c r="CJ200" s="24" t="inlineStr">
        <is>
          <t>-1.579202</t>
        </is>
      </c>
      <c r="CK200" s="24" t="n"/>
      <c r="CL200" s="24" t="inlineStr">
        <is>
          <t>0.100477</t>
        </is>
      </c>
      <c r="CM200" s="24" t="inlineStr">
        <is>
          <t>0.3016</t>
        </is>
      </c>
      <c r="CN200" s="24" t="n"/>
      <c r="CO200" s="24" t="n"/>
      <c r="CP200" s="24" t="n"/>
      <c r="CQ200" s="24" t="n"/>
      <c r="CR200" s="24" t="inlineStr">
        <is>
          <t>0.570176</t>
        </is>
      </c>
      <c r="CS200" s="24" t="inlineStr">
        <is>
          <t>True</t>
        </is>
      </c>
    </row>
    <row r="201" ht="36" customHeight="1">
      <c r="A201" s="24" t="inlineStr">
        <is>
          <t>fee81a9093ef4d27</t>
        </is>
      </c>
      <c r="B201" s="24" t="inlineStr">
        <is>
          <t>2026-08-05T21:01:20.386769Z</t>
        </is>
      </c>
      <c r="C201" s="24" t="inlineStr">
        <is>
          <t>2026-08-05T18:40:00-0400</t>
        </is>
      </c>
      <c r="D201" s="24" t="inlineStr">
        <is>
          <t>401816405</t>
        </is>
      </c>
      <c r="E201" s="24" t="inlineStr">
        <is>
          <t>MLB</t>
        </is>
      </c>
      <c r="F201" s="24" t="inlineStr">
        <is>
          <t>Washington Nationals</t>
        </is>
      </c>
      <c r="G201" s="24" t="inlineStr">
        <is>
          <t>Philadelphia Phillies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-186</v>
      </c>
      <c r="M201" s="27" t="n">
        <v>1.537634</v>
      </c>
      <c r="N201" s="28" t="n">
        <v>0.65035</v>
      </c>
      <c r="O201" s="28" t="n">
        <v>0.568061</v>
      </c>
      <c r="P201" s="28" t="n"/>
      <c r="Q201" s="28" t="n">
        <v>-0.082289</v>
      </c>
      <c r="R201" s="26" t="n">
        <v>0</v>
      </c>
      <c r="S201" s="29" t="n">
        <v>0</v>
      </c>
      <c r="T201" s="24" t="inlineStr">
        <is>
          <t>mlb-elo-trend-lr-v8</t>
        </is>
      </c>
      <c r="U201" s="24" t="inlineStr">
        <is>
          <t>settled</t>
        </is>
      </c>
      <c r="V201" s="24" t="inlineStr">
        <is>
          <t>loss</t>
        </is>
      </c>
      <c r="W201" s="26" t="n">
        <v>10</v>
      </c>
      <c r="X201" s="26" t="n">
        <v>4</v>
      </c>
      <c r="Y201" s="25" t="n"/>
      <c r="Z201" s="26" t="n">
        <v>-182</v>
      </c>
      <c r="AA201" s="28" t="n">
        <v>0.645</v>
      </c>
      <c r="AB201" s="28" t="n">
        <v>-0.00535</v>
      </c>
      <c r="AC201" s="30" t="n">
        <v>0</v>
      </c>
      <c r="AD201" s="24" t="inlineStr">
        <is>
          <t>2026-08-06T03:25:44.341154Z</t>
        </is>
      </c>
      <c r="AE201" s="31" t="inlineStr">
        <is>
          <t>Learned LR call at threshold 0.5873; executable ask 0.6500 (aec-mlb-wsh-phi-2026-08-05); model edge vs ask -0.0819.</t>
        </is>
      </c>
      <c r="AF201" s="31" t="inlineStr">
        <is>
          <t>Learned model; shadow-qualified via operator override.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research_observation</t>
        </is>
      </c>
      <c r="AL201" s="26" t="n">
        <v>3</v>
      </c>
      <c r="AM201" s="24" t="inlineStr">
        <is>
          <t>RESEARCH_OBSERVATION</t>
        </is>
      </c>
      <c r="AN201" s="24" t="inlineStr">
        <is>
          <t>NO_CALL</t>
        </is>
      </c>
      <c r="AO201" s="24" t="inlineStr">
        <is>
          <t>NO_CALL_WINNER_OVERVALUED</t>
        </is>
      </c>
      <c r="AP201" s="24" t="inlineStr">
        <is>
          <t>mlb-wsh</t>
        </is>
      </c>
      <c r="AQ201" s="24" t="inlineStr">
        <is>
          <t>Washington Nationals</t>
        </is>
      </c>
      <c r="AR201" s="24" t="inlineStr">
        <is>
          <t>Washington Nationals</t>
        </is>
      </c>
      <c r="AS201" s="24" t="inlineStr">
        <is>
          <t>mlb-phi</t>
        </is>
      </c>
      <c r="AT201" s="24" t="inlineStr">
        <is>
          <t>Philadelphia Phillies</t>
        </is>
      </c>
      <c r="AU201" s="24" t="inlineStr">
        <is>
          <t>Philadelphia Phillies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6a5c79541b0e50cb9f7318270e63d5ccc65cbd7bc53a019748ff772d49de5075</t>
        </is>
      </c>
      <c r="BB201" s="24" t="inlineStr">
        <is>
          <t>learned_lr</t>
        </is>
      </c>
      <c r="BC201" s="24" t="inlineStr">
        <is>
          <t>mlb-elo-trend-lr-v8</t>
        </is>
      </c>
      <c r="BD201" s="24" t="inlineStr">
        <is>
          <t>6a5c79541b0e50cb9f7318270e63d5ccc65cbd7bc53a019748ff772d49de5075</t>
        </is>
      </c>
      <c r="BE201" s="24" t="inlineStr">
        <is>
          <t>f438f0ddf592c10b</t>
        </is>
      </c>
      <c r="BF201" s="24" t="inlineStr">
        <is>
          <t>1</t>
        </is>
      </c>
      <c r="BG201" s="24" t="inlineStr">
        <is>
          <t>mlb-elo-trend-lr-v8</t>
        </is>
      </c>
      <c r="BH201" s="24" t="inlineStr">
        <is>
          <t>2026-08-05T21:00:45.630183Z</t>
        </is>
      </c>
      <c r="BI201" s="24" t="inlineStr">
        <is>
          <t>["same_event","same_team_same_day","same_league_same_day"]</t>
        </is>
      </c>
      <c r="BJ201" s="25" t="n"/>
      <c r="BK201" s="26" t="n">
        <v>-186</v>
      </c>
      <c r="BL201" s="27" t="n">
        <v>1.537634</v>
      </c>
      <c r="BM201" s="28" t="n">
        <v>0.65035</v>
      </c>
      <c r="BN201" s="28" t="n">
        <v>0.646766</v>
      </c>
      <c r="BO201" s="28" t="n"/>
      <c r="BP201" s="25" t="n"/>
      <c r="BQ201" s="27" t="n">
        <v>1.549451</v>
      </c>
      <c r="BR201" s="28" t="n">
        <v>0.645</v>
      </c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inlineStr">
        <is>
          <t>0.6453660607</t>
        </is>
      </c>
      <c r="CD201" s="24" t="inlineStr">
        <is>
          <t>2.331583</t>
        </is>
      </c>
      <c r="CE201" s="24" t="inlineStr">
        <is>
          <t>1.018</t>
        </is>
      </c>
      <c r="CF201" s="24" t="inlineStr">
        <is>
          <t>1.0114</t>
        </is>
      </c>
      <c r="CG201" s="24" t="n"/>
      <c r="CH201" s="24" t="n"/>
      <c r="CI201" s="24" t="n"/>
      <c r="CJ201" s="24" t="inlineStr">
        <is>
          <t>1.636672</t>
        </is>
      </c>
      <c r="CK201" s="24" t="n"/>
      <c r="CL201" s="24" t="inlineStr">
        <is>
          <t>-0.548625</t>
        </is>
      </c>
      <c r="CM201" s="24" t="inlineStr">
        <is>
          <t>2.3324</t>
        </is>
      </c>
      <c r="CN201" s="24" t="n"/>
      <c r="CO201" s="24" t="n"/>
      <c r="CP201" s="24" t="n"/>
      <c r="CQ201" s="24" t="n"/>
      <c r="CR201" s="24" t="inlineStr">
        <is>
          <t>0.568061</t>
        </is>
      </c>
      <c r="CS201" s="24" t="inlineStr">
        <is>
          <t>False</t>
        </is>
      </c>
    </row>
    <row r="202" ht="36" customHeight="1">
      <c r="A202" s="24" t="inlineStr">
        <is>
          <t>7a26630ed45f4c2d</t>
        </is>
      </c>
      <c r="B202" s="24" t="inlineStr">
        <is>
          <t>2026-08-05T21:01:20.386769Z</t>
        </is>
      </c>
      <c r="C202" s="24" t="inlineStr">
        <is>
          <t>2026-08-05T19:05:00-0400</t>
        </is>
      </c>
      <c r="D202" s="24" t="inlineStr">
        <is>
          <t>401816404</t>
        </is>
      </c>
      <c r="E202" s="24" t="inlineStr">
        <is>
          <t>MLB</t>
        </is>
      </c>
      <c r="F202" s="24" t="inlineStr">
        <is>
          <t>St. Louis Cardinals</t>
        </is>
      </c>
      <c r="G202" s="24" t="inlineStr">
        <is>
          <t>New York Yankees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-147</v>
      </c>
      <c r="M202" s="27" t="n">
        <v>1.680272</v>
      </c>
      <c r="N202" s="28" t="n">
        <v>0.5951419999999999</v>
      </c>
      <c r="O202" s="28" t="n">
        <v>0.585803</v>
      </c>
      <c r="P202" s="28" t="n"/>
      <c r="Q202" s="28" t="n">
        <v>-0.009339</v>
      </c>
      <c r="R202" s="26" t="n">
        <v>17</v>
      </c>
      <c r="S202" s="29" t="n">
        <v>0</v>
      </c>
      <c r="T202" s="24" t="inlineStr">
        <is>
          <t>mlb-elo-trend-lr-v8</t>
        </is>
      </c>
      <c r="U202" s="24" t="inlineStr">
        <is>
          <t>settled</t>
        </is>
      </c>
      <c r="V202" s="24" t="inlineStr">
        <is>
          <t>loss</t>
        </is>
      </c>
      <c r="W202" s="26" t="n">
        <v>3</v>
      </c>
      <c r="X202" s="26" t="n">
        <v>1</v>
      </c>
      <c r="Y202" s="25" t="n"/>
      <c r="Z202" s="26" t="n">
        <v>-147</v>
      </c>
      <c r="AA202" s="28" t="n">
        <v>0.595</v>
      </c>
      <c r="AB202" s="28" t="n">
        <v>-0.000142</v>
      </c>
      <c r="AC202" s="30" t="n">
        <v>0</v>
      </c>
      <c r="AD202" s="24" t="inlineStr">
        <is>
          <t>2026-08-06T18:54:02.045528Z</t>
        </is>
      </c>
      <c r="AE202" s="31" t="inlineStr">
        <is>
          <t>Learned LR call at threshold 0.5873; executable ask 0.5950 (aec-mlb-stl-nyy-2026-08-05); model edge vs ask -0.0092.</t>
        </is>
      </c>
      <c r="AF202" s="31" t="inlineStr">
        <is>
          <t>Learned model; shadow-qualified via operator override.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NO_CALL_WINNER_OVERVALUED</t>
        </is>
      </c>
      <c r="AP202" s="24" t="inlineStr">
        <is>
          <t>mlb-stl</t>
        </is>
      </c>
      <c r="AQ202" s="24" t="inlineStr">
        <is>
          <t>St. Louis Cardinals</t>
        </is>
      </c>
      <c r="AR202" s="24" t="inlineStr">
        <is>
          <t>St. Louis Cardinals</t>
        </is>
      </c>
      <c r="AS202" s="24" t="inlineStr">
        <is>
          <t>mlb-nyy</t>
        </is>
      </c>
      <c r="AT202" s="24" t="inlineStr">
        <is>
          <t>New York Yankees</t>
        </is>
      </c>
      <c r="AU202" s="24" t="inlineStr">
        <is>
          <t>New York Yankees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6a5c79541b0e50cb9f7318270e63d5ccc65cbd7bc53a019748ff772d49de5075</t>
        </is>
      </c>
      <c r="BB202" s="24" t="inlineStr">
        <is>
          <t>learned_lr</t>
        </is>
      </c>
      <c r="BC202" s="24" t="inlineStr">
        <is>
          <t>mlb-elo-trend-lr-v8</t>
        </is>
      </c>
      <c r="BD202" s="24" t="inlineStr">
        <is>
          <t>6a5c79541b0e50cb9f7318270e63d5ccc65cbd7bc53a019748ff772d49de5075</t>
        </is>
      </c>
      <c r="BE202" s="24" t="inlineStr">
        <is>
          <t>f0272f609cc15047</t>
        </is>
      </c>
      <c r="BF202" s="24" t="inlineStr">
        <is>
          <t>1</t>
        </is>
      </c>
      <c r="BG202" s="24" t="inlineStr">
        <is>
          <t>mlb-elo-trend-lr-v8</t>
        </is>
      </c>
      <c r="BH202" s="24" t="inlineStr">
        <is>
          <t>2026-08-05T21:00:47.059173Z</t>
        </is>
      </c>
      <c r="BI202" s="24" t="inlineStr">
        <is>
          <t>["same_event","same_team_same_day","same_league_same_day"]</t>
        </is>
      </c>
      <c r="BJ202" s="25" t="n"/>
      <c r="BK202" s="26" t="n">
        <v>-147</v>
      </c>
      <c r="BL202" s="27" t="n">
        <v>1.680272</v>
      </c>
      <c r="BM202" s="28" t="n">
        <v>0.5951419999999999</v>
      </c>
      <c r="BN202" s="28" t="n">
        <v>0.59204</v>
      </c>
      <c r="BO202" s="28" t="n"/>
      <c r="BP202" s="25" t="n"/>
      <c r="BQ202" s="27" t="n">
        <v>1.680272</v>
      </c>
      <c r="BR202" s="28" t="n">
        <v>0.595</v>
      </c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inlineStr">
        <is>
          <t>0.6062088889</t>
        </is>
      </c>
      <c r="CD202" s="24" t="inlineStr">
        <is>
          <t>-0.586294</t>
        </is>
      </c>
      <c r="CE202" s="24" t="inlineStr">
        <is>
          <t>1.012</t>
        </is>
      </c>
      <c r="CF202" s="24" t="inlineStr">
        <is>
          <t>1.0078</t>
        </is>
      </c>
      <c r="CG202" s="24" t="n"/>
      <c r="CH202" s="24" t="n"/>
      <c r="CI202" s="24" t="n"/>
      <c r="CJ202" s="24" t="inlineStr">
        <is>
          <t>-0.477024</t>
        </is>
      </c>
      <c r="CK202" s="24" t="n"/>
      <c r="CL202" s="24" t="inlineStr">
        <is>
          <t>0.013507</t>
        </is>
      </c>
      <c r="CM202" s="24" t="inlineStr">
        <is>
          <t>0.9011</t>
        </is>
      </c>
      <c r="CN202" s="24" t="n"/>
      <c r="CO202" s="24" t="n"/>
      <c r="CP202" s="24" t="n"/>
      <c r="CQ202" s="24" t="n"/>
      <c r="CR202" s="24" t="inlineStr">
        <is>
          <t>0.585803</t>
        </is>
      </c>
      <c r="CS202" s="24" t="inlineStr">
        <is>
          <t>False</t>
        </is>
      </c>
    </row>
    <row r="203" ht="36" customHeight="1">
      <c r="A203" s="24" t="inlineStr">
        <is>
          <t>6bd95bae4459465e</t>
        </is>
      </c>
      <c r="B203" s="24" t="inlineStr">
        <is>
          <t>2026-08-05T21:01:20.386769Z</t>
        </is>
      </c>
      <c r="C203" s="24" t="inlineStr">
        <is>
          <t>2026-08-05T19:10:00-0400</t>
        </is>
      </c>
      <c r="D203" s="24" t="inlineStr">
        <is>
          <t>401816401</t>
        </is>
      </c>
      <c r="E203" s="24" t="inlineStr">
        <is>
          <t>MLB</t>
        </is>
      </c>
      <c r="F203" s="24" t="inlineStr">
        <is>
          <t>Chicago White Sox</t>
        </is>
      </c>
      <c r="G203" s="24" t="inlineStr">
        <is>
          <t>Boston Red Sox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polymarket_us</t>
        </is>
      </c>
      <c r="L203" s="26" t="n">
        <v>-127</v>
      </c>
      <c r="M203" s="27" t="n">
        <v>1.787402</v>
      </c>
      <c r="N203" s="28" t="n">
        <v>0.5594710000000001</v>
      </c>
      <c r="O203" s="28" t="n">
        <v>0.576049</v>
      </c>
      <c r="P203" s="28" t="n"/>
      <c r="Q203" s="28" t="n">
        <v>0.016578</v>
      </c>
      <c r="R203" s="26" t="n">
        <v>29</v>
      </c>
      <c r="S203" s="29" t="n">
        <v>0</v>
      </c>
      <c r="T203" s="24" t="inlineStr">
        <is>
          <t>mlb-elo-trend-lr-v8</t>
        </is>
      </c>
      <c r="U203" s="24" t="inlineStr">
        <is>
          <t>settled</t>
        </is>
      </c>
      <c r="V203" s="24" t="inlineStr">
        <is>
          <t>win</t>
        </is>
      </c>
      <c r="W203" s="26" t="n">
        <v>0</v>
      </c>
      <c r="X203" s="26" t="n">
        <v>4</v>
      </c>
      <c r="Y203" s="25" t="n"/>
      <c r="Z203" s="26" t="n">
        <v>-127</v>
      </c>
      <c r="AA203" s="28" t="n">
        <v>0.5600000000000001</v>
      </c>
      <c r="AB203" s="28" t="n">
        <v>0.000529</v>
      </c>
      <c r="AC203" s="30" t="n">
        <v>0</v>
      </c>
      <c r="AD203" s="24" t="inlineStr">
        <is>
          <t>2026-08-06T03:25:46.288618Z</t>
        </is>
      </c>
      <c r="AE203" s="31" t="inlineStr">
        <is>
          <t>Learned LR call at threshold 0.5873; executable ask 0.5600 (aec-mlb-cws-bos-2026-08-05); model edge vs ask +0.0160.</t>
        </is>
      </c>
      <c r="AF203" s="31" t="inlineStr">
        <is>
          <t>Learned model; shadow-qualified via operator override.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NO_CALL_WINNER_OVERVALUED</t>
        </is>
      </c>
      <c r="AP203" s="24" t="inlineStr">
        <is>
          <t>mlb-cws</t>
        </is>
      </c>
      <c r="AQ203" s="24" t="inlineStr">
        <is>
          <t>Chicago White Sox</t>
        </is>
      </c>
      <c r="AR203" s="24" t="inlineStr">
        <is>
          <t>Chicago White Sox</t>
        </is>
      </c>
      <c r="AS203" s="24" t="inlineStr">
        <is>
          <t>mlb-bos</t>
        </is>
      </c>
      <c r="AT203" s="24" t="inlineStr">
        <is>
          <t>Boston Red Sox</t>
        </is>
      </c>
      <c r="AU203" s="24" t="inlineStr">
        <is>
          <t>Boston Red Sox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6a5c79541b0e50cb9f7318270e63d5ccc65cbd7bc53a019748ff772d49de5075</t>
        </is>
      </c>
      <c r="BB203" s="24" t="inlineStr">
        <is>
          <t>learned_lr</t>
        </is>
      </c>
      <c r="BC203" s="24" t="inlineStr">
        <is>
          <t>mlb-elo-trend-lr-v8</t>
        </is>
      </c>
      <c r="BD203" s="24" t="inlineStr">
        <is>
          <t>6a5c79541b0e50cb9f7318270e63d5ccc65cbd7bc53a019748ff772d49de5075</t>
        </is>
      </c>
      <c r="BE203" s="24" t="inlineStr">
        <is>
          <t>efcfcc3269a8ddbe</t>
        </is>
      </c>
      <c r="BF203" s="24" t="inlineStr">
        <is>
          <t>1</t>
        </is>
      </c>
      <c r="BG203" s="24" t="inlineStr">
        <is>
          <t>mlb-elo-trend-lr-v8</t>
        </is>
      </c>
      <c r="BH203" s="24" t="inlineStr">
        <is>
          <t>2026-08-05T21:00:47.679094Z</t>
        </is>
      </c>
      <c r="BI203" s="24" t="inlineStr">
        <is>
          <t>["same_event","same_team_same_day","same_league_same_day"]</t>
        </is>
      </c>
      <c r="BJ203" s="25" t="n"/>
      <c r="BK203" s="26" t="n">
        <v>-127</v>
      </c>
      <c r="BL203" s="27" t="n">
        <v>1.787402</v>
      </c>
      <c r="BM203" s="28" t="n">
        <v>0.5594710000000001</v>
      </c>
      <c r="BN203" s="28" t="n">
        <v>0.557214</v>
      </c>
      <c r="BO203" s="28" t="n"/>
      <c r="BP203" s="25" t="n"/>
      <c r="BQ203" s="27" t="n">
        <v>1.787402</v>
      </c>
      <c r="BR203" s="28" t="n">
        <v>0.5600000000000001</v>
      </c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inlineStr">
        <is>
          <t>0.6209636925</t>
        </is>
      </c>
      <c r="CD203" s="24" t="inlineStr">
        <is>
          <t>2.562589</t>
        </is>
      </c>
      <c r="CE203" s="24" t="inlineStr">
        <is>
          <t>1.017</t>
        </is>
      </c>
      <c r="CF203" s="24" t="inlineStr">
        <is>
          <t>1.0148</t>
        </is>
      </c>
      <c r="CG203" s="24" t="n"/>
      <c r="CH203" s="24" t="n"/>
      <c r="CI203" s="24" t="n"/>
      <c r="CJ203" s="24" t="inlineStr">
        <is>
          <t>1.037236</t>
        </is>
      </c>
      <c r="CK203" s="24" t="n"/>
      <c r="CL203" s="24" t="inlineStr">
        <is>
          <t>-0.139607</t>
        </is>
      </c>
      <c r="CM203" s="24" t="inlineStr">
        <is>
          <t>-0.3228</t>
        </is>
      </c>
      <c r="CN203" s="24" t="n"/>
      <c r="CO203" s="24" t="n"/>
      <c r="CP203" s="24" t="n"/>
      <c r="CQ203" s="24" t="n"/>
      <c r="CR203" s="24" t="inlineStr">
        <is>
          <t>0.576049</t>
        </is>
      </c>
      <c r="CS203" s="24" t="inlineStr">
        <is>
          <t>True</t>
        </is>
      </c>
    </row>
    <row r="204" ht="36" customHeight="1">
      <c r="A204" s="24" t="inlineStr">
        <is>
          <t>3e9ac27b6b1b4803</t>
        </is>
      </c>
      <c r="B204" s="24" t="inlineStr">
        <is>
          <t>2026-08-05T21:01:20.386769Z</t>
        </is>
      </c>
      <c r="C204" s="24" t="inlineStr">
        <is>
          <t>2026-08-05T19:15:00-0400</t>
        </is>
      </c>
      <c r="D204" s="24" t="inlineStr">
        <is>
          <t>401816402</t>
        </is>
      </c>
      <c r="E204" s="24" t="inlineStr">
        <is>
          <t>MLB</t>
        </is>
      </c>
      <c r="F204" s="24" t="inlineStr">
        <is>
          <t>Miami Marlins</t>
        </is>
      </c>
      <c r="G204" s="24" t="inlineStr">
        <is>
          <t>Atlanta Braves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-120</v>
      </c>
      <c r="M204" s="27" t="n">
        <v>1.833333</v>
      </c>
      <c r="N204" s="28" t="n">
        <v>0.545455</v>
      </c>
      <c r="O204" s="28" t="n">
        <v>0.590919</v>
      </c>
      <c r="P204" s="28" t="n"/>
      <c r="Q204" s="28" t="n">
        <v>0.045464</v>
      </c>
      <c r="R204" s="26" t="n">
        <v>44</v>
      </c>
      <c r="S204" s="29" t="n">
        <v>0</v>
      </c>
      <c r="T204" s="24" t="inlineStr">
        <is>
          <t>mlb-elo-trend-lr-v8</t>
        </is>
      </c>
      <c r="U204" s="24" t="inlineStr">
        <is>
          <t>settled</t>
        </is>
      </c>
      <c r="V204" s="24" t="inlineStr">
        <is>
          <t>win</t>
        </is>
      </c>
      <c r="W204" s="26" t="n">
        <v>1</v>
      </c>
      <c r="X204" s="26" t="n">
        <v>4</v>
      </c>
      <c r="Y204" s="25" t="n"/>
      <c r="Z204" s="26" t="n">
        <v>-120</v>
      </c>
      <c r="AA204" s="28" t="n">
        <v>0.545</v>
      </c>
      <c r="AB204" s="28" t="n">
        <v>-0.000455</v>
      </c>
      <c r="AC204" s="30" t="n">
        <v>0</v>
      </c>
      <c r="AD204" s="24" t="inlineStr">
        <is>
          <t>2026-08-06T03:25:48.838087Z</t>
        </is>
      </c>
      <c r="AE204" s="31" t="inlineStr">
        <is>
          <t>Learned LR call at threshold 0.5873; executable ask 0.5450 (aec-mlb-mia-atl-2026-08-05); model edge vs ask +0.0459. NOTE: NO_CALL_STARTER_ERA_GAP_INSUFFICIENT_HISTORY unavailable for this game — defaulted to neutral, other features used normally.</t>
        </is>
      </c>
      <c r="AF204" s="31" t="inlineStr">
        <is>
          <t>Learned model; shadow-qualified via operator override.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research_observation</t>
        </is>
      </c>
      <c r="AL204" s="26" t="n">
        <v>3</v>
      </c>
      <c r="AM204" s="24" t="inlineStr">
        <is>
          <t>RESEARCH_OBSERVATION</t>
        </is>
      </c>
      <c r="AN204" s="24" t="inlineStr">
        <is>
          <t>NO_CALL</t>
        </is>
      </c>
      <c r="AO204" s="24" t="inlineStr">
        <is>
          <t>NO_CALL_WINNER_OVERVALUED</t>
        </is>
      </c>
      <c r="AP204" s="24" t="inlineStr">
        <is>
          <t>mlb-mia</t>
        </is>
      </c>
      <c r="AQ204" s="24" t="inlineStr">
        <is>
          <t>Miami Marlins</t>
        </is>
      </c>
      <c r="AR204" s="24" t="inlineStr">
        <is>
          <t>Miami Marlins</t>
        </is>
      </c>
      <c r="AS204" s="24" t="inlineStr">
        <is>
          <t>mlb-atl</t>
        </is>
      </c>
      <c r="AT204" s="24" t="inlineStr">
        <is>
          <t>Atlanta Braves</t>
        </is>
      </c>
      <c r="AU204" s="24" t="inlineStr">
        <is>
          <t>Atlanta Braves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6a5c79541b0e50cb9f7318270e63d5ccc65cbd7bc53a019748ff772d49de5075</t>
        </is>
      </c>
      <c r="BB204" s="24" t="inlineStr">
        <is>
          <t>learned_lr</t>
        </is>
      </c>
      <c r="BC204" s="24" t="inlineStr">
        <is>
          <t>mlb-elo-trend-lr-v8</t>
        </is>
      </c>
      <c r="BD204" s="24" t="inlineStr">
        <is>
          <t>6a5c79541b0e50cb9f7318270e63d5ccc65cbd7bc53a019748ff772d49de5075</t>
        </is>
      </c>
      <c r="BE204" s="24" t="inlineStr">
        <is>
          <t>15ad345ce9703e7c</t>
        </is>
      </c>
      <c r="BF204" s="24" t="inlineStr">
        <is>
          <t>1</t>
        </is>
      </c>
      <c r="BG204" s="24" t="inlineStr">
        <is>
          <t>mlb-elo-trend-lr-v8</t>
        </is>
      </c>
      <c r="BH204" s="24" t="inlineStr">
        <is>
          <t>2026-08-05T21:00:48.076723Z</t>
        </is>
      </c>
      <c r="BI204" s="24" t="inlineStr">
        <is>
          <t>["same_event","same_team_same_day","same_league_same_day"]</t>
        </is>
      </c>
      <c r="BJ204" s="25" t="n"/>
      <c r="BK204" s="26" t="n">
        <v>-120</v>
      </c>
      <c r="BL204" s="27" t="n">
        <v>1.833333</v>
      </c>
      <c r="BM204" s="28" t="n">
        <v>0.545455</v>
      </c>
      <c r="BN204" s="28" t="n">
        <v>0.542289</v>
      </c>
      <c r="BO204" s="28" t="n"/>
      <c r="BP204" s="25" t="n"/>
      <c r="BQ204" s="27" t="n">
        <v>1.833333</v>
      </c>
      <c r="BR204" s="28" t="n">
        <v>0.545</v>
      </c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inlineStr">
        <is>
          <t>0.5924601602</t>
        </is>
      </c>
      <c r="CD204" s="24" t="inlineStr">
        <is>
          <t>0.154672</t>
        </is>
      </c>
      <c r="CE204" s="24" t="inlineStr">
        <is>
          <t>0.929</t>
        </is>
      </c>
      <c r="CF204" s="24" t="inlineStr">
        <is>
          <t>1.0068</t>
        </is>
      </c>
      <c r="CG204" s="24" t="n"/>
      <c r="CH204" s="24" t="n"/>
      <c r="CI204" s="24" t="inlineStr">
        <is>
          <t>NO_CALL_STARTER_ERA_GAP_INSUFFICIENT_HISTORY</t>
        </is>
      </c>
      <c r="CJ204" s="24" t="inlineStr">
        <is>
          <t>0.044324</t>
        </is>
      </c>
      <c r="CK204" s="24" t="n"/>
      <c r="CL204" s="24" t="inlineStr">
        <is>
          <t>-0.05834</t>
        </is>
      </c>
      <c r="CM204" s="24" t="inlineStr">
        <is>
          <t>0.0</t>
        </is>
      </c>
      <c r="CN204" s="24" t="n"/>
      <c r="CO204" s="24" t="n"/>
      <c r="CP204" s="24" t="n"/>
      <c r="CQ204" s="24" t="n"/>
      <c r="CR204" s="24" t="inlineStr">
        <is>
          <t>0.590919</t>
        </is>
      </c>
      <c r="CS204" s="24" t="inlineStr">
        <is>
          <t>True</t>
        </is>
      </c>
    </row>
    <row r="205" ht="36" customHeight="1">
      <c r="A205" s="24" t="inlineStr">
        <is>
          <t>4cb1e041ed9e4b75</t>
        </is>
      </c>
      <c r="B205" s="24" t="inlineStr">
        <is>
          <t>2026-08-05T21:01:20.386769Z</t>
        </is>
      </c>
      <c r="C205" s="24" t="inlineStr">
        <is>
          <t>2026-08-05T19:30:00-0400</t>
        </is>
      </c>
      <c r="D205" s="24" t="inlineStr">
        <is>
          <t>401816408</t>
        </is>
      </c>
      <c r="E205" s="24" t="inlineStr">
        <is>
          <t>MLB</t>
        </is>
      </c>
      <c r="F205" s="24" t="inlineStr">
        <is>
          <t>Pittsburgh Pirates</t>
        </is>
      </c>
      <c r="G205" s="24" t="inlineStr">
        <is>
          <t>Milwaukee Brewers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-122</v>
      </c>
      <c r="M205" s="27" t="n">
        <v>1.819672</v>
      </c>
      <c r="N205" s="28" t="n">
        <v>0.54955</v>
      </c>
      <c r="O205" s="28" t="n">
        <v>0.6155080000000001</v>
      </c>
      <c r="P205" s="28" t="n"/>
      <c r="Q205" s="28" t="n">
        <v>0.065958</v>
      </c>
      <c r="R205" s="26" t="n">
        <v>54</v>
      </c>
      <c r="S205" s="29" t="n">
        <v>0</v>
      </c>
      <c r="T205" s="24" t="inlineStr">
        <is>
          <t>mlb-elo-trend-lr-v8</t>
        </is>
      </c>
      <c r="U205" s="24" t="inlineStr">
        <is>
          <t>settled</t>
        </is>
      </c>
      <c r="V205" s="24" t="inlineStr">
        <is>
          <t>win</t>
        </is>
      </c>
      <c r="W205" s="26" t="n">
        <v>2</v>
      </c>
      <c r="X205" s="26" t="n">
        <v>4</v>
      </c>
      <c r="Y205" s="25" t="n"/>
      <c r="Z205" s="26" t="n">
        <v>-122</v>
      </c>
      <c r="AA205" s="28" t="n">
        <v>0.55</v>
      </c>
      <c r="AB205" s="28" t="n">
        <v>0.00045</v>
      </c>
      <c r="AC205" s="30" t="n">
        <v>0</v>
      </c>
      <c r="AD205" s="24" t="inlineStr">
        <is>
          <t>2026-08-06T03:25:50.890975Z</t>
        </is>
      </c>
      <c r="AE205" s="31" t="inlineStr">
        <is>
          <t>Learned LR call at threshold 0.5873; executable ask 0.5500 (aec-mlb-pit-mil-2026-08-05); model edge vs ask +0.0655.</t>
        </is>
      </c>
      <c r="AF205" s="31" t="inlineStr">
        <is>
          <t>Learned model; shadow-qualified via operator override.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research_observation</t>
        </is>
      </c>
      <c r="AL205" s="26" t="n">
        <v>3</v>
      </c>
      <c r="AM205" s="24" t="inlineStr">
        <is>
          <t>RESEARCH_OBSERVATION</t>
        </is>
      </c>
      <c r="AN205" s="24" t="inlineStr">
        <is>
          <t>NO_CALL</t>
        </is>
      </c>
      <c r="AO205" s="24" t="inlineStr">
        <is>
          <t>NO_CALL_WINNER_OVERVALUED</t>
        </is>
      </c>
      <c r="AP205" s="24" t="inlineStr">
        <is>
          <t>mlb-pit</t>
        </is>
      </c>
      <c r="AQ205" s="24" t="inlineStr">
        <is>
          <t>Pittsburgh Pirates</t>
        </is>
      </c>
      <c r="AR205" s="24" t="inlineStr">
        <is>
          <t>Pittsburgh Pirates</t>
        </is>
      </c>
      <c r="AS205" s="24" t="inlineStr">
        <is>
          <t>mlb-mil</t>
        </is>
      </c>
      <c r="AT205" s="24" t="inlineStr">
        <is>
          <t>Milwaukee Brewers</t>
        </is>
      </c>
      <c r="AU205" s="24" t="inlineStr">
        <is>
          <t>Milwaukee Brewers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6a5c79541b0e50cb9f7318270e63d5ccc65cbd7bc53a019748ff772d49de5075</t>
        </is>
      </c>
      <c r="BB205" s="24" t="inlineStr">
        <is>
          <t>learned_lr</t>
        </is>
      </c>
      <c r="BC205" s="24" t="inlineStr">
        <is>
          <t>mlb-elo-trend-lr-v8</t>
        </is>
      </c>
      <c r="BD205" s="24" t="inlineStr">
        <is>
          <t>6a5c79541b0e50cb9f7318270e63d5ccc65cbd7bc53a019748ff772d49de5075</t>
        </is>
      </c>
      <c r="BE205" s="24" t="inlineStr">
        <is>
          <t>23aa584b6028ab97</t>
        </is>
      </c>
      <c r="BF205" s="24" t="inlineStr">
        <is>
          <t>1</t>
        </is>
      </c>
      <c r="BG205" s="24" t="inlineStr">
        <is>
          <t>mlb-elo-trend-lr-v8</t>
        </is>
      </c>
      <c r="BH205" s="24" t="inlineStr">
        <is>
          <t>2026-08-05T21:00:48.549898Z</t>
        </is>
      </c>
      <c r="BI205" s="24" t="inlineStr">
        <is>
          <t>["same_event","same_team_same_day","same_league_same_day"]</t>
        </is>
      </c>
      <c r="BJ205" s="25" t="n"/>
      <c r="BK205" s="26" t="n">
        <v>-122</v>
      </c>
      <c r="BL205" s="27" t="n">
        <v>1.819672</v>
      </c>
      <c r="BM205" s="28" t="n">
        <v>0.54955</v>
      </c>
      <c r="BN205" s="28" t="n">
        <v>0.547264</v>
      </c>
      <c r="BO205" s="28" t="n"/>
      <c r="BP205" s="25" t="n"/>
      <c r="BQ205" s="27" t="n">
        <v>1.819672</v>
      </c>
      <c r="BR205" s="28" t="n">
        <v>0.55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inlineStr">
        <is>
          <t>0.6284314187</t>
        </is>
      </c>
      <c r="CD205" s="24" t="inlineStr">
        <is>
          <t>0.320781</t>
        </is>
      </c>
      <c r="CE205" s="24" t="inlineStr">
        <is>
          <t>0.997</t>
        </is>
      </c>
      <c r="CF205" s="24" t="inlineStr">
        <is>
          <t>1.0</t>
        </is>
      </c>
      <c r="CG205" s="24" t="n"/>
      <c r="CH205" s="24" t="n"/>
      <c r="CI205" s="24" t="n"/>
      <c r="CJ205" s="24" t="inlineStr">
        <is>
          <t>0.061913</t>
        </is>
      </c>
      <c r="CK205" s="24" t="n"/>
      <c r="CL205" s="24" t="inlineStr">
        <is>
          <t>0.125345</t>
        </is>
      </c>
      <c r="CM205" s="24" t="inlineStr">
        <is>
          <t>-1.5183</t>
        </is>
      </c>
      <c r="CN205" s="24" t="n"/>
      <c r="CO205" s="24" t="n"/>
      <c r="CP205" s="24" t="n"/>
      <c r="CQ205" s="24" t="n"/>
      <c r="CR205" s="24" t="inlineStr">
        <is>
          <t>0.615508</t>
        </is>
      </c>
      <c r="CS205" s="24" t="inlineStr">
        <is>
          <t>True</t>
        </is>
      </c>
    </row>
    <row r="206" ht="36" customHeight="1">
      <c r="A206" s="24" t="inlineStr">
        <is>
          <t>ffd50a0b86f4496e</t>
        </is>
      </c>
      <c r="B206" s="24" t="inlineStr">
        <is>
          <t>2026-08-05T21:01:20.386769Z</t>
        </is>
      </c>
      <c r="C206" s="24" t="inlineStr">
        <is>
          <t>2026-08-05T19:40:00-0400</t>
        </is>
      </c>
      <c r="D206" s="24" t="inlineStr">
        <is>
          <t>401816407</t>
        </is>
      </c>
      <c r="E206" s="24" t="inlineStr">
        <is>
          <t>MLB</t>
        </is>
      </c>
      <c r="F206" s="24" t="inlineStr">
        <is>
          <t>Minnesota Twins</t>
        </is>
      </c>
      <c r="G206" s="24" t="inlineStr">
        <is>
          <t>Kansas City Royals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-113</v>
      </c>
      <c r="M206" s="27" t="n">
        <v>1.884956</v>
      </c>
      <c r="N206" s="28" t="n">
        <v>0.530516</v>
      </c>
      <c r="O206" s="28" t="n">
        <v>0.525738</v>
      </c>
      <c r="P206" s="28" t="n"/>
      <c r="Q206" s="28" t="n">
        <v>-0.004778</v>
      </c>
      <c r="R206" s="26" t="n">
        <v>19</v>
      </c>
      <c r="S206" s="29" t="n">
        <v>0</v>
      </c>
      <c r="T206" s="24" t="inlineStr">
        <is>
          <t>mlb-elo-trend-lr-v8</t>
        </is>
      </c>
      <c r="U206" s="24" t="inlineStr">
        <is>
          <t>settled</t>
        </is>
      </c>
      <c r="V206" s="24" t="inlineStr">
        <is>
          <t>win</t>
        </is>
      </c>
      <c r="W206" s="26" t="n">
        <v>1</v>
      </c>
      <c r="X206" s="26" t="n">
        <v>2</v>
      </c>
      <c r="Y206" s="25" t="n"/>
      <c r="Z206" s="26" t="n">
        <v>-113</v>
      </c>
      <c r="AA206" s="28" t="n">
        <v>0.53</v>
      </c>
      <c r="AB206" s="28" t="n">
        <v>-0.000516</v>
      </c>
      <c r="AC206" s="30" t="n">
        <v>0</v>
      </c>
      <c r="AD206" s="24" t="inlineStr">
        <is>
          <t>2026-08-06T03:25:52.818937Z</t>
        </is>
      </c>
      <c r="AE206" s="31" t="inlineStr">
        <is>
          <t>Learned LR call at threshold 0.5873; executable ask 0.5300 (aec-mlb-min-kc-2026-08-05); model edge vs ask -0.0043.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research_observation</t>
        </is>
      </c>
      <c r="AL206" s="26" t="n">
        <v>3</v>
      </c>
      <c r="AM206" s="24" t="inlineStr">
        <is>
          <t>RESEARCH_OBSERVATION</t>
        </is>
      </c>
      <c r="AN206" s="24" t="inlineStr">
        <is>
          <t>NO_CALL</t>
        </is>
      </c>
      <c r="AO206" s="24" t="inlineStr">
        <is>
          <t>NO_CALL_WINNER_OVERVALUED</t>
        </is>
      </c>
      <c r="AP206" s="24" t="inlineStr">
        <is>
          <t>mlb-min</t>
        </is>
      </c>
      <c r="AQ206" s="24" t="inlineStr">
        <is>
          <t>Minnesota Twins</t>
        </is>
      </c>
      <c r="AR206" s="24" t="inlineStr">
        <is>
          <t>Minnesota Twins</t>
        </is>
      </c>
      <c r="AS206" s="24" t="inlineStr">
        <is>
          <t>mlb-kc</t>
        </is>
      </c>
      <c r="AT206" s="24" t="inlineStr">
        <is>
          <t>Kansas City Royals</t>
        </is>
      </c>
      <c r="AU206" s="24" t="inlineStr">
        <is>
          <t>Kansas City Royals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6a5c79541b0e50cb9f7318270e63d5ccc65cbd7bc53a019748ff772d49de5075</t>
        </is>
      </c>
      <c r="BB206" s="24" t="inlineStr">
        <is>
          <t>learned_lr</t>
        </is>
      </c>
      <c r="BC206" s="24" t="inlineStr">
        <is>
          <t>mlb-elo-trend-lr-v8</t>
        </is>
      </c>
      <c r="BD206" s="24" t="inlineStr">
        <is>
          <t>6a5c79541b0e50cb9f7318270e63d5ccc65cbd7bc53a019748ff772d49de5075</t>
        </is>
      </c>
      <c r="BE206" s="24" t="inlineStr">
        <is>
          <t>f737968b03170f81</t>
        </is>
      </c>
      <c r="BF206" s="24" t="inlineStr">
        <is>
          <t>1</t>
        </is>
      </c>
      <c r="BG206" s="24" t="inlineStr">
        <is>
          <t>mlb-elo-trend-lr-v8</t>
        </is>
      </c>
      <c r="BH206" s="24" t="inlineStr">
        <is>
          <t>2026-08-05T21:00:49.052291Z</t>
        </is>
      </c>
      <c r="BI206" s="24" t="inlineStr">
        <is>
          <t>["same_event","same_team_same_day","same_league_same_day"]</t>
        </is>
      </c>
      <c r="BJ206" s="25" t="n"/>
      <c r="BK206" s="26" t="n">
        <v>-113</v>
      </c>
      <c r="BL206" s="27" t="n">
        <v>1.884956</v>
      </c>
      <c r="BM206" s="28" t="n">
        <v>0.530516</v>
      </c>
      <c r="BN206" s="28" t="n">
        <v>0.527363</v>
      </c>
      <c r="BO206" s="28" t="n"/>
      <c r="BP206" s="25" t="n"/>
      <c r="BQ206" s="27" t="n">
        <v>1.884956</v>
      </c>
      <c r="BR206" s="28" t="n">
        <v>0.53</v>
      </c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inlineStr">
        <is>
          <t>0.5155726117</t>
        </is>
      </c>
      <c r="CD206" s="24" t="inlineStr">
        <is>
          <t>0.043044</t>
        </is>
      </c>
      <c r="CE206" s="24" t="inlineStr">
        <is>
          <t>0.972</t>
        </is>
      </c>
      <c r="CF206" s="24" t="inlineStr">
        <is>
          <t>1.0045</t>
        </is>
      </c>
      <c r="CG206" s="24" t="n"/>
      <c r="CH206" s="24" t="n"/>
      <c r="CI206" s="24" t="n"/>
      <c r="CJ206" s="24" t="inlineStr">
        <is>
          <t>0.628543</t>
        </is>
      </c>
      <c r="CK206" s="24" t="n"/>
      <c r="CL206" s="24" t="inlineStr">
        <is>
          <t>0.503895</t>
        </is>
      </c>
      <c r="CM206" s="24" t="inlineStr">
        <is>
          <t>4.2618</t>
        </is>
      </c>
      <c r="CN206" s="24" t="n"/>
      <c r="CO206" s="24" t="n"/>
      <c r="CP206" s="24" t="n"/>
      <c r="CQ206" s="24" t="n"/>
      <c r="CR206" s="24" t="inlineStr">
        <is>
          <t>0.525738</t>
        </is>
      </c>
      <c r="CS206" s="24" t="inlineStr">
        <is>
          <t>False</t>
        </is>
      </c>
    </row>
    <row r="207" ht="36" customHeight="1">
      <c r="A207" s="24" t="inlineStr">
        <is>
          <t>b6ec679c2814407c</t>
        </is>
      </c>
      <c r="B207" s="24" t="inlineStr">
        <is>
          <t>2026-08-05T21:01:36.734850Z</t>
        </is>
      </c>
      <c r="C207" s="24" t="inlineStr">
        <is>
          <t>2026-08-05T22:35Z</t>
        </is>
      </c>
      <c r="D207" s="24" t="inlineStr">
        <is>
          <t>401816399</t>
        </is>
      </c>
      <c r="E207" s="24" t="inlineStr">
        <is>
          <t>MLB</t>
        </is>
      </c>
      <c r="F207" s="24" t="inlineStr">
        <is>
          <t>Los Angeles Angels</t>
        </is>
      </c>
      <c r="G207" s="24" t="inlineStr">
        <is>
          <t>Baltimore Orioles</t>
        </is>
      </c>
      <c r="H207" s="24" t="inlineStr">
        <is>
          <t>spread</t>
        </is>
      </c>
      <c r="I207" s="24" t="inlineStr">
        <is>
          <t>home</t>
        </is>
      </c>
      <c r="J207" s="25" t="n">
        <v>-1.5</v>
      </c>
      <c r="K207" s="24" t="inlineStr">
        <is>
          <t>polymarket_us</t>
        </is>
      </c>
      <c r="L207" s="26" t="n">
        <v>163</v>
      </c>
      <c r="M207" s="27" t="n">
        <v>2.63</v>
      </c>
      <c r="N207" s="28" t="n">
        <v>0.380228</v>
      </c>
      <c r="O207" s="28" t="n">
        <v>0.412338</v>
      </c>
      <c r="P207" s="28" t="n">
        <v>0.042131</v>
      </c>
      <c r="Q207" s="28" t="n">
        <v>0.03211</v>
      </c>
      <c r="R207" s="26" t="n">
        <v>42</v>
      </c>
      <c r="S207" s="29" t="n">
        <v>0</v>
      </c>
      <c r="T207" s="24" t="inlineStr">
        <is>
          <t>measured-edge-margin-v3</t>
        </is>
      </c>
      <c r="U207" s="24" t="inlineStr">
        <is>
          <t>settled</t>
        </is>
      </c>
      <c r="V207" s="24" t="inlineStr">
        <is>
          <t>win</t>
        </is>
      </c>
      <c r="W207" s="26" t="n">
        <v>2</v>
      </c>
      <c r="X207" s="26" t="n">
        <v>5</v>
      </c>
      <c r="Y207" s="25" t="n">
        <v>-1.5</v>
      </c>
      <c r="Z207" s="26" t="n">
        <v>163</v>
      </c>
      <c r="AA207" s="28" t="n">
        <v>0.38</v>
      </c>
      <c r="AB207" s="28" t="n">
        <v>-0.000228</v>
      </c>
      <c r="AC207" s="30" t="n">
        <v>0</v>
      </c>
      <c r="AD207" s="24" t="inlineStr">
        <is>
          <t>2026-08-06T03:25:58.278840Z</t>
        </is>
      </c>
      <c r="AE207" s="31" t="inlineStr">
        <is>
          <t>Measured Edge Margin: Trend Engine projected 4.25-4.70; raw selected-side p=0.3714, calibrated p=0.4123.</t>
        </is>
      </c>
      <c r="AF207" s="31" t="inlineStr">
        <is>
          <t>Research-only; lineup, bullpen, park, weather, xFIP, and wRC+ may be neutral fallbacks; market availability and BBO depth may change before first pitch.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research_observation</t>
        </is>
      </c>
      <c r="AL207" s="26" t="n">
        <v>3</v>
      </c>
      <c r="AM207" s="24" t="inlineStr">
        <is>
          <t>RESEARCH_OBSERVATION</t>
        </is>
      </c>
      <c r="AN207" s="24" t="inlineStr">
        <is>
          <t>NO_CALL</t>
        </is>
      </c>
      <c r="AO207" s="24" t="inlineStr">
        <is>
          <t>NO_CALL_WINNER_OVERVALUED</t>
        </is>
      </c>
      <c r="AP207" s="24" t="inlineStr">
        <is>
          <t>mlb-laa</t>
        </is>
      </c>
      <c r="AQ207" s="24" t="inlineStr">
        <is>
          <t>Los Angeles Angels</t>
        </is>
      </c>
      <c r="AR207" s="24" t="inlineStr">
        <is>
          <t>Los Angeles Angels</t>
        </is>
      </c>
      <c r="AS207" s="24" t="inlineStr">
        <is>
          <t>mlb-bal</t>
        </is>
      </c>
      <c r="AT207" s="24" t="inlineStr">
        <is>
          <t>Baltimore Orioles</t>
        </is>
      </c>
      <c r="AU207" s="24" t="inlineStr">
        <is>
          <t>Baltimore Orioles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research</t>
        </is>
      </c>
      <c r="BA207" s="24" t="inlineStr">
        <is>
          <t>dd339a2eed50d7d83ab2127837995ddab82e879afd27f5414bb6c1f9cd60ba4c</t>
        </is>
      </c>
      <c r="BB207" s="24" t="inlineStr">
        <is>
          <t>flat_probability_shrinkage_toward_half</t>
        </is>
      </c>
      <c r="BC207" s="24" t="inlineStr">
        <is>
          <t>measured-edge-margin-v3</t>
        </is>
      </c>
      <c r="BD207" s="24" t="inlineStr">
        <is>
          <t>dd339a2eed50d7d83ab2127837995ddab82e879afd27f5414bb6c1f9cd60ba4c</t>
        </is>
      </c>
      <c r="BE207" s="24" t="inlineStr">
        <is>
          <t>v3</t>
        </is>
      </c>
      <c r="BF207" s="24" t="inlineStr">
        <is>
          <t>1</t>
        </is>
      </c>
      <c r="BG207" s="24" t="inlineStr">
        <is>
          <t>measured-edge-paired-v1</t>
        </is>
      </c>
      <c r="BH207" s="24" t="inlineStr">
        <is>
          <t>2026-08-05T21:01:36.734850Z</t>
        </is>
      </c>
      <c r="BI207" s="24" t="inlineStr">
        <is>
          <t>["same_event","same_team_same_day","same_league_same_day"]</t>
        </is>
      </c>
      <c r="BJ207" s="25" t="n">
        <v>-1.5</v>
      </c>
      <c r="BK207" s="26" t="n">
        <v>163</v>
      </c>
      <c r="BL207" s="27" t="n">
        <v>2.63</v>
      </c>
      <c r="BM207" s="28" t="n">
        <v>0.380228</v>
      </c>
      <c r="BN207" s="28" t="n">
        <v>0.378109</v>
      </c>
      <c r="BO207" s="28" t="n"/>
      <c r="BP207" s="25" t="n"/>
      <c r="BQ207" s="27" t="n">
        <v>2.63</v>
      </c>
      <c r="BR207" s="28" t="n">
        <v>0.38</v>
      </c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9a03f1a0392149b2</t>
        </is>
      </c>
      <c r="B208" s="24" t="inlineStr">
        <is>
          <t>2026-08-05T21:01:36.734850Z</t>
        </is>
      </c>
      <c r="C208" s="24" t="inlineStr">
        <is>
          <t>2026-08-05T22:35Z</t>
        </is>
      </c>
      <c r="D208" s="24" t="inlineStr">
        <is>
          <t>401816399</t>
        </is>
      </c>
      <c r="E208" s="24" t="inlineStr">
        <is>
          <t>MLB</t>
        </is>
      </c>
      <c r="F208" s="24" t="inlineStr">
        <is>
          <t>Los Angeles Angels</t>
        </is>
      </c>
      <c r="G208" s="24" t="inlineStr">
        <is>
          <t>Baltimore Orioles</t>
        </is>
      </c>
      <c r="H208" s="24" t="inlineStr">
        <is>
          <t>total</t>
        </is>
      </c>
      <c r="I208" s="24" t="inlineStr">
        <is>
          <t>over</t>
        </is>
      </c>
      <c r="J208" s="25" t="n">
        <v>7.5</v>
      </c>
      <c r="K208" s="24" t="inlineStr">
        <is>
          <t>polymarket_us</t>
        </is>
      </c>
      <c r="L208" s="26" t="n">
        <v>-113</v>
      </c>
      <c r="M208" s="27" t="n">
        <v>1.884956</v>
      </c>
      <c r="N208" s="28" t="n">
        <v>0.530516</v>
      </c>
      <c r="O208" s="28" t="n">
        <v>0.528131</v>
      </c>
      <c r="P208" s="28" t="n">
        <v>0.042131</v>
      </c>
      <c r="Q208" s="28" t="n">
        <v>-0.002385</v>
      </c>
      <c r="R208" s="26" t="n">
        <v>25</v>
      </c>
      <c r="S208" s="29" t="n">
        <v>0</v>
      </c>
      <c r="T208" s="24" t="inlineStr">
        <is>
          <t>measured-edge-totals-v3</t>
        </is>
      </c>
      <c r="U208" s="24" t="inlineStr">
        <is>
          <t>settled</t>
        </is>
      </c>
      <c r="V208" s="24" t="inlineStr">
        <is>
          <t>loss</t>
        </is>
      </c>
      <c r="W208" s="26" t="n">
        <v>2</v>
      </c>
      <c r="X208" s="26" t="n">
        <v>5</v>
      </c>
      <c r="Y208" s="25" t="n">
        <v>7.5</v>
      </c>
      <c r="Z208" s="26" t="n">
        <v>-113</v>
      </c>
      <c r="AA208" s="28" t="n">
        <v>0.53</v>
      </c>
      <c r="AB208" s="28" t="n">
        <v>-0.000516</v>
      </c>
      <c r="AC208" s="30" t="n">
        <v>0</v>
      </c>
      <c r="AD208" s="24" t="inlineStr">
        <is>
          <t>2026-08-06T03:26:00.084784Z</t>
        </is>
      </c>
      <c r="AE208" s="31" t="inlineStr">
        <is>
          <t>Measured Edge Totals: Trend Engine projected 4.25-4.70; raw selected-side p=0.5899, calibrated p=0.5281.</t>
        </is>
      </c>
      <c r="AF208" s="31" t="inlineStr">
        <is>
          <t>Research-only; lineup, bullpen, park, weather, xFIP, and wRC+ may be neutral fallbacks; market availability and BBO depth may change before first pitch.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research_observation</t>
        </is>
      </c>
      <c r="AL208" s="26" t="n">
        <v>3</v>
      </c>
      <c r="AM208" s="24" t="inlineStr">
        <is>
          <t>RESEARCH_OBSERVATION</t>
        </is>
      </c>
      <c r="AN208" s="24" t="inlineStr">
        <is>
          <t>NO_CALL</t>
        </is>
      </c>
      <c r="AO208" s="24" t="inlineStr">
        <is>
          <t>NO_CALL_WINNER_OVERVALUED</t>
        </is>
      </c>
      <c r="AP208" s="24" t="inlineStr">
        <is>
          <t>mlb-laa</t>
        </is>
      </c>
      <c r="AQ208" s="24" t="inlineStr">
        <is>
          <t>Los Angeles Angels</t>
        </is>
      </c>
      <c r="AR208" s="24" t="inlineStr">
        <is>
          <t>Los Angeles Angels</t>
        </is>
      </c>
      <c r="AS208" s="24" t="inlineStr">
        <is>
          <t>mlb-bal</t>
        </is>
      </c>
      <c r="AT208" s="24" t="inlineStr">
        <is>
          <t>Baltimore Orioles</t>
        </is>
      </c>
      <c r="AU208" s="24" t="inlineStr">
        <is>
          <t>Baltimore Orioles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research</t>
        </is>
      </c>
      <c r="BA208" s="24" t="inlineStr">
        <is>
          <t>95b84332c75d2ce54036eb8de6ada9c78d0f80228c50825c0347281a8b9b49c7</t>
        </is>
      </c>
      <c r="BB208" s="24" t="inlineStr">
        <is>
          <t>flat_probability_shrinkage_toward_half</t>
        </is>
      </c>
      <c r="BC208" s="24" t="inlineStr">
        <is>
          <t>measured-edge-totals-v3</t>
        </is>
      </c>
      <c r="BD208" s="24" t="inlineStr">
        <is>
          <t>95b84332c75d2ce54036eb8de6ada9c78d0f80228c50825c0347281a8b9b49c7</t>
        </is>
      </c>
      <c r="BE208" s="24" t="inlineStr">
        <is>
          <t>v3</t>
        </is>
      </c>
      <c r="BF208" s="24" t="inlineStr">
        <is>
          <t>1</t>
        </is>
      </c>
      <c r="BG208" s="24" t="inlineStr">
        <is>
          <t>measured-edge-paired-v1</t>
        </is>
      </c>
      <c r="BH208" s="24" t="inlineStr">
        <is>
          <t>2026-08-05T21:01:36.734850Z</t>
        </is>
      </c>
      <c r="BI208" s="24" t="inlineStr">
        <is>
          <t>["same_event","same_team_same_day","same_league_same_day"]</t>
        </is>
      </c>
      <c r="BJ208" s="25" t="n">
        <v>7.5</v>
      </c>
      <c r="BK208" s="26" t="n">
        <v>-113</v>
      </c>
      <c r="BL208" s="27" t="n">
        <v>1.884956</v>
      </c>
      <c r="BM208" s="28" t="n">
        <v>0.530516</v>
      </c>
      <c r="BN208" s="28" t="n">
        <v>0.527363</v>
      </c>
      <c r="BO208" s="28" t="n"/>
      <c r="BP208" s="25" t="n"/>
      <c r="BQ208" s="27" t="n">
        <v>1.884956</v>
      </c>
      <c r="BR208" s="28" t="n">
        <v>0.53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False</t>
        </is>
      </c>
    </row>
    <row r="209" ht="36" customHeight="1">
      <c r="A209" s="24" t="inlineStr">
        <is>
          <t>835dc1a5404b4a18</t>
        </is>
      </c>
      <c r="B209" s="24" t="inlineStr">
        <is>
          <t>2026-08-05T21:01:36.734850Z</t>
        </is>
      </c>
      <c r="C209" s="24" t="inlineStr">
        <is>
          <t>2026-08-05T22:40Z</t>
        </is>
      </c>
      <c r="D209" s="24" t="inlineStr">
        <is>
          <t>401816400</t>
        </is>
      </c>
      <c r="E209" s="24" t="inlineStr">
        <is>
          <t>MLB</t>
        </is>
      </c>
      <c r="F209" s="24" t="inlineStr">
        <is>
          <t>Athletics</t>
        </is>
      </c>
      <c r="G209" s="24" t="inlineStr">
        <is>
          <t>Cincinnati Reds</t>
        </is>
      </c>
      <c r="H209" s="24" t="inlineStr">
        <is>
          <t>spread</t>
        </is>
      </c>
      <c r="I209" s="24" t="inlineStr">
        <is>
          <t>home</t>
        </is>
      </c>
      <c r="J209" s="25" t="n">
        <v>-1.5</v>
      </c>
      <c r="K209" s="24" t="inlineStr">
        <is>
          <t>polymarket_us</t>
        </is>
      </c>
      <c r="L209" s="26" t="n">
        <v>135</v>
      </c>
      <c r="M209" s="27" t="n">
        <v>2.35</v>
      </c>
      <c r="N209" s="28" t="n">
        <v>0.425532</v>
      </c>
      <c r="O209" s="28" t="n">
        <v>0.405047</v>
      </c>
      <c r="P209" s="28" t="n">
        <v>0.042131</v>
      </c>
      <c r="Q209" s="28" t="n">
        <v>-0.020485</v>
      </c>
      <c r="R209" s="26" t="n">
        <v>16</v>
      </c>
      <c r="S209" s="29" t="n">
        <v>0</v>
      </c>
      <c r="T209" s="24" t="inlineStr">
        <is>
          <t>measured-edge-margin-v3</t>
        </is>
      </c>
      <c r="U209" s="24" t="inlineStr">
        <is>
          <t>settled</t>
        </is>
      </c>
      <c r="V209" s="24" t="inlineStr">
        <is>
          <t>loss</t>
        </is>
      </c>
      <c r="W209" s="26" t="n">
        <v>2</v>
      </c>
      <c r="X209" s="26" t="n">
        <v>3</v>
      </c>
      <c r="Y209" s="25" t="n">
        <v>-1.5</v>
      </c>
      <c r="Z209" s="26" t="n">
        <v>135</v>
      </c>
      <c r="AA209" s="28" t="n">
        <v>0.425</v>
      </c>
      <c r="AB209" s="28" t="n">
        <v>-0.000532</v>
      </c>
      <c r="AC209" s="30" t="n">
        <v>0</v>
      </c>
      <c r="AD209" s="24" t="inlineStr">
        <is>
          <t>2026-08-06T03:26:01.887070Z</t>
        </is>
      </c>
      <c r="AE209" s="31" t="inlineStr">
        <is>
          <t>Measured Edge Margin: Trend Engine projected 4.90-5.09; raw selected-side p=0.3607, calibrated p=0.4050.</t>
        </is>
      </c>
      <c r="AF209" s="31" t="inlineStr">
        <is>
          <t>Research-only; lineup, bullpen, park, weather, xFIP, and wRC+ may be neutral fallbacks; market availability and BBO depth may change before first pitch.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NO_CALL_WINNER_OVERVALUED</t>
        </is>
      </c>
      <c r="AP209" s="24" t="inlineStr">
        <is>
          <t>mlb-ath</t>
        </is>
      </c>
      <c r="AQ209" s="24" t="inlineStr">
        <is>
          <t>Athletics</t>
        </is>
      </c>
      <c r="AR209" s="24" t="inlineStr">
        <is>
          <t>Athletics</t>
        </is>
      </c>
      <c r="AS209" s="24" t="inlineStr">
        <is>
          <t>mlb-cin</t>
        </is>
      </c>
      <c r="AT209" s="24" t="inlineStr">
        <is>
          <t>Cincinnati Reds</t>
        </is>
      </c>
      <c r="AU209" s="24" t="inlineStr">
        <is>
          <t>Cincinnati Reds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research</t>
        </is>
      </c>
      <c r="BA209" s="24" t="inlineStr">
        <is>
          <t>dd339a2eed50d7d83ab2127837995ddab82e879afd27f5414bb6c1f9cd60ba4c</t>
        </is>
      </c>
      <c r="BB209" s="24" t="inlineStr">
        <is>
          <t>flat_probability_shrinkage_toward_half</t>
        </is>
      </c>
      <c r="BC209" s="24" t="inlineStr">
        <is>
          <t>measured-edge-margin-v3</t>
        </is>
      </c>
      <c r="BD209" s="24" t="inlineStr">
        <is>
          <t>dd339a2eed50d7d83ab2127837995ddab82e879afd27f5414bb6c1f9cd60ba4c</t>
        </is>
      </c>
      <c r="BE209" s="24" t="inlineStr">
        <is>
          <t>v3</t>
        </is>
      </c>
      <c r="BF209" s="24" t="inlineStr">
        <is>
          <t>1</t>
        </is>
      </c>
      <c r="BG209" s="24" t="inlineStr">
        <is>
          <t>measured-edge-paired-v1</t>
        </is>
      </c>
      <c r="BH209" s="24" t="inlineStr">
        <is>
          <t>2026-08-05T21:01:36.734850Z</t>
        </is>
      </c>
      <c r="BI209" s="24" t="inlineStr">
        <is>
          <t>["same_event","same_team_same_day","same_league_same_day"]</t>
        </is>
      </c>
      <c r="BJ209" s="25" t="n">
        <v>-1.5</v>
      </c>
      <c r="BK209" s="26" t="n">
        <v>135</v>
      </c>
      <c r="BL209" s="27" t="n">
        <v>2.35</v>
      </c>
      <c r="BM209" s="28" t="n">
        <v>0.425532</v>
      </c>
      <c r="BN209" s="28" t="n">
        <v>0.422886</v>
      </c>
      <c r="BO209" s="28" t="n"/>
      <c r="BP209" s="25" t="n"/>
      <c r="BQ209" s="27" t="n">
        <v>2.35</v>
      </c>
      <c r="BR209" s="28" t="n">
        <v>0.425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False</t>
        </is>
      </c>
    </row>
    <row r="210" ht="36" customHeight="1">
      <c r="A210" s="24" t="inlineStr">
        <is>
          <t>86a1c03461894e40</t>
        </is>
      </c>
      <c r="B210" s="24" t="inlineStr">
        <is>
          <t>2026-08-05T21:01:36.734850Z</t>
        </is>
      </c>
      <c r="C210" s="24" t="inlineStr">
        <is>
          <t>2026-08-05T22:40Z</t>
        </is>
      </c>
      <c r="D210" s="24" t="inlineStr">
        <is>
          <t>401816400</t>
        </is>
      </c>
      <c r="E210" s="24" t="inlineStr">
        <is>
          <t>MLB</t>
        </is>
      </c>
      <c r="F210" s="24" t="inlineStr">
        <is>
          <t>Athletics</t>
        </is>
      </c>
      <c r="G210" s="24" t="inlineStr">
        <is>
          <t>Cincinnati Reds</t>
        </is>
      </c>
      <c r="H210" s="24" t="inlineStr">
        <is>
          <t>total</t>
        </is>
      </c>
      <c r="I210" s="24" t="inlineStr">
        <is>
          <t>under</t>
        </is>
      </c>
      <c r="J210" s="25" t="n">
        <v>9.5</v>
      </c>
      <c r="K210" s="24" t="inlineStr">
        <is>
          <t>polymarket_us</t>
        </is>
      </c>
      <c r="L210" s="26" t="n">
        <v>-111</v>
      </c>
      <c r="M210" s="27" t="n">
        <v>1.900901</v>
      </c>
      <c r="N210" s="28" t="n">
        <v>0.526066</v>
      </c>
      <c r="O210" s="28" t="n">
        <v>0.5079360000000001</v>
      </c>
      <c r="P210" s="28" t="n">
        <v>0.042131</v>
      </c>
      <c r="Q210" s="28" t="n">
        <v>-0.01813</v>
      </c>
      <c r="R210" s="26" t="n">
        <v>17</v>
      </c>
      <c r="S210" s="29" t="n">
        <v>0</v>
      </c>
      <c r="T210" s="24" t="inlineStr">
        <is>
          <t>measured-edge-totals-v3</t>
        </is>
      </c>
      <c r="U210" s="24" t="inlineStr">
        <is>
          <t>settled</t>
        </is>
      </c>
      <c r="V210" s="24" t="inlineStr">
        <is>
          <t>win</t>
        </is>
      </c>
      <c r="W210" s="26" t="n">
        <v>2</v>
      </c>
      <c r="X210" s="26" t="n">
        <v>3</v>
      </c>
      <c r="Y210" s="25" t="n">
        <v>9.5</v>
      </c>
      <c r="Z210" s="26" t="n">
        <v>-111</v>
      </c>
      <c r="AA210" s="28" t="n">
        <v>0.525</v>
      </c>
      <c r="AB210" s="28" t="n">
        <v>-0.001066</v>
      </c>
      <c r="AC210" s="30" t="n">
        <v>0</v>
      </c>
      <c r="AD210" s="24" t="inlineStr">
        <is>
          <t>2026-08-06T03:26:03.849315Z</t>
        </is>
      </c>
      <c r="AE210" s="31" t="inlineStr">
        <is>
          <t>Measured Edge Totals: Trend Engine projected 4.90-5.09; raw selected-side p=0.5086, calibrated p=0.5079.</t>
        </is>
      </c>
      <c r="AF210" s="31" t="inlineStr">
        <is>
          <t>Research-only; lineup, bullpen, park, weather, xFIP, and wRC+ may be neutral fallbacks; market availability and BBO depth may change before first pitch.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research_observation</t>
        </is>
      </c>
      <c r="AL210" s="26" t="n">
        <v>3</v>
      </c>
      <c r="AM210" s="24" t="inlineStr">
        <is>
          <t>RESEARCH_OBSERVATION</t>
        </is>
      </c>
      <c r="AN210" s="24" t="inlineStr">
        <is>
          <t>NO_CALL</t>
        </is>
      </c>
      <c r="AO210" s="24" t="inlineStr">
        <is>
          <t>NO_CALL_WINNER_OVERVALUED</t>
        </is>
      </c>
      <c r="AP210" s="24" t="inlineStr">
        <is>
          <t>mlb-ath</t>
        </is>
      </c>
      <c r="AQ210" s="24" t="inlineStr">
        <is>
          <t>Athletics</t>
        </is>
      </c>
      <c r="AR210" s="24" t="inlineStr">
        <is>
          <t>Athletics</t>
        </is>
      </c>
      <c r="AS210" s="24" t="inlineStr">
        <is>
          <t>mlb-cin</t>
        </is>
      </c>
      <c r="AT210" s="24" t="inlineStr">
        <is>
          <t>Cincinnati Reds</t>
        </is>
      </c>
      <c r="AU210" s="24" t="inlineStr">
        <is>
          <t>Cincinnati Reds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research</t>
        </is>
      </c>
      <c r="BA210" s="24" t="inlineStr">
        <is>
          <t>95b84332c75d2ce54036eb8de6ada9c78d0f80228c50825c0347281a8b9b49c7</t>
        </is>
      </c>
      <c r="BB210" s="24" t="inlineStr">
        <is>
          <t>flat_probability_shrinkage_toward_half</t>
        </is>
      </c>
      <c r="BC210" s="24" t="inlineStr">
        <is>
          <t>measured-edge-totals-v3</t>
        </is>
      </c>
      <c r="BD210" s="24" t="inlineStr">
        <is>
          <t>95b84332c75d2ce54036eb8de6ada9c78d0f80228c50825c0347281a8b9b49c7</t>
        </is>
      </c>
      <c r="BE210" s="24" t="inlineStr">
        <is>
          <t>v3</t>
        </is>
      </c>
      <c r="BF210" s="24" t="inlineStr">
        <is>
          <t>1</t>
        </is>
      </c>
      <c r="BG210" s="24" t="inlineStr">
        <is>
          <t>measured-edge-paired-v1</t>
        </is>
      </c>
      <c r="BH210" s="24" t="inlineStr">
        <is>
          <t>2026-08-05T21:01:36.734850Z</t>
        </is>
      </c>
      <c r="BI210" s="24" t="inlineStr">
        <is>
          <t>["same_event","same_team_same_day","same_league_same_day"]</t>
        </is>
      </c>
      <c r="BJ210" s="25" t="n">
        <v>9.5</v>
      </c>
      <c r="BK210" s="26" t="n">
        <v>-111</v>
      </c>
      <c r="BL210" s="27" t="n">
        <v>1.900901</v>
      </c>
      <c r="BM210" s="28" t="n">
        <v>0.526066</v>
      </c>
      <c r="BN210" s="28" t="n">
        <v>0.522388</v>
      </c>
      <c r="BO210" s="28" t="n"/>
      <c r="BP210" s="25" t="n"/>
      <c r="BQ210" s="27" t="n">
        <v>1.900901</v>
      </c>
      <c r="BR210" s="28" t="n">
        <v>0.525</v>
      </c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False</t>
        </is>
      </c>
    </row>
    <row r="211" ht="36" customHeight="1">
      <c r="A211" s="24" t="inlineStr">
        <is>
          <t>50ef32bcb7204e32</t>
        </is>
      </c>
      <c r="B211" s="24" t="inlineStr">
        <is>
          <t>2026-08-05T21:01:36.734850Z</t>
        </is>
      </c>
      <c r="C211" s="24" t="inlineStr">
        <is>
          <t>2026-08-05T22:40Z</t>
        </is>
      </c>
      <c r="D211" s="24" t="inlineStr">
        <is>
          <t>401816403</t>
        </is>
      </c>
      <c r="E211" s="24" t="inlineStr">
        <is>
          <t>MLB</t>
        </is>
      </c>
      <c r="F211" s="24" t="inlineStr">
        <is>
          <t>New York Mets</t>
        </is>
      </c>
      <c r="G211" s="24" t="inlineStr">
        <is>
          <t>Cleveland Guardians</t>
        </is>
      </c>
      <c r="H211" s="24" t="inlineStr">
        <is>
          <t>spread</t>
        </is>
      </c>
      <c r="I211" s="24" t="inlineStr">
        <is>
          <t>away</t>
        </is>
      </c>
      <c r="J211" s="25" t="n">
        <v>-1.5</v>
      </c>
      <c r="K211" s="24" t="inlineStr">
        <is>
          <t>polymarket_us</t>
        </is>
      </c>
      <c r="L211" s="26" t="n">
        <v>170</v>
      </c>
      <c r="M211" s="27" t="n">
        <v>2.7</v>
      </c>
      <c r="N211" s="28" t="n">
        <v>0.37037</v>
      </c>
      <c r="O211" s="28" t="n">
        <v>0.39762</v>
      </c>
      <c r="P211" s="28" t="n">
        <v>0.042131</v>
      </c>
      <c r="Q211" s="28" t="n">
        <v>0.02725</v>
      </c>
      <c r="R211" s="26" t="n">
        <v>39</v>
      </c>
      <c r="S211" s="29" t="n">
        <v>0</v>
      </c>
      <c r="T211" s="24" t="inlineStr">
        <is>
          <t>measured-edge-margin-v3</t>
        </is>
      </c>
      <c r="U211" s="24" t="inlineStr">
        <is>
          <t>settled</t>
        </is>
      </c>
      <c r="V211" s="24" t="inlineStr">
        <is>
          <t>loss</t>
        </is>
      </c>
      <c r="W211" s="26" t="n">
        <v>6</v>
      </c>
      <c r="X211" s="26" t="n">
        <v>5</v>
      </c>
      <c r="Y211" s="25" t="n">
        <v>-1.5</v>
      </c>
      <c r="Z211" s="26" t="n">
        <v>170</v>
      </c>
      <c r="AA211" s="28" t="n">
        <v>0.37</v>
      </c>
      <c r="AB211" s="28" t="n">
        <v>-0.00037</v>
      </c>
      <c r="AC211" s="30" t="n">
        <v>0</v>
      </c>
      <c r="AD211" s="24" t="inlineStr">
        <is>
          <t>2026-08-06T03:26:05.771379Z</t>
        </is>
      </c>
      <c r="AE211" s="31" t="inlineStr">
        <is>
          <t>Measured Edge Margin: Trend Engine projected 4.46-4.23; raw selected-side p=0.3498, calibrated p=0.3976.</t>
        </is>
      </c>
      <c r="AF211" s="31" t="inlineStr">
        <is>
          <t>Research-only; lineup, bullpen, park, weather, xFIP, and wRC+ may be neutral fallbacks; market availability and BBO depth may change before first pitch.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research_observation</t>
        </is>
      </c>
      <c r="AL211" s="26" t="n">
        <v>3</v>
      </c>
      <c r="AM211" s="24" t="inlineStr">
        <is>
          <t>RESEARCH_OBSERVATION</t>
        </is>
      </c>
      <c r="AN211" s="24" t="inlineStr">
        <is>
          <t>NO_CALL</t>
        </is>
      </c>
      <c r="AO211" s="24" t="inlineStr">
        <is>
          <t>NO_CALL_WINNER_OVERVALUED</t>
        </is>
      </c>
      <c r="AP211" s="24" t="inlineStr">
        <is>
          <t>mlb-nym</t>
        </is>
      </c>
      <c r="AQ211" s="24" t="inlineStr">
        <is>
          <t>New York Mets</t>
        </is>
      </c>
      <c r="AR211" s="24" t="inlineStr">
        <is>
          <t>New York Mets</t>
        </is>
      </c>
      <c r="AS211" s="24" t="inlineStr">
        <is>
          <t>mlb-cle</t>
        </is>
      </c>
      <c r="AT211" s="24" t="inlineStr">
        <is>
          <t>Cleveland Guardians</t>
        </is>
      </c>
      <c r="AU211" s="24" t="inlineStr">
        <is>
          <t>Cleveland Guardians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research</t>
        </is>
      </c>
      <c r="BA211" s="24" t="inlineStr">
        <is>
          <t>dd339a2eed50d7d83ab2127837995ddab82e879afd27f5414bb6c1f9cd60ba4c</t>
        </is>
      </c>
      <c r="BB211" s="24" t="inlineStr">
        <is>
          <t>flat_probability_shrinkage_toward_half</t>
        </is>
      </c>
      <c r="BC211" s="24" t="inlineStr">
        <is>
          <t>measured-edge-margin-v3</t>
        </is>
      </c>
      <c r="BD211" s="24" t="inlineStr">
        <is>
          <t>dd339a2eed50d7d83ab2127837995ddab82e879afd27f5414bb6c1f9cd60ba4c</t>
        </is>
      </c>
      <c r="BE211" s="24" t="inlineStr">
        <is>
          <t>v3</t>
        </is>
      </c>
      <c r="BF211" s="24" t="inlineStr">
        <is>
          <t>1</t>
        </is>
      </c>
      <c r="BG211" s="24" t="inlineStr">
        <is>
          <t>measured-edge-paired-v1</t>
        </is>
      </c>
      <c r="BH211" s="24" t="inlineStr">
        <is>
          <t>2026-08-05T21:01:36.734850Z</t>
        </is>
      </c>
      <c r="BI211" s="24" t="inlineStr">
        <is>
          <t>["same_event","same_team_same_day","same_league_same_day"]</t>
        </is>
      </c>
      <c r="BJ211" s="25" t="n">
        <v>-1.5</v>
      </c>
      <c r="BK211" s="26" t="n">
        <v>170</v>
      </c>
      <c r="BL211" s="27" t="n">
        <v>2.7</v>
      </c>
      <c r="BM211" s="28" t="n">
        <v>0.37037</v>
      </c>
      <c r="BN211" s="28" t="n">
        <v>0.368159</v>
      </c>
      <c r="BO211" s="28" t="n"/>
      <c r="BP211" s="25" t="n"/>
      <c r="BQ211" s="27" t="n">
        <v>2.7</v>
      </c>
      <c r="BR211" s="28" t="n">
        <v>0.37</v>
      </c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</row>
    <row r="212" ht="36" customHeight="1">
      <c r="A212" s="24" t="inlineStr">
        <is>
          <t>3062b1c43e874d70</t>
        </is>
      </c>
      <c r="B212" s="24" t="inlineStr">
        <is>
          <t>2026-08-05T21:01:36.734850Z</t>
        </is>
      </c>
      <c r="C212" s="24" t="inlineStr">
        <is>
          <t>2026-08-05T22:40Z</t>
        </is>
      </c>
      <c r="D212" s="24" t="inlineStr">
        <is>
          <t>401816403</t>
        </is>
      </c>
      <c r="E212" s="24" t="inlineStr">
        <is>
          <t>MLB</t>
        </is>
      </c>
      <c r="F212" s="24" t="inlineStr">
        <is>
          <t>New York Mets</t>
        </is>
      </c>
      <c r="G212" s="24" t="inlineStr">
        <is>
          <t>Cleveland Guardians</t>
        </is>
      </c>
      <c r="H212" s="24" t="inlineStr">
        <is>
          <t>total</t>
        </is>
      </c>
      <c r="I212" s="24" t="inlineStr">
        <is>
          <t>over</t>
        </is>
      </c>
      <c r="J212" s="25" t="n">
        <v>7.5</v>
      </c>
      <c r="K212" s="24" t="inlineStr">
        <is>
          <t>polymarket_us</t>
        </is>
      </c>
      <c r="L212" s="26" t="n">
        <v>-106</v>
      </c>
      <c r="M212" s="27" t="n">
        <v>1.943396</v>
      </c>
      <c r="N212" s="28" t="n">
        <v>0.514563</v>
      </c>
      <c r="O212" s="28" t="n">
        <v>0.521238</v>
      </c>
      <c r="P212" s="28" t="n">
        <v>0.042131</v>
      </c>
      <c r="Q212" s="28" t="n">
        <v>0.006675</v>
      </c>
      <c r="R212" s="26" t="n">
        <v>29</v>
      </c>
      <c r="S212" s="29" t="n">
        <v>0</v>
      </c>
      <c r="T212" s="24" t="inlineStr">
        <is>
          <t>measured-edge-totals-v3</t>
        </is>
      </c>
      <c r="U212" s="24" t="inlineStr">
        <is>
          <t>settled</t>
        </is>
      </c>
      <c r="V212" s="24" t="inlineStr">
        <is>
          <t>win</t>
        </is>
      </c>
      <c r="W212" s="26" t="n">
        <v>6</v>
      </c>
      <c r="X212" s="26" t="n">
        <v>5</v>
      </c>
      <c r="Y212" s="25" t="n">
        <v>7.5</v>
      </c>
      <c r="Z212" s="26" t="n">
        <v>-106</v>
      </c>
      <c r="AA212" s="28" t="n">
        <v>0.515</v>
      </c>
      <c r="AB212" s="28" t="n">
        <v>0.000437</v>
      </c>
      <c r="AC212" s="30" t="n">
        <v>0</v>
      </c>
      <c r="AD212" s="24" t="inlineStr">
        <is>
          <t>2026-08-06T03:26:07.681388Z</t>
        </is>
      </c>
      <c r="AE212" s="31" t="inlineStr">
        <is>
          <t>Measured Edge Totals: Trend Engine projected 4.46-4.23; raw selected-side p=0.5622, calibrated p=0.5212.</t>
        </is>
      </c>
      <c r="AF212" s="31" t="inlineStr">
        <is>
          <t>Research-only; lineup, bullpen, park, weather, xFIP, and wRC+ may be neutral fallbacks; market availability and BBO depth may change before first pitch.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NO_CALL_WINNER_OVERVALUED</t>
        </is>
      </c>
      <c r="AP212" s="24" t="inlineStr">
        <is>
          <t>mlb-nym</t>
        </is>
      </c>
      <c r="AQ212" s="24" t="inlineStr">
        <is>
          <t>New York Mets</t>
        </is>
      </c>
      <c r="AR212" s="24" t="inlineStr">
        <is>
          <t>New York Mets</t>
        </is>
      </c>
      <c r="AS212" s="24" t="inlineStr">
        <is>
          <t>mlb-cle</t>
        </is>
      </c>
      <c r="AT212" s="24" t="inlineStr">
        <is>
          <t>Cleveland Guardians</t>
        </is>
      </c>
      <c r="AU212" s="24" t="inlineStr">
        <is>
          <t>Cleveland Guardians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research</t>
        </is>
      </c>
      <c r="BA212" s="24" t="inlineStr">
        <is>
          <t>95b84332c75d2ce54036eb8de6ada9c78d0f80228c50825c0347281a8b9b49c7</t>
        </is>
      </c>
      <c r="BB212" s="24" t="inlineStr">
        <is>
          <t>flat_probability_shrinkage_toward_half</t>
        </is>
      </c>
      <c r="BC212" s="24" t="inlineStr">
        <is>
          <t>measured-edge-totals-v3</t>
        </is>
      </c>
      <c r="BD212" s="24" t="inlineStr">
        <is>
          <t>95b84332c75d2ce54036eb8de6ada9c78d0f80228c50825c0347281a8b9b49c7</t>
        </is>
      </c>
      <c r="BE212" s="24" t="inlineStr">
        <is>
          <t>v3</t>
        </is>
      </c>
      <c r="BF212" s="24" t="inlineStr">
        <is>
          <t>1</t>
        </is>
      </c>
      <c r="BG212" s="24" t="inlineStr">
        <is>
          <t>measured-edge-paired-v1</t>
        </is>
      </c>
      <c r="BH212" s="24" t="inlineStr">
        <is>
          <t>2026-08-05T21:01:36.734850Z</t>
        </is>
      </c>
      <c r="BI212" s="24" t="inlineStr">
        <is>
          <t>["same_event","same_team_same_day","same_league_same_day"]</t>
        </is>
      </c>
      <c r="BJ212" s="25" t="n">
        <v>7.5</v>
      </c>
      <c r="BK212" s="26" t="n">
        <v>-106</v>
      </c>
      <c r="BL212" s="27" t="n">
        <v>1.943396</v>
      </c>
      <c r="BM212" s="28" t="n">
        <v>0.514563</v>
      </c>
      <c r="BN212" s="28" t="n">
        <v>0.5124379999999999</v>
      </c>
      <c r="BO212" s="28" t="n"/>
      <c r="BP212" s="25" t="n"/>
      <c r="BQ212" s="27" t="n">
        <v>1.943396</v>
      </c>
      <c r="BR212" s="28" t="n">
        <v>0.515</v>
      </c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0f0ad6db5d7d46d2</t>
        </is>
      </c>
      <c r="B213" s="24" t="inlineStr">
        <is>
          <t>2026-08-05T21:01:36.734850Z</t>
        </is>
      </c>
      <c r="C213" s="24" t="inlineStr">
        <is>
          <t>2026-08-05T22:40Z</t>
        </is>
      </c>
      <c r="D213" s="24" t="inlineStr">
        <is>
          <t>401816405</t>
        </is>
      </c>
      <c r="E213" s="24" t="inlineStr">
        <is>
          <t>MLB</t>
        </is>
      </c>
      <c r="F213" s="24" t="inlineStr">
        <is>
          <t>Washington Nationals</t>
        </is>
      </c>
      <c r="G213" s="24" t="inlineStr">
        <is>
          <t>Philadelphia Phillies</t>
        </is>
      </c>
      <c r="H213" s="24" t="inlineStr">
        <is>
          <t>spread</t>
        </is>
      </c>
      <c r="I213" s="24" t="inlineStr">
        <is>
          <t>home</t>
        </is>
      </c>
      <c r="J213" s="25" t="n">
        <v>-1.5</v>
      </c>
      <c r="K213" s="24" t="inlineStr">
        <is>
          <t>polymarket_us</t>
        </is>
      </c>
      <c r="L213" s="26" t="n">
        <v>113</v>
      </c>
      <c r="M213" s="27" t="n">
        <v>2.13</v>
      </c>
      <c r="N213" s="28" t="n">
        <v>0.469484</v>
      </c>
      <c r="O213" s="28" t="n">
        <v>0.401878</v>
      </c>
      <c r="P213" s="28" t="n">
        <v>0.042131</v>
      </c>
      <c r="Q213" s="28" t="n">
        <v>-0.067606</v>
      </c>
      <c r="R213" s="26" t="n">
        <v>0</v>
      </c>
      <c r="S213" s="29" t="n">
        <v>0</v>
      </c>
      <c r="T213" s="24" t="inlineStr">
        <is>
          <t>measured-edge-margin-v3</t>
        </is>
      </c>
      <c r="U213" s="24" t="inlineStr">
        <is>
          <t>settled</t>
        </is>
      </c>
      <c r="V213" s="24" t="inlineStr">
        <is>
          <t>loss</t>
        </is>
      </c>
      <c r="W213" s="26" t="n">
        <v>10</v>
      </c>
      <c r="X213" s="26" t="n">
        <v>4</v>
      </c>
      <c r="Y213" s="25" t="n">
        <v>-1.5</v>
      </c>
      <c r="Z213" s="26" t="n">
        <v>113</v>
      </c>
      <c r="AA213" s="28" t="n">
        <v>0.47</v>
      </c>
      <c r="AB213" s="28" t="n">
        <v>0.000516</v>
      </c>
      <c r="AC213" s="30" t="n">
        <v>0</v>
      </c>
      <c r="AD213" s="24" t="inlineStr">
        <is>
          <t>2026-08-06T03:26:09.500168Z</t>
        </is>
      </c>
      <c r="AE213" s="31" t="inlineStr">
        <is>
          <t>Measured Edge Margin: Trend Engine projected 5.21-5.30; raw selected-side p=0.3560, calibrated p=0.4019.</t>
        </is>
      </c>
      <c r="AF213" s="31" t="inlineStr">
        <is>
          <t>Research-only; lineup, bullpen, park, weather, xFIP, and wRC+ may be neutral fallbacks; market availability and BBO depth may change before first pitch.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NO_CALL_WINNER_OVERVALUED</t>
        </is>
      </c>
      <c r="AP213" s="24" t="inlineStr">
        <is>
          <t>mlb-wsh</t>
        </is>
      </c>
      <c r="AQ213" s="24" t="inlineStr">
        <is>
          <t>Washington Nationals</t>
        </is>
      </c>
      <c r="AR213" s="24" t="inlineStr">
        <is>
          <t>Washington Nationals</t>
        </is>
      </c>
      <c r="AS213" s="24" t="inlineStr">
        <is>
          <t>mlb-phi</t>
        </is>
      </c>
      <c r="AT213" s="24" t="inlineStr">
        <is>
          <t>Philadelphia Phillies</t>
        </is>
      </c>
      <c r="AU213" s="24" t="inlineStr">
        <is>
          <t>Philadelphia Phillies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research</t>
        </is>
      </c>
      <c r="BA213" s="24" t="inlineStr">
        <is>
          <t>dd339a2eed50d7d83ab2127837995ddab82e879afd27f5414bb6c1f9cd60ba4c</t>
        </is>
      </c>
      <c r="BB213" s="24" t="inlineStr">
        <is>
          <t>flat_probability_shrinkage_toward_half</t>
        </is>
      </c>
      <c r="BC213" s="24" t="inlineStr">
        <is>
          <t>measured-edge-margin-v3</t>
        </is>
      </c>
      <c r="BD213" s="24" t="inlineStr">
        <is>
          <t>dd339a2eed50d7d83ab2127837995ddab82e879afd27f5414bb6c1f9cd60ba4c</t>
        </is>
      </c>
      <c r="BE213" s="24" t="inlineStr">
        <is>
          <t>v3</t>
        </is>
      </c>
      <c r="BF213" s="24" t="inlineStr">
        <is>
          <t>1</t>
        </is>
      </c>
      <c r="BG213" s="24" t="inlineStr">
        <is>
          <t>measured-edge-paired-v1</t>
        </is>
      </c>
      <c r="BH213" s="24" t="inlineStr">
        <is>
          <t>2026-08-05T21:01:36.734850Z</t>
        </is>
      </c>
      <c r="BI213" s="24" t="inlineStr">
        <is>
          <t>["same_event","same_team_same_day","same_league_same_day"]</t>
        </is>
      </c>
      <c r="BJ213" s="25" t="n">
        <v>-1.5</v>
      </c>
      <c r="BK213" s="26" t="n">
        <v>113</v>
      </c>
      <c r="BL213" s="27" t="n">
        <v>2.13</v>
      </c>
      <c r="BM213" s="28" t="n">
        <v>0.469484</v>
      </c>
      <c r="BN213" s="28" t="n">
        <v>0.467662</v>
      </c>
      <c r="BO213" s="28" t="n"/>
      <c r="BP213" s="25" t="n"/>
      <c r="BQ213" s="27" t="n">
        <v>2.13</v>
      </c>
      <c r="BR213" s="28" t="n">
        <v>0.47</v>
      </c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064d9c54694446ab</t>
        </is>
      </c>
      <c r="B214" s="24" t="inlineStr">
        <is>
          <t>2026-08-05T21:01:36.734850Z</t>
        </is>
      </c>
      <c r="C214" s="24" t="inlineStr">
        <is>
          <t>2026-08-05T22:40Z</t>
        </is>
      </c>
      <c r="D214" s="24" t="inlineStr">
        <is>
          <t>401816405</t>
        </is>
      </c>
      <c r="E214" s="24" t="inlineStr">
        <is>
          <t>MLB</t>
        </is>
      </c>
      <c r="F214" s="24" t="inlineStr">
        <is>
          <t>Washington Nationals</t>
        </is>
      </c>
      <c r="G214" s="24" t="inlineStr">
        <is>
          <t>Philadelphia Phillies</t>
        </is>
      </c>
      <c r="H214" s="24" t="inlineStr">
        <is>
          <t>total</t>
        </is>
      </c>
      <c r="I214" s="24" t="inlineStr">
        <is>
          <t>over</t>
        </is>
      </c>
      <c r="J214" s="25" t="n">
        <v>9.5</v>
      </c>
      <c r="K214" s="24" t="inlineStr">
        <is>
          <t>polymarket_us</t>
        </is>
      </c>
      <c r="L214" s="26" t="n">
        <v>-102</v>
      </c>
      <c r="M214" s="27" t="n">
        <v>1.980392</v>
      </c>
      <c r="N214" s="28" t="n">
        <v>0.50495</v>
      </c>
      <c r="O214" s="28" t="n">
        <v>0.514109</v>
      </c>
      <c r="P214" s="28" t="n">
        <v>0.042131</v>
      </c>
      <c r="Q214" s="28" t="n">
        <v>0.009159</v>
      </c>
      <c r="R214" s="26" t="n">
        <v>31</v>
      </c>
      <c r="S214" s="29" t="n">
        <v>0</v>
      </c>
      <c r="T214" s="24" t="inlineStr">
        <is>
          <t>measured-edge-totals-v3</t>
        </is>
      </c>
      <c r="U214" s="24" t="inlineStr">
        <is>
          <t>settled</t>
        </is>
      </c>
      <c r="V214" s="24" t="inlineStr">
        <is>
          <t>win</t>
        </is>
      </c>
      <c r="W214" s="26" t="n">
        <v>10</v>
      </c>
      <c r="X214" s="26" t="n">
        <v>4</v>
      </c>
      <c r="Y214" s="25" t="n">
        <v>9.5</v>
      </c>
      <c r="Z214" s="26" t="n">
        <v>-102</v>
      </c>
      <c r="AA214" s="28" t="n">
        <v>0.505</v>
      </c>
      <c r="AB214" s="28" t="n">
        <v>5e-05</v>
      </c>
      <c r="AC214" s="30" t="n">
        <v>0</v>
      </c>
      <c r="AD214" s="24" t="inlineStr">
        <is>
          <t>2026-08-06T03:26:11.321346Z</t>
        </is>
      </c>
      <c r="AE214" s="31" t="inlineStr">
        <is>
          <t>Measured Edge Totals: Trend Engine projected 5.21-5.30; raw selected-side p=0.5334, calibrated p=0.5141.</t>
        </is>
      </c>
      <c r="AF214" s="31" t="inlineStr">
        <is>
          <t>Research-only; lineup, bullpen, park, weather, xFIP, and wRC+ may be neutral fallbacks; market availability and BBO depth may change before first pitch.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research_observation</t>
        </is>
      </c>
      <c r="AL214" s="26" t="n">
        <v>3</v>
      </c>
      <c r="AM214" s="24" t="inlineStr">
        <is>
          <t>RESEARCH_OBSERVATION</t>
        </is>
      </c>
      <c r="AN214" s="24" t="inlineStr">
        <is>
          <t>NO_CALL</t>
        </is>
      </c>
      <c r="AO214" s="24" t="inlineStr">
        <is>
          <t>NO_CALL_WINNER_OVERVALUED</t>
        </is>
      </c>
      <c r="AP214" s="24" t="inlineStr">
        <is>
          <t>mlb-wsh</t>
        </is>
      </c>
      <c r="AQ214" s="24" t="inlineStr">
        <is>
          <t>Washington Nationals</t>
        </is>
      </c>
      <c r="AR214" s="24" t="inlineStr">
        <is>
          <t>Washington Nationals</t>
        </is>
      </c>
      <c r="AS214" s="24" t="inlineStr">
        <is>
          <t>mlb-phi</t>
        </is>
      </c>
      <c r="AT214" s="24" t="inlineStr">
        <is>
          <t>Philadelphia Phillies</t>
        </is>
      </c>
      <c r="AU214" s="24" t="inlineStr">
        <is>
          <t>Philadelphia Phillies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95b84332c75d2ce54036eb8de6ada9c78d0f80228c50825c0347281a8b9b49c7</t>
        </is>
      </c>
      <c r="BB214" s="24" t="inlineStr">
        <is>
          <t>flat_probability_shrinkage_toward_half</t>
        </is>
      </c>
      <c r="BC214" s="24" t="inlineStr">
        <is>
          <t>measured-edge-totals-v3</t>
        </is>
      </c>
      <c r="BD214" s="24" t="inlineStr">
        <is>
          <t>95b84332c75d2ce54036eb8de6ada9c78d0f80228c50825c0347281a8b9b49c7</t>
        </is>
      </c>
      <c r="BE214" s="24" t="inlineStr">
        <is>
          <t>v3</t>
        </is>
      </c>
      <c r="BF214" s="24" t="inlineStr">
        <is>
          <t>1</t>
        </is>
      </c>
      <c r="BG214" s="24" t="inlineStr">
        <is>
          <t>measured-edge-paired-v1</t>
        </is>
      </c>
      <c r="BH214" s="24" t="inlineStr">
        <is>
          <t>2026-08-05T21:01:36.734850Z</t>
        </is>
      </c>
      <c r="BI214" s="24" t="inlineStr">
        <is>
          <t>["same_event","same_team_same_day","same_league_same_day"]</t>
        </is>
      </c>
      <c r="BJ214" s="25" t="n">
        <v>9.5</v>
      </c>
      <c r="BK214" s="26" t="n">
        <v>-102</v>
      </c>
      <c r="BL214" s="27" t="n">
        <v>1.980392</v>
      </c>
      <c r="BM214" s="28" t="n">
        <v>0.50495</v>
      </c>
      <c r="BN214" s="28" t="n">
        <v>0.502488</v>
      </c>
      <c r="BO214" s="28" t="n"/>
      <c r="BP214" s="25" t="n"/>
      <c r="BQ214" s="27" t="n">
        <v>1.980392</v>
      </c>
      <c r="BR214" s="28" t="n">
        <v>0.505</v>
      </c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424470d1727a45b8</t>
        </is>
      </c>
      <c r="B215" s="24" t="inlineStr">
        <is>
          <t>2026-08-05T21:01:36.734850Z</t>
        </is>
      </c>
      <c r="C215" s="24" t="inlineStr">
        <is>
          <t>2026-08-05T23:05Z</t>
        </is>
      </c>
      <c r="D215" s="24" t="inlineStr">
        <is>
          <t>401816404</t>
        </is>
      </c>
      <c r="E215" s="24" t="inlineStr">
        <is>
          <t>MLB</t>
        </is>
      </c>
      <c r="F215" s="24" t="inlineStr">
        <is>
          <t>St. Louis Cardinals</t>
        </is>
      </c>
      <c r="G215" s="24" t="inlineStr">
        <is>
          <t>New York Yankees</t>
        </is>
      </c>
      <c r="H215" s="24" t="inlineStr">
        <is>
          <t>spread</t>
        </is>
      </c>
      <c r="I215" s="24" t="inlineStr">
        <is>
          <t>away</t>
        </is>
      </c>
      <c r="J215" s="25" t="n">
        <v>1.5</v>
      </c>
      <c r="K215" s="24" t="inlineStr">
        <is>
          <t>polymarket_us</t>
        </is>
      </c>
      <c r="L215" s="26" t="n">
        <v>-144</v>
      </c>
      <c r="M215" s="27" t="n">
        <v>1.694444</v>
      </c>
      <c r="N215" s="28" t="n">
        <v>0.590164</v>
      </c>
      <c r="O215" s="28" t="n">
        <v>0.62732</v>
      </c>
      <c r="P215" s="28" t="n">
        <v>0.042131</v>
      </c>
      <c r="Q215" s="28" t="n">
        <v>0.037156</v>
      </c>
      <c r="R215" s="26" t="n">
        <v>45</v>
      </c>
      <c r="S215" s="29" t="n">
        <v>0</v>
      </c>
      <c r="T215" s="24" t="inlineStr">
        <is>
          <t>measured-edge-margin-v3</t>
        </is>
      </c>
      <c r="U215" s="24" t="inlineStr">
        <is>
          <t>settled</t>
        </is>
      </c>
      <c r="V215" s="24" t="inlineStr">
        <is>
          <t>win</t>
        </is>
      </c>
      <c r="W215" s="26" t="n">
        <v>3</v>
      </c>
      <c r="X215" s="26" t="n">
        <v>1</v>
      </c>
      <c r="Y215" s="25" t="n">
        <v>1.5</v>
      </c>
      <c r="Z215" s="26" t="n">
        <v>-144</v>
      </c>
      <c r="AA215" s="28" t="n">
        <v>0.59</v>
      </c>
      <c r="AB215" s="28" t="n">
        <v>-0.000164</v>
      </c>
      <c r="AC215" s="30" t="n">
        <v>0</v>
      </c>
      <c r="AD215" s="24" t="inlineStr">
        <is>
          <t>2026-08-06T18:54:03.977241Z</t>
        </is>
      </c>
      <c r="AE215" s="31" t="inlineStr">
        <is>
          <t>Measured Edge Margin: Trend Engine projected 4.74-4.57; raw selected-side p=0.6868, calibrated p=0.6273.</t>
        </is>
      </c>
      <c r="AF215" s="31" t="inlineStr">
        <is>
          <t>Research-only; lineup, bullpen, park, weather, xFIP, and wRC+ may be neutral fallbacks; market availability and BBO depth may change before first pitch.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NO_CALL_WINNER_OVERVALUED</t>
        </is>
      </c>
      <c r="AP215" s="24" t="inlineStr">
        <is>
          <t>mlb-stl</t>
        </is>
      </c>
      <c r="AQ215" s="24" t="inlineStr">
        <is>
          <t>St. Louis Cardinals</t>
        </is>
      </c>
      <c r="AR215" s="24" t="inlineStr">
        <is>
          <t>St. Louis Cardinals</t>
        </is>
      </c>
      <c r="AS215" s="24" t="inlineStr">
        <is>
          <t>mlb-nyy</t>
        </is>
      </c>
      <c r="AT215" s="24" t="inlineStr">
        <is>
          <t>New York Yankees</t>
        </is>
      </c>
      <c r="AU215" s="24" t="inlineStr">
        <is>
          <t>New York Yankees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dd339a2eed50d7d83ab2127837995ddab82e879afd27f5414bb6c1f9cd60ba4c</t>
        </is>
      </c>
      <c r="BB215" s="24" t="inlineStr">
        <is>
          <t>flat_probability_shrinkage_toward_half</t>
        </is>
      </c>
      <c r="BC215" s="24" t="inlineStr">
        <is>
          <t>measured-edge-margin-v3</t>
        </is>
      </c>
      <c r="BD215" s="24" t="inlineStr">
        <is>
          <t>dd339a2eed50d7d83ab2127837995ddab82e879afd27f5414bb6c1f9cd60ba4c</t>
        </is>
      </c>
      <c r="BE215" s="24" t="inlineStr">
        <is>
          <t>v3</t>
        </is>
      </c>
      <c r="BF215" s="24" t="inlineStr">
        <is>
          <t>1</t>
        </is>
      </c>
      <c r="BG215" s="24" t="inlineStr">
        <is>
          <t>measured-edge-paired-v1</t>
        </is>
      </c>
      <c r="BH215" s="24" t="inlineStr">
        <is>
          <t>2026-08-05T21:01:36.734850Z</t>
        </is>
      </c>
      <c r="BI215" s="24" t="inlineStr">
        <is>
          <t>["same_event","same_team_same_day","same_league_same_day"]</t>
        </is>
      </c>
      <c r="BJ215" s="25" t="n">
        <v>1.5</v>
      </c>
      <c r="BK215" s="26" t="n">
        <v>-144</v>
      </c>
      <c r="BL215" s="27" t="n">
        <v>1.694444</v>
      </c>
      <c r="BM215" s="28" t="n">
        <v>0.590164</v>
      </c>
      <c r="BN215" s="28" t="n">
        <v>0.5870649999999999</v>
      </c>
      <c r="BO215" s="28" t="n"/>
      <c r="BP215" s="25" t="n"/>
      <c r="BQ215" s="27" t="n">
        <v>1.694444</v>
      </c>
      <c r="BR215" s="28" t="n">
        <v>0.59</v>
      </c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</row>
    <row r="216" ht="36" customHeight="1">
      <c r="A216" s="24" t="inlineStr">
        <is>
          <t>0348f0e490244675</t>
        </is>
      </c>
      <c r="B216" s="24" t="inlineStr">
        <is>
          <t>2026-08-05T21:01:36.734850Z</t>
        </is>
      </c>
      <c r="C216" s="24" t="inlineStr">
        <is>
          <t>2026-08-05T23:05Z</t>
        </is>
      </c>
      <c r="D216" s="24" t="inlineStr">
        <is>
          <t>401816404</t>
        </is>
      </c>
      <c r="E216" s="24" t="inlineStr">
        <is>
          <t>MLB</t>
        </is>
      </c>
      <c r="F216" s="24" t="inlineStr">
        <is>
          <t>St. Louis Cardinals</t>
        </is>
      </c>
      <c r="G216" s="24" t="inlineStr">
        <is>
          <t>New York Yankees</t>
        </is>
      </c>
      <c r="H216" s="24" t="inlineStr">
        <is>
          <t>total</t>
        </is>
      </c>
      <c r="I216" s="24" t="inlineStr">
        <is>
          <t>over</t>
        </is>
      </c>
      <c r="J216" s="25" t="n">
        <v>8.5</v>
      </c>
      <c r="K216" s="24" t="inlineStr">
        <is>
          <t>polymarket_us</t>
        </is>
      </c>
      <c r="L216" s="26" t="n">
        <v>108</v>
      </c>
      <c r="M216" s="27" t="n">
        <v>2.08</v>
      </c>
      <c r="N216" s="28" t="n">
        <v>0.480769</v>
      </c>
      <c r="O216" s="28" t="n">
        <v>0.51745</v>
      </c>
      <c r="P216" s="28" t="n">
        <v>0.042131</v>
      </c>
      <c r="Q216" s="28" t="n">
        <v>0.036681</v>
      </c>
      <c r="R216" s="26" t="n">
        <v>45</v>
      </c>
      <c r="S216" s="29" t="n">
        <v>0</v>
      </c>
      <c r="T216" s="24" t="inlineStr">
        <is>
          <t>measured-edge-totals-v3</t>
        </is>
      </c>
      <c r="U216" s="24" t="inlineStr">
        <is>
          <t>settled</t>
        </is>
      </c>
      <c r="V216" s="24" t="inlineStr">
        <is>
          <t>loss</t>
        </is>
      </c>
      <c r="W216" s="26" t="n">
        <v>3</v>
      </c>
      <c r="X216" s="26" t="n">
        <v>1</v>
      </c>
      <c r="Y216" s="25" t="n">
        <v>8.5</v>
      </c>
      <c r="Z216" s="26" t="n">
        <v>108</v>
      </c>
      <c r="AA216" s="28" t="n">
        <v>0.48</v>
      </c>
      <c r="AB216" s="28" t="n">
        <v>-0.000769</v>
      </c>
      <c r="AC216" s="30" t="n">
        <v>0</v>
      </c>
      <c r="AD216" s="24" t="inlineStr">
        <is>
          <t>2026-08-06T18:54:05.977213Z</t>
        </is>
      </c>
      <c r="AE216" s="31" t="inlineStr">
        <is>
          <t>Measured Edge Totals: Trend Engine projected 4.74-4.57; raw selected-side p=0.5469, calibrated p=0.5174.</t>
        </is>
      </c>
      <c r="AF216" s="31" t="inlineStr">
        <is>
          <t>Research-only; lineup, bullpen, park, weather, xFIP, and wRC+ may be neutral fallbacks; market availability and BBO depth may change before first pitch.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research_observation</t>
        </is>
      </c>
      <c r="AL216" s="26" t="n">
        <v>3</v>
      </c>
      <c r="AM216" s="24" t="inlineStr">
        <is>
          <t>RESEARCH_OBSERVATION</t>
        </is>
      </c>
      <c r="AN216" s="24" t="inlineStr">
        <is>
          <t>NO_CALL</t>
        </is>
      </c>
      <c r="AO216" s="24" t="inlineStr">
        <is>
          <t>NO_CALL_WINNER_OVERVALUED</t>
        </is>
      </c>
      <c r="AP216" s="24" t="inlineStr">
        <is>
          <t>mlb-stl</t>
        </is>
      </c>
      <c r="AQ216" s="24" t="inlineStr">
        <is>
          <t>St. Louis Cardinals</t>
        </is>
      </c>
      <c r="AR216" s="24" t="inlineStr">
        <is>
          <t>St. Louis Cardinals</t>
        </is>
      </c>
      <c r="AS216" s="24" t="inlineStr">
        <is>
          <t>mlb-nyy</t>
        </is>
      </c>
      <c r="AT216" s="24" t="inlineStr">
        <is>
          <t>New York Yankees</t>
        </is>
      </c>
      <c r="AU216" s="24" t="inlineStr">
        <is>
          <t>New York Yankees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95b84332c75d2ce54036eb8de6ada9c78d0f80228c50825c0347281a8b9b49c7</t>
        </is>
      </c>
      <c r="BB216" s="24" t="inlineStr">
        <is>
          <t>flat_probability_shrinkage_toward_half</t>
        </is>
      </c>
      <c r="BC216" s="24" t="inlineStr">
        <is>
          <t>measured-edge-totals-v3</t>
        </is>
      </c>
      <c r="BD216" s="24" t="inlineStr">
        <is>
          <t>95b84332c75d2ce54036eb8de6ada9c78d0f80228c50825c0347281a8b9b49c7</t>
        </is>
      </c>
      <c r="BE216" s="24" t="inlineStr">
        <is>
          <t>v3</t>
        </is>
      </c>
      <c r="BF216" s="24" t="inlineStr">
        <is>
          <t>1</t>
        </is>
      </c>
      <c r="BG216" s="24" t="inlineStr">
        <is>
          <t>measured-edge-paired-v1</t>
        </is>
      </c>
      <c r="BH216" s="24" t="inlineStr">
        <is>
          <t>2026-08-05T21:01:36.734850Z</t>
        </is>
      </c>
      <c r="BI216" s="24" t="inlineStr">
        <is>
          <t>["same_event","same_team_same_day","same_league_same_day"]</t>
        </is>
      </c>
      <c r="BJ216" s="25" t="n">
        <v>8.5</v>
      </c>
      <c r="BK216" s="26" t="n">
        <v>108</v>
      </c>
      <c r="BL216" s="27" t="n">
        <v>2.08</v>
      </c>
      <c r="BM216" s="28" t="n">
        <v>0.480769</v>
      </c>
      <c r="BN216" s="28" t="n">
        <v>0.477612</v>
      </c>
      <c r="BO216" s="28" t="n"/>
      <c r="BP216" s="25" t="n"/>
      <c r="BQ216" s="27" t="n">
        <v>2.08</v>
      </c>
      <c r="BR216" s="28" t="n">
        <v>0.48</v>
      </c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29b6bf8fe7074efd</t>
        </is>
      </c>
      <c r="B217" s="24" t="inlineStr">
        <is>
          <t>2026-08-05T21:01:36.734850Z</t>
        </is>
      </c>
      <c r="C217" s="24" t="inlineStr">
        <is>
          <t>2026-08-05T23:10Z</t>
        </is>
      </c>
      <c r="D217" s="24" t="inlineStr">
        <is>
          <t>401816401</t>
        </is>
      </c>
      <c r="E217" s="24" t="inlineStr">
        <is>
          <t>MLB</t>
        </is>
      </c>
      <c r="F217" s="24" t="inlineStr">
        <is>
          <t>Chicago White Sox</t>
        </is>
      </c>
      <c r="G217" s="24" t="inlineStr">
        <is>
          <t>Boston Red Sox</t>
        </is>
      </c>
      <c r="H217" s="24" t="inlineStr">
        <is>
          <t>spread</t>
        </is>
      </c>
      <c r="I217" s="24" t="inlineStr">
        <is>
          <t>away</t>
        </is>
      </c>
      <c r="J217" s="25" t="n">
        <v>1.5</v>
      </c>
      <c r="K217" s="24" t="inlineStr">
        <is>
          <t>polymarket_us</t>
        </is>
      </c>
      <c r="L217" s="26" t="n">
        <v>-160</v>
      </c>
      <c r="M217" s="27" t="n">
        <v>1.625</v>
      </c>
      <c r="N217" s="28" t="n">
        <v>0.615385</v>
      </c>
      <c r="O217" s="28" t="n">
        <v>0.636723</v>
      </c>
      <c r="P217" s="28" t="n">
        <v>0.042131</v>
      </c>
      <c r="Q217" s="28" t="n">
        <v>0.021338</v>
      </c>
      <c r="R217" s="26" t="n">
        <v>37</v>
      </c>
      <c r="S217" s="29" t="n">
        <v>0</v>
      </c>
      <c r="T217" s="24" t="inlineStr">
        <is>
          <t>measured-edge-margin-v3</t>
        </is>
      </c>
      <c r="U217" s="24" t="inlineStr">
        <is>
          <t>settled</t>
        </is>
      </c>
      <c r="V217" s="24" t="inlineStr">
        <is>
          <t>loss</t>
        </is>
      </c>
      <c r="W217" s="26" t="n">
        <v>0</v>
      </c>
      <c r="X217" s="26" t="n">
        <v>4</v>
      </c>
      <c r="Y217" s="25" t="n">
        <v>1.5</v>
      </c>
      <c r="Z217" s="26" t="n">
        <v>-160</v>
      </c>
      <c r="AA217" s="28" t="n">
        <v>0.615</v>
      </c>
      <c r="AB217" s="28" t="n">
        <v>-0.000385</v>
      </c>
      <c r="AC217" s="30" t="n">
        <v>0</v>
      </c>
      <c r="AD217" s="24" t="inlineStr">
        <is>
          <t>2026-08-06T03:26:13.196553Z</t>
        </is>
      </c>
      <c r="AE217" s="31" t="inlineStr">
        <is>
          <t>Measured Edge Margin: Trend Engine projected 4.13-3.98; raw selected-side p=0.7006, calibrated p=0.6367.</t>
        </is>
      </c>
      <c r="AF217" s="31" t="inlineStr">
        <is>
          <t>Research-only; lineup, bullpen, park, weather, xFIP, and wRC+ may be neutral fallbacks; market availability and BBO depth may change before first pitch.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NO_CALL_WINNER_OVERVALUED</t>
        </is>
      </c>
      <c r="AP217" s="24" t="inlineStr">
        <is>
          <t>mlb-cws</t>
        </is>
      </c>
      <c r="AQ217" s="24" t="inlineStr">
        <is>
          <t>Chicago White Sox</t>
        </is>
      </c>
      <c r="AR217" s="24" t="inlineStr">
        <is>
          <t>Chicago White Sox</t>
        </is>
      </c>
      <c r="AS217" s="24" t="inlineStr">
        <is>
          <t>mlb-bos</t>
        </is>
      </c>
      <c r="AT217" s="24" t="inlineStr">
        <is>
          <t>Boston Red Sox</t>
        </is>
      </c>
      <c r="AU217" s="24" t="inlineStr">
        <is>
          <t>Boston Red Sox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dd339a2eed50d7d83ab2127837995ddab82e879afd27f5414bb6c1f9cd60ba4c</t>
        </is>
      </c>
      <c r="BB217" s="24" t="inlineStr">
        <is>
          <t>flat_probability_shrinkage_toward_half</t>
        </is>
      </c>
      <c r="BC217" s="24" t="inlineStr">
        <is>
          <t>measured-edge-margin-v3</t>
        </is>
      </c>
      <c r="BD217" s="24" t="inlineStr">
        <is>
          <t>dd339a2eed50d7d83ab2127837995ddab82e879afd27f5414bb6c1f9cd60ba4c</t>
        </is>
      </c>
      <c r="BE217" s="24" t="inlineStr">
        <is>
          <t>v3</t>
        </is>
      </c>
      <c r="BF217" s="24" t="inlineStr">
        <is>
          <t>1</t>
        </is>
      </c>
      <c r="BG217" s="24" t="inlineStr">
        <is>
          <t>measured-edge-paired-v1</t>
        </is>
      </c>
      <c r="BH217" s="24" t="inlineStr">
        <is>
          <t>2026-08-05T21:01:36.734850Z</t>
        </is>
      </c>
      <c r="BI217" s="24" t="inlineStr">
        <is>
          <t>["same_event","same_team_same_day","same_league_same_day"]</t>
        </is>
      </c>
      <c r="BJ217" s="25" t="n">
        <v>1.5</v>
      </c>
      <c r="BK217" s="26" t="n">
        <v>-160</v>
      </c>
      <c r="BL217" s="27" t="n">
        <v>1.625</v>
      </c>
      <c r="BM217" s="28" t="n">
        <v>0.615385</v>
      </c>
      <c r="BN217" s="28" t="n">
        <v>0.61194</v>
      </c>
      <c r="BO217" s="28" t="n"/>
      <c r="BP217" s="25" t="n"/>
      <c r="BQ217" s="27" t="n">
        <v>1.625</v>
      </c>
      <c r="BR217" s="28" t="n">
        <v>0.615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</row>
    <row r="218" ht="36" customHeight="1">
      <c r="A218" s="24" t="inlineStr">
        <is>
          <t>a0ca5f9159074208</t>
        </is>
      </c>
      <c r="B218" s="24" t="inlineStr">
        <is>
          <t>2026-08-05T21:01:36.734850Z</t>
        </is>
      </c>
      <c r="C218" s="24" t="inlineStr">
        <is>
          <t>2026-08-05T23:10Z</t>
        </is>
      </c>
      <c r="D218" s="24" t="inlineStr">
        <is>
          <t>401816401</t>
        </is>
      </c>
      <c r="E218" s="24" t="inlineStr">
        <is>
          <t>MLB</t>
        </is>
      </c>
      <c r="F218" s="24" t="inlineStr">
        <is>
          <t>Chicago White Sox</t>
        </is>
      </c>
      <c r="G218" s="24" t="inlineStr">
        <is>
          <t>Boston Red Sox</t>
        </is>
      </c>
      <c r="H218" s="24" t="inlineStr">
        <is>
          <t>total</t>
        </is>
      </c>
      <c r="I218" s="24" t="inlineStr">
        <is>
          <t>under</t>
        </is>
      </c>
      <c r="J218" s="25" t="n">
        <v>8.5</v>
      </c>
      <c r="K218" s="24" t="inlineStr">
        <is>
          <t>polymarket_us</t>
        </is>
      </c>
      <c r="L218" s="26" t="n">
        <v>-111</v>
      </c>
      <c r="M218" s="27" t="n">
        <v>1.900901</v>
      </c>
      <c r="N218" s="28" t="n">
        <v>0.526066</v>
      </c>
      <c r="O218" s="28" t="n">
        <v>0.521412</v>
      </c>
      <c r="P218" s="28" t="n">
        <v>0.042131</v>
      </c>
      <c r="Q218" s="28" t="n">
        <v>-0.004654</v>
      </c>
      <c r="R218" s="26" t="n">
        <v>24</v>
      </c>
      <c r="S218" s="29" t="n">
        <v>0</v>
      </c>
      <c r="T218" s="24" t="inlineStr">
        <is>
          <t>measured-edge-totals-v3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4</v>
      </c>
      <c r="Y218" s="25" t="n">
        <v>8.5</v>
      </c>
      <c r="Z218" s="26" t="n">
        <v>-111</v>
      </c>
      <c r="AA218" s="28" t="n">
        <v>0.525</v>
      </c>
      <c r="AB218" s="28" t="n">
        <v>-0.001066</v>
      </c>
      <c r="AC218" s="30" t="n">
        <v>0</v>
      </c>
      <c r="AD218" s="24" t="inlineStr">
        <is>
          <t>2026-08-06T03:26:15.021246Z</t>
        </is>
      </c>
      <c r="AE218" s="31" t="inlineStr">
        <is>
          <t>Measured Edge Totals: Trend Engine projected 4.13-3.98; raw selected-side p=0.5628, calibrated p=0.5214.</t>
        </is>
      </c>
      <c r="AF218" s="31" t="inlineStr">
        <is>
          <t>Research-only; lineup, bullpen, park, weather, xFIP, and wRC+ may be neutral fallbacks; market availability and BBO depth may change before first pitch.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research_observation</t>
        </is>
      </c>
      <c r="AL218" s="26" t="n">
        <v>3</v>
      </c>
      <c r="AM218" s="24" t="inlineStr">
        <is>
          <t>RESEARCH_OBSERVATION</t>
        </is>
      </c>
      <c r="AN218" s="24" t="inlineStr">
        <is>
          <t>NO_CALL</t>
        </is>
      </c>
      <c r="AO218" s="24" t="inlineStr">
        <is>
          <t>NO_CALL_WINNER_OVERVALUED</t>
        </is>
      </c>
      <c r="AP218" s="24" t="inlineStr">
        <is>
          <t>mlb-cws</t>
        </is>
      </c>
      <c r="AQ218" s="24" t="inlineStr">
        <is>
          <t>Chicago White Sox</t>
        </is>
      </c>
      <c r="AR218" s="24" t="inlineStr">
        <is>
          <t>Chicago White Sox</t>
        </is>
      </c>
      <c r="AS218" s="24" t="inlineStr">
        <is>
          <t>mlb-bos</t>
        </is>
      </c>
      <c r="AT218" s="24" t="inlineStr">
        <is>
          <t>Boston Red Sox</t>
        </is>
      </c>
      <c r="AU218" s="24" t="inlineStr">
        <is>
          <t>Boston Red Sox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research</t>
        </is>
      </c>
      <c r="BA218" s="24" t="inlineStr">
        <is>
          <t>95b84332c75d2ce54036eb8de6ada9c78d0f80228c50825c0347281a8b9b49c7</t>
        </is>
      </c>
      <c r="BB218" s="24" t="inlineStr">
        <is>
          <t>flat_probability_shrinkage_toward_half</t>
        </is>
      </c>
      <c r="BC218" s="24" t="inlineStr">
        <is>
          <t>measured-edge-totals-v3</t>
        </is>
      </c>
      <c r="BD218" s="24" t="inlineStr">
        <is>
          <t>95b84332c75d2ce54036eb8de6ada9c78d0f80228c50825c0347281a8b9b49c7</t>
        </is>
      </c>
      <c r="BE218" s="24" t="inlineStr">
        <is>
          <t>v3</t>
        </is>
      </c>
      <c r="BF218" s="24" t="inlineStr">
        <is>
          <t>1</t>
        </is>
      </c>
      <c r="BG218" s="24" t="inlineStr">
        <is>
          <t>measured-edge-paired-v1</t>
        </is>
      </c>
      <c r="BH218" s="24" t="inlineStr">
        <is>
          <t>2026-08-05T21:01:36.734850Z</t>
        </is>
      </c>
      <c r="BI218" s="24" t="inlineStr">
        <is>
          <t>["same_event","same_team_same_day","same_league_same_day"]</t>
        </is>
      </c>
      <c r="BJ218" s="25" t="n">
        <v>8.5</v>
      </c>
      <c r="BK218" s="26" t="n">
        <v>-111</v>
      </c>
      <c r="BL218" s="27" t="n">
        <v>1.900901</v>
      </c>
      <c r="BM218" s="28" t="n">
        <v>0.526066</v>
      </c>
      <c r="BN218" s="28" t="n">
        <v>0.522388</v>
      </c>
      <c r="BO218" s="28" t="n"/>
      <c r="BP218" s="25" t="n"/>
      <c r="BQ218" s="27" t="n">
        <v>1.900901</v>
      </c>
      <c r="BR218" s="28" t="n">
        <v>0.525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</row>
    <row r="219" ht="36" customHeight="1">
      <c r="A219" s="24" t="inlineStr">
        <is>
          <t>55d1953eb04b4b40</t>
        </is>
      </c>
      <c r="B219" s="24" t="inlineStr">
        <is>
          <t>2026-08-05T21:01:36.734850Z</t>
        </is>
      </c>
      <c r="C219" s="24" t="inlineStr">
        <is>
          <t>2026-08-05T23:15Z</t>
        </is>
      </c>
      <c r="D219" s="24" t="inlineStr">
        <is>
          <t>401816402</t>
        </is>
      </c>
      <c r="E219" s="24" t="inlineStr">
        <is>
          <t>MLB</t>
        </is>
      </c>
      <c r="F219" s="24" t="inlineStr">
        <is>
          <t>Miami Marlins</t>
        </is>
      </c>
      <c r="G219" s="24" t="inlineStr">
        <is>
          <t>Atlanta Braves</t>
        </is>
      </c>
      <c r="H219" s="24" t="inlineStr">
        <is>
          <t>spread</t>
        </is>
      </c>
      <c r="I219" s="24" t="inlineStr">
        <is>
          <t>away</t>
        </is>
      </c>
      <c r="J219" s="25" t="n">
        <v>1.5</v>
      </c>
      <c r="K219" s="24" t="inlineStr">
        <is>
          <t>polymarket_us</t>
        </is>
      </c>
      <c r="L219" s="26" t="n">
        <v>-174</v>
      </c>
      <c r="M219" s="27" t="n">
        <v>1.574713</v>
      </c>
      <c r="N219" s="28" t="n">
        <v>0.635036</v>
      </c>
      <c r="O219" s="28" t="n">
        <v>0.638869</v>
      </c>
      <c r="P219" s="28" t="n">
        <v>0.042131</v>
      </c>
      <c r="Q219" s="28" t="n">
        <v>0.003833</v>
      </c>
      <c r="R219" s="26" t="n">
        <v>28</v>
      </c>
      <c r="S219" s="29" t="n">
        <v>0</v>
      </c>
      <c r="T219" s="24" t="inlineStr">
        <is>
          <t>measured-edge-margin-v3</t>
        </is>
      </c>
      <c r="U219" s="24" t="inlineStr">
        <is>
          <t>settled</t>
        </is>
      </c>
      <c r="V219" s="24" t="inlineStr">
        <is>
          <t>loss</t>
        </is>
      </c>
      <c r="W219" s="26" t="n">
        <v>1</v>
      </c>
      <c r="X219" s="26" t="n">
        <v>4</v>
      </c>
      <c r="Y219" s="25" t="n">
        <v>1.5</v>
      </c>
      <c r="Z219" s="26" t="n">
        <v>-174</v>
      </c>
      <c r="AA219" s="28" t="n">
        <v>0.635</v>
      </c>
      <c r="AB219" s="28" t="n">
        <v>-3.6e-05</v>
      </c>
      <c r="AC219" s="30" t="n">
        <v>0</v>
      </c>
      <c r="AD219" s="24" t="inlineStr">
        <is>
          <t>2026-08-06T03:26:16.908637Z</t>
        </is>
      </c>
      <c r="AE219" s="31" t="inlineStr">
        <is>
          <t>Measured Edge Margin: Trend Engine projected 4.38-4.11; raw selected-side p=0.7038, calibrated p=0.6389.</t>
        </is>
      </c>
      <c r="AF219" s="31" t="inlineStr">
        <is>
          <t>Research-only; lineup, bullpen, park, weather, xFIP, and wRC+ may be neutral fallbacks; market availability and BBO depth may change before first pitch.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research_observation</t>
        </is>
      </c>
      <c r="AL219" s="26" t="n">
        <v>3</v>
      </c>
      <c r="AM219" s="24" t="inlineStr">
        <is>
          <t>RESEARCH_OBSERVATION</t>
        </is>
      </c>
      <c r="AN219" s="24" t="inlineStr">
        <is>
          <t>NO_CALL</t>
        </is>
      </c>
      <c r="AO219" s="24" t="inlineStr">
        <is>
          <t>NO_CALL_WINNER_OVERVALUED</t>
        </is>
      </c>
      <c r="AP219" s="24" t="inlineStr">
        <is>
          <t>mlb-mia</t>
        </is>
      </c>
      <c r="AQ219" s="24" t="inlineStr">
        <is>
          <t>Miami Marlins</t>
        </is>
      </c>
      <c r="AR219" s="24" t="inlineStr">
        <is>
          <t>Miami Marlins</t>
        </is>
      </c>
      <c r="AS219" s="24" t="inlineStr">
        <is>
          <t>mlb-atl</t>
        </is>
      </c>
      <c r="AT219" s="24" t="inlineStr">
        <is>
          <t>Atlanta Braves</t>
        </is>
      </c>
      <c r="AU219" s="24" t="inlineStr">
        <is>
          <t>Atlanta Braves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research</t>
        </is>
      </c>
      <c r="BA219" s="24" t="inlineStr">
        <is>
          <t>dd339a2eed50d7d83ab2127837995ddab82e879afd27f5414bb6c1f9cd60ba4c</t>
        </is>
      </c>
      <c r="BB219" s="24" t="inlineStr">
        <is>
          <t>flat_probability_shrinkage_toward_half</t>
        </is>
      </c>
      <c r="BC219" s="24" t="inlineStr">
        <is>
          <t>measured-edge-margin-v3</t>
        </is>
      </c>
      <c r="BD219" s="24" t="inlineStr">
        <is>
          <t>dd339a2eed50d7d83ab2127837995ddab82e879afd27f5414bb6c1f9cd60ba4c</t>
        </is>
      </c>
      <c r="BE219" s="24" t="inlineStr">
        <is>
          <t>v3</t>
        </is>
      </c>
      <c r="BF219" s="24" t="inlineStr">
        <is>
          <t>1</t>
        </is>
      </c>
      <c r="BG219" s="24" t="inlineStr">
        <is>
          <t>measured-edge-paired-v1</t>
        </is>
      </c>
      <c r="BH219" s="24" t="inlineStr">
        <is>
          <t>2026-08-05T21:01:36.734850Z</t>
        </is>
      </c>
      <c r="BI219" s="24" t="inlineStr">
        <is>
          <t>["same_event","same_team_same_day","same_league_same_day"]</t>
        </is>
      </c>
      <c r="BJ219" s="25" t="n">
        <v>1.5</v>
      </c>
      <c r="BK219" s="26" t="n">
        <v>-174</v>
      </c>
      <c r="BL219" s="27" t="n">
        <v>1.574713</v>
      </c>
      <c r="BM219" s="28" t="n">
        <v>0.635036</v>
      </c>
      <c r="BN219" s="28" t="n">
        <v>0.631841</v>
      </c>
      <c r="BO219" s="28" t="n"/>
      <c r="BP219" s="25" t="n"/>
      <c r="BQ219" s="27" t="n">
        <v>1.574713</v>
      </c>
      <c r="BR219" s="28" t="n">
        <v>0.635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945a3953e71347bb</t>
        </is>
      </c>
      <c r="B220" s="24" t="inlineStr">
        <is>
          <t>2026-08-05T21:01:36.734850Z</t>
        </is>
      </c>
      <c r="C220" s="24" t="inlineStr">
        <is>
          <t>2026-08-05T23:15Z</t>
        </is>
      </c>
      <c r="D220" s="24" t="inlineStr">
        <is>
          <t>401816402</t>
        </is>
      </c>
      <c r="E220" s="24" t="inlineStr">
        <is>
          <t>MLB</t>
        </is>
      </c>
      <c r="F220" s="24" t="inlineStr">
        <is>
          <t>Miami Marlins</t>
        </is>
      </c>
      <c r="G220" s="24" t="inlineStr">
        <is>
          <t>Atlanta Braves</t>
        </is>
      </c>
      <c r="H220" s="24" t="inlineStr">
        <is>
          <t>total</t>
        </is>
      </c>
      <c r="I220" s="24" t="inlineStr">
        <is>
          <t>under</t>
        </is>
      </c>
      <c r="J220" s="25" t="n">
        <v>8.5</v>
      </c>
      <c r="K220" s="24" t="inlineStr">
        <is>
          <t>polymarket_us</t>
        </is>
      </c>
      <c r="L220" s="26" t="n">
        <v>-108</v>
      </c>
      <c r="M220" s="27" t="n">
        <v>1.925926</v>
      </c>
      <c r="N220" s="28" t="n">
        <v>0.519231</v>
      </c>
      <c r="O220" s="28" t="n">
        <v>0.512892</v>
      </c>
      <c r="P220" s="28" t="n">
        <v>0.042131</v>
      </c>
      <c r="Q220" s="28" t="n">
        <v>-0.006339</v>
      </c>
      <c r="R220" s="26" t="n">
        <v>22</v>
      </c>
      <c r="S220" s="29" t="n">
        <v>0</v>
      </c>
      <c r="T220" s="24" t="inlineStr">
        <is>
          <t>measured-edge-totals-v3</t>
        </is>
      </c>
      <c r="U220" s="24" t="inlineStr">
        <is>
          <t>settled</t>
        </is>
      </c>
      <c r="V220" s="24" t="inlineStr">
        <is>
          <t>win</t>
        </is>
      </c>
      <c r="W220" s="26" t="n">
        <v>1</v>
      </c>
      <c r="X220" s="26" t="n">
        <v>4</v>
      </c>
      <c r="Y220" s="25" t="n">
        <v>8.5</v>
      </c>
      <c r="Z220" s="26" t="n">
        <v>-108</v>
      </c>
      <c r="AA220" s="28" t="n">
        <v>0.52</v>
      </c>
      <c r="AB220" s="28" t="n">
        <v>0.000769</v>
      </c>
      <c r="AC220" s="30" t="n">
        <v>0</v>
      </c>
      <c r="AD220" s="24" t="inlineStr">
        <is>
          <t>2026-08-06T03:26:18.715781Z</t>
        </is>
      </c>
      <c r="AE220" s="31" t="inlineStr">
        <is>
          <t>Measured Edge Totals: Trend Engine projected 4.38-4.11; raw selected-side p=0.5285, calibrated p=0.5129.</t>
        </is>
      </c>
      <c r="AF220" s="31" t="inlineStr">
        <is>
          <t>Research-only; lineup, bullpen, park, weather, xFIP, and wRC+ may be neutral fallbacks; market availability and BBO depth may change before first pitch.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NO_CALL_WINNER_OVERVALUED</t>
        </is>
      </c>
      <c r="AP220" s="24" t="inlineStr">
        <is>
          <t>mlb-mia</t>
        </is>
      </c>
      <c r="AQ220" s="24" t="inlineStr">
        <is>
          <t>Miami Marlins</t>
        </is>
      </c>
      <c r="AR220" s="24" t="inlineStr">
        <is>
          <t>Miami Marlins</t>
        </is>
      </c>
      <c r="AS220" s="24" t="inlineStr">
        <is>
          <t>mlb-atl</t>
        </is>
      </c>
      <c r="AT220" s="24" t="inlineStr">
        <is>
          <t>Atlanta Braves</t>
        </is>
      </c>
      <c r="AU220" s="24" t="inlineStr">
        <is>
          <t>Atlanta Braves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95b84332c75d2ce54036eb8de6ada9c78d0f80228c50825c0347281a8b9b49c7</t>
        </is>
      </c>
      <c r="BB220" s="24" t="inlineStr">
        <is>
          <t>flat_probability_shrinkage_toward_half</t>
        </is>
      </c>
      <c r="BC220" s="24" t="inlineStr">
        <is>
          <t>measured-edge-totals-v3</t>
        </is>
      </c>
      <c r="BD220" s="24" t="inlineStr">
        <is>
          <t>95b84332c75d2ce54036eb8de6ada9c78d0f80228c50825c0347281a8b9b49c7</t>
        </is>
      </c>
      <c r="BE220" s="24" t="inlineStr">
        <is>
          <t>v3</t>
        </is>
      </c>
      <c r="BF220" s="24" t="inlineStr">
        <is>
          <t>1</t>
        </is>
      </c>
      <c r="BG220" s="24" t="inlineStr">
        <is>
          <t>measured-edge-paired-v1</t>
        </is>
      </c>
      <c r="BH220" s="24" t="inlineStr">
        <is>
          <t>2026-08-05T21:01:36.734850Z</t>
        </is>
      </c>
      <c r="BI220" s="24" t="inlineStr">
        <is>
          <t>["same_event","same_team_same_day","same_league_same_day"]</t>
        </is>
      </c>
      <c r="BJ220" s="25" t="n">
        <v>8.5</v>
      </c>
      <c r="BK220" s="26" t="n">
        <v>-108</v>
      </c>
      <c r="BL220" s="27" t="n">
        <v>1.925926</v>
      </c>
      <c r="BM220" s="28" t="n">
        <v>0.519231</v>
      </c>
      <c r="BN220" s="28" t="n">
        <v>0.517413</v>
      </c>
      <c r="BO220" s="28" t="n"/>
      <c r="BP220" s="25" t="n"/>
      <c r="BQ220" s="27" t="n">
        <v>1.925926</v>
      </c>
      <c r="BR220" s="28" t="n">
        <v>0.52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8402383065c24989</t>
        </is>
      </c>
      <c r="B221" s="24" t="inlineStr">
        <is>
          <t>2026-08-05T21:01:36.734850Z</t>
        </is>
      </c>
      <c r="C221" s="24" t="inlineStr">
        <is>
          <t>2026-08-05T23:30Z</t>
        </is>
      </c>
      <c r="D221" s="24" t="inlineStr">
        <is>
          <t>401816408</t>
        </is>
      </c>
      <c r="E221" s="24" t="inlineStr">
        <is>
          <t>MLB</t>
        </is>
      </c>
      <c r="F221" s="24" t="inlineStr">
        <is>
          <t>Pittsburgh Pirates</t>
        </is>
      </c>
      <c r="G221" s="24" t="inlineStr">
        <is>
          <t>Milwaukee Brewers</t>
        </is>
      </c>
      <c r="H221" s="24" t="inlineStr">
        <is>
          <t>spread</t>
        </is>
      </c>
      <c r="I221" s="24" t="inlineStr">
        <is>
          <t>home</t>
        </is>
      </c>
      <c r="J221" s="25" t="n">
        <v>-1.5</v>
      </c>
      <c r="K221" s="24" t="inlineStr">
        <is>
          <t>polymarket_us</t>
        </is>
      </c>
      <c r="L221" s="26" t="n">
        <v>178</v>
      </c>
      <c r="M221" s="27" t="n">
        <v>2.78</v>
      </c>
      <c r="N221" s="28" t="n">
        <v>0.359712</v>
      </c>
      <c r="O221" s="28" t="n">
        <v>0.409646</v>
      </c>
      <c r="P221" s="28" t="n">
        <v>0.042131</v>
      </c>
      <c r="Q221" s="28" t="n">
        <v>0.049934</v>
      </c>
      <c r="R221" s="26" t="n">
        <v>50</v>
      </c>
      <c r="S221" s="29" t="n">
        <v>0</v>
      </c>
      <c r="T221" s="24" t="inlineStr">
        <is>
          <t>measured-edge-margin-v3</t>
        </is>
      </c>
      <c r="U221" s="24" t="inlineStr">
        <is>
          <t>settled</t>
        </is>
      </c>
      <c r="V221" s="24" t="inlineStr">
        <is>
          <t>win</t>
        </is>
      </c>
      <c r="W221" s="26" t="n">
        <v>2</v>
      </c>
      <c r="X221" s="26" t="n">
        <v>4</v>
      </c>
      <c r="Y221" s="25" t="n">
        <v>-1.5</v>
      </c>
      <c r="Z221" s="26" t="n">
        <v>178</v>
      </c>
      <c r="AA221" s="28" t="n">
        <v>0.36</v>
      </c>
      <c r="AB221" s="28" t="n">
        <v>0.000288</v>
      </c>
      <c r="AC221" s="30" t="n">
        <v>0</v>
      </c>
      <c r="AD221" s="24" t="inlineStr">
        <is>
          <t>2026-08-06T03:26:20.524928Z</t>
        </is>
      </c>
      <c r="AE221" s="31" t="inlineStr">
        <is>
          <t>Measured Edge Margin: Trend Engine projected 4.27-4.68; raw selected-side p=0.3674, calibrated p=0.4096.</t>
        </is>
      </c>
      <c r="AF221" s="31" t="inlineStr">
        <is>
          <t>Research-only; lineup, bullpen, park, weather, xFIP, and wRC+ may be neutral fallbacks; market availability and BBO depth may change before first pitch.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research_observation</t>
        </is>
      </c>
      <c r="AL221" s="26" t="n">
        <v>3</v>
      </c>
      <c r="AM221" s="24" t="inlineStr">
        <is>
          <t>RESEARCH_OBSERVATION</t>
        </is>
      </c>
      <c r="AN221" s="24" t="inlineStr">
        <is>
          <t>NO_CALL</t>
        </is>
      </c>
      <c r="AO221" s="24" t="inlineStr">
        <is>
          <t>NO_CALL_WINNER_OVERVALUED</t>
        </is>
      </c>
      <c r="AP221" s="24" t="inlineStr">
        <is>
          <t>mlb-pit</t>
        </is>
      </c>
      <c r="AQ221" s="24" t="inlineStr">
        <is>
          <t>Pittsburgh Pirates</t>
        </is>
      </c>
      <c r="AR221" s="24" t="inlineStr">
        <is>
          <t>Pittsburgh Pirates</t>
        </is>
      </c>
      <c r="AS221" s="24" t="inlineStr">
        <is>
          <t>mlb-mil</t>
        </is>
      </c>
      <c r="AT221" s="24" t="inlineStr">
        <is>
          <t>Milwaukee Brewers</t>
        </is>
      </c>
      <c r="AU221" s="24" t="inlineStr">
        <is>
          <t>Milwaukee Brewers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research</t>
        </is>
      </c>
      <c r="BA221" s="24" t="inlineStr">
        <is>
          <t>dd339a2eed50d7d83ab2127837995ddab82e879afd27f5414bb6c1f9cd60ba4c</t>
        </is>
      </c>
      <c r="BB221" s="24" t="inlineStr">
        <is>
          <t>flat_probability_shrinkage_toward_half</t>
        </is>
      </c>
      <c r="BC221" s="24" t="inlineStr">
        <is>
          <t>measured-edge-margin-v3</t>
        </is>
      </c>
      <c r="BD221" s="24" t="inlineStr">
        <is>
          <t>dd339a2eed50d7d83ab2127837995ddab82e879afd27f5414bb6c1f9cd60ba4c</t>
        </is>
      </c>
      <c r="BE221" s="24" t="inlineStr">
        <is>
          <t>v3</t>
        </is>
      </c>
      <c r="BF221" s="24" t="inlineStr">
        <is>
          <t>1</t>
        </is>
      </c>
      <c r="BG221" s="24" t="inlineStr">
        <is>
          <t>measured-edge-paired-v1</t>
        </is>
      </c>
      <c r="BH221" s="24" t="inlineStr">
        <is>
          <t>2026-08-05T21:01:36.734850Z</t>
        </is>
      </c>
      <c r="BI221" s="24" t="inlineStr">
        <is>
          <t>["same_event","same_team_same_day","same_league_same_day"]</t>
        </is>
      </c>
      <c r="BJ221" s="25" t="n">
        <v>-1.5</v>
      </c>
      <c r="BK221" s="26" t="n">
        <v>178</v>
      </c>
      <c r="BL221" s="27" t="n">
        <v>2.78</v>
      </c>
      <c r="BM221" s="28" t="n">
        <v>0.359712</v>
      </c>
      <c r="BN221" s="28" t="n">
        <v>0.358209</v>
      </c>
      <c r="BO221" s="28" t="n"/>
      <c r="BP221" s="25" t="n"/>
      <c r="BQ221" s="27" t="n">
        <v>2.78</v>
      </c>
      <c r="BR221" s="28" t="n">
        <v>0.36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</row>
    <row r="222" ht="36" customHeight="1">
      <c r="A222" s="24" t="inlineStr">
        <is>
          <t>9ffad4fd12164465</t>
        </is>
      </c>
      <c r="B222" s="24" t="inlineStr">
        <is>
          <t>2026-08-05T21:01:36.734850Z</t>
        </is>
      </c>
      <c r="C222" s="24" t="inlineStr">
        <is>
          <t>2026-08-05T23:30Z</t>
        </is>
      </c>
      <c r="D222" s="24" t="inlineStr">
        <is>
          <t>401816408</t>
        </is>
      </c>
      <c r="E222" s="24" t="inlineStr">
        <is>
          <t>MLB</t>
        </is>
      </c>
      <c r="F222" s="24" t="inlineStr">
        <is>
          <t>Pittsburgh Pirates</t>
        </is>
      </c>
      <c r="G222" s="24" t="inlineStr">
        <is>
          <t>Milwaukee Brewers</t>
        </is>
      </c>
      <c r="H222" s="24" t="inlineStr">
        <is>
          <t>total</t>
        </is>
      </c>
      <c r="I222" s="24" t="inlineStr">
        <is>
          <t>over</t>
        </is>
      </c>
      <c r="J222" s="25" t="n">
        <v>7.5</v>
      </c>
      <c r="K222" s="24" t="inlineStr">
        <is>
          <t>polymarket_us</t>
        </is>
      </c>
      <c r="L222" s="26" t="n">
        <v>127</v>
      </c>
      <c r="M222" s="27" t="n">
        <v>2.27</v>
      </c>
      <c r="N222" s="28" t="n">
        <v>0.440529</v>
      </c>
      <c r="O222" s="28" t="n">
        <v>0.527212</v>
      </c>
      <c r="P222" s="28" t="n">
        <v>0.042131</v>
      </c>
      <c r="Q222" s="28" t="n">
        <v>0.086683</v>
      </c>
      <c r="R222" s="26" t="n">
        <v>69</v>
      </c>
      <c r="S222" s="29" t="n">
        <v>1</v>
      </c>
      <c r="T222" s="24" t="inlineStr">
        <is>
          <t>measured-edge-totals-v3</t>
        </is>
      </c>
      <c r="U222" s="24" t="inlineStr">
        <is>
          <t>settled</t>
        </is>
      </c>
      <c r="V222" s="24" t="inlineStr">
        <is>
          <t>loss</t>
        </is>
      </c>
      <c r="W222" s="26" t="n">
        <v>2</v>
      </c>
      <c r="X222" s="26" t="n">
        <v>4</v>
      </c>
      <c r="Y222" s="25" t="n">
        <v>7.5</v>
      </c>
      <c r="Z222" s="26" t="n">
        <v>127</v>
      </c>
      <c r="AA222" s="28" t="n">
        <v>0.44</v>
      </c>
      <c r="AB222" s="28" t="n">
        <v>-0.000529</v>
      </c>
      <c r="AC222" s="30" t="n">
        <v>-1</v>
      </c>
      <c r="AD222" s="24" t="inlineStr">
        <is>
          <t>2026-08-06T03:26:22.402221Z</t>
        </is>
      </c>
      <c r="AE222" s="31" t="inlineStr">
        <is>
          <t>Measured Edge Totals: Trend Engine projected 4.27-4.68; raw selected-side p=0.5862, calibrated p=0.5272.</t>
        </is>
      </c>
      <c r="AF222" s="31" t="inlineStr">
        <is>
          <t>Research-only; lineup, bullpen, park, weather, xFIP, and wRC+ may be neutral fallbacks; market availability and BBO depth may change before first pitch.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3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mlb-pit</t>
        </is>
      </c>
      <c r="AQ222" s="24" t="inlineStr">
        <is>
          <t>Pittsburgh Pirates</t>
        </is>
      </c>
      <c r="AR222" s="24" t="inlineStr">
        <is>
          <t>Pittsburgh Pirates</t>
        </is>
      </c>
      <c r="AS222" s="24" t="inlineStr">
        <is>
          <t>mlb-mil</t>
        </is>
      </c>
      <c r="AT222" s="24" t="inlineStr">
        <is>
          <t>Milwaukee Brewers</t>
        </is>
      </c>
      <c r="AU222" s="24" t="inlineStr">
        <is>
          <t>Milwaukee Brewers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research</t>
        </is>
      </c>
      <c r="BA222" s="24" t="inlineStr">
        <is>
          <t>95b84332c75d2ce54036eb8de6ada9c78d0f80228c50825c0347281a8b9b49c7</t>
        </is>
      </c>
      <c r="BB222" s="24" t="inlineStr">
        <is>
          <t>flat_probability_shrinkage_toward_half</t>
        </is>
      </c>
      <c r="BC222" s="24" t="inlineStr">
        <is>
          <t>measured-edge-totals-v3</t>
        </is>
      </c>
      <c r="BD222" s="24" t="inlineStr">
        <is>
          <t>95b84332c75d2ce54036eb8de6ada9c78d0f80228c50825c0347281a8b9b49c7</t>
        </is>
      </c>
      <c r="BE222" s="24" t="inlineStr">
        <is>
          <t>v3</t>
        </is>
      </c>
      <c r="BF222" s="24" t="inlineStr">
        <is>
          <t>1</t>
        </is>
      </c>
      <c r="BG222" s="24" t="inlineStr">
        <is>
          <t>measured-edge-paired-v1</t>
        </is>
      </c>
      <c r="BH222" s="24" t="inlineStr">
        <is>
          <t>2026-08-05T21:01:36.734850Z</t>
        </is>
      </c>
      <c r="BI222" s="24" t="inlineStr">
        <is>
          <t>["same_event","same_team_same_day","same_league_same_day"]</t>
        </is>
      </c>
      <c r="BJ222" s="25" t="n">
        <v>7.5</v>
      </c>
      <c r="BK222" s="26" t="n">
        <v>127</v>
      </c>
      <c r="BL222" s="27" t="n">
        <v>2.27</v>
      </c>
      <c r="BM222" s="28" t="n">
        <v>0.440529</v>
      </c>
      <c r="BN222" s="28" t="n">
        <v>0.437811</v>
      </c>
      <c r="BO222" s="28" t="n"/>
      <c r="BP222" s="25" t="n"/>
      <c r="BQ222" s="27" t="n">
        <v>2.27</v>
      </c>
      <c r="BR222" s="28" t="n">
        <v>0.44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</row>
    <row r="223" ht="36" customHeight="1">
      <c r="A223" s="24" t="inlineStr">
        <is>
          <t>97b644fb9e814297</t>
        </is>
      </c>
      <c r="B223" s="24" t="inlineStr">
        <is>
          <t>2026-08-05T21:01:36.734850Z</t>
        </is>
      </c>
      <c r="C223" s="24" t="inlineStr">
        <is>
          <t>2026-08-05T23:40Z</t>
        </is>
      </c>
      <c r="D223" s="24" t="inlineStr">
        <is>
          <t>401816407</t>
        </is>
      </c>
      <c r="E223" s="24" t="inlineStr">
        <is>
          <t>MLB</t>
        </is>
      </c>
      <c r="F223" s="24" t="inlineStr">
        <is>
          <t>Minnesota Twins</t>
        </is>
      </c>
      <c r="G223" s="24" t="inlineStr">
        <is>
          <t>Kansas City Royals</t>
        </is>
      </c>
      <c r="H223" s="24" t="inlineStr">
        <is>
          <t>spread</t>
        </is>
      </c>
      <c r="I223" s="24" t="inlineStr">
        <is>
          <t>home</t>
        </is>
      </c>
      <c r="J223" s="25" t="n">
        <v>1.5</v>
      </c>
      <c r="K223" s="24" t="inlineStr">
        <is>
          <t>polymarket_us</t>
        </is>
      </c>
      <c r="L223" s="26" t="n">
        <v>-182</v>
      </c>
      <c r="M223" s="27" t="n">
        <v>1.549451</v>
      </c>
      <c r="N223" s="28" t="n">
        <v>0.64539</v>
      </c>
      <c r="O223" s="28" t="n">
        <v>0.650112</v>
      </c>
      <c r="P223" s="28" t="n">
        <v>0.05172</v>
      </c>
      <c r="Q223" s="28" t="n">
        <v>0.004722</v>
      </c>
      <c r="R223" s="26" t="n">
        <v>23</v>
      </c>
      <c r="S223" s="29" t="n">
        <v>0</v>
      </c>
      <c r="T223" s="24" t="inlineStr">
        <is>
          <t>measured-edge-margin-v3</t>
        </is>
      </c>
      <c r="U223" s="24" t="inlineStr">
        <is>
          <t>settled</t>
        </is>
      </c>
      <c r="V223" s="24" t="inlineStr">
        <is>
          <t>win</t>
        </is>
      </c>
      <c r="W223" s="26" t="n">
        <v>1</v>
      </c>
      <c r="X223" s="26" t="n">
        <v>2</v>
      </c>
      <c r="Y223" s="25" t="n">
        <v>1.5</v>
      </c>
      <c r="Z223" s="26" t="n">
        <v>-182</v>
      </c>
      <c r="AA223" s="28" t="n">
        <v>0.645</v>
      </c>
      <c r="AB223" s="28" t="n">
        <v>-0.00039</v>
      </c>
      <c r="AC223" s="30" t="n">
        <v>0</v>
      </c>
      <c r="AD223" s="24" t="inlineStr">
        <is>
          <t>2026-08-06T03:26:24.215979Z</t>
        </is>
      </c>
      <c r="AE223" s="31" t="inlineStr">
        <is>
          <t>Measured Edge Margin: Trend Engine projected 4.58-5.18; raw selected-side p=0.7203, calibrated p=0.6501.</t>
        </is>
      </c>
      <c r="AF223" s="31" t="inlineStr">
        <is>
          <t>Research-only; lineup, bullpen, park, weather, xFIP, and wRC+ may be neutral fallbacks; market availability and BBO depth may change before first pitch.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research_observation</t>
        </is>
      </c>
      <c r="AL223" s="26" t="n">
        <v>3</v>
      </c>
      <c r="AM223" s="24" t="inlineStr">
        <is>
          <t>RESEARCH_OBSERVATION</t>
        </is>
      </c>
      <c r="AN223" s="24" t="inlineStr">
        <is>
          <t>NO_CALL</t>
        </is>
      </c>
      <c r="AO223" s="24" t="inlineStr">
        <is>
          <t>NO_CALL_WINNER_OVERVALUED</t>
        </is>
      </c>
      <c r="AP223" s="24" t="inlineStr">
        <is>
          <t>mlb-min</t>
        </is>
      </c>
      <c r="AQ223" s="24" t="inlineStr">
        <is>
          <t>Minnesota Twins</t>
        </is>
      </c>
      <c r="AR223" s="24" t="inlineStr">
        <is>
          <t>Minnesota Twins</t>
        </is>
      </c>
      <c r="AS223" s="24" t="inlineStr">
        <is>
          <t>mlb-kc</t>
        </is>
      </c>
      <c r="AT223" s="24" t="inlineStr">
        <is>
          <t>Kansas City Royals</t>
        </is>
      </c>
      <c r="AU223" s="24" t="inlineStr">
        <is>
          <t>Kansas City Royals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research</t>
        </is>
      </c>
      <c r="BA223" s="24" t="inlineStr">
        <is>
          <t>dd339a2eed50d7d83ab2127837995ddab82e879afd27f5414bb6c1f9cd60ba4c</t>
        </is>
      </c>
      <c r="BB223" s="24" t="inlineStr">
        <is>
          <t>flat_probability_shrinkage_toward_half</t>
        </is>
      </c>
      <c r="BC223" s="24" t="inlineStr">
        <is>
          <t>measured-edge-margin-v3</t>
        </is>
      </c>
      <c r="BD223" s="24" t="inlineStr">
        <is>
          <t>dd339a2eed50d7d83ab2127837995ddab82e879afd27f5414bb6c1f9cd60ba4c</t>
        </is>
      </c>
      <c r="BE223" s="24" t="inlineStr">
        <is>
          <t>v3</t>
        </is>
      </c>
      <c r="BF223" s="24" t="inlineStr">
        <is>
          <t>1</t>
        </is>
      </c>
      <c r="BG223" s="24" t="inlineStr">
        <is>
          <t>measured-edge-paired-v1</t>
        </is>
      </c>
      <c r="BH223" s="24" t="inlineStr">
        <is>
          <t>2026-08-05T21:01:36.734850Z</t>
        </is>
      </c>
      <c r="BI223" s="24" t="inlineStr">
        <is>
          <t>["same_event","same_team_same_day","same_league_same_day"]</t>
        </is>
      </c>
      <c r="BJ223" s="25" t="n">
        <v>1.5</v>
      </c>
      <c r="BK223" s="26" t="n">
        <v>-182</v>
      </c>
      <c r="BL223" s="27" t="n">
        <v>1.549451</v>
      </c>
      <c r="BM223" s="28" t="n">
        <v>0.64539</v>
      </c>
      <c r="BN223" s="28" t="n">
        <v>0.641791</v>
      </c>
      <c r="BO223" s="28" t="n"/>
      <c r="BP223" s="25" t="n"/>
      <c r="BQ223" s="27" t="n">
        <v>1.549451</v>
      </c>
      <c r="BR223" s="28" t="n">
        <v>0.645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c06846d9f7b54aa3</t>
        </is>
      </c>
      <c r="B224" s="24" t="inlineStr">
        <is>
          <t>2026-08-05T21:01:36.734850Z</t>
        </is>
      </c>
      <c r="C224" s="24" t="inlineStr">
        <is>
          <t>2026-08-05T23:40Z</t>
        </is>
      </c>
      <c r="D224" s="24" t="inlineStr">
        <is>
          <t>401816407</t>
        </is>
      </c>
      <c r="E224" s="24" t="inlineStr">
        <is>
          <t>MLB</t>
        </is>
      </c>
      <c r="F224" s="24" t="inlineStr">
        <is>
          <t>Minnesota Twins</t>
        </is>
      </c>
      <c r="G224" s="24" t="inlineStr">
        <is>
          <t>Kansas City Royals</t>
        </is>
      </c>
      <c r="H224" s="24" t="inlineStr">
        <is>
          <t>total</t>
        </is>
      </c>
      <c r="I224" s="24" t="inlineStr">
        <is>
          <t>over</t>
        </is>
      </c>
      <c r="J224" s="25" t="n">
        <v>8.5</v>
      </c>
      <c r="K224" s="24" t="inlineStr">
        <is>
          <t>polymarket_us</t>
        </is>
      </c>
      <c r="L224" s="26" t="n">
        <v>-113</v>
      </c>
      <c r="M224" s="27" t="n">
        <v>1.884956</v>
      </c>
      <c r="N224" s="28" t="n">
        <v>0.530516</v>
      </c>
      <c r="O224" s="28" t="n">
        <v>0.524132</v>
      </c>
      <c r="P224" s="28" t="n">
        <v>0.05172</v>
      </c>
      <c r="Q224" s="28" t="n">
        <v>-0.006384</v>
      </c>
      <c r="R224" s="26" t="n">
        <v>17</v>
      </c>
      <c r="S224" s="29" t="n">
        <v>0</v>
      </c>
      <c r="T224" s="24" t="inlineStr">
        <is>
          <t>measured-edge-totals-v3</t>
        </is>
      </c>
      <c r="U224" s="24" t="inlineStr">
        <is>
          <t>settled</t>
        </is>
      </c>
      <c r="V224" s="24" t="inlineStr">
        <is>
          <t>loss</t>
        </is>
      </c>
      <c r="W224" s="26" t="n">
        <v>1</v>
      </c>
      <c r="X224" s="26" t="n">
        <v>2</v>
      </c>
      <c r="Y224" s="25" t="n">
        <v>8.5</v>
      </c>
      <c r="Z224" s="26" t="n">
        <v>-113</v>
      </c>
      <c r="AA224" s="28" t="n">
        <v>0.53</v>
      </c>
      <c r="AB224" s="28" t="n">
        <v>-0.000516</v>
      </c>
      <c r="AC224" s="30" t="n">
        <v>0</v>
      </c>
      <c r="AD224" s="24" t="inlineStr">
        <is>
          <t>2026-08-06T03:26:26.107549Z</t>
        </is>
      </c>
      <c r="AE224" s="31" t="inlineStr">
        <is>
          <t>Measured Edge Totals: Trend Engine projected 4.58-5.18; raw selected-side p=0.5738, calibrated p=0.5241.</t>
        </is>
      </c>
      <c r="AF224" s="31" t="inlineStr">
        <is>
          <t>Research-only; lineup, bullpen, park, weather, xFIP, and wRC+ may be neutral fallbacks; market availability and BBO depth may change before first pitch.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NO_CALL_WINNER_OVERVALUED</t>
        </is>
      </c>
      <c r="AP224" s="24" t="inlineStr">
        <is>
          <t>mlb-min</t>
        </is>
      </c>
      <c r="AQ224" s="24" t="inlineStr">
        <is>
          <t>Minnesota Twins</t>
        </is>
      </c>
      <c r="AR224" s="24" t="inlineStr">
        <is>
          <t>Minnesota Twins</t>
        </is>
      </c>
      <c r="AS224" s="24" t="inlineStr">
        <is>
          <t>mlb-kc</t>
        </is>
      </c>
      <c r="AT224" s="24" t="inlineStr">
        <is>
          <t>Kansas City Royals</t>
        </is>
      </c>
      <c r="AU224" s="24" t="inlineStr">
        <is>
          <t>Kansas City Royals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research</t>
        </is>
      </c>
      <c r="BA224" s="24" t="inlineStr">
        <is>
          <t>95b84332c75d2ce54036eb8de6ada9c78d0f80228c50825c0347281a8b9b49c7</t>
        </is>
      </c>
      <c r="BB224" s="24" t="inlineStr">
        <is>
          <t>flat_probability_shrinkage_toward_half</t>
        </is>
      </c>
      <c r="BC224" s="24" t="inlineStr">
        <is>
          <t>measured-edge-totals-v3</t>
        </is>
      </c>
      <c r="BD224" s="24" t="inlineStr">
        <is>
          <t>95b84332c75d2ce54036eb8de6ada9c78d0f80228c50825c0347281a8b9b49c7</t>
        </is>
      </c>
      <c r="BE224" s="24" t="inlineStr">
        <is>
          <t>v3</t>
        </is>
      </c>
      <c r="BF224" s="24" t="inlineStr">
        <is>
          <t>1</t>
        </is>
      </c>
      <c r="BG224" s="24" t="inlineStr">
        <is>
          <t>measured-edge-paired-v1</t>
        </is>
      </c>
      <c r="BH224" s="24" t="inlineStr">
        <is>
          <t>2026-08-05T21:01:36.734850Z</t>
        </is>
      </c>
      <c r="BI224" s="24" t="inlineStr">
        <is>
          <t>["same_event","same_team_same_day","same_league_same_day"]</t>
        </is>
      </c>
      <c r="BJ224" s="25" t="n">
        <v>8.5</v>
      </c>
      <c r="BK224" s="26" t="n">
        <v>-113</v>
      </c>
      <c r="BL224" s="27" t="n">
        <v>1.884956</v>
      </c>
      <c r="BM224" s="28" t="n">
        <v>0.530516</v>
      </c>
      <c r="BN224" s="28" t="n">
        <v>0.527363</v>
      </c>
      <c r="BO224" s="28" t="n"/>
      <c r="BP224" s="25" t="n"/>
      <c r="BQ224" s="27" t="n">
        <v>1.884956</v>
      </c>
      <c r="BR224" s="28" t="n">
        <v>0.53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</row>
    <row r="225" ht="36" customHeight="1">
      <c r="A225" s="24" t="inlineStr">
        <is>
          <t>28c7a36bf81d40a3</t>
        </is>
      </c>
      <c r="B225" s="24" t="inlineStr">
        <is>
          <t>2026-08-06T00:23:10.436172Z</t>
        </is>
      </c>
      <c r="C225" s="24" t="inlineStr">
        <is>
          <t>2026-08-05T21:40:00-0400</t>
        </is>
      </c>
      <c r="D225" s="24" t="inlineStr">
        <is>
          <t>401816412</t>
        </is>
      </c>
      <c r="E225" s="24" t="inlineStr">
        <is>
          <t>MLB</t>
        </is>
      </c>
      <c r="F225" s="24" t="inlineStr">
        <is>
          <t>Detroit Tigers</t>
        </is>
      </c>
      <c r="G225" s="24" t="inlineStr">
        <is>
          <t>Seattle Mariners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-141</v>
      </c>
      <c r="M225" s="27" t="n">
        <v>1.70922</v>
      </c>
      <c r="N225" s="28" t="n">
        <v>0.585062</v>
      </c>
      <c r="O225" s="28" t="n">
        <v>0.549586</v>
      </c>
      <c r="P225" s="28" t="n"/>
      <c r="Q225" s="28" t="n">
        <v>-0.035476</v>
      </c>
      <c r="R225" s="26" t="n">
        <v>4</v>
      </c>
      <c r="S225" s="29" t="n">
        <v>0</v>
      </c>
      <c r="T225" s="24" t="inlineStr">
        <is>
          <t>mlb-elo-trend-lr-v8</t>
        </is>
      </c>
      <c r="U225" s="24" t="inlineStr">
        <is>
          <t>settled</t>
        </is>
      </c>
      <c r="V225" s="24" t="inlineStr">
        <is>
          <t>win</t>
        </is>
      </c>
      <c r="W225" s="26" t="n">
        <v>2</v>
      </c>
      <c r="X225" s="26" t="n">
        <v>4</v>
      </c>
      <c r="Y225" s="25" t="n"/>
      <c r="Z225" s="26" t="n">
        <v>-141</v>
      </c>
      <c r="AA225" s="28" t="n">
        <v>0.585</v>
      </c>
      <c r="AB225" s="28" t="n">
        <v>-6.2e-05</v>
      </c>
      <c r="AC225" s="30" t="n">
        <v>0</v>
      </c>
      <c r="AD225" s="24" t="inlineStr">
        <is>
          <t>2026-08-06T18:54:07.775786Z</t>
        </is>
      </c>
      <c r="AE225" s="31" t="inlineStr">
        <is>
          <t>Learned LR call at threshold 0.5873; executable ask 0.5850 (aec-mlb-det-sea-2026-08-05); model edge vs ask -0.0354.</t>
        </is>
      </c>
      <c r="AF225" s="31" t="inlineStr">
        <is>
          <t>Learned model; shadow-qualified via operator override.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research_observation</t>
        </is>
      </c>
      <c r="AL225" s="26" t="n">
        <v>3</v>
      </c>
      <c r="AM225" s="24" t="inlineStr">
        <is>
          <t>RESEARCH_OBSERVATION</t>
        </is>
      </c>
      <c r="AN225" s="24" t="inlineStr">
        <is>
          <t>NO_CALL</t>
        </is>
      </c>
      <c r="AO225" s="24" t="inlineStr">
        <is>
          <t>NO_CALL_WINNER_OVERVALUED</t>
        </is>
      </c>
      <c r="AP225" s="24" t="inlineStr">
        <is>
          <t>mlb-det</t>
        </is>
      </c>
      <c r="AQ225" s="24" t="inlineStr">
        <is>
          <t>Detroit Tigers</t>
        </is>
      </c>
      <c r="AR225" s="24" t="inlineStr">
        <is>
          <t>Detroit Tigers</t>
        </is>
      </c>
      <c r="AS225" s="24" t="inlineStr">
        <is>
          <t>mlb-sea</t>
        </is>
      </c>
      <c r="AT225" s="24" t="inlineStr">
        <is>
          <t>Seattle Mariners</t>
        </is>
      </c>
      <c r="AU225" s="24" t="inlineStr">
        <is>
          <t>Seattle Mariners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6a5c79541b0e50cb9f7318270e63d5ccc65cbd7bc53a019748ff772d49de5075</t>
        </is>
      </c>
      <c r="BB225" s="24" t="inlineStr">
        <is>
          <t>learned_lr</t>
        </is>
      </c>
      <c r="BC225" s="24" t="inlineStr">
        <is>
          <t>mlb-elo-trend-lr-v8</t>
        </is>
      </c>
      <c r="BD225" s="24" t="inlineStr">
        <is>
          <t>6a5c79541b0e50cb9f7318270e63d5ccc65cbd7bc53a019748ff772d49de5075</t>
        </is>
      </c>
      <c r="BE225" s="24" t="inlineStr">
        <is>
          <t>18de224cacd80118</t>
        </is>
      </c>
      <c r="BF225" s="24" t="inlineStr">
        <is>
          <t>1</t>
        </is>
      </c>
      <c r="BG225" s="24" t="inlineStr">
        <is>
          <t>mlb-elo-trend-lr-v8</t>
        </is>
      </c>
      <c r="BH225" s="24" t="inlineStr">
        <is>
          <t>2026-08-06T00:22:57.008358Z</t>
        </is>
      </c>
      <c r="BI225" s="24" t="inlineStr">
        <is>
          <t>["same_event","same_team_same_day","same_league_same_day"]</t>
        </is>
      </c>
      <c r="BJ225" s="25" t="n"/>
      <c r="BK225" s="26" t="n">
        <v>-141</v>
      </c>
      <c r="BL225" s="27" t="n">
        <v>1.70922</v>
      </c>
      <c r="BM225" s="28" t="n">
        <v>0.585062</v>
      </c>
      <c r="BN225" s="28" t="n">
        <v>0.58209</v>
      </c>
      <c r="BO225" s="28" t="n"/>
      <c r="BP225" s="25" t="n"/>
      <c r="BQ225" s="27" t="n">
        <v>1.70922</v>
      </c>
      <c r="BR225" s="28" t="n">
        <v>0.585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inlineStr">
        <is>
          <t>0.5055935053</t>
        </is>
      </c>
      <c r="CD225" s="24" t="inlineStr">
        <is>
          <t>-3.145579</t>
        </is>
      </c>
      <c r="CE225" s="24" t="inlineStr">
        <is>
          <t>0.938</t>
        </is>
      </c>
      <c r="CF225" s="24" t="inlineStr">
        <is>
          <t>1.0</t>
        </is>
      </c>
      <c r="CG225" s="24" t="n"/>
      <c r="CH225" s="24" t="n"/>
      <c r="CI225" s="24" t="n"/>
      <c r="CJ225" s="24" t="inlineStr">
        <is>
          <t>-2.083614</t>
        </is>
      </c>
      <c r="CK225" s="24" t="n"/>
      <c r="CL225" s="24" t="inlineStr">
        <is>
          <t>0.392359</t>
        </is>
      </c>
      <c r="CM225" s="24" t="inlineStr">
        <is>
          <t>2.5845</t>
        </is>
      </c>
      <c r="CN225" s="24" t="n"/>
      <c r="CO225" s="24" t="n"/>
      <c r="CP225" s="24" t="n"/>
      <c r="CQ225" s="24" t="n"/>
      <c r="CR225" s="24" t="inlineStr">
        <is>
          <t>0.549586</t>
        </is>
      </c>
      <c r="CS225" s="24" t="inlineStr">
        <is>
          <t>False</t>
        </is>
      </c>
    </row>
    <row r="226" ht="36" customHeight="1">
      <c r="A226" s="24" t="inlineStr">
        <is>
          <t>31b907b6ba3a46d1</t>
        </is>
      </c>
      <c r="B226" s="24" t="inlineStr">
        <is>
          <t>2026-08-06T00:23:10.436172Z</t>
        </is>
      </c>
      <c r="C226" s="24" t="inlineStr">
        <is>
          <t>2026-08-05T21:40:00-0400</t>
        </is>
      </c>
      <c r="D226" s="24" t="inlineStr">
        <is>
          <t>401816413</t>
        </is>
      </c>
      <c r="E226" s="24" t="inlineStr">
        <is>
          <t>MLB</t>
        </is>
      </c>
      <c r="F226" s="24" t="inlineStr">
        <is>
          <t>San Diego Padres</t>
        </is>
      </c>
      <c r="G226" s="24" t="inlineStr">
        <is>
          <t>Arizona Diamondbacks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polymarket_us</t>
        </is>
      </c>
      <c r="L226" s="26" t="n">
        <v>-130</v>
      </c>
      <c r="M226" s="27" t="n">
        <v>1.769231</v>
      </c>
      <c r="N226" s="28" t="n">
        <v>0.565217</v>
      </c>
      <c r="O226" s="28" t="n">
        <v>0.51228</v>
      </c>
      <c r="P226" s="28" t="n"/>
      <c r="Q226" s="28" t="n">
        <v>-0.052937</v>
      </c>
      <c r="R226" s="26" t="n">
        <v>0</v>
      </c>
      <c r="S226" s="29" t="n">
        <v>0</v>
      </c>
      <c r="T226" s="24" t="inlineStr">
        <is>
          <t>mlb-elo-trend-lr-v8</t>
        </is>
      </c>
      <c r="U226" s="24" t="inlineStr">
        <is>
          <t>settled</t>
        </is>
      </c>
      <c r="V226" s="24" t="inlineStr">
        <is>
          <t>loss</t>
        </is>
      </c>
      <c r="W226" s="26" t="n">
        <v>4</v>
      </c>
      <c r="X226" s="26" t="n">
        <v>10</v>
      </c>
      <c r="Y226" s="25" t="n"/>
      <c r="Z226" s="26" t="n">
        <v>-130</v>
      </c>
      <c r="AA226" s="28" t="n">
        <v>0.5649999999999999</v>
      </c>
      <c r="AB226" s="28" t="n">
        <v>-0.000217</v>
      </c>
      <c r="AC226" s="30" t="n">
        <v>0</v>
      </c>
      <c r="AD226" s="24" t="inlineStr">
        <is>
          <t>2026-08-06T18:54:09.677702Z</t>
        </is>
      </c>
      <c r="AE226" s="31" t="inlineStr">
        <is>
          <t>Learned LR call at threshold 0.5873; executable ask 0.5650 (aec-mlb-sd-az-2026-08-05); model edge vs ask -0.0527.</t>
        </is>
      </c>
      <c r="AF226" s="31" t="inlineStr">
        <is>
          <t>Learned model; shadow-qualified via operator override.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research_observation</t>
        </is>
      </c>
      <c r="AL226" s="26" t="n">
        <v>3</v>
      </c>
      <c r="AM226" s="24" t="inlineStr">
        <is>
          <t>RESEARCH_OBSERVATION</t>
        </is>
      </c>
      <c r="AN226" s="24" t="inlineStr">
        <is>
          <t>NO_CALL</t>
        </is>
      </c>
      <c r="AO226" s="24" t="inlineStr">
        <is>
          <t>NO_CALL_WINNER_OVERVALUED</t>
        </is>
      </c>
      <c r="AP226" s="24" t="inlineStr">
        <is>
          <t>mlb-sd</t>
        </is>
      </c>
      <c r="AQ226" s="24" t="inlineStr">
        <is>
          <t>San Diego Padres</t>
        </is>
      </c>
      <c r="AR226" s="24" t="inlineStr">
        <is>
          <t>San Diego Padres</t>
        </is>
      </c>
      <c r="AS226" s="24" t="inlineStr">
        <is>
          <t>mlb-ari</t>
        </is>
      </c>
      <c r="AT226" s="24" t="inlineStr">
        <is>
          <t>Arizona Diamondbacks</t>
        </is>
      </c>
      <c r="AU226" s="24" t="inlineStr">
        <is>
          <t>Arizona Diamondbacks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6a5c79541b0e50cb9f7318270e63d5ccc65cbd7bc53a019748ff772d49de5075</t>
        </is>
      </c>
      <c r="BB226" s="24" t="inlineStr">
        <is>
          <t>learned_lr</t>
        </is>
      </c>
      <c r="BC226" s="24" t="inlineStr">
        <is>
          <t>mlb-elo-trend-lr-v8</t>
        </is>
      </c>
      <c r="BD226" s="24" t="inlineStr">
        <is>
          <t>6a5c79541b0e50cb9f7318270e63d5ccc65cbd7bc53a019748ff772d49de5075</t>
        </is>
      </c>
      <c r="BE226" s="24" t="inlineStr">
        <is>
          <t>0baa18332e487c9b</t>
        </is>
      </c>
      <c r="BF226" s="24" t="inlineStr">
        <is>
          <t>1</t>
        </is>
      </c>
      <c r="BG226" s="24" t="inlineStr">
        <is>
          <t>mlb-elo-trend-lr-v8</t>
        </is>
      </c>
      <c r="BH226" s="24" t="inlineStr">
        <is>
          <t>2026-08-06T00:22:57.322907Z</t>
        </is>
      </c>
      <c r="BI226" s="24" t="inlineStr">
        <is>
          <t>["same_event","same_team_same_day","same_league_same_day"]</t>
        </is>
      </c>
      <c r="BJ226" s="25" t="n"/>
      <c r="BK226" s="26" t="n">
        <v>-130</v>
      </c>
      <c r="BL226" s="27" t="n">
        <v>1.769231</v>
      </c>
      <c r="BM226" s="28" t="n">
        <v>0.565217</v>
      </c>
      <c r="BN226" s="28" t="n">
        <v>0.562189</v>
      </c>
      <c r="BO226" s="28" t="n"/>
      <c r="BP226" s="25" t="n"/>
      <c r="BQ226" s="27" t="n">
        <v>1.769231</v>
      </c>
      <c r="BR226" s="28" t="n">
        <v>0.5649999999999999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inlineStr">
        <is>
          <t>0.5327218645</t>
        </is>
      </c>
      <c r="CD226" s="24" t="inlineStr">
        <is>
          <t>0.544245</t>
        </is>
      </c>
      <c r="CE226" s="24" t="inlineStr">
        <is>
          <t>1.097</t>
        </is>
      </c>
      <c r="CF226" s="24" t="inlineStr">
        <is>
          <t>1.0</t>
        </is>
      </c>
      <c r="CG226" s="24" t="n"/>
      <c r="CH226" s="24" t="n"/>
      <c r="CI226" s="24" t="n"/>
      <c r="CJ226" s="24" t="inlineStr">
        <is>
          <t>-0.130548</t>
        </is>
      </c>
      <c r="CK226" s="24" t="n"/>
      <c r="CL226" s="24" t="inlineStr">
        <is>
          <t>-0.205643</t>
        </is>
      </c>
      <c r="CM226" s="24" t="inlineStr">
        <is>
          <t>2.8235</t>
        </is>
      </c>
      <c r="CN226" s="24" t="n"/>
      <c r="CO226" s="24" t="n"/>
      <c r="CP226" s="24" t="n"/>
      <c r="CQ226" s="24" t="n"/>
      <c r="CR226" s="24" t="inlineStr">
        <is>
          <t>0.51228</t>
        </is>
      </c>
      <c r="CS226" s="24" t="inlineStr">
        <is>
          <t>False</t>
        </is>
      </c>
    </row>
    <row r="227" ht="36" customHeight="1">
      <c r="A227" s="24" t="inlineStr">
        <is>
          <t>b37a3dbe04264c93</t>
        </is>
      </c>
      <c r="B227" s="24" t="inlineStr">
        <is>
          <t>2026-08-06T00:23:19.173489Z</t>
        </is>
      </c>
      <c r="C227" s="24" t="inlineStr">
        <is>
          <t>2026-08-06T01:40Z</t>
        </is>
      </c>
      <c r="D227" s="24" t="inlineStr">
        <is>
          <t>401816412</t>
        </is>
      </c>
      <c r="E227" s="24" t="inlineStr">
        <is>
          <t>MLB</t>
        </is>
      </c>
      <c r="F227" s="24" t="inlineStr">
        <is>
          <t>Detroit Tigers</t>
        </is>
      </c>
      <c r="G227" s="24" t="inlineStr">
        <is>
          <t>Seattle Mariners</t>
        </is>
      </c>
      <c r="H227" s="24" t="inlineStr">
        <is>
          <t>spread</t>
        </is>
      </c>
      <c r="I227" s="24" t="inlineStr">
        <is>
          <t>away</t>
        </is>
      </c>
      <c r="J227" s="25" t="n">
        <v>1.5</v>
      </c>
      <c r="K227" s="24" t="inlineStr">
        <is>
          <t>polymarket_us</t>
        </is>
      </c>
      <c r="L227" s="26" t="n">
        <v>-153</v>
      </c>
      <c r="M227" s="27" t="n">
        <v>1.653595</v>
      </c>
      <c r="N227" s="28" t="n">
        <v>0.604743</v>
      </c>
      <c r="O227" s="28" t="n">
        <v>0.630999</v>
      </c>
      <c r="P227" s="28" t="n">
        <v>0.042131</v>
      </c>
      <c r="Q227" s="28" t="n">
        <v>0.026256</v>
      </c>
      <c r="R227" s="26" t="n">
        <v>39</v>
      </c>
      <c r="S227" s="29" t="n">
        <v>0</v>
      </c>
      <c r="T227" s="24" t="inlineStr">
        <is>
          <t>measured-edge-margin-v3</t>
        </is>
      </c>
      <c r="U227" s="24" t="inlineStr">
        <is>
          <t>settled</t>
        </is>
      </c>
      <c r="V227" s="24" t="inlineStr">
        <is>
          <t>loss</t>
        </is>
      </c>
      <c r="W227" s="26" t="n">
        <v>2</v>
      </c>
      <c r="X227" s="26" t="n">
        <v>4</v>
      </c>
      <c r="Y227" s="25" t="n">
        <v>1.5</v>
      </c>
      <c r="Z227" s="26" t="n">
        <v>-153</v>
      </c>
      <c r="AA227" s="28" t="n">
        <v>0.605</v>
      </c>
      <c r="AB227" s="28" t="n">
        <v>0.000257</v>
      </c>
      <c r="AC227" s="30" t="n">
        <v>0</v>
      </c>
      <c r="AD227" s="24" t="inlineStr">
        <is>
          <t>2026-08-06T18:54:11.468896Z</t>
        </is>
      </c>
      <c r="AE227" s="31" t="inlineStr">
        <is>
          <t>Measured Edge Margin: Trend Engine projected 4.87-4.56; raw selected-side p=0.6923, calibrated p=0.6310.</t>
        </is>
      </c>
      <c r="AF227" s="31" t="inlineStr">
        <is>
          <t>Research-only; lineup, bullpen, park, weather, xFIP, and wRC+ may be neutral fallbacks; market availability and BBO depth may change before first pitch.</t>
        </is>
      </c>
      <c r="AG227" s="24" t="inlineStr">
        <is>
          <t>review_required</t>
        </is>
      </c>
      <c r="AH227" s="24" t="n"/>
      <c r="AI227" s="31" t="n"/>
      <c r="AJ227" s="31" t="n"/>
      <c r="AK227" s="24" t="inlineStr">
        <is>
          <t>research_observation</t>
        </is>
      </c>
      <c r="AL227" s="26" t="n">
        <v>3</v>
      </c>
      <c r="AM227" s="24" t="inlineStr">
        <is>
          <t>RESEARCH_OBSERVATION</t>
        </is>
      </c>
      <c r="AN227" s="24" t="inlineStr">
        <is>
          <t>NO_CALL</t>
        </is>
      </c>
      <c r="AO227" s="24" t="inlineStr">
        <is>
          <t>NO_CALL_WINNER_OVERVALUED</t>
        </is>
      </c>
      <c r="AP227" s="24" t="inlineStr">
        <is>
          <t>mlb-det</t>
        </is>
      </c>
      <c r="AQ227" s="24" t="inlineStr">
        <is>
          <t>Detroit Tigers</t>
        </is>
      </c>
      <c r="AR227" s="24" t="inlineStr">
        <is>
          <t>Detroit Tigers</t>
        </is>
      </c>
      <c r="AS227" s="24" t="inlineStr">
        <is>
          <t>mlb-sea</t>
        </is>
      </c>
      <c r="AT227" s="24" t="inlineStr">
        <is>
          <t>Seattle Mariners</t>
        </is>
      </c>
      <c r="AU227" s="24" t="inlineStr">
        <is>
          <t>Seattle Mariners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research</t>
        </is>
      </c>
      <c r="BA227" s="24" t="inlineStr">
        <is>
          <t>dd339a2eed50d7d83ab2127837995ddab82e879afd27f5414bb6c1f9cd60ba4c</t>
        </is>
      </c>
      <c r="BB227" s="24" t="inlineStr">
        <is>
          <t>flat_probability_shrinkage_toward_half</t>
        </is>
      </c>
      <c r="BC227" s="24" t="inlineStr">
        <is>
          <t>measured-edge-margin-v3</t>
        </is>
      </c>
      <c r="BD227" s="24" t="inlineStr">
        <is>
          <t>dd339a2eed50d7d83ab2127837995ddab82e879afd27f5414bb6c1f9cd60ba4c</t>
        </is>
      </c>
      <c r="BE227" s="24" t="inlineStr">
        <is>
          <t>v3</t>
        </is>
      </c>
      <c r="BF227" s="24" t="inlineStr">
        <is>
          <t>1</t>
        </is>
      </c>
      <c r="BG227" s="24" t="inlineStr">
        <is>
          <t>measured-edge-paired-v1</t>
        </is>
      </c>
      <c r="BH227" s="24" t="inlineStr">
        <is>
          <t>2026-08-06T00:23:19.173489Z</t>
        </is>
      </c>
      <c r="BI227" s="24" t="inlineStr">
        <is>
          <t>["same_event","same_team_same_day","same_league_same_day"]</t>
        </is>
      </c>
      <c r="BJ227" s="25" t="n">
        <v>1.5</v>
      </c>
      <c r="BK227" s="26" t="n">
        <v>-153</v>
      </c>
      <c r="BL227" s="27" t="n">
        <v>1.653595</v>
      </c>
      <c r="BM227" s="28" t="n">
        <v>0.604743</v>
      </c>
      <c r="BN227" s="28" t="n">
        <v>0.60199</v>
      </c>
      <c r="BO227" s="28" t="n"/>
      <c r="BP227" s="25" t="n"/>
      <c r="BQ227" s="27" t="n">
        <v>1.653595</v>
      </c>
      <c r="BR227" s="28" t="n">
        <v>0.605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f2134a98f7544f46</t>
        </is>
      </c>
      <c r="B228" s="24" t="inlineStr">
        <is>
          <t>2026-08-06T00:23:19.173489Z</t>
        </is>
      </c>
      <c r="C228" s="24" t="inlineStr">
        <is>
          <t>2026-08-06T01:40Z</t>
        </is>
      </c>
      <c r="D228" s="24" t="inlineStr">
        <is>
          <t>401816412</t>
        </is>
      </c>
      <c r="E228" s="24" t="inlineStr">
        <is>
          <t>MLB</t>
        </is>
      </c>
      <c r="F228" s="24" t="inlineStr">
        <is>
          <t>Detroit Tigers</t>
        </is>
      </c>
      <c r="G228" s="24" t="inlineStr">
        <is>
          <t>Seattle Mariners</t>
        </is>
      </c>
      <c r="H228" s="24" t="inlineStr">
        <is>
          <t>total</t>
        </is>
      </c>
      <c r="I228" s="24" t="inlineStr">
        <is>
          <t>over</t>
        </is>
      </c>
      <c r="J228" s="25" t="n">
        <v>7.5</v>
      </c>
      <c r="K228" s="24" t="inlineStr">
        <is>
          <t>polymarket_us</t>
        </is>
      </c>
      <c r="L228" s="26" t="n">
        <v>-108</v>
      </c>
      <c r="M228" s="27" t="n">
        <v>1.925926</v>
      </c>
      <c r="N228" s="28" t="n">
        <v>0.519231</v>
      </c>
      <c r="O228" s="28" t="n">
        <v>0.536862</v>
      </c>
      <c r="P228" s="28" t="n">
        <v>0.042131</v>
      </c>
      <c r="Q228" s="28" t="n">
        <v>0.017631</v>
      </c>
      <c r="R228" s="26" t="n">
        <v>34</v>
      </c>
      <c r="S228" s="29" t="n">
        <v>0</v>
      </c>
      <c r="T228" s="24" t="inlineStr">
        <is>
          <t>measured-edge-totals-v3</t>
        </is>
      </c>
      <c r="U228" s="24" t="inlineStr">
        <is>
          <t>settled</t>
        </is>
      </c>
      <c r="V228" s="24" t="inlineStr">
        <is>
          <t>loss</t>
        </is>
      </c>
      <c r="W228" s="26" t="n">
        <v>2</v>
      </c>
      <c r="X228" s="26" t="n">
        <v>4</v>
      </c>
      <c r="Y228" s="25" t="n">
        <v>7.5</v>
      </c>
      <c r="Z228" s="26" t="n">
        <v>-108</v>
      </c>
      <c r="AA228" s="28" t="n">
        <v>0.52</v>
      </c>
      <c r="AB228" s="28" t="n">
        <v>0.000769</v>
      </c>
      <c r="AC228" s="30" t="n">
        <v>0</v>
      </c>
      <c r="AD228" s="24" t="inlineStr">
        <is>
          <t>2026-08-06T18:54:13.257089Z</t>
        </is>
      </c>
      <c r="AE228" s="31" t="inlineStr">
        <is>
          <t>Measured Edge Totals: Trend Engine projected 4.87-4.56; raw selected-side p=0.6250, calibrated p=0.5369.</t>
        </is>
      </c>
      <c r="AF228" s="31" t="inlineStr">
        <is>
          <t>Research-only; lineup, bullpen, park, weather, xFIP, and wRC+ may be neutral fallbacks; market availability and BBO depth may change before first pitch.</t>
        </is>
      </c>
      <c r="AG228" s="24" t="inlineStr">
        <is>
          <t>review_required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NO_CALL_WINNER_OVERVALUED</t>
        </is>
      </c>
      <c r="AP228" s="24" t="inlineStr">
        <is>
          <t>mlb-det</t>
        </is>
      </c>
      <c r="AQ228" s="24" t="inlineStr">
        <is>
          <t>Detroit Tigers</t>
        </is>
      </c>
      <c r="AR228" s="24" t="inlineStr">
        <is>
          <t>Detroit Tigers</t>
        </is>
      </c>
      <c r="AS228" s="24" t="inlineStr">
        <is>
          <t>mlb-sea</t>
        </is>
      </c>
      <c r="AT228" s="24" t="inlineStr">
        <is>
          <t>Seattle Mariners</t>
        </is>
      </c>
      <c r="AU228" s="24" t="inlineStr">
        <is>
          <t>Seattle Mariners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research</t>
        </is>
      </c>
      <c r="BA228" s="24" t="inlineStr">
        <is>
          <t>95b84332c75d2ce54036eb8de6ada9c78d0f80228c50825c0347281a8b9b49c7</t>
        </is>
      </c>
      <c r="BB228" s="24" t="inlineStr">
        <is>
          <t>flat_probability_shrinkage_toward_half</t>
        </is>
      </c>
      <c r="BC228" s="24" t="inlineStr">
        <is>
          <t>measured-edge-totals-v3</t>
        </is>
      </c>
      <c r="BD228" s="24" t="inlineStr">
        <is>
          <t>95b84332c75d2ce54036eb8de6ada9c78d0f80228c50825c0347281a8b9b49c7</t>
        </is>
      </c>
      <c r="BE228" s="24" t="inlineStr">
        <is>
          <t>v3</t>
        </is>
      </c>
      <c r="BF228" s="24" t="inlineStr">
        <is>
          <t>1</t>
        </is>
      </c>
      <c r="BG228" s="24" t="inlineStr">
        <is>
          <t>measured-edge-paired-v1</t>
        </is>
      </c>
      <c r="BH228" s="24" t="inlineStr">
        <is>
          <t>2026-08-06T00:23:19.173489Z</t>
        </is>
      </c>
      <c r="BI228" s="24" t="inlineStr">
        <is>
          <t>["same_event","same_team_same_day","same_league_same_day"]</t>
        </is>
      </c>
      <c r="BJ228" s="25" t="n">
        <v>7.5</v>
      </c>
      <c r="BK228" s="26" t="n">
        <v>-108</v>
      </c>
      <c r="BL228" s="27" t="n">
        <v>1.925926</v>
      </c>
      <c r="BM228" s="28" t="n">
        <v>0.519231</v>
      </c>
      <c r="BN228" s="28" t="n">
        <v>0.517413</v>
      </c>
      <c r="BO228" s="28" t="n"/>
      <c r="BP228" s="25" t="n"/>
      <c r="BQ228" s="27" t="n">
        <v>1.925926</v>
      </c>
      <c r="BR228" s="28" t="n">
        <v>0.52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</row>
    <row r="229" ht="36" customHeight="1">
      <c r="A229" s="24" t="inlineStr">
        <is>
          <t>70715d5c0d904f4a</t>
        </is>
      </c>
      <c r="B229" s="24" t="inlineStr">
        <is>
          <t>2026-08-06T00:23:19.173489Z</t>
        </is>
      </c>
      <c r="C229" s="24" t="inlineStr">
        <is>
          <t>2026-08-06T01:40Z</t>
        </is>
      </c>
      <c r="D229" s="24" t="inlineStr">
        <is>
          <t>401816413</t>
        </is>
      </c>
      <c r="E229" s="24" t="inlineStr">
        <is>
          <t>MLB</t>
        </is>
      </c>
      <c r="F229" s="24" t="inlineStr">
        <is>
          <t>San Diego Padres</t>
        </is>
      </c>
      <c r="G229" s="24" t="inlineStr">
        <is>
          <t>Arizona Diamondbacks</t>
        </is>
      </c>
      <c r="H229" s="24" t="inlineStr">
        <is>
          <t>spread</t>
        </is>
      </c>
      <c r="I229" s="24" t="inlineStr">
        <is>
          <t>away</t>
        </is>
      </c>
      <c r="J229" s="25" t="n">
        <v>-1.5</v>
      </c>
      <c r="K229" s="24" t="inlineStr">
        <is>
          <t>polymarket_us</t>
        </is>
      </c>
      <c r="L229" s="26" t="n">
        <v>127</v>
      </c>
      <c r="M229" s="27" t="n">
        <v>2.27</v>
      </c>
      <c r="N229" s="28" t="n">
        <v>0.440529</v>
      </c>
      <c r="O229" s="28" t="n">
        <v>0.415472</v>
      </c>
      <c r="P229" s="28" t="n">
        <v>0.05172</v>
      </c>
      <c r="Q229" s="28" t="n">
        <v>-0.025057</v>
      </c>
      <c r="R229" s="26" t="n">
        <v>9</v>
      </c>
      <c r="S229" s="29" t="n">
        <v>0</v>
      </c>
      <c r="T229" s="24" t="inlineStr">
        <is>
          <t>measured-edge-margin-v3</t>
        </is>
      </c>
      <c r="U229" s="24" t="inlineStr">
        <is>
          <t>settled</t>
        </is>
      </c>
      <c r="V229" s="24" t="inlineStr">
        <is>
          <t>loss</t>
        </is>
      </c>
      <c r="W229" s="26" t="n">
        <v>4</v>
      </c>
      <c r="X229" s="26" t="n">
        <v>10</v>
      </c>
      <c r="Y229" s="25" t="n">
        <v>-1.5</v>
      </c>
      <c r="Z229" s="26" t="n">
        <v>127</v>
      </c>
      <c r="AA229" s="28" t="n">
        <v>0.44</v>
      </c>
      <c r="AB229" s="28" t="n">
        <v>-0.000529</v>
      </c>
      <c r="AC229" s="30" t="n">
        <v>0</v>
      </c>
      <c r="AD229" s="24" t="inlineStr">
        <is>
          <t>2026-08-06T18:54:15.140035Z</t>
        </is>
      </c>
      <c r="AE229" s="31" t="inlineStr">
        <is>
          <t>Measured Edge Margin: Trend Engine projected 4.83-4.33; raw selected-side p=0.3760, calibrated p=0.4155.</t>
        </is>
      </c>
      <c r="AF229" s="31" t="inlineStr">
        <is>
          <t>Research-only; lineup, bullpen, park, weather, xFIP, and wRC+ may be neutral fallbacks; market availability and BBO depth may change before first pitch.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research_observation</t>
        </is>
      </c>
      <c r="AL229" s="26" t="n">
        <v>3</v>
      </c>
      <c r="AM229" s="24" t="inlineStr">
        <is>
          <t>RESEARCH_OBSERVATION</t>
        </is>
      </c>
      <c r="AN229" s="24" t="inlineStr">
        <is>
          <t>NO_CALL</t>
        </is>
      </c>
      <c r="AO229" s="24" t="inlineStr">
        <is>
          <t>NO_CALL_WINNER_OVERVALUED</t>
        </is>
      </c>
      <c r="AP229" s="24" t="inlineStr">
        <is>
          <t>mlb-sd</t>
        </is>
      </c>
      <c r="AQ229" s="24" t="inlineStr">
        <is>
          <t>San Diego Padres</t>
        </is>
      </c>
      <c r="AR229" s="24" t="inlineStr">
        <is>
          <t>San Diego Padres</t>
        </is>
      </c>
      <c r="AS229" s="24" t="inlineStr">
        <is>
          <t>mlb-ari</t>
        </is>
      </c>
      <c r="AT229" s="24" t="inlineStr">
        <is>
          <t>Arizona Diamondbacks</t>
        </is>
      </c>
      <c r="AU229" s="24" t="inlineStr">
        <is>
          <t>Arizona Diamondbacks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dd339a2eed50d7d83ab2127837995ddab82e879afd27f5414bb6c1f9cd60ba4c</t>
        </is>
      </c>
      <c r="BB229" s="24" t="inlineStr">
        <is>
          <t>flat_probability_shrinkage_toward_half</t>
        </is>
      </c>
      <c r="BC229" s="24" t="inlineStr">
        <is>
          <t>measured-edge-margin-v3</t>
        </is>
      </c>
      <c r="BD229" s="24" t="inlineStr">
        <is>
          <t>dd339a2eed50d7d83ab2127837995ddab82e879afd27f5414bb6c1f9cd60ba4c</t>
        </is>
      </c>
      <c r="BE229" s="24" t="inlineStr">
        <is>
          <t>v3</t>
        </is>
      </c>
      <c r="BF229" s="24" t="inlineStr">
        <is>
          <t>1</t>
        </is>
      </c>
      <c r="BG229" s="24" t="inlineStr">
        <is>
          <t>measured-edge-paired-v1</t>
        </is>
      </c>
      <c r="BH229" s="24" t="inlineStr">
        <is>
          <t>2026-08-06T00:23:19.173489Z</t>
        </is>
      </c>
      <c r="BI229" s="24" t="inlineStr">
        <is>
          <t>["same_event","same_team_same_day","same_league_same_day"]</t>
        </is>
      </c>
      <c r="BJ229" s="25" t="n">
        <v>-1.5</v>
      </c>
      <c r="BK229" s="26" t="n">
        <v>127</v>
      </c>
      <c r="BL229" s="27" t="n">
        <v>2.27</v>
      </c>
      <c r="BM229" s="28" t="n">
        <v>0.440529</v>
      </c>
      <c r="BN229" s="28" t="n">
        <v>0.435644</v>
      </c>
      <c r="BO229" s="28" t="n"/>
      <c r="BP229" s="25" t="n"/>
      <c r="BQ229" s="27" t="n">
        <v>2.27</v>
      </c>
      <c r="BR229" s="28" t="n">
        <v>0.44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False</t>
        </is>
      </c>
    </row>
    <row r="230" ht="36" customHeight="1">
      <c r="A230" s="24" t="inlineStr">
        <is>
          <t>8436ed2961fc4b95</t>
        </is>
      </c>
      <c r="B230" s="24" t="inlineStr">
        <is>
          <t>2026-08-06T00:23:19.173489Z</t>
        </is>
      </c>
      <c r="C230" s="24" t="inlineStr">
        <is>
          <t>2026-08-06T01:40Z</t>
        </is>
      </c>
      <c r="D230" s="24" t="inlineStr">
        <is>
          <t>401816413</t>
        </is>
      </c>
      <c r="E230" s="24" t="inlineStr">
        <is>
          <t>MLB</t>
        </is>
      </c>
      <c r="F230" s="24" t="inlineStr">
        <is>
          <t>San Diego Padres</t>
        </is>
      </c>
      <c r="G230" s="24" t="inlineStr">
        <is>
          <t>Arizona Diamondbacks</t>
        </is>
      </c>
      <c r="H230" s="24" t="inlineStr">
        <is>
          <t>total</t>
        </is>
      </c>
      <c r="I230" s="24" t="inlineStr">
        <is>
          <t>over</t>
        </is>
      </c>
      <c r="J230" s="25" t="n">
        <v>8.5</v>
      </c>
      <c r="K230" s="24" t="inlineStr">
        <is>
          <t>polymarket_us</t>
        </is>
      </c>
      <c r="L230" s="26" t="n">
        <v>-104</v>
      </c>
      <c r="M230" s="27" t="n">
        <v>1.961538</v>
      </c>
      <c r="N230" s="28" t="n">
        <v>0.509804</v>
      </c>
      <c r="O230" s="28" t="n">
        <v>0.513153</v>
      </c>
      <c r="P230" s="28" t="n">
        <v>0.05172</v>
      </c>
      <c r="Q230" s="28" t="n">
        <v>0.003349</v>
      </c>
      <c r="R230" s="26" t="n">
        <v>22</v>
      </c>
      <c r="S230" s="29" t="n">
        <v>0</v>
      </c>
      <c r="T230" s="24" t="inlineStr">
        <is>
          <t>measured-edge-totals-v3</t>
        </is>
      </c>
      <c r="U230" s="24" t="inlineStr">
        <is>
          <t>settled</t>
        </is>
      </c>
      <c r="V230" s="24" t="inlineStr">
        <is>
          <t>win</t>
        </is>
      </c>
      <c r="W230" s="26" t="n">
        <v>4</v>
      </c>
      <c r="X230" s="26" t="n">
        <v>10</v>
      </c>
      <c r="Y230" s="25" t="n">
        <v>8.5</v>
      </c>
      <c r="Z230" s="26" t="n">
        <v>-104</v>
      </c>
      <c r="AA230" s="28" t="n">
        <v>0.51</v>
      </c>
      <c r="AB230" s="28" t="n">
        <v>0.000196</v>
      </c>
      <c r="AC230" s="30" t="n">
        <v>0</v>
      </c>
      <c r="AD230" s="24" t="inlineStr">
        <is>
          <t>2026-08-06T18:54:16.936484Z</t>
        </is>
      </c>
      <c r="AE230" s="31" t="inlineStr">
        <is>
          <t>Measured Edge Totals: Trend Engine projected 4.83-4.33; raw selected-side p=0.5296, calibrated p=0.5132.</t>
        </is>
      </c>
      <c r="AF230" s="31" t="inlineStr">
        <is>
          <t>Research-only; lineup, bullpen, park, weather, xFIP, and wRC+ may be neutral fallbacks; market availability and BBO depth may change before first pitch.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research_observation</t>
        </is>
      </c>
      <c r="AL230" s="26" t="n">
        <v>3</v>
      </c>
      <c r="AM230" s="24" t="inlineStr">
        <is>
          <t>RESEARCH_OBSERVATION</t>
        </is>
      </c>
      <c r="AN230" s="24" t="inlineStr">
        <is>
          <t>NO_CALL</t>
        </is>
      </c>
      <c r="AO230" s="24" t="inlineStr">
        <is>
          <t>NO_CALL_WINNER_OVERVALUED</t>
        </is>
      </c>
      <c r="AP230" s="24" t="inlineStr">
        <is>
          <t>mlb-sd</t>
        </is>
      </c>
      <c r="AQ230" s="24" t="inlineStr">
        <is>
          <t>San Diego Padres</t>
        </is>
      </c>
      <c r="AR230" s="24" t="inlineStr">
        <is>
          <t>San Diego Padres</t>
        </is>
      </c>
      <c r="AS230" s="24" t="inlineStr">
        <is>
          <t>mlb-ari</t>
        </is>
      </c>
      <c r="AT230" s="24" t="inlineStr">
        <is>
          <t>Arizona Diamondbacks</t>
        </is>
      </c>
      <c r="AU230" s="24" t="inlineStr">
        <is>
          <t>Arizona Diamondbacks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research</t>
        </is>
      </c>
      <c r="BA230" s="24" t="inlineStr">
        <is>
          <t>95b84332c75d2ce54036eb8de6ada9c78d0f80228c50825c0347281a8b9b49c7</t>
        </is>
      </c>
      <c r="BB230" s="24" t="inlineStr">
        <is>
          <t>flat_probability_shrinkage_toward_half</t>
        </is>
      </c>
      <c r="BC230" s="24" t="inlineStr">
        <is>
          <t>measured-edge-totals-v3</t>
        </is>
      </c>
      <c r="BD230" s="24" t="inlineStr">
        <is>
          <t>95b84332c75d2ce54036eb8de6ada9c78d0f80228c50825c0347281a8b9b49c7</t>
        </is>
      </c>
      <c r="BE230" s="24" t="inlineStr">
        <is>
          <t>v3</t>
        </is>
      </c>
      <c r="BF230" s="24" t="inlineStr">
        <is>
          <t>1</t>
        </is>
      </c>
      <c r="BG230" s="24" t="inlineStr">
        <is>
          <t>measured-edge-paired-v1</t>
        </is>
      </c>
      <c r="BH230" s="24" t="inlineStr">
        <is>
          <t>2026-08-06T00:23:19.173489Z</t>
        </is>
      </c>
      <c r="BI230" s="24" t="inlineStr">
        <is>
          <t>["same_event","same_team_same_day","same_league_same_day"]</t>
        </is>
      </c>
      <c r="BJ230" s="25" t="n">
        <v>8.5</v>
      </c>
      <c r="BK230" s="26" t="n">
        <v>-104</v>
      </c>
      <c r="BL230" s="27" t="n">
        <v>1.961538</v>
      </c>
      <c r="BM230" s="28" t="n">
        <v>0.509804</v>
      </c>
      <c r="BN230" s="28" t="n">
        <v>0.507463</v>
      </c>
      <c r="BO230" s="28" t="n"/>
      <c r="BP230" s="25" t="n"/>
      <c r="BQ230" s="27" t="n">
        <v>1.961538</v>
      </c>
      <c r="BR230" s="28" t="n">
        <v>0.51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08686cc71921402b</t>
        </is>
      </c>
      <c r="B231" s="24" t="inlineStr">
        <is>
          <t>2026-08-06T18:58:18.495512Z</t>
        </is>
      </c>
      <c r="C231" s="24" t="inlineStr">
        <is>
          <t>2026-08-06T16:10:00-0400</t>
        </is>
      </c>
      <c r="D231" s="24" t="inlineStr">
        <is>
          <t>401816422</t>
        </is>
      </c>
      <c r="E231" s="24" t="inlineStr">
        <is>
          <t>MLB</t>
        </is>
      </c>
      <c r="F231" s="24" t="inlineStr">
        <is>
          <t>Detroit Tigers</t>
        </is>
      </c>
      <c r="G231" s="24" t="inlineStr">
        <is>
          <t>Seattle Mariners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-113</v>
      </c>
      <c r="M231" s="27" t="n">
        <v>1.884956</v>
      </c>
      <c r="N231" s="28" t="n">
        <v>0.530516</v>
      </c>
      <c r="O231" s="28" t="n">
        <v>0.558121</v>
      </c>
      <c r="P231" s="28" t="n"/>
      <c r="Q231" s="28" t="n">
        <v>0.027605</v>
      </c>
      <c r="R231" s="26" t="n">
        <v>35</v>
      </c>
      <c r="S231" s="29" t="n">
        <v>0</v>
      </c>
      <c r="T231" s="24" t="inlineStr">
        <is>
          <t>mlb-elo-trend-lr-v8</t>
        </is>
      </c>
      <c r="U231" s="24" t="inlineStr">
        <is>
          <t>settled</t>
        </is>
      </c>
      <c r="V231" s="24" t="inlineStr">
        <is>
          <t>loss</t>
        </is>
      </c>
      <c r="W231" s="26" t="n">
        <v>11</v>
      </c>
      <c r="X231" s="26" t="n">
        <v>0</v>
      </c>
      <c r="Y231" s="25" t="n"/>
      <c r="Z231" s="26" t="n">
        <v>-113</v>
      </c>
      <c r="AA231" s="28" t="n">
        <v>0.53</v>
      </c>
      <c r="AB231" s="28" t="n">
        <v>-0.000516</v>
      </c>
      <c r="AC231" s="30" t="n">
        <v>0</v>
      </c>
      <c r="AD231" s="24" t="inlineStr">
        <is>
          <t>2026-08-07T09:06:24.486479Z</t>
        </is>
      </c>
      <c r="AE231" s="31" t="inlineStr">
        <is>
          <t>Learned LR call at threshold 0.5873; executable ask 0.5300 (aec-mlb-det-sea-2026-08-06); model edge vs ask +0.0281.</t>
        </is>
      </c>
      <c r="AF231" s="31" t="inlineStr">
        <is>
          <t>Learned model; shadow-qualified via operator override.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research_observation</t>
        </is>
      </c>
      <c r="AL231" s="26" t="n">
        <v>3</v>
      </c>
      <c r="AM231" s="24" t="inlineStr">
        <is>
          <t>RESEARCH_OBSERVATION</t>
        </is>
      </c>
      <c r="AN231" s="24" t="inlineStr">
        <is>
          <t>NO_CALL</t>
        </is>
      </c>
      <c r="AO231" s="24" t="inlineStr">
        <is>
          <t>NO_CALL_WINNER_OVERVALUED</t>
        </is>
      </c>
      <c r="AP231" s="24" t="inlineStr">
        <is>
          <t>mlb-det</t>
        </is>
      </c>
      <c r="AQ231" s="24" t="inlineStr">
        <is>
          <t>Detroit Tigers</t>
        </is>
      </c>
      <c r="AR231" s="24" t="inlineStr">
        <is>
          <t>Detroit Tigers</t>
        </is>
      </c>
      <c r="AS231" s="24" t="inlineStr">
        <is>
          <t>mlb-sea</t>
        </is>
      </c>
      <c r="AT231" s="24" t="inlineStr">
        <is>
          <t>Seattle Mariners</t>
        </is>
      </c>
      <c r="AU231" s="24" t="inlineStr">
        <is>
          <t>Seattle Mariners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6a5c79541b0e50cb9f7318270e63d5ccc65cbd7bc53a019748ff772d49de5075</t>
        </is>
      </c>
      <c r="BB231" s="24" t="inlineStr">
        <is>
          <t>learned_lr</t>
        </is>
      </c>
      <c r="BC231" s="24" t="inlineStr">
        <is>
          <t>mlb-elo-trend-lr-v8</t>
        </is>
      </c>
      <c r="BD231" s="24" t="inlineStr">
        <is>
          <t>6a5c79541b0e50cb9f7318270e63d5ccc65cbd7bc53a019748ff772d49de5075</t>
        </is>
      </c>
      <c r="BE231" s="24" t="inlineStr">
        <is>
          <t>77aa3b27790b8cf7</t>
        </is>
      </c>
      <c r="BF231" s="24" t="inlineStr">
        <is>
          <t>1</t>
        </is>
      </c>
      <c r="BG231" s="24" t="inlineStr">
        <is>
          <t>mlb-elo-trend-lr-v8</t>
        </is>
      </c>
      <c r="BH231" s="24" t="inlineStr">
        <is>
          <t>2026-08-06T18:57:53.058009Z</t>
        </is>
      </c>
      <c r="BI231" s="24" t="inlineStr">
        <is>
          <t>["same_event","same_team_same_day","same_league_same_day"]</t>
        </is>
      </c>
      <c r="BJ231" s="25" t="n"/>
      <c r="BK231" s="26" t="n">
        <v>-113</v>
      </c>
      <c r="BL231" s="27" t="n">
        <v>1.884956</v>
      </c>
      <c r="BM231" s="28" t="n">
        <v>0.530516</v>
      </c>
      <c r="BN231" s="28" t="n">
        <v>0.527363</v>
      </c>
      <c r="BO231" s="28" t="n"/>
      <c r="BP231" s="25" t="n"/>
      <c r="BQ231" s="27" t="n">
        <v>1.884956</v>
      </c>
      <c r="BR231" s="28" t="n">
        <v>0.53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inlineStr">
        <is>
          <t>0.5118338721</t>
        </is>
      </c>
      <c r="CD231" s="24" t="inlineStr">
        <is>
          <t>-1.896927</t>
        </is>
      </c>
      <c r="CE231" s="24" t="inlineStr">
        <is>
          <t>0.938</t>
        </is>
      </c>
      <c r="CF231" s="24" t="inlineStr">
        <is>
          <t>1.0</t>
        </is>
      </c>
      <c r="CG231" s="24" t="n"/>
      <c r="CH231" s="24" t="n"/>
      <c r="CI231" s="24" t="n"/>
      <c r="CJ231" s="24" t="inlineStr">
        <is>
          <t>-1.161774</t>
        </is>
      </c>
      <c r="CK231" s="24" t="n"/>
      <c r="CL231" s="24" t="inlineStr">
        <is>
          <t>0.300803</t>
        </is>
      </c>
      <c r="CM231" s="24" t="inlineStr">
        <is>
          <t>-0.5977</t>
        </is>
      </c>
      <c r="CN231" s="24" t="n"/>
      <c r="CO231" s="24" t="n"/>
      <c r="CP231" s="24" t="n"/>
      <c r="CQ231" s="24" t="n"/>
      <c r="CR231" s="24" t="inlineStr">
        <is>
          <t>0.558121</t>
        </is>
      </c>
      <c r="CS231" s="24" t="inlineStr">
        <is>
          <t>True</t>
        </is>
      </c>
    </row>
    <row r="232" ht="36" customHeight="1">
      <c r="A232" s="24" t="inlineStr">
        <is>
          <t>ef62f42dc4b745a1</t>
        </is>
      </c>
      <c r="B232" s="24" t="inlineStr">
        <is>
          <t>2026-08-06T18:58:18.495512Z</t>
        </is>
      </c>
      <c r="C232" s="24" t="inlineStr">
        <is>
          <t>2026-08-06T18:05:00-0400</t>
        </is>
      </c>
      <c r="D232" s="24" t="inlineStr">
        <is>
          <t>401816419</t>
        </is>
      </c>
      <c r="E232" s="24" t="inlineStr">
        <is>
          <t>MLB</t>
        </is>
      </c>
      <c r="F232" s="24" t="inlineStr">
        <is>
          <t>Washington Nationals</t>
        </is>
      </c>
      <c r="G232" s="24" t="inlineStr">
        <is>
          <t>Philadelphia Phillies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-308</v>
      </c>
      <c r="M232" s="27" t="n">
        <v>1.324675</v>
      </c>
      <c r="N232" s="28" t="n">
        <v>0.754902</v>
      </c>
      <c r="O232" s="28" t="n">
        <v>0.579716</v>
      </c>
      <c r="P232" s="28" t="n"/>
      <c r="Q232" s="28" t="n">
        <v>-0.175186</v>
      </c>
      <c r="R232" s="26" t="n">
        <v>0</v>
      </c>
      <c r="S232" s="29" t="n">
        <v>0</v>
      </c>
      <c r="T232" s="24" t="inlineStr">
        <is>
          <t>mlb-elo-trend-lr-v8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7</v>
      </c>
      <c r="Y232" s="25" t="n"/>
      <c r="Z232" s="26" t="n">
        <v>-308</v>
      </c>
      <c r="AA232" s="28" t="n">
        <v>0.755</v>
      </c>
      <c r="AB232" s="28" t="n">
        <v>9.8e-05</v>
      </c>
      <c r="AC232" s="30" t="n">
        <v>0</v>
      </c>
      <c r="AD232" s="24" t="inlineStr">
        <is>
          <t>2026-08-07T09:06:25.689946Z</t>
        </is>
      </c>
      <c r="AE232" s="31" t="inlineStr">
        <is>
          <t>Learned LR call at threshold 0.5873; executable ask 0.7550 (aec-mlb-wsh-phi-2026-08-06); model edge vs ask -0.1753. NOTE: NO_CALL_STARTER_ERA_GAP_INSUFFICIENT_HISTORY unavailable for this game — defaulted to neutral, other features used normally.</t>
        </is>
      </c>
      <c r="AF232" s="31" t="inlineStr">
        <is>
          <t>Learned model; shadow-qualified via operator override.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research_observation</t>
        </is>
      </c>
      <c r="AL232" s="26" t="n">
        <v>3</v>
      </c>
      <c r="AM232" s="24" t="inlineStr">
        <is>
          <t>RESEARCH_OBSERVATION</t>
        </is>
      </c>
      <c r="AN232" s="24" t="inlineStr">
        <is>
          <t>NO_CALL</t>
        </is>
      </c>
      <c r="AO232" s="24" t="inlineStr">
        <is>
          <t>NO_CALL_WINNER_OVERVALUED</t>
        </is>
      </c>
      <c r="AP232" s="24" t="inlineStr">
        <is>
          <t>mlb-wsh</t>
        </is>
      </c>
      <c r="AQ232" s="24" t="inlineStr">
        <is>
          <t>Washington Nationals</t>
        </is>
      </c>
      <c r="AR232" s="24" t="inlineStr">
        <is>
          <t>Washington Nationals</t>
        </is>
      </c>
      <c r="AS232" s="24" t="inlineStr">
        <is>
          <t>mlb-phi</t>
        </is>
      </c>
      <c r="AT232" s="24" t="inlineStr">
        <is>
          <t>Philadelphia Phillies</t>
        </is>
      </c>
      <c r="AU232" s="24" t="inlineStr">
        <is>
          <t>Philadelphia Phillies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6a5c79541b0e50cb9f7318270e63d5ccc65cbd7bc53a019748ff772d49de5075</t>
        </is>
      </c>
      <c r="BB232" s="24" t="inlineStr">
        <is>
          <t>learned_lr</t>
        </is>
      </c>
      <c r="BC232" s="24" t="inlineStr">
        <is>
          <t>mlb-elo-trend-lr-v8</t>
        </is>
      </c>
      <c r="BD232" s="24" t="inlineStr">
        <is>
          <t>6a5c79541b0e50cb9f7318270e63d5ccc65cbd7bc53a019748ff772d49de5075</t>
        </is>
      </c>
      <c r="BE232" s="24" t="inlineStr">
        <is>
          <t>3e52859e0e873013</t>
        </is>
      </c>
      <c r="BF232" s="24" t="inlineStr">
        <is>
          <t>1</t>
        </is>
      </c>
      <c r="BG232" s="24" t="inlineStr">
        <is>
          <t>mlb-elo-trend-lr-v8</t>
        </is>
      </c>
      <c r="BH232" s="24" t="inlineStr">
        <is>
          <t>2026-08-06T18:57:53.844371Z</t>
        </is>
      </c>
      <c r="BI232" s="24" t="inlineStr">
        <is>
          <t>["same_event","same_team_same_day","same_league_same_day"]</t>
        </is>
      </c>
      <c r="BJ232" s="25" t="n"/>
      <c r="BK232" s="26" t="n">
        <v>-308</v>
      </c>
      <c r="BL232" s="27" t="n">
        <v>1.324675</v>
      </c>
      <c r="BM232" s="28" t="n">
        <v>0.754902</v>
      </c>
      <c r="BN232" s="28" t="n">
        <v>0.751244</v>
      </c>
      <c r="BO232" s="28" t="n"/>
      <c r="BP232" s="25" t="n"/>
      <c r="BQ232" s="27" t="n">
        <v>1.324675</v>
      </c>
      <c r="BR232" s="28" t="n">
        <v>0.755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inlineStr">
        <is>
          <t>0.6313537645</t>
        </is>
      </c>
      <c r="CD232" s="24" t="inlineStr">
        <is>
          <t>0.613729</t>
        </is>
      </c>
      <c r="CE232" s="24" t="inlineStr">
        <is>
          <t>1.02</t>
        </is>
      </c>
      <c r="CF232" s="24" t="inlineStr">
        <is>
          <t>1.0162</t>
        </is>
      </c>
      <c r="CG232" s="24" t="n"/>
      <c r="CH232" s="24" t="n"/>
      <c r="CI232" s="24" t="inlineStr">
        <is>
          <t>NO_CALL_STARTER_ERA_GAP_INSUFFICIENT_HISTORY</t>
        </is>
      </c>
      <c r="CJ232" s="24" t="inlineStr">
        <is>
          <t>0.060121</t>
        </is>
      </c>
      <c r="CK232" s="24" t="n"/>
      <c r="CL232" s="24" t="inlineStr">
        <is>
          <t>-0.506633</t>
        </is>
      </c>
      <c r="CM232" s="24" t="inlineStr">
        <is>
          <t>0.0</t>
        </is>
      </c>
      <c r="CN232" s="24" t="n"/>
      <c r="CO232" s="24" t="n"/>
      <c r="CP232" s="24" t="n"/>
      <c r="CQ232" s="24" t="n"/>
      <c r="CR232" s="24" t="inlineStr">
        <is>
          <t>0.579716</t>
        </is>
      </c>
      <c r="CS232" s="24" t="inlineStr">
        <is>
          <t>False</t>
        </is>
      </c>
    </row>
    <row r="233" ht="36" customHeight="1">
      <c r="A233" s="24" t="inlineStr">
        <is>
          <t>a88df96abd9b46bd</t>
        </is>
      </c>
      <c r="B233" s="24" t="inlineStr">
        <is>
          <t>2026-08-06T18:58:18.495512Z</t>
        </is>
      </c>
      <c r="C233" s="24" t="inlineStr">
        <is>
          <t>2026-08-06T19:10:00-0400</t>
        </is>
      </c>
      <c r="D233" s="24" t="inlineStr">
        <is>
          <t>401816416</t>
        </is>
      </c>
      <c r="E233" s="24" t="inlineStr">
        <is>
          <t>MLB</t>
        </is>
      </c>
      <c r="F233" s="24" t="inlineStr">
        <is>
          <t>Chicago White Sox</t>
        </is>
      </c>
      <c r="G233" s="24" t="inlineStr">
        <is>
          <t>Boston Red Sox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-178</v>
      </c>
      <c r="M233" s="27" t="n">
        <v>1.561798</v>
      </c>
      <c r="N233" s="28" t="n">
        <v>0.640288</v>
      </c>
      <c r="O233" s="28" t="n">
        <v>0.576121</v>
      </c>
      <c r="P233" s="28" t="n"/>
      <c r="Q233" s="28" t="n">
        <v>-0.064167</v>
      </c>
      <c r="R233" s="26" t="n">
        <v>0</v>
      </c>
      <c r="S233" s="29" t="n">
        <v>0</v>
      </c>
      <c r="T233" s="24" t="inlineStr">
        <is>
          <t>mlb-elo-trend-lr-v8</t>
        </is>
      </c>
      <c r="U233" s="24" t="inlineStr">
        <is>
          <t>settled</t>
        </is>
      </c>
      <c r="V233" s="24" t="inlineStr">
        <is>
          <t>win</t>
        </is>
      </c>
      <c r="W233" s="26" t="n">
        <v>11</v>
      </c>
      <c r="X233" s="26" t="n">
        <v>12</v>
      </c>
      <c r="Y233" s="25" t="n"/>
      <c r="Z233" s="26" t="n">
        <v>-178</v>
      </c>
      <c r="AA233" s="28" t="n">
        <v>0.64</v>
      </c>
      <c r="AB233" s="28" t="n">
        <v>-0.000288</v>
      </c>
      <c r="AC233" s="30" t="n">
        <v>0</v>
      </c>
      <c r="AD233" s="24" t="inlineStr">
        <is>
          <t>2026-08-07T09:06:26.838070Z</t>
        </is>
      </c>
      <c r="AE233" s="31" t="inlineStr">
        <is>
          <t>Learned LR call at threshold 0.5873; executable ask 0.6400 (aec-mlb-cws-bos-2026-08-06); model edge vs ask -0.0639.</t>
        </is>
      </c>
      <c r="AF233" s="31" t="inlineStr">
        <is>
          <t>Learned model; shadow-qualified via operator override.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research_observation</t>
        </is>
      </c>
      <c r="AL233" s="26" t="n">
        <v>3</v>
      </c>
      <c r="AM233" s="24" t="inlineStr">
        <is>
          <t>RESEARCH_OBSERVATION</t>
        </is>
      </c>
      <c r="AN233" s="24" t="inlineStr">
        <is>
          <t>NO_CALL</t>
        </is>
      </c>
      <c r="AO233" s="24" t="inlineStr">
        <is>
          <t>NO_CALL_WINNER_OVERVALUED</t>
        </is>
      </c>
      <c r="AP233" s="24" t="inlineStr">
        <is>
          <t>mlb-cws</t>
        </is>
      </c>
      <c r="AQ233" s="24" t="inlineStr">
        <is>
          <t>Chicago White Sox</t>
        </is>
      </c>
      <c r="AR233" s="24" t="inlineStr">
        <is>
          <t>Chicago White Sox</t>
        </is>
      </c>
      <c r="AS233" s="24" t="inlineStr">
        <is>
          <t>mlb-bos</t>
        </is>
      </c>
      <c r="AT233" s="24" t="inlineStr">
        <is>
          <t>Boston Red Sox</t>
        </is>
      </c>
      <c r="AU233" s="24" t="inlineStr">
        <is>
          <t>Boston Red Sox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6a5c79541b0e50cb9f7318270e63d5ccc65cbd7bc53a019748ff772d49de5075</t>
        </is>
      </c>
      <c r="BB233" s="24" t="inlineStr">
        <is>
          <t>learned_lr</t>
        </is>
      </c>
      <c r="BC233" s="24" t="inlineStr">
        <is>
          <t>mlb-elo-trend-lr-v8</t>
        </is>
      </c>
      <c r="BD233" s="24" t="inlineStr">
        <is>
          <t>6a5c79541b0e50cb9f7318270e63d5ccc65cbd7bc53a019748ff772d49de5075</t>
        </is>
      </c>
      <c r="BE233" s="24" t="inlineStr">
        <is>
          <t>848a1fa2a5c55f74</t>
        </is>
      </c>
      <c r="BF233" s="24" t="inlineStr">
        <is>
          <t>1</t>
        </is>
      </c>
      <c r="BG233" s="24" t="inlineStr">
        <is>
          <t>mlb-elo-trend-lr-v8</t>
        </is>
      </c>
      <c r="BH233" s="24" t="inlineStr">
        <is>
          <t>2026-08-06T18:57:54.201474Z</t>
        </is>
      </c>
      <c r="BI233" s="24" t="inlineStr">
        <is>
          <t>["same_event","same_team_same_day","same_league_same_day"]</t>
        </is>
      </c>
      <c r="BJ233" s="25" t="n"/>
      <c r="BK233" s="26" t="n">
        <v>-178</v>
      </c>
      <c r="BL233" s="27" t="n">
        <v>1.561798</v>
      </c>
      <c r="BM233" s="28" t="n">
        <v>0.640288</v>
      </c>
      <c r="BN233" s="28" t="n">
        <v>0.636816</v>
      </c>
      <c r="BO233" s="28" t="n"/>
      <c r="BP233" s="25" t="n"/>
      <c r="BQ233" s="27" t="n">
        <v>1.561798</v>
      </c>
      <c r="BR233" s="28" t="n">
        <v>0.64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inlineStr">
        <is>
          <t>0.6273067169</t>
        </is>
      </c>
      <c r="CD233" s="24" t="inlineStr">
        <is>
          <t>2.702657</t>
        </is>
      </c>
      <c r="CE233" s="24" t="inlineStr">
        <is>
          <t>1.019</t>
        </is>
      </c>
      <c r="CF233" s="24" t="inlineStr">
        <is>
          <t>1.0148</t>
        </is>
      </c>
      <c r="CG233" s="24" t="n"/>
      <c r="CH233" s="24" t="n"/>
      <c r="CI233" s="24" t="n"/>
      <c r="CJ233" s="24" t="inlineStr">
        <is>
          <t>1.369787</t>
        </is>
      </c>
      <c r="CK233" s="24" t="n"/>
      <c r="CL233" s="24" t="inlineStr">
        <is>
          <t>-0.201961</t>
        </is>
      </c>
      <c r="CM233" s="24" t="inlineStr">
        <is>
          <t>-0.1006</t>
        </is>
      </c>
      <c r="CN233" s="24" t="n"/>
      <c r="CO233" s="24" t="n"/>
      <c r="CP233" s="24" t="n"/>
      <c r="CQ233" s="24" t="n"/>
      <c r="CR233" s="24" t="inlineStr">
        <is>
          <t>0.576121</t>
        </is>
      </c>
      <c r="CS233" s="24" t="inlineStr">
        <is>
          <t>False</t>
        </is>
      </c>
    </row>
    <row r="234" ht="36" customHeight="1">
      <c r="A234" s="24" t="inlineStr">
        <is>
          <t>bda428b356594a2b</t>
        </is>
      </c>
      <c r="B234" s="24" t="inlineStr">
        <is>
          <t>2026-08-06T18:58:18.495512Z</t>
        </is>
      </c>
      <c r="C234" s="24" t="inlineStr">
        <is>
          <t>2026-08-06T19:15:00-0400</t>
        </is>
      </c>
      <c r="D234" s="24" t="inlineStr">
        <is>
          <t>401816417</t>
        </is>
      </c>
      <c r="E234" s="24" t="inlineStr">
        <is>
          <t>MLB</t>
        </is>
      </c>
      <c r="F234" s="24" t="inlineStr">
        <is>
          <t>Miami Marlins</t>
        </is>
      </c>
      <c r="G234" s="24" t="inlineStr">
        <is>
          <t>Atlanta Braves</t>
        </is>
      </c>
      <c r="H234" s="24" t="inlineStr">
        <is>
          <t>moneyline</t>
        </is>
      </c>
      <c r="I234" s="24" t="inlineStr">
        <is>
          <t>home</t>
        </is>
      </c>
      <c r="J234" s="25" t="n"/>
      <c r="K234" s="24" t="inlineStr">
        <is>
          <t>polymarket_us</t>
        </is>
      </c>
      <c r="L234" s="26" t="n">
        <v>-135</v>
      </c>
      <c r="M234" s="27" t="n">
        <v>1.740741</v>
      </c>
      <c r="N234" s="28" t="n">
        <v>0.574468</v>
      </c>
      <c r="O234" s="28" t="n">
        <v>0.594958</v>
      </c>
      <c r="P234" s="28" t="n"/>
      <c r="Q234" s="28" t="n">
        <v>0.02049</v>
      </c>
      <c r="R234" s="26" t="n">
        <v>31</v>
      </c>
      <c r="S234" s="29" t="n">
        <v>0</v>
      </c>
      <c r="T234" s="24" t="inlineStr">
        <is>
          <t>mlb-elo-trend-lr-v8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11</v>
      </c>
      <c r="Y234" s="25" t="n"/>
      <c r="Z234" s="26" t="n">
        <v>-135</v>
      </c>
      <c r="AA234" s="28" t="n">
        <v>0.575</v>
      </c>
      <c r="AB234" s="28" t="n">
        <v>0.000532</v>
      </c>
      <c r="AC234" s="30" t="n">
        <v>0</v>
      </c>
      <c r="AD234" s="24" t="inlineStr">
        <is>
          <t>2026-08-07T09:06:28.020111Z</t>
        </is>
      </c>
      <c r="AE234" s="31" t="inlineStr">
        <is>
          <t>Learned LR call at threshold 0.5873; executable ask 0.5750 (aec-mlb-mia-atl-2026-08-06); model edge vs ask +0.0200. NOTE: NO_CALL_STARTER_ERA_GAP_INSUFFICIENT_HISTORY unavailable for this game — defaulted to neutral, other features used normally.</t>
        </is>
      </c>
      <c r="AF234" s="31" t="inlineStr">
        <is>
          <t>Learned model; shadow-qualified via operator override.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NO_CALL_WINNER_OVERVALUED</t>
        </is>
      </c>
      <c r="AP234" s="24" t="inlineStr">
        <is>
          <t>mlb-mia</t>
        </is>
      </c>
      <c r="AQ234" s="24" t="inlineStr">
        <is>
          <t>Miami Marlins</t>
        </is>
      </c>
      <c r="AR234" s="24" t="inlineStr">
        <is>
          <t>Miami Marlins</t>
        </is>
      </c>
      <c r="AS234" s="24" t="inlineStr">
        <is>
          <t>mlb-atl</t>
        </is>
      </c>
      <c r="AT234" s="24" t="inlineStr">
        <is>
          <t>Atlanta Braves</t>
        </is>
      </c>
      <c r="AU234" s="24" t="inlineStr">
        <is>
          <t>Atlanta Braves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6a5c79541b0e50cb9f7318270e63d5ccc65cbd7bc53a019748ff772d49de5075</t>
        </is>
      </c>
      <c r="BB234" s="24" t="inlineStr">
        <is>
          <t>learned_lr</t>
        </is>
      </c>
      <c r="BC234" s="24" t="inlineStr">
        <is>
          <t>mlb-elo-trend-lr-v8</t>
        </is>
      </c>
      <c r="BD234" s="24" t="inlineStr">
        <is>
          <t>6a5c79541b0e50cb9f7318270e63d5ccc65cbd7bc53a019748ff772d49de5075</t>
        </is>
      </c>
      <c r="BE234" s="24" t="inlineStr">
        <is>
          <t>f529e3d523db2fe0</t>
        </is>
      </c>
      <c r="BF234" s="24" t="inlineStr">
        <is>
          <t>1</t>
        </is>
      </c>
      <c r="BG234" s="24" t="inlineStr">
        <is>
          <t>mlb-elo-trend-lr-v8</t>
        </is>
      </c>
      <c r="BH234" s="24" t="inlineStr">
        <is>
          <t>2026-08-06T18:57:54.768966Z</t>
        </is>
      </c>
      <c r="BI234" s="24" t="inlineStr">
        <is>
          <t>["same_event","same_team_same_day","same_league_same_day"]</t>
        </is>
      </c>
      <c r="BJ234" s="25" t="n"/>
      <c r="BK234" s="26" t="n">
        <v>-135</v>
      </c>
      <c r="BL234" s="27" t="n">
        <v>1.740741</v>
      </c>
      <c r="BM234" s="28" t="n">
        <v>0.574468</v>
      </c>
      <c r="BN234" s="28" t="n">
        <v>0.572139</v>
      </c>
      <c r="BO234" s="28" t="n"/>
      <c r="BP234" s="25" t="n"/>
      <c r="BQ234" s="27" t="n">
        <v>1.740741</v>
      </c>
      <c r="BR234" s="28" t="n">
        <v>0.575</v>
      </c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inlineStr">
        <is>
          <t>0.5985473817</t>
        </is>
      </c>
      <c r="CD234" s="24" t="inlineStr">
        <is>
          <t>0.497636</t>
        </is>
      </c>
      <c r="CE234" s="24" t="inlineStr">
        <is>
          <t>0.929</t>
        </is>
      </c>
      <c r="CF234" s="24" t="inlineStr">
        <is>
          <t>1.0147</t>
        </is>
      </c>
      <c r="CG234" s="24" t="n"/>
      <c r="CH234" s="24" t="n"/>
      <c r="CI234" s="24" t="inlineStr">
        <is>
          <t>NO_CALL_STARTER_ERA_GAP_INSUFFICIENT_HISTORY</t>
        </is>
      </c>
      <c r="CJ234" s="24" t="inlineStr">
        <is>
          <t>0.555685</t>
        </is>
      </c>
      <c r="CK234" s="24" t="n"/>
      <c r="CL234" s="24" t="inlineStr">
        <is>
          <t>0.001632</t>
        </is>
      </c>
      <c r="CM234" s="24" t="inlineStr">
        <is>
          <t>0.0</t>
        </is>
      </c>
      <c r="CN234" s="24" t="n"/>
      <c r="CO234" s="24" t="n"/>
      <c r="CP234" s="24" t="n"/>
      <c r="CQ234" s="24" t="n"/>
      <c r="CR234" s="24" t="inlineStr">
        <is>
          <t>0.594958</t>
        </is>
      </c>
      <c r="CS234" s="24" t="inlineStr">
        <is>
          <t>True</t>
        </is>
      </c>
    </row>
    <row r="235" ht="36" customHeight="1">
      <c r="A235" s="24" t="inlineStr">
        <is>
          <t>9b4227b9515d4e38</t>
        </is>
      </c>
      <c r="B235" s="24" t="inlineStr">
        <is>
          <t>2026-08-06T18:58:18.495512Z</t>
        </is>
      </c>
      <c r="C235" s="24" t="inlineStr">
        <is>
          <t>2026-08-06T19:30:00-0400</t>
        </is>
      </c>
      <c r="D235" s="24" t="inlineStr">
        <is>
          <t>401816420</t>
        </is>
      </c>
      <c r="E235" s="24" t="inlineStr">
        <is>
          <t>MLB</t>
        </is>
      </c>
      <c r="F235" s="24" t="inlineStr">
        <is>
          <t>Minnesota Twins</t>
        </is>
      </c>
      <c r="G235" s="24" t="inlineStr">
        <is>
          <t>Kansas City Royals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-115</v>
      </c>
      <c r="M235" s="27" t="n">
        <v>1.869565</v>
      </c>
      <c r="N235" s="28" t="n">
        <v>0.534884</v>
      </c>
      <c r="O235" s="28" t="n">
        <v>0.55965</v>
      </c>
      <c r="P235" s="28" t="n"/>
      <c r="Q235" s="28" t="n">
        <v>0.024766</v>
      </c>
      <c r="R235" s="26" t="n">
        <v>34</v>
      </c>
      <c r="S235" s="29" t="n">
        <v>0</v>
      </c>
      <c r="T235" s="24" t="inlineStr">
        <is>
          <t>mlb-elo-trend-lr-v8</t>
        </is>
      </c>
      <c r="U235" s="24" t="inlineStr">
        <is>
          <t>settled</t>
        </is>
      </c>
      <c r="V235" s="24" t="inlineStr">
        <is>
          <t>loss</t>
        </is>
      </c>
      <c r="W235" s="26" t="n">
        <v>4</v>
      </c>
      <c r="X235" s="26" t="n">
        <v>3</v>
      </c>
      <c r="Y235" s="25" t="n"/>
      <c r="Z235" s="26" t="n">
        <v>-115</v>
      </c>
      <c r="AA235" s="28" t="n">
        <v>0.535</v>
      </c>
      <c r="AB235" s="28" t="n">
        <v>0.000116</v>
      </c>
      <c r="AC235" s="30" t="n">
        <v>0</v>
      </c>
      <c r="AD235" s="24" t="inlineStr">
        <is>
          <t>2026-08-07T09:06:29.140766Z</t>
        </is>
      </c>
      <c r="AE235" s="31" t="inlineStr">
        <is>
          <t>Learned LR call at threshold 0.5873; executable ask 0.5350 (aec-mlb-min-kc-2026-08-06); model edge vs ask +0.0246.</t>
        </is>
      </c>
      <c r="AF235" s="31" t="inlineStr">
        <is>
          <t>Learned model; shadow-qualified via operator override.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research_observation</t>
        </is>
      </c>
      <c r="AL235" s="26" t="n">
        <v>3</v>
      </c>
      <c r="AM235" s="24" t="inlineStr">
        <is>
          <t>RESEARCH_OBSERVATION</t>
        </is>
      </c>
      <c r="AN235" s="24" t="inlineStr">
        <is>
          <t>NO_CALL</t>
        </is>
      </c>
      <c r="AO235" s="24" t="inlineStr">
        <is>
          <t>NO_CALL_WINNER_OVERVALUED</t>
        </is>
      </c>
      <c r="AP235" s="24" t="inlineStr">
        <is>
          <t>mlb-min</t>
        </is>
      </c>
      <c r="AQ235" s="24" t="inlineStr">
        <is>
          <t>Minnesota Twins</t>
        </is>
      </c>
      <c r="AR235" s="24" t="inlineStr">
        <is>
          <t>Minnesota Twins</t>
        </is>
      </c>
      <c r="AS235" s="24" t="inlineStr">
        <is>
          <t>mlb-kc</t>
        </is>
      </c>
      <c r="AT235" s="24" t="inlineStr">
        <is>
          <t>Kansas City Royals</t>
        </is>
      </c>
      <c r="AU235" s="24" t="inlineStr">
        <is>
          <t>Kansas City Royals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6a5c79541b0e50cb9f7318270e63d5ccc65cbd7bc53a019748ff772d49de5075</t>
        </is>
      </c>
      <c r="BB235" s="24" t="inlineStr">
        <is>
          <t>learned_lr</t>
        </is>
      </c>
      <c r="BC235" s="24" t="inlineStr">
        <is>
          <t>mlb-elo-trend-lr-v8</t>
        </is>
      </c>
      <c r="BD235" s="24" t="inlineStr">
        <is>
          <t>6a5c79541b0e50cb9f7318270e63d5ccc65cbd7bc53a019748ff772d49de5075</t>
        </is>
      </c>
      <c r="BE235" s="24" t="inlineStr">
        <is>
          <t>e72f25a204594f46</t>
        </is>
      </c>
      <c r="BF235" s="24" t="inlineStr">
        <is>
          <t>1</t>
        </is>
      </c>
      <c r="BG235" s="24" t="inlineStr">
        <is>
          <t>mlb-elo-trend-lr-v8</t>
        </is>
      </c>
      <c r="BH235" s="24" t="inlineStr">
        <is>
          <t>2026-08-06T18:57:55.278501Z</t>
        </is>
      </c>
      <c r="BI235" s="24" t="inlineStr">
        <is>
          <t>["same_event","same_team_same_day","same_league_same_day"]</t>
        </is>
      </c>
      <c r="BJ235" s="25" t="n"/>
      <c r="BK235" s="26" t="n">
        <v>-115</v>
      </c>
      <c r="BL235" s="27" t="n">
        <v>1.869565</v>
      </c>
      <c r="BM235" s="28" t="n">
        <v>0.534884</v>
      </c>
      <c r="BN235" s="28" t="n">
        <v>0.532338</v>
      </c>
      <c r="BO235" s="28" t="n"/>
      <c r="BP235" s="25" t="n"/>
      <c r="BQ235" s="27" t="n">
        <v>1.869565</v>
      </c>
      <c r="BR235" s="28" t="n">
        <v>0.535</v>
      </c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inlineStr">
        <is>
          <t>0.5194147604</t>
        </is>
      </c>
      <c r="CD235" s="24" t="inlineStr">
        <is>
          <t>0.240636</t>
        </is>
      </c>
      <c r="CE235" s="24" t="inlineStr">
        <is>
          <t>0.973</t>
        </is>
      </c>
      <c r="CF235" s="24" t="inlineStr">
        <is>
          <t>1.0102</t>
        </is>
      </c>
      <c r="CG235" s="24" t="n"/>
      <c r="CH235" s="24" t="n"/>
      <c r="CI235" s="24" t="n"/>
      <c r="CJ235" s="24" t="inlineStr">
        <is>
          <t>0.747114</t>
        </is>
      </c>
      <c r="CK235" s="24" t="n"/>
      <c r="CL235" s="24" t="inlineStr">
        <is>
          <t>0.615566</t>
        </is>
      </c>
      <c r="CM235" s="24" t="inlineStr">
        <is>
          <t>-1.8115</t>
        </is>
      </c>
      <c r="CN235" s="24" t="n"/>
      <c r="CO235" s="24" t="n"/>
      <c r="CP235" s="24" t="n"/>
      <c r="CQ235" s="24" t="n"/>
      <c r="CR235" s="24" t="inlineStr">
        <is>
          <t>0.55965</t>
        </is>
      </c>
      <c r="CS235" s="24" t="inlineStr">
        <is>
          <t>True</t>
        </is>
      </c>
    </row>
    <row r="236" ht="36" customHeight="1">
      <c r="A236" s="24" t="inlineStr">
        <is>
          <t>1311b9d6f8d84a49</t>
        </is>
      </c>
      <c r="B236" s="24" t="inlineStr">
        <is>
          <t>2026-08-06T18:58:18.495512Z</t>
        </is>
      </c>
      <c r="C236" s="24" t="inlineStr">
        <is>
          <t>2026-08-06T21:40:00-0400</t>
        </is>
      </c>
      <c r="D236" s="24" t="inlineStr">
        <is>
          <t>401816423</t>
        </is>
      </c>
      <c r="E236" s="24" t="inlineStr">
        <is>
          <t>MLB</t>
        </is>
      </c>
      <c r="F236" s="24" t="inlineStr">
        <is>
          <t>San Diego Padres</t>
        </is>
      </c>
      <c r="G236" s="24" t="inlineStr">
        <is>
          <t>Arizona Diamondbacks</t>
        </is>
      </c>
      <c r="H236" s="24" t="inlineStr">
        <is>
          <t>moneyline</t>
        </is>
      </c>
      <c r="I236" s="24" t="inlineStr">
        <is>
          <t>home</t>
        </is>
      </c>
      <c r="J236" s="25" t="n"/>
      <c r="K236" s="24" t="inlineStr">
        <is>
          <t>polymarket_us</t>
        </is>
      </c>
      <c r="L236" s="26" t="n">
        <v>100</v>
      </c>
      <c r="M236" s="27" t="n">
        <v>2</v>
      </c>
      <c r="N236" s="28" t="n">
        <v>0.5</v>
      </c>
      <c r="O236" s="28" t="n">
        <v>0.508065</v>
      </c>
      <c r="P236" s="28" t="n"/>
      <c r="Q236" s="28" t="n">
        <v>0.008064999999999999</v>
      </c>
      <c r="R236" s="26" t="n">
        <v>25</v>
      </c>
      <c r="S236" s="29" t="n">
        <v>0</v>
      </c>
      <c r="T236" s="24" t="inlineStr">
        <is>
          <t>mlb-elo-trend-lr-v8</t>
        </is>
      </c>
      <c r="U236" s="24" t="inlineStr">
        <is>
          <t>settled</t>
        </is>
      </c>
      <c r="V236" s="24" t="inlineStr">
        <is>
          <t>loss</t>
        </is>
      </c>
      <c r="W236" s="26" t="n">
        <v>5</v>
      </c>
      <c r="X236" s="26" t="n">
        <v>1</v>
      </c>
      <c r="Y236" s="25" t="n"/>
      <c r="Z236" s="26" t="n">
        <v>100</v>
      </c>
      <c r="AA236" s="28" t="n">
        <v>0.5</v>
      </c>
      <c r="AB236" s="28" t="n">
        <v>0</v>
      </c>
      <c r="AC236" s="30" t="n">
        <v>0</v>
      </c>
      <c r="AD236" s="24" t="inlineStr">
        <is>
          <t>2026-08-07T09:06:30.339771Z</t>
        </is>
      </c>
      <c r="AE236" s="31" t="inlineStr">
        <is>
          <t>Learned LR call at threshold 0.5873; executable ask 0.5000 (aec-mlb-sd-az-2026-08-06); model edge vs ask +0.0081. NOTE: NO_CALL_STARTER_ERA_GAP_INSUFFICIENT_HISTORY unavailable for this game — defaulted to neutral, other features used normally.</t>
        </is>
      </c>
      <c r="AF236" s="31" t="inlineStr">
        <is>
          <t>Learned model; shadow-qualified via operator override.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NO_CALL_WINNER_OVERVALUED</t>
        </is>
      </c>
      <c r="AP236" s="24" t="inlineStr">
        <is>
          <t>mlb-sd</t>
        </is>
      </c>
      <c r="AQ236" s="24" t="inlineStr">
        <is>
          <t>San Diego Padres</t>
        </is>
      </c>
      <c r="AR236" s="24" t="inlineStr">
        <is>
          <t>San Diego Padres</t>
        </is>
      </c>
      <c r="AS236" s="24" t="inlineStr">
        <is>
          <t>mlb-ari</t>
        </is>
      </c>
      <c r="AT236" s="24" t="inlineStr">
        <is>
          <t>Arizona Diamondbacks</t>
        </is>
      </c>
      <c r="AU236" s="24" t="inlineStr">
        <is>
          <t>Arizona Diamondbacks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6a5c79541b0e50cb9f7318270e63d5ccc65cbd7bc53a019748ff772d49de5075</t>
        </is>
      </c>
      <c r="BB236" s="24" t="inlineStr">
        <is>
          <t>learned_lr</t>
        </is>
      </c>
      <c r="BC236" s="24" t="inlineStr">
        <is>
          <t>mlb-elo-trend-lr-v8</t>
        </is>
      </c>
      <c r="BD236" s="24" t="inlineStr">
        <is>
          <t>6a5c79541b0e50cb9f7318270e63d5ccc65cbd7bc53a019748ff772d49de5075</t>
        </is>
      </c>
      <c r="BE236" s="24" t="inlineStr">
        <is>
          <t>6d072d85bcbb15af</t>
        </is>
      </c>
      <c r="BF236" s="24" t="inlineStr">
        <is>
          <t>1</t>
        </is>
      </c>
      <c r="BG236" s="24" t="inlineStr">
        <is>
          <t>mlb-elo-trend-lr-v8</t>
        </is>
      </c>
      <c r="BH236" s="24" t="inlineStr">
        <is>
          <t>2026-08-06T18:57:55.802850Z</t>
        </is>
      </c>
      <c r="BI236" s="24" t="inlineStr">
        <is>
          <t>["same_event","same_team_same_day","same_league_same_day"]</t>
        </is>
      </c>
      <c r="BJ236" s="25" t="n"/>
      <c r="BK236" s="26" t="n">
        <v>100</v>
      </c>
      <c r="BL236" s="27" t="n">
        <v>2</v>
      </c>
      <c r="BM236" s="28" t="n">
        <v>0.5</v>
      </c>
      <c r="BN236" s="28" t="n">
        <v>0.497512</v>
      </c>
      <c r="BO236" s="28" t="n"/>
      <c r="BP236" s="25" t="n"/>
      <c r="BQ236" s="27" t="n">
        <v>2</v>
      </c>
      <c r="BR236" s="28" t="n">
        <v>0.5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inlineStr">
        <is>
          <t>0.5430232921</t>
        </is>
      </c>
      <c r="CD236" s="24" t="inlineStr">
        <is>
          <t>1.633952</t>
        </is>
      </c>
      <c r="CE236" s="24" t="inlineStr">
        <is>
          <t>1.097</t>
        </is>
      </c>
      <c r="CF236" s="24" t="inlineStr">
        <is>
          <t>1.0</t>
        </is>
      </c>
      <c r="CG236" s="24" t="n"/>
      <c r="CH236" s="24" t="n"/>
      <c r="CI236" s="24" t="inlineStr">
        <is>
          <t>NO_CALL_STARTER_ERA_GAP_INSUFFICIENT_HISTORY</t>
        </is>
      </c>
      <c r="CJ236" s="24" t="inlineStr">
        <is>
          <t>0.750954</t>
        </is>
      </c>
      <c r="CK236" s="24" t="n"/>
      <c r="CL236" s="24" t="inlineStr">
        <is>
          <t>-0.051286</t>
        </is>
      </c>
      <c r="CM236" s="24" t="inlineStr">
        <is>
          <t>0.0</t>
        </is>
      </c>
      <c r="CN236" s="24" t="n"/>
      <c r="CO236" s="24" t="n"/>
      <c r="CP236" s="24" t="n"/>
      <c r="CQ236" s="24" t="n"/>
      <c r="CR236" s="24" t="inlineStr">
        <is>
          <t>0.508065</t>
        </is>
      </c>
      <c r="CS236" s="24" t="inlineStr">
        <is>
          <t>True</t>
        </is>
      </c>
    </row>
    <row r="237" ht="36" customHeight="1">
      <c r="A237" s="24" t="inlineStr">
        <is>
          <t>e5abeefbcd8f4917</t>
        </is>
      </c>
      <c r="B237" s="24" t="inlineStr">
        <is>
          <t>2026-08-06T18:58:40.093175Z</t>
        </is>
      </c>
      <c r="C237" s="24" t="inlineStr">
        <is>
          <t>2026-08-06T20:10Z</t>
        </is>
      </c>
      <c r="D237" s="24" t="inlineStr">
        <is>
          <t>401816422</t>
        </is>
      </c>
      <c r="E237" s="24" t="inlineStr">
        <is>
          <t>MLB</t>
        </is>
      </c>
      <c r="F237" s="24" t="inlineStr">
        <is>
          <t>Detroit Tigers</t>
        </is>
      </c>
      <c r="G237" s="24" t="inlineStr">
        <is>
          <t>Seattle Mariners</t>
        </is>
      </c>
      <c r="H237" s="24" t="inlineStr">
        <is>
          <t>spread</t>
        </is>
      </c>
      <c r="I237" s="24" t="inlineStr">
        <is>
          <t>home</t>
        </is>
      </c>
      <c r="J237" s="25" t="n">
        <v>-1.5</v>
      </c>
      <c r="K237" s="24" t="inlineStr">
        <is>
          <t>polymarket_us</t>
        </is>
      </c>
      <c r="L237" s="26" t="n">
        <v>186</v>
      </c>
      <c r="M237" s="27" t="n">
        <v>2.86</v>
      </c>
      <c r="N237" s="28" t="n">
        <v>0.34965</v>
      </c>
      <c r="O237" s="28" t="n">
        <v>0.406137</v>
      </c>
      <c r="P237" s="28" t="n">
        <v>0.042131</v>
      </c>
      <c r="Q237" s="28" t="n">
        <v>0.056487</v>
      </c>
      <c r="R237" s="26" t="n">
        <v>54</v>
      </c>
      <c r="S237" s="29" t="n">
        <v>0</v>
      </c>
      <c r="T237" s="24" t="inlineStr">
        <is>
          <t>measured-edge-margin-v3</t>
        </is>
      </c>
      <c r="U237" s="24" t="inlineStr">
        <is>
          <t>settled</t>
        </is>
      </c>
      <c r="V237" s="24" t="inlineStr">
        <is>
          <t>loss</t>
        </is>
      </c>
      <c r="W237" s="26" t="n">
        <v>11</v>
      </c>
      <c r="X237" s="26" t="n">
        <v>0</v>
      </c>
      <c r="Y237" s="25" t="n">
        <v>-1.5</v>
      </c>
      <c r="Z237" s="26" t="n">
        <v>186</v>
      </c>
      <c r="AA237" s="28" t="n">
        <v>0.35</v>
      </c>
      <c r="AB237" s="28" t="n">
        <v>0.00035</v>
      </c>
      <c r="AC237" s="30" t="n">
        <v>0</v>
      </c>
      <c r="AD237" s="24" t="inlineStr">
        <is>
          <t>2026-08-07T09:06:33.641082Z</t>
        </is>
      </c>
      <c r="AE237" s="31" t="inlineStr">
        <is>
          <t>Measured Edge Margin: Trend Engine projected 4.47-4.82; raw selected-side p=0.3623, calibrated p=0.4061.</t>
        </is>
      </c>
      <c r="AF237" s="31" t="inlineStr">
        <is>
          <t>Research-only; lineup, bullpen, park, weather, xFIP, and wRC+ may be neutral fallbacks; market availability and BBO depth may change before first pitch.</t>
        </is>
      </c>
      <c r="AG237" s="24" t="inlineStr">
        <is>
          <t>review_required</t>
        </is>
      </c>
      <c r="AH237" s="24" t="n"/>
      <c r="AI237" s="31" t="n"/>
      <c r="AJ237" s="31" t="n"/>
      <c r="AK237" s="24" t="inlineStr">
        <is>
          <t>research_observation</t>
        </is>
      </c>
      <c r="AL237" s="26" t="n">
        <v>3</v>
      </c>
      <c r="AM237" s="24" t="inlineStr">
        <is>
          <t>RESEARCH_OBSERVATION</t>
        </is>
      </c>
      <c r="AN237" s="24" t="inlineStr">
        <is>
          <t>NO_CALL</t>
        </is>
      </c>
      <c r="AO237" s="24" t="inlineStr">
        <is>
          <t>NO_CALL_WINNER_OVERVALUED</t>
        </is>
      </c>
      <c r="AP237" s="24" t="inlineStr">
        <is>
          <t>mlb-det</t>
        </is>
      </c>
      <c r="AQ237" s="24" t="inlineStr">
        <is>
          <t>Detroit Tigers</t>
        </is>
      </c>
      <c r="AR237" s="24" t="inlineStr">
        <is>
          <t>Detroit Tigers</t>
        </is>
      </c>
      <c r="AS237" s="24" t="inlineStr">
        <is>
          <t>mlb-sea</t>
        </is>
      </c>
      <c r="AT237" s="24" t="inlineStr">
        <is>
          <t>Seattle Mariners</t>
        </is>
      </c>
      <c r="AU237" s="24" t="inlineStr">
        <is>
          <t>Seattle Mariners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dd339a2eed50d7d83ab2127837995ddab82e879afd27f5414bb6c1f9cd60ba4c</t>
        </is>
      </c>
      <c r="BB237" s="24" t="inlineStr">
        <is>
          <t>flat_probability_shrinkage_toward_half</t>
        </is>
      </c>
      <c r="BC237" s="24" t="inlineStr">
        <is>
          <t>measured-edge-margin-v3</t>
        </is>
      </c>
      <c r="BD237" s="24" t="inlineStr">
        <is>
          <t>dd339a2eed50d7d83ab2127837995ddab82e879afd27f5414bb6c1f9cd60ba4c</t>
        </is>
      </c>
      <c r="BE237" s="24" t="inlineStr">
        <is>
          <t>v3</t>
        </is>
      </c>
      <c r="BF237" s="24" t="inlineStr">
        <is>
          <t>1</t>
        </is>
      </c>
      <c r="BG237" s="24" t="inlineStr">
        <is>
          <t>measured-edge-paired-v1</t>
        </is>
      </c>
      <c r="BH237" s="24" t="inlineStr">
        <is>
          <t>2026-08-06T18:58:40.093175Z</t>
        </is>
      </c>
      <c r="BI237" s="24" t="inlineStr">
        <is>
          <t>["same_event","same_team_same_day","same_league_same_day"]</t>
        </is>
      </c>
      <c r="BJ237" s="25" t="n">
        <v>-1.5</v>
      </c>
      <c r="BK237" s="26" t="n">
        <v>186</v>
      </c>
      <c r="BL237" s="27" t="n">
        <v>2.86</v>
      </c>
      <c r="BM237" s="28" t="n">
        <v>0.34965</v>
      </c>
      <c r="BN237" s="28" t="n">
        <v>0.348259</v>
      </c>
      <c r="BO237" s="28" t="n"/>
      <c r="BP237" s="25" t="n"/>
      <c r="BQ237" s="27" t="n">
        <v>2.86</v>
      </c>
      <c r="BR237" s="28" t="n">
        <v>0.35</v>
      </c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374b024852444047</t>
        </is>
      </c>
      <c r="B238" s="24" t="inlineStr">
        <is>
          <t>2026-08-06T18:58:40.093175Z</t>
        </is>
      </c>
      <c r="C238" s="24" t="inlineStr">
        <is>
          <t>2026-08-06T20:10Z</t>
        </is>
      </c>
      <c r="D238" s="24" t="inlineStr">
        <is>
          <t>401816422</t>
        </is>
      </c>
      <c r="E238" s="24" t="inlineStr">
        <is>
          <t>MLB</t>
        </is>
      </c>
      <c r="F238" s="24" t="inlineStr">
        <is>
          <t>Detroit Tigers</t>
        </is>
      </c>
      <c r="G238" s="24" t="inlineStr">
        <is>
          <t>Seattle Mariners</t>
        </is>
      </c>
      <c r="H238" s="24" t="inlineStr">
        <is>
          <t>total</t>
        </is>
      </c>
      <c r="I238" s="24" t="inlineStr">
        <is>
          <t>over</t>
        </is>
      </c>
      <c r="J238" s="25" t="n">
        <v>7.5</v>
      </c>
      <c r="K238" s="24" t="inlineStr">
        <is>
          <t>polymarket_us</t>
        </is>
      </c>
      <c r="L238" s="26" t="n">
        <v>-113</v>
      </c>
      <c r="M238" s="27" t="n">
        <v>1.884956</v>
      </c>
      <c r="N238" s="28" t="n">
        <v>0.530516</v>
      </c>
      <c r="O238" s="28" t="n">
        <v>0.535235</v>
      </c>
      <c r="P238" s="28" t="n">
        <v>0.042131</v>
      </c>
      <c r="Q238" s="28" t="n">
        <v>0.004719</v>
      </c>
      <c r="R238" s="26" t="n">
        <v>29</v>
      </c>
      <c r="S238" s="29" t="n">
        <v>0</v>
      </c>
      <c r="T238" s="24" t="inlineStr">
        <is>
          <t>measured-edge-totals-v3</t>
        </is>
      </c>
      <c r="U238" s="24" t="inlineStr">
        <is>
          <t>settled</t>
        </is>
      </c>
      <c r="V238" s="24" t="inlineStr">
        <is>
          <t>win</t>
        </is>
      </c>
      <c r="W238" s="26" t="n">
        <v>11</v>
      </c>
      <c r="X238" s="26" t="n">
        <v>0</v>
      </c>
      <c r="Y238" s="25" t="n">
        <v>7.5</v>
      </c>
      <c r="Z238" s="26" t="n">
        <v>-113</v>
      </c>
      <c r="AA238" s="28" t="n">
        <v>0.53</v>
      </c>
      <c r="AB238" s="28" t="n">
        <v>-0.000516</v>
      </c>
      <c r="AC238" s="30" t="n">
        <v>0</v>
      </c>
      <c r="AD238" s="24" t="inlineStr">
        <is>
          <t>2026-08-07T09:06:34.782154Z</t>
        </is>
      </c>
      <c r="AE238" s="31" t="inlineStr">
        <is>
          <t>Measured Edge Totals: Trend Engine projected 4.47-4.82; raw selected-side p=0.6185, calibrated p=0.5352.</t>
        </is>
      </c>
      <c r="AF238" s="31" t="inlineStr">
        <is>
          <t>Research-only; lineup, bullpen, park, weather, xFIP, and wRC+ may be neutral fallbacks; market availability and BBO depth may change before first pitch.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NO_CALL_WINNER_OVERVALUED</t>
        </is>
      </c>
      <c r="AP238" s="24" t="inlineStr">
        <is>
          <t>mlb-det</t>
        </is>
      </c>
      <c r="AQ238" s="24" t="inlineStr">
        <is>
          <t>Detroit Tigers</t>
        </is>
      </c>
      <c r="AR238" s="24" t="inlineStr">
        <is>
          <t>Detroit Tigers</t>
        </is>
      </c>
      <c r="AS238" s="24" t="inlineStr">
        <is>
          <t>mlb-sea</t>
        </is>
      </c>
      <c r="AT238" s="24" t="inlineStr">
        <is>
          <t>Seattle Mariners</t>
        </is>
      </c>
      <c r="AU238" s="24" t="inlineStr">
        <is>
          <t>Seattle Mariners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research</t>
        </is>
      </c>
      <c r="BA238" s="24" t="inlineStr">
        <is>
          <t>95b84332c75d2ce54036eb8de6ada9c78d0f80228c50825c0347281a8b9b49c7</t>
        </is>
      </c>
      <c r="BB238" s="24" t="inlineStr">
        <is>
          <t>flat_probability_shrinkage_toward_half</t>
        </is>
      </c>
      <c r="BC238" s="24" t="inlineStr">
        <is>
          <t>measured-edge-totals-v3</t>
        </is>
      </c>
      <c r="BD238" s="24" t="inlineStr">
        <is>
          <t>95b84332c75d2ce54036eb8de6ada9c78d0f80228c50825c0347281a8b9b49c7</t>
        </is>
      </c>
      <c r="BE238" s="24" t="inlineStr">
        <is>
          <t>v3</t>
        </is>
      </c>
      <c r="BF238" s="24" t="inlineStr">
        <is>
          <t>1</t>
        </is>
      </c>
      <c r="BG238" s="24" t="inlineStr">
        <is>
          <t>measured-edge-paired-v1</t>
        </is>
      </c>
      <c r="BH238" s="24" t="inlineStr">
        <is>
          <t>2026-08-06T18:58:40.093175Z</t>
        </is>
      </c>
      <c r="BI238" s="24" t="inlineStr">
        <is>
          <t>["same_event","same_team_same_day","same_league_same_day"]</t>
        </is>
      </c>
      <c r="BJ238" s="25" t="n">
        <v>7.5</v>
      </c>
      <c r="BK238" s="26" t="n">
        <v>-113</v>
      </c>
      <c r="BL238" s="27" t="n">
        <v>1.884956</v>
      </c>
      <c r="BM238" s="28" t="n">
        <v>0.530516</v>
      </c>
      <c r="BN238" s="28" t="n">
        <v>0.527363</v>
      </c>
      <c r="BO238" s="28" t="n"/>
      <c r="BP238" s="25" t="n"/>
      <c r="BQ238" s="27" t="n">
        <v>1.884956</v>
      </c>
      <c r="BR238" s="28" t="n">
        <v>0.53</v>
      </c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</row>
    <row r="239" ht="36" customHeight="1">
      <c r="A239" s="24" t="inlineStr">
        <is>
          <t>30f93105ab19471c</t>
        </is>
      </c>
      <c r="B239" s="24" t="inlineStr">
        <is>
          <t>2026-08-06T18:58:40.093175Z</t>
        </is>
      </c>
      <c r="C239" s="24" t="inlineStr">
        <is>
          <t>2026-08-06T22:05Z</t>
        </is>
      </c>
      <c r="D239" s="24" t="inlineStr">
        <is>
          <t>401816419</t>
        </is>
      </c>
      <c r="E239" s="24" t="inlineStr">
        <is>
          <t>MLB</t>
        </is>
      </c>
      <c r="F239" s="24" t="inlineStr">
        <is>
          <t>Washington Nationals</t>
        </is>
      </c>
      <c r="G239" s="24" t="inlineStr">
        <is>
          <t>Philadelphia Phillies</t>
        </is>
      </c>
      <c r="H239" s="24" t="inlineStr">
        <is>
          <t>spread</t>
        </is>
      </c>
      <c r="I239" s="24" t="inlineStr">
        <is>
          <t>home</t>
        </is>
      </c>
      <c r="J239" s="25" t="n">
        <v>-2.5</v>
      </c>
      <c r="K239" s="24" t="inlineStr">
        <is>
          <t>polymarket_us</t>
        </is>
      </c>
      <c r="L239" s="26" t="n">
        <v>106</v>
      </c>
      <c r="M239" s="27" t="n">
        <v>2.06</v>
      </c>
      <c r="N239" s="28" t="n">
        <v>0.485437</v>
      </c>
      <c r="O239" s="28" t="n">
        <v>0.396529</v>
      </c>
      <c r="P239" s="28" t="n">
        <v>0.042131</v>
      </c>
      <c r="Q239" s="28" t="n">
        <v>-0.088908</v>
      </c>
      <c r="R239" s="26" t="n">
        <v>0</v>
      </c>
      <c r="S239" s="29" t="n">
        <v>0</v>
      </c>
      <c r="T239" s="24" t="inlineStr">
        <is>
          <t>measured-edge-margin-v3</t>
        </is>
      </c>
      <c r="U239" s="24" t="inlineStr">
        <is>
          <t>settled</t>
        </is>
      </c>
      <c r="V239" s="24" t="inlineStr">
        <is>
          <t>win</t>
        </is>
      </c>
      <c r="W239" s="26" t="n">
        <v>3</v>
      </c>
      <c r="X239" s="26" t="n">
        <v>7</v>
      </c>
      <c r="Y239" s="25" t="n">
        <v>-2.5</v>
      </c>
      <c r="Z239" s="26" t="n">
        <v>106</v>
      </c>
      <c r="AA239" s="28" t="n">
        <v>0.485</v>
      </c>
      <c r="AB239" s="28" t="n">
        <v>-0.000437</v>
      </c>
      <c r="AC239" s="30" t="n">
        <v>0</v>
      </c>
      <c r="AD239" s="24" t="inlineStr">
        <is>
          <t>2026-08-07T09:06:35.981159Z</t>
        </is>
      </c>
      <c r="AE239" s="31" t="inlineStr">
        <is>
          <t>Measured Edge Margin: Trend Engine projected 4.15-5.34; raw selected-side p=0.3482, calibrated p=0.3965.</t>
        </is>
      </c>
      <c r="AF239" s="31" t="inlineStr">
        <is>
          <t>Research-only; lineup, bullpen, park, weather, xFIP, and wRC+ may be neutral fallbacks; market availability and BBO depth may change before first pitch.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NO_CALL_WINNER_OVERVALUED</t>
        </is>
      </c>
      <c r="AP239" s="24" t="inlineStr">
        <is>
          <t>mlb-wsh</t>
        </is>
      </c>
      <c r="AQ239" s="24" t="inlineStr">
        <is>
          <t>Washington Nationals</t>
        </is>
      </c>
      <c r="AR239" s="24" t="inlineStr">
        <is>
          <t>Washington Nationals</t>
        </is>
      </c>
      <c r="AS239" s="24" t="inlineStr">
        <is>
          <t>mlb-phi</t>
        </is>
      </c>
      <c r="AT239" s="24" t="inlineStr">
        <is>
          <t>Philadelphia Phillies</t>
        </is>
      </c>
      <c r="AU239" s="24" t="inlineStr">
        <is>
          <t>Philadelphia Phillies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dd339a2eed50d7d83ab2127837995ddab82e879afd27f5414bb6c1f9cd60ba4c</t>
        </is>
      </c>
      <c r="BB239" s="24" t="inlineStr">
        <is>
          <t>flat_probability_shrinkage_toward_half</t>
        </is>
      </c>
      <c r="BC239" s="24" t="inlineStr">
        <is>
          <t>measured-edge-margin-v3</t>
        </is>
      </c>
      <c r="BD239" s="24" t="inlineStr">
        <is>
          <t>dd339a2eed50d7d83ab2127837995ddab82e879afd27f5414bb6c1f9cd60ba4c</t>
        </is>
      </c>
      <c r="BE239" s="24" t="inlineStr">
        <is>
          <t>v3</t>
        </is>
      </c>
      <c r="BF239" s="24" t="inlineStr">
        <is>
          <t>1</t>
        </is>
      </c>
      <c r="BG239" s="24" t="inlineStr">
        <is>
          <t>measured-edge-paired-v1</t>
        </is>
      </c>
      <c r="BH239" s="24" t="inlineStr">
        <is>
          <t>2026-08-06T18:58:40.093175Z</t>
        </is>
      </c>
      <c r="BI239" s="24" t="inlineStr">
        <is>
          <t>["same_event","same_team_same_day","same_league_same_day"]</t>
        </is>
      </c>
      <c r="BJ239" s="25" t="n">
        <v>-2.5</v>
      </c>
      <c r="BK239" s="26" t="n">
        <v>106</v>
      </c>
      <c r="BL239" s="27" t="n">
        <v>2.06</v>
      </c>
      <c r="BM239" s="28" t="n">
        <v>0.485437</v>
      </c>
      <c r="BN239" s="28" t="n">
        <v>0.482587</v>
      </c>
      <c r="BO239" s="28" t="n"/>
      <c r="BP239" s="25" t="n"/>
      <c r="BQ239" s="27" t="n">
        <v>2.06</v>
      </c>
      <c r="BR239" s="28" t="n">
        <v>0.485</v>
      </c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False</t>
        </is>
      </c>
    </row>
    <row r="240" ht="36" customHeight="1">
      <c r="A240" s="24" t="inlineStr">
        <is>
          <t>b02057f77180421f</t>
        </is>
      </c>
      <c r="B240" s="24" t="inlineStr">
        <is>
          <t>2026-08-06T18:58:40.093175Z</t>
        </is>
      </c>
      <c r="C240" s="24" t="inlineStr">
        <is>
          <t>2026-08-06T22:05Z</t>
        </is>
      </c>
      <c r="D240" s="24" t="inlineStr">
        <is>
          <t>401816419</t>
        </is>
      </c>
      <c r="E240" s="24" t="inlineStr">
        <is>
          <t>MLB</t>
        </is>
      </c>
      <c r="F240" s="24" t="inlineStr">
        <is>
          <t>Washington Nationals</t>
        </is>
      </c>
      <c r="G240" s="24" t="inlineStr">
        <is>
          <t>Philadelphia Phillies</t>
        </is>
      </c>
      <c r="H240" s="24" t="inlineStr">
        <is>
          <t>total</t>
        </is>
      </c>
      <c r="I240" s="24" t="inlineStr">
        <is>
          <t>over</t>
        </is>
      </c>
      <c r="J240" s="25" t="n">
        <v>8.5</v>
      </c>
      <c r="K240" s="24" t="inlineStr">
        <is>
          <t>polymarket_us</t>
        </is>
      </c>
      <c r="L240" s="26" t="n">
        <v>-117</v>
      </c>
      <c r="M240" s="27" t="n">
        <v>1.854701</v>
      </c>
      <c r="N240" s="28" t="n">
        <v>0.539171</v>
      </c>
      <c r="O240" s="28" t="n">
        <v>0.520878</v>
      </c>
      <c r="P240" s="28" t="n">
        <v>0.042131</v>
      </c>
      <c r="Q240" s="28" t="n">
        <v>-0.018293</v>
      </c>
      <c r="R240" s="26" t="n">
        <v>17</v>
      </c>
      <c r="S240" s="29" t="n">
        <v>0</v>
      </c>
      <c r="T240" s="24" t="inlineStr">
        <is>
          <t>measured-edge-totals-v3</t>
        </is>
      </c>
      <c r="U240" s="24" t="inlineStr">
        <is>
          <t>settled</t>
        </is>
      </c>
      <c r="V240" s="24" t="inlineStr">
        <is>
          <t>win</t>
        </is>
      </c>
      <c r="W240" s="26" t="n">
        <v>3</v>
      </c>
      <c r="X240" s="26" t="n">
        <v>7</v>
      </c>
      <c r="Y240" s="25" t="n">
        <v>8.5</v>
      </c>
      <c r="Z240" s="26" t="n">
        <v>-117</v>
      </c>
      <c r="AA240" s="28" t="n">
        <v>0.54</v>
      </c>
      <c r="AB240" s="28" t="n">
        <v>0.000829</v>
      </c>
      <c r="AC240" s="30" t="n">
        <v>0</v>
      </c>
      <c r="AD240" s="24" t="inlineStr">
        <is>
          <t>2026-08-07T09:06:37.125918Z</t>
        </is>
      </c>
      <c r="AE240" s="31" t="inlineStr">
        <is>
          <t>Measured Edge Totals: Trend Engine projected 4.15-5.34; raw selected-side p=0.5607, calibrated p=0.5209.</t>
        </is>
      </c>
      <c r="AF240" s="31" t="inlineStr">
        <is>
          <t>Research-only; lineup, bullpen, park, weather, xFIP, and wRC+ may be neutral fallbacks; market availability and BBO depth may change before first pitch.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NO_CALL_WINNER_OVERVALUED</t>
        </is>
      </c>
      <c r="AP240" s="24" t="inlineStr">
        <is>
          <t>mlb-wsh</t>
        </is>
      </c>
      <c r="AQ240" s="24" t="inlineStr">
        <is>
          <t>Washington Nationals</t>
        </is>
      </c>
      <c r="AR240" s="24" t="inlineStr">
        <is>
          <t>Washington Nationals</t>
        </is>
      </c>
      <c r="AS240" s="24" t="inlineStr">
        <is>
          <t>mlb-phi</t>
        </is>
      </c>
      <c r="AT240" s="24" t="inlineStr">
        <is>
          <t>Philadelphia Phillies</t>
        </is>
      </c>
      <c r="AU240" s="24" t="inlineStr">
        <is>
          <t>Philadelphia Phillies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research</t>
        </is>
      </c>
      <c r="BA240" s="24" t="inlineStr">
        <is>
          <t>95b84332c75d2ce54036eb8de6ada9c78d0f80228c50825c0347281a8b9b49c7</t>
        </is>
      </c>
      <c r="BB240" s="24" t="inlineStr">
        <is>
          <t>flat_probability_shrinkage_toward_half</t>
        </is>
      </c>
      <c r="BC240" s="24" t="inlineStr">
        <is>
          <t>measured-edge-totals-v3</t>
        </is>
      </c>
      <c r="BD240" s="24" t="inlineStr">
        <is>
          <t>95b84332c75d2ce54036eb8de6ada9c78d0f80228c50825c0347281a8b9b49c7</t>
        </is>
      </c>
      <c r="BE240" s="24" t="inlineStr">
        <is>
          <t>v3</t>
        </is>
      </c>
      <c r="BF240" s="24" t="inlineStr">
        <is>
          <t>1</t>
        </is>
      </c>
      <c r="BG240" s="24" t="inlineStr">
        <is>
          <t>measured-edge-paired-v1</t>
        </is>
      </c>
      <c r="BH240" s="24" t="inlineStr">
        <is>
          <t>2026-08-06T18:58:40.093175Z</t>
        </is>
      </c>
      <c r="BI240" s="24" t="inlineStr">
        <is>
          <t>["same_event","same_team_same_day","same_league_same_day"]</t>
        </is>
      </c>
      <c r="BJ240" s="25" t="n">
        <v>8.5</v>
      </c>
      <c r="BK240" s="26" t="n">
        <v>-117</v>
      </c>
      <c r="BL240" s="27" t="n">
        <v>1.854701</v>
      </c>
      <c r="BM240" s="28" t="n">
        <v>0.539171</v>
      </c>
      <c r="BN240" s="28" t="n">
        <v>0.537313</v>
      </c>
      <c r="BO240" s="28" t="n"/>
      <c r="BP240" s="25" t="n"/>
      <c r="BQ240" s="27" t="n">
        <v>1.854701</v>
      </c>
      <c r="BR240" s="28" t="n">
        <v>0.54</v>
      </c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</row>
    <row r="241" ht="36" customHeight="1">
      <c r="A241" s="24" t="inlineStr">
        <is>
          <t>e6d3a757381c48e3</t>
        </is>
      </c>
      <c r="B241" s="24" t="inlineStr">
        <is>
          <t>2026-08-06T18:58:40.093175Z</t>
        </is>
      </c>
      <c r="C241" s="24" t="inlineStr">
        <is>
          <t>2026-08-06T23:10Z</t>
        </is>
      </c>
      <c r="D241" s="24" t="inlineStr">
        <is>
          <t>401816416</t>
        </is>
      </c>
      <c r="E241" s="24" t="inlineStr">
        <is>
          <t>MLB</t>
        </is>
      </c>
      <c r="F241" s="24" t="inlineStr">
        <is>
          <t>Chicago White Sox</t>
        </is>
      </c>
      <c r="G241" s="24" t="inlineStr">
        <is>
          <t>Boston Red Sox</t>
        </is>
      </c>
      <c r="H241" s="24" t="inlineStr">
        <is>
          <t>spread</t>
        </is>
      </c>
      <c r="I241" s="24" t="inlineStr">
        <is>
          <t>home</t>
        </is>
      </c>
      <c r="J241" s="25" t="n">
        <v>-1.5</v>
      </c>
      <c r="K241" s="24" t="inlineStr">
        <is>
          <t>polymarket_us</t>
        </is>
      </c>
      <c r="L241" s="26" t="n">
        <v>111</v>
      </c>
      <c r="M241" s="27" t="n">
        <v>2.11</v>
      </c>
      <c r="N241" s="28" t="n">
        <v>0.473934</v>
      </c>
      <c r="O241" s="28" t="n">
        <v>0.433223</v>
      </c>
      <c r="P241" s="28" t="n">
        <v>0.042131</v>
      </c>
      <c r="Q241" s="28" t="n">
        <v>-0.040711</v>
      </c>
      <c r="R241" s="26" t="n">
        <v>5</v>
      </c>
      <c r="S241" s="29" t="n">
        <v>0</v>
      </c>
      <c r="T241" s="24" t="inlineStr">
        <is>
          <t>measured-edge-margin-v3</t>
        </is>
      </c>
      <c r="U241" s="24" t="inlineStr">
        <is>
          <t>settled</t>
        </is>
      </c>
      <c r="V241" s="24" t="inlineStr">
        <is>
          <t>loss</t>
        </is>
      </c>
      <c r="W241" s="26" t="n">
        <v>11</v>
      </c>
      <c r="X241" s="26" t="n">
        <v>12</v>
      </c>
      <c r="Y241" s="25" t="n">
        <v>-1.5</v>
      </c>
      <c r="Z241" s="26" t="n">
        <v>111</v>
      </c>
      <c r="AA241" s="28" t="n">
        <v>0.475</v>
      </c>
      <c r="AB241" s="28" t="n">
        <v>0.001066</v>
      </c>
      <c r="AC241" s="30" t="n">
        <v>0</v>
      </c>
      <c r="AD241" s="24" t="inlineStr">
        <is>
          <t>2026-08-07T09:06:38.295379Z</t>
        </is>
      </c>
      <c r="AE241" s="31" t="inlineStr">
        <is>
          <t>Measured Edge Margin: Trend Engine projected 4.15-4.89; raw selected-side p=0.4020, calibrated p=0.4332.</t>
        </is>
      </c>
      <c r="AF241" s="31" t="inlineStr">
        <is>
          <t>Research-only; lineup, bullpen, park, weather, xFIP, and wRC+ may be neutral fallbacks; market availability and BBO depth may change before first pitch.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NO_CALL_WINNER_OVERVALUED</t>
        </is>
      </c>
      <c r="AP241" s="24" t="inlineStr">
        <is>
          <t>mlb-cws</t>
        </is>
      </c>
      <c r="AQ241" s="24" t="inlineStr">
        <is>
          <t>Chicago White Sox</t>
        </is>
      </c>
      <c r="AR241" s="24" t="inlineStr">
        <is>
          <t>Chicago White Sox</t>
        </is>
      </c>
      <c r="AS241" s="24" t="inlineStr">
        <is>
          <t>mlb-bos</t>
        </is>
      </c>
      <c r="AT241" s="24" t="inlineStr">
        <is>
          <t>Boston Red Sox</t>
        </is>
      </c>
      <c r="AU241" s="24" t="inlineStr">
        <is>
          <t>Boston Red Sox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research</t>
        </is>
      </c>
      <c r="BA241" s="24" t="inlineStr">
        <is>
          <t>dd339a2eed50d7d83ab2127837995ddab82e879afd27f5414bb6c1f9cd60ba4c</t>
        </is>
      </c>
      <c r="BB241" s="24" t="inlineStr">
        <is>
          <t>flat_probability_shrinkage_toward_half</t>
        </is>
      </c>
      <c r="BC241" s="24" t="inlineStr">
        <is>
          <t>measured-edge-margin-v3</t>
        </is>
      </c>
      <c r="BD241" s="24" t="inlineStr">
        <is>
          <t>dd339a2eed50d7d83ab2127837995ddab82e879afd27f5414bb6c1f9cd60ba4c</t>
        </is>
      </c>
      <c r="BE241" s="24" t="inlineStr">
        <is>
          <t>v3</t>
        </is>
      </c>
      <c r="BF241" s="24" t="inlineStr">
        <is>
          <t>1</t>
        </is>
      </c>
      <c r="BG241" s="24" t="inlineStr">
        <is>
          <t>measured-edge-paired-v1</t>
        </is>
      </c>
      <c r="BH241" s="24" t="inlineStr">
        <is>
          <t>2026-08-06T18:58:40.093175Z</t>
        </is>
      </c>
      <c r="BI241" s="24" t="inlineStr">
        <is>
          <t>["same_event","same_team_same_day","same_league_same_day"]</t>
        </is>
      </c>
      <c r="BJ241" s="25" t="n">
        <v>-1.5</v>
      </c>
      <c r="BK241" s="26" t="n">
        <v>111</v>
      </c>
      <c r="BL241" s="27" t="n">
        <v>2.11</v>
      </c>
      <c r="BM241" s="28" t="n">
        <v>0.473934</v>
      </c>
      <c r="BN241" s="28" t="n">
        <v>0.472637</v>
      </c>
      <c r="BO241" s="28" t="n"/>
      <c r="BP241" s="25" t="n"/>
      <c r="BQ241" s="27" t="n">
        <v>2.11</v>
      </c>
      <c r="BR241" s="28" t="n">
        <v>0.475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</row>
    <row r="242" ht="36" customHeight="1">
      <c r="A242" s="24" t="inlineStr">
        <is>
          <t>e5c9d2dd1168445c</t>
        </is>
      </c>
      <c r="B242" s="24" t="inlineStr">
        <is>
          <t>2026-08-06T18:58:40.093175Z</t>
        </is>
      </c>
      <c r="C242" s="24" t="inlineStr">
        <is>
          <t>2026-08-06T23:10Z</t>
        </is>
      </c>
      <c r="D242" s="24" t="inlineStr">
        <is>
          <t>401816416</t>
        </is>
      </c>
      <c r="E242" s="24" t="inlineStr">
        <is>
          <t>MLB</t>
        </is>
      </c>
      <c r="F242" s="24" t="inlineStr">
        <is>
          <t>Chicago White Sox</t>
        </is>
      </c>
      <c r="G242" s="24" t="inlineStr">
        <is>
          <t>Boston Red Sox</t>
        </is>
      </c>
      <c r="H242" s="24" t="inlineStr">
        <is>
          <t>total</t>
        </is>
      </c>
      <c r="I242" s="24" t="inlineStr">
        <is>
          <t>over</t>
        </is>
      </c>
      <c r="J242" s="25" t="n">
        <v>8.5</v>
      </c>
      <c r="K242" s="24" t="inlineStr">
        <is>
          <t>polymarket_us</t>
        </is>
      </c>
      <c r="L242" s="26" t="n">
        <v>-113</v>
      </c>
      <c r="M242" s="27" t="n">
        <v>1.884956</v>
      </c>
      <c r="N242" s="28" t="n">
        <v>0.530516</v>
      </c>
      <c r="O242" s="28" t="n">
        <v>0.511737</v>
      </c>
      <c r="P242" s="28" t="n">
        <v>0.042131</v>
      </c>
      <c r="Q242" s="28" t="n">
        <v>-0.018779</v>
      </c>
      <c r="R242" s="26" t="n">
        <v>17</v>
      </c>
      <c r="S242" s="29" t="n">
        <v>0</v>
      </c>
      <c r="T242" s="24" t="inlineStr">
        <is>
          <t>measured-edge-totals-v3</t>
        </is>
      </c>
      <c r="U242" s="24" t="inlineStr">
        <is>
          <t>settled</t>
        </is>
      </c>
      <c r="V242" s="24" t="inlineStr">
        <is>
          <t>win</t>
        </is>
      </c>
      <c r="W242" s="26" t="n">
        <v>11</v>
      </c>
      <c r="X242" s="26" t="n">
        <v>12</v>
      </c>
      <c r="Y242" s="25" t="n">
        <v>8.5</v>
      </c>
      <c r="Z242" s="26" t="n">
        <v>-113</v>
      </c>
      <c r="AA242" s="28" t="n">
        <v>0.53</v>
      </c>
      <c r="AB242" s="28" t="n">
        <v>-0.000516</v>
      </c>
      <c r="AC242" s="30" t="n">
        <v>0</v>
      </c>
      <c r="AD242" s="24" t="inlineStr">
        <is>
          <t>2026-08-07T09:06:39.427778Z</t>
        </is>
      </c>
      <c r="AE242" s="31" t="inlineStr">
        <is>
          <t>Measured Edge Totals: Trend Engine projected 4.15-4.89; raw selected-side p=0.5239, calibrated p=0.5117.</t>
        </is>
      </c>
      <c r="AF242" s="31" t="inlineStr">
        <is>
          <t>Research-only; lineup, bullpen, park, weather, xFIP, and wRC+ may be neutral fallbacks; market availability and BBO depth may change before first pitch.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research_observation</t>
        </is>
      </c>
      <c r="AL242" s="26" t="n">
        <v>3</v>
      </c>
      <c r="AM242" s="24" t="inlineStr">
        <is>
          <t>RESEARCH_OBSERVATION</t>
        </is>
      </c>
      <c r="AN242" s="24" t="inlineStr">
        <is>
          <t>NO_CALL</t>
        </is>
      </c>
      <c r="AO242" s="24" t="inlineStr">
        <is>
          <t>NO_CALL_WINNER_OVERVALUED</t>
        </is>
      </c>
      <c r="AP242" s="24" t="inlineStr">
        <is>
          <t>mlb-cws</t>
        </is>
      </c>
      <c r="AQ242" s="24" t="inlineStr">
        <is>
          <t>Chicago White Sox</t>
        </is>
      </c>
      <c r="AR242" s="24" t="inlineStr">
        <is>
          <t>Chicago White Sox</t>
        </is>
      </c>
      <c r="AS242" s="24" t="inlineStr">
        <is>
          <t>mlb-bos</t>
        </is>
      </c>
      <c r="AT242" s="24" t="inlineStr">
        <is>
          <t>Boston Red Sox</t>
        </is>
      </c>
      <c r="AU242" s="24" t="inlineStr">
        <is>
          <t>Boston Red Sox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95b84332c75d2ce54036eb8de6ada9c78d0f80228c50825c0347281a8b9b49c7</t>
        </is>
      </c>
      <c r="BB242" s="24" t="inlineStr">
        <is>
          <t>flat_probability_shrinkage_toward_half</t>
        </is>
      </c>
      <c r="BC242" s="24" t="inlineStr">
        <is>
          <t>measured-edge-totals-v3</t>
        </is>
      </c>
      <c r="BD242" s="24" t="inlineStr">
        <is>
          <t>95b84332c75d2ce54036eb8de6ada9c78d0f80228c50825c0347281a8b9b49c7</t>
        </is>
      </c>
      <c r="BE242" s="24" t="inlineStr">
        <is>
          <t>v3</t>
        </is>
      </c>
      <c r="BF242" s="24" t="inlineStr">
        <is>
          <t>1</t>
        </is>
      </c>
      <c r="BG242" s="24" t="inlineStr">
        <is>
          <t>measured-edge-paired-v1</t>
        </is>
      </c>
      <c r="BH242" s="24" t="inlineStr">
        <is>
          <t>2026-08-06T18:58:40.093175Z</t>
        </is>
      </c>
      <c r="BI242" s="24" t="inlineStr">
        <is>
          <t>["same_event","same_team_same_day","same_league_same_day"]</t>
        </is>
      </c>
      <c r="BJ242" s="25" t="n">
        <v>8.5</v>
      </c>
      <c r="BK242" s="26" t="n">
        <v>-113</v>
      </c>
      <c r="BL242" s="27" t="n">
        <v>1.884956</v>
      </c>
      <c r="BM242" s="28" t="n">
        <v>0.530516</v>
      </c>
      <c r="BN242" s="28" t="n">
        <v>0.527363</v>
      </c>
      <c r="BO242" s="28" t="n"/>
      <c r="BP242" s="25" t="n"/>
      <c r="BQ242" s="27" t="n">
        <v>1.884956</v>
      </c>
      <c r="BR242" s="28" t="n">
        <v>0.53</v>
      </c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False</t>
        </is>
      </c>
    </row>
    <row r="243" ht="36" customHeight="1">
      <c r="A243" s="24" t="inlineStr">
        <is>
          <t>d03151d4d9c1491c</t>
        </is>
      </c>
      <c r="B243" s="24" t="inlineStr">
        <is>
          <t>2026-08-06T18:58:40.093175Z</t>
        </is>
      </c>
      <c r="C243" s="24" t="inlineStr">
        <is>
          <t>2026-08-06T23:15Z</t>
        </is>
      </c>
      <c r="D243" s="24" t="inlineStr">
        <is>
          <t>401816417</t>
        </is>
      </c>
      <c r="E243" s="24" t="inlineStr">
        <is>
          <t>MLB</t>
        </is>
      </c>
      <c r="F243" s="24" t="inlineStr">
        <is>
          <t>Miami Marlins</t>
        </is>
      </c>
      <c r="G243" s="24" t="inlineStr">
        <is>
          <t>Atlanta Braves</t>
        </is>
      </c>
      <c r="H243" s="24" t="inlineStr">
        <is>
          <t>spread</t>
        </is>
      </c>
      <c r="I243" s="24" t="inlineStr">
        <is>
          <t>home</t>
        </is>
      </c>
      <c r="J243" s="25" t="n">
        <v>-1.5</v>
      </c>
      <c r="K243" s="24" t="inlineStr">
        <is>
          <t>polymarket_us</t>
        </is>
      </c>
      <c r="L243" s="26" t="n">
        <v>144</v>
      </c>
      <c r="M243" s="27" t="n">
        <v>2.44</v>
      </c>
      <c r="N243" s="28" t="n">
        <v>0.409836</v>
      </c>
      <c r="O243" s="28" t="n">
        <v>0.4044</v>
      </c>
      <c r="P243" s="28" t="n">
        <v>0.042131</v>
      </c>
      <c r="Q243" s="28" t="n">
        <v>-0.005436</v>
      </c>
      <c r="R243" s="26" t="n">
        <v>23</v>
      </c>
      <c r="S243" s="29" t="n">
        <v>0</v>
      </c>
      <c r="T243" s="24" t="inlineStr">
        <is>
          <t>measured-edge-margin-v3</t>
        </is>
      </c>
      <c r="U243" s="24" t="inlineStr">
        <is>
          <t>settled</t>
        </is>
      </c>
      <c r="V243" s="24" t="inlineStr">
        <is>
          <t>win</t>
        </is>
      </c>
      <c r="W243" s="26" t="n">
        <v>3</v>
      </c>
      <c r="X243" s="26" t="n">
        <v>11</v>
      </c>
      <c r="Y243" s="25" t="n">
        <v>-1.5</v>
      </c>
      <c r="Z243" s="26" t="n">
        <v>144</v>
      </c>
      <c r="AA243" s="28" t="n">
        <v>0.41</v>
      </c>
      <c r="AB243" s="28" t="n">
        <v>0.000164</v>
      </c>
      <c r="AC243" s="30" t="n">
        <v>0</v>
      </c>
      <c r="AD243" s="24" t="inlineStr">
        <is>
          <t>2026-08-07T09:06:40.603325Z</t>
        </is>
      </c>
      <c r="AE243" s="31" t="inlineStr">
        <is>
          <t>Measured Edge Margin: Trend Engine projected 4.25-4.56; raw selected-side p=0.3597, calibrated p=0.4044.</t>
        </is>
      </c>
      <c r="AF243" s="31" t="inlineStr">
        <is>
          <t>Research-only; lineup, bullpen, park, weather, xFIP, and wRC+ may be neutral fallbacks; market availability and BBO depth may change before first pitch.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NO_CALL_WINNER_OVERVALUED</t>
        </is>
      </c>
      <c r="AP243" s="24" t="inlineStr">
        <is>
          <t>mlb-mia</t>
        </is>
      </c>
      <c r="AQ243" s="24" t="inlineStr">
        <is>
          <t>Miami Marlins</t>
        </is>
      </c>
      <c r="AR243" s="24" t="inlineStr">
        <is>
          <t>Miami Marlins</t>
        </is>
      </c>
      <c r="AS243" s="24" t="inlineStr">
        <is>
          <t>mlb-atl</t>
        </is>
      </c>
      <c r="AT243" s="24" t="inlineStr">
        <is>
          <t>Atlanta Braves</t>
        </is>
      </c>
      <c r="AU243" s="24" t="inlineStr">
        <is>
          <t>Atlanta Braves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research</t>
        </is>
      </c>
      <c r="BA243" s="24" t="inlineStr">
        <is>
          <t>dd339a2eed50d7d83ab2127837995ddab82e879afd27f5414bb6c1f9cd60ba4c</t>
        </is>
      </c>
      <c r="BB243" s="24" t="inlineStr">
        <is>
          <t>flat_probability_shrinkage_toward_half</t>
        </is>
      </c>
      <c r="BC243" s="24" t="inlineStr">
        <is>
          <t>measured-edge-margin-v3</t>
        </is>
      </c>
      <c r="BD243" s="24" t="inlineStr">
        <is>
          <t>dd339a2eed50d7d83ab2127837995ddab82e879afd27f5414bb6c1f9cd60ba4c</t>
        </is>
      </c>
      <c r="BE243" s="24" t="inlineStr">
        <is>
          <t>v3</t>
        </is>
      </c>
      <c r="BF243" s="24" t="inlineStr">
        <is>
          <t>1</t>
        </is>
      </c>
      <c r="BG243" s="24" t="inlineStr">
        <is>
          <t>measured-edge-paired-v1</t>
        </is>
      </c>
      <c r="BH243" s="24" t="inlineStr">
        <is>
          <t>2026-08-06T18:58:40.093175Z</t>
        </is>
      </c>
      <c r="BI243" s="24" t="inlineStr">
        <is>
          <t>["same_event","same_team_same_day","same_league_same_day"]</t>
        </is>
      </c>
      <c r="BJ243" s="25" t="n">
        <v>-1.5</v>
      </c>
      <c r="BK243" s="26" t="n">
        <v>144</v>
      </c>
      <c r="BL243" s="27" t="n">
        <v>2.44</v>
      </c>
      <c r="BM243" s="28" t="n">
        <v>0.409836</v>
      </c>
      <c r="BN243" s="28" t="n">
        <v>0.40796</v>
      </c>
      <c r="BO243" s="28" t="n"/>
      <c r="BP243" s="25" t="n"/>
      <c r="BQ243" s="27" t="n">
        <v>2.44</v>
      </c>
      <c r="BR243" s="28" t="n">
        <v>0.41</v>
      </c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</row>
    <row r="244" ht="36" customHeight="1">
      <c r="A244" s="24" t="inlineStr">
        <is>
          <t>5d89f94deb7543e8</t>
        </is>
      </c>
      <c r="B244" s="24" t="inlineStr">
        <is>
          <t>2026-08-06T18:58:40.093175Z</t>
        </is>
      </c>
      <c r="C244" s="24" t="inlineStr">
        <is>
          <t>2026-08-06T23:15Z</t>
        </is>
      </c>
      <c r="D244" s="24" t="inlineStr">
        <is>
          <t>401816417</t>
        </is>
      </c>
      <c r="E244" s="24" t="inlineStr">
        <is>
          <t>MLB</t>
        </is>
      </c>
      <c r="F244" s="24" t="inlineStr">
        <is>
          <t>Miami Marlins</t>
        </is>
      </c>
      <c r="G244" s="24" t="inlineStr">
        <is>
          <t>Atlanta Braves</t>
        </is>
      </c>
      <c r="H244" s="24" t="inlineStr">
        <is>
          <t>total</t>
        </is>
      </c>
      <c r="I244" s="24" t="inlineStr">
        <is>
          <t>under</t>
        </is>
      </c>
      <c r="J244" s="25" t="n">
        <v>9.5</v>
      </c>
      <c r="K244" s="24" t="inlineStr">
        <is>
          <t>polymarket_us</t>
        </is>
      </c>
      <c r="L244" s="26" t="n">
        <v>-125</v>
      </c>
      <c r="M244" s="27" t="n">
        <v>1.8</v>
      </c>
      <c r="N244" s="28" t="n">
        <v>0.555556</v>
      </c>
      <c r="O244" s="28" t="n">
        <v>0.5349120000000001</v>
      </c>
      <c r="P244" s="28" t="n">
        <v>0.042131</v>
      </c>
      <c r="Q244" s="28" t="n">
        <v>-0.020644</v>
      </c>
      <c r="R244" s="26" t="n">
        <v>16</v>
      </c>
      <c r="S244" s="29" t="n">
        <v>0</v>
      </c>
      <c r="T244" s="24" t="inlineStr">
        <is>
          <t>measured-edge-totals-v3</t>
        </is>
      </c>
      <c r="U244" s="24" t="inlineStr">
        <is>
          <t>settled</t>
        </is>
      </c>
      <c r="V244" s="24" t="inlineStr">
        <is>
          <t>loss</t>
        </is>
      </c>
      <c r="W244" s="26" t="n">
        <v>3</v>
      </c>
      <c r="X244" s="26" t="n">
        <v>11</v>
      </c>
      <c r="Y244" s="25" t="n">
        <v>9.5</v>
      </c>
      <c r="Z244" s="26" t="n">
        <v>-125</v>
      </c>
      <c r="AA244" s="28" t="n">
        <v>0.555</v>
      </c>
      <c r="AB244" s="28" t="n">
        <v>-0.000556</v>
      </c>
      <c r="AC244" s="30" t="n">
        <v>0</v>
      </c>
      <c r="AD244" s="24" t="inlineStr">
        <is>
          <t>2026-08-07T09:06:41.732187Z</t>
        </is>
      </c>
      <c r="AE244" s="31" t="inlineStr">
        <is>
          <t>Measured Edge Totals: Trend Engine projected 4.25-4.56; raw selected-side p=0.6172, calibrated p=0.5349.</t>
        </is>
      </c>
      <c r="AF244" s="31" t="inlineStr">
        <is>
          <t>Research-only; lineup, bullpen, park, weather, xFIP, and wRC+ may be neutral fallbacks; market availability and BBO depth may change before first pitch.</t>
        </is>
      </c>
      <c r="AG244" s="24" t="inlineStr">
        <is>
          <t>review_required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NO_CALL_WINNER_OVERVALUED</t>
        </is>
      </c>
      <c r="AP244" s="24" t="inlineStr">
        <is>
          <t>mlb-mia</t>
        </is>
      </c>
      <c r="AQ244" s="24" t="inlineStr">
        <is>
          <t>Miami Marlins</t>
        </is>
      </c>
      <c r="AR244" s="24" t="inlineStr">
        <is>
          <t>Miami Marlins</t>
        </is>
      </c>
      <c r="AS244" s="24" t="inlineStr">
        <is>
          <t>mlb-atl</t>
        </is>
      </c>
      <c r="AT244" s="24" t="inlineStr">
        <is>
          <t>Atlanta Braves</t>
        </is>
      </c>
      <c r="AU244" s="24" t="inlineStr">
        <is>
          <t>Atlanta Braves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research</t>
        </is>
      </c>
      <c r="BA244" s="24" t="inlineStr">
        <is>
          <t>95b84332c75d2ce54036eb8de6ada9c78d0f80228c50825c0347281a8b9b49c7</t>
        </is>
      </c>
      <c r="BB244" s="24" t="inlineStr">
        <is>
          <t>flat_probability_shrinkage_toward_half</t>
        </is>
      </c>
      <c r="BC244" s="24" t="inlineStr">
        <is>
          <t>measured-edge-totals-v3</t>
        </is>
      </c>
      <c r="BD244" s="24" t="inlineStr">
        <is>
          <t>95b84332c75d2ce54036eb8de6ada9c78d0f80228c50825c0347281a8b9b49c7</t>
        </is>
      </c>
      <c r="BE244" s="24" t="inlineStr">
        <is>
          <t>v3</t>
        </is>
      </c>
      <c r="BF244" s="24" t="inlineStr">
        <is>
          <t>1</t>
        </is>
      </c>
      <c r="BG244" s="24" t="inlineStr">
        <is>
          <t>measured-edge-paired-v1</t>
        </is>
      </c>
      <c r="BH244" s="24" t="inlineStr">
        <is>
          <t>2026-08-06T18:58:40.093175Z</t>
        </is>
      </c>
      <c r="BI244" s="24" t="inlineStr">
        <is>
          <t>["same_event","same_team_same_day","same_league_same_day"]</t>
        </is>
      </c>
      <c r="BJ244" s="25" t="n">
        <v>9.5</v>
      </c>
      <c r="BK244" s="26" t="n">
        <v>-125</v>
      </c>
      <c r="BL244" s="27" t="n">
        <v>1.8</v>
      </c>
      <c r="BM244" s="28" t="n">
        <v>0.555556</v>
      </c>
      <c r="BN244" s="28" t="n">
        <v>0.552239</v>
      </c>
      <c r="BO244" s="28" t="n"/>
      <c r="BP244" s="25" t="n"/>
      <c r="BQ244" s="27" t="n">
        <v>1.8</v>
      </c>
      <c r="BR244" s="28" t="n">
        <v>0.555</v>
      </c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25e29ff339434141</t>
        </is>
      </c>
      <c r="B245" s="24" t="inlineStr">
        <is>
          <t>2026-08-06T18:58:40.093175Z</t>
        </is>
      </c>
      <c r="C245" s="24" t="inlineStr">
        <is>
          <t>2026-08-06T23:30Z</t>
        </is>
      </c>
      <c r="D245" s="24" t="inlineStr">
        <is>
          <t>401816420</t>
        </is>
      </c>
      <c r="E245" s="24" t="inlineStr">
        <is>
          <t>MLB</t>
        </is>
      </c>
      <c r="F245" s="24" t="inlineStr">
        <is>
          <t>Minnesota Twins</t>
        </is>
      </c>
      <c r="G245" s="24" t="inlineStr">
        <is>
          <t>Kansas City Royals</t>
        </is>
      </c>
      <c r="H245" s="24" t="inlineStr">
        <is>
          <t>spread</t>
        </is>
      </c>
      <c r="I245" s="24" t="inlineStr">
        <is>
          <t>home</t>
        </is>
      </c>
      <c r="J245" s="25" t="n">
        <v>-1.5</v>
      </c>
      <c r="K245" s="24" t="inlineStr">
        <is>
          <t>polymarket_us</t>
        </is>
      </c>
      <c r="L245" s="26" t="n">
        <v>174</v>
      </c>
      <c r="M245" s="27" t="n">
        <v>2.74</v>
      </c>
      <c r="N245" s="28" t="n">
        <v>0.364964</v>
      </c>
      <c r="O245" s="28" t="n">
        <v>0.409306</v>
      </c>
      <c r="P245" s="28" t="n">
        <v>0.042131</v>
      </c>
      <c r="Q245" s="28" t="n">
        <v>0.044342</v>
      </c>
      <c r="R245" s="26" t="n">
        <v>48</v>
      </c>
      <c r="S245" s="29" t="n">
        <v>0</v>
      </c>
      <c r="T245" s="24" t="inlineStr">
        <is>
          <t>measured-edge-margin-v3</t>
        </is>
      </c>
      <c r="U245" s="24" t="inlineStr">
        <is>
          <t>settled</t>
        </is>
      </c>
      <c r="V245" s="24" t="inlineStr">
        <is>
          <t>loss</t>
        </is>
      </c>
      <c r="W245" s="26" t="n">
        <v>4</v>
      </c>
      <c r="X245" s="26" t="n">
        <v>3</v>
      </c>
      <c r="Y245" s="25" t="n">
        <v>-1.5</v>
      </c>
      <c r="Z245" s="26" t="n">
        <v>174</v>
      </c>
      <c r="AA245" s="28" t="n">
        <v>0.365</v>
      </c>
      <c r="AB245" s="28" t="n">
        <v>3.6e-05</v>
      </c>
      <c r="AC245" s="30" t="n">
        <v>0</v>
      </c>
      <c r="AD245" s="24" t="inlineStr">
        <is>
          <t>2026-08-07T09:06:42.895820Z</t>
        </is>
      </c>
      <c r="AE245" s="31" t="inlineStr">
        <is>
          <t>Measured Edge Margin: Trend Engine projected 4.42-4.83; raw selected-side p=0.3669, calibrated p=0.4093.</t>
        </is>
      </c>
      <c r="AF245" s="31" t="inlineStr">
        <is>
          <t>Research-only; lineup, bullpen, park, weather, xFIP, and wRC+ may be neutral fallbacks; market availability and BBO depth may change before first pitch.</t>
        </is>
      </c>
      <c r="AG245" s="24" t="inlineStr">
        <is>
          <t>review_required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NO_CALL_WINNER_OVERVALUED</t>
        </is>
      </c>
      <c r="AP245" s="24" t="inlineStr">
        <is>
          <t>mlb-min</t>
        </is>
      </c>
      <c r="AQ245" s="24" t="inlineStr">
        <is>
          <t>Minnesota Twins</t>
        </is>
      </c>
      <c r="AR245" s="24" t="inlineStr">
        <is>
          <t>Minnesota Twins</t>
        </is>
      </c>
      <c r="AS245" s="24" t="inlineStr">
        <is>
          <t>mlb-kc</t>
        </is>
      </c>
      <c r="AT245" s="24" t="inlineStr">
        <is>
          <t>Kansas City Royals</t>
        </is>
      </c>
      <c r="AU245" s="24" t="inlineStr">
        <is>
          <t>Kansas City Royals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research</t>
        </is>
      </c>
      <c r="BA245" s="24" t="inlineStr">
        <is>
          <t>dd339a2eed50d7d83ab2127837995ddab82e879afd27f5414bb6c1f9cd60ba4c</t>
        </is>
      </c>
      <c r="BB245" s="24" t="inlineStr">
        <is>
          <t>flat_probability_shrinkage_toward_half</t>
        </is>
      </c>
      <c r="BC245" s="24" t="inlineStr">
        <is>
          <t>measured-edge-margin-v3</t>
        </is>
      </c>
      <c r="BD245" s="24" t="inlineStr">
        <is>
          <t>dd339a2eed50d7d83ab2127837995ddab82e879afd27f5414bb6c1f9cd60ba4c</t>
        </is>
      </c>
      <c r="BE245" s="24" t="inlineStr">
        <is>
          <t>v3</t>
        </is>
      </c>
      <c r="BF245" s="24" t="inlineStr">
        <is>
          <t>1</t>
        </is>
      </c>
      <c r="BG245" s="24" t="inlineStr">
        <is>
          <t>measured-edge-paired-v1</t>
        </is>
      </c>
      <c r="BH245" s="24" t="inlineStr">
        <is>
          <t>2026-08-06T18:58:40.093175Z</t>
        </is>
      </c>
      <c r="BI245" s="24" t="inlineStr">
        <is>
          <t>["same_event","same_team_same_day","same_league_same_day"]</t>
        </is>
      </c>
      <c r="BJ245" s="25" t="n">
        <v>-1.5</v>
      </c>
      <c r="BK245" s="26" t="n">
        <v>174</v>
      </c>
      <c r="BL245" s="27" t="n">
        <v>2.74</v>
      </c>
      <c r="BM245" s="28" t="n">
        <v>0.364964</v>
      </c>
      <c r="BN245" s="28" t="n">
        <v>0.363184</v>
      </c>
      <c r="BO245" s="28" t="n"/>
      <c r="BP245" s="25" t="n"/>
      <c r="BQ245" s="27" t="n">
        <v>2.74</v>
      </c>
      <c r="BR245" s="28" t="n">
        <v>0.365</v>
      </c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</row>
    <row r="246" ht="36" customHeight="1">
      <c r="A246" s="24" t="inlineStr">
        <is>
          <t>c5934bf90d1b4d88</t>
        </is>
      </c>
      <c r="B246" s="24" t="inlineStr">
        <is>
          <t>2026-08-06T18:58:40.093175Z</t>
        </is>
      </c>
      <c r="C246" s="24" t="inlineStr">
        <is>
          <t>2026-08-06T23:30Z</t>
        </is>
      </c>
      <c r="D246" s="24" t="inlineStr">
        <is>
          <t>401816420</t>
        </is>
      </c>
      <c r="E246" s="24" t="inlineStr">
        <is>
          <t>MLB</t>
        </is>
      </c>
      <c r="F246" s="24" t="inlineStr">
        <is>
          <t>Minnesota Twins</t>
        </is>
      </c>
      <c r="G246" s="24" t="inlineStr">
        <is>
          <t>Kansas City Royals</t>
        </is>
      </c>
      <c r="H246" s="24" t="inlineStr">
        <is>
          <t>total</t>
        </is>
      </c>
      <c r="I246" s="24" t="inlineStr">
        <is>
          <t>over</t>
        </is>
      </c>
      <c r="J246" s="25" t="n">
        <v>8.5</v>
      </c>
      <c r="K246" s="24" t="inlineStr">
        <is>
          <t>polymarket_us</t>
        </is>
      </c>
      <c r="L246" s="26" t="n">
        <v>-117</v>
      </c>
      <c r="M246" s="27" t="n">
        <v>1.854701</v>
      </c>
      <c r="N246" s="28" t="n">
        <v>0.539171</v>
      </c>
      <c r="O246" s="28" t="n">
        <v>0.515463</v>
      </c>
      <c r="P246" s="28" t="n">
        <v>0.042131</v>
      </c>
      <c r="Q246" s="28" t="n">
        <v>-0.023708</v>
      </c>
      <c r="R246" s="26" t="n">
        <v>14</v>
      </c>
      <c r="S246" s="29" t="n">
        <v>0</v>
      </c>
      <c r="T246" s="24" t="inlineStr">
        <is>
          <t>measured-edge-totals-v3</t>
        </is>
      </c>
      <c r="U246" s="24" t="inlineStr">
        <is>
          <t>settled</t>
        </is>
      </c>
      <c r="V246" s="24" t="inlineStr">
        <is>
          <t>loss</t>
        </is>
      </c>
      <c r="W246" s="26" t="n">
        <v>4</v>
      </c>
      <c r="X246" s="26" t="n">
        <v>3</v>
      </c>
      <c r="Y246" s="25" t="n">
        <v>8.5</v>
      </c>
      <c r="Z246" s="26" t="n">
        <v>-117</v>
      </c>
      <c r="AA246" s="28" t="n">
        <v>0.54</v>
      </c>
      <c r="AB246" s="28" t="n">
        <v>0.000829</v>
      </c>
      <c r="AC246" s="30" t="n">
        <v>0</v>
      </c>
      <c r="AD246" s="24" t="inlineStr">
        <is>
          <t>2026-08-07T09:06:44.032015Z</t>
        </is>
      </c>
      <c r="AE246" s="31" t="inlineStr">
        <is>
          <t>Measured Edge Totals: Trend Engine projected 4.42-4.83; raw selected-side p=0.5389, calibrated p=0.5155.</t>
        </is>
      </c>
      <c r="AF246" s="31" t="inlineStr">
        <is>
          <t>Research-only; lineup, bullpen, park, weather, xFIP, and wRC+ may be neutral fallbacks; market availability and BBO depth may change before first pitch.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research_observation</t>
        </is>
      </c>
      <c r="AL246" s="26" t="n">
        <v>3</v>
      </c>
      <c r="AM246" s="24" t="inlineStr">
        <is>
          <t>RESEARCH_OBSERVATION</t>
        </is>
      </c>
      <c r="AN246" s="24" t="inlineStr">
        <is>
          <t>NO_CALL</t>
        </is>
      </c>
      <c r="AO246" s="24" t="inlineStr">
        <is>
          <t>NO_CALL_WINNER_OVERVALUED</t>
        </is>
      </c>
      <c r="AP246" s="24" t="inlineStr">
        <is>
          <t>mlb-min</t>
        </is>
      </c>
      <c r="AQ246" s="24" t="inlineStr">
        <is>
          <t>Minnesota Twins</t>
        </is>
      </c>
      <c r="AR246" s="24" t="inlineStr">
        <is>
          <t>Minnesota Twins</t>
        </is>
      </c>
      <c r="AS246" s="24" t="inlineStr">
        <is>
          <t>mlb-kc</t>
        </is>
      </c>
      <c r="AT246" s="24" t="inlineStr">
        <is>
          <t>Kansas City Royals</t>
        </is>
      </c>
      <c r="AU246" s="24" t="inlineStr">
        <is>
          <t>Kansas City Royals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research</t>
        </is>
      </c>
      <c r="BA246" s="24" t="inlineStr">
        <is>
          <t>95b84332c75d2ce54036eb8de6ada9c78d0f80228c50825c0347281a8b9b49c7</t>
        </is>
      </c>
      <c r="BB246" s="24" t="inlineStr">
        <is>
          <t>flat_probability_shrinkage_toward_half</t>
        </is>
      </c>
      <c r="BC246" s="24" t="inlineStr">
        <is>
          <t>measured-edge-totals-v3</t>
        </is>
      </c>
      <c r="BD246" s="24" t="inlineStr">
        <is>
          <t>95b84332c75d2ce54036eb8de6ada9c78d0f80228c50825c0347281a8b9b49c7</t>
        </is>
      </c>
      <c r="BE246" s="24" t="inlineStr">
        <is>
          <t>v3</t>
        </is>
      </c>
      <c r="BF246" s="24" t="inlineStr">
        <is>
          <t>1</t>
        </is>
      </c>
      <c r="BG246" s="24" t="inlineStr">
        <is>
          <t>measured-edge-paired-v1</t>
        </is>
      </c>
      <c r="BH246" s="24" t="inlineStr">
        <is>
          <t>2026-08-06T18:58:40.093175Z</t>
        </is>
      </c>
      <c r="BI246" s="24" t="inlineStr">
        <is>
          <t>["same_event","same_team_same_day","same_league_same_day"]</t>
        </is>
      </c>
      <c r="BJ246" s="25" t="n">
        <v>8.5</v>
      </c>
      <c r="BK246" s="26" t="n">
        <v>-117</v>
      </c>
      <c r="BL246" s="27" t="n">
        <v>1.854701</v>
      </c>
      <c r="BM246" s="28" t="n">
        <v>0.539171</v>
      </c>
      <c r="BN246" s="28" t="n">
        <v>0.537313</v>
      </c>
      <c r="BO246" s="28" t="n"/>
      <c r="BP246" s="25" t="n"/>
      <c r="BQ246" s="27" t="n">
        <v>1.854701</v>
      </c>
      <c r="BR246" s="28" t="n">
        <v>0.54</v>
      </c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False</t>
        </is>
      </c>
    </row>
    <row r="247" ht="36" customHeight="1">
      <c r="A247" s="24" t="inlineStr">
        <is>
          <t>634c36fa715241fd</t>
        </is>
      </c>
      <c r="B247" s="24" t="inlineStr">
        <is>
          <t>2026-08-06T18:58:40.093175Z</t>
        </is>
      </c>
      <c r="C247" s="24" t="inlineStr">
        <is>
          <t>2026-08-07T01:40Z</t>
        </is>
      </c>
      <c r="D247" s="24" t="inlineStr">
        <is>
          <t>401816423</t>
        </is>
      </c>
      <c r="E247" s="24" t="inlineStr">
        <is>
          <t>MLB</t>
        </is>
      </c>
      <c r="F247" s="24" t="inlineStr">
        <is>
          <t>San Diego Padres</t>
        </is>
      </c>
      <c r="G247" s="24" t="inlineStr">
        <is>
          <t>Arizona Diamondbacks</t>
        </is>
      </c>
      <c r="H247" s="24" t="inlineStr">
        <is>
          <t>spread</t>
        </is>
      </c>
      <c r="I247" s="24" t="inlineStr">
        <is>
          <t>home</t>
        </is>
      </c>
      <c r="J247" s="25" t="n">
        <v>1.5</v>
      </c>
      <c r="K247" s="24" t="inlineStr">
        <is>
          <t>polymarket_us</t>
        </is>
      </c>
      <c r="L247" s="26" t="n">
        <v>-163</v>
      </c>
      <c r="M247" s="27" t="n">
        <v>1.613497</v>
      </c>
      <c r="N247" s="28" t="n">
        <v>0.619772</v>
      </c>
      <c r="O247" s="28" t="n">
        <v>0.644491</v>
      </c>
      <c r="P247" s="28" t="n">
        <v>0.05172</v>
      </c>
      <c r="Q247" s="28" t="n">
        <v>0.024719</v>
      </c>
      <c r="R247" s="26" t="n">
        <v>33</v>
      </c>
      <c r="S247" s="29" t="n">
        <v>0</v>
      </c>
      <c r="T247" s="24" t="inlineStr">
        <is>
          <t>measured-edge-margin-v3</t>
        </is>
      </c>
      <c r="U247" s="24" t="inlineStr">
        <is>
          <t>settled</t>
        </is>
      </c>
      <c r="V247" s="24" t="inlineStr">
        <is>
          <t>loss</t>
        </is>
      </c>
      <c r="W247" s="26" t="n">
        <v>5</v>
      </c>
      <c r="X247" s="26" t="n">
        <v>1</v>
      </c>
      <c r="Y247" s="25" t="n">
        <v>1.5</v>
      </c>
      <c r="Z247" s="26" t="n">
        <v>-163</v>
      </c>
      <c r="AA247" s="28" t="n">
        <v>0.62</v>
      </c>
      <c r="AB247" s="28" t="n">
        <v>0.000228</v>
      </c>
      <c r="AC247" s="30" t="n">
        <v>0</v>
      </c>
      <c r="AD247" s="24" t="inlineStr">
        <is>
          <t>2026-08-07T09:06:45.183976Z</t>
        </is>
      </c>
      <c r="AE247" s="31" t="inlineStr">
        <is>
          <t>Measured Edge Margin: Trend Engine projected 4.77-5.38; raw selected-side p=0.7120, calibrated p=0.6445.</t>
        </is>
      </c>
      <c r="AF247" s="31" t="inlineStr">
        <is>
          <t>Research-only; lineup, bullpen, park, weather, xFIP, and wRC+ may be neutral fallbacks; market availability and BBO depth may change before first pitch.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NO_CALL_WINNER_OVERVALUED</t>
        </is>
      </c>
      <c r="AP247" s="24" t="inlineStr">
        <is>
          <t>mlb-sd</t>
        </is>
      </c>
      <c r="AQ247" s="24" t="inlineStr">
        <is>
          <t>San Diego Padres</t>
        </is>
      </c>
      <c r="AR247" s="24" t="inlineStr">
        <is>
          <t>San Diego Padres</t>
        </is>
      </c>
      <c r="AS247" s="24" t="inlineStr">
        <is>
          <t>mlb-ari</t>
        </is>
      </c>
      <c r="AT247" s="24" t="inlineStr">
        <is>
          <t>Arizona Diamondbacks</t>
        </is>
      </c>
      <c r="AU247" s="24" t="inlineStr">
        <is>
          <t>Arizona Diamondbacks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research</t>
        </is>
      </c>
      <c r="BA247" s="24" t="inlineStr">
        <is>
          <t>dd339a2eed50d7d83ab2127837995ddab82e879afd27f5414bb6c1f9cd60ba4c</t>
        </is>
      </c>
      <c r="BB247" s="24" t="inlineStr">
        <is>
          <t>flat_probability_shrinkage_toward_half</t>
        </is>
      </c>
      <c r="BC247" s="24" t="inlineStr">
        <is>
          <t>measured-edge-margin-v3</t>
        </is>
      </c>
      <c r="BD247" s="24" t="inlineStr">
        <is>
          <t>dd339a2eed50d7d83ab2127837995ddab82e879afd27f5414bb6c1f9cd60ba4c</t>
        </is>
      </c>
      <c r="BE247" s="24" t="inlineStr">
        <is>
          <t>v3</t>
        </is>
      </c>
      <c r="BF247" s="24" t="inlineStr">
        <is>
          <t>1</t>
        </is>
      </c>
      <c r="BG247" s="24" t="inlineStr">
        <is>
          <t>measured-edge-paired-v1</t>
        </is>
      </c>
      <c r="BH247" s="24" t="inlineStr">
        <is>
          <t>2026-08-06T18:58:40.093175Z</t>
        </is>
      </c>
      <c r="BI247" s="24" t="inlineStr">
        <is>
          <t>["same_event","same_team_same_day","same_league_same_day"]</t>
        </is>
      </c>
      <c r="BJ247" s="25" t="n">
        <v>1.5</v>
      </c>
      <c r="BK247" s="26" t="n">
        <v>-163</v>
      </c>
      <c r="BL247" s="27" t="n">
        <v>1.613497</v>
      </c>
      <c r="BM247" s="28" t="n">
        <v>0.619772</v>
      </c>
      <c r="BN247" s="28" t="n">
        <v>0.616915</v>
      </c>
      <c r="BO247" s="28" t="n"/>
      <c r="BP247" s="25" t="n"/>
      <c r="BQ247" s="27" t="n">
        <v>1.613497</v>
      </c>
      <c r="BR247" s="28" t="n">
        <v>0.62</v>
      </c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</row>
    <row r="248" ht="36" customHeight="1">
      <c r="A248" s="24" t="inlineStr">
        <is>
          <t>26f54c2b6fbe4d99</t>
        </is>
      </c>
      <c r="B248" s="24" t="inlineStr">
        <is>
          <t>2026-08-06T18:58:40.093175Z</t>
        </is>
      </c>
      <c r="C248" s="24" t="inlineStr">
        <is>
          <t>2026-08-07T01:40Z</t>
        </is>
      </c>
      <c r="D248" s="24" t="inlineStr">
        <is>
          <t>401816423</t>
        </is>
      </c>
      <c r="E248" s="24" t="inlineStr">
        <is>
          <t>MLB</t>
        </is>
      </c>
      <c r="F248" s="24" t="inlineStr">
        <is>
          <t>San Diego Padres</t>
        </is>
      </c>
      <c r="G248" s="24" t="inlineStr">
        <is>
          <t>Arizona Diamondbacks</t>
        </is>
      </c>
      <c r="H248" s="24" t="inlineStr">
        <is>
          <t>total</t>
        </is>
      </c>
      <c r="I248" s="24" t="inlineStr">
        <is>
          <t>over</t>
        </is>
      </c>
      <c r="J248" s="25" t="n">
        <v>9.5</v>
      </c>
      <c r="K248" s="24" t="inlineStr">
        <is>
          <t>polymarket_us</t>
        </is>
      </c>
      <c r="L248" s="26" t="n">
        <v>120</v>
      </c>
      <c r="M248" s="27" t="n">
        <v>2.2</v>
      </c>
      <c r="N248" s="28" t="n">
        <v>0.454545</v>
      </c>
      <c r="O248" s="28" t="n">
        <v>0.507104</v>
      </c>
      <c r="P248" s="28" t="n">
        <v>0.05172</v>
      </c>
      <c r="Q248" s="28" t="n">
        <v>0.052559</v>
      </c>
      <c r="R248" s="26" t="n">
        <v>46</v>
      </c>
      <c r="S248" s="29" t="n">
        <v>0</v>
      </c>
      <c r="T248" s="24" t="inlineStr">
        <is>
          <t>measured-edge-totals-v3</t>
        </is>
      </c>
      <c r="U248" s="24" t="inlineStr">
        <is>
          <t>settled</t>
        </is>
      </c>
      <c r="V248" s="24" t="inlineStr">
        <is>
          <t>loss</t>
        </is>
      </c>
      <c r="W248" s="26" t="n">
        <v>5</v>
      </c>
      <c r="X248" s="26" t="n">
        <v>1</v>
      </c>
      <c r="Y248" s="25" t="n">
        <v>9.5</v>
      </c>
      <c r="Z248" s="26" t="n">
        <v>120</v>
      </c>
      <c r="AA248" s="28" t="n">
        <v>0.455</v>
      </c>
      <c r="AB248" s="28" t="n">
        <v>0.000455</v>
      </c>
      <c r="AC248" s="30" t="n">
        <v>0</v>
      </c>
      <c r="AD248" s="24" t="inlineStr">
        <is>
          <t>2026-08-07T09:06:46.359331Z</t>
        </is>
      </c>
      <c r="AE248" s="31" t="inlineStr">
        <is>
          <t>Measured Edge Totals: Trend Engine projected 4.77-5.38; raw selected-side p=0.5052, calibrated p=0.5071.</t>
        </is>
      </c>
      <c r="AF248" s="31" t="inlineStr">
        <is>
          <t>Research-only; lineup, bullpen, park, weather, xFIP, and wRC+ may be neutral fallbacks; market availability and BBO depth may change before first pitch.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research_observation</t>
        </is>
      </c>
      <c r="AL248" s="26" t="n">
        <v>3</v>
      </c>
      <c r="AM248" s="24" t="inlineStr">
        <is>
          <t>RESEARCH_OBSERVATION</t>
        </is>
      </c>
      <c r="AN248" s="24" t="inlineStr">
        <is>
          <t>NO_CALL</t>
        </is>
      </c>
      <c r="AO248" s="24" t="inlineStr">
        <is>
          <t>NO_CALL_WINNER_OVERVALUED</t>
        </is>
      </c>
      <c r="AP248" s="24" t="inlineStr">
        <is>
          <t>mlb-sd</t>
        </is>
      </c>
      <c r="AQ248" s="24" t="inlineStr">
        <is>
          <t>San Diego Padres</t>
        </is>
      </c>
      <c r="AR248" s="24" t="inlineStr">
        <is>
          <t>San Diego Padres</t>
        </is>
      </c>
      <c r="AS248" s="24" t="inlineStr">
        <is>
          <t>mlb-ari</t>
        </is>
      </c>
      <c r="AT248" s="24" t="inlineStr">
        <is>
          <t>Arizona Diamondbacks</t>
        </is>
      </c>
      <c r="AU248" s="24" t="inlineStr">
        <is>
          <t>Arizona Diamondbacks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research</t>
        </is>
      </c>
      <c r="BA248" s="24" t="inlineStr">
        <is>
          <t>95b84332c75d2ce54036eb8de6ada9c78d0f80228c50825c0347281a8b9b49c7</t>
        </is>
      </c>
      <c r="BB248" s="24" t="inlineStr">
        <is>
          <t>flat_probability_shrinkage_toward_half</t>
        </is>
      </c>
      <c r="BC248" s="24" t="inlineStr">
        <is>
          <t>measured-edge-totals-v3</t>
        </is>
      </c>
      <c r="BD248" s="24" t="inlineStr">
        <is>
          <t>95b84332c75d2ce54036eb8de6ada9c78d0f80228c50825c0347281a8b9b49c7</t>
        </is>
      </c>
      <c r="BE248" s="24" t="inlineStr">
        <is>
          <t>v3</t>
        </is>
      </c>
      <c r="BF248" s="24" t="inlineStr">
        <is>
          <t>1</t>
        </is>
      </c>
      <c r="BG248" s="24" t="inlineStr">
        <is>
          <t>measured-edge-paired-v1</t>
        </is>
      </c>
      <c r="BH248" s="24" t="inlineStr">
        <is>
          <t>2026-08-06T18:58:40.093175Z</t>
        </is>
      </c>
      <c r="BI248" s="24" t="inlineStr">
        <is>
          <t>["same_event","same_team_same_day","same_league_same_day"]</t>
        </is>
      </c>
      <c r="BJ248" s="25" t="n">
        <v>9.5</v>
      </c>
      <c r="BK248" s="26" t="n">
        <v>120</v>
      </c>
      <c r="BL248" s="27" t="n">
        <v>2.2</v>
      </c>
      <c r="BM248" s="28" t="n">
        <v>0.454545</v>
      </c>
      <c r="BN248" s="28" t="n">
        <v>0.452736</v>
      </c>
      <c r="BO248" s="28" t="n"/>
      <c r="BP248" s="25" t="n"/>
      <c r="BQ248" s="27" t="n">
        <v>2.2</v>
      </c>
      <c r="BR248" s="28" t="n">
        <v>0.455</v>
      </c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652dbdc0383c4a2a</t>
        </is>
      </c>
      <c r="B249" s="24" t="inlineStr">
        <is>
          <t>2026-08-07T21:56:24.360448Z</t>
        </is>
      </c>
      <c r="C249" s="24" t="inlineStr">
        <is>
          <t>2026-08-07T18:40:00-0400</t>
        </is>
      </c>
      <c r="D249" s="24" t="inlineStr">
        <is>
          <t>401816428</t>
        </is>
      </c>
      <c r="E249" s="24" t="inlineStr">
        <is>
          <t>MLB</t>
        </is>
      </c>
      <c r="F249" s="24" t="inlineStr">
        <is>
          <t>New York Mets</t>
        </is>
      </c>
      <c r="G249" s="24" t="inlineStr">
        <is>
          <t>Pittsburgh Pirates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-125</v>
      </c>
      <c r="M249" s="27" t="n">
        <v>1.8</v>
      </c>
      <c r="N249" s="28" t="n">
        <v>0.555556</v>
      </c>
      <c r="O249" s="28" t="n">
        <v>0.581832</v>
      </c>
      <c r="P249" s="28" t="n"/>
      <c r="Q249" s="28" t="n">
        <v>0.026276</v>
      </c>
      <c r="R249" s="26" t="n">
        <v>35</v>
      </c>
      <c r="S249" s="29" t="n">
        <v>0</v>
      </c>
      <c r="T249" s="24" t="inlineStr">
        <is>
          <t>mlb-elo-trend-lr-v8</t>
        </is>
      </c>
      <c r="U249" s="24" t="inlineStr">
        <is>
          <t>settled</t>
        </is>
      </c>
      <c r="V249" s="24" t="inlineStr">
        <is>
          <t>loss</t>
        </is>
      </c>
      <c r="W249" s="26" t="n">
        <v>6</v>
      </c>
      <c r="X249" s="26" t="n">
        <v>4</v>
      </c>
      <c r="Y249" s="25" t="n"/>
      <c r="Z249" s="26" t="n">
        <v>-125</v>
      </c>
      <c r="AA249" s="28" t="n">
        <v>0.555</v>
      </c>
      <c r="AB249" s="28" t="n">
        <v>-0.000556</v>
      </c>
      <c r="AC249" s="30" t="n">
        <v>0</v>
      </c>
      <c r="AD249" s="24" t="inlineStr">
        <is>
          <t>2026-08-08T04:03:12.996017Z</t>
        </is>
      </c>
      <c r="AE249" s="31" t="inlineStr">
        <is>
          <t>Learned LR call at threshold 0.5873; executable ask 0.5550 (aec-mlb-nym-pit-2026-08-07); model edge vs ask +0.0268. NOTE: NO_CALL_STARTER_ERA_GAP_INSUFFICIENT_HISTORY unavailable for this game — defaulted to neutral, other features used normally.</t>
        </is>
      </c>
      <c r="AF249" s="31" t="inlineStr">
        <is>
          <t>Learned model; shadow-qualified via operator override.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NO_CALL_WINNER_OVERVALUED</t>
        </is>
      </c>
      <c r="AP249" s="24" t="inlineStr">
        <is>
          <t>mlb-nym</t>
        </is>
      </c>
      <c r="AQ249" s="24" t="inlineStr">
        <is>
          <t>New York Mets</t>
        </is>
      </c>
      <c r="AR249" s="24" t="inlineStr">
        <is>
          <t>New York Mets</t>
        </is>
      </c>
      <c r="AS249" s="24" t="inlineStr">
        <is>
          <t>mlb-pit</t>
        </is>
      </c>
      <c r="AT249" s="24" t="inlineStr">
        <is>
          <t>Pittsburgh Pirates</t>
        </is>
      </c>
      <c r="AU249" s="24" t="inlineStr">
        <is>
          <t>Pittsburgh Pirates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6a5c79541b0e50cb9f7318270e63d5ccc65cbd7bc53a019748ff772d49de5075</t>
        </is>
      </c>
      <c r="BB249" s="24" t="inlineStr">
        <is>
          <t>learned_lr</t>
        </is>
      </c>
      <c r="BC249" s="24" t="inlineStr">
        <is>
          <t>mlb-elo-trend-lr-v8</t>
        </is>
      </c>
      <c r="BD249" s="24" t="inlineStr">
        <is>
          <t>6a5c79541b0e50cb9f7318270e63d5ccc65cbd7bc53a019748ff772d49de5075</t>
        </is>
      </c>
      <c r="BE249" s="24" t="inlineStr">
        <is>
          <t>1571756562aed555</t>
        </is>
      </c>
      <c r="BF249" s="24" t="inlineStr">
        <is>
          <t>1</t>
        </is>
      </c>
      <c r="BG249" s="24" t="inlineStr">
        <is>
          <t>mlb-elo-trend-lr-v8</t>
        </is>
      </c>
      <c r="BH249" s="24" t="inlineStr">
        <is>
          <t>2026-08-07T21:55:51.996541Z</t>
        </is>
      </c>
      <c r="BI249" s="24" t="inlineStr">
        <is>
          <t>["same_event","same_team_same_day","same_league_same_day"]</t>
        </is>
      </c>
      <c r="BJ249" s="25" t="n"/>
      <c r="BK249" s="26" t="n">
        <v>-125</v>
      </c>
      <c r="BL249" s="27" t="n">
        <v>1.8</v>
      </c>
      <c r="BM249" s="28" t="n">
        <v>0.555556</v>
      </c>
      <c r="BN249" s="28" t="n">
        <v>0.552239</v>
      </c>
      <c r="BO249" s="28" t="n"/>
      <c r="BP249" s="25" t="n"/>
      <c r="BQ249" s="27" t="n">
        <v>1.8</v>
      </c>
      <c r="BR249" s="28" t="n">
        <v>0.555</v>
      </c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inlineStr">
        <is>
          <t>0.5635051859</t>
        </is>
      </c>
      <c r="CD249" s="24" t="inlineStr">
        <is>
          <t>-3.337301</t>
        </is>
      </c>
      <c r="CE249" s="24" t="inlineStr">
        <is>
          <t>0.989</t>
        </is>
      </c>
      <c r="CF249" s="24" t="inlineStr">
        <is>
          <t>1.0095</t>
        </is>
      </c>
      <c r="CG249" s="24" t="n"/>
      <c r="CH249" s="24" t="n"/>
      <c r="CI249" s="24" t="inlineStr">
        <is>
          <t>NO_CALL_STARTER_ERA_GAP_INSUFFICIENT_HISTORY</t>
        </is>
      </c>
      <c r="CJ249" s="24" t="inlineStr">
        <is>
          <t>-0.188433</t>
        </is>
      </c>
      <c r="CK249" s="24" t="n"/>
      <c r="CL249" s="24" t="inlineStr">
        <is>
          <t>0.063988</t>
        </is>
      </c>
      <c r="CM249" s="24" t="inlineStr">
        <is>
          <t>0.0</t>
        </is>
      </c>
      <c r="CN249" s="24" t="n"/>
      <c r="CO249" s="24" t="n"/>
      <c r="CP249" s="24" t="n"/>
      <c r="CQ249" s="24" t="n"/>
      <c r="CR249" s="24" t="inlineStr">
        <is>
          <t>0.581832</t>
        </is>
      </c>
      <c r="CS249" s="24" t="inlineStr">
        <is>
          <t>True</t>
        </is>
      </c>
    </row>
    <row r="250" ht="36" customHeight="1">
      <c r="A250" s="24" t="inlineStr">
        <is>
          <t>c4bd0ec6a9524f5a</t>
        </is>
      </c>
      <c r="B250" s="24" t="inlineStr">
        <is>
          <t>2026-08-07T21:56:24.360448Z</t>
        </is>
      </c>
      <c r="C250" s="24" t="inlineStr">
        <is>
          <t>2026-08-07T18:40:00-0400</t>
        </is>
      </c>
      <c r="D250" s="24" t="inlineStr">
        <is>
          <t>401816429</t>
        </is>
      </c>
      <c r="E250" s="24" t="inlineStr">
        <is>
          <t>MLB</t>
        </is>
      </c>
      <c r="F250" s="24" t="inlineStr">
        <is>
          <t>Toronto Blue Jays</t>
        </is>
      </c>
      <c r="G250" s="24" t="inlineStr">
        <is>
          <t>Philadelphia Phillies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-199</v>
      </c>
      <c r="M250" s="27" t="n">
        <v>1.502513</v>
      </c>
      <c r="N250" s="28" t="n">
        <v>0.665552</v>
      </c>
      <c r="O250" s="28" t="n">
        <v>0.5634209999999999</v>
      </c>
      <c r="P250" s="28" t="n"/>
      <c r="Q250" s="28" t="n">
        <v>-0.102131</v>
      </c>
      <c r="R250" s="26" t="n">
        <v>0</v>
      </c>
      <c r="S250" s="29" t="n">
        <v>0</v>
      </c>
      <c r="T250" s="24" t="inlineStr">
        <is>
          <t>mlb-elo-trend-lr-v8</t>
        </is>
      </c>
      <c r="U250" s="24" t="inlineStr">
        <is>
          <t>settled</t>
        </is>
      </c>
      <c r="V250" s="24" t="inlineStr">
        <is>
          <t>loss</t>
        </is>
      </c>
      <c r="W250" s="26" t="n">
        <v>5</v>
      </c>
      <c r="X250" s="26" t="n">
        <v>4</v>
      </c>
      <c r="Y250" s="25" t="n"/>
      <c r="Z250" s="26" t="n">
        <v>-199</v>
      </c>
      <c r="AA250" s="28" t="n">
        <v>0.665</v>
      </c>
      <c r="AB250" s="28" t="n">
        <v>-0.000552</v>
      </c>
      <c r="AC250" s="30" t="n">
        <v>0</v>
      </c>
      <c r="AD250" s="24" t="inlineStr">
        <is>
          <t>2026-08-08T18:32:59.687060Z</t>
        </is>
      </c>
      <c r="AE250" s="31" t="inlineStr">
        <is>
          <t>Learned LR call at threshold 0.5873; executable ask 0.6650 (aec-mlb-tor-phi-2026-08-07); model edge vs ask -0.1016. NOTE: NO_CALL_STARTER_ERA_GAP_INSUFFICIENT_HISTORY unavailable for this game — defaulted to neutral, other features used normally.</t>
        </is>
      </c>
      <c r="AF250" s="31" t="inlineStr">
        <is>
          <t>Learned model; shadow-qualified via operator override.</t>
        </is>
      </c>
      <c r="AG250" s="24" t="inlineStr">
        <is>
          <t>review_required</t>
        </is>
      </c>
      <c r="AH250" s="24" t="n"/>
      <c r="AI250" s="31" t="n"/>
      <c r="AJ250" s="31" t="n"/>
      <c r="AK250" s="24" t="inlineStr">
        <is>
          <t>research_observation</t>
        </is>
      </c>
      <c r="AL250" s="26" t="n">
        <v>3</v>
      </c>
      <c r="AM250" s="24" t="inlineStr">
        <is>
          <t>RESEARCH_OBSERVATION</t>
        </is>
      </c>
      <c r="AN250" s="24" t="inlineStr">
        <is>
          <t>NO_CALL</t>
        </is>
      </c>
      <c r="AO250" s="24" t="inlineStr">
        <is>
          <t>NO_CALL_WINNER_OVERVALUED</t>
        </is>
      </c>
      <c r="AP250" s="24" t="inlineStr">
        <is>
          <t>mlb-tor</t>
        </is>
      </c>
      <c r="AQ250" s="24" t="inlineStr">
        <is>
          <t>Toronto Blue Jays</t>
        </is>
      </c>
      <c r="AR250" s="24" t="inlineStr">
        <is>
          <t>Toronto Blue Jays</t>
        </is>
      </c>
      <c r="AS250" s="24" t="inlineStr">
        <is>
          <t>mlb-phi</t>
        </is>
      </c>
      <c r="AT250" s="24" t="inlineStr">
        <is>
          <t>Philadelphia Phillies</t>
        </is>
      </c>
      <c r="AU250" s="24" t="inlineStr">
        <is>
          <t>Philadelphia Phillies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6a5c79541b0e50cb9f7318270e63d5ccc65cbd7bc53a019748ff772d49de5075</t>
        </is>
      </c>
      <c r="BB250" s="24" t="inlineStr">
        <is>
          <t>learned_lr</t>
        </is>
      </c>
      <c r="BC250" s="24" t="inlineStr">
        <is>
          <t>mlb-elo-trend-lr-v8</t>
        </is>
      </c>
      <c r="BD250" s="24" t="inlineStr">
        <is>
          <t>6a5c79541b0e50cb9f7318270e63d5ccc65cbd7bc53a019748ff772d49de5075</t>
        </is>
      </c>
      <c r="BE250" s="24" t="inlineStr">
        <is>
          <t>aa91e0e0cbf74040</t>
        </is>
      </c>
      <c r="BF250" s="24" t="inlineStr">
        <is>
          <t>1</t>
        </is>
      </c>
      <c r="BG250" s="24" t="inlineStr">
        <is>
          <t>mlb-elo-trend-lr-v8</t>
        </is>
      </c>
      <c r="BH250" s="24" t="inlineStr">
        <is>
          <t>2026-08-07T21:55:51.444975Z</t>
        </is>
      </c>
      <c r="BI250" s="24" t="inlineStr">
        <is>
          <t>["same_event","same_team_same_day","same_league_same_day"]</t>
        </is>
      </c>
      <c r="BJ250" s="25" t="n"/>
      <c r="BK250" s="26" t="n">
        <v>-199</v>
      </c>
      <c r="BL250" s="27" t="n">
        <v>1.502513</v>
      </c>
      <c r="BM250" s="28" t="n">
        <v>0.665552</v>
      </c>
      <c r="BN250" s="28" t="n">
        <v>0.6616919999999999</v>
      </c>
      <c r="BO250" s="28" t="n"/>
      <c r="BP250" s="25" t="n"/>
      <c r="BQ250" s="27" t="n">
        <v>1.502513</v>
      </c>
      <c r="BR250" s="28" t="n">
        <v>0.665</v>
      </c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inlineStr">
        <is>
          <t>0.5955885365</t>
        </is>
      </c>
      <c r="CD250" s="24" t="inlineStr">
        <is>
          <t>0.866572</t>
        </is>
      </c>
      <c r="CE250" s="24" t="inlineStr">
        <is>
          <t>1.02</t>
        </is>
      </c>
      <c r="CF250" s="24" t="inlineStr">
        <is>
          <t>1.0075</t>
        </is>
      </c>
      <c r="CG250" s="24" t="n"/>
      <c r="CH250" s="24" t="n"/>
      <c r="CI250" s="24" t="inlineStr">
        <is>
          <t>NO_CALL_STARTER_ERA_GAP_INSUFFICIENT_HISTORY</t>
        </is>
      </c>
      <c r="CJ250" s="24" t="inlineStr">
        <is>
          <t>-0.234068</t>
        </is>
      </c>
      <c r="CK250" s="24" t="n"/>
      <c r="CL250" s="24" t="inlineStr">
        <is>
          <t>-0.204695</t>
        </is>
      </c>
      <c r="CM250" s="24" t="inlineStr">
        <is>
          <t>0.0</t>
        </is>
      </c>
      <c r="CN250" s="24" t="n"/>
      <c r="CO250" s="24" t="n"/>
      <c r="CP250" s="24" t="n"/>
      <c r="CQ250" s="24" t="n"/>
      <c r="CR250" s="24" t="inlineStr">
        <is>
          <t>0.563421</t>
        </is>
      </c>
      <c r="CS250" s="24" t="inlineStr">
        <is>
          <t>False</t>
        </is>
      </c>
    </row>
    <row r="251" ht="36" customHeight="1">
      <c r="A251" s="24" t="inlineStr">
        <is>
          <t>8178702f0032476c</t>
        </is>
      </c>
      <c r="B251" s="24" t="inlineStr">
        <is>
          <t>2026-08-07T21:56:24.360448Z</t>
        </is>
      </c>
      <c r="C251" s="24" t="inlineStr">
        <is>
          <t>2026-08-07T18:45:00-0400</t>
        </is>
      </c>
      <c r="D251" s="24" t="inlineStr">
        <is>
          <t>401816427</t>
        </is>
      </c>
      <c r="E251" s="24" t="inlineStr">
        <is>
          <t>MLB</t>
        </is>
      </c>
      <c r="F251" s="24" t="inlineStr">
        <is>
          <t>Cincinnati Reds</t>
        </is>
      </c>
      <c r="G251" s="24" t="inlineStr">
        <is>
          <t>Washington Nationals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-115</v>
      </c>
      <c r="M251" s="27" t="n">
        <v>1.869565</v>
      </c>
      <c r="N251" s="28" t="n">
        <v>0.534884</v>
      </c>
      <c r="O251" s="28" t="n">
        <v>0.557877</v>
      </c>
      <c r="P251" s="28" t="n"/>
      <c r="Q251" s="28" t="n">
        <v>0.022993</v>
      </c>
      <c r="R251" s="26" t="n">
        <v>33</v>
      </c>
      <c r="S251" s="29" t="n">
        <v>0</v>
      </c>
      <c r="T251" s="24" t="inlineStr">
        <is>
          <t>mlb-elo-trend-lr-v8</t>
        </is>
      </c>
      <c r="U251" s="24" t="inlineStr">
        <is>
          <t>settled</t>
        </is>
      </c>
      <c r="V251" s="24" t="inlineStr">
        <is>
          <t>win</t>
        </is>
      </c>
      <c r="W251" s="26" t="n">
        <v>3</v>
      </c>
      <c r="X251" s="26" t="n">
        <v>5</v>
      </c>
      <c r="Y251" s="25" t="n"/>
      <c r="Z251" s="26" t="n">
        <v>-115</v>
      </c>
      <c r="AA251" s="28" t="n">
        <v>0.535</v>
      </c>
      <c r="AB251" s="28" t="n">
        <v>0.000116</v>
      </c>
      <c r="AC251" s="30" t="n">
        <v>0</v>
      </c>
      <c r="AD251" s="24" t="inlineStr">
        <is>
          <t>2026-08-08T04:03:14.134309Z</t>
        </is>
      </c>
      <c r="AE251" s="31" t="inlineStr">
        <is>
          <t>Learned LR call at threshold 0.5873; executable ask 0.5350 (aec-mlb-cin-wsh-2026-08-07); model edge vs ask +0.0229.</t>
        </is>
      </c>
      <c r="AF251" s="31" t="inlineStr">
        <is>
          <t>Learned model; shadow-qualified via operator override.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NO_CALL_WINNER_OVERVALUED</t>
        </is>
      </c>
      <c r="AP251" s="24" t="inlineStr">
        <is>
          <t>mlb-cin</t>
        </is>
      </c>
      <c r="AQ251" s="24" t="inlineStr">
        <is>
          <t>Cincinnati Reds</t>
        </is>
      </c>
      <c r="AR251" s="24" t="inlineStr">
        <is>
          <t>Cincinnati Reds</t>
        </is>
      </c>
      <c r="AS251" s="24" t="inlineStr">
        <is>
          <t>mlb-wsh</t>
        </is>
      </c>
      <c r="AT251" s="24" t="inlineStr">
        <is>
          <t>Washington Nationals</t>
        </is>
      </c>
      <c r="AU251" s="24" t="inlineStr">
        <is>
          <t>Washington Nationals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6a5c79541b0e50cb9f7318270e63d5ccc65cbd7bc53a019748ff772d49de5075</t>
        </is>
      </c>
      <c r="BB251" s="24" t="inlineStr">
        <is>
          <t>learned_lr</t>
        </is>
      </c>
      <c r="BC251" s="24" t="inlineStr">
        <is>
          <t>mlb-elo-trend-lr-v8</t>
        </is>
      </c>
      <c r="BD251" s="24" t="inlineStr">
        <is>
          <t>6a5c79541b0e50cb9f7318270e63d5ccc65cbd7bc53a019748ff772d49de5075</t>
        </is>
      </c>
      <c r="BE251" s="24" t="inlineStr">
        <is>
          <t>6caefe8d1b3d76aa</t>
        </is>
      </c>
      <c r="BF251" s="24" t="inlineStr">
        <is>
          <t>1</t>
        </is>
      </c>
      <c r="BG251" s="24" t="inlineStr">
        <is>
          <t>mlb-elo-trend-lr-v8</t>
        </is>
      </c>
      <c r="BH251" s="24" t="inlineStr">
        <is>
          <t>2026-08-07T21:55:52.503465Z</t>
        </is>
      </c>
      <c r="BI251" s="24" t="inlineStr">
        <is>
          <t>["same_event","same_team_same_day","same_league_same_day"]</t>
        </is>
      </c>
      <c r="BJ251" s="25" t="n"/>
      <c r="BK251" s="26" t="n">
        <v>-115</v>
      </c>
      <c r="BL251" s="27" t="n">
        <v>1.869565</v>
      </c>
      <c r="BM251" s="28" t="n">
        <v>0.534884</v>
      </c>
      <c r="BN251" s="28" t="n">
        <v>0.532338</v>
      </c>
      <c r="BO251" s="28" t="n"/>
      <c r="BP251" s="25" t="n"/>
      <c r="BQ251" s="27" t="n">
        <v>1.869565</v>
      </c>
      <c r="BR251" s="28" t="n">
        <v>0.535</v>
      </c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inlineStr">
        <is>
          <t>0.5055268624</t>
        </is>
      </c>
      <c r="CD251" s="24" t="inlineStr">
        <is>
          <t>-1.04483</t>
        </is>
      </c>
      <c r="CE251" s="24" t="inlineStr">
        <is>
          <t>1.045</t>
        </is>
      </c>
      <c r="CF251" s="24" t="inlineStr">
        <is>
          <t>1.0157</t>
        </is>
      </c>
      <c r="CG251" s="24" t="n"/>
      <c r="CH251" s="24" t="n"/>
      <c r="CI251" s="24" t="n"/>
      <c r="CJ251" s="24" t="inlineStr">
        <is>
          <t>-0.693377</t>
        </is>
      </c>
      <c r="CK251" s="24" t="n"/>
      <c r="CL251" s="24" t="inlineStr">
        <is>
          <t>0.262981</t>
        </is>
      </c>
      <c r="CM251" s="24" t="inlineStr">
        <is>
          <t>-8.2866</t>
        </is>
      </c>
      <c r="CN251" s="24" t="n"/>
      <c r="CO251" s="24" t="n"/>
      <c r="CP251" s="24" t="n"/>
      <c r="CQ251" s="24" t="n"/>
      <c r="CR251" s="24" t="inlineStr">
        <is>
          <t>0.557877</t>
        </is>
      </c>
      <c r="CS251" s="24" t="inlineStr">
        <is>
          <t>True</t>
        </is>
      </c>
    </row>
    <row r="252" ht="36" customHeight="1">
      <c r="A252" s="24" t="inlineStr">
        <is>
          <t>8d59dfa9fdc641bd</t>
        </is>
      </c>
      <c r="B252" s="24" t="inlineStr">
        <is>
          <t>2026-08-07T21:56:24.360448Z</t>
        </is>
      </c>
      <c r="C252" s="24" t="inlineStr">
        <is>
          <t>2026-08-07T19:05:00-0400</t>
        </is>
      </c>
      <c r="D252" s="24" t="inlineStr">
        <is>
          <t>401816426</t>
        </is>
      </c>
      <c r="E252" s="24" t="inlineStr">
        <is>
          <t>MLB</t>
        </is>
      </c>
      <c r="F252" s="24" t="inlineStr">
        <is>
          <t>Atlanta Braves</t>
        </is>
      </c>
      <c r="G252" s="24" t="inlineStr">
        <is>
          <t>New York Yankees</t>
        </is>
      </c>
      <c r="H252" s="24" t="inlineStr">
        <is>
          <t>moneyline</t>
        </is>
      </c>
      <c r="I252" s="24" t="inlineStr">
        <is>
          <t>home</t>
        </is>
      </c>
      <c r="J252" s="25" t="n"/>
      <c r="K252" s="24" t="inlineStr">
        <is>
          <t>polymarket_us</t>
        </is>
      </c>
      <c r="L252" s="26" t="n">
        <v>-120</v>
      </c>
      <c r="M252" s="27" t="n">
        <v>1.833333</v>
      </c>
      <c r="N252" s="28" t="n">
        <v>0.545455</v>
      </c>
      <c r="O252" s="28" t="n">
        <v>0.530524</v>
      </c>
      <c r="P252" s="28" t="n"/>
      <c r="Q252" s="28" t="n">
        <v>-0.014931</v>
      </c>
      <c r="R252" s="26" t="n">
        <v>14</v>
      </c>
      <c r="S252" s="29" t="n">
        <v>0</v>
      </c>
      <c r="T252" s="24" t="inlineStr">
        <is>
          <t>mlb-elo-trend-lr-v8</t>
        </is>
      </c>
      <c r="U252" s="24" t="inlineStr">
        <is>
          <t>settled</t>
        </is>
      </c>
      <c r="V252" s="24" t="inlineStr">
        <is>
          <t>win</t>
        </is>
      </c>
      <c r="W252" s="26" t="n">
        <v>2</v>
      </c>
      <c r="X252" s="26" t="n">
        <v>3</v>
      </c>
      <c r="Y252" s="25" t="n"/>
      <c r="Z252" s="26" t="n">
        <v>-120</v>
      </c>
      <c r="AA252" s="28" t="n">
        <v>0.545</v>
      </c>
      <c r="AB252" s="28" t="n">
        <v>-0.000455</v>
      </c>
      <c r="AC252" s="30" t="n">
        <v>0</v>
      </c>
      <c r="AD252" s="24" t="inlineStr">
        <is>
          <t>2026-08-08T18:33:00.912718Z</t>
        </is>
      </c>
      <c r="AE252" s="31" t="inlineStr">
        <is>
          <t>Learned LR call at threshold 0.5873; executable ask 0.5450 (aec-mlb-atl-nyy-2026-08-07); model edge vs ask -0.0145.</t>
        </is>
      </c>
      <c r="AF252" s="31" t="inlineStr">
        <is>
          <t>Learned model; shadow-qualified via operator override.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NO_CALL_WINNER_OVERVALUED</t>
        </is>
      </c>
      <c r="AP252" s="24" t="inlineStr">
        <is>
          <t>mlb-atl</t>
        </is>
      </c>
      <c r="AQ252" s="24" t="inlineStr">
        <is>
          <t>Atlanta Braves</t>
        </is>
      </c>
      <c r="AR252" s="24" t="inlineStr">
        <is>
          <t>Atlanta Braves</t>
        </is>
      </c>
      <c r="AS252" s="24" t="inlineStr">
        <is>
          <t>mlb-nyy</t>
        </is>
      </c>
      <c r="AT252" s="24" t="inlineStr">
        <is>
          <t>New York Yankees</t>
        </is>
      </c>
      <c r="AU252" s="24" t="inlineStr">
        <is>
          <t>New York Yankees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6a5c79541b0e50cb9f7318270e63d5ccc65cbd7bc53a019748ff772d49de5075</t>
        </is>
      </c>
      <c r="BB252" s="24" t="inlineStr">
        <is>
          <t>learned_lr</t>
        </is>
      </c>
      <c r="BC252" s="24" t="inlineStr">
        <is>
          <t>mlb-elo-trend-lr-v8</t>
        </is>
      </c>
      <c r="BD252" s="24" t="inlineStr">
        <is>
          <t>6a5c79541b0e50cb9f7318270e63d5ccc65cbd7bc53a019748ff772d49de5075</t>
        </is>
      </c>
      <c r="BE252" s="24" t="inlineStr">
        <is>
          <t>9aaf8561b5a381b8</t>
        </is>
      </c>
      <c r="BF252" s="24" t="inlineStr">
        <is>
          <t>1</t>
        </is>
      </c>
      <c r="BG252" s="24" t="inlineStr">
        <is>
          <t>mlb-elo-trend-lr-v8</t>
        </is>
      </c>
      <c r="BH252" s="24" t="inlineStr">
        <is>
          <t>2026-08-07T21:55:53.004564Z</t>
        </is>
      </c>
      <c r="BI252" s="24" t="inlineStr">
        <is>
          <t>["same_event","same_team_same_day","same_league_same_day"]</t>
        </is>
      </c>
      <c r="BJ252" s="25" t="n"/>
      <c r="BK252" s="26" t="n">
        <v>-120</v>
      </c>
      <c r="BL252" s="27" t="n">
        <v>1.833333</v>
      </c>
      <c r="BM252" s="28" t="n">
        <v>0.545455</v>
      </c>
      <c r="BN252" s="28" t="n">
        <v>0.542289</v>
      </c>
      <c r="BO252" s="28" t="n"/>
      <c r="BP252" s="25" t="n"/>
      <c r="BQ252" s="27" t="n">
        <v>1.833333</v>
      </c>
      <c r="BR252" s="28" t="n">
        <v>0.545</v>
      </c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inlineStr">
        <is>
          <t>0.5131234641</t>
        </is>
      </c>
      <c r="CD252" s="24" t="inlineStr">
        <is>
          <t>-1.651621</t>
        </is>
      </c>
      <c r="CE252" s="24" t="inlineStr">
        <is>
          <t>1.014</t>
        </is>
      </c>
      <c r="CF252" s="24" t="inlineStr">
        <is>
          <t>1.0203</t>
        </is>
      </c>
      <c r="CG252" s="24" t="n"/>
      <c r="CH252" s="24" t="n"/>
      <c r="CI252" s="24" t="n"/>
      <c r="CJ252" s="24" t="inlineStr">
        <is>
          <t>-1.123984</t>
        </is>
      </c>
      <c r="CK252" s="24" t="n"/>
      <c r="CL252" s="24" t="inlineStr">
        <is>
          <t>0.132746</t>
        </is>
      </c>
      <c r="CM252" s="24" t="inlineStr">
        <is>
          <t>-0.1255</t>
        </is>
      </c>
      <c r="CN252" s="24" t="n"/>
      <c r="CO252" s="24" t="n"/>
      <c r="CP252" s="24" t="n"/>
      <c r="CQ252" s="24" t="n"/>
      <c r="CR252" s="24" t="inlineStr">
        <is>
          <t>0.530524</t>
        </is>
      </c>
      <c r="CS252" s="24" t="inlineStr">
        <is>
          <t>False</t>
        </is>
      </c>
    </row>
    <row r="253" ht="36" customHeight="1">
      <c r="A253" s="24" t="inlineStr">
        <is>
          <t>d8b6323536584c30</t>
        </is>
      </c>
      <c r="B253" s="24" t="inlineStr">
        <is>
          <t>2026-08-07T21:56:24.360448Z</t>
        </is>
      </c>
      <c r="C253" s="24" t="inlineStr">
        <is>
          <t>2026-08-07T19:10:00-0400</t>
        </is>
      </c>
      <c r="D253" s="24" t="inlineStr">
        <is>
          <t>401816424</t>
        </is>
      </c>
      <c r="E253" s="24" t="inlineStr">
        <is>
          <t>MLB</t>
        </is>
      </c>
      <c r="F253" s="24" t="inlineStr">
        <is>
          <t>Los Angeles Angels</t>
        </is>
      </c>
      <c r="G253" s="24" t="inlineStr">
        <is>
          <t>Miami Marlins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-147</v>
      </c>
      <c r="M253" s="27" t="n">
        <v>1.680272</v>
      </c>
      <c r="N253" s="28" t="n">
        <v>0.5951419999999999</v>
      </c>
      <c r="O253" s="28" t="n">
        <v>0.641185</v>
      </c>
      <c r="P253" s="28" t="n"/>
      <c r="Q253" s="28" t="n">
        <v>0.046043</v>
      </c>
      <c r="R253" s="26" t="n">
        <v>45</v>
      </c>
      <c r="S253" s="29" t="n">
        <v>0</v>
      </c>
      <c r="T253" s="24" t="inlineStr">
        <is>
          <t>mlb-elo-trend-lr-v8</t>
        </is>
      </c>
      <c r="U253" s="24" t="inlineStr">
        <is>
          <t>settled</t>
        </is>
      </c>
      <c r="V253" s="24" t="inlineStr">
        <is>
          <t>loss</t>
        </is>
      </c>
      <c r="W253" s="26" t="n">
        <v>4</v>
      </c>
      <c r="X253" s="26" t="n">
        <v>3</v>
      </c>
      <c r="Y253" s="25" t="n"/>
      <c r="Z253" s="26" t="n">
        <v>-147</v>
      </c>
      <c r="AA253" s="28" t="n">
        <v>0.595</v>
      </c>
      <c r="AB253" s="28" t="n">
        <v>-0.000142</v>
      </c>
      <c r="AC253" s="30" t="n">
        <v>0</v>
      </c>
      <c r="AD253" s="24" t="inlineStr">
        <is>
          <t>2026-08-08T04:03:15.282720Z</t>
        </is>
      </c>
      <c r="AE253" s="31" t="inlineStr">
        <is>
          <t>Learned LR call at threshold 0.5873; executable ask 0.5950 (aec-mlb-laa-mia-2026-08-07); model edge vs ask +0.0462.</t>
        </is>
      </c>
      <c r="AF253" s="31" t="inlineStr">
        <is>
          <t>Learned model; shadow-qualified via operator override.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research_observation</t>
        </is>
      </c>
      <c r="AL253" s="26" t="n">
        <v>3</v>
      </c>
      <c r="AM253" s="24" t="inlineStr">
        <is>
          <t>RESEARCH_OBSERVATION</t>
        </is>
      </c>
      <c r="AN253" s="24" t="inlineStr">
        <is>
          <t>NO_CALL</t>
        </is>
      </c>
      <c r="AO253" s="24" t="inlineStr">
        <is>
          <t>NO_CALL_WINNER_OVERVALUED</t>
        </is>
      </c>
      <c r="AP253" s="24" t="inlineStr">
        <is>
          <t>mlb-laa</t>
        </is>
      </c>
      <c r="AQ253" s="24" t="inlineStr">
        <is>
          <t>Los Angeles Angels</t>
        </is>
      </c>
      <c r="AR253" s="24" t="inlineStr">
        <is>
          <t>Los Angeles Angels</t>
        </is>
      </c>
      <c r="AS253" s="24" t="inlineStr">
        <is>
          <t>mlb-mia</t>
        </is>
      </c>
      <c r="AT253" s="24" t="inlineStr">
        <is>
          <t>Miami Marlins</t>
        </is>
      </c>
      <c r="AU253" s="24" t="inlineStr">
        <is>
          <t>Miami Marlins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6a5c79541b0e50cb9f7318270e63d5ccc65cbd7bc53a019748ff772d49de5075</t>
        </is>
      </c>
      <c r="BB253" s="24" t="inlineStr">
        <is>
          <t>learned_lr</t>
        </is>
      </c>
      <c r="BC253" s="24" t="inlineStr">
        <is>
          <t>mlb-elo-trend-lr-v8</t>
        </is>
      </c>
      <c r="BD253" s="24" t="inlineStr">
        <is>
          <t>6a5c79541b0e50cb9f7318270e63d5ccc65cbd7bc53a019748ff772d49de5075</t>
        </is>
      </c>
      <c r="BE253" s="24" t="inlineStr">
        <is>
          <t>8bd990e177da70c3</t>
        </is>
      </c>
      <c r="BF253" s="24" t="inlineStr">
        <is>
          <t>1</t>
        </is>
      </c>
      <c r="BG253" s="24" t="inlineStr">
        <is>
          <t>mlb-elo-trend-lr-v8</t>
        </is>
      </c>
      <c r="BH253" s="24" t="inlineStr">
        <is>
          <t>2026-08-07T21:55:54.065466Z</t>
        </is>
      </c>
      <c r="BI253" s="24" t="inlineStr">
        <is>
          <t>["same_event","same_team_same_day","same_league_same_day"]</t>
        </is>
      </c>
      <c r="BJ253" s="25" t="n"/>
      <c r="BK253" s="26" t="n">
        <v>-147</v>
      </c>
      <c r="BL253" s="27" t="n">
        <v>1.680272</v>
      </c>
      <c r="BM253" s="28" t="n">
        <v>0.5951419999999999</v>
      </c>
      <c r="BN253" s="28" t="n">
        <v>0.59204</v>
      </c>
      <c r="BO253" s="28" t="n"/>
      <c r="BP253" s="25" t="n"/>
      <c r="BQ253" s="27" t="n">
        <v>1.680272</v>
      </c>
      <c r="BR253" s="28" t="n">
        <v>0.595</v>
      </c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inlineStr">
        <is>
          <t>0.6253477542</t>
        </is>
      </c>
      <c r="CD253" s="24" t="inlineStr">
        <is>
          <t>0.013657</t>
        </is>
      </c>
      <c r="CE253" s="24" t="inlineStr">
        <is>
          <t>1.002</t>
        </is>
      </c>
      <c r="CF253" s="24" t="inlineStr">
        <is>
          <t>1.0</t>
        </is>
      </c>
      <c r="CG253" s="24" t="n"/>
      <c r="CH253" s="24" t="n"/>
      <c r="CI253" s="24" t="n"/>
      <c r="CJ253" s="24" t="inlineStr">
        <is>
          <t>-1.728336</t>
        </is>
      </c>
      <c r="CK253" s="24" t="n"/>
      <c r="CL253" s="24" t="inlineStr">
        <is>
          <t>0.20354</t>
        </is>
      </c>
      <c r="CM253" s="24" t="inlineStr">
        <is>
          <t>-7.0022</t>
        </is>
      </c>
      <c r="CN253" s="24" t="n"/>
      <c r="CO253" s="24" t="n"/>
      <c r="CP253" s="24" t="n"/>
      <c r="CQ253" s="24" t="n"/>
      <c r="CR253" s="24" t="inlineStr">
        <is>
          <t>0.641185</t>
        </is>
      </c>
      <c r="CS253" s="24" t="inlineStr">
        <is>
          <t>True</t>
        </is>
      </c>
    </row>
    <row r="254" ht="36" customHeight="1">
      <c r="A254" s="24" t="inlineStr">
        <is>
          <t>724e341823d847f4</t>
        </is>
      </c>
      <c r="B254" s="24" t="inlineStr">
        <is>
          <t>2026-08-07T21:56:24.360448Z</t>
        </is>
      </c>
      <c r="C254" s="24" t="inlineStr">
        <is>
          <t>2026-08-07T19:10:00-0400</t>
        </is>
      </c>
      <c r="D254" s="24" t="inlineStr">
        <is>
          <t>401816425</t>
        </is>
      </c>
      <c r="E254" s="24" t="inlineStr">
        <is>
          <t>MLB</t>
        </is>
      </c>
      <c r="F254" s="24" t="inlineStr">
        <is>
          <t>Athletics</t>
        </is>
      </c>
      <c r="G254" s="24" t="inlineStr">
        <is>
          <t>Boston Red Sox</t>
        </is>
      </c>
      <c r="H254" s="24" t="inlineStr">
        <is>
          <t>moneyline</t>
        </is>
      </c>
      <c r="I254" s="24" t="inlineStr">
        <is>
          <t>home</t>
        </is>
      </c>
      <c r="J254" s="25" t="n"/>
      <c r="K254" s="24" t="inlineStr">
        <is>
          <t>polymarket_us</t>
        </is>
      </c>
      <c r="L254" s="26" t="n">
        <v>-251</v>
      </c>
      <c r="M254" s="27" t="n">
        <v>1.398406</v>
      </c>
      <c r="N254" s="28" t="n">
        <v>0.7151</v>
      </c>
      <c r="O254" s="28" t="n">
        <v>0.633595</v>
      </c>
      <c r="P254" s="28" t="n"/>
      <c r="Q254" s="28" t="n">
        <v>-0.08150499999999999</v>
      </c>
      <c r="R254" s="26" t="n">
        <v>0</v>
      </c>
      <c r="S254" s="29" t="n">
        <v>0</v>
      </c>
      <c r="T254" s="24" t="inlineStr">
        <is>
          <t>mlb-elo-trend-lr-v8</t>
        </is>
      </c>
      <c r="U254" s="24" t="inlineStr">
        <is>
          <t>settled</t>
        </is>
      </c>
      <c r="V254" s="24" t="inlineStr">
        <is>
          <t>win</t>
        </is>
      </c>
      <c r="W254" s="26" t="n">
        <v>1</v>
      </c>
      <c r="X254" s="26" t="n">
        <v>13</v>
      </c>
      <c r="Y254" s="25" t="n"/>
      <c r="Z254" s="26" t="n">
        <v>-251</v>
      </c>
      <c r="AA254" s="28" t="n">
        <v>0.715</v>
      </c>
      <c r="AB254" s="28" t="n">
        <v>-0.0001</v>
      </c>
      <c r="AC254" s="30" t="n">
        <v>0</v>
      </c>
      <c r="AD254" s="24" t="inlineStr">
        <is>
          <t>2026-08-08T04:03:16.395302Z</t>
        </is>
      </c>
      <c r="AE254" s="31" t="inlineStr">
        <is>
          <t>Learned LR call at threshold 0.5873; executable ask 0.7150 (aec-mlb-ath-bos-2026-08-07); model edge vs ask -0.0814.</t>
        </is>
      </c>
      <c r="AF254" s="31" t="inlineStr">
        <is>
          <t>Learned model; shadow-qualified via operator override.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research_observation</t>
        </is>
      </c>
      <c r="AL254" s="26" t="n">
        <v>3</v>
      </c>
      <c r="AM254" s="24" t="inlineStr">
        <is>
          <t>RESEARCH_OBSERVATION</t>
        </is>
      </c>
      <c r="AN254" s="24" t="inlineStr">
        <is>
          <t>NO_CALL</t>
        </is>
      </c>
      <c r="AO254" s="24" t="inlineStr">
        <is>
          <t>NO_CALL_WINNER_OVERVALUED</t>
        </is>
      </c>
      <c r="AP254" s="24" t="inlineStr">
        <is>
          <t>mlb-ath</t>
        </is>
      </c>
      <c r="AQ254" s="24" t="inlineStr">
        <is>
          <t>Athletics</t>
        </is>
      </c>
      <c r="AR254" s="24" t="inlineStr">
        <is>
          <t>Athletics</t>
        </is>
      </c>
      <c r="AS254" s="24" t="inlineStr">
        <is>
          <t>mlb-bos</t>
        </is>
      </c>
      <c r="AT254" s="24" t="inlineStr">
        <is>
          <t>Boston Red Sox</t>
        </is>
      </c>
      <c r="AU254" s="24" t="inlineStr">
        <is>
          <t>Boston Red Sox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6a5c79541b0e50cb9f7318270e63d5ccc65cbd7bc53a019748ff772d49de5075</t>
        </is>
      </c>
      <c r="BB254" s="24" t="inlineStr">
        <is>
          <t>learned_lr</t>
        </is>
      </c>
      <c r="BC254" s="24" t="inlineStr">
        <is>
          <t>mlb-elo-trend-lr-v8</t>
        </is>
      </c>
      <c r="BD254" s="24" t="inlineStr">
        <is>
          <t>6a5c79541b0e50cb9f7318270e63d5ccc65cbd7bc53a019748ff772d49de5075</t>
        </is>
      </c>
      <c r="BE254" s="24" t="inlineStr">
        <is>
          <t>0ff3d2b2c501e1c6</t>
        </is>
      </c>
      <c r="BF254" s="24" t="inlineStr">
        <is>
          <t>1</t>
        </is>
      </c>
      <c r="BG254" s="24" t="inlineStr">
        <is>
          <t>mlb-elo-trend-lr-v8</t>
        </is>
      </c>
      <c r="BH254" s="24" t="inlineStr">
        <is>
          <t>2026-08-07T21:55:53.566253Z</t>
        </is>
      </c>
      <c r="BI254" s="24" t="inlineStr">
        <is>
          <t>["same_event","same_team_same_day","same_league_same_day"]</t>
        </is>
      </c>
      <c r="BJ254" s="25" t="n"/>
      <c r="BK254" s="26" t="n">
        <v>-251</v>
      </c>
      <c r="BL254" s="27" t="n">
        <v>1.398406</v>
      </c>
      <c r="BM254" s="28" t="n">
        <v>0.7151</v>
      </c>
      <c r="BN254" s="28" t="n">
        <v>0.711443</v>
      </c>
      <c r="BO254" s="28" t="n"/>
      <c r="BP254" s="25" t="n"/>
      <c r="BQ254" s="27" t="n">
        <v>1.398406</v>
      </c>
      <c r="BR254" s="28" t="n">
        <v>0.715</v>
      </c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inlineStr">
        <is>
          <t>0.7202110418</t>
        </is>
      </c>
      <c r="CD254" s="24" t="inlineStr">
        <is>
          <t>3.133709</t>
        </is>
      </c>
      <c r="CE254" s="24" t="inlineStr">
        <is>
          <t>1.019</t>
        </is>
      </c>
      <c r="CF254" s="24" t="inlineStr">
        <is>
          <t>1.0202</t>
        </is>
      </c>
      <c r="CG254" s="24" t="n"/>
      <c r="CH254" s="24" t="n"/>
      <c r="CI254" s="24" t="n"/>
      <c r="CJ254" s="24" t="inlineStr">
        <is>
          <t>-0.951967</t>
        </is>
      </c>
      <c r="CK254" s="24" t="n"/>
      <c r="CL254" s="24" t="inlineStr">
        <is>
          <t>-1.020116</t>
        </is>
      </c>
      <c r="CM254" s="24" t="inlineStr">
        <is>
          <t>-5.0942</t>
        </is>
      </c>
      <c r="CN254" s="24" t="n"/>
      <c r="CO254" s="24" t="n"/>
      <c r="CP254" s="24" t="n"/>
      <c r="CQ254" s="24" t="n"/>
      <c r="CR254" s="24" t="inlineStr">
        <is>
          <t>0.633595</t>
        </is>
      </c>
      <c r="CS254" s="24" t="inlineStr">
        <is>
          <t>False</t>
        </is>
      </c>
    </row>
    <row r="255" ht="36" customHeight="1">
      <c r="A255" s="24" t="inlineStr">
        <is>
          <t>b11880ae2c644f89</t>
        </is>
      </c>
      <c r="B255" s="24" t="inlineStr">
        <is>
          <t>2026-08-07T21:56:24.360448Z</t>
        </is>
      </c>
      <c r="C255" s="24" t="inlineStr">
        <is>
          <t>2026-08-07T19:40:00-0400</t>
        </is>
      </c>
      <c r="D255" s="24" t="inlineStr">
        <is>
          <t>401816432</t>
        </is>
      </c>
      <c r="E255" s="24" t="inlineStr">
        <is>
          <t>MLB</t>
        </is>
      </c>
      <c r="F255" s="24" t="inlineStr">
        <is>
          <t>Cleveland Guardians</t>
        </is>
      </c>
      <c r="G255" s="24" t="inlineStr">
        <is>
          <t>Chicago White Sox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polymarket_us</t>
        </is>
      </c>
      <c r="L255" s="26" t="n">
        <v>133</v>
      </c>
      <c r="M255" s="27" t="n">
        <v>2.33</v>
      </c>
      <c r="N255" s="28" t="n">
        <v>0.429185</v>
      </c>
      <c r="O255" s="28" t="n">
        <v>0.521944</v>
      </c>
      <c r="P255" s="28" t="n"/>
      <c r="Q255" s="28" t="n">
        <v>0.09275899999999999</v>
      </c>
      <c r="R255" s="26" t="n">
        <v>67</v>
      </c>
      <c r="S255" s="29" t="n">
        <v>0</v>
      </c>
      <c r="T255" s="24" t="inlineStr">
        <is>
          <t>mlb-elo-trend-lr-v8</t>
        </is>
      </c>
      <c r="U255" s="24" t="inlineStr">
        <is>
          <t>settled</t>
        </is>
      </c>
      <c r="V255" s="24" t="inlineStr">
        <is>
          <t>loss</t>
        </is>
      </c>
      <c r="W255" s="26" t="n">
        <v>8</v>
      </c>
      <c r="X255" s="26" t="n">
        <v>2</v>
      </c>
      <c r="Y255" s="25" t="n"/>
      <c r="Z255" s="26" t="n">
        <v>133</v>
      </c>
      <c r="AA255" s="28" t="n">
        <v>0.43</v>
      </c>
      <c r="AB255" s="28" t="n">
        <v>0.000815</v>
      </c>
      <c r="AC255" s="30" t="n">
        <v>0</v>
      </c>
      <c r="AD255" s="24" t="inlineStr">
        <is>
          <t>2026-08-08T04:03:17.551687Z</t>
        </is>
      </c>
      <c r="AE255" s="31" t="inlineStr">
        <is>
          <t>Learned LR call at threshold 0.5873; executable ask 0.4300 (aec-mlb-cle-cws-2026-08-07); model edge vs ask +0.0919.</t>
        </is>
      </c>
      <c r="AF255" s="31" t="inlineStr">
        <is>
          <t>Learned model; shadow-qualified via operator override.</t>
        </is>
      </c>
      <c r="AG255" s="24" t="inlineStr">
        <is>
          <t>review_required</t>
        </is>
      </c>
      <c r="AH255" s="24" t="n"/>
      <c r="AI255" s="31" t="n"/>
      <c r="AJ255" s="31" t="n"/>
      <c r="AK255" s="24" t="inlineStr">
        <is>
          <t>research_observation</t>
        </is>
      </c>
      <c r="AL255" s="26" t="n">
        <v>3</v>
      </c>
      <c r="AM255" s="24" t="inlineStr">
        <is>
          <t>RESEARCH_OBSERVATION</t>
        </is>
      </c>
      <c r="AN255" s="24" t="inlineStr">
        <is>
          <t>NO_CALL</t>
        </is>
      </c>
      <c r="AO255" s="24" t="inlineStr">
        <is>
          <t>NO_CALL_BELOW_LEARNED_CONFIDENCE</t>
        </is>
      </c>
      <c r="AP255" s="24" t="inlineStr">
        <is>
          <t>mlb-cle</t>
        </is>
      </c>
      <c r="AQ255" s="24" t="inlineStr">
        <is>
          <t>Cleveland Guardians</t>
        </is>
      </c>
      <c r="AR255" s="24" t="inlineStr">
        <is>
          <t>Cleveland Guardians</t>
        </is>
      </c>
      <c r="AS255" s="24" t="inlineStr">
        <is>
          <t>mlb-cws</t>
        </is>
      </c>
      <c r="AT255" s="24" t="inlineStr">
        <is>
          <t>Chicago White Sox</t>
        </is>
      </c>
      <c r="AU255" s="24" t="inlineStr">
        <is>
          <t>Chicago White Sox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6a5c79541b0e50cb9f7318270e63d5ccc65cbd7bc53a019748ff772d49de5075</t>
        </is>
      </c>
      <c r="BB255" s="24" t="inlineStr">
        <is>
          <t>learned_lr</t>
        </is>
      </c>
      <c r="BC255" s="24" t="inlineStr">
        <is>
          <t>mlb-elo-trend-lr-v8</t>
        </is>
      </c>
      <c r="BD255" s="24" t="inlineStr">
        <is>
          <t>6a5c79541b0e50cb9f7318270e63d5ccc65cbd7bc53a019748ff772d49de5075</t>
        </is>
      </c>
      <c r="BE255" s="24" t="inlineStr">
        <is>
          <t>1c2e6755c94f81d5</t>
        </is>
      </c>
      <c r="BF255" s="24" t="inlineStr">
        <is>
          <t>1</t>
        </is>
      </c>
      <c r="BG255" s="24" t="inlineStr">
        <is>
          <t>mlb-elo-trend-lr-v8</t>
        </is>
      </c>
      <c r="BH255" s="24" t="inlineStr">
        <is>
          <t>2026-08-07T21:55:54.886411Z</t>
        </is>
      </c>
      <c r="BI255" s="24" t="inlineStr">
        <is>
          <t>["same_event","same_team_same_day","same_league_same_day"]</t>
        </is>
      </c>
      <c r="BJ255" s="25" t="n"/>
      <c r="BK255" s="26" t="n">
        <v>133</v>
      </c>
      <c r="BL255" s="27" t="n">
        <v>2.33</v>
      </c>
      <c r="BM255" s="28" t="n">
        <v>0.429185</v>
      </c>
      <c r="BN255" s="28" t="n">
        <v>0.427861</v>
      </c>
      <c r="BO255" s="28" t="n"/>
      <c r="BP255" s="25" t="n"/>
      <c r="BQ255" s="27" t="n">
        <v>2.33</v>
      </c>
      <c r="BR255" s="28" t="n">
        <v>0.43</v>
      </c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inlineStr">
        <is>
          <t>0.5453292229</t>
        </is>
      </c>
      <c r="CD255" s="24" t="inlineStr">
        <is>
          <t>-0.187486</t>
        </is>
      </c>
      <c r="CE255" s="24" t="inlineStr">
        <is>
          <t>0.94</t>
        </is>
      </c>
      <c r="CF255" s="24" t="inlineStr">
        <is>
          <t>1.0109</t>
        </is>
      </c>
      <c r="CG255" s="24" t="n"/>
      <c r="CH255" s="24" t="n"/>
      <c r="CI255" s="24" t="n"/>
      <c r="CJ255" s="24" t="inlineStr">
        <is>
          <t>0.152159</t>
        </is>
      </c>
      <c r="CK255" s="24" t="n"/>
      <c r="CL255" s="24" t="inlineStr">
        <is>
          <t>-0.472478</t>
        </is>
      </c>
      <c r="CM255" s="24" t="inlineStr">
        <is>
          <t>3.7345</t>
        </is>
      </c>
      <c r="CN255" s="24" t="n"/>
      <c r="CO255" s="24" t="n"/>
      <c r="CP255" s="24" t="n"/>
      <c r="CQ255" s="24" t="n"/>
      <c r="CR255" s="24" t="inlineStr">
        <is>
          <t>0.521944</t>
        </is>
      </c>
      <c r="CS255" s="24" t="inlineStr">
        <is>
          <t>True</t>
        </is>
      </c>
    </row>
    <row r="256" ht="36" customHeight="1">
      <c r="A256" s="24" t="inlineStr">
        <is>
          <t>bb31b1bf35984663</t>
        </is>
      </c>
      <c r="B256" s="24" t="inlineStr">
        <is>
          <t>2026-08-07T21:56:24.360448Z</t>
        </is>
      </c>
      <c r="C256" s="24" t="inlineStr">
        <is>
          <t>2026-08-07T19:40:00-0400</t>
        </is>
      </c>
      <c r="D256" s="24" t="inlineStr">
        <is>
          <t>401816434</t>
        </is>
      </c>
      <c r="E256" s="24" t="inlineStr">
        <is>
          <t>MLB</t>
        </is>
      </c>
      <c r="F256" s="24" t="inlineStr">
        <is>
          <t>Minnesota Twins</t>
        </is>
      </c>
      <c r="G256" s="24" t="inlineStr">
        <is>
          <t>Milwaukee Brewers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polymarket_us</t>
        </is>
      </c>
      <c r="L256" s="26" t="n">
        <v>-163</v>
      </c>
      <c r="M256" s="27" t="n">
        <v>1.613497</v>
      </c>
      <c r="N256" s="28" t="n">
        <v>0.619772</v>
      </c>
      <c r="O256" s="28" t="n">
        <v>0.651659</v>
      </c>
      <c r="P256" s="28" t="n"/>
      <c r="Q256" s="28" t="n">
        <v>0.031887</v>
      </c>
      <c r="R256" s="26" t="n">
        <v>37</v>
      </c>
      <c r="S256" s="29" t="n">
        <v>0</v>
      </c>
      <c r="T256" s="24" t="inlineStr">
        <is>
          <t>mlb-elo-trend-lr-v8</t>
        </is>
      </c>
      <c r="U256" s="24" t="inlineStr">
        <is>
          <t>settled</t>
        </is>
      </c>
      <c r="V256" s="24" t="inlineStr">
        <is>
          <t>loss</t>
        </is>
      </c>
      <c r="W256" s="26" t="n">
        <v>8</v>
      </c>
      <c r="X256" s="26" t="n">
        <v>6</v>
      </c>
      <c r="Y256" s="25" t="n"/>
      <c r="Z256" s="26" t="n">
        <v>-163</v>
      </c>
      <c r="AA256" s="28" t="n">
        <v>0.62</v>
      </c>
      <c r="AB256" s="28" t="n">
        <v>0.000228</v>
      </c>
      <c r="AC256" s="30" t="n">
        <v>0</v>
      </c>
      <c r="AD256" s="24" t="inlineStr">
        <is>
          <t>2026-08-08T04:03:18.674135Z</t>
        </is>
      </c>
      <c r="AE256" s="31" t="inlineStr">
        <is>
          <t>Learned LR call at threshold 0.5873; executable ask 0.6200 (aec-mlb-min-mil-2026-08-07); model edge vs ask +0.0317.</t>
        </is>
      </c>
      <c r="AF256" s="31" t="inlineStr">
        <is>
          <t>Learned model; shadow-qualified via operator override.</t>
        </is>
      </c>
      <c r="AG256" s="24" t="inlineStr">
        <is>
          <t>review_required</t>
        </is>
      </c>
      <c r="AH256" s="24" t="n"/>
      <c r="AI256" s="31" t="n"/>
      <c r="AJ256" s="31" t="n"/>
      <c r="AK256" s="24" t="inlineStr">
        <is>
          <t>research_observation</t>
        </is>
      </c>
      <c r="AL256" s="26" t="n">
        <v>3</v>
      </c>
      <c r="AM256" s="24" t="inlineStr">
        <is>
          <t>RESEARCH_OBSERVATION</t>
        </is>
      </c>
      <c r="AN256" s="24" t="inlineStr">
        <is>
          <t>NO_CALL</t>
        </is>
      </c>
      <c r="AO256" s="24" t="inlineStr">
        <is>
          <t>NO_CALL_WINNER_OVERVALUED</t>
        </is>
      </c>
      <c r="AP256" s="24" t="inlineStr">
        <is>
          <t>mlb-min</t>
        </is>
      </c>
      <c r="AQ256" s="24" t="inlineStr">
        <is>
          <t>Minnesota Twins</t>
        </is>
      </c>
      <c r="AR256" s="24" t="inlineStr">
        <is>
          <t>Minnesota Twins</t>
        </is>
      </c>
      <c r="AS256" s="24" t="inlineStr">
        <is>
          <t>mlb-mil</t>
        </is>
      </c>
      <c r="AT256" s="24" t="inlineStr">
        <is>
          <t>Milwaukee Brewers</t>
        </is>
      </c>
      <c r="AU256" s="24" t="inlineStr">
        <is>
          <t>Milwaukee Brewers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6a5c79541b0e50cb9f7318270e63d5ccc65cbd7bc53a019748ff772d49de5075</t>
        </is>
      </c>
      <c r="BB256" s="24" t="inlineStr">
        <is>
          <t>learned_lr</t>
        </is>
      </c>
      <c r="BC256" s="24" t="inlineStr">
        <is>
          <t>mlb-elo-trend-lr-v8</t>
        </is>
      </c>
      <c r="BD256" s="24" t="inlineStr">
        <is>
          <t>6a5c79541b0e50cb9f7318270e63d5ccc65cbd7bc53a019748ff772d49de5075</t>
        </is>
      </c>
      <c r="BE256" s="24" t="inlineStr">
        <is>
          <t>6930bf181d0a558c</t>
        </is>
      </c>
      <c r="BF256" s="24" t="inlineStr">
        <is>
          <t>1</t>
        </is>
      </c>
      <c r="BG256" s="24" t="inlineStr">
        <is>
          <t>mlb-elo-trend-lr-v8</t>
        </is>
      </c>
      <c r="BH256" s="24" t="inlineStr">
        <is>
          <t>2026-08-07T21:55:54.574354Z</t>
        </is>
      </c>
      <c r="BI256" s="24" t="inlineStr">
        <is>
          <t>["same_event","same_team_same_day","same_league_same_day"]</t>
        </is>
      </c>
      <c r="BJ256" s="25" t="n"/>
      <c r="BK256" s="26" t="n">
        <v>-163</v>
      </c>
      <c r="BL256" s="27" t="n">
        <v>1.613497</v>
      </c>
      <c r="BM256" s="28" t="n">
        <v>0.619772</v>
      </c>
      <c r="BN256" s="28" t="n">
        <v>0.616915</v>
      </c>
      <c r="BO256" s="28" t="n"/>
      <c r="BP256" s="25" t="n"/>
      <c r="BQ256" s="27" t="n">
        <v>1.613497</v>
      </c>
      <c r="BR256" s="28" t="n">
        <v>0.62</v>
      </c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inlineStr">
        <is>
          <t>0.6744913947</t>
        </is>
      </c>
      <c r="CD256" s="24" t="inlineStr">
        <is>
          <t>0.315297</t>
        </is>
      </c>
      <c r="CE256" s="24" t="inlineStr">
        <is>
          <t>0.997</t>
        </is>
      </c>
      <c r="CF256" s="24" t="inlineStr">
        <is>
          <t>1.0</t>
        </is>
      </c>
      <c r="CG256" s="24" t="n"/>
      <c r="CH256" s="24" t="n"/>
      <c r="CI256" s="24" t="n"/>
      <c r="CJ256" s="24" t="inlineStr">
        <is>
          <t>0.124056</t>
        </is>
      </c>
      <c r="CK256" s="24" t="n"/>
      <c r="CL256" s="24" t="inlineStr">
        <is>
          <t>-0.026606</t>
        </is>
      </c>
      <c r="CM256" s="24" t="inlineStr">
        <is>
          <t>-3.5537</t>
        </is>
      </c>
      <c r="CN256" s="24" t="n"/>
      <c r="CO256" s="24" t="n"/>
      <c r="CP256" s="24" t="n"/>
      <c r="CQ256" s="24" t="n"/>
      <c r="CR256" s="24" t="inlineStr">
        <is>
          <t>0.651659</t>
        </is>
      </c>
      <c r="CS256" s="24" t="inlineStr">
        <is>
          <t>True</t>
        </is>
      </c>
    </row>
    <row r="257" ht="36" customHeight="1">
      <c r="A257" s="24" t="inlineStr">
        <is>
          <t>798159da52af4096</t>
        </is>
      </c>
      <c r="B257" s="24" t="inlineStr">
        <is>
          <t>2026-08-07T21:56:24.360448Z</t>
        </is>
      </c>
      <c r="C257" s="24" t="inlineStr">
        <is>
          <t>2026-08-07T20:10:00-0400</t>
        </is>
      </c>
      <c r="D257" s="24" t="inlineStr">
        <is>
          <t>401816431</t>
        </is>
      </c>
      <c r="E257" s="24" t="inlineStr">
        <is>
          <t>MLB</t>
        </is>
      </c>
      <c r="F257" s="24" t="inlineStr">
        <is>
          <t>Chicago Cubs</t>
        </is>
      </c>
      <c r="G257" s="24" t="inlineStr">
        <is>
          <t>Kansas City Royals</t>
        </is>
      </c>
      <c r="H257" s="24" t="inlineStr">
        <is>
          <t>moneyline</t>
        </is>
      </c>
      <c r="I257" s="24" t="inlineStr">
        <is>
          <t>away</t>
        </is>
      </c>
      <c r="J257" s="25" t="n"/>
      <c r="K257" s="24" t="inlineStr">
        <is>
          <t>polymarket_us</t>
        </is>
      </c>
      <c r="L257" s="26" t="n">
        <v>-160</v>
      </c>
      <c r="M257" s="27" t="n">
        <v>1.625</v>
      </c>
      <c r="N257" s="28" t="n">
        <v>0.615385</v>
      </c>
      <c r="O257" s="28" t="n">
        <v>0.532407</v>
      </c>
      <c r="P257" s="28" t="n"/>
      <c r="Q257" s="28" t="n">
        <v>-0.082978</v>
      </c>
      <c r="R257" s="26" t="n">
        <v>0</v>
      </c>
      <c r="S257" s="29" t="n">
        <v>0</v>
      </c>
      <c r="T257" s="24" t="inlineStr">
        <is>
          <t>mlb-elo-trend-lr-v8</t>
        </is>
      </c>
      <c r="U257" s="24" t="inlineStr">
        <is>
          <t>settled</t>
        </is>
      </c>
      <c r="V257" s="24" t="inlineStr">
        <is>
          <t>win</t>
        </is>
      </c>
      <c r="W257" s="26" t="n">
        <v>6</v>
      </c>
      <c r="X257" s="26" t="n">
        <v>4</v>
      </c>
      <c r="Y257" s="25" t="n"/>
      <c r="Z257" s="26" t="n">
        <v>-160</v>
      </c>
      <c r="AA257" s="28" t="n">
        <v>0.615</v>
      </c>
      <c r="AB257" s="28" t="n">
        <v>-0.000385</v>
      </c>
      <c r="AC257" s="30" t="n">
        <v>0</v>
      </c>
      <c r="AD257" s="24" t="inlineStr">
        <is>
          <t>2026-08-08T04:03:19.835611Z</t>
        </is>
      </c>
      <c r="AE257" s="31" t="inlineStr">
        <is>
          <t>Learned LR call at threshold 0.5873; executable ask 0.6150 (aec-mlb-chc-kc-2026-08-07); model edge vs ask -0.0826.</t>
        </is>
      </c>
      <c r="AF257" s="31" t="inlineStr">
        <is>
          <t>Learned model; shadow-qualified via operator override.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research_observation</t>
        </is>
      </c>
      <c r="AL257" s="26" t="n">
        <v>3</v>
      </c>
      <c r="AM257" s="24" t="inlineStr">
        <is>
          <t>RESEARCH_OBSERVATION</t>
        </is>
      </c>
      <c r="AN257" s="24" t="inlineStr">
        <is>
          <t>NO_CALL</t>
        </is>
      </c>
      <c r="AO257" s="24" t="inlineStr">
        <is>
          <t>NO_CALL_WINNER_OVERVALUED</t>
        </is>
      </c>
      <c r="AP257" s="24" t="inlineStr">
        <is>
          <t>mlb-chc</t>
        </is>
      </c>
      <c r="AQ257" s="24" t="inlineStr">
        <is>
          <t>Chicago Cubs</t>
        </is>
      </c>
      <c r="AR257" s="24" t="inlineStr">
        <is>
          <t>Chicago Cubs</t>
        </is>
      </c>
      <c r="AS257" s="24" t="inlineStr">
        <is>
          <t>mlb-kc</t>
        </is>
      </c>
      <c r="AT257" s="24" t="inlineStr">
        <is>
          <t>Kansas City Royals</t>
        </is>
      </c>
      <c r="AU257" s="24" t="inlineStr">
        <is>
          <t>Kansas City Royals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6a5c79541b0e50cb9f7318270e63d5ccc65cbd7bc53a019748ff772d49de5075</t>
        </is>
      </c>
      <c r="BB257" s="24" t="inlineStr">
        <is>
          <t>learned_lr</t>
        </is>
      </c>
      <c r="BC257" s="24" t="inlineStr">
        <is>
          <t>mlb-elo-trend-lr-v8</t>
        </is>
      </c>
      <c r="BD257" s="24" t="inlineStr">
        <is>
          <t>6a5c79541b0e50cb9f7318270e63d5ccc65cbd7bc53a019748ff772d49de5075</t>
        </is>
      </c>
      <c r="BE257" s="24" t="inlineStr">
        <is>
          <t>6a10316f6881dd5b</t>
        </is>
      </c>
      <c r="BF257" s="24" t="inlineStr">
        <is>
          <t>1</t>
        </is>
      </c>
      <c r="BG257" s="24" t="inlineStr">
        <is>
          <t>mlb-elo-trend-lr-v8</t>
        </is>
      </c>
      <c r="BH257" s="24" t="inlineStr">
        <is>
          <t>2026-08-07T21:55:55.373871Z</t>
        </is>
      </c>
      <c r="BI257" s="24" t="inlineStr">
        <is>
          <t>["same_event","same_team_same_day","same_league_same_day"]</t>
        </is>
      </c>
      <c r="BJ257" s="25" t="n"/>
      <c r="BK257" s="26" t="n">
        <v>-160</v>
      </c>
      <c r="BL257" s="27" t="n">
        <v>1.625</v>
      </c>
      <c r="BM257" s="28" t="n">
        <v>0.615385</v>
      </c>
      <c r="BN257" s="28" t="n">
        <v>0.61194</v>
      </c>
      <c r="BO257" s="28" t="n"/>
      <c r="BP257" s="25" t="n"/>
      <c r="BQ257" s="27" t="n">
        <v>1.625</v>
      </c>
      <c r="BR257" s="28" t="n">
        <v>0.615</v>
      </c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inlineStr">
        <is>
          <t>0.3994270935</t>
        </is>
      </c>
      <c r="CD257" s="24" t="inlineStr">
        <is>
          <t>-0.897514</t>
        </is>
      </c>
      <c r="CE257" s="24" t="inlineStr">
        <is>
          <t>0.973</t>
        </is>
      </c>
      <c r="CF257" s="24" t="inlineStr">
        <is>
          <t>1.0152</t>
        </is>
      </c>
      <c r="CG257" s="24" t="n"/>
      <c r="CH257" s="24" t="n"/>
      <c r="CI257" s="24" t="n"/>
      <c r="CJ257" s="24" t="inlineStr">
        <is>
          <t>-0.095985</t>
        </is>
      </c>
      <c r="CK257" s="24" t="n"/>
      <c r="CL257" s="24" t="inlineStr">
        <is>
          <t>0.727975</t>
        </is>
      </c>
      <c r="CM257" s="24" t="inlineStr">
        <is>
          <t>0.7448</t>
        </is>
      </c>
      <c r="CN257" s="24" t="n"/>
      <c r="CO257" s="24" t="n"/>
      <c r="CP257" s="24" t="n"/>
      <c r="CQ257" s="24" t="n"/>
      <c r="CR257" s="24" t="inlineStr">
        <is>
          <t>0.532407</t>
        </is>
      </c>
      <c r="CS257" s="24" t="inlineStr">
        <is>
          <t>False</t>
        </is>
      </c>
    </row>
    <row r="258" ht="36" customHeight="1">
      <c r="A258" s="24" t="inlineStr">
        <is>
          <t>7528904623704e21</t>
        </is>
      </c>
      <c r="B258" s="24" t="inlineStr">
        <is>
          <t>2026-08-07T21:56:24.360448Z</t>
        </is>
      </c>
      <c r="C258" s="24" t="inlineStr">
        <is>
          <t>2026-08-07T20:15:00-0400</t>
        </is>
      </c>
      <c r="D258" s="24" t="inlineStr">
        <is>
          <t>401816430</t>
        </is>
      </c>
      <c r="E258" s="24" t="inlineStr">
        <is>
          <t>MLB</t>
        </is>
      </c>
      <c r="F258" s="24" t="inlineStr">
        <is>
          <t>Baltimore Orioles</t>
        </is>
      </c>
      <c r="G258" s="24" t="inlineStr">
        <is>
          <t>Texas Rangers</t>
        </is>
      </c>
      <c r="H258" s="24" t="inlineStr">
        <is>
          <t>moneyline</t>
        </is>
      </c>
      <c r="I258" s="24" t="inlineStr">
        <is>
          <t>home</t>
        </is>
      </c>
      <c r="J258" s="25" t="n"/>
      <c r="K258" s="24" t="inlineStr">
        <is>
          <t>polymarket_us</t>
        </is>
      </c>
      <c r="L258" s="26" t="n">
        <v>-135</v>
      </c>
      <c r="M258" s="27" t="n">
        <v>1.740741</v>
      </c>
      <c r="N258" s="28" t="n">
        <v>0.574468</v>
      </c>
      <c r="O258" s="28" t="n">
        <v>0.551691</v>
      </c>
      <c r="P258" s="28" t="n"/>
      <c r="Q258" s="28" t="n">
        <v>-0.022777</v>
      </c>
      <c r="R258" s="26" t="n">
        <v>10</v>
      </c>
      <c r="S258" s="29" t="n">
        <v>0</v>
      </c>
      <c r="T258" s="24" t="inlineStr">
        <is>
          <t>mlb-elo-trend-lr-v8</t>
        </is>
      </c>
      <c r="U258" s="24" t="inlineStr">
        <is>
          <t>settled</t>
        </is>
      </c>
      <c r="V258" s="24" t="inlineStr">
        <is>
          <t>win</t>
        </is>
      </c>
      <c r="W258" s="26" t="n">
        <v>1</v>
      </c>
      <c r="X258" s="26" t="n">
        <v>2</v>
      </c>
      <c r="Y258" s="25" t="n"/>
      <c r="Z258" s="26" t="n">
        <v>-135</v>
      </c>
      <c r="AA258" s="28" t="n">
        <v>0.575</v>
      </c>
      <c r="AB258" s="28" t="n">
        <v>0.000532</v>
      </c>
      <c r="AC258" s="30" t="n">
        <v>0</v>
      </c>
      <c r="AD258" s="24" t="inlineStr">
        <is>
          <t>2026-08-08T04:03:20.956903Z</t>
        </is>
      </c>
      <c r="AE258" s="31" t="inlineStr">
        <is>
          <t>Learned LR call at threshold 0.5873; executable ask 0.5750 (aec-mlb-bal-tex-2026-08-07); model edge vs ask -0.0233.</t>
        </is>
      </c>
      <c r="AF258" s="31" t="inlineStr">
        <is>
          <t>Learned model; shadow-qualified via operator override.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research_observation</t>
        </is>
      </c>
      <c r="AL258" s="26" t="n">
        <v>3</v>
      </c>
      <c r="AM258" s="24" t="inlineStr">
        <is>
          <t>RESEARCH_OBSERVATION</t>
        </is>
      </c>
      <c r="AN258" s="24" t="inlineStr">
        <is>
          <t>NO_CALL</t>
        </is>
      </c>
      <c r="AO258" s="24" t="inlineStr">
        <is>
          <t>NO_CALL_WINNER_OVERVALUED</t>
        </is>
      </c>
      <c r="AP258" s="24" t="inlineStr">
        <is>
          <t>mlb-bal</t>
        </is>
      </c>
      <c r="AQ258" s="24" t="inlineStr">
        <is>
          <t>Baltimore Orioles</t>
        </is>
      </c>
      <c r="AR258" s="24" t="inlineStr">
        <is>
          <t>Baltimore Orioles</t>
        </is>
      </c>
      <c r="AS258" s="24" t="inlineStr">
        <is>
          <t>mlb-tex</t>
        </is>
      </c>
      <c r="AT258" s="24" t="inlineStr">
        <is>
          <t>Texas Rangers</t>
        </is>
      </c>
      <c r="AU258" s="24" t="inlineStr">
        <is>
          <t>Texas Rangers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6a5c79541b0e50cb9f7318270e63d5ccc65cbd7bc53a019748ff772d49de5075</t>
        </is>
      </c>
      <c r="BB258" s="24" t="inlineStr">
        <is>
          <t>learned_lr</t>
        </is>
      </c>
      <c r="BC258" s="24" t="inlineStr">
        <is>
          <t>mlb-elo-trend-lr-v8</t>
        </is>
      </c>
      <c r="BD258" s="24" t="inlineStr">
        <is>
          <t>6a5c79541b0e50cb9f7318270e63d5ccc65cbd7bc53a019748ff772d49de5075</t>
        </is>
      </c>
      <c r="BE258" s="24" t="inlineStr">
        <is>
          <t>014888ea3e3e3318</t>
        </is>
      </c>
      <c r="BF258" s="24" t="inlineStr">
        <is>
          <t>1</t>
        </is>
      </c>
      <c r="BG258" s="24" t="inlineStr">
        <is>
          <t>mlb-elo-trend-lr-v8</t>
        </is>
      </c>
      <c r="BH258" s="24" t="inlineStr">
        <is>
          <t>2026-08-07T21:55:55.937158Z</t>
        </is>
      </c>
      <c r="BI258" s="24" t="inlineStr">
        <is>
          <t>["same_event","same_team_same_day","same_league_same_day"]</t>
        </is>
      </c>
      <c r="BJ258" s="25" t="n"/>
      <c r="BK258" s="26" t="n">
        <v>-135</v>
      </c>
      <c r="BL258" s="27" t="n">
        <v>1.740741</v>
      </c>
      <c r="BM258" s="28" t="n">
        <v>0.574468</v>
      </c>
      <c r="BN258" s="28" t="n">
        <v>0.572139</v>
      </c>
      <c r="BO258" s="28" t="n"/>
      <c r="BP258" s="25" t="n"/>
      <c r="BQ258" s="27" t="n">
        <v>1.740741</v>
      </c>
      <c r="BR258" s="28" t="n">
        <v>0.575</v>
      </c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inlineStr">
        <is>
          <t>0.5134715749</t>
        </is>
      </c>
      <c r="CD258" s="24" t="inlineStr">
        <is>
          <t>1.011957</t>
        </is>
      </c>
      <c r="CE258" s="24" t="inlineStr">
        <is>
          <t>0.913</t>
        </is>
      </c>
      <c r="CF258" s="24" t="inlineStr">
        <is>
          <t>1.0</t>
        </is>
      </c>
      <c r="CG258" s="24" t="n"/>
      <c r="CH258" s="24" t="n"/>
      <c r="CI258" s="24" t="n"/>
      <c r="CJ258" s="24" t="inlineStr">
        <is>
          <t>0.687309</t>
        </is>
      </c>
      <c r="CK258" s="24" t="n"/>
      <c r="CL258" s="24" t="inlineStr">
        <is>
          <t>0.517489</t>
        </is>
      </c>
      <c r="CM258" s="24" t="inlineStr">
        <is>
          <t>0.1441</t>
        </is>
      </c>
      <c r="CN258" s="24" t="n"/>
      <c r="CO258" s="24" t="n"/>
      <c r="CP258" s="24" t="n"/>
      <c r="CQ258" s="24" t="n"/>
      <c r="CR258" s="24" t="inlineStr">
        <is>
          <t>0.551691</t>
        </is>
      </c>
      <c r="CS258" s="24" t="inlineStr">
        <is>
          <t>False</t>
        </is>
      </c>
    </row>
    <row r="259" ht="36" customHeight="1">
      <c r="A259" s="24" t="inlineStr">
        <is>
          <t>ff8003c495d44786</t>
        </is>
      </c>
      <c r="B259" s="24" t="inlineStr">
        <is>
          <t>2026-08-07T21:56:24.360448Z</t>
        </is>
      </c>
      <c r="C259" s="24" t="inlineStr">
        <is>
          <t>2026-08-07T20:15:00-0400</t>
        </is>
      </c>
      <c r="D259" s="24" t="inlineStr">
        <is>
          <t>401816433</t>
        </is>
      </c>
      <c r="E259" s="24" t="inlineStr">
        <is>
          <t>MLB</t>
        </is>
      </c>
      <c r="F259" s="24" t="inlineStr">
        <is>
          <t>Colorado Rockies</t>
        </is>
      </c>
      <c r="G259" s="24" t="inlineStr">
        <is>
          <t>St. Louis Cardinals</t>
        </is>
      </c>
      <c r="H259" s="24" t="inlineStr">
        <is>
          <t>moneyline</t>
        </is>
      </c>
      <c r="I259" s="24" t="inlineStr">
        <is>
          <t>home</t>
        </is>
      </c>
      <c r="J259" s="25" t="n"/>
      <c r="K259" s="24" t="inlineStr">
        <is>
          <t>polymarket_us</t>
        </is>
      </c>
      <c r="L259" s="26" t="n">
        <v>-160</v>
      </c>
      <c r="M259" s="27" t="n">
        <v>1.625</v>
      </c>
      <c r="N259" s="28" t="n">
        <v>0.615385</v>
      </c>
      <c r="O259" s="28" t="n">
        <v>0.667099</v>
      </c>
      <c r="P259" s="28" t="n"/>
      <c r="Q259" s="28" t="n">
        <v>0.051714</v>
      </c>
      <c r="R259" s="26" t="n">
        <v>48</v>
      </c>
      <c r="S259" s="29" t="n">
        <v>0</v>
      </c>
      <c r="T259" s="24" t="inlineStr">
        <is>
          <t>mlb-elo-trend-lr-v8</t>
        </is>
      </c>
      <c r="U259" s="24" t="inlineStr">
        <is>
          <t>settled</t>
        </is>
      </c>
      <c r="V259" s="24" t="inlineStr">
        <is>
          <t>win</t>
        </is>
      </c>
      <c r="W259" s="26" t="n">
        <v>2</v>
      </c>
      <c r="X259" s="26" t="n">
        <v>3</v>
      </c>
      <c r="Y259" s="25" t="n"/>
      <c r="Z259" s="26" t="n">
        <v>-160</v>
      </c>
      <c r="AA259" s="28" t="n">
        <v>0.615</v>
      </c>
      <c r="AB259" s="28" t="n">
        <v>-0.000385</v>
      </c>
      <c r="AC259" s="30" t="n">
        <v>0</v>
      </c>
      <c r="AD259" s="24" t="inlineStr">
        <is>
          <t>2026-08-08T04:03:22.121246Z</t>
        </is>
      </c>
      <c r="AE259" s="31" t="inlineStr">
        <is>
          <t>Learned LR call at threshold 0.5873; executable ask 0.6150 (aec-mlb-col-stl-2026-08-07); model edge vs ask +0.0521.</t>
        </is>
      </c>
      <c r="AF259" s="31" t="inlineStr">
        <is>
          <t>Learned model; shadow-qualified via operator override.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research_observation</t>
        </is>
      </c>
      <c r="AL259" s="26" t="n">
        <v>3</v>
      </c>
      <c r="AM259" s="24" t="inlineStr">
        <is>
          <t>RESEARCH_OBSERVATION</t>
        </is>
      </c>
      <c r="AN259" s="24" t="inlineStr">
        <is>
          <t>NO_CALL</t>
        </is>
      </c>
      <c r="AO259" s="24" t="inlineStr">
        <is>
          <t>NO_CALL_WINNER_OVERVALUED</t>
        </is>
      </c>
      <c r="AP259" s="24" t="inlineStr">
        <is>
          <t>mlb-col</t>
        </is>
      </c>
      <c r="AQ259" s="24" t="inlineStr">
        <is>
          <t>Colorado Rockies</t>
        </is>
      </c>
      <c r="AR259" s="24" t="inlineStr">
        <is>
          <t>Colorado Rockies</t>
        </is>
      </c>
      <c r="AS259" s="24" t="inlineStr">
        <is>
          <t>mlb-stl</t>
        </is>
      </c>
      <c r="AT259" s="24" t="inlineStr">
        <is>
          <t>St. Louis Cardinals</t>
        </is>
      </c>
      <c r="AU259" s="24" t="inlineStr">
        <is>
          <t>St. Louis Cardinals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6a5c79541b0e50cb9f7318270e63d5ccc65cbd7bc53a019748ff772d49de5075</t>
        </is>
      </c>
      <c r="BB259" s="24" t="inlineStr">
        <is>
          <t>learned_lr</t>
        </is>
      </c>
      <c r="BC259" s="24" t="inlineStr">
        <is>
          <t>mlb-elo-trend-lr-v8</t>
        </is>
      </c>
      <c r="BD259" s="24" t="inlineStr">
        <is>
          <t>6a5c79541b0e50cb9f7318270e63d5ccc65cbd7bc53a019748ff772d49de5075</t>
        </is>
      </c>
      <c r="BE259" s="24" t="inlineStr">
        <is>
          <t>bec8568f64cb98f8</t>
        </is>
      </c>
      <c r="BF259" s="24" t="inlineStr">
        <is>
          <t>1</t>
        </is>
      </c>
      <c r="BG259" s="24" t="inlineStr">
        <is>
          <t>mlb-elo-trend-lr-v8</t>
        </is>
      </c>
      <c r="BH259" s="24" t="inlineStr">
        <is>
          <t>2026-08-07T21:55:56.639585Z</t>
        </is>
      </c>
      <c r="BI259" s="24" t="inlineStr">
        <is>
          <t>["same_event","same_team_same_day","same_league_same_day"]</t>
        </is>
      </c>
      <c r="BJ259" s="25" t="n"/>
      <c r="BK259" s="26" t="n">
        <v>-160</v>
      </c>
      <c r="BL259" s="27" t="n">
        <v>1.625</v>
      </c>
      <c r="BM259" s="28" t="n">
        <v>0.615385</v>
      </c>
      <c r="BN259" s="28" t="n">
        <v>0.61194</v>
      </c>
      <c r="BO259" s="28" t="n"/>
      <c r="BP259" s="25" t="n"/>
      <c r="BQ259" s="27" t="n">
        <v>1.625</v>
      </c>
      <c r="BR259" s="28" t="n">
        <v>0.615</v>
      </c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inlineStr">
        <is>
          <t>0.6585400856</t>
        </is>
      </c>
      <c r="CD259" s="24" t="inlineStr">
        <is>
          <t>-0.721171</t>
        </is>
      </c>
      <c r="CE259" s="24" t="inlineStr">
        <is>
          <t>0.946</t>
        </is>
      </c>
      <c r="CF259" s="24" t="inlineStr">
        <is>
          <t>1.0185</t>
        </is>
      </c>
      <c r="CG259" s="24" t="n"/>
      <c r="CH259" s="24" t="n"/>
      <c r="CI259" s="24" t="n"/>
      <c r="CJ259" s="24" t="inlineStr">
        <is>
          <t>1.490394</t>
        </is>
      </c>
      <c r="CK259" s="24" t="n"/>
      <c r="CL259" s="24" t="inlineStr">
        <is>
          <t>0.06385</t>
        </is>
      </c>
      <c r="CM259" s="24" t="inlineStr">
        <is>
          <t>-5.5113</t>
        </is>
      </c>
      <c r="CN259" s="24" t="n"/>
      <c r="CO259" s="24" t="n"/>
      <c r="CP259" s="24" t="n"/>
      <c r="CQ259" s="24" t="n"/>
      <c r="CR259" s="24" t="inlineStr">
        <is>
          <t>0.667099</t>
        </is>
      </c>
      <c r="CS259" s="24" t="inlineStr">
        <is>
          <t>True</t>
        </is>
      </c>
    </row>
    <row r="260" ht="36" customHeight="1">
      <c r="A260" s="24" t="inlineStr">
        <is>
          <t>1167f2c80d134ad8</t>
        </is>
      </c>
      <c r="B260" s="24" t="inlineStr">
        <is>
          <t>2026-08-07T21:56:47.081526Z</t>
        </is>
      </c>
      <c r="C260" s="24" t="inlineStr">
        <is>
          <t>2026-08-07T22:40Z</t>
        </is>
      </c>
      <c r="D260" s="24" t="inlineStr">
        <is>
          <t>401816428</t>
        </is>
      </c>
      <c r="E260" s="24" t="inlineStr">
        <is>
          <t>MLB</t>
        </is>
      </c>
      <c r="F260" s="24" t="inlineStr">
        <is>
          <t>New York Mets</t>
        </is>
      </c>
      <c r="G260" s="24" t="inlineStr">
        <is>
          <t>Pittsburgh Pirates</t>
        </is>
      </c>
      <c r="H260" s="24" t="inlineStr">
        <is>
          <t>spread</t>
        </is>
      </c>
      <c r="I260" s="24" t="inlineStr">
        <is>
          <t>away</t>
        </is>
      </c>
      <c r="J260" s="25" t="n">
        <v>1.5</v>
      </c>
      <c r="K260" s="24" t="inlineStr">
        <is>
          <t>polymarket_us</t>
        </is>
      </c>
      <c r="L260" s="26" t="n">
        <v>-167</v>
      </c>
      <c r="M260" s="27" t="n">
        <v>1.598802</v>
      </c>
      <c r="N260" s="28" t="n">
        <v>0.625468</v>
      </c>
      <c r="O260" s="28" t="n">
        <v>0.625718</v>
      </c>
      <c r="P260" s="28" t="n">
        <v>0.05172</v>
      </c>
      <c r="Q260" s="28" t="n">
        <v>0.00025</v>
      </c>
      <c r="R260" s="26" t="n">
        <v>21</v>
      </c>
      <c r="S260" s="29" t="n">
        <v>0</v>
      </c>
      <c r="T260" s="24" t="inlineStr">
        <is>
          <t>measured-edge-margin-v3</t>
        </is>
      </c>
      <c r="U260" s="24" t="inlineStr">
        <is>
          <t>settled</t>
        </is>
      </c>
      <c r="V260" s="24" t="inlineStr">
        <is>
          <t>win</t>
        </is>
      </c>
      <c r="W260" s="26" t="n">
        <v>6</v>
      </c>
      <c r="X260" s="26" t="n">
        <v>4</v>
      </c>
      <c r="Y260" s="25" t="n">
        <v>1.5</v>
      </c>
      <c r="Z260" s="26" t="n">
        <v>-167</v>
      </c>
      <c r="AA260" s="28" t="n">
        <v>0.625</v>
      </c>
      <c r="AB260" s="28" t="n">
        <v>-0.000468</v>
      </c>
      <c r="AC260" s="30" t="n">
        <v>0</v>
      </c>
      <c r="AD260" s="24" t="inlineStr">
        <is>
          <t>2026-08-08T04:03:24.992473Z</t>
        </is>
      </c>
      <c r="AE260" s="31" t="inlineStr">
        <is>
          <t>Measured Edge Margin: Trend Engine projected 4.19-4.16; raw selected-side p=0.6845, calibrated p=0.6257.</t>
        </is>
      </c>
      <c r="AF260" s="31" t="inlineStr">
        <is>
          <t>Research-only; lineup, bullpen, park, weather, xFIP, and wRC+ may be neutral fallbacks; market availability and BBO depth may change before first pitch.</t>
        </is>
      </c>
      <c r="AG260" s="24" t="inlineStr">
        <is>
          <t>not_applicable</t>
        </is>
      </c>
      <c r="AH260" s="24" t="n"/>
      <c r="AI260" s="31" t="n"/>
      <c r="AJ260" s="31" t="n"/>
      <c r="AK260" s="24" t="inlineStr">
        <is>
          <t>research_observation</t>
        </is>
      </c>
      <c r="AL260" s="26" t="n">
        <v>3</v>
      </c>
      <c r="AM260" s="24" t="inlineStr">
        <is>
          <t>RESEARCH_OBSERVATION</t>
        </is>
      </c>
      <c r="AN260" s="24" t="inlineStr">
        <is>
          <t>NO_CALL</t>
        </is>
      </c>
      <c r="AO260" s="24" t="inlineStr">
        <is>
          <t>NO_CALL_WINNER_OVERVALUED</t>
        </is>
      </c>
      <c r="AP260" s="24" t="inlineStr">
        <is>
          <t>mlb-nym</t>
        </is>
      </c>
      <c r="AQ260" s="24" t="inlineStr">
        <is>
          <t>New York Mets</t>
        </is>
      </c>
      <c r="AR260" s="24" t="inlineStr">
        <is>
          <t>New York Mets</t>
        </is>
      </c>
      <c r="AS260" s="24" t="inlineStr">
        <is>
          <t>mlb-pit</t>
        </is>
      </c>
      <c r="AT260" s="24" t="inlineStr">
        <is>
          <t>Pittsburgh Pirates</t>
        </is>
      </c>
      <c r="AU260" s="24" t="inlineStr">
        <is>
          <t>Pittsburgh Pirates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research</t>
        </is>
      </c>
      <c r="BA260" s="24" t="inlineStr">
        <is>
          <t>dd339a2eed50d7d83ab2127837995ddab82e879afd27f5414bb6c1f9cd60ba4c</t>
        </is>
      </c>
      <c r="BB260" s="24" t="inlineStr">
        <is>
          <t>flat_probability_shrinkage_toward_half</t>
        </is>
      </c>
      <c r="BC260" s="24" t="inlineStr">
        <is>
          <t>measured-edge-margin-v3</t>
        </is>
      </c>
      <c r="BD260" s="24" t="inlineStr">
        <is>
          <t>dd339a2eed50d7d83ab2127837995ddab82e879afd27f5414bb6c1f9cd60ba4c</t>
        </is>
      </c>
      <c r="BE260" s="24" t="inlineStr">
        <is>
          <t>v3</t>
        </is>
      </c>
      <c r="BF260" s="24" t="inlineStr">
        <is>
          <t>1</t>
        </is>
      </c>
      <c r="BG260" s="24" t="inlineStr">
        <is>
          <t>measured-edge-paired-v1</t>
        </is>
      </c>
      <c r="BH260" s="24" t="inlineStr">
        <is>
          <t>2026-08-07T21:56:47.081526Z</t>
        </is>
      </c>
      <c r="BI260" s="24" t="inlineStr">
        <is>
          <t>["same_event","same_team_same_day","same_league_same_day"]</t>
        </is>
      </c>
      <c r="BJ260" s="25" t="n">
        <v>1.5</v>
      </c>
      <c r="BK260" s="26" t="n">
        <v>-167</v>
      </c>
      <c r="BL260" s="27" t="n">
        <v>1.598802</v>
      </c>
      <c r="BM260" s="28" t="n">
        <v>0.625468</v>
      </c>
      <c r="BN260" s="28" t="n">
        <v>0.621891</v>
      </c>
      <c r="BO260" s="28" t="n"/>
      <c r="BP260" s="25" t="n"/>
      <c r="BQ260" s="27" t="n">
        <v>1.598802</v>
      </c>
      <c r="BR260" s="28" t="n">
        <v>0.625</v>
      </c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</row>
    <row r="261" ht="36" customHeight="1">
      <c r="A261" s="24" t="inlineStr">
        <is>
          <t>9ce162c41aeb4475</t>
        </is>
      </c>
      <c r="B261" s="24" t="inlineStr">
        <is>
          <t>2026-08-07T21:56:47.081526Z</t>
        </is>
      </c>
      <c r="C261" s="24" t="inlineStr">
        <is>
          <t>2026-08-07T22:40Z</t>
        </is>
      </c>
      <c r="D261" s="24" t="inlineStr">
        <is>
          <t>401816428</t>
        </is>
      </c>
      <c r="E261" s="24" t="inlineStr">
        <is>
          <t>MLB</t>
        </is>
      </c>
      <c r="F261" s="24" t="inlineStr">
        <is>
          <t>New York Mets</t>
        </is>
      </c>
      <c r="G261" s="24" t="inlineStr">
        <is>
          <t>Pittsburgh Pirates</t>
        </is>
      </c>
      <c r="H261" s="24" t="inlineStr">
        <is>
          <t>total</t>
        </is>
      </c>
      <c r="I261" s="24" t="inlineStr">
        <is>
          <t>under</t>
        </is>
      </c>
      <c r="J261" s="25" t="n">
        <v>8.5</v>
      </c>
      <c r="K261" s="24" t="inlineStr">
        <is>
          <t>polymarket_us</t>
        </is>
      </c>
      <c r="L261" s="26" t="n">
        <v>-108</v>
      </c>
      <c r="M261" s="27" t="n">
        <v>1.925926</v>
      </c>
      <c r="N261" s="28" t="n">
        <v>0.519231</v>
      </c>
      <c r="O261" s="28" t="n">
        <v>0.5161829999999999</v>
      </c>
      <c r="P261" s="28" t="n">
        <v>0.05172</v>
      </c>
      <c r="Q261" s="28" t="n">
        <v>-0.003048</v>
      </c>
      <c r="R261" s="26" t="n">
        <v>20</v>
      </c>
      <c r="S261" s="29" t="n">
        <v>0</v>
      </c>
      <c r="T261" s="24" t="inlineStr">
        <is>
          <t>measured-edge-totals-v3</t>
        </is>
      </c>
      <c r="U261" s="24" t="inlineStr">
        <is>
          <t>settled</t>
        </is>
      </c>
      <c r="V261" s="24" t="inlineStr">
        <is>
          <t>loss</t>
        </is>
      </c>
      <c r="W261" s="26" t="n">
        <v>6</v>
      </c>
      <c r="X261" s="26" t="n">
        <v>4</v>
      </c>
      <c r="Y261" s="25" t="n">
        <v>8.5</v>
      </c>
      <c r="Z261" s="26" t="n">
        <v>-108</v>
      </c>
      <c r="AA261" s="28" t="n">
        <v>0.52</v>
      </c>
      <c r="AB261" s="28" t="n">
        <v>0.000769</v>
      </c>
      <c r="AC261" s="30" t="n">
        <v>0</v>
      </c>
      <c r="AD261" s="24" t="inlineStr">
        <is>
          <t>2026-08-08T04:03:26.119460Z</t>
        </is>
      </c>
      <c r="AE261" s="31" t="inlineStr">
        <is>
          <t>Measured Edge Totals: Trend Engine projected 4.19-4.16; raw selected-side p=0.5418, calibrated p=0.5162.</t>
        </is>
      </c>
      <c r="AF261" s="31" t="inlineStr">
        <is>
          <t>Research-only; lineup, bullpen, park, weather, xFIP, and wRC+ may be neutral fallbacks; market availability and BBO depth may change before first pitch.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research_observation</t>
        </is>
      </c>
      <c r="AL261" s="26" t="n">
        <v>3</v>
      </c>
      <c r="AM261" s="24" t="inlineStr">
        <is>
          <t>RESEARCH_OBSERVATION</t>
        </is>
      </c>
      <c r="AN261" s="24" t="inlineStr">
        <is>
          <t>NO_CALL</t>
        </is>
      </c>
      <c r="AO261" s="24" t="inlineStr">
        <is>
          <t>NO_CALL_WINNER_OVERVALUED</t>
        </is>
      </c>
      <c r="AP261" s="24" t="inlineStr">
        <is>
          <t>mlb-nym</t>
        </is>
      </c>
      <c r="AQ261" s="24" t="inlineStr">
        <is>
          <t>New York Mets</t>
        </is>
      </c>
      <c r="AR261" s="24" t="inlineStr">
        <is>
          <t>New York Mets</t>
        </is>
      </c>
      <c r="AS261" s="24" t="inlineStr">
        <is>
          <t>mlb-pit</t>
        </is>
      </c>
      <c r="AT261" s="24" t="inlineStr">
        <is>
          <t>Pittsburgh Pirates</t>
        </is>
      </c>
      <c r="AU261" s="24" t="inlineStr">
        <is>
          <t>Pittsburgh Pirates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research</t>
        </is>
      </c>
      <c r="BA261" s="24" t="inlineStr">
        <is>
          <t>95b84332c75d2ce54036eb8de6ada9c78d0f80228c50825c0347281a8b9b49c7</t>
        </is>
      </c>
      <c r="BB261" s="24" t="inlineStr">
        <is>
          <t>flat_probability_shrinkage_toward_half</t>
        </is>
      </c>
      <c r="BC261" s="24" t="inlineStr">
        <is>
          <t>measured-edge-totals-v3</t>
        </is>
      </c>
      <c r="BD261" s="24" t="inlineStr">
        <is>
          <t>95b84332c75d2ce54036eb8de6ada9c78d0f80228c50825c0347281a8b9b49c7</t>
        </is>
      </c>
      <c r="BE261" s="24" t="inlineStr">
        <is>
          <t>v3</t>
        </is>
      </c>
      <c r="BF261" s="24" t="inlineStr">
        <is>
          <t>1</t>
        </is>
      </c>
      <c r="BG261" s="24" t="inlineStr">
        <is>
          <t>measured-edge-paired-v1</t>
        </is>
      </c>
      <c r="BH261" s="24" t="inlineStr">
        <is>
          <t>2026-08-07T21:56:47.081526Z</t>
        </is>
      </c>
      <c r="BI261" s="24" t="inlineStr">
        <is>
          <t>["same_event","same_team_same_day","same_league_same_day"]</t>
        </is>
      </c>
      <c r="BJ261" s="25" t="n">
        <v>8.5</v>
      </c>
      <c r="BK261" s="26" t="n">
        <v>-108</v>
      </c>
      <c r="BL261" s="27" t="n">
        <v>1.925926</v>
      </c>
      <c r="BM261" s="28" t="n">
        <v>0.519231</v>
      </c>
      <c r="BN261" s="28" t="n">
        <v>0.5148509999999999</v>
      </c>
      <c r="BO261" s="28" t="n"/>
      <c r="BP261" s="25" t="n"/>
      <c r="BQ261" s="27" t="n">
        <v>1.925926</v>
      </c>
      <c r="BR261" s="28" t="n">
        <v>0.52</v>
      </c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False</t>
        </is>
      </c>
    </row>
    <row r="262" ht="36" customHeight="1">
      <c r="A262" s="24" t="inlineStr">
        <is>
          <t>ebfa4c83f07e4db9</t>
        </is>
      </c>
      <c r="B262" s="24" t="inlineStr">
        <is>
          <t>2026-08-07T21:56:47.081526Z</t>
        </is>
      </c>
      <c r="C262" s="24" t="inlineStr">
        <is>
          <t>2026-08-07T22:40Z</t>
        </is>
      </c>
      <c r="D262" s="24" t="inlineStr">
        <is>
          <t>401816429</t>
        </is>
      </c>
      <c r="E262" s="24" t="inlineStr">
        <is>
          <t>MLB</t>
        </is>
      </c>
      <c r="F262" s="24" t="inlineStr">
        <is>
          <t>Toronto Blue Jays</t>
        </is>
      </c>
      <c r="G262" s="24" t="inlineStr">
        <is>
          <t>Philadelphia Phillies</t>
        </is>
      </c>
      <c r="H262" s="24" t="inlineStr">
        <is>
          <t>spread</t>
        </is>
      </c>
      <c r="I262" s="24" t="inlineStr">
        <is>
          <t>home</t>
        </is>
      </c>
      <c r="J262" s="25" t="n">
        <v>-1.5</v>
      </c>
      <c r="K262" s="24" t="inlineStr">
        <is>
          <t>polymarket_us</t>
        </is>
      </c>
      <c r="L262" s="26" t="n">
        <v>108</v>
      </c>
      <c r="M262" s="27" t="n">
        <v>2.08</v>
      </c>
      <c r="N262" s="28" t="n">
        <v>0.480769</v>
      </c>
      <c r="O262" s="28" t="n">
        <v>0.412713</v>
      </c>
      <c r="P262" s="28" t="n">
        <v>0.042131</v>
      </c>
      <c r="Q262" s="28" t="n">
        <v>-0.06805600000000001</v>
      </c>
      <c r="R262" s="26" t="n">
        <v>0</v>
      </c>
      <c r="S262" s="29" t="n">
        <v>0</v>
      </c>
      <c r="T262" s="24" t="inlineStr">
        <is>
          <t>measured-edge-margin-v3</t>
        </is>
      </c>
      <c r="U262" s="24" t="inlineStr">
        <is>
          <t>settled</t>
        </is>
      </c>
      <c r="V262" s="24" t="inlineStr">
        <is>
          <t>loss</t>
        </is>
      </c>
      <c r="W262" s="26" t="n">
        <v>5</v>
      </c>
      <c r="X262" s="26" t="n">
        <v>4</v>
      </c>
      <c r="Y262" s="25" t="n">
        <v>-1.5</v>
      </c>
      <c r="Z262" s="26" t="n">
        <v>108</v>
      </c>
      <c r="AA262" s="28" t="n">
        <v>0.48</v>
      </c>
      <c r="AB262" s="28" t="n">
        <v>-0.000769</v>
      </c>
      <c r="AC262" s="30" t="n">
        <v>0</v>
      </c>
      <c r="AD262" s="24" t="inlineStr">
        <is>
          <t>2026-08-08T18:33:02.239974Z</t>
        </is>
      </c>
      <c r="AE262" s="31" t="inlineStr">
        <is>
          <t>Measured Edge Margin: Trend Engine projected 3.99-4.51; raw selected-side p=0.3719, calibrated p=0.4127.</t>
        </is>
      </c>
      <c r="AF262" s="31" t="inlineStr">
        <is>
          <t>Research-only; lineup, bullpen, park, weather, xFIP, and wRC+ may be neutral fallbacks; market availability and BBO depth may change before first pitch.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research_observation</t>
        </is>
      </c>
      <c r="AL262" s="26" t="n">
        <v>3</v>
      </c>
      <c r="AM262" s="24" t="inlineStr">
        <is>
          <t>RESEARCH_OBSERVATION</t>
        </is>
      </c>
      <c r="AN262" s="24" t="inlineStr">
        <is>
          <t>NO_CALL</t>
        </is>
      </c>
      <c r="AO262" s="24" t="inlineStr">
        <is>
          <t>NO_CALL_WINNER_OVERVALUED</t>
        </is>
      </c>
      <c r="AP262" s="24" t="inlineStr">
        <is>
          <t>mlb-tor</t>
        </is>
      </c>
      <c r="AQ262" s="24" t="inlineStr">
        <is>
          <t>Toronto Blue Jays</t>
        </is>
      </c>
      <c r="AR262" s="24" t="inlineStr">
        <is>
          <t>Toronto Blue Jays</t>
        </is>
      </c>
      <c r="AS262" s="24" t="inlineStr">
        <is>
          <t>mlb-phi</t>
        </is>
      </c>
      <c r="AT262" s="24" t="inlineStr">
        <is>
          <t>Philadelphia Phillies</t>
        </is>
      </c>
      <c r="AU262" s="24" t="inlineStr">
        <is>
          <t>Philadelphia Phillies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research</t>
        </is>
      </c>
      <c r="BA262" s="24" t="inlineStr">
        <is>
          <t>dd339a2eed50d7d83ab2127837995ddab82e879afd27f5414bb6c1f9cd60ba4c</t>
        </is>
      </c>
      <c r="BB262" s="24" t="inlineStr">
        <is>
          <t>flat_probability_shrinkage_toward_half</t>
        </is>
      </c>
      <c r="BC262" s="24" t="inlineStr">
        <is>
          <t>measured-edge-margin-v3</t>
        </is>
      </c>
      <c r="BD262" s="24" t="inlineStr">
        <is>
          <t>dd339a2eed50d7d83ab2127837995ddab82e879afd27f5414bb6c1f9cd60ba4c</t>
        </is>
      </c>
      <c r="BE262" s="24" t="inlineStr">
        <is>
          <t>v3</t>
        </is>
      </c>
      <c r="BF262" s="24" t="inlineStr">
        <is>
          <t>1</t>
        </is>
      </c>
      <c r="BG262" s="24" t="inlineStr">
        <is>
          <t>measured-edge-paired-v1</t>
        </is>
      </c>
      <c r="BH262" s="24" t="inlineStr">
        <is>
          <t>2026-08-07T21:56:47.081526Z</t>
        </is>
      </c>
      <c r="BI262" s="24" t="inlineStr">
        <is>
          <t>["same_event","same_team_same_day","same_league_same_day"]</t>
        </is>
      </c>
      <c r="BJ262" s="25" t="n">
        <v>-1.5</v>
      </c>
      <c r="BK262" s="26" t="n">
        <v>108</v>
      </c>
      <c r="BL262" s="27" t="n">
        <v>2.08</v>
      </c>
      <c r="BM262" s="28" t="n">
        <v>0.480769</v>
      </c>
      <c r="BN262" s="28" t="n">
        <v>0.477612</v>
      </c>
      <c r="BO262" s="28" t="n"/>
      <c r="BP262" s="25" t="n"/>
      <c r="BQ262" s="27" t="n">
        <v>2.08</v>
      </c>
      <c r="BR262" s="28" t="n">
        <v>0.48</v>
      </c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</row>
    <row r="263" ht="36" customHeight="1">
      <c r="A263" s="24" t="inlineStr">
        <is>
          <t>56ee8ac2c1fe43c4</t>
        </is>
      </c>
      <c r="B263" s="24" t="inlineStr">
        <is>
          <t>2026-08-07T21:56:47.081526Z</t>
        </is>
      </c>
      <c r="C263" s="24" t="inlineStr">
        <is>
          <t>2026-08-07T22:40Z</t>
        </is>
      </c>
      <c r="D263" s="24" t="inlineStr">
        <is>
          <t>401816429</t>
        </is>
      </c>
      <c r="E263" s="24" t="inlineStr">
        <is>
          <t>MLB</t>
        </is>
      </c>
      <c r="F263" s="24" t="inlineStr">
        <is>
          <t>Toronto Blue Jays</t>
        </is>
      </c>
      <c r="G263" s="24" t="inlineStr">
        <is>
          <t>Philadelphia Phillies</t>
        </is>
      </c>
      <c r="H263" s="24" t="inlineStr">
        <is>
          <t>total</t>
        </is>
      </c>
      <c r="I263" s="24" t="inlineStr">
        <is>
          <t>over</t>
        </is>
      </c>
      <c r="J263" s="25" t="n">
        <v>7.5</v>
      </c>
      <c r="K263" s="24" t="inlineStr">
        <is>
          <t>polymarket_us</t>
        </is>
      </c>
      <c r="L263" s="26" t="n">
        <v>-102</v>
      </c>
      <c r="M263" s="27" t="n">
        <v>1.980392</v>
      </c>
      <c r="N263" s="28" t="n">
        <v>0.50495</v>
      </c>
      <c r="O263" s="28" t="n">
        <v>0.516841</v>
      </c>
      <c r="P263" s="28" t="n">
        <v>0.042131</v>
      </c>
      <c r="Q263" s="28" t="n">
        <v>0.011891</v>
      </c>
      <c r="R263" s="26" t="n">
        <v>32</v>
      </c>
      <c r="S263" s="29" t="n">
        <v>0</v>
      </c>
      <c r="T263" s="24" t="inlineStr">
        <is>
          <t>measured-edge-totals-v3</t>
        </is>
      </c>
      <c r="U263" s="24" t="inlineStr">
        <is>
          <t>settled</t>
        </is>
      </c>
      <c r="V263" s="24" t="inlineStr">
        <is>
          <t>win</t>
        </is>
      </c>
      <c r="W263" s="26" t="n">
        <v>5</v>
      </c>
      <c r="X263" s="26" t="n">
        <v>4</v>
      </c>
      <c r="Y263" s="25" t="n">
        <v>7.5</v>
      </c>
      <c r="Z263" s="26" t="n">
        <v>-102</v>
      </c>
      <c r="AA263" s="28" t="n">
        <v>0.505</v>
      </c>
      <c r="AB263" s="28" t="n">
        <v>5e-05</v>
      </c>
      <c r="AC263" s="30" t="n">
        <v>0</v>
      </c>
      <c r="AD263" s="24" t="inlineStr">
        <is>
          <t>2026-08-08T18:33:03.466250Z</t>
        </is>
      </c>
      <c r="AE263" s="31" t="inlineStr">
        <is>
          <t>Measured Edge Totals: Trend Engine projected 3.99-4.51; raw selected-side p=0.5444, calibrated p=0.5168.</t>
        </is>
      </c>
      <c r="AF263" s="31" t="inlineStr">
        <is>
          <t>Research-only; lineup, bullpen, park, weather, xFIP, and wRC+ may be neutral fallbacks; market availability and BBO depth may change before first pitch.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research_observation</t>
        </is>
      </c>
      <c r="AL263" s="26" t="n">
        <v>3</v>
      </c>
      <c r="AM263" s="24" t="inlineStr">
        <is>
          <t>RESEARCH_OBSERVATION</t>
        </is>
      </c>
      <c r="AN263" s="24" t="inlineStr">
        <is>
          <t>NO_CALL</t>
        </is>
      </c>
      <c r="AO263" s="24" t="inlineStr">
        <is>
          <t>NO_CALL_WINNER_OVERVALUED</t>
        </is>
      </c>
      <c r="AP263" s="24" t="inlineStr">
        <is>
          <t>mlb-tor</t>
        </is>
      </c>
      <c r="AQ263" s="24" t="inlineStr">
        <is>
          <t>Toronto Blue Jays</t>
        </is>
      </c>
      <c r="AR263" s="24" t="inlineStr">
        <is>
          <t>Toronto Blue Jays</t>
        </is>
      </c>
      <c r="AS263" s="24" t="inlineStr">
        <is>
          <t>mlb-phi</t>
        </is>
      </c>
      <c r="AT263" s="24" t="inlineStr">
        <is>
          <t>Philadelphia Phillies</t>
        </is>
      </c>
      <c r="AU263" s="24" t="inlineStr">
        <is>
          <t>Philadelphia Phillies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research</t>
        </is>
      </c>
      <c r="BA263" s="24" t="inlineStr">
        <is>
          <t>95b84332c75d2ce54036eb8de6ada9c78d0f80228c50825c0347281a8b9b49c7</t>
        </is>
      </c>
      <c r="BB263" s="24" t="inlineStr">
        <is>
          <t>flat_probability_shrinkage_toward_half</t>
        </is>
      </c>
      <c r="BC263" s="24" t="inlineStr">
        <is>
          <t>measured-edge-totals-v3</t>
        </is>
      </c>
      <c r="BD263" s="24" t="inlineStr">
        <is>
          <t>95b84332c75d2ce54036eb8de6ada9c78d0f80228c50825c0347281a8b9b49c7</t>
        </is>
      </c>
      <c r="BE263" s="24" t="inlineStr">
        <is>
          <t>v3</t>
        </is>
      </c>
      <c r="BF263" s="24" t="inlineStr">
        <is>
          <t>1</t>
        </is>
      </c>
      <c r="BG263" s="24" t="inlineStr">
        <is>
          <t>measured-edge-paired-v1</t>
        </is>
      </c>
      <c r="BH263" s="24" t="inlineStr">
        <is>
          <t>2026-08-07T21:56:47.081526Z</t>
        </is>
      </c>
      <c r="BI263" s="24" t="inlineStr">
        <is>
          <t>["same_event","same_team_same_day","same_league_same_day"]</t>
        </is>
      </c>
      <c r="BJ263" s="25" t="n">
        <v>7.5</v>
      </c>
      <c r="BK263" s="26" t="n">
        <v>-102</v>
      </c>
      <c r="BL263" s="27" t="n">
        <v>1.980392</v>
      </c>
      <c r="BM263" s="28" t="n">
        <v>0.50495</v>
      </c>
      <c r="BN263" s="28" t="n">
        <v>0.502488</v>
      </c>
      <c r="BO263" s="28" t="n"/>
      <c r="BP263" s="25" t="n"/>
      <c r="BQ263" s="27" t="n">
        <v>1.980392</v>
      </c>
      <c r="BR263" s="28" t="n">
        <v>0.505</v>
      </c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</row>
    <row r="264" ht="36" customHeight="1">
      <c r="A264" s="24" t="inlineStr">
        <is>
          <t>e061cc1090534a29</t>
        </is>
      </c>
      <c r="B264" s="24" t="inlineStr">
        <is>
          <t>2026-08-07T21:56:47.081526Z</t>
        </is>
      </c>
      <c r="C264" s="24" t="inlineStr">
        <is>
          <t>2026-08-07T22:45Z</t>
        </is>
      </c>
      <c r="D264" s="24" t="inlineStr">
        <is>
          <t>401816427</t>
        </is>
      </c>
      <c r="E264" s="24" t="inlineStr">
        <is>
          <t>MLB</t>
        </is>
      </c>
      <c r="F264" s="24" t="inlineStr">
        <is>
          <t>Cincinnati Reds</t>
        </is>
      </c>
      <c r="G264" s="24" t="inlineStr">
        <is>
          <t>Washington Nationals</t>
        </is>
      </c>
      <c r="H264" s="24" t="inlineStr">
        <is>
          <t>spread</t>
        </is>
      </c>
      <c r="I264" s="24" t="inlineStr">
        <is>
          <t>home</t>
        </is>
      </c>
      <c r="J264" s="25" t="n">
        <v>-1.5</v>
      </c>
      <c r="K264" s="24" t="inlineStr">
        <is>
          <t>polymarket_us</t>
        </is>
      </c>
      <c r="L264" s="26" t="n">
        <v>174</v>
      </c>
      <c r="M264" s="27" t="n">
        <v>2.74</v>
      </c>
      <c r="N264" s="28" t="n">
        <v>0.364964</v>
      </c>
      <c r="O264" s="28" t="n">
        <v>0.420549</v>
      </c>
      <c r="P264" s="28" t="n">
        <v>0.042131</v>
      </c>
      <c r="Q264" s="28" t="n">
        <v>0.055585</v>
      </c>
      <c r="R264" s="26" t="n">
        <v>53</v>
      </c>
      <c r="S264" s="29" t="n">
        <v>0</v>
      </c>
      <c r="T264" s="24" t="inlineStr">
        <is>
          <t>measured-edge-margin-v3</t>
        </is>
      </c>
      <c r="U264" s="24" t="inlineStr">
        <is>
          <t>settled</t>
        </is>
      </c>
      <c r="V264" s="24" t="inlineStr">
        <is>
          <t>win</t>
        </is>
      </c>
      <c r="W264" s="26" t="n">
        <v>3</v>
      </c>
      <c r="X264" s="26" t="n">
        <v>5</v>
      </c>
      <c r="Y264" s="25" t="n">
        <v>-1.5</v>
      </c>
      <c r="Z264" s="26" t="n">
        <v>174</v>
      </c>
      <c r="AA264" s="28" t="n">
        <v>0.365</v>
      </c>
      <c r="AB264" s="28" t="n">
        <v>3.6e-05</v>
      </c>
      <c r="AC264" s="30" t="n">
        <v>0</v>
      </c>
      <c r="AD264" s="24" t="inlineStr">
        <is>
          <t>2026-08-08T04:03:27.269853Z</t>
        </is>
      </c>
      <c r="AE264" s="31" t="inlineStr">
        <is>
          <t>Measured Edge Margin: Trend Engine projected 4.31-4.83; raw selected-side p=0.3834, calibrated p=0.4205.</t>
        </is>
      </c>
      <c r="AF264" s="31" t="inlineStr">
        <is>
          <t>Research-only; lineup, bullpen, park, weather, xFIP, and wRC+ may be neutral fallbacks; market availability and BBO depth may change before first pitch.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research_observation</t>
        </is>
      </c>
      <c r="AL264" s="26" t="n">
        <v>3</v>
      </c>
      <c r="AM264" s="24" t="inlineStr">
        <is>
          <t>RESEARCH_OBSERVATION</t>
        </is>
      </c>
      <c r="AN264" s="24" t="inlineStr">
        <is>
          <t>NO_CALL</t>
        </is>
      </c>
      <c r="AO264" s="24" t="inlineStr">
        <is>
          <t>NO_CALL_WINNER_OVERVALUED</t>
        </is>
      </c>
      <c r="AP264" s="24" t="inlineStr">
        <is>
          <t>mlb-cin</t>
        </is>
      </c>
      <c r="AQ264" s="24" t="inlineStr">
        <is>
          <t>Cincinnati Reds</t>
        </is>
      </c>
      <c r="AR264" s="24" t="inlineStr">
        <is>
          <t>Cincinnati Reds</t>
        </is>
      </c>
      <c r="AS264" s="24" t="inlineStr">
        <is>
          <t>mlb-wsh</t>
        </is>
      </c>
      <c r="AT264" s="24" t="inlineStr">
        <is>
          <t>Washington Nationals</t>
        </is>
      </c>
      <c r="AU264" s="24" t="inlineStr">
        <is>
          <t>Washington Nationals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research</t>
        </is>
      </c>
      <c r="BA264" s="24" t="inlineStr">
        <is>
          <t>dd339a2eed50d7d83ab2127837995ddab82e879afd27f5414bb6c1f9cd60ba4c</t>
        </is>
      </c>
      <c r="BB264" s="24" t="inlineStr">
        <is>
          <t>flat_probability_shrinkage_toward_half</t>
        </is>
      </c>
      <c r="BC264" s="24" t="inlineStr">
        <is>
          <t>measured-edge-margin-v3</t>
        </is>
      </c>
      <c r="BD264" s="24" t="inlineStr">
        <is>
          <t>dd339a2eed50d7d83ab2127837995ddab82e879afd27f5414bb6c1f9cd60ba4c</t>
        </is>
      </c>
      <c r="BE264" s="24" t="inlineStr">
        <is>
          <t>v3</t>
        </is>
      </c>
      <c r="BF264" s="24" t="inlineStr">
        <is>
          <t>1</t>
        </is>
      </c>
      <c r="BG264" s="24" t="inlineStr">
        <is>
          <t>measured-edge-paired-v1</t>
        </is>
      </c>
      <c r="BH264" s="24" t="inlineStr">
        <is>
          <t>2026-08-07T21:56:47.081526Z</t>
        </is>
      </c>
      <c r="BI264" s="24" t="inlineStr">
        <is>
          <t>["same_event","same_team_same_day","same_league_same_day"]</t>
        </is>
      </c>
      <c r="BJ264" s="25" t="n">
        <v>-1.5</v>
      </c>
      <c r="BK264" s="26" t="n">
        <v>174</v>
      </c>
      <c r="BL264" s="27" t="n">
        <v>2.74</v>
      </c>
      <c r="BM264" s="28" t="n">
        <v>0.364964</v>
      </c>
      <c r="BN264" s="28" t="n">
        <v>0.363184</v>
      </c>
      <c r="BO264" s="28" t="n"/>
      <c r="BP264" s="25" t="n"/>
      <c r="BQ264" s="27" t="n">
        <v>2.74</v>
      </c>
      <c r="BR264" s="28" t="n">
        <v>0.365</v>
      </c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</row>
    <row r="265" ht="36" customHeight="1">
      <c r="A265" s="24" t="inlineStr">
        <is>
          <t>bb638445c3ee45e7</t>
        </is>
      </c>
      <c r="B265" s="24" t="inlineStr">
        <is>
          <t>2026-08-07T21:56:47.081526Z</t>
        </is>
      </c>
      <c r="C265" s="24" t="inlineStr">
        <is>
          <t>2026-08-07T22:45Z</t>
        </is>
      </c>
      <c r="D265" s="24" t="inlineStr">
        <is>
          <t>401816427</t>
        </is>
      </c>
      <c r="E265" s="24" t="inlineStr">
        <is>
          <t>MLB</t>
        </is>
      </c>
      <c r="F265" s="24" t="inlineStr">
        <is>
          <t>Cincinnati Reds</t>
        </is>
      </c>
      <c r="G265" s="24" t="inlineStr">
        <is>
          <t>Washington Nationals</t>
        </is>
      </c>
      <c r="H265" s="24" t="inlineStr">
        <is>
          <t>total</t>
        </is>
      </c>
      <c r="I265" s="24" t="inlineStr">
        <is>
          <t>over</t>
        </is>
      </c>
      <c r="J265" s="25" t="n">
        <v>8.5</v>
      </c>
      <c r="K265" s="24" t="inlineStr">
        <is>
          <t>polymarket_us</t>
        </is>
      </c>
      <c r="L265" s="26" t="n">
        <v>-122</v>
      </c>
      <c r="M265" s="27" t="n">
        <v>1.819672</v>
      </c>
      <c r="N265" s="28" t="n">
        <v>0.54955</v>
      </c>
      <c r="O265" s="28" t="n">
        <v>0.511724</v>
      </c>
      <c r="P265" s="28" t="n">
        <v>0.042131</v>
      </c>
      <c r="Q265" s="28" t="n">
        <v>-0.037826</v>
      </c>
      <c r="R265" s="26" t="n">
        <v>8</v>
      </c>
      <c r="S265" s="29" t="n">
        <v>0</v>
      </c>
      <c r="T265" s="24" t="inlineStr">
        <is>
          <t>measured-edge-totals-v3</t>
        </is>
      </c>
      <c r="U265" s="24" t="inlineStr">
        <is>
          <t>settled</t>
        </is>
      </c>
      <c r="V265" s="24" t="inlineStr">
        <is>
          <t>loss</t>
        </is>
      </c>
      <c r="W265" s="26" t="n">
        <v>3</v>
      </c>
      <c r="X265" s="26" t="n">
        <v>5</v>
      </c>
      <c r="Y265" s="25" t="n">
        <v>8.5</v>
      </c>
      <c r="Z265" s="26" t="n">
        <v>-122</v>
      </c>
      <c r="AA265" s="28" t="n">
        <v>0.55</v>
      </c>
      <c r="AB265" s="28" t="n">
        <v>0.00045</v>
      </c>
      <c r="AC265" s="30" t="n">
        <v>0</v>
      </c>
      <c r="AD265" s="24" t="inlineStr">
        <is>
          <t>2026-08-08T04:03:28.412942Z</t>
        </is>
      </c>
      <c r="AE265" s="31" t="inlineStr">
        <is>
          <t>Measured Edge Totals: Trend Engine projected 4.31-4.83; raw selected-side p=0.5239, calibrated p=0.5117.</t>
        </is>
      </c>
      <c r="AF265" s="31" t="inlineStr">
        <is>
          <t>Research-only; lineup, bullpen, park, weather, xFIP, and wRC+ may be neutral fallbacks; market availability and BBO depth may change before first pitch.</t>
        </is>
      </c>
      <c r="AG265" s="24" t="inlineStr">
        <is>
          <t>review_required</t>
        </is>
      </c>
      <c r="AH265" s="24" t="n"/>
      <c r="AI265" s="31" t="n"/>
      <c r="AJ265" s="31" t="n"/>
      <c r="AK265" s="24" t="inlineStr">
        <is>
          <t>research_observation</t>
        </is>
      </c>
      <c r="AL265" s="26" t="n">
        <v>3</v>
      </c>
      <c r="AM265" s="24" t="inlineStr">
        <is>
          <t>RESEARCH_OBSERVATION</t>
        </is>
      </c>
      <c r="AN265" s="24" t="inlineStr">
        <is>
          <t>NO_CALL</t>
        </is>
      </c>
      <c r="AO265" s="24" t="inlineStr">
        <is>
          <t>NO_CALL_WINNER_OVERVALUED</t>
        </is>
      </c>
      <c r="AP265" s="24" t="inlineStr">
        <is>
          <t>mlb-cin</t>
        </is>
      </c>
      <c r="AQ265" s="24" t="inlineStr">
        <is>
          <t>Cincinnati Reds</t>
        </is>
      </c>
      <c r="AR265" s="24" t="inlineStr">
        <is>
          <t>Cincinnati Reds</t>
        </is>
      </c>
      <c r="AS265" s="24" t="inlineStr">
        <is>
          <t>mlb-wsh</t>
        </is>
      </c>
      <c r="AT265" s="24" t="inlineStr">
        <is>
          <t>Washington Nationals</t>
        </is>
      </c>
      <c r="AU265" s="24" t="inlineStr">
        <is>
          <t>Washington Nationals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research</t>
        </is>
      </c>
      <c r="BA265" s="24" t="inlineStr">
        <is>
          <t>95b84332c75d2ce54036eb8de6ada9c78d0f80228c50825c0347281a8b9b49c7</t>
        </is>
      </c>
      <c r="BB265" s="24" t="inlineStr">
        <is>
          <t>flat_probability_shrinkage_toward_half</t>
        </is>
      </c>
      <c r="BC265" s="24" t="inlineStr">
        <is>
          <t>measured-edge-totals-v3</t>
        </is>
      </c>
      <c r="BD265" s="24" t="inlineStr">
        <is>
          <t>95b84332c75d2ce54036eb8de6ada9c78d0f80228c50825c0347281a8b9b49c7</t>
        </is>
      </c>
      <c r="BE265" s="24" t="inlineStr">
        <is>
          <t>v3</t>
        </is>
      </c>
      <c r="BF265" s="24" t="inlineStr">
        <is>
          <t>1</t>
        </is>
      </c>
      <c r="BG265" s="24" t="inlineStr">
        <is>
          <t>measured-edge-paired-v1</t>
        </is>
      </c>
      <c r="BH265" s="24" t="inlineStr">
        <is>
          <t>2026-08-07T21:56:47.081526Z</t>
        </is>
      </c>
      <c r="BI265" s="24" t="inlineStr">
        <is>
          <t>["same_event","same_team_same_day","same_league_same_day"]</t>
        </is>
      </c>
      <c r="BJ265" s="25" t="n">
        <v>8.5</v>
      </c>
      <c r="BK265" s="26" t="n">
        <v>-122</v>
      </c>
      <c r="BL265" s="27" t="n">
        <v>1.819672</v>
      </c>
      <c r="BM265" s="28" t="n">
        <v>0.54955</v>
      </c>
      <c r="BN265" s="28" t="n">
        <v>0.544554</v>
      </c>
      <c r="BO265" s="28" t="n"/>
      <c r="BP265" s="25" t="n"/>
      <c r="BQ265" s="27" t="n">
        <v>1.819672</v>
      </c>
      <c r="BR265" s="28" t="n">
        <v>0.55</v>
      </c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</row>
    <row r="266" ht="36" customHeight="1">
      <c r="A266" s="24" t="inlineStr">
        <is>
          <t>b18d2acd98884c42</t>
        </is>
      </c>
      <c r="B266" s="24" t="inlineStr">
        <is>
          <t>2026-08-07T21:56:47.081526Z</t>
        </is>
      </c>
      <c r="C266" s="24" t="inlineStr">
        <is>
          <t>2026-08-07T23:05Z</t>
        </is>
      </c>
      <c r="D266" s="24" t="inlineStr">
        <is>
          <t>401816426</t>
        </is>
      </c>
      <c r="E266" s="24" t="inlineStr">
        <is>
          <t>MLB</t>
        </is>
      </c>
      <c r="F266" s="24" t="inlineStr">
        <is>
          <t>Atlanta Braves</t>
        </is>
      </c>
      <c r="G266" s="24" t="inlineStr">
        <is>
          <t>New York Yankees</t>
        </is>
      </c>
      <c r="H266" s="24" t="inlineStr">
        <is>
          <t>spread</t>
        </is>
      </c>
      <c r="I266" s="24" t="inlineStr">
        <is>
          <t>home</t>
        </is>
      </c>
      <c r="J266" s="25" t="n">
        <v>-1.5</v>
      </c>
      <c r="K266" s="24" t="inlineStr">
        <is>
          <t>polymarket_us</t>
        </is>
      </c>
      <c r="L266" s="26" t="n">
        <v>163</v>
      </c>
      <c r="M266" s="27" t="n">
        <v>2.63</v>
      </c>
      <c r="N266" s="28" t="n">
        <v>0.380228</v>
      </c>
      <c r="O266" s="28" t="n">
        <v>0.395541</v>
      </c>
      <c r="P266" s="28" t="n">
        <v>0.042131</v>
      </c>
      <c r="Q266" s="28" t="n">
        <v>0.015313</v>
      </c>
      <c r="R266" s="26" t="n">
        <v>33</v>
      </c>
      <c r="S266" s="29" t="n">
        <v>0</v>
      </c>
      <c r="T266" s="24" t="inlineStr">
        <is>
          <t>measured-edge-margin-v3</t>
        </is>
      </c>
      <c r="U266" s="24" t="inlineStr">
        <is>
          <t>settled</t>
        </is>
      </c>
      <c r="V266" s="24" t="inlineStr">
        <is>
          <t>loss</t>
        </is>
      </c>
      <c r="W266" s="26" t="n">
        <v>2</v>
      </c>
      <c r="X266" s="26" t="n">
        <v>3</v>
      </c>
      <c r="Y266" s="25" t="n">
        <v>-1.5</v>
      </c>
      <c r="Z266" s="26" t="n">
        <v>163</v>
      </c>
      <c r="AA266" s="28" t="n">
        <v>0.38</v>
      </c>
      <c r="AB266" s="28" t="n">
        <v>-0.000228</v>
      </c>
      <c r="AC266" s="30" t="n">
        <v>0</v>
      </c>
      <c r="AD266" s="24" t="inlineStr">
        <is>
          <t>2026-08-08T18:33:04.630416Z</t>
        </is>
      </c>
      <c r="AE266" s="31" t="inlineStr">
        <is>
          <t>Measured Edge Margin: Trend Engine projected 4.54-4.75; raw selected-side p=0.3467, calibrated p=0.3955.</t>
        </is>
      </c>
      <c r="AF266" s="31" t="inlineStr">
        <is>
          <t>Research-only; lineup, bullpen, park, weather, xFIP, and wRC+ may be neutral fallbacks; market availability and BBO depth may change before first pitch.</t>
        </is>
      </c>
      <c r="AG266" s="24" t="inlineStr">
        <is>
          <t>review_required</t>
        </is>
      </c>
      <c r="AH266" s="24" t="n"/>
      <c r="AI266" s="31" t="n"/>
      <c r="AJ266" s="31" t="n"/>
      <c r="AK266" s="24" t="inlineStr">
        <is>
          <t>research_observation</t>
        </is>
      </c>
      <c r="AL266" s="26" t="n">
        <v>3</v>
      </c>
      <c r="AM266" s="24" t="inlineStr">
        <is>
          <t>RESEARCH_OBSERVATION</t>
        </is>
      </c>
      <c r="AN266" s="24" t="inlineStr">
        <is>
          <t>NO_CALL</t>
        </is>
      </c>
      <c r="AO266" s="24" t="inlineStr">
        <is>
          <t>NO_CALL_WINNER_OVERVALUED</t>
        </is>
      </c>
      <c r="AP266" s="24" t="inlineStr">
        <is>
          <t>mlb-atl</t>
        </is>
      </c>
      <c r="AQ266" s="24" t="inlineStr">
        <is>
          <t>Atlanta Braves</t>
        </is>
      </c>
      <c r="AR266" s="24" t="inlineStr">
        <is>
          <t>Atlanta Braves</t>
        </is>
      </c>
      <c r="AS266" s="24" t="inlineStr">
        <is>
          <t>mlb-nyy</t>
        </is>
      </c>
      <c r="AT266" s="24" t="inlineStr">
        <is>
          <t>New York Yankees</t>
        </is>
      </c>
      <c r="AU266" s="24" t="inlineStr">
        <is>
          <t>New York Yankees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research</t>
        </is>
      </c>
      <c r="BA266" s="24" t="inlineStr">
        <is>
          <t>dd339a2eed50d7d83ab2127837995ddab82e879afd27f5414bb6c1f9cd60ba4c</t>
        </is>
      </c>
      <c r="BB266" s="24" t="inlineStr">
        <is>
          <t>flat_probability_shrinkage_toward_half</t>
        </is>
      </c>
      <c r="BC266" s="24" t="inlineStr">
        <is>
          <t>measured-edge-margin-v3</t>
        </is>
      </c>
      <c r="BD266" s="24" t="inlineStr">
        <is>
          <t>dd339a2eed50d7d83ab2127837995ddab82e879afd27f5414bb6c1f9cd60ba4c</t>
        </is>
      </c>
      <c r="BE266" s="24" t="inlineStr">
        <is>
          <t>v3</t>
        </is>
      </c>
      <c r="BF266" s="24" t="inlineStr">
        <is>
          <t>1</t>
        </is>
      </c>
      <c r="BG266" s="24" t="inlineStr">
        <is>
          <t>measured-edge-paired-v1</t>
        </is>
      </c>
      <c r="BH266" s="24" t="inlineStr">
        <is>
          <t>2026-08-07T21:56:47.081526Z</t>
        </is>
      </c>
      <c r="BI266" s="24" t="inlineStr">
        <is>
          <t>["same_event","same_team_same_day","same_league_same_day"]</t>
        </is>
      </c>
      <c r="BJ266" s="25" t="n">
        <v>-1.5</v>
      </c>
      <c r="BK266" s="26" t="n">
        <v>163</v>
      </c>
      <c r="BL266" s="27" t="n">
        <v>2.63</v>
      </c>
      <c r="BM266" s="28" t="n">
        <v>0.380228</v>
      </c>
      <c r="BN266" s="28" t="n">
        <v>0.378109</v>
      </c>
      <c r="BO266" s="28" t="n"/>
      <c r="BP266" s="25" t="n"/>
      <c r="BQ266" s="27" t="n">
        <v>2.63</v>
      </c>
      <c r="BR266" s="28" t="n">
        <v>0.38</v>
      </c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</row>
    <row r="267" ht="36" customHeight="1">
      <c r="A267" s="24" t="inlineStr">
        <is>
          <t>e12efbe19ff64ca1</t>
        </is>
      </c>
      <c r="B267" s="24" t="inlineStr">
        <is>
          <t>2026-08-07T21:56:47.081526Z</t>
        </is>
      </c>
      <c r="C267" s="24" t="inlineStr">
        <is>
          <t>2026-08-07T23:05Z</t>
        </is>
      </c>
      <c r="D267" s="24" t="inlineStr">
        <is>
          <t>401816426</t>
        </is>
      </c>
      <c r="E267" s="24" t="inlineStr">
        <is>
          <t>MLB</t>
        </is>
      </c>
      <c r="F267" s="24" t="inlineStr">
        <is>
          <t>Atlanta Braves</t>
        </is>
      </c>
      <c r="G267" s="24" t="inlineStr">
        <is>
          <t>New York Yankees</t>
        </is>
      </c>
      <c r="H267" s="24" t="inlineStr">
        <is>
          <t>total</t>
        </is>
      </c>
      <c r="I267" s="24" t="inlineStr">
        <is>
          <t>over</t>
        </is>
      </c>
      <c r="J267" s="25" t="n">
        <v>7.5</v>
      </c>
      <c r="K267" s="24" t="inlineStr">
        <is>
          <t>polymarket_us</t>
        </is>
      </c>
      <c r="L267" s="26" t="n">
        <v>-120</v>
      </c>
      <c r="M267" s="27" t="n">
        <v>1.833333</v>
      </c>
      <c r="N267" s="28" t="n">
        <v>0.545455</v>
      </c>
      <c r="O267" s="28" t="n">
        <v>0.532975</v>
      </c>
      <c r="P267" s="28" t="n">
        <v>0.042131</v>
      </c>
      <c r="Q267" s="28" t="n">
        <v>-0.01248</v>
      </c>
      <c r="R267" s="26" t="n">
        <v>20</v>
      </c>
      <c r="S267" s="29" t="n">
        <v>0</v>
      </c>
      <c r="T267" s="24" t="inlineStr">
        <is>
          <t>measured-edge-totals-v3</t>
        </is>
      </c>
      <c r="U267" s="24" t="inlineStr">
        <is>
          <t>settled</t>
        </is>
      </c>
      <c r="V267" s="24" t="inlineStr">
        <is>
          <t>loss</t>
        </is>
      </c>
      <c r="W267" s="26" t="n">
        <v>2</v>
      </c>
      <c r="X267" s="26" t="n">
        <v>3</v>
      </c>
      <c r="Y267" s="25" t="n">
        <v>7.5</v>
      </c>
      <c r="Z267" s="26" t="n">
        <v>-120</v>
      </c>
      <c r="AA267" s="28" t="n">
        <v>0.545</v>
      </c>
      <c r="AB267" s="28" t="n">
        <v>-0.000455</v>
      </c>
      <c r="AC267" s="30" t="n">
        <v>0</v>
      </c>
      <c r="AD267" s="24" t="inlineStr">
        <is>
          <t>2026-08-08T18:33:05.854501Z</t>
        </is>
      </c>
      <c r="AE267" s="31" t="inlineStr">
        <is>
          <t>Measured Edge Totals: Trend Engine projected 4.54-4.75; raw selected-side p=0.6094, calibrated p=0.5330.</t>
        </is>
      </c>
      <c r="AF267" s="31" t="inlineStr">
        <is>
          <t>Research-only; lineup, bullpen, park, weather, xFIP, and wRC+ may be neutral fallbacks; market availability and BBO depth may change before first pitch.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research_observation</t>
        </is>
      </c>
      <c r="AL267" s="26" t="n">
        <v>3</v>
      </c>
      <c r="AM267" s="24" t="inlineStr">
        <is>
          <t>RESEARCH_OBSERVATION</t>
        </is>
      </c>
      <c r="AN267" s="24" t="inlineStr">
        <is>
          <t>NO_CALL</t>
        </is>
      </c>
      <c r="AO267" s="24" t="inlineStr">
        <is>
          <t>NO_CALL_WINNER_OVERVALUED</t>
        </is>
      </c>
      <c r="AP267" s="24" t="inlineStr">
        <is>
          <t>mlb-atl</t>
        </is>
      </c>
      <c r="AQ267" s="24" t="inlineStr">
        <is>
          <t>Atlanta Braves</t>
        </is>
      </c>
      <c r="AR267" s="24" t="inlineStr">
        <is>
          <t>Atlanta Braves</t>
        </is>
      </c>
      <c r="AS267" s="24" t="inlineStr">
        <is>
          <t>mlb-nyy</t>
        </is>
      </c>
      <c r="AT267" s="24" t="inlineStr">
        <is>
          <t>New York Yankees</t>
        </is>
      </c>
      <c r="AU267" s="24" t="inlineStr">
        <is>
          <t>New York Yankees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research</t>
        </is>
      </c>
      <c r="BA267" s="24" t="inlineStr">
        <is>
          <t>95b84332c75d2ce54036eb8de6ada9c78d0f80228c50825c0347281a8b9b49c7</t>
        </is>
      </c>
      <c r="BB267" s="24" t="inlineStr">
        <is>
          <t>flat_probability_shrinkage_toward_half</t>
        </is>
      </c>
      <c r="BC267" s="24" t="inlineStr">
        <is>
          <t>measured-edge-totals-v3</t>
        </is>
      </c>
      <c r="BD267" s="24" t="inlineStr">
        <is>
          <t>95b84332c75d2ce54036eb8de6ada9c78d0f80228c50825c0347281a8b9b49c7</t>
        </is>
      </c>
      <c r="BE267" s="24" t="inlineStr">
        <is>
          <t>v3</t>
        </is>
      </c>
      <c r="BF267" s="24" t="inlineStr">
        <is>
          <t>1</t>
        </is>
      </c>
      <c r="BG267" s="24" t="inlineStr">
        <is>
          <t>measured-edge-paired-v1</t>
        </is>
      </c>
      <c r="BH267" s="24" t="inlineStr">
        <is>
          <t>2026-08-07T21:56:47.081526Z</t>
        </is>
      </c>
      <c r="BI267" s="24" t="inlineStr">
        <is>
          <t>["same_event","same_team_same_day","same_league_same_day"]</t>
        </is>
      </c>
      <c r="BJ267" s="25" t="n">
        <v>7.5</v>
      </c>
      <c r="BK267" s="26" t="n">
        <v>-120</v>
      </c>
      <c r="BL267" s="27" t="n">
        <v>1.833333</v>
      </c>
      <c r="BM267" s="28" t="n">
        <v>0.545455</v>
      </c>
      <c r="BN267" s="28" t="n">
        <v>0.542289</v>
      </c>
      <c r="BO267" s="28" t="n"/>
      <c r="BP267" s="25" t="n"/>
      <c r="BQ267" s="27" t="n">
        <v>1.833333</v>
      </c>
      <c r="BR267" s="28" t="n">
        <v>0.545</v>
      </c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False</t>
        </is>
      </c>
    </row>
    <row r="268" ht="36" customHeight="1">
      <c r="A268" s="24" t="inlineStr">
        <is>
          <t>fd762caef3c94396</t>
        </is>
      </c>
      <c r="B268" s="24" t="inlineStr">
        <is>
          <t>2026-08-07T21:56:47.081526Z</t>
        </is>
      </c>
      <c r="C268" s="24" t="inlineStr">
        <is>
          <t>2026-08-07T23:10Z</t>
        </is>
      </c>
      <c r="D268" s="24" t="inlineStr">
        <is>
          <t>401816424</t>
        </is>
      </c>
      <c r="E268" s="24" t="inlineStr">
        <is>
          <t>MLB</t>
        </is>
      </c>
      <c r="F268" s="24" t="inlineStr">
        <is>
          <t>Los Angeles Angels</t>
        </is>
      </c>
      <c r="G268" s="24" t="inlineStr">
        <is>
          <t>Miami Marlins</t>
        </is>
      </c>
      <c r="H268" s="24" t="inlineStr">
        <is>
          <t>spread</t>
        </is>
      </c>
      <c r="I268" s="24" t="inlineStr">
        <is>
          <t>home</t>
        </is>
      </c>
      <c r="J268" s="25" t="n">
        <v>-1.5</v>
      </c>
      <c r="K268" s="24" t="inlineStr">
        <is>
          <t>polymarket_us</t>
        </is>
      </c>
      <c r="L268" s="26" t="n">
        <v>138</v>
      </c>
      <c r="M268" s="27" t="n">
        <v>2.38</v>
      </c>
      <c r="N268" s="28" t="n">
        <v>0.420168</v>
      </c>
      <c r="O268" s="28" t="n">
        <v>0.438776</v>
      </c>
      <c r="P268" s="28" t="n">
        <v>0.05172</v>
      </c>
      <c r="Q268" s="28" t="n">
        <v>0.018608</v>
      </c>
      <c r="R268" s="26" t="n">
        <v>29</v>
      </c>
      <c r="S268" s="29" t="n">
        <v>0</v>
      </c>
      <c r="T268" s="24" t="inlineStr">
        <is>
          <t>measured-edge-margin-v3</t>
        </is>
      </c>
      <c r="U268" s="24" t="inlineStr">
        <is>
          <t>settled</t>
        </is>
      </c>
      <c r="V268" s="24" t="inlineStr">
        <is>
          <t>loss</t>
        </is>
      </c>
      <c r="W268" s="26" t="n">
        <v>4</v>
      </c>
      <c r="X268" s="26" t="n">
        <v>3</v>
      </c>
      <c r="Y268" s="25" t="n">
        <v>-1.5</v>
      </c>
      <c r="Z268" s="26" t="n">
        <v>138</v>
      </c>
      <c r="AA268" s="28" t="n">
        <v>0.42</v>
      </c>
      <c r="AB268" s="28" t="n">
        <v>-0.000168</v>
      </c>
      <c r="AC268" s="30" t="n">
        <v>0</v>
      </c>
      <c r="AD268" s="24" t="inlineStr">
        <is>
          <t>2026-08-08T04:03:29.601130Z</t>
        </is>
      </c>
      <c r="AE268" s="31" t="inlineStr">
        <is>
          <t>Measured Edge Margin: Trend Engine projected 4.33-5.11; raw selected-side p=0.4102, calibrated p=0.4388.</t>
        </is>
      </c>
      <c r="AF268" s="31" t="inlineStr">
        <is>
          <t>Research-only; lineup, bullpen, park, weather, xFIP, and wRC+ may be neutral fallbacks; market availability and BBO depth may change before first pitch.</t>
        </is>
      </c>
      <c r="AG268" s="24" t="inlineStr">
        <is>
          <t>review_required</t>
        </is>
      </c>
      <c r="AH268" s="24" t="n"/>
      <c r="AI268" s="31" t="n"/>
      <c r="AJ268" s="31" t="n"/>
      <c r="AK268" s="24" t="inlineStr">
        <is>
          <t>research_observation</t>
        </is>
      </c>
      <c r="AL268" s="26" t="n">
        <v>3</v>
      </c>
      <c r="AM268" s="24" t="inlineStr">
        <is>
          <t>RESEARCH_OBSERVATION</t>
        </is>
      </c>
      <c r="AN268" s="24" t="inlineStr">
        <is>
          <t>NO_CALL</t>
        </is>
      </c>
      <c r="AO268" s="24" t="inlineStr">
        <is>
          <t>NO_CALL_WINNER_OVERVALUED</t>
        </is>
      </c>
      <c r="AP268" s="24" t="inlineStr">
        <is>
          <t>mlb-laa</t>
        </is>
      </c>
      <c r="AQ268" s="24" t="inlineStr">
        <is>
          <t>Los Angeles Angels</t>
        </is>
      </c>
      <c r="AR268" s="24" t="inlineStr">
        <is>
          <t>Los Angeles Angels</t>
        </is>
      </c>
      <c r="AS268" s="24" t="inlineStr">
        <is>
          <t>mlb-mia</t>
        </is>
      </c>
      <c r="AT268" s="24" t="inlineStr">
        <is>
          <t>Miami Marlins</t>
        </is>
      </c>
      <c r="AU268" s="24" t="inlineStr">
        <is>
          <t>Miami Marlins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research</t>
        </is>
      </c>
      <c r="BA268" s="24" t="inlineStr">
        <is>
          <t>dd339a2eed50d7d83ab2127837995ddab82e879afd27f5414bb6c1f9cd60ba4c</t>
        </is>
      </c>
      <c r="BB268" s="24" t="inlineStr">
        <is>
          <t>flat_probability_shrinkage_toward_half</t>
        </is>
      </c>
      <c r="BC268" s="24" t="inlineStr">
        <is>
          <t>measured-edge-margin-v3</t>
        </is>
      </c>
      <c r="BD268" s="24" t="inlineStr">
        <is>
          <t>dd339a2eed50d7d83ab2127837995ddab82e879afd27f5414bb6c1f9cd60ba4c</t>
        </is>
      </c>
      <c r="BE268" s="24" t="inlineStr">
        <is>
          <t>v3</t>
        </is>
      </c>
      <c r="BF268" s="24" t="inlineStr">
        <is>
          <t>1</t>
        </is>
      </c>
      <c r="BG268" s="24" t="inlineStr">
        <is>
          <t>measured-edge-paired-v1</t>
        </is>
      </c>
      <c r="BH268" s="24" t="inlineStr">
        <is>
          <t>2026-08-07T21:56:47.081526Z</t>
        </is>
      </c>
      <c r="BI268" s="24" t="inlineStr">
        <is>
          <t>["same_event","same_team_same_day","same_league_same_day"]</t>
        </is>
      </c>
      <c r="BJ268" s="25" t="n">
        <v>-1.5</v>
      </c>
      <c r="BK268" s="26" t="n">
        <v>138</v>
      </c>
      <c r="BL268" s="27" t="n">
        <v>2.38</v>
      </c>
      <c r="BM268" s="28" t="n">
        <v>0.420168</v>
      </c>
      <c r="BN268" s="28" t="n">
        <v>0.41791</v>
      </c>
      <c r="BO268" s="28" t="n"/>
      <c r="BP268" s="25" t="n"/>
      <c r="BQ268" s="27" t="n">
        <v>2.38</v>
      </c>
      <c r="BR268" s="28" t="n">
        <v>0.42</v>
      </c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</row>
    <row r="269" ht="36" customHeight="1">
      <c r="A269" s="24" t="inlineStr">
        <is>
          <t>f9dfc5780cb845fe</t>
        </is>
      </c>
      <c r="B269" s="24" t="inlineStr">
        <is>
          <t>2026-08-07T21:56:47.081526Z</t>
        </is>
      </c>
      <c r="C269" s="24" t="inlineStr">
        <is>
          <t>2026-08-07T23:10Z</t>
        </is>
      </c>
      <c r="D269" s="24" t="inlineStr">
        <is>
          <t>401816424</t>
        </is>
      </c>
      <c r="E269" s="24" t="inlineStr">
        <is>
          <t>MLB</t>
        </is>
      </c>
      <c r="F269" s="24" t="inlineStr">
        <is>
          <t>Los Angeles Angels</t>
        </is>
      </c>
      <c r="G269" s="24" t="inlineStr">
        <is>
          <t>Miami Marlins</t>
        </is>
      </c>
      <c r="H269" s="24" t="inlineStr">
        <is>
          <t>total</t>
        </is>
      </c>
      <c r="I269" s="24" t="inlineStr">
        <is>
          <t>over</t>
        </is>
      </c>
      <c r="J269" s="25" t="n">
        <v>8.5</v>
      </c>
      <c r="K269" s="24" t="inlineStr">
        <is>
          <t>polymarket_us</t>
        </is>
      </c>
      <c r="L269" s="26" t="n">
        <v>-113</v>
      </c>
      <c r="M269" s="27" t="n">
        <v>1.884956</v>
      </c>
      <c r="N269" s="28" t="n">
        <v>0.530516</v>
      </c>
      <c r="O269" s="28" t="n">
        <v>0.518096</v>
      </c>
      <c r="P269" s="28" t="n">
        <v>0.05172</v>
      </c>
      <c r="Q269" s="28" t="n">
        <v>-0.01242</v>
      </c>
      <c r="R269" s="26" t="n">
        <v>14</v>
      </c>
      <c r="S269" s="29" t="n">
        <v>0</v>
      </c>
      <c r="T269" s="24" t="inlineStr">
        <is>
          <t>measured-edge-totals-v3</t>
        </is>
      </c>
      <c r="U269" s="24" t="inlineStr">
        <is>
          <t>settled</t>
        </is>
      </c>
      <c r="V269" s="24" t="inlineStr">
        <is>
          <t>loss</t>
        </is>
      </c>
      <c r="W269" s="26" t="n">
        <v>4</v>
      </c>
      <c r="X269" s="26" t="n">
        <v>3</v>
      </c>
      <c r="Y269" s="25" t="n">
        <v>8.5</v>
      </c>
      <c r="Z269" s="26" t="n">
        <v>-113</v>
      </c>
      <c r="AA269" s="28" t="n">
        <v>0.53</v>
      </c>
      <c r="AB269" s="28" t="n">
        <v>-0.000516</v>
      </c>
      <c r="AC269" s="30" t="n">
        <v>0</v>
      </c>
      <c r="AD269" s="24" t="inlineStr">
        <is>
          <t>2026-08-08T04:03:30.730518Z</t>
        </is>
      </c>
      <c r="AE269" s="31" t="inlineStr">
        <is>
          <t>Measured Edge Totals: Trend Engine projected 4.33-5.11; raw selected-side p=0.5495, calibrated p=0.5181.</t>
        </is>
      </c>
      <c r="AF269" s="31" t="inlineStr">
        <is>
          <t>Research-only; lineup, bullpen, park, weather, xFIP, and wRC+ may be neutral fallbacks; market availability and BBO depth may change before first pitch.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research_observation</t>
        </is>
      </c>
      <c r="AL269" s="26" t="n">
        <v>3</v>
      </c>
      <c r="AM269" s="24" t="inlineStr">
        <is>
          <t>RESEARCH_OBSERVATION</t>
        </is>
      </c>
      <c r="AN269" s="24" t="inlineStr">
        <is>
          <t>NO_CALL</t>
        </is>
      </c>
      <c r="AO269" s="24" t="inlineStr">
        <is>
          <t>NO_CALL_WINNER_OVERVALUED</t>
        </is>
      </c>
      <c r="AP269" s="24" t="inlineStr">
        <is>
          <t>mlb-laa</t>
        </is>
      </c>
      <c r="AQ269" s="24" t="inlineStr">
        <is>
          <t>Los Angeles Angels</t>
        </is>
      </c>
      <c r="AR269" s="24" t="inlineStr">
        <is>
          <t>Los Angeles Angels</t>
        </is>
      </c>
      <c r="AS269" s="24" t="inlineStr">
        <is>
          <t>mlb-mia</t>
        </is>
      </c>
      <c r="AT269" s="24" t="inlineStr">
        <is>
          <t>Miami Marlins</t>
        </is>
      </c>
      <c r="AU269" s="24" t="inlineStr">
        <is>
          <t>Miami Marlins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research</t>
        </is>
      </c>
      <c r="BA269" s="24" t="inlineStr">
        <is>
          <t>95b84332c75d2ce54036eb8de6ada9c78d0f80228c50825c0347281a8b9b49c7</t>
        </is>
      </c>
      <c r="BB269" s="24" t="inlineStr">
        <is>
          <t>flat_probability_shrinkage_toward_half</t>
        </is>
      </c>
      <c r="BC269" s="24" t="inlineStr">
        <is>
          <t>measured-edge-totals-v3</t>
        </is>
      </c>
      <c r="BD269" s="24" t="inlineStr">
        <is>
          <t>95b84332c75d2ce54036eb8de6ada9c78d0f80228c50825c0347281a8b9b49c7</t>
        </is>
      </c>
      <c r="BE269" s="24" t="inlineStr">
        <is>
          <t>v3</t>
        </is>
      </c>
      <c r="BF269" s="24" t="inlineStr">
        <is>
          <t>1</t>
        </is>
      </c>
      <c r="BG269" s="24" t="inlineStr">
        <is>
          <t>measured-edge-paired-v1</t>
        </is>
      </c>
      <c r="BH269" s="24" t="inlineStr">
        <is>
          <t>2026-08-07T21:56:47.081526Z</t>
        </is>
      </c>
      <c r="BI269" s="24" t="inlineStr">
        <is>
          <t>["same_event","same_team_same_day","same_league_same_day"]</t>
        </is>
      </c>
      <c r="BJ269" s="25" t="n">
        <v>8.5</v>
      </c>
      <c r="BK269" s="26" t="n">
        <v>-113</v>
      </c>
      <c r="BL269" s="27" t="n">
        <v>1.884956</v>
      </c>
      <c r="BM269" s="28" t="n">
        <v>0.530516</v>
      </c>
      <c r="BN269" s="28" t="n">
        <v>0.527363</v>
      </c>
      <c r="BO269" s="28" t="n"/>
      <c r="BP269" s="25" t="n"/>
      <c r="BQ269" s="27" t="n">
        <v>1.884956</v>
      </c>
      <c r="BR269" s="28" t="n">
        <v>0.53</v>
      </c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False</t>
        </is>
      </c>
    </row>
    <row r="270" ht="36" customHeight="1">
      <c r="A270" s="24" t="inlineStr">
        <is>
          <t>e4ff7023c3d6402c</t>
        </is>
      </c>
      <c r="B270" s="24" t="inlineStr">
        <is>
          <t>2026-08-07T21:56:47.081526Z</t>
        </is>
      </c>
      <c r="C270" s="24" t="inlineStr">
        <is>
          <t>2026-08-07T23:10Z</t>
        </is>
      </c>
      <c r="D270" s="24" t="inlineStr">
        <is>
          <t>401816425</t>
        </is>
      </c>
      <c r="E270" s="24" t="inlineStr">
        <is>
          <t>MLB</t>
        </is>
      </c>
      <c r="F270" s="24" t="inlineStr">
        <is>
          <t>Athletics</t>
        </is>
      </c>
      <c r="G270" s="24" t="inlineStr">
        <is>
          <t>Boston Red Sox</t>
        </is>
      </c>
      <c r="H270" s="24" t="inlineStr">
        <is>
          <t>spread</t>
        </is>
      </c>
      <c r="I270" s="24" t="inlineStr">
        <is>
          <t>home</t>
        </is>
      </c>
      <c r="J270" s="25" t="n">
        <v>-1.5</v>
      </c>
      <c r="K270" s="24" t="inlineStr">
        <is>
          <t>polymarket_us</t>
        </is>
      </c>
      <c r="L270" s="26" t="n">
        <v>-125</v>
      </c>
      <c r="M270" s="27" t="n">
        <v>1.8</v>
      </c>
      <c r="N270" s="28" t="n">
        <v>0.555556</v>
      </c>
      <c r="O270" s="28" t="n">
        <v>0.501669</v>
      </c>
      <c r="P270" s="28" t="n">
        <v>0.042131</v>
      </c>
      <c r="Q270" s="28" t="n">
        <v>-0.053887</v>
      </c>
      <c r="R270" s="26" t="n">
        <v>0</v>
      </c>
      <c r="S270" s="29" t="n">
        <v>0</v>
      </c>
      <c r="T270" s="24" t="inlineStr">
        <is>
          <t>measured-edge-margin-v3</t>
        </is>
      </c>
      <c r="U270" s="24" t="inlineStr">
        <is>
          <t>settled</t>
        </is>
      </c>
      <c r="V270" s="24" t="inlineStr">
        <is>
          <t>win</t>
        </is>
      </c>
      <c r="W270" s="26" t="n">
        <v>1</v>
      </c>
      <c r="X270" s="26" t="n">
        <v>13</v>
      </c>
      <c r="Y270" s="25" t="n">
        <v>-1.5</v>
      </c>
      <c r="Z270" s="26" t="n">
        <v>-125</v>
      </c>
      <c r="AA270" s="28" t="n">
        <v>0.555</v>
      </c>
      <c r="AB270" s="28" t="n">
        <v>-0.000556</v>
      </c>
      <c r="AC270" s="30" t="n">
        <v>0</v>
      </c>
      <c r="AD270" s="24" t="inlineStr">
        <is>
          <t>2026-08-08T04:03:31.902370Z</t>
        </is>
      </c>
      <c r="AE270" s="31" t="inlineStr">
        <is>
          <t>Measured Edge Margin: Trend Engine projected 4.05-5.72; raw selected-side p=0.5024, calibrated p=0.5017.</t>
        </is>
      </c>
      <c r="AF270" s="31" t="inlineStr">
        <is>
          <t>Research-only; lineup, bullpen, park, weather, xFIP, and wRC+ may be neutral fallbacks; market availability and BBO depth may change before first pitch.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research_observation</t>
        </is>
      </c>
      <c r="AL270" s="26" t="n">
        <v>3</v>
      </c>
      <c r="AM270" s="24" t="inlineStr">
        <is>
          <t>RESEARCH_OBSERVATION</t>
        </is>
      </c>
      <c r="AN270" s="24" t="inlineStr">
        <is>
          <t>NO_CALL</t>
        </is>
      </c>
      <c r="AO270" s="24" t="inlineStr">
        <is>
          <t>NO_CALL_WINNER_OVERVALUED</t>
        </is>
      </c>
      <c r="AP270" s="24" t="inlineStr">
        <is>
          <t>mlb-ath</t>
        </is>
      </c>
      <c r="AQ270" s="24" t="inlineStr">
        <is>
          <t>Athletics</t>
        </is>
      </c>
      <c r="AR270" s="24" t="inlineStr">
        <is>
          <t>Athletics</t>
        </is>
      </c>
      <c r="AS270" s="24" t="inlineStr">
        <is>
          <t>mlb-bos</t>
        </is>
      </c>
      <c r="AT270" s="24" t="inlineStr">
        <is>
          <t>Boston Red Sox</t>
        </is>
      </c>
      <c r="AU270" s="24" t="inlineStr">
        <is>
          <t>Boston Red Sox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research</t>
        </is>
      </c>
      <c r="BA270" s="24" t="inlineStr">
        <is>
          <t>dd339a2eed50d7d83ab2127837995ddab82e879afd27f5414bb6c1f9cd60ba4c</t>
        </is>
      </c>
      <c r="BB270" s="24" t="inlineStr">
        <is>
          <t>flat_probability_shrinkage_toward_half</t>
        </is>
      </c>
      <c r="BC270" s="24" t="inlineStr">
        <is>
          <t>measured-edge-margin-v3</t>
        </is>
      </c>
      <c r="BD270" s="24" t="inlineStr">
        <is>
          <t>dd339a2eed50d7d83ab2127837995ddab82e879afd27f5414bb6c1f9cd60ba4c</t>
        </is>
      </c>
      <c r="BE270" s="24" t="inlineStr">
        <is>
          <t>v3</t>
        </is>
      </c>
      <c r="BF270" s="24" t="inlineStr">
        <is>
          <t>1</t>
        </is>
      </c>
      <c r="BG270" s="24" t="inlineStr">
        <is>
          <t>measured-edge-paired-v1</t>
        </is>
      </c>
      <c r="BH270" s="24" t="inlineStr">
        <is>
          <t>2026-08-07T21:56:47.081526Z</t>
        </is>
      </c>
      <c r="BI270" s="24" t="inlineStr">
        <is>
          <t>["same_event","same_team_same_day","same_league_same_day"]</t>
        </is>
      </c>
      <c r="BJ270" s="25" t="n">
        <v>-1.5</v>
      </c>
      <c r="BK270" s="26" t="n">
        <v>-125</v>
      </c>
      <c r="BL270" s="27" t="n">
        <v>1.8</v>
      </c>
      <c r="BM270" s="28" t="n">
        <v>0.555556</v>
      </c>
      <c r="BN270" s="28" t="n">
        <v>0.552239</v>
      </c>
      <c r="BO270" s="28" t="n"/>
      <c r="BP270" s="25" t="n"/>
      <c r="BQ270" s="27" t="n">
        <v>1.8</v>
      </c>
      <c r="BR270" s="28" t="n">
        <v>0.555</v>
      </c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False</t>
        </is>
      </c>
    </row>
    <row r="271" ht="36" customHeight="1">
      <c r="A271" s="24" t="inlineStr">
        <is>
          <t>23942dfe84324747</t>
        </is>
      </c>
      <c r="B271" s="24" t="inlineStr">
        <is>
          <t>2026-08-07T21:56:47.081526Z</t>
        </is>
      </c>
      <c r="C271" s="24" t="inlineStr">
        <is>
          <t>2026-08-07T23:10Z</t>
        </is>
      </c>
      <c r="D271" s="24" t="inlineStr">
        <is>
          <t>401816425</t>
        </is>
      </c>
      <c r="E271" s="24" t="inlineStr">
        <is>
          <t>MLB</t>
        </is>
      </c>
      <c r="F271" s="24" t="inlineStr">
        <is>
          <t>Athletics</t>
        </is>
      </c>
      <c r="G271" s="24" t="inlineStr">
        <is>
          <t>Boston Red Sox</t>
        </is>
      </c>
      <c r="H271" s="24" t="inlineStr">
        <is>
          <t>total</t>
        </is>
      </c>
      <c r="I271" s="24" t="inlineStr">
        <is>
          <t>over</t>
        </is>
      </c>
      <c r="J271" s="25" t="n">
        <v>8.5</v>
      </c>
      <c r="K271" s="24" t="inlineStr">
        <is>
          <t>polymarket_us</t>
        </is>
      </c>
      <c r="L271" s="26" t="n">
        <v>-102</v>
      </c>
      <c r="M271" s="27" t="n">
        <v>1.980392</v>
      </c>
      <c r="N271" s="28" t="n">
        <v>0.50495</v>
      </c>
      <c r="O271" s="28" t="n">
        <v>0.52443</v>
      </c>
      <c r="P271" s="28" t="n">
        <v>0.042131</v>
      </c>
      <c r="Q271" s="28" t="n">
        <v>0.01948</v>
      </c>
      <c r="R271" s="26" t="n">
        <v>36</v>
      </c>
      <c r="S271" s="29" t="n">
        <v>0</v>
      </c>
      <c r="T271" s="24" t="inlineStr">
        <is>
          <t>measured-edge-totals-v3</t>
        </is>
      </c>
      <c r="U271" s="24" t="inlineStr">
        <is>
          <t>settled</t>
        </is>
      </c>
      <c r="V271" s="24" t="inlineStr">
        <is>
          <t>win</t>
        </is>
      </c>
      <c r="W271" s="26" t="n">
        <v>1</v>
      </c>
      <c r="X271" s="26" t="n">
        <v>13</v>
      </c>
      <c r="Y271" s="25" t="n">
        <v>8.5</v>
      </c>
      <c r="Z271" s="26" t="n">
        <v>-102</v>
      </c>
      <c r="AA271" s="28" t="n">
        <v>0.505</v>
      </c>
      <c r="AB271" s="28" t="n">
        <v>5e-05</v>
      </c>
      <c r="AC271" s="30" t="n">
        <v>0</v>
      </c>
      <c r="AD271" s="24" t="inlineStr">
        <is>
          <t>2026-08-08T04:03:33.026767Z</t>
        </is>
      </c>
      <c r="AE271" s="31" t="inlineStr">
        <is>
          <t>Measured Edge Totals: Trend Engine projected 4.05-5.72; raw selected-side p=0.5750, calibrated p=0.5244.</t>
        </is>
      </c>
      <c r="AF271" s="31" t="inlineStr">
        <is>
          <t>Research-only; lineup, bullpen, park, weather, xFIP, and wRC+ may be neutral fallbacks; market availability and BBO depth may change before first pitch.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research_observation</t>
        </is>
      </c>
      <c r="AL271" s="26" t="n">
        <v>3</v>
      </c>
      <c r="AM271" s="24" t="inlineStr">
        <is>
          <t>RESEARCH_OBSERVATION</t>
        </is>
      </c>
      <c r="AN271" s="24" t="inlineStr">
        <is>
          <t>NO_CALL</t>
        </is>
      </c>
      <c r="AO271" s="24" t="inlineStr">
        <is>
          <t>NO_CALL_WINNER_OVERVALUED</t>
        </is>
      </c>
      <c r="AP271" s="24" t="inlineStr">
        <is>
          <t>mlb-ath</t>
        </is>
      </c>
      <c r="AQ271" s="24" t="inlineStr">
        <is>
          <t>Athletics</t>
        </is>
      </c>
      <c r="AR271" s="24" t="inlineStr">
        <is>
          <t>Athletics</t>
        </is>
      </c>
      <c r="AS271" s="24" t="inlineStr">
        <is>
          <t>mlb-bos</t>
        </is>
      </c>
      <c r="AT271" s="24" t="inlineStr">
        <is>
          <t>Boston Red Sox</t>
        </is>
      </c>
      <c r="AU271" s="24" t="inlineStr">
        <is>
          <t>Boston Red Sox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research</t>
        </is>
      </c>
      <c r="BA271" s="24" t="inlineStr">
        <is>
          <t>95b84332c75d2ce54036eb8de6ada9c78d0f80228c50825c0347281a8b9b49c7</t>
        </is>
      </c>
      <c r="BB271" s="24" t="inlineStr">
        <is>
          <t>flat_probability_shrinkage_toward_half</t>
        </is>
      </c>
      <c r="BC271" s="24" t="inlineStr">
        <is>
          <t>measured-edge-totals-v3</t>
        </is>
      </c>
      <c r="BD271" s="24" t="inlineStr">
        <is>
          <t>95b84332c75d2ce54036eb8de6ada9c78d0f80228c50825c0347281a8b9b49c7</t>
        </is>
      </c>
      <c r="BE271" s="24" t="inlineStr">
        <is>
          <t>v3</t>
        </is>
      </c>
      <c r="BF271" s="24" t="inlineStr">
        <is>
          <t>1</t>
        </is>
      </c>
      <c r="BG271" s="24" t="inlineStr">
        <is>
          <t>measured-edge-paired-v1</t>
        </is>
      </c>
      <c r="BH271" s="24" t="inlineStr">
        <is>
          <t>2026-08-07T21:56:47.081526Z</t>
        </is>
      </c>
      <c r="BI271" s="24" t="inlineStr">
        <is>
          <t>["same_event","same_team_same_day","same_league_same_day"]</t>
        </is>
      </c>
      <c r="BJ271" s="25" t="n">
        <v>8.5</v>
      </c>
      <c r="BK271" s="26" t="n">
        <v>-102</v>
      </c>
      <c r="BL271" s="27" t="n">
        <v>1.980392</v>
      </c>
      <c r="BM271" s="28" t="n">
        <v>0.50495</v>
      </c>
      <c r="BN271" s="28" t="n">
        <v>0.502488</v>
      </c>
      <c r="BO271" s="28" t="n"/>
      <c r="BP271" s="25" t="n"/>
      <c r="BQ271" s="27" t="n">
        <v>1.980392</v>
      </c>
      <c r="BR271" s="28" t="n">
        <v>0.505</v>
      </c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True</t>
        </is>
      </c>
    </row>
    <row r="272" ht="36" customHeight="1">
      <c r="A272" s="24" t="inlineStr">
        <is>
          <t>b5306b0195154aeb</t>
        </is>
      </c>
      <c r="B272" s="24" t="inlineStr">
        <is>
          <t>2026-08-07T21:56:47.081526Z</t>
        </is>
      </c>
      <c r="C272" s="24" t="inlineStr">
        <is>
          <t>2026-08-07T23:40Z</t>
        </is>
      </c>
      <c r="D272" s="24" t="inlineStr">
        <is>
          <t>401816432</t>
        </is>
      </c>
      <c r="E272" s="24" t="inlineStr">
        <is>
          <t>MLB</t>
        </is>
      </c>
      <c r="F272" s="24" t="inlineStr">
        <is>
          <t>Cleveland Guardians</t>
        </is>
      </c>
      <c r="G272" s="24" t="inlineStr">
        <is>
          <t>Chicago White Sox</t>
        </is>
      </c>
      <c r="H272" s="24" t="inlineStr">
        <is>
          <t>spread</t>
        </is>
      </c>
      <c r="I272" s="24" t="inlineStr">
        <is>
          <t>away</t>
        </is>
      </c>
      <c r="J272" s="25" t="n">
        <v>-1.5</v>
      </c>
      <c r="K272" s="24" t="inlineStr">
        <is>
          <t>polymarket_us</t>
        </is>
      </c>
      <c r="L272" s="26" t="n">
        <v>125</v>
      </c>
      <c r="M272" s="27" t="n">
        <v>2.25</v>
      </c>
      <c r="N272" s="28" t="n">
        <v>0.444444</v>
      </c>
      <c r="O272" s="28" t="n">
        <v>0.427158</v>
      </c>
      <c r="P272" s="28" t="n">
        <v>0.042131</v>
      </c>
      <c r="Q272" s="28" t="n">
        <v>-0.017286</v>
      </c>
      <c r="R272" s="26" t="n">
        <v>18</v>
      </c>
      <c r="S272" s="29" t="n">
        <v>0</v>
      </c>
      <c r="T272" s="24" t="inlineStr">
        <is>
          <t>measured-edge-margin-v3</t>
        </is>
      </c>
      <c r="U272" s="24" t="inlineStr">
        <is>
          <t>settled</t>
        </is>
      </c>
      <c r="V272" s="24" t="inlineStr">
        <is>
          <t>win</t>
        </is>
      </c>
      <c r="W272" s="26" t="n">
        <v>8</v>
      </c>
      <c r="X272" s="26" t="n">
        <v>2</v>
      </c>
      <c r="Y272" s="25" t="n">
        <v>-1.5</v>
      </c>
      <c r="Z272" s="26" t="n">
        <v>125</v>
      </c>
      <c r="AA272" s="28" t="n">
        <v>0.445</v>
      </c>
      <c r="AB272" s="28" t="n">
        <v>0.000556</v>
      </c>
      <c r="AC272" s="30" t="n">
        <v>0</v>
      </c>
      <c r="AD272" s="24" t="inlineStr">
        <is>
          <t>2026-08-08T04:03:34.211238Z</t>
        </is>
      </c>
      <c r="AE272" s="31" t="inlineStr">
        <is>
          <t>Measured Edge Margin: Trend Engine projected 4.69-4.01; raw selected-side p=0.3931, calibrated p=0.4272.</t>
        </is>
      </c>
      <c r="AF272" s="31" t="inlineStr">
        <is>
          <t>Research-only; lineup, bullpen, park, weather, xFIP, and wRC+ may be neutral fallbacks; market availability and BBO depth may change before first pitch.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research_observation</t>
        </is>
      </c>
      <c r="AL272" s="26" t="n">
        <v>3</v>
      </c>
      <c r="AM272" s="24" t="inlineStr">
        <is>
          <t>RESEARCH_OBSERVATION</t>
        </is>
      </c>
      <c r="AN272" s="24" t="inlineStr">
        <is>
          <t>NO_CALL</t>
        </is>
      </c>
      <c r="AO272" s="24" t="inlineStr">
        <is>
          <t>NO_CALL_WINNER_OVERVALUED</t>
        </is>
      </c>
      <c r="AP272" s="24" t="inlineStr">
        <is>
          <t>mlb-cle</t>
        </is>
      </c>
      <c r="AQ272" s="24" t="inlineStr">
        <is>
          <t>Cleveland Guardians</t>
        </is>
      </c>
      <c r="AR272" s="24" t="inlineStr">
        <is>
          <t>Cleveland Guardians</t>
        </is>
      </c>
      <c r="AS272" s="24" t="inlineStr">
        <is>
          <t>mlb-cws</t>
        </is>
      </c>
      <c r="AT272" s="24" t="inlineStr">
        <is>
          <t>Chicago White Sox</t>
        </is>
      </c>
      <c r="AU272" s="24" t="inlineStr">
        <is>
          <t>Chicago White Sox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research</t>
        </is>
      </c>
      <c r="BA272" s="24" t="inlineStr">
        <is>
          <t>dd339a2eed50d7d83ab2127837995ddab82e879afd27f5414bb6c1f9cd60ba4c</t>
        </is>
      </c>
      <c r="BB272" s="24" t="inlineStr">
        <is>
          <t>flat_probability_shrinkage_toward_half</t>
        </is>
      </c>
      <c r="BC272" s="24" t="inlineStr">
        <is>
          <t>measured-edge-margin-v3</t>
        </is>
      </c>
      <c r="BD272" s="24" t="inlineStr">
        <is>
          <t>dd339a2eed50d7d83ab2127837995ddab82e879afd27f5414bb6c1f9cd60ba4c</t>
        </is>
      </c>
      <c r="BE272" s="24" t="inlineStr">
        <is>
          <t>v3</t>
        </is>
      </c>
      <c r="BF272" s="24" t="inlineStr">
        <is>
          <t>1</t>
        </is>
      </c>
      <c r="BG272" s="24" t="inlineStr">
        <is>
          <t>measured-edge-paired-v1</t>
        </is>
      </c>
      <c r="BH272" s="24" t="inlineStr">
        <is>
          <t>2026-08-07T21:56:47.081526Z</t>
        </is>
      </c>
      <c r="BI272" s="24" t="inlineStr">
        <is>
          <t>["same_event","same_team_same_day","same_league_same_day"]</t>
        </is>
      </c>
      <c r="BJ272" s="25" t="n">
        <v>-1.5</v>
      </c>
      <c r="BK272" s="26" t="n">
        <v>125</v>
      </c>
      <c r="BL272" s="27" t="n">
        <v>2.25</v>
      </c>
      <c r="BM272" s="28" t="n">
        <v>0.444444</v>
      </c>
      <c r="BN272" s="28" t="n">
        <v>0.440594</v>
      </c>
      <c r="BO272" s="28" t="n"/>
      <c r="BP272" s="25" t="n"/>
      <c r="BQ272" s="27" t="n">
        <v>2.25</v>
      </c>
      <c r="BR272" s="28" t="n">
        <v>0.445</v>
      </c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False</t>
        </is>
      </c>
    </row>
    <row r="273" ht="36" customHeight="1">
      <c r="A273" s="24" t="inlineStr">
        <is>
          <t>458d30013957408a</t>
        </is>
      </c>
      <c r="B273" s="24" t="inlineStr">
        <is>
          <t>2026-08-07T21:56:47.081526Z</t>
        </is>
      </c>
      <c r="C273" s="24" t="inlineStr">
        <is>
          <t>2026-08-07T23:40Z</t>
        </is>
      </c>
      <c r="D273" s="24" t="inlineStr">
        <is>
          <t>401816432</t>
        </is>
      </c>
      <c r="E273" s="24" t="inlineStr">
        <is>
          <t>MLB</t>
        </is>
      </c>
      <c r="F273" s="24" t="inlineStr">
        <is>
          <t>Cleveland Guardians</t>
        </is>
      </c>
      <c r="G273" s="24" t="inlineStr">
        <is>
          <t>Chicago White Sox</t>
        </is>
      </c>
      <c r="H273" s="24" t="inlineStr">
        <is>
          <t>total</t>
        </is>
      </c>
      <c r="I273" s="24" t="inlineStr">
        <is>
          <t>over</t>
        </is>
      </c>
      <c r="J273" s="25" t="n">
        <v>7.5</v>
      </c>
      <c r="K273" s="24" t="inlineStr">
        <is>
          <t>polymarket_us</t>
        </is>
      </c>
      <c r="L273" s="26" t="n">
        <v>-104</v>
      </c>
      <c r="M273" s="27" t="n">
        <v>1.961538</v>
      </c>
      <c r="N273" s="28" t="n">
        <v>0.509804</v>
      </c>
      <c r="O273" s="28" t="n">
        <v>0.521275</v>
      </c>
      <c r="P273" s="28" t="n">
        <v>0.042131</v>
      </c>
      <c r="Q273" s="28" t="n">
        <v>0.011471</v>
      </c>
      <c r="R273" s="26" t="n">
        <v>32</v>
      </c>
      <c r="S273" s="29" t="n">
        <v>0</v>
      </c>
      <c r="T273" s="24" t="inlineStr">
        <is>
          <t>measured-edge-totals-v3</t>
        </is>
      </c>
      <c r="U273" s="24" t="inlineStr">
        <is>
          <t>settled</t>
        </is>
      </c>
      <c r="V273" s="24" t="inlineStr">
        <is>
          <t>win</t>
        </is>
      </c>
      <c r="W273" s="26" t="n">
        <v>8</v>
      </c>
      <c r="X273" s="26" t="n">
        <v>2</v>
      </c>
      <c r="Y273" s="25" t="n">
        <v>7.5</v>
      </c>
      <c r="Z273" s="26" t="n">
        <v>-104</v>
      </c>
      <c r="AA273" s="28" t="n">
        <v>0.51</v>
      </c>
      <c r="AB273" s="28" t="n">
        <v>0.000196</v>
      </c>
      <c r="AC273" s="30" t="n">
        <v>0</v>
      </c>
      <c r="AD273" s="24" t="inlineStr">
        <is>
          <t>2026-08-08T04:03:35.385786Z</t>
        </is>
      </c>
      <c r="AE273" s="31" t="inlineStr">
        <is>
          <t>Measured Edge Totals: Trend Engine projected 4.69-4.01; raw selected-side p=0.5623, calibrated p=0.5213.</t>
        </is>
      </c>
      <c r="AF273" s="31" t="inlineStr">
        <is>
          <t>Research-only; lineup, bullpen, park, weather, xFIP, and wRC+ may be neutral fallbacks; market availability and BBO depth may change before first pitch.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research_observation</t>
        </is>
      </c>
      <c r="AL273" s="26" t="n">
        <v>3</v>
      </c>
      <c r="AM273" s="24" t="inlineStr">
        <is>
          <t>RESEARCH_OBSERVATION</t>
        </is>
      </c>
      <c r="AN273" s="24" t="inlineStr">
        <is>
          <t>NO_CALL</t>
        </is>
      </c>
      <c r="AO273" s="24" t="inlineStr">
        <is>
          <t>NO_CALL_WINNER_OVERVALUED</t>
        </is>
      </c>
      <c r="AP273" s="24" t="inlineStr">
        <is>
          <t>mlb-cle</t>
        </is>
      </c>
      <c r="AQ273" s="24" t="inlineStr">
        <is>
          <t>Cleveland Guardians</t>
        </is>
      </c>
      <c r="AR273" s="24" t="inlineStr">
        <is>
          <t>Cleveland Guardians</t>
        </is>
      </c>
      <c r="AS273" s="24" t="inlineStr">
        <is>
          <t>mlb-cws</t>
        </is>
      </c>
      <c r="AT273" s="24" t="inlineStr">
        <is>
          <t>Chicago White Sox</t>
        </is>
      </c>
      <c r="AU273" s="24" t="inlineStr">
        <is>
          <t>Chicago White Sox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research</t>
        </is>
      </c>
      <c r="BA273" s="24" t="inlineStr">
        <is>
          <t>95b84332c75d2ce54036eb8de6ada9c78d0f80228c50825c0347281a8b9b49c7</t>
        </is>
      </c>
      <c r="BB273" s="24" t="inlineStr">
        <is>
          <t>flat_probability_shrinkage_toward_half</t>
        </is>
      </c>
      <c r="BC273" s="24" t="inlineStr">
        <is>
          <t>measured-edge-totals-v3</t>
        </is>
      </c>
      <c r="BD273" s="24" t="inlineStr">
        <is>
          <t>95b84332c75d2ce54036eb8de6ada9c78d0f80228c50825c0347281a8b9b49c7</t>
        </is>
      </c>
      <c r="BE273" s="24" t="inlineStr">
        <is>
          <t>v3</t>
        </is>
      </c>
      <c r="BF273" s="24" t="inlineStr">
        <is>
          <t>1</t>
        </is>
      </c>
      <c r="BG273" s="24" t="inlineStr">
        <is>
          <t>measured-edge-paired-v1</t>
        </is>
      </c>
      <c r="BH273" s="24" t="inlineStr">
        <is>
          <t>2026-08-07T21:56:47.081526Z</t>
        </is>
      </c>
      <c r="BI273" s="24" t="inlineStr">
        <is>
          <t>["same_event","same_team_same_day","same_league_same_day"]</t>
        </is>
      </c>
      <c r="BJ273" s="25" t="n">
        <v>7.5</v>
      </c>
      <c r="BK273" s="26" t="n">
        <v>-104</v>
      </c>
      <c r="BL273" s="27" t="n">
        <v>1.961538</v>
      </c>
      <c r="BM273" s="28" t="n">
        <v>0.509804</v>
      </c>
      <c r="BN273" s="28" t="n">
        <v>0.507463</v>
      </c>
      <c r="BO273" s="28" t="n"/>
      <c r="BP273" s="25" t="n"/>
      <c r="BQ273" s="27" t="n">
        <v>1.961538</v>
      </c>
      <c r="BR273" s="28" t="n">
        <v>0.51</v>
      </c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</row>
    <row r="274" ht="36" customHeight="1">
      <c r="A274" s="24" t="inlineStr">
        <is>
          <t>3c10f7fe979b4bdb</t>
        </is>
      </c>
      <c r="B274" s="24" t="inlineStr">
        <is>
          <t>2026-08-07T21:56:47.081526Z</t>
        </is>
      </c>
      <c r="C274" s="24" t="inlineStr">
        <is>
          <t>2026-08-07T23:40Z</t>
        </is>
      </c>
      <c r="D274" s="24" t="inlineStr">
        <is>
          <t>401816434</t>
        </is>
      </c>
      <c r="E274" s="24" t="inlineStr">
        <is>
          <t>MLB</t>
        </is>
      </c>
      <c r="F274" s="24" t="inlineStr">
        <is>
          <t>Minnesota Twins</t>
        </is>
      </c>
      <c r="G274" s="24" t="inlineStr">
        <is>
          <t>Milwaukee Brewers</t>
        </is>
      </c>
      <c r="H274" s="24" t="inlineStr">
        <is>
          <t>spread</t>
        </is>
      </c>
      <c r="I274" s="24" t="inlineStr">
        <is>
          <t>home</t>
        </is>
      </c>
      <c r="J274" s="25" t="n">
        <v>-1.5</v>
      </c>
      <c r="K274" s="24" t="inlineStr">
        <is>
          <t>polymarket_us</t>
        </is>
      </c>
      <c r="L274" s="26" t="n">
        <v>125</v>
      </c>
      <c r="M274" s="27" t="n">
        <v>2.25</v>
      </c>
      <c r="N274" s="28" t="n">
        <v>0.444444</v>
      </c>
      <c r="O274" s="28" t="n">
        <v>0.434483</v>
      </c>
      <c r="P274" s="28" t="n">
        <v>0.042131</v>
      </c>
      <c r="Q274" s="28" t="n">
        <v>-0.009960999999999999</v>
      </c>
      <c r="R274" s="26" t="n">
        <v>21</v>
      </c>
      <c r="S274" s="29" t="n">
        <v>0</v>
      </c>
      <c r="T274" s="24" t="inlineStr">
        <is>
          <t>measured-edge-margin-v3</t>
        </is>
      </c>
      <c r="U274" s="24" t="inlineStr">
        <is>
          <t>settled</t>
        </is>
      </c>
      <c r="V274" s="24" t="inlineStr">
        <is>
          <t>loss</t>
        </is>
      </c>
      <c r="W274" s="26" t="n">
        <v>8</v>
      </c>
      <c r="X274" s="26" t="n">
        <v>6</v>
      </c>
      <c r="Y274" s="25" t="n">
        <v>-1.5</v>
      </c>
      <c r="Z274" s="26" t="n">
        <v>125</v>
      </c>
      <c r="AA274" s="28" t="n">
        <v>0.445</v>
      </c>
      <c r="AB274" s="28" t="n">
        <v>0.000556</v>
      </c>
      <c r="AC274" s="30" t="n">
        <v>0</v>
      </c>
      <c r="AD274" s="24" t="inlineStr">
        <is>
          <t>2026-08-08T04:03:36.520236Z</t>
        </is>
      </c>
      <c r="AE274" s="31" t="inlineStr">
        <is>
          <t>Measured Edge Margin: Trend Engine projected 4.36-5.14; raw selected-side p=0.4038, calibrated p=0.4345.</t>
        </is>
      </c>
      <c r="AF274" s="31" t="inlineStr">
        <is>
          <t>Research-only; lineup, bullpen, park, weather, xFIP, and wRC+ may be neutral fallbacks; market availability and BBO depth may change before first pitch.</t>
        </is>
      </c>
      <c r="AG274" s="24" t="inlineStr">
        <is>
          <t>review_required</t>
        </is>
      </c>
      <c r="AH274" s="24" t="n"/>
      <c r="AI274" s="31" t="n"/>
      <c r="AJ274" s="31" t="n"/>
      <c r="AK274" s="24" t="inlineStr">
        <is>
          <t>research_observation</t>
        </is>
      </c>
      <c r="AL274" s="26" t="n">
        <v>3</v>
      </c>
      <c r="AM274" s="24" t="inlineStr">
        <is>
          <t>RESEARCH_OBSERVATION</t>
        </is>
      </c>
      <c r="AN274" s="24" t="inlineStr">
        <is>
          <t>NO_CALL</t>
        </is>
      </c>
      <c r="AO274" s="24" t="inlineStr">
        <is>
          <t>NO_CALL_WINNER_OVERVALUED</t>
        </is>
      </c>
      <c r="AP274" s="24" t="inlineStr">
        <is>
          <t>mlb-min</t>
        </is>
      </c>
      <c r="AQ274" s="24" t="inlineStr">
        <is>
          <t>Minnesota Twins</t>
        </is>
      </c>
      <c r="AR274" s="24" t="inlineStr">
        <is>
          <t>Minnesota Twins</t>
        </is>
      </c>
      <c r="AS274" s="24" t="inlineStr">
        <is>
          <t>mlb-mil</t>
        </is>
      </c>
      <c r="AT274" s="24" t="inlineStr">
        <is>
          <t>Milwaukee Brewers</t>
        </is>
      </c>
      <c r="AU274" s="24" t="inlineStr">
        <is>
          <t>Milwaukee Brewers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research</t>
        </is>
      </c>
      <c r="BA274" s="24" t="inlineStr">
        <is>
          <t>dd339a2eed50d7d83ab2127837995ddab82e879afd27f5414bb6c1f9cd60ba4c</t>
        </is>
      </c>
      <c r="BB274" s="24" t="inlineStr">
        <is>
          <t>flat_probability_shrinkage_toward_half</t>
        </is>
      </c>
      <c r="BC274" s="24" t="inlineStr">
        <is>
          <t>measured-edge-margin-v3</t>
        </is>
      </c>
      <c r="BD274" s="24" t="inlineStr">
        <is>
          <t>dd339a2eed50d7d83ab2127837995ddab82e879afd27f5414bb6c1f9cd60ba4c</t>
        </is>
      </c>
      <c r="BE274" s="24" t="inlineStr">
        <is>
          <t>v3</t>
        </is>
      </c>
      <c r="BF274" s="24" t="inlineStr">
        <is>
          <t>1</t>
        </is>
      </c>
      <c r="BG274" s="24" t="inlineStr">
        <is>
          <t>measured-edge-paired-v1</t>
        </is>
      </c>
      <c r="BH274" s="24" t="inlineStr">
        <is>
          <t>2026-08-07T21:56:47.081526Z</t>
        </is>
      </c>
      <c r="BI274" s="24" t="inlineStr">
        <is>
          <t>["same_event","same_team_same_day","same_league_same_day"]</t>
        </is>
      </c>
      <c r="BJ274" s="25" t="n">
        <v>-1.5</v>
      </c>
      <c r="BK274" s="26" t="n">
        <v>125</v>
      </c>
      <c r="BL274" s="27" t="n">
        <v>2.25</v>
      </c>
      <c r="BM274" s="28" t="n">
        <v>0.444444</v>
      </c>
      <c r="BN274" s="28" t="n">
        <v>0.442786</v>
      </c>
      <c r="BO274" s="28" t="n"/>
      <c r="BP274" s="25" t="n"/>
      <c r="BQ274" s="27" t="n">
        <v>2.25</v>
      </c>
      <c r="BR274" s="28" t="n">
        <v>0.445</v>
      </c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</row>
    <row r="275" ht="36" customHeight="1">
      <c r="A275" s="24" t="inlineStr">
        <is>
          <t>4d10ada276d14b16</t>
        </is>
      </c>
      <c r="B275" s="24" t="inlineStr">
        <is>
          <t>2026-08-07T21:56:47.081526Z</t>
        </is>
      </c>
      <c r="C275" s="24" t="inlineStr">
        <is>
          <t>2026-08-07T23:40Z</t>
        </is>
      </c>
      <c r="D275" s="24" t="inlineStr">
        <is>
          <t>401816434</t>
        </is>
      </c>
      <c r="E275" s="24" t="inlineStr">
        <is>
          <t>MLB</t>
        </is>
      </c>
      <c r="F275" s="24" t="inlineStr">
        <is>
          <t>Minnesota Twins</t>
        </is>
      </c>
      <c r="G275" s="24" t="inlineStr">
        <is>
          <t>Milwaukee Brewers</t>
        </is>
      </c>
      <c r="H275" s="24" t="inlineStr">
        <is>
          <t>total</t>
        </is>
      </c>
      <c r="I275" s="24" t="inlineStr">
        <is>
          <t>over</t>
        </is>
      </c>
      <c r="J275" s="25" t="n">
        <v>8.5</v>
      </c>
      <c r="K275" s="24" t="inlineStr">
        <is>
          <t>polymarket_us</t>
        </is>
      </c>
      <c r="L275" s="26" t="n">
        <v>113</v>
      </c>
      <c r="M275" s="27" t="n">
        <v>2.13</v>
      </c>
      <c r="N275" s="28" t="n">
        <v>0.469484</v>
      </c>
      <c r="O275" s="28" t="n">
        <v>0.520381</v>
      </c>
      <c r="P275" s="28" t="n">
        <v>0.042131</v>
      </c>
      <c r="Q275" s="28" t="n">
        <v>0.050897</v>
      </c>
      <c r="R275" s="26" t="n">
        <v>51</v>
      </c>
      <c r="S275" s="29" t="n">
        <v>0</v>
      </c>
      <c r="T275" s="24" t="inlineStr">
        <is>
          <t>measured-edge-totals-v3</t>
        </is>
      </c>
      <c r="U275" s="24" t="inlineStr">
        <is>
          <t>settled</t>
        </is>
      </c>
      <c r="V275" s="24" t="inlineStr">
        <is>
          <t>win</t>
        </is>
      </c>
      <c r="W275" s="26" t="n">
        <v>8</v>
      </c>
      <c r="X275" s="26" t="n">
        <v>6</v>
      </c>
      <c r="Y275" s="25" t="n">
        <v>8.5</v>
      </c>
      <c r="Z275" s="26" t="n">
        <v>113</v>
      </c>
      <c r="AA275" s="28" t="n">
        <v>0.47</v>
      </c>
      <c r="AB275" s="28" t="n">
        <v>0.000516</v>
      </c>
      <c r="AC275" s="30" t="n">
        <v>0</v>
      </c>
      <c r="AD275" s="24" t="inlineStr">
        <is>
          <t>2026-08-08T04:03:37.689207Z</t>
        </is>
      </c>
      <c r="AE275" s="31" t="inlineStr">
        <is>
          <t>Measured Edge Totals: Trend Engine projected 4.36-5.14; raw selected-side p=0.5587, calibrated p=0.5204.</t>
        </is>
      </c>
      <c r="AF275" s="31" t="inlineStr">
        <is>
          <t>Research-only; lineup, bullpen, park, weather, xFIP, and wRC+ may be neutral fallbacks; market availability and BBO depth may change before first pitch.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research_observation</t>
        </is>
      </c>
      <c r="AL275" s="26" t="n">
        <v>3</v>
      </c>
      <c r="AM275" s="24" t="inlineStr">
        <is>
          <t>RESEARCH_OBSERVATION</t>
        </is>
      </c>
      <c r="AN275" s="24" t="inlineStr">
        <is>
          <t>NO_CALL</t>
        </is>
      </c>
      <c r="AO275" s="24" t="inlineStr">
        <is>
          <t>NO_CALL_WINNER_OVERVALUED</t>
        </is>
      </c>
      <c r="AP275" s="24" t="inlineStr">
        <is>
          <t>mlb-min</t>
        </is>
      </c>
      <c r="AQ275" s="24" t="inlineStr">
        <is>
          <t>Minnesota Twins</t>
        </is>
      </c>
      <c r="AR275" s="24" t="inlineStr">
        <is>
          <t>Minnesota Twins</t>
        </is>
      </c>
      <c r="AS275" s="24" t="inlineStr">
        <is>
          <t>mlb-mil</t>
        </is>
      </c>
      <c r="AT275" s="24" t="inlineStr">
        <is>
          <t>Milwaukee Brewers</t>
        </is>
      </c>
      <c r="AU275" s="24" t="inlineStr">
        <is>
          <t>Milwaukee Brewers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research</t>
        </is>
      </c>
      <c r="BA275" s="24" t="inlineStr">
        <is>
          <t>95b84332c75d2ce54036eb8de6ada9c78d0f80228c50825c0347281a8b9b49c7</t>
        </is>
      </c>
      <c r="BB275" s="24" t="inlineStr">
        <is>
          <t>flat_probability_shrinkage_toward_half</t>
        </is>
      </c>
      <c r="BC275" s="24" t="inlineStr">
        <is>
          <t>measured-edge-totals-v3</t>
        </is>
      </c>
      <c r="BD275" s="24" t="inlineStr">
        <is>
          <t>95b84332c75d2ce54036eb8de6ada9c78d0f80228c50825c0347281a8b9b49c7</t>
        </is>
      </c>
      <c r="BE275" s="24" t="inlineStr">
        <is>
          <t>v3</t>
        </is>
      </c>
      <c r="BF275" s="24" t="inlineStr">
        <is>
          <t>1</t>
        </is>
      </c>
      <c r="BG275" s="24" t="inlineStr">
        <is>
          <t>measured-edge-paired-v1</t>
        </is>
      </c>
      <c r="BH275" s="24" t="inlineStr">
        <is>
          <t>2026-08-07T21:56:47.081526Z</t>
        </is>
      </c>
      <c r="BI275" s="24" t="inlineStr">
        <is>
          <t>["same_event","same_team_same_day","same_league_same_day"]</t>
        </is>
      </c>
      <c r="BJ275" s="25" t="n">
        <v>8.5</v>
      </c>
      <c r="BK275" s="26" t="n">
        <v>113</v>
      </c>
      <c r="BL275" s="27" t="n">
        <v>2.13</v>
      </c>
      <c r="BM275" s="28" t="n">
        <v>0.469484</v>
      </c>
      <c r="BN275" s="28" t="n">
        <v>0.467662</v>
      </c>
      <c r="BO275" s="28" t="n"/>
      <c r="BP275" s="25" t="n"/>
      <c r="BQ275" s="27" t="n">
        <v>2.13</v>
      </c>
      <c r="BR275" s="28" t="n">
        <v>0.47</v>
      </c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</row>
    <row r="276" ht="36" customHeight="1">
      <c r="A276" s="24" t="inlineStr">
        <is>
          <t>2361f17b536942e2</t>
        </is>
      </c>
      <c r="B276" s="24" t="inlineStr">
        <is>
          <t>2026-08-07T21:56:47.081526Z</t>
        </is>
      </c>
      <c r="C276" s="24" t="inlineStr">
        <is>
          <t>2026-08-08T00:10Z</t>
        </is>
      </c>
      <c r="D276" s="24" t="inlineStr">
        <is>
          <t>401816431</t>
        </is>
      </c>
      <c r="E276" s="24" t="inlineStr">
        <is>
          <t>MLB</t>
        </is>
      </c>
      <c r="F276" s="24" t="inlineStr">
        <is>
          <t>Chicago Cubs</t>
        </is>
      </c>
      <c r="G276" s="24" t="inlineStr">
        <is>
          <t>Kansas City Royals</t>
        </is>
      </c>
      <c r="H276" s="24" t="inlineStr">
        <is>
          <t>spread</t>
        </is>
      </c>
      <c r="I276" s="24" t="inlineStr">
        <is>
          <t>home</t>
        </is>
      </c>
      <c r="J276" s="25" t="n">
        <v>1.5</v>
      </c>
      <c r="K276" s="24" t="inlineStr">
        <is>
          <t>polymarket_us</t>
        </is>
      </c>
      <c r="L276" s="26" t="n">
        <v>-102</v>
      </c>
      <c r="M276" s="27" t="n">
        <v>1.980392</v>
      </c>
      <c r="N276" s="28" t="n">
        <v>0.50495</v>
      </c>
      <c r="O276" s="28" t="n">
        <v>0.658426</v>
      </c>
      <c r="P276" s="28" t="n">
        <v>0.042131</v>
      </c>
      <c r="Q276" s="28" t="n">
        <v>0.153476</v>
      </c>
      <c r="R276" s="26" t="n">
        <v>100</v>
      </c>
      <c r="S276" s="29" t="n">
        <v>1.75</v>
      </c>
      <c r="T276" s="24" t="inlineStr">
        <is>
          <t>measured-edge-margin-v3</t>
        </is>
      </c>
      <c r="U276" s="24" t="inlineStr">
        <is>
          <t>settled</t>
        </is>
      </c>
      <c r="V276" s="24" t="inlineStr">
        <is>
          <t>loss</t>
        </is>
      </c>
      <c r="W276" s="26" t="n">
        <v>6</v>
      </c>
      <c r="X276" s="26" t="n">
        <v>4</v>
      </c>
      <c r="Y276" s="25" t="n">
        <v>1.5</v>
      </c>
      <c r="Z276" s="26" t="n">
        <v>-102</v>
      </c>
      <c r="AA276" s="28" t="n">
        <v>0.505</v>
      </c>
      <c r="AB276" s="28" t="n">
        <v>5e-05</v>
      </c>
      <c r="AC276" s="30" t="n">
        <v>-1.75</v>
      </c>
      <c r="AD276" s="24" t="inlineStr">
        <is>
          <t>2026-08-08T04:03:38.826015Z</t>
        </is>
      </c>
      <c r="AE276" s="31" t="inlineStr">
        <is>
          <t>Measured Edge Margin: Trend Engine projected 4.08-4.72; raw selected-side p=0.7325, calibrated p=0.6584.</t>
        </is>
      </c>
      <c r="AF276" s="31" t="inlineStr">
        <is>
          <t>Research-only; lineup, bullpen, park, weather, xFIP, and wRC+ may be neutral fallbacks; market availability and BBO depth may change before first pitch.</t>
        </is>
      </c>
      <c r="AG276" s="24" t="inlineStr">
        <is>
          <t>review_required</t>
        </is>
      </c>
      <c r="AH276" s="24" t="n"/>
      <c r="AI276" s="31" t="n"/>
      <c r="AJ276" s="31" t="n"/>
      <c r="AK276" s="24" t="inlineStr">
        <is>
          <t>model_qualified</t>
        </is>
      </c>
      <c r="AL276" s="26" t="n">
        <v>3</v>
      </c>
      <c r="AM276" s="24" t="inlineStr">
        <is>
          <t>QUALIFIED_SHADOW_CALL</t>
        </is>
      </c>
      <c r="AN276" s="24" t="inlineStr">
        <is>
          <t>CALL</t>
        </is>
      </c>
      <c r="AO276" s="24" t="inlineStr">
        <is>
          <t>QUALIFIED</t>
        </is>
      </c>
      <c r="AP276" s="24" t="inlineStr">
        <is>
          <t>mlb-chc</t>
        </is>
      </c>
      <c r="AQ276" s="24" t="inlineStr">
        <is>
          <t>Chicago Cubs</t>
        </is>
      </c>
      <c r="AR276" s="24" t="inlineStr">
        <is>
          <t>Chicago Cubs</t>
        </is>
      </c>
      <c r="AS276" s="24" t="inlineStr">
        <is>
          <t>mlb-kc</t>
        </is>
      </c>
      <c r="AT276" s="24" t="inlineStr">
        <is>
          <t>Kansas City Royals</t>
        </is>
      </c>
      <c r="AU276" s="24" t="inlineStr">
        <is>
          <t>Kansas City Royals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research</t>
        </is>
      </c>
      <c r="BA276" s="24" t="inlineStr">
        <is>
          <t>dd339a2eed50d7d83ab2127837995ddab82e879afd27f5414bb6c1f9cd60ba4c</t>
        </is>
      </c>
      <c r="BB276" s="24" t="inlineStr">
        <is>
          <t>flat_probability_shrinkage_toward_half</t>
        </is>
      </c>
      <c r="BC276" s="24" t="inlineStr">
        <is>
          <t>measured-edge-margin-v3</t>
        </is>
      </c>
      <c r="BD276" s="24" t="inlineStr">
        <is>
          <t>dd339a2eed50d7d83ab2127837995ddab82e879afd27f5414bb6c1f9cd60ba4c</t>
        </is>
      </c>
      <c r="BE276" s="24" t="inlineStr">
        <is>
          <t>v3</t>
        </is>
      </c>
      <c r="BF276" s="24" t="inlineStr">
        <is>
          <t>1</t>
        </is>
      </c>
      <c r="BG276" s="24" t="inlineStr">
        <is>
          <t>measured-edge-paired-v1</t>
        </is>
      </c>
      <c r="BH276" s="24" t="inlineStr">
        <is>
          <t>2026-08-07T21:56:47.081526Z</t>
        </is>
      </c>
      <c r="BI276" s="24" t="inlineStr">
        <is>
          <t>["same_event","same_team_same_day","same_league_same_day"]</t>
        </is>
      </c>
      <c r="BJ276" s="25" t="n">
        <v>1.5</v>
      </c>
      <c r="BK276" s="26" t="n">
        <v>-102</v>
      </c>
      <c r="BL276" s="27" t="n">
        <v>1.980392</v>
      </c>
      <c r="BM276" s="28" t="n">
        <v>0.50495</v>
      </c>
      <c r="BN276" s="28" t="n">
        <v>0.502488</v>
      </c>
      <c r="BO276" s="28" t="n"/>
      <c r="BP276" s="25" t="n"/>
      <c r="BQ276" s="27" t="n">
        <v>1.980392</v>
      </c>
      <c r="BR276" s="28" t="n">
        <v>0.505</v>
      </c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</row>
    <row r="277" ht="36" customHeight="1">
      <c r="A277" s="24" t="inlineStr">
        <is>
          <t>6688150e01dd46a0</t>
        </is>
      </c>
      <c r="B277" s="24" t="inlineStr">
        <is>
          <t>2026-08-07T21:56:47.081526Z</t>
        </is>
      </c>
      <c r="C277" s="24" t="inlineStr">
        <is>
          <t>2026-08-08T00:10Z</t>
        </is>
      </c>
      <c r="D277" s="24" t="inlineStr">
        <is>
          <t>401816431</t>
        </is>
      </c>
      <c r="E277" s="24" t="inlineStr">
        <is>
          <t>MLB</t>
        </is>
      </c>
      <c r="F277" s="24" t="inlineStr">
        <is>
          <t>Chicago Cubs</t>
        </is>
      </c>
      <c r="G277" s="24" t="inlineStr">
        <is>
          <t>Kansas City Royals</t>
        </is>
      </c>
      <c r="H277" s="24" t="inlineStr">
        <is>
          <t>total</t>
        </is>
      </c>
      <c r="I277" s="24" t="inlineStr">
        <is>
          <t>under</t>
        </is>
      </c>
      <c r="J277" s="25" t="n">
        <v>9.5</v>
      </c>
      <c r="K277" s="24" t="inlineStr">
        <is>
          <t>polymarket_us</t>
        </is>
      </c>
      <c r="L277" s="26" t="n">
        <v>-113</v>
      </c>
      <c r="M277" s="27" t="n">
        <v>1.884956</v>
      </c>
      <c r="N277" s="28" t="n">
        <v>0.530516</v>
      </c>
      <c r="O277" s="28" t="n">
        <v>0.535695</v>
      </c>
      <c r="P277" s="28" t="n">
        <v>0.042131</v>
      </c>
      <c r="Q277" s="28" t="n">
        <v>0.005179</v>
      </c>
      <c r="R277" s="26" t="n">
        <v>29</v>
      </c>
      <c r="S277" s="29" t="n">
        <v>0</v>
      </c>
      <c r="T277" s="24" t="inlineStr">
        <is>
          <t>measured-edge-totals-v3</t>
        </is>
      </c>
      <c r="U277" s="24" t="inlineStr">
        <is>
          <t>settled</t>
        </is>
      </c>
      <c r="V277" s="24" t="inlineStr">
        <is>
          <t>loss</t>
        </is>
      </c>
      <c r="W277" s="26" t="n">
        <v>6</v>
      </c>
      <c r="X277" s="26" t="n">
        <v>4</v>
      </c>
      <c r="Y277" s="25" t="n">
        <v>9.5</v>
      </c>
      <c r="Z277" s="26" t="n">
        <v>-113</v>
      </c>
      <c r="AA277" s="28" t="n">
        <v>0.53</v>
      </c>
      <c r="AB277" s="28" t="n">
        <v>-0.000516</v>
      </c>
      <c r="AC277" s="30" t="n">
        <v>0</v>
      </c>
      <c r="AD277" s="24" t="inlineStr">
        <is>
          <t>2026-08-08T04:03:40.003826Z</t>
        </is>
      </c>
      <c r="AE277" s="31" t="inlineStr">
        <is>
          <t>Measured Edge Totals: Trend Engine projected 4.08-4.72; raw selected-side p=0.6203, calibrated p=0.5357.</t>
        </is>
      </c>
      <c r="AF277" s="31" t="inlineStr">
        <is>
          <t>Research-only; lineup, bullpen, park, weather, xFIP, and wRC+ may be neutral fallbacks; market availability and BBO depth may change before first pitch.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research_observation</t>
        </is>
      </c>
      <c r="AL277" s="26" t="n">
        <v>3</v>
      </c>
      <c r="AM277" s="24" t="inlineStr">
        <is>
          <t>RESEARCH_OBSERVATION</t>
        </is>
      </c>
      <c r="AN277" s="24" t="inlineStr">
        <is>
          <t>NO_CALL</t>
        </is>
      </c>
      <c r="AO277" s="24" t="inlineStr">
        <is>
          <t>NO_CALL_WINNER_OVERVALUED</t>
        </is>
      </c>
      <c r="AP277" s="24" t="inlineStr">
        <is>
          <t>mlb-chc</t>
        </is>
      </c>
      <c r="AQ277" s="24" t="inlineStr">
        <is>
          <t>Chicago Cubs</t>
        </is>
      </c>
      <c r="AR277" s="24" t="inlineStr">
        <is>
          <t>Chicago Cubs</t>
        </is>
      </c>
      <c r="AS277" s="24" t="inlineStr">
        <is>
          <t>mlb-kc</t>
        </is>
      </c>
      <c r="AT277" s="24" t="inlineStr">
        <is>
          <t>Kansas City Royals</t>
        </is>
      </c>
      <c r="AU277" s="24" t="inlineStr">
        <is>
          <t>Kansas City Royals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research</t>
        </is>
      </c>
      <c r="BA277" s="24" t="inlineStr">
        <is>
          <t>95b84332c75d2ce54036eb8de6ada9c78d0f80228c50825c0347281a8b9b49c7</t>
        </is>
      </c>
      <c r="BB277" s="24" t="inlineStr">
        <is>
          <t>flat_probability_shrinkage_toward_half</t>
        </is>
      </c>
      <c r="BC277" s="24" t="inlineStr">
        <is>
          <t>measured-edge-totals-v3</t>
        </is>
      </c>
      <c r="BD277" s="24" t="inlineStr">
        <is>
          <t>95b84332c75d2ce54036eb8de6ada9c78d0f80228c50825c0347281a8b9b49c7</t>
        </is>
      </c>
      <c r="BE277" s="24" t="inlineStr">
        <is>
          <t>v3</t>
        </is>
      </c>
      <c r="BF277" s="24" t="inlineStr">
        <is>
          <t>1</t>
        </is>
      </c>
      <c r="BG277" s="24" t="inlineStr">
        <is>
          <t>measured-edge-paired-v1</t>
        </is>
      </c>
      <c r="BH277" s="24" t="inlineStr">
        <is>
          <t>2026-08-07T21:56:47.081526Z</t>
        </is>
      </c>
      <c r="BI277" s="24" t="inlineStr">
        <is>
          <t>["same_event","same_team_same_day","same_league_same_day"]</t>
        </is>
      </c>
      <c r="BJ277" s="25" t="n">
        <v>9.5</v>
      </c>
      <c r="BK277" s="26" t="n">
        <v>-113</v>
      </c>
      <c r="BL277" s="27" t="n">
        <v>1.884956</v>
      </c>
      <c r="BM277" s="28" t="n">
        <v>0.530516</v>
      </c>
      <c r="BN277" s="28" t="n">
        <v>0.527363</v>
      </c>
      <c r="BO277" s="28" t="n"/>
      <c r="BP277" s="25" t="n"/>
      <c r="BQ277" s="27" t="n">
        <v>1.884956</v>
      </c>
      <c r="BR277" s="28" t="n">
        <v>0.53</v>
      </c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</row>
    <row r="278" ht="36" customHeight="1">
      <c r="A278" s="24" t="inlineStr">
        <is>
          <t>64976566de8148bd</t>
        </is>
      </c>
      <c r="B278" s="24" t="inlineStr">
        <is>
          <t>2026-08-07T21:56:47.081526Z</t>
        </is>
      </c>
      <c r="C278" s="24" t="inlineStr">
        <is>
          <t>2026-08-08T00:15Z</t>
        </is>
      </c>
      <c r="D278" s="24" t="inlineStr">
        <is>
          <t>401816430</t>
        </is>
      </c>
      <c r="E278" s="24" t="inlineStr">
        <is>
          <t>MLB</t>
        </is>
      </c>
      <c r="F278" s="24" t="inlineStr">
        <is>
          <t>Baltimore Orioles</t>
        </is>
      </c>
      <c r="G278" s="24" t="inlineStr">
        <is>
          <t>Texas Rangers</t>
        </is>
      </c>
      <c r="H278" s="24" t="inlineStr">
        <is>
          <t>spread</t>
        </is>
      </c>
      <c r="I278" s="24" t="inlineStr">
        <is>
          <t>away</t>
        </is>
      </c>
      <c r="J278" s="25" t="n">
        <v>1.5</v>
      </c>
      <c r="K278" s="24" t="inlineStr">
        <is>
          <t>polymarket_us</t>
        </is>
      </c>
      <c r="L278" s="26" t="n">
        <v>-163</v>
      </c>
      <c r="M278" s="27" t="n">
        <v>1.613497</v>
      </c>
      <c r="N278" s="28" t="n">
        <v>0.619772</v>
      </c>
      <c r="O278" s="28" t="n">
        <v>0.639176</v>
      </c>
      <c r="P278" s="28" t="n">
        <v>0.042131</v>
      </c>
      <c r="Q278" s="28" t="n">
        <v>0.019404</v>
      </c>
      <c r="R278" s="26" t="n">
        <v>36</v>
      </c>
      <c r="S278" s="29" t="n">
        <v>0</v>
      </c>
      <c r="T278" s="24" t="inlineStr">
        <is>
          <t>measured-edge-margin-v3</t>
        </is>
      </c>
      <c r="U278" s="24" t="inlineStr">
        <is>
          <t>settled</t>
        </is>
      </c>
      <c r="V278" s="24" t="inlineStr">
        <is>
          <t>win</t>
        </is>
      </c>
      <c r="W278" s="26" t="n">
        <v>1</v>
      </c>
      <c r="X278" s="26" t="n">
        <v>2</v>
      </c>
      <c r="Y278" s="25" t="n">
        <v>1.5</v>
      </c>
      <c r="Z278" s="26" t="n">
        <v>-163</v>
      </c>
      <c r="AA278" s="28" t="n">
        <v>0.62</v>
      </c>
      <c r="AB278" s="28" t="n">
        <v>0.000228</v>
      </c>
      <c r="AC278" s="30" t="n">
        <v>0</v>
      </c>
      <c r="AD278" s="24" t="inlineStr">
        <is>
          <t>2026-08-08T04:03:41.136165Z</t>
        </is>
      </c>
      <c r="AE278" s="31" t="inlineStr">
        <is>
          <t>Measured Edge Margin: Trend Engine projected 4.66-4.27; raw selected-side p=0.7043, calibrated p=0.6392.</t>
        </is>
      </c>
      <c r="AF278" s="31" t="inlineStr">
        <is>
          <t>Research-only; lineup, bullpen, park, weather, xFIP, and wRC+ may be neutral fallbacks; market availability and BBO depth may change before first pitch.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research_observation</t>
        </is>
      </c>
      <c r="AL278" s="26" t="n">
        <v>3</v>
      </c>
      <c r="AM278" s="24" t="inlineStr">
        <is>
          <t>RESEARCH_OBSERVATION</t>
        </is>
      </c>
      <c r="AN278" s="24" t="inlineStr">
        <is>
          <t>NO_CALL</t>
        </is>
      </c>
      <c r="AO278" s="24" t="inlineStr">
        <is>
          <t>NO_CALL_WINNER_OVERVALUED</t>
        </is>
      </c>
      <c r="AP278" s="24" t="inlineStr">
        <is>
          <t>mlb-bal</t>
        </is>
      </c>
      <c r="AQ278" s="24" t="inlineStr">
        <is>
          <t>Baltimore Orioles</t>
        </is>
      </c>
      <c r="AR278" s="24" t="inlineStr">
        <is>
          <t>Baltimore Orioles</t>
        </is>
      </c>
      <c r="AS278" s="24" t="inlineStr">
        <is>
          <t>mlb-tex</t>
        </is>
      </c>
      <c r="AT278" s="24" t="inlineStr">
        <is>
          <t>Texas Rangers</t>
        </is>
      </c>
      <c r="AU278" s="24" t="inlineStr">
        <is>
          <t>Texas Rangers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research</t>
        </is>
      </c>
      <c r="BA278" s="24" t="inlineStr">
        <is>
          <t>dd339a2eed50d7d83ab2127837995ddab82e879afd27f5414bb6c1f9cd60ba4c</t>
        </is>
      </c>
      <c r="BB278" s="24" t="inlineStr">
        <is>
          <t>flat_probability_shrinkage_toward_half</t>
        </is>
      </c>
      <c r="BC278" s="24" t="inlineStr">
        <is>
          <t>measured-edge-margin-v3</t>
        </is>
      </c>
      <c r="BD278" s="24" t="inlineStr">
        <is>
          <t>dd339a2eed50d7d83ab2127837995ddab82e879afd27f5414bb6c1f9cd60ba4c</t>
        </is>
      </c>
      <c r="BE278" s="24" t="inlineStr">
        <is>
          <t>v3</t>
        </is>
      </c>
      <c r="BF278" s="24" t="inlineStr">
        <is>
          <t>1</t>
        </is>
      </c>
      <c r="BG278" s="24" t="inlineStr">
        <is>
          <t>measured-edge-paired-v1</t>
        </is>
      </c>
      <c r="BH278" s="24" t="inlineStr">
        <is>
          <t>2026-08-07T21:56:47.081526Z</t>
        </is>
      </c>
      <c r="BI278" s="24" t="inlineStr">
        <is>
          <t>["same_event","same_team_same_day","same_league_same_day"]</t>
        </is>
      </c>
      <c r="BJ278" s="25" t="n">
        <v>1.5</v>
      </c>
      <c r="BK278" s="26" t="n">
        <v>-163</v>
      </c>
      <c r="BL278" s="27" t="n">
        <v>1.613497</v>
      </c>
      <c r="BM278" s="28" t="n">
        <v>0.619772</v>
      </c>
      <c r="BN278" s="28" t="n">
        <v>0.616915</v>
      </c>
      <c r="BO278" s="28" t="n"/>
      <c r="BP278" s="25" t="n"/>
      <c r="BQ278" s="27" t="n">
        <v>1.613497</v>
      </c>
      <c r="BR278" s="28" t="n">
        <v>0.62</v>
      </c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</row>
    <row r="279" ht="36" customHeight="1">
      <c r="A279" s="24" t="inlineStr">
        <is>
          <t>92a6b8c65edb434b</t>
        </is>
      </c>
      <c r="B279" s="24" t="inlineStr">
        <is>
          <t>2026-08-07T21:56:47.081526Z</t>
        </is>
      </c>
      <c r="C279" s="24" t="inlineStr">
        <is>
          <t>2026-08-08T00:15Z</t>
        </is>
      </c>
      <c r="D279" s="24" t="inlineStr">
        <is>
          <t>401816430</t>
        </is>
      </c>
      <c r="E279" s="24" t="inlineStr">
        <is>
          <t>MLB</t>
        </is>
      </c>
      <c r="F279" s="24" t="inlineStr">
        <is>
          <t>Baltimore Orioles</t>
        </is>
      </c>
      <c r="G279" s="24" t="inlineStr">
        <is>
          <t>Texas Rangers</t>
        </is>
      </c>
      <c r="H279" s="24" t="inlineStr">
        <is>
          <t>total</t>
        </is>
      </c>
      <c r="I279" s="24" t="inlineStr">
        <is>
          <t>over</t>
        </is>
      </c>
      <c r="J279" s="25" t="n">
        <v>7.5</v>
      </c>
      <c r="K279" s="24" t="inlineStr">
        <is>
          <t>polymarket_us</t>
        </is>
      </c>
      <c r="L279" s="26" t="n">
        <v>106</v>
      </c>
      <c r="M279" s="27" t="n">
        <v>2.06</v>
      </c>
      <c r="N279" s="28" t="n">
        <v>0.485437</v>
      </c>
      <c r="O279" s="28" t="n">
        <v>0.527311</v>
      </c>
      <c r="P279" s="28" t="n">
        <v>0.042131</v>
      </c>
      <c r="Q279" s="28" t="n">
        <v>0.041874</v>
      </c>
      <c r="R279" s="26" t="n">
        <v>47</v>
      </c>
      <c r="S279" s="29" t="n">
        <v>0</v>
      </c>
      <c r="T279" s="24" t="inlineStr">
        <is>
          <t>measured-edge-totals-v3</t>
        </is>
      </c>
      <c r="U279" s="24" t="inlineStr">
        <is>
          <t>settled</t>
        </is>
      </c>
      <c r="V279" s="24" t="inlineStr">
        <is>
          <t>loss</t>
        </is>
      </c>
      <c r="W279" s="26" t="n">
        <v>1</v>
      </c>
      <c r="X279" s="26" t="n">
        <v>2</v>
      </c>
      <c r="Y279" s="25" t="n">
        <v>7.5</v>
      </c>
      <c r="Z279" s="26" t="n">
        <v>106</v>
      </c>
      <c r="AA279" s="28" t="n">
        <v>0.485</v>
      </c>
      <c r="AB279" s="28" t="n">
        <v>-0.000437</v>
      </c>
      <c r="AC279" s="30" t="n">
        <v>0</v>
      </c>
      <c r="AD279" s="24" t="inlineStr">
        <is>
          <t>2026-08-08T04:03:42.310024Z</t>
        </is>
      </c>
      <c r="AE279" s="31" t="inlineStr">
        <is>
          <t>Measured Edge Totals: Trend Engine projected 4.66-4.27; raw selected-side p=0.5866, calibrated p=0.5273.</t>
        </is>
      </c>
      <c r="AF279" s="31" t="inlineStr">
        <is>
          <t>Research-only; lineup, bullpen, park, weather, xFIP, and wRC+ may be neutral fallbacks; market availability and BBO depth may change before first pitch.</t>
        </is>
      </c>
      <c r="AG279" s="24" t="inlineStr">
        <is>
          <t>review_required</t>
        </is>
      </c>
      <c r="AH279" s="24" t="n"/>
      <c r="AI279" s="31" t="n"/>
      <c r="AJ279" s="31" t="n"/>
      <c r="AK279" s="24" t="inlineStr">
        <is>
          <t>research_observation</t>
        </is>
      </c>
      <c r="AL279" s="26" t="n">
        <v>3</v>
      </c>
      <c r="AM279" s="24" t="inlineStr">
        <is>
          <t>RESEARCH_OBSERVATION</t>
        </is>
      </c>
      <c r="AN279" s="24" t="inlineStr">
        <is>
          <t>NO_CALL</t>
        </is>
      </c>
      <c r="AO279" s="24" t="inlineStr">
        <is>
          <t>NO_CALL_WINNER_OVERVALUED</t>
        </is>
      </c>
      <c r="AP279" s="24" t="inlineStr">
        <is>
          <t>mlb-bal</t>
        </is>
      </c>
      <c r="AQ279" s="24" t="inlineStr">
        <is>
          <t>Baltimore Orioles</t>
        </is>
      </c>
      <c r="AR279" s="24" t="inlineStr">
        <is>
          <t>Baltimore Orioles</t>
        </is>
      </c>
      <c r="AS279" s="24" t="inlineStr">
        <is>
          <t>mlb-tex</t>
        </is>
      </c>
      <c r="AT279" s="24" t="inlineStr">
        <is>
          <t>Texas Rangers</t>
        </is>
      </c>
      <c r="AU279" s="24" t="inlineStr">
        <is>
          <t>Texas Rangers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research</t>
        </is>
      </c>
      <c r="BA279" s="24" t="inlineStr">
        <is>
          <t>95b84332c75d2ce54036eb8de6ada9c78d0f80228c50825c0347281a8b9b49c7</t>
        </is>
      </c>
      <c r="BB279" s="24" t="inlineStr">
        <is>
          <t>flat_probability_shrinkage_toward_half</t>
        </is>
      </c>
      <c r="BC279" s="24" t="inlineStr">
        <is>
          <t>measured-edge-totals-v3</t>
        </is>
      </c>
      <c r="BD279" s="24" t="inlineStr">
        <is>
          <t>95b84332c75d2ce54036eb8de6ada9c78d0f80228c50825c0347281a8b9b49c7</t>
        </is>
      </c>
      <c r="BE279" s="24" t="inlineStr">
        <is>
          <t>v3</t>
        </is>
      </c>
      <c r="BF279" s="24" t="inlineStr">
        <is>
          <t>1</t>
        </is>
      </c>
      <c r="BG279" s="24" t="inlineStr">
        <is>
          <t>measured-edge-paired-v1</t>
        </is>
      </c>
      <c r="BH279" s="24" t="inlineStr">
        <is>
          <t>2026-08-07T21:56:47.081526Z</t>
        </is>
      </c>
      <c r="BI279" s="24" t="inlineStr">
        <is>
          <t>["same_event","same_team_same_day","same_league_same_day"]</t>
        </is>
      </c>
      <c r="BJ279" s="25" t="n">
        <v>7.5</v>
      </c>
      <c r="BK279" s="26" t="n">
        <v>106</v>
      </c>
      <c r="BL279" s="27" t="n">
        <v>2.06</v>
      </c>
      <c r="BM279" s="28" t="n">
        <v>0.485437</v>
      </c>
      <c r="BN279" s="28" t="n">
        <v>0.482587</v>
      </c>
      <c r="BO279" s="28" t="n"/>
      <c r="BP279" s="25" t="n"/>
      <c r="BQ279" s="27" t="n">
        <v>2.06</v>
      </c>
      <c r="BR279" s="28" t="n">
        <v>0.485</v>
      </c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True</t>
        </is>
      </c>
    </row>
    <row r="280" ht="36" customHeight="1">
      <c r="A280" s="24" t="inlineStr">
        <is>
          <t>078e2fec941d41d3</t>
        </is>
      </c>
      <c r="B280" s="24" t="inlineStr">
        <is>
          <t>2026-08-07T21:56:47.081526Z</t>
        </is>
      </c>
      <c r="C280" s="24" t="inlineStr">
        <is>
          <t>2026-08-08T00:15Z</t>
        </is>
      </c>
      <c r="D280" s="24" t="inlineStr">
        <is>
          <t>401816433</t>
        </is>
      </c>
      <c r="E280" s="24" t="inlineStr">
        <is>
          <t>MLB</t>
        </is>
      </c>
      <c r="F280" s="24" t="inlineStr">
        <is>
          <t>Colorado Rockies</t>
        </is>
      </c>
      <c r="G280" s="24" t="inlineStr">
        <is>
          <t>St. Louis Cardinals</t>
        </is>
      </c>
      <c r="H280" s="24" t="inlineStr">
        <is>
          <t>spread</t>
        </is>
      </c>
      <c r="I280" s="24" t="inlineStr">
        <is>
          <t>home</t>
        </is>
      </c>
      <c r="J280" s="25" t="n">
        <v>-1.5</v>
      </c>
      <c r="K280" s="24" t="inlineStr">
        <is>
          <t>polymarket_us</t>
        </is>
      </c>
      <c r="L280" s="26" t="n">
        <v>130</v>
      </c>
      <c r="M280" s="27" t="n">
        <v>2.3</v>
      </c>
      <c r="N280" s="28" t="n">
        <v>0.434783</v>
      </c>
      <c r="O280" s="28" t="n">
        <v>0.464976</v>
      </c>
      <c r="P280" s="28" t="n">
        <v>0.042131</v>
      </c>
      <c r="Q280" s="28" t="n">
        <v>0.030193</v>
      </c>
      <c r="R280" s="26" t="n">
        <v>42</v>
      </c>
      <c r="S280" s="29" t="n">
        <v>0</v>
      </c>
      <c r="T280" s="24" t="inlineStr">
        <is>
          <t>measured-edge-margin-v3</t>
        </is>
      </c>
      <c r="U280" s="24" t="inlineStr">
        <is>
          <t>settled</t>
        </is>
      </c>
      <c r="V280" s="24" t="inlineStr">
        <is>
          <t>loss</t>
        </is>
      </c>
      <c r="W280" s="26" t="n">
        <v>2</v>
      </c>
      <c r="X280" s="26" t="n">
        <v>3</v>
      </c>
      <c r="Y280" s="25" t="n">
        <v>-1.5</v>
      </c>
      <c r="Z280" s="26" t="n">
        <v>130</v>
      </c>
      <c r="AA280" s="28" t="n">
        <v>0.435</v>
      </c>
      <c r="AB280" s="28" t="n">
        <v>0.000217</v>
      </c>
      <c r="AC280" s="30" t="n">
        <v>0</v>
      </c>
      <c r="AD280" s="24" t="inlineStr">
        <is>
          <t>2026-08-08T04:03:43.444193Z</t>
        </is>
      </c>
      <c r="AE280" s="31" t="inlineStr">
        <is>
          <t>Measured Edge Margin: Trend Engine projected 4.03-5.24; raw selected-side p=0.4486, calibrated p=0.4650.</t>
        </is>
      </c>
      <c r="AF280" s="31" t="inlineStr">
        <is>
          <t>Research-only; lineup, bullpen, park, weather, xFIP, and wRC+ may be neutral fallbacks; market availability and BBO depth may change before first pitch.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research_observation</t>
        </is>
      </c>
      <c r="AL280" s="26" t="n">
        <v>3</v>
      </c>
      <c r="AM280" s="24" t="inlineStr">
        <is>
          <t>RESEARCH_OBSERVATION</t>
        </is>
      </c>
      <c r="AN280" s="24" t="inlineStr">
        <is>
          <t>NO_CALL</t>
        </is>
      </c>
      <c r="AO280" s="24" t="inlineStr">
        <is>
          <t>NO_CALL_WINNER_OVERVALUED</t>
        </is>
      </c>
      <c r="AP280" s="24" t="inlineStr">
        <is>
          <t>mlb-col</t>
        </is>
      </c>
      <c r="AQ280" s="24" t="inlineStr">
        <is>
          <t>Colorado Rockies</t>
        </is>
      </c>
      <c r="AR280" s="24" t="inlineStr">
        <is>
          <t>Colorado Rockies</t>
        </is>
      </c>
      <c r="AS280" s="24" t="inlineStr">
        <is>
          <t>mlb-stl</t>
        </is>
      </c>
      <c r="AT280" s="24" t="inlineStr">
        <is>
          <t>St. Louis Cardinals</t>
        </is>
      </c>
      <c r="AU280" s="24" t="inlineStr">
        <is>
          <t>St. Louis Cardinals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research</t>
        </is>
      </c>
      <c r="BA280" s="24" t="inlineStr">
        <is>
          <t>dd339a2eed50d7d83ab2127837995ddab82e879afd27f5414bb6c1f9cd60ba4c</t>
        </is>
      </c>
      <c r="BB280" s="24" t="inlineStr">
        <is>
          <t>flat_probability_shrinkage_toward_half</t>
        </is>
      </c>
      <c r="BC280" s="24" t="inlineStr">
        <is>
          <t>measured-edge-margin-v3</t>
        </is>
      </c>
      <c r="BD280" s="24" t="inlineStr">
        <is>
          <t>dd339a2eed50d7d83ab2127837995ddab82e879afd27f5414bb6c1f9cd60ba4c</t>
        </is>
      </c>
      <c r="BE280" s="24" t="inlineStr">
        <is>
          <t>v3</t>
        </is>
      </c>
      <c r="BF280" s="24" t="inlineStr">
        <is>
          <t>1</t>
        </is>
      </c>
      <c r="BG280" s="24" t="inlineStr">
        <is>
          <t>measured-edge-paired-v1</t>
        </is>
      </c>
      <c r="BH280" s="24" t="inlineStr">
        <is>
          <t>2026-08-07T21:56:47.081526Z</t>
        </is>
      </c>
      <c r="BI280" s="24" t="inlineStr">
        <is>
          <t>["same_event","same_team_same_day","same_league_same_day"]</t>
        </is>
      </c>
      <c r="BJ280" s="25" t="n">
        <v>-1.5</v>
      </c>
      <c r="BK280" s="26" t="n">
        <v>130</v>
      </c>
      <c r="BL280" s="27" t="n">
        <v>2.3</v>
      </c>
      <c r="BM280" s="28" t="n">
        <v>0.434783</v>
      </c>
      <c r="BN280" s="28" t="n">
        <v>0.430693</v>
      </c>
      <c r="BO280" s="28" t="n"/>
      <c r="BP280" s="25" t="n"/>
      <c r="BQ280" s="27" t="n">
        <v>2.3</v>
      </c>
      <c r="BR280" s="28" t="n">
        <v>0.435</v>
      </c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</row>
    <row r="281" ht="36" customHeight="1">
      <c r="A281" s="24" t="inlineStr">
        <is>
          <t>0d085dbef4b540f4</t>
        </is>
      </c>
      <c r="B281" s="24" t="inlineStr">
        <is>
          <t>2026-08-07T21:56:47.081526Z</t>
        </is>
      </c>
      <c r="C281" s="24" t="inlineStr">
        <is>
          <t>2026-08-08T00:15Z</t>
        </is>
      </c>
      <c r="D281" s="24" t="inlineStr">
        <is>
          <t>401816433</t>
        </is>
      </c>
      <c r="E281" s="24" t="inlineStr">
        <is>
          <t>MLB</t>
        </is>
      </c>
      <c r="F281" s="24" t="inlineStr">
        <is>
          <t>Colorado Rockies</t>
        </is>
      </c>
      <c r="G281" s="24" t="inlineStr">
        <is>
          <t>St. Louis Cardinals</t>
        </is>
      </c>
      <c r="H281" s="24" t="inlineStr">
        <is>
          <t>total</t>
        </is>
      </c>
      <c r="I281" s="24" t="inlineStr">
        <is>
          <t>over</t>
        </is>
      </c>
      <c r="J281" s="25" t="n">
        <v>8.5</v>
      </c>
      <c r="K281" s="24" t="inlineStr">
        <is>
          <t>polymarket_us</t>
        </is>
      </c>
      <c r="L281" s="26" t="n">
        <v>-108</v>
      </c>
      <c r="M281" s="27" t="n">
        <v>1.925926</v>
      </c>
      <c r="N281" s="28" t="n">
        <v>0.519231</v>
      </c>
      <c r="O281" s="28" t="n">
        <v>0.515103</v>
      </c>
      <c r="P281" s="28" t="n">
        <v>0.042131</v>
      </c>
      <c r="Q281" s="28" t="n">
        <v>-0.004128</v>
      </c>
      <c r="R281" s="26" t="n">
        <v>24</v>
      </c>
      <c r="S281" s="29" t="n">
        <v>0</v>
      </c>
      <c r="T281" s="24" t="inlineStr">
        <is>
          <t>measured-edge-totals-v3</t>
        </is>
      </c>
      <c r="U281" s="24" t="inlineStr">
        <is>
          <t>settled</t>
        </is>
      </c>
      <c r="V281" s="24" t="inlineStr">
        <is>
          <t>loss</t>
        </is>
      </c>
      <c r="W281" s="26" t="n">
        <v>2</v>
      </c>
      <c r="X281" s="26" t="n">
        <v>3</v>
      </c>
      <c r="Y281" s="25" t="n">
        <v>8.5</v>
      </c>
      <c r="Z281" s="26" t="n">
        <v>-108</v>
      </c>
      <c r="AA281" s="28" t="n">
        <v>0.52</v>
      </c>
      <c r="AB281" s="28" t="n">
        <v>0.000769</v>
      </c>
      <c r="AC281" s="30" t="n">
        <v>0</v>
      </c>
      <c r="AD281" s="24" t="inlineStr">
        <is>
          <t>2026-08-08T04:03:44.626957Z</t>
        </is>
      </c>
      <c r="AE281" s="31" t="inlineStr">
        <is>
          <t>Measured Edge Totals: Trend Engine projected 4.03-5.24; raw selected-side p=0.5374, calibrated p=0.5151.</t>
        </is>
      </c>
      <c r="AF281" s="31" t="inlineStr">
        <is>
          <t>Research-only; lineup, bullpen, park, weather, xFIP, and wRC+ may be neutral fallbacks; market availability and BBO depth may change before first pitch.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research_observation</t>
        </is>
      </c>
      <c r="AL281" s="26" t="n">
        <v>3</v>
      </c>
      <c r="AM281" s="24" t="inlineStr">
        <is>
          <t>RESEARCH_OBSERVATION</t>
        </is>
      </c>
      <c r="AN281" s="24" t="inlineStr">
        <is>
          <t>NO_CALL</t>
        </is>
      </c>
      <c r="AO281" s="24" t="inlineStr">
        <is>
          <t>NO_CALL_WINNER_OVERVALUED</t>
        </is>
      </c>
      <c r="AP281" s="24" t="inlineStr">
        <is>
          <t>mlb-col</t>
        </is>
      </c>
      <c r="AQ281" s="24" t="inlineStr">
        <is>
          <t>Colorado Rockies</t>
        </is>
      </c>
      <c r="AR281" s="24" t="inlineStr">
        <is>
          <t>Colorado Rockies</t>
        </is>
      </c>
      <c r="AS281" s="24" t="inlineStr">
        <is>
          <t>mlb-stl</t>
        </is>
      </c>
      <c r="AT281" s="24" t="inlineStr">
        <is>
          <t>St. Louis Cardinals</t>
        </is>
      </c>
      <c r="AU281" s="24" t="inlineStr">
        <is>
          <t>St. Louis Cardinals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research</t>
        </is>
      </c>
      <c r="BA281" s="24" t="inlineStr">
        <is>
          <t>95b84332c75d2ce54036eb8de6ada9c78d0f80228c50825c0347281a8b9b49c7</t>
        </is>
      </c>
      <c r="BB281" s="24" t="inlineStr">
        <is>
          <t>flat_probability_shrinkage_toward_half</t>
        </is>
      </c>
      <c r="BC281" s="24" t="inlineStr">
        <is>
          <t>measured-edge-totals-v3</t>
        </is>
      </c>
      <c r="BD281" s="24" t="inlineStr">
        <is>
          <t>95b84332c75d2ce54036eb8de6ada9c78d0f80228c50825c0347281a8b9b49c7</t>
        </is>
      </c>
      <c r="BE281" s="24" t="inlineStr">
        <is>
          <t>v3</t>
        </is>
      </c>
      <c r="BF281" s="24" t="inlineStr">
        <is>
          <t>1</t>
        </is>
      </c>
      <c r="BG281" s="24" t="inlineStr">
        <is>
          <t>measured-edge-paired-v1</t>
        </is>
      </c>
      <c r="BH281" s="24" t="inlineStr">
        <is>
          <t>2026-08-07T21:56:47.081526Z</t>
        </is>
      </c>
      <c r="BI281" s="24" t="inlineStr">
        <is>
          <t>["same_event","same_team_same_day","same_league_same_day"]</t>
        </is>
      </c>
      <c r="BJ281" s="25" t="n">
        <v>8.5</v>
      </c>
      <c r="BK281" s="26" t="n">
        <v>-108</v>
      </c>
      <c r="BL281" s="27" t="n">
        <v>1.925926</v>
      </c>
      <c r="BM281" s="28" t="n">
        <v>0.519231</v>
      </c>
      <c r="BN281" s="28" t="n">
        <v>0.517413</v>
      </c>
      <c r="BO281" s="28" t="n"/>
      <c r="BP281" s="25" t="n"/>
      <c r="BQ281" s="27" t="n">
        <v>1.925926</v>
      </c>
      <c r="BR281" s="28" t="n">
        <v>0.52</v>
      </c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False</t>
        </is>
      </c>
    </row>
    <row r="282" ht="36" customHeight="1">
      <c r="A282" s="24" t="inlineStr">
        <is>
          <t>cedc9f3959ef487d</t>
        </is>
      </c>
      <c r="B282" s="24" t="inlineStr">
        <is>
          <t>2026-08-08T01:00:54.678171Z</t>
        </is>
      </c>
      <c r="C282" s="24" t="inlineStr">
        <is>
          <t>2026-08-07T21:40:00-0400</t>
        </is>
      </c>
      <c r="D282" s="24" t="inlineStr">
        <is>
          <t>401816436</t>
        </is>
      </c>
      <c r="E282" s="24" t="inlineStr">
        <is>
          <t>MLB</t>
        </is>
      </c>
      <c r="F282" s="24" t="inlineStr">
        <is>
          <t>Houston Astros</t>
        </is>
      </c>
      <c r="G282" s="24" t="inlineStr">
        <is>
          <t>San Diego Padres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polymarket_us</t>
        </is>
      </c>
      <c r="L282" s="26" t="n">
        <v>-106</v>
      </c>
      <c r="M282" s="27" t="n">
        <v>1.943396</v>
      </c>
      <c r="N282" s="28" t="n">
        <v>0.514563</v>
      </c>
      <c r="O282" s="28" t="n">
        <v>0.58632</v>
      </c>
      <c r="P282" s="28" t="n"/>
      <c r="Q282" s="28" t="n">
        <v>0.071757</v>
      </c>
      <c r="R282" s="26" t="n">
        <v>57</v>
      </c>
      <c r="S282" s="29" t="n">
        <v>0</v>
      </c>
      <c r="T282" s="24" t="inlineStr">
        <is>
          <t>mlb-elo-trend-lr-v8</t>
        </is>
      </c>
      <c r="U282" s="24" t="inlineStr">
        <is>
          <t>settled</t>
        </is>
      </c>
      <c r="V282" s="24" t="inlineStr">
        <is>
          <t>loss</t>
        </is>
      </c>
      <c r="W282" s="26" t="n">
        <v>6</v>
      </c>
      <c r="X282" s="26" t="n">
        <v>3</v>
      </c>
      <c r="Y282" s="25" t="n"/>
      <c r="Z282" s="26" t="n">
        <v>-106</v>
      </c>
      <c r="AA282" s="28" t="n">
        <v>0.515</v>
      </c>
      <c r="AB282" s="28" t="n">
        <v>0.000437</v>
      </c>
      <c r="AC282" s="30" t="n">
        <v>0</v>
      </c>
      <c r="AD282" s="24" t="inlineStr">
        <is>
          <t>2026-08-08T18:33:07.020575Z</t>
        </is>
      </c>
      <c r="AE282" s="31" t="inlineStr">
        <is>
          <t>Learned LR call at threshold 0.5873; executable ask 0.5150 (aec-mlb-hou-sd-2026-08-07); model edge vs ask +0.0713.</t>
        </is>
      </c>
      <c r="AF282" s="31" t="inlineStr">
        <is>
          <t>Learned model; shadow-qualified via operator override.</t>
        </is>
      </c>
      <c r="AG282" s="24" t="inlineStr">
        <is>
          <t>review_required</t>
        </is>
      </c>
      <c r="AH282" s="24" t="n"/>
      <c r="AI282" s="31" t="n"/>
      <c r="AJ282" s="31" t="n"/>
      <c r="AK282" s="24" t="inlineStr">
        <is>
          <t>research_observation</t>
        </is>
      </c>
      <c r="AL282" s="26" t="n">
        <v>3</v>
      </c>
      <c r="AM282" s="24" t="inlineStr">
        <is>
          <t>RESEARCH_OBSERVATION</t>
        </is>
      </c>
      <c r="AN282" s="24" t="inlineStr">
        <is>
          <t>NO_CALL</t>
        </is>
      </c>
      <c r="AO282" s="24" t="inlineStr">
        <is>
          <t>NO_CALL_WINNER_OVERVALUED</t>
        </is>
      </c>
      <c r="AP282" s="24" t="inlineStr">
        <is>
          <t>mlb-hou</t>
        </is>
      </c>
      <c r="AQ282" s="24" t="inlineStr">
        <is>
          <t>Houston Astros</t>
        </is>
      </c>
      <c r="AR282" s="24" t="inlineStr">
        <is>
          <t>Houston Astros</t>
        </is>
      </c>
      <c r="AS282" s="24" t="inlineStr">
        <is>
          <t>mlb-sd</t>
        </is>
      </c>
      <c r="AT282" s="24" t="inlineStr">
        <is>
          <t>San Diego Padres</t>
        </is>
      </c>
      <c r="AU282" s="24" t="inlineStr">
        <is>
          <t>San Diego Padres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6a5c79541b0e50cb9f7318270e63d5ccc65cbd7bc53a019748ff772d49de5075</t>
        </is>
      </c>
      <c r="BB282" s="24" t="inlineStr">
        <is>
          <t>learned_lr</t>
        </is>
      </c>
      <c r="BC282" s="24" t="inlineStr">
        <is>
          <t>mlb-elo-trend-lr-v8</t>
        </is>
      </c>
      <c r="BD282" s="24" t="inlineStr">
        <is>
          <t>6a5c79541b0e50cb9f7318270e63d5ccc65cbd7bc53a019748ff772d49de5075</t>
        </is>
      </c>
      <c r="BE282" s="24" t="inlineStr">
        <is>
          <t>ce3b16db9f1363ad</t>
        </is>
      </c>
      <c r="BF282" s="24" t="inlineStr">
        <is>
          <t>1</t>
        </is>
      </c>
      <c r="BG282" s="24" t="inlineStr">
        <is>
          <t>mlb-elo-trend-lr-v8</t>
        </is>
      </c>
      <c r="BH282" s="24" t="inlineStr">
        <is>
          <t>2026-08-08T01:00:42.002683Z</t>
        </is>
      </c>
      <c r="BI282" s="24" t="inlineStr">
        <is>
          <t>["same_event","same_team_same_day","same_league_same_day"]</t>
        </is>
      </c>
      <c r="BJ282" s="25" t="n"/>
      <c r="BK282" s="26" t="n">
        <v>-106</v>
      </c>
      <c r="BL282" s="27" t="n">
        <v>1.943396</v>
      </c>
      <c r="BM282" s="28" t="n">
        <v>0.514563</v>
      </c>
      <c r="BN282" s="28" t="n">
        <v>0.5124379999999999</v>
      </c>
      <c r="BO282" s="28" t="n"/>
      <c r="BP282" s="25" t="n"/>
      <c r="BQ282" s="27" t="n">
        <v>1.943396</v>
      </c>
      <c r="BR282" s="28" t="n">
        <v>0.515</v>
      </c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inlineStr">
        <is>
          <t>0.5604308496</t>
        </is>
      </c>
      <c r="CD282" s="24" t="inlineStr">
        <is>
          <t>-0.466958</t>
        </is>
      </c>
      <c r="CE282" s="24" t="inlineStr">
        <is>
          <t>0.947</t>
        </is>
      </c>
      <c r="CF282" s="24" t="inlineStr">
        <is>
          <t>1.0059</t>
        </is>
      </c>
      <c r="CG282" s="24" t="n"/>
      <c r="CH282" s="24" t="n"/>
      <c r="CI282" s="24" t="n"/>
      <c r="CJ282" s="24" t="inlineStr">
        <is>
          <t>-0.578718</t>
        </is>
      </c>
      <c r="CK282" s="24" t="n"/>
      <c r="CL282" s="24" t="inlineStr">
        <is>
          <t>0.186693</t>
        </is>
      </c>
      <c r="CM282" s="24" t="inlineStr">
        <is>
          <t>-2.1888</t>
        </is>
      </c>
      <c r="CN282" s="24" t="n"/>
      <c r="CO282" s="24" t="n"/>
      <c r="CP282" s="24" t="n"/>
      <c r="CQ282" s="24" t="n"/>
      <c r="CR282" s="24" t="inlineStr">
        <is>
          <t>0.58632</t>
        </is>
      </c>
      <c r="CS282" s="24" t="inlineStr">
        <is>
          <t>True</t>
        </is>
      </c>
    </row>
    <row r="283" ht="36" customHeight="1">
      <c r="A283" s="24" t="inlineStr">
        <is>
          <t>4f34ab538ae34557</t>
        </is>
      </c>
      <c r="B283" s="24" t="inlineStr">
        <is>
          <t>2026-08-08T01:00:54.678171Z</t>
        </is>
      </c>
      <c r="C283" s="24" t="inlineStr">
        <is>
          <t>2026-08-07T21:40:00-0400</t>
        </is>
      </c>
      <c r="D283" s="24" t="inlineStr">
        <is>
          <t>401816437</t>
        </is>
      </c>
      <c r="E283" s="24" t="inlineStr">
        <is>
          <t>MLB</t>
        </is>
      </c>
      <c r="F283" s="24" t="inlineStr">
        <is>
          <t>Los Angeles Dodgers</t>
        </is>
      </c>
      <c r="G283" s="24" t="inlineStr">
        <is>
          <t>Arizona Diamondbacks</t>
        </is>
      </c>
      <c r="H283" s="24" t="inlineStr">
        <is>
          <t>moneyline</t>
        </is>
      </c>
      <c r="I283" s="24" t="inlineStr">
        <is>
          <t>away</t>
        </is>
      </c>
      <c r="J283" s="25" t="n"/>
      <c r="K283" s="24" t="inlineStr">
        <is>
          <t>polymarket_us</t>
        </is>
      </c>
      <c r="L283" s="26" t="n">
        <v>-163</v>
      </c>
      <c r="M283" s="27" t="n">
        <v>1.613497</v>
      </c>
      <c r="N283" s="28" t="n">
        <v>0.619772</v>
      </c>
      <c r="O283" s="28" t="n">
        <v>0.527996</v>
      </c>
      <c r="P283" s="28" t="n"/>
      <c r="Q283" s="28" t="n">
        <v>-0.091776</v>
      </c>
      <c r="R283" s="26" t="n">
        <v>0</v>
      </c>
      <c r="S283" s="29" t="n">
        <v>0</v>
      </c>
      <c r="T283" s="24" t="inlineStr">
        <is>
          <t>mlb-elo-trend-lr-v8</t>
        </is>
      </c>
      <c r="U283" s="24" t="inlineStr">
        <is>
          <t>settled</t>
        </is>
      </c>
      <c r="V283" s="24" t="inlineStr">
        <is>
          <t>loss</t>
        </is>
      </c>
      <c r="W283" s="26" t="n">
        <v>3</v>
      </c>
      <c r="X283" s="26" t="n">
        <v>4</v>
      </c>
      <c r="Y283" s="25" t="n"/>
      <c r="Z283" s="26" t="n">
        <v>-163</v>
      </c>
      <c r="AA283" s="28" t="n">
        <v>0.62</v>
      </c>
      <c r="AB283" s="28" t="n">
        <v>0.000228</v>
      </c>
      <c r="AC283" s="30" t="n">
        <v>0</v>
      </c>
      <c r="AD283" s="24" t="inlineStr">
        <is>
          <t>2026-08-08T18:33:08.243380Z</t>
        </is>
      </c>
      <c r="AE283" s="31" t="inlineStr">
        <is>
          <t>Learned LR call at threshold 0.5873; executable ask 0.6200 (aec-mlb-lad-az-2026-08-07); model edge vs ask -0.0920.</t>
        </is>
      </c>
      <c r="AF283" s="31" t="inlineStr">
        <is>
          <t>Learned model; shadow-qualified via operator override.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research_observation</t>
        </is>
      </c>
      <c r="AL283" s="26" t="n">
        <v>3</v>
      </c>
      <c r="AM283" s="24" t="inlineStr">
        <is>
          <t>RESEARCH_OBSERVATION</t>
        </is>
      </c>
      <c r="AN283" s="24" t="inlineStr">
        <is>
          <t>NO_CALL</t>
        </is>
      </c>
      <c r="AO283" s="24" t="inlineStr">
        <is>
          <t>NO_CALL_WINNER_OVERVALUED</t>
        </is>
      </c>
      <c r="AP283" s="24" t="inlineStr">
        <is>
          <t>mlb-lad</t>
        </is>
      </c>
      <c r="AQ283" s="24" t="inlineStr">
        <is>
          <t>Los Angeles Dodgers</t>
        </is>
      </c>
      <c r="AR283" s="24" t="inlineStr">
        <is>
          <t>Los Angeles Dodgers</t>
        </is>
      </c>
      <c r="AS283" s="24" t="inlineStr">
        <is>
          <t>mlb-ari</t>
        </is>
      </c>
      <c r="AT283" s="24" t="inlineStr">
        <is>
          <t>Arizona Diamondbacks</t>
        </is>
      </c>
      <c r="AU283" s="24" t="inlineStr">
        <is>
          <t>Arizona Diamondbacks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6a5c79541b0e50cb9f7318270e63d5ccc65cbd7bc53a019748ff772d49de5075</t>
        </is>
      </c>
      <c r="BB283" s="24" t="inlineStr">
        <is>
          <t>learned_lr</t>
        </is>
      </c>
      <c r="BC283" s="24" t="inlineStr">
        <is>
          <t>mlb-elo-trend-lr-v8</t>
        </is>
      </c>
      <c r="BD283" s="24" t="inlineStr">
        <is>
          <t>6a5c79541b0e50cb9f7318270e63d5ccc65cbd7bc53a019748ff772d49de5075</t>
        </is>
      </c>
      <c r="BE283" s="24" t="inlineStr">
        <is>
          <t>807bfd9a83666e43</t>
        </is>
      </c>
      <c r="BF283" s="24" t="inlineStr">
        <is>
          <t>1</t>
        </is>
      </c>
      <c r="BG283" s="24" t="inlineStr">
        <is>
          <t>mlb-elo-trend-lr-v8</t>
        </is>
      </c>
      <c r="BH283" s="24" t="inlineStr">
        <is>
          <t>2026-08-08T01:00:42.475216Z</t>
        </is>
      </c>
      <c r="BI283" s="24" t="inlineStr">
        <is>
          <t>["same_event","same_team_same_day","same_league_same_day"]</t>
        </is>
      </c>
      <c r="BJ283" s="25" t="n"/>
      <c r="BK283" s="26" t="n">
        <v>-163</v>
      </c>
      <c r="BL283" s="27" t="n">
        <v>1.613497</v>
      </c>
      <c r="BM283" s="28" t="n">
        <v>0.619772</v>
      </c>
      <c r="BN283" s="28" t="n">
        <v>0.616915</v>
      </c>
      <c r="BO283" s="28" t="n"/>
      <c r="BP283" s="25" t="n"/>
      <c r="BQ283" s="27" t="n">
        <v>1.613497</v>
      </c>
      <c r="BR283" s="28" t="n">
        <v>0.62</v>
      </c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inlineStr">
        <is>
          <t>0.4742141149</t>
        </is>
      </c>
      <c r="CD283" s="24" t="inlineStr">
        <is>
          <t>0.990554</t>
        </is>
      </c>
      <c r="CE283" s="24" t="inlineStr">
        <is>
          <t>1.097</t>
        </is>
      </c>
      <c r="CF283" s="24" t="inlineStr">
        <is>
          <t>1.0</t>
        </is>
      </c>
      <c r="CG283" s="24" t="n"/>
      <c r="CH283" s="24" t="n"/>
      <c r="CI283" s="24" t="n"/>
      <c r="CJ283" s="24" t="inlineStr">
        <is>
          <t>1.63029</t>
        </is>
      </c>
      <c r="CK283" s="24" t="n"/>
      <c r="CL283" s="24" t="inlineStr">
        <is>
          <t>0.13886</t>
        </is>
      </c>
      <c r="CM283" s="24" t="inlineStr">
        <is>
          <t>-1.0479</t>
        </is>
      </c>
      <c r="CN283" s="24" t="n"/>
      <c r="CO283" s="24" t="n"/>
      <c r="CP283" s="24" t="n"/>
      <c r="CQ283" s="24" t="n"/>
      <c r="CR283" s="24" t="inlineStr">
        <is>
          <t>0.527996</t>
        </is>
      </c>
      <c r="CS283" s="24" t="inlineStr">
        <is>
          <t>False</t>
        </is>
      </c>
    </row>
    <row r="284" ht="36" customHeight="1">
      <c r="A284" s="24" t="inlineStr">
        <is>
          <t>69e46b194eb443ea</t>
        </is>
      </c>
      <c r="B284" s="24" t="inlineStr">
        <is>
          <t>2026-08-08T01:00:54.678171Z</t>
        </is>
      </c>
      <c r="C284" s="24" t="inlineStr">
        <is>
          <t>2026-08-07T21:45:00-0400</t>
        </is>
      </c>
      <c r="D284" s="24" t="inlineStr">
        <is>
          <t>401816438</t>
        </is>
      </c>
      <c r="E284" s="24" t="inlineStr">
        <is>
          <t>MLB</t>
        </is>
      </c>
      <c r="F284" s="24" t="inlineStr">
        <is>
          <t>Tampa Bay Rays</t>
        </is>
      </c>
      <c r="G284" s="24" t="inlineStr">
        <is>
          <t>Seattle Mariners</t>
        </is>
      </c>
      <c r="H284" s="24" t="inlineStr">
        <is>
          <t>moneyline</t>
        </is>
      </c>
      <c r="I284" s="24" t="inlineStr">
        <is>
          <t>home</t>
        </is>
      </c>
      <c r="J284" s="25" t="n"/>
      <c r="K284" s="24" t="inlineStr">
        <is>
          <t>polymarket_us</t>
        </is>
      </c>
      <c r="L284" s="26" t="n">
        <v>-108</v>
      </c>
      <c r="M284" s="27" t="n">
        <v>1.925926</v>
      </c>
      <c r="N284" s="28" t="n">
        <v>0.519231</v>
      </c>
      <c r="O284" s="28" t="n">
        <v>0.556751</v>
      </c>
      <c r="P284" s="28" t="n"/>
      <c r="Q284" s="28" t="n">
        <v>0.03752</v>
      </c>
      <c r="R284" s="26" t="n">
        <v>40</v>
      </c>
      <c r="S284" s="29" t="n">
        <v>0</v>
      </c>
      <c r="T284" s="24" t="inlineStr">
        <is>
          <t>mlb-elo-trend-lr-v8</t>
        </is>
      </c>
      <c r="U284" s="24" t="inlineStr">
        <is>
          <t>settled</t>
        </is>
      </c>
      <c r="V284" s="24" t="inlineStr">
        <is>
          <t>loss</t>
        </is>
      </c>
      <c r="W284" s="26" t="n">
        <v>2</v>
      </c>
      <c r="X284" s="26" t="n">
        <v>1</v>
      </c>
      <c r="Y284" s="25" t="n"/>
      <c r="Z284" s="26" t="n">
        <v>-108</v>
      </c>
      <c r="AA284" s="28" t="n">
        <v>0.52</v>
      </c>
      <c r="AB284" s="28" t="n">
        <v>0.000769</v>
      </c>
      <c r="AC284" s="30" t="n">
        <v>0</v>
      </c>
      <c r="AD284" s="24" t="inlineStr">
        <is>
          <t>2026-08-08T18:33:09.497487Z</t>
        </is>
      </c>
      <c r="AE284" s="31" t="inlineStr">
        <is>
          <t>Learned LR call at threshold 0.5873; executable ask 0.5200 (aec-mlb-tb-sea-2026-08-07); model edge vs ask +0.0368.</t>
        </is>
      </c>
      <c r="AF284" s="31" t="inlineStr">
        <is>
          <t>Learned model; shadow-qualified via operator override.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research_observation</t>
        </is>
      </c>
      <c r="AL284" s="26" t="n">
        <v>3</v>
      </c>
      <c r="AM284" s="24" t="inlineStr">
        <is>
          <t>RESEARCH_OBSERVATION</t>
        </is>
      </c>
      <c r="AN284" s="24" t="inlineStr">
        <is>
          <t>NO_CALL</t>
        </is>
      </c>
      <c r="AO284" s="24" t="inlineStr">
        <is>
          <t>NO_CALL_WINNER_OVERVALUED</t>
        </is>
      </c>
      <c r="AP284" s="24" t="inlineStr">
        <is>
          <t>mlb-tb</t>
        </is>
      </c>
      <c r="AQ284" s="24" t="inlineStr">
        <is>
          <t>Tampa Bay Rays</t>
        </is>
      </c>
      <c r="AR284" s="24" t="inlineStr">
        <is>
          <t>Tampa Bay Rays</t>
        </is>
      </c>
      <c r="AS284" s="24" t="inlineStr">
        <is>
          <t>mlb-sea</t>
        </is>
      </c>
      <c r="AT284" s="24" t="inlineStr">
        <is>
          <t>Seattle Mariners</t>
        </is>
      </c>
      <c r="AU284" s="24" t="inlineStr">
        <is>
          <t>Seattle Mariners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6a5c79541b0e50cb9f7318270e63d5ccc65cbd7bc53a019748ff772d49de5075</t>
        </is>
      </c>
      <c r="BB284" s="24" t="inlineStr">
        <is>
          <t>learned_lr</t>
        </is>
      </c>
      <c r="BC284" s="24" t="inlineStr">
        <is>
          <t>mlb-elo-trend-lr-v8</t>
        </is>
      </c>
      <c r="BD284" s="24" t="inlineStr">
        <is>
          <t>6a5c79541b0e50cb9f7318270e63d5ccc65cbd7bc53a019748ff772d49de5075</t>
        </is>
      </c>
      <c r="BE284" s="24" t="inlineStr">
        <is>
          <t>cf9d26fcd493bc83</t>
        </is>
      </c>
      <c r="BF284" s="24" t="inlineStr">
        <is>
          <t>1</t>
        </is>
      </c>
      <c r="BG284" s="24" t="inlineStr">
        <is>
          <t>mlb-elo-trend-lr-v8</t>
        </is>
      </c>
      <c r="BH284" s="24" t="inlineStr">
        <is>
          <t>2026-08-08T01:00:42.968239Z</t>
        </is>
      </c>
      <c r="BI284" s="24" t="inlineStr">
        <is>
          <t>["same_event","same_team_same_day","same_league_same_day"]</t>
        </is>
      </c>
      <c r="BJ284" s="25" t="n"/>
      <c r="BK284" s="26" t="n">
        <v>-108</v>
      </c>
      <c r="BL284" s="27" t="n">
        <v>1.925926</v>
      </c>
      <c r="BM284" s="28" t="n">
        <v>0.519231</v>
      </c>
      <c r="BN284" s="28" t="n">
        <v>0.517413</v>
      </c>
      <c r="BO284" s="28" t="n"/>
      <c r="BP284" s="25" t="n"/>
      <c r="BQ284" s="27" t="n">
        <v>1.925926</v>
      </c>
      <c r="BR284" s="28" t="n">
        <v>0.52</v>
      </c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inlineStr">
        <is>
          <t>0.5166228758</t>
        </is>
      </c>
      <c r="CD284" s="24" t="inlineStr">
        <is>
          <t>-0.75321</t>
        </is>
      </c>
      <c r="CE284" s="24" t="inlineStr">
        <is>
          <t>0.938</t>
        </is>
      </c>
      <c r="CF284" s="24" t="inlineStr">
        <is>
          <t>1.0</t>
        </is>
      </c>
      <c r="CG284" s="24" t="n"/>
      <c r="CH284" s="24" t="n"/>
      <c r="CI284" s="24" t="n"/>
      <c r="CJ284" s="24" t="inlineStr">
        <is>
          <t>-1.077092</t>
        </is>
      </c>
      <c r="CK284" s="24" t="n"/>
      <c r="CL284" s="24" t="inlineStr">
        <is>
          <t>0.31629</t>
        </is>
      </c>
      <c r="CM284" s="24" t="inlineStr">
        <is>
          <t>-0.9125</t>
        </is>
      </c>
      <c r="CN284" s="24" t="n"/>
      <c r="CO284" s="24" t="n"/>
      <c r="CP284" s="24" t="n"/>
      <c r="CQ284" s="24" t="n"/>
      <c r="CR284" s="24" t="inlineStr">
        <is>
          <t>0.556751</t>
        </is>
      </c>
      <c r="CS284" s="24" t="inlineStr">
        <is>
          <t>True</t>
        </is>
      </c>
    </row>
    <row r="285" ht="36" customHeight="1">
      <c r="A285" s="24" t="inlineStr">
        <is>
          <t>4c35e7eb4a314683</t>
        </is>
      </c>
      <c r="B285" s="24" t="inlineStr">
        <is>
          <t>2026-08-08T01:00:54.678171Z</t>
        </is>
      </c>
      <c r="C285" s="24" t="inlineStr">
        <is>
          <t>2026-08-07T22:15:00-0400</t>
        </is>
      </c>
      <c r="D285" s="24" t="inlineStr">
        <is>
          <t>401816435</t>
        </is>
      </c>
      <c r="E285" s="24" t="inlineStr">
        <is>
          <t>MLB</t>
        </is>
      </c>
      <c r="F285" s="24" t="inlineStr">
        <is>
          <t>Detroit Tigers</t>
        </is>
      </c>
      <c r="G285" s="24" t="inlineStr">
        <is>
          <t>San Francisco Giants</t>
        </is>
      </c>
      <c r="H285" s="24" t="inlineStr">
        <is>
          <t>moneyline</t>
        </is>
      </c>
      <c r="I285" s="24" t="inlineStr">
        <is>
          <t>away</t>
        </is>
      </c>
      <c r="J285" s="25" t="n"/>
      <c r="K285" s="24" t="inlineStr">
        <is>
          <t>polymarket_us</t>
        </is>
      </c>
      <c r="L285" s="26" t="n">
        <v>-133</v>
      </c>
      <c r="M285" s="27" t="n">
        <v>1.75188</v>
      </c>
      <c r="N285" s="28" t="n">
        <v>0.570815</v>
      </c>
      <c r="O285" s="28" t="n">
        <v>0.508057</v>
      </c>
      <c r="P285" s="28" t="n"/>
      <c r="Q285" s="28" t="n">
        <v>-0.06275799999999999</v>
      </c>
      <c r="R285" s="26" t="n">
        <v>0</v>
      </c>
      <c r="S285" s="29" t="n">
        <v>0</v>
      </c>
      <c r="T285" s="24" t="inlineStr">
        <is>
          <t>mlb-elo-trend-lr-v8</t>
        </is>
      </c>
      <c r="U285" s="24" t="inlineStr">
        <is>
          <t>settled</t>
        </is>
      </c>
      <c r="V285" s="24" t="inlineStr">
        <is>
          <t>loss</t>
        </is>
      </c>
      <c r="W285" s="26" t="n">
        <v>2</v>
      </c>
      <c r="X285" s="26" t="n">
        <v>5</v>
      </c>
      <c r="Y285" s="25" t="n"/>
      <c r="Z285" s="26" t="n">
        <v>-133</v>
      </c>
      <c r="AA285" s="28" t="n">
        <v>0.57</v>
      </c>
      <c r="AB285" s="28" t="n">
        <v>-0.000815</v>
      </c>
      <c r="AC285" s="30" t="n">
        <v>0</v>
      </c>
      <c r="AD285" s="24" t="inlineStr">
        <is>
          <t>2026-08-08T18:33:10.678484Z</t>
        </is>
      </c>
      <c r="AE285" s="31" t="inlineStr">
        <is>
          <t>Learned LR call at threshold 0.5873; executable ask 0.5700 (aec-mlb-det-sf-2026-08-07); model edge vs ask -0.0619. NOTE: NO_CALL_STARTER_ERA_GAP_INSUFFICIENT_HISTORY unavailable for this game — defaulted to neutral, other features used normally.</t>
        </is>
      </c>
      <c r="AF285" s="31" t="inlineStr">
        <is>
          <t>Learned model; shadow-qualified via operator override.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research_observation</t>
        </is>
      </c>
      <c r="AL285" s="26" t="n">
        <v>3</v>
      </c>
      <c r="AM285" s="24" t="inlineStr">
        <is>
          <t>RESEARCH_OBSERVATION</t>
        </is>
      </c>
      <c r="AN285" s="24" t="inlineStr">
        <is>
          <t>NO_CALL</t>
        </is>
      </c>
      <c r="AO285" s="24" t="inlineStr">
        <is>
          <t>NO_CALL_WINNER_OVERVALUED</t>
        </is>
      </c>
      <c r="AP285" s="24" t="inlineStr">
        <is>
          <t>mlb-det</t>
        </is>
      </c>
      <c r="AQ285" s="24" t="inlineStr">
        <is>
          <t>Detroit Tigers</t>
        </is>
      </c>
      <c r="AR285" s="24" t="inlineStr">
        <is>
          <t>Detroit Tigers</t>
        </is>
      </c>
      <c r="AS285" s="24" t="inlineStr">
        <is>
          <t>mlb-sf</t>
        </is>
      </c>
      <c r="AT285" s="24" t="inlineStr">
        <is>
          <t>San Francisco Giants</t>
        </is>
      </c>
      <c r="AU285" s="24" t="inlineStr">
        <is>
          <t>San Francisco Giants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6a5c79541b0e50cb9f7318270e63d5ccc65cbd7bc53a019748ff772d49de5075</t>
        </is>
      </c>
      <c r="BB285" s="24" t="inlineStr">
        <is>
          <t>learned_lr</t>
        </is>
      </c>
      <c r="BC285" s="24" t="inlineStr">
        <is>
          <t>mlb-elo-trend-lr-v8</t>
        </is>
      </c>
      <c r="BD285" s="24" t="inlineStr">
        <is>
          <t>6a5c79541b0e50cb9f7318270e63d5ccc65cbd7bc53a019748ff772d49de5075</t>
        </is>
      </c>
      <c r="BE285" s="24" t="inlineStr">
        <is>
          <t>ea91bad86b130d41</t>
        </is>
      </c>
      <c r="BF285" s="24" t="inlineStr">
        <is>
          <t>1</t>
        </is>
      </c>
      <c r="BG285" s="24" t="inlineStr">
        <is>
          <t>mlb-elo-trend-lr-v8</t>
        </is>
      </c>
      <c r="BH285" s="24" t="inlineStr">
        <is>
          <t>2026-08-08T01:00:43.585489Z</t>
        </is>
      </c>
      <c r="BI285" s="24" t="inlineStr">
        <is>
          <t>["same_event","same_team_same_day","same_league_same_day"]</t>
        </is>
      </c>
      <c r="BJ285" s="25" t="n"/>
      <c r="BK285" s="26" t="n">
        <v>-133</v>
      </c>
      <c r="BL285" s="27" t="n">
        <v>1.75188</v>
      </c>
      <c r="BM285" s="28" t="n">
        <v>0.570815</v>
      </c>
      <c r="BN285" s="28" t="n">
        <v>0.567164</v>
      </c>
      <c r="BO285" s="28" t="n"/>
      <c r="BP285" s="25" t="n"/>
      <c r="BQ285" s="27" t="n">
        <v>1.75188</v>
      </c>
      <c r="BR285" s="28" t="n">
        <v>0.57</v>
      </c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inlineStr">
        <is>
          <t>0.4512491472</t>
        </is>
      </c>
      <c r="CD285" s="24" t="inlineStr">
        <is>
          <t>-2.888108</t>
        </is>
      </c>
      <c r="CE285" s="24" t="inlineStr">
        <is>
          <t>0.982</t>
        </is>
      </c>
      <c r="CF285" s="24" t="inlineStr">
        <is>
          <t>0.9945</t>
        </is>
      </c>
      <c r="CG285" s="24" t="n"/>
      <c r="CH285" s="24" t="n"/>
      <c r="CI285" s="24" t="inlineStr">
        <is>
          <t>NO_CALL_STARTER_ERA_GAP_INSUFFICIENT_HISTORY</t>
        </is>
      </c>
      <c r="CJ285" s="24" t="inlineStr">
        <is>
          <t>-1.325674</t>
        </is>
      </c>
      <c r="CK285" s="24" t="n"/>
      <c r="CL285" s="24" t="inlineStr">
        <is>
          <t>-0.072995</t>
        </is>
      </c>
      <c r="CM285" s="24" t="inlineStr">
        <is>
          <t>0.0</t>
        </is>
      </c>
      <c r="CN285" s="24" t="n"/>
      <c r="CO285" s="24" t="n"/>
      <c r="CP285" s="24" t="n"/>
      <c r="CQ285" s="24" t="n"/>
      <c r="CR285" s="24" t="inlineStr">
        <is>
          <t>0.508057</t>
        </is>
      </c>
      <c r="CS285" s="24" t="inlineStr">
        <is>
          <t>False</t>
        </is>
      </c>
    </row>
    <row r="286" ht="36" customHeight="1">
      <c r="A286" s="24" t="inlineStr">
        <is>
          <t>f607563057c94742</t>
        </is>
      </c>
      <c r="B286" s="24" t="inlineStr">
        <is>
          <t>2026-08-08T01:01:06.197155Z</t>
        </is>
      </c>
      <c r="C286" s="24" t="inlineStr">
        <is>
          <t>2026-08-08T01:40Z</t>
        </is>
      </c>
      <c r="D286" s="24" t="inlineStr">
        <is>
          <t>401816436</t>
        </is>
      </c>
      <c r="E286" s="24" t="inlineStr">
        <is>
          <t>MLB</t>
        </is>
      </c>
      <c r="F286" s="24" t="inlineStr">
        <is>
          <t>Houston Astros</t>
        </is>
      </c>
      <c r="G286" s="24" t="inlineStr">
        <is>
          <t>San Diego Padres</t>
        </is>
      </c>
      <c r="H286" s="24" t="inlineStr">
        <is>
          <t>spread</t>
        </is>
      </c>
      <c r="I286" s="24" t="inlineStr">
        <is>
          <t>home</t>
        </is>
      </c>
      <c r="J286" s="25" t="n">
        <v>1.5</v>
      </c>
      <c r="K286" s="24" t="inlineStr">
        <is>
          <t>polymarket_us</t>
        </is>
      </c>
      <c r="L286" s="26" t="n">
        <v>-174</v>
      </c>
      <c r="M286" s="27" t="n">
        <v>1.574713</v>
      </c>
      <c r="N286" s="28" t="n">
        <v>0.635036</v>
      </c>
      <c r="O286" s="28" t="n">
        <v>0.675461</v>
      </c>
      <c r="P286" s="28" t="n">
        <v>0.05172</v>
      </c>
      <c r="Q286" s="28" t="n">
        <v>0.040425</v>
      </c>
      <c r="R286" s="26" t="n">
        <v>41</v>
      </c>
      <c r="S286" s="29" t="n">
        <v>0</v>
      </c>
      <c r="T286" s="24" t="inlineStr">
        <is>
          <t>measured-edge-margin-v3</t>
        </is>
      </c>
      <c r="U286" s="24" t="inlineStr">
        <is>
          <t>settled</t>
        </is>
      </c>
      <c r="V286" s="24" t="inlineStr">
        <is>
          <t>loss</t>
        </is>
      </c>
      <c r="W286" s="26" t="n">
        <v>6</v>
      </c>
      <c r="X286" s="26" t="n">
        <v>3</v>
      </c>
      <c r="Y286" s="25" t="n">
        <v>1.5</v>
      </c>
      <c r="Z286" s="26" t="n">
        <v>-174</v>
      </c>
      <c r="AA286" s="28" t="n">
        <v>0.635</v>
      </c>
      <c r="AB286" s="28" t="n">
        <v>-3.6e-05</v>
      </c>
      <c r="AC286" s="30" t="n">
        <v>0</v>
      </c>
      <c r="AD286" s="24" t="inlineStr">
        <is>
          <t>2026-08-08T18:33:11.899586Z</t>
        </is>
      </c>
      <c r="AE286" s="31" t="inlineStr">
        <is>
          <t>Measured Edge Margin: Trend Engine projected 4.04-5.04; raw selected-side p=0.7575, calibrated p=0.6755.</t>
        </is>
      </c>
      <c r="AF286" s="31" t="inlineStr">
        <is>
          <t>Research-only; lineup, bullpen, park, weather, xFIP, and wRC+ may be neutral fallbacks; market availability and BBO depth may change before first pitch.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research_observation</t>
        </is>
      </c>
      <c r="AL286" s="26" t="n">
        <v>3</v>
      </c>
      <c r="AM286" s="24" t="inlineStr">
        <is>
          <t>RESEARCH_OBSERVATION</t>
        </is>
      </c>
      <c r="AN286" s="24" t="inlineStr">
        <is>
          <t>NO_CALL</t>
        </is>
      </c>
      <c r="AO286" s="24" t="inlineStr">
        <is>
          <t>NO_CALL_WINNER_OVERVALUED</t>
        </is>
      </c>
      <c r="AP286" s="24" t="inlineStr">
        <is>
          <t>mlb-hou</t>
        </is>
      </c>
      <c r="AQ286" s="24" t="inlineStr">
        <is>
          <t>Houston Astros</t>
        </is>
      </c>
      <c r="AR286" s="24" t="inlineStr">
        <is>
          <t>Houston Astros</t>
        </is>
      </c>
      <c r="AS286" s="24" t="inlineStr">
        <is>
          <t>mlb-sd</t>
        </is>
      </c>
      <c r="AT286" s="24" t="inlineStr">
        <is>
          <t>San Diego Padres</t>
        </is>
      </c>
      <c r="AU286" s="24" t="inlineStr">
        <is>
          <t>San Diego Padres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research</t>
        </is>
      </c>
      <c r="BA286" s="24" t="inlineStr">
        <is>
          <t>dd339a2eed50d7d83ab2127837995ddab82e879afd27f5414bb6c1f9cd60ba4c</t>
        </is>
      </c>
      <c r="BB286" s="24" t="inlineStr">
        <is>
          <t>flat_probability_shrinkage_toward_half</t>
        </is>
      </c>
      <c r="BC286" s="24" t="inlineStr">
        <is>
          <t>measured-edge-margin-v3</t>
        </is>
      </c>
      <c r="BD286" s="24" t="inlineStr">
        <is>
          <t>dd339a2eed50d7d83ab2127837995ddab82e879afd27f5414bb6c1f9cd60ba4c</t>
        </is>
      </c>
      <c r="BE286" s="24" t="inlineStr">
        <is>
          <t>v3</t>
        </is>
      </c>
      <c r="BF286" s="24" t="inlineStr">
        <is>
          <t>1</t>
        </is>
      </c>
      <c r="BG286" s="24" t="inlineStr">
        <is>
          <t>measured-edge-paired-v1</t>
        </is>
      </c>
      <c r="BH286" s="24" t="inlineStr">
        <is>
          <t>2026-08-08T01:01:06.197155Z</t>
        </is>
      </c>
      <c r="BI286" s="24" t="inlineStr">
        <is>
          <t>["same_event","same_team_same_day","same_league_same_day"]</t>
        </is>
      </c>
      <c r="BJ286" s="25" t="n">
        <v>1.5</v>
      </c>
      <c r="BK286" s="26" t="n">
        <v>-174</v>
      </c>
      <c r="BL286" s="27" t="n">
        <v>1.574713</v>
      </c>
      <c r="BM286" s="28" t="n">
        <v>0.635036</v>
      </c>
      <c r="BN286" s="28" t="n">
        <v>0.631841</v>
      </c>
      <c r="BO286" s="28" t="n"/>
      <c r="BP286" s="25" t="n"/>
      <c r="BQ286" s="27" t="n">
        <v>1.574713</v>
      </c>
      <c r="BR286" s="28" t="n">
        <v>0.635</v>
      </c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</row>
    <row r="287" ht="36" customHeight="1">
      <c r="A287" s="24" t="inlineStr">
        <is>
          <t>7b8ff0f15404418a</t>
        </is>
      </c>
      <c r="B287" s="24" t="inlineStr">
        <is>
          <t>2026-08-08T01:01:06.197155Z</t>
        </is>
      </c>
      <c r="C287" s="24" t="inlineStr">
        <is>
          <t>2026-08-08T01:40Z</t>
        </is>
      </c>
      <c r="D287" s="24" t="inlineStr">
        <is>
          <t>401816436</t>
        </is>
      </c>
      <c r="E287" s="24" t="inlineStr">
        <is>
          <t>MLB</t>
        </is>
      </c>
      <c r="F287" s="24" t="inlineStr">
        <is>
          <t>Houston Astros</t>
        </is>
      </c>
      <c r="G287" s="24" t="inlineStr">
        <is>
          <t>San Diego Padres</t>
        </is>
      </c>
      <c r="H287" s="24" t="inlineStr">
        <is>
          <t>total</t>
        </is>
      </c>
      <c r="I287" s="24" t="inlineStr">
        <is>
          <t>over</t>
        </is>
      </c>
      <c r="J287" s="25" t="n">
        <v>8.5</v>
      </c>
      <c r="K287" s="24" t="inlineStr">
        <is>
          <t>polymarket_us</t>
        </is>
      </c>
      <c r="L287" s="26" t="n">
        <v>-104</v>
      </c>
      <c r="M287" s="27" t="n">
        <v>1.961538</v>
      </c>
      <c r="N287" s="28" t="n">
        <v>0.509804</v>
      </c>
      <c r="O287" s="28" t="n">
        <v>0.511861</v>
      </c>
      <c r="P287" s="28" t="n">
        <v>0.05172</v>
      </c>
      <c r="Q287" s="28" t="n">
        <v>0.002057</v>
      </c>
      <c r="R287" s="26" t="n">
        <v>21</v>
      </c>
      <c r="S287" s="29" t="n">
        <v>0</v>
      </c>
      <c r="T287" s="24" t="inlineStr">
        <is>
          <t>measured-edge-totals-v3</t>
        </is>
      </c>
      <c r="U287" s="24" t="inlineStr">
        <is>
          <t>settled</t>
        </is>
      </c>
      <c r="V287" s="24" t="inlineStr">
        <is>
          <t>win</t>
        </is>
      </c>
      <c r="W287" s="26" t="n">
        <v>6</v>
      </c>
      <c r="X287" s="26" t="n">
        <v>3</v>
      </c>
      <c r="Y287" s="25" t="n">
        <v>8.5</v>
      </c>
      <c r="Z287" s="26" t="n">
        <v>-104</v>
      </c>
      <c r="AA287" s="28" t="n">
        <v>0.51</v>
      </c>
      <c r="AB287" s="28" t="n">
        <v>0.000196</v>
      </c>
      <c r="AC287" s="30" t="n">
        <v>0</v>
      </c>
      <c r="AD287" s="24" t="inlineStr">
        <is>
          <t>2026-08-08T18:33:13.069619Z</t>
        </is>
      </c>
      <c r="AE287" s="31" t="inlineStr">
        <is>
          <t>Measured Edge Totals: Trend Engine projected 4.04-5.04; raw selected-side p=0.5244, calibrated p=0.5119.</t>
        </is>
      </c>
      <c r="AF287" s="31" t="inlineStr">
        <is>
          <t>Research-only; lineup, bullpen, park, weather, xFIP, and wRC+ may be neutral fallbacks; market availability and BBO depth may change before first pitch.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research_observation</t>
        </is>
      </c>
      <c r="AL287" s="26" t="n">
        <v>3</v>
      </c>
      <c r="AM287" s="24" t="inlineStr">
        <is>
          <t>RESEARCH_OBSERVATION</t>
        </is>
      </c>
      <c r="AN287" s="24" t="inlineStr">
        <is>
          <t>NO_CALL</t>
        </is>
      </c>
      <c r="AO287" s="24" t="inlineStr">
        <is>
          <t>NO_CALL_WINNER_OVERVALUED</t>
        </is>
      </c>
      <c r="AP287" s="24" t="inlineStr">
        <is>
          <t>mlb-hou</t>
        </is>
      </c>
      <c r="AQ287" s="24" t="inlineStr">
        <is>
          <t>Houston Astros</t>
        </is>
      </c>
      <c r="AR287" s="24" t="inlineStr">
        <is>
          <t>Houston Astros</t>
        </is>
      </c>
      <c r="AS287" s="24" t="inlineStr">
        <is>
          <t>mlb-sd</t>
        </is>
      </c>
      <c r="AT287" s="24" t="inlineStr">
        <is>
          <t>San Diego Padres</t>
        </is>
      </c>
      <c r="AU287" s="24" t="inlineStr">
        <is>
          <t>San Diego Padres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research</t>
        </is>
      </c>
      <c r="BA287" s="24" t="inlineStr">
        <is>
          <t>95b84332c75d2ce54036eb8de6ada9c78d0f80228c50825c0347281a8b9b49c7</t>
        </is>
      </c>
      <c r="BB287" s="24" t="inlineStr">
        <is>
          <t>flat_probability_shrinkage_toward_half</t>
        </is>
      </c>
      <c r="BC287" s="24" t="inlineStr">
        <is>
          <t>measured-edge-totals-v3</t>
        </is>
      </c>
      <c r="BD287" s="24" t="inlineStr">
        <is>
          <t>95b84332c75d2ce54036eb8de6ada9c78d0f80228c50825c0347281a8b9b49c7</t>
        </is>
      </c>
      <c r="BE287" s="24" t="inlineStr">
        <is>
          <t>v3</t>
        </is>
      </c>
      <c r="BF287" s="24" t="inlineStr">
        <is>
          <t>1</t>
        </is>
      </c>
      <c r="BG287" s="24" t="inlineStr">
        <is>
          <t>measured-edge-paired-v1</t>
        </is>
      </c>
      <c r="BH287" s="24" t="inlineStr">
        <is>
          <t>2026-08-08T01:01:06.197155Z</t>
        </is>
      </c>
      <c r="BI287" s="24" t="inlineStr">
        <is>
          <t>["same_event","same_team_same_day","same_league_same_day"]</t>
        </is>
      </c>
      <c r="BJ287" s="25" t="n">
        <v>8.5</v>
      </c>
      <c r="BK287" s="26" t="n">
        <v>-104</v>
      </c>
      <c r="BL287" s="27" t="n">
        <v>1.961538</v>
      </c>
      <c r="BM287" s="28" t="n">
        <v>0.509804</v>
      </c>
      <c r="BN287" s="28" t="n">
        <v>0.507463</v>
      </c>
      <c r="BO287" s="28" t="n"/>
      <c r="BP287" s="25" t="n"/>
      <c r="BQ287" s="27" t="n">
        <v>1.961538</v>
      </c>
      <c r="BR287" s="28" t="n">
        <v>0.51</v>
      </c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</row>
    <row r="288" ht="36" customHeight="1">
      <c r="A288" s="24" t="inlineStr">
        <is>
          <t>55a17fb017874abe</t>
        </is>
      </c>
      <c r="B288" s="24" t="inlineStr">
        <is>
          <t>2026-08-08T01:01:06.197155Z</t>
        </is>
      </c>
      <c r="C288" s="24" t="inlineStr">
        <is>
          <t>2026-08-08T01:40Z</t>
        </is>
      </c>
      <c r="D288" s="24" t="inlineStr">
        <is>
          <t>401816437</t>
        </is>
      </c>
      <c r="E288" s="24" t="inlineStr">
        <is>
          <t>MLB</t>
        </is>
      </c>
      <c r="F288" s="24" t="inlineStr">
        <is>
          <t>Los Angeles Dodgers</t>
        </is>
      </c>
      <c r="G288" s="24" t="inlineStr">
        <is>
          <t>Arizona Diamondbacks</t>
        </is>
      </c>
      <c r="H288" s="24" t="inlineStr">
        <is>
          <t>spread</t>
        </is>
      </c>
      <c r="I288" s="24" t="inlineStr">
        <is>
          <t>home</t>
        </is>
      </c>
      <c r="J288" s="25" t="n">
        <v>1.5</v>
      </c>
      <c r="K288" s="24" t="inlineStr">
        <is>
          <t>polymarket_us</t>
        </is>
      </c>
      <c r="L288" s="26" t="n">
        <v>100</v>
      </c>
      <c r="M288" s="27" t="n">
        <v>2</v>
      </c>
      <c r="N288" s="28" t="n">
        <v>0.5</v>
      </c>
      <c r="O288" s="28" t="n">
        <v>0.631578</v>
      </c>
      <c r="P288" s="28" t="n">
        <v>0.042131</v>
      </c>
      <c r="Q288" s="28" t="n">
        <v>0.131578</v>
      </c>
      <c r="R288" s="26" t="n">
        <v>92</v>
      </c>
      <c r="S288" s="29" t="n">
        <v>1.5</v>
      </c>
      <c r="T288" s="24" t="inlineStr">
        <is>
          <t>measured-edge-margin-v3</t>
        </is>
      </c>
      <c r="U288" s="24" t="inlineStr">
        <is>
          <t>settled</t>
        </is>
      </c>
      <c r="V288" s="24" t="inlineStr">
        <is>
          <t>win</t>
        </is>
      </c>
      <c r="W288" s="26" t="n">
        <v>3</v>
      </c>
      <c r="X288" s="26" t="n">
        <v>4</v>
      </c>
      <c r="Y288" s="25" t="n">
        <v>1.5</v>
      </c>
      <c r="Z288" s="26" t="n">
        <v>100</v>
      </c>
      <c r="AA288" s="28" t="n">
        <v>0.5</v>
      </c>
      <c r="AB288" s="28" t="n">
        <v>0</v>
      </c>
      <c r="AC288" s="30" t="n">
        <v>1.5</v>
      </c>
      <c r="AD288" s="24" t="inlineStr">
        <is>
          <t>2026-08-08T18:33:14.306910Z</t>
        </is>
      </c>
      <c r="AE288" s="31" t="inlineStr">
        <is>
          <t>Measured Edge Margin: Trend Engine projected 4.62-4.87; raw selected-side p=0.6931, calibrated p=0.6316.</t>
        </is>
      </c>
      <c r="AF288" s="31" t="inlineStr">
        <is>
          <t>Research-only; lineup, bullpen, park, weather, xFIP, and wRC+ may be neutral fallbacks; market availability and BBO depth may change before first pitch.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3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mlb-lad</t>
        </is>
      </c>
      <c r="AQ288" s="24" t="inlineStr">
        <is>
          <t>Los Angeles Dodgers</t>
        </is>
      </c>
      <c r="AR288" s="24" t="inlineStr">
        <is>
          <t>Los Angeles Dodgers</t>
        </is>
      </c>
      <c r="AS288" s="24" t="inlineStr">
        <is>
          <t>mlb-ari</t>
        </is>
      </c>
      <c r="AT288" s="24" t="inlineStr">
        <is>
          <t>Arizona Diamondbacks</t>
        </is>
      </c>
      <c r="AU288" s="24" t="inlineStr">
        <is>
          <t>Arizona Diamondbacks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research</t>
        </is>
      </c>
      <c r="BA288" s="24" t="inlineStr">
        <is>
          <t>dd339a2eed50d7d83ab2127837995ddab82e879afd27f5414bb6c1f9cd60ba4c</t>
        </is>
      </c>
      <c r="BB288" s="24" t="inlineStr">
        <is>
          <t>flat_probability_shrinkage_toward_half</t>
        </is>
      </c>
      <c r="BC288" s="24" t="inlineStr">
        <is>
          <t>measured-edge-margin-v3</t>
        </is>
      </c>
      <c r="BD288" s="24" t="inlineStr">
        <is>
          <t>dd339a2eed50d7d83ab2127837995ddab82e879afd27f5414bb6c1f9cd60ba4c</t>
        </is>
      </c>
      <c r="BE288" s="24" t="inlineStr">
        <is>
          <t>v3</t>
        </is>
      </c>
      <c r="BF288" s="24" t="inlineStr">
        <is>
          <t>1</t>
        </is>
      </c>
      <c r="BG288" s="24" t="inlineStr">
        <is>
          <t>measured-edge-paired-v1</t>
        </is>
      </c>
      <c r="BH288" s="24" t="inlineStr">
        <is>
          <t>2026-08-08T01:01:06.197155Z</t>
        </is>
      </c>
      <c r="BI288" s="24" t="inlineStr">
        <is>
          <t>["same_event","same_team_same_day","same_league_same_day"]</t>
        </is>
      </c>
      <c r="BJ288" s="25" t="n">
        <v>1.5</v>
      </c>
      <c r="BK288" s="26" t="n">
        <v>100</v>
      </c>
      <c r="BL288" s="27" t="n">
        <v>2</v>
      </c>
      <c r="BM288" s="28" t="n">
        <v>0.5</v>
      </c>
      <c r="BN288" s="28" t="n">
        <v>0.497512</v>
      </c>
      <c r="BO288" s="28" t="n"/>
      <c r="BP288" s="25" t="n"/>
      <c r="BQ288" s="27" t="n">
        <v>2</v>
      </c>
      <c r="BR288" s="28" t="n">
        <v>0.5</v>
      </c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</row>
    <row r="289" ht="36" customHeight="1">
      <c r="A289" s="24" t="inlineStr">
        <is>
          <t>6a8af204e03b44b7</t>
        </is>
      </c>
      <c r="B289" s="24" t="inlineStr">
        <is>
          <t>2026-08-08T01:01:06.197155Z</t>
        </is>
      </c>
      <c r="C289" s="24" t="inlineStr">
        <is>
          <t>2026-08-08T01:40Z</t>
        </is>
      </c>
      <c r="D289" s="24" t="inlineStr">
        <is>
          <t>401816437</t>
        </is>
      </c>
      <c r="E289" s="24" t="inlineStr">
        <is>
          <t>MLB</t>
        </is>
      </c>
      <c r="F289" s="24" t="inlineStr">
        <is>
          <t>Los Angeles Dodgers</t>
        </is>
      </c>
      <c r="G289" s="24" t="inlineStr">
        <is>
          <t>Arizona Diamondbacks</t>
        </is>
      </c>
      <c r="H289" s="24" t="inlineStr">
        <is>
          <t>total</t>
        </is>
      </c>
      <c r="I289" s="24" t="inlineStr">
        <is>
          <t>over</t>
        </is>
      </c>
      <c r="J289" s="25" t="n">
        <v>8.5</v>
      </c>
      <c r="K289" s="24" t="inlineStr">
        <is>
          <t>polymarket_us</t>
        </is>
      </c>
      <c r="L289" s="26" t="n">
        <v>-127</v>
      </c>
      <c r="M289" s="27" t="n">
        <v>1.787402</v>
      </c>
      <c r="N289" s="28" t="n">
        <v>0.5594710000000001</v>
      </c>
      <c r="O289" s="28" t="n">
        <v>0.521325</v>
      </c>
      <c r="P289" s="28" t="n">
        <v>0.042131</v>
      </c>
      <c r="Q289" s="28" t="n">
        <v>-0.038146</v>
      </c>
      <c r="R289" s="26" t="n">
        <v>7</v>
      </c>
      <c r="S289" s="29" t="n">
        <v>0</v>
      </c>
      <c r="T289" s="24" t="inlineStr">
        <is>
          <t>measured-edge-totals-v3</t>
        </is>
      </c>
      <c r="U289" s="24" t="inlineStr">
        <is>
          <t>settled</t>
        </is>
      </c>
      <c r="V289" s="24" t="inlineStr">
        <is>
          <t>loss</t>
        </is>
      </c>
      <c r="W289" s="26" t="n">
        <v>3</v>
      </c>
      <c r="X289" s="26" t="n">
        <v>4</v>
      </c>
      <c r="Y289" s="25" t="n">
        <v>8.5</v>
      </c>
      <c r="Z289" s="26" t="n">
        <v>-127</v>
      </c>
      <c r="AA289" s="28" t="n">
        <v>0.5600000000000001</v>
      </c>
      <c r="AB289" s="28" t="n">
        <v>0.000529</v>
      </c>
      <c r="AC289" s="30" t="n">
        <v>0</v>
      </c>
      <c r="AD289" s="24" t="inlineStr">
        <is>
          <t>2026-08-08T18:33:15.528852Z</t>
        </is>
      </c>
      <c r="AE289" s="31" t="inlineStr">
        <is>
          <t>Measured Edge Totals: Trend Engine projected 4.62-4.87; raw selected-side p=0.5625, calibrated p=0.5213.</t>
        </is>
      </c>
      <c r="AF289" s="31" t="inlineStr">
        <is>
          <t>Research-only; lineup, bullpen, park, weather, xFIP, and wRC+ may be neutral fallbacks; market availability and BBO depth may change before first pitch.</t>
        </is>
      </c>
      <c r="AG289" s="24" t="inlineStr">
        <is>
          <t>review_required</t>
        </is>
      </c>
      <c r="AH289" s="24" t="n"/>
      <c r="AI289" s="31" t="n"/>
      <c r="AJ289" s="31" t="n"/>
      <c r="AK289" s="24" t="inlineStr">
        <is>
          <t>research_observation</t>
        </is>
      </c>
      <c r="AL289" s="26" t="n">
        <v>3</v>
      </c>
      <c r="AM289" s="24" t="inlineStr">
        <is>
          <t>RESEARCH_OBSERVATION</t>
        </is>
      </c>
      <c r="AN289" s="24" t="inlineStr">
        <is>
          <t>NO_CALL</t>
        </is>
      </c>
      <c r="AO289" s="24" t="inlineStr">
        <is>
          <t>NO_CALL_WINNER_OVERVALUED</t>
        </is>
      </c>
      <c r="AP289" s="24" t="inlineStr">
        <is>
          <t>mlb-lad</t>
        </is>
      </c>
      <c r="AQ289" s="24" t="inlineStr">
        <is>
          <t>Los Angeles Dodgers</t>
        </is>
      </c>
      <c r="AR289" s="24" t="inlineStr">
        <is>
          <t>Los Angeles Dodgers</t>
        </is>
      </c>
      <c r="AS289" s="24" t="inlineStr">
        <is>
          <t>mlb-ari</t>
        </is>
      </c>
      <c r="AT289" s="24" t="inlineStr">
        <is>
          <t>Arizona Diamondbacks</t>
        </is>
      </c>
      <c r="AU289" s="24" t="inlineStr">
        <is>
          <t>Arizona Diamondbacks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research</t>
        </is>
      </c>
      <c r="BA289" s="24" t="inlineStr">
        <is>
          <t>95b84332c75d2ce54036eb8de6ada9c78d0f80228c50825c0347281a8b9b49c7</t>
        </is>
      </c>
      <c r="BB289" s="24" t="inlineStr">
        <is>
          <t>flat_probability_shrinkage_toward_half</t>
        </is>
      </c>
      <c r="BC289" s="24" t="inlineStr">
        <is>
          <t>measured-edge-totals-v3</t>
        </is>
      </c>
      <c r="BD289" s="24" t="inlineStr">
        <is>
          <t>95b84332c75d2ce54036eb8de6ada9c78d0f80228c50825c0347281a8b9b49c7</t>
        </is>
      </c>
      <c r="BE289" s="24" t="inlineStr">
        <is>
          <t>v3</t>
        </is>
      </c>
      <c r="BF289" s="24" t="inlineStr">
        <is>
          <t>1</t>
        </is>
      </c>
      <c r="BG289" s="24" t="inlineStr">
        <is>
          <t>measured-edge-paired-v1</t>
        </is>
      </c>
      <c r="BH289" s="24" t="inlineStr">
        <is>
          <t>2026-08-08T01:01:06.197155Z</t>
        </is>
      </c>
      <c r="BI289" s="24" t="inlineStr">
        <is>
          <t>["same_event","same_team_same_day","same_league_same_day"]</t>
        </is>
      </c>
      <c r="BJ289" s="25" t="n">
        <v>8.5</v>
      </c>
      <c r="BK289" s="26" t="n">
        <v>-127</v>
      </c>
      <c r="BL289" s="27" t="n">
        <v>1.787402</v>
      </c>
      <c r="BM289" s="28" t="n">
        <v>0.5594710000000001</v>
      </c>
      <c r="BN289" s="28" t="n">
        <v>0.557214</v>
      </c>
      <c r="BO289" s="28" t="n"/>
      <c r="BP289" s="25" t="n"/>
      <c r="BQ289" s="27" t="n">
        <v>1.787402</v>
      </c>
      <c r="BR289" s="28" t="n">
        <v>0.5600000000000001</v>
      </c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</row>
    <row r="290" ht="36" customHeight="1">
      <c r="A290" s="24" t="inlineStr">
        <is>
          <t>64c9541dfe414cf0</t>
        </is>
      </c>
      <c r="B290" s="24" t="inlineStr">
        <is>
          <t>2026-08-08T01:01:06.197155Z</t>
        </is>
      </c>
      <c r="C290" s="24" t="inlineStr">
        <is>
          <t>2026-08-08T01:45Z</t>
        </is>
      </c>
      <c r="D290" s="24" t="inlineStr">
        <is>
          <t>401816438</t>
        </is>
      </c>
      <c r="E290" s="24" t="inlineStr">
        <is>
          <t>MLB</t>
        </is>
      </c>
      <c r="F290" s="24" t="inlineStr">
        <is>
          <t>Tampa Bay Rays</t>
        </is>
      </c>
      <c r="G290" s="24" t="inlineStr">
        <is>
          <t>Seattle Mariners</t>
        </is>
      </c>
      <c r="H290" s="24" t="inlineStr">
        <is>
          <t>spread</t>
        </is>
      </c>
      <c r="I290" s="24" t="inlineStr">
        <is>
          <t>away</t>
        </is>
      </c>
      <c r="J290" s="25" t="n">
        <v>-1.5</v>
      </c>
      <c r="K290" s="24" t="inlineStr">
        <is>
          <t>polymarket_us</t>
        </is>
      </c>
      <c r="L290" s="26" t="n">
        <v>194</v>
      </c>
      <c r="M290" s="27" t="n">
        <v>2.94</v>
      </c>
      <c r="N290" s="28" t="n">
        <v>0.340136</v>
      </c>
      <c r="O290" s="28" t="n">
        <v>0.386445</v>
      </c>
      <c r="P290" s="28" t="n">
        <v>0.042131</v>
      </c>
      <c r="Q290" s="28" t="n">
        <v>0.046309</v>
      </c>
      <c r="R290" s="26" t="n">
        <v>49</v>
      </c>
      <c r="S290" s="29" t="n">
        <v>0</v>
      </c>
      <c r="T290" s="24" t="inlineStr">
        <is>
          <t>measured-edge-margin-v3</t>
        </is>
      </c>
      <c r="U290" s="24" t="inlineStr">
        <is>
          <t>settled</t>
        </is>
      </c>
      <c r="V290" s="24" t="inlineStr">
        <is>
          <t>loss</t>
        </is>
      </c>
      <c r="W290" s="26" t="n">
        <v>2</v>
      </c>
      <c r="X290" s="26" t="n">
        <v>1</v>
      </c>
      <c r="Y290" s="25" t="n">
        <v>-1.5</v>
      </c>
      <c r="Z290" s="26" t="n">
        <v>194</v>
      </c>
      <c r="AA290" s="28" t="n">
        <v>0.34</v>
      </c>
      <c r="AB290" s="28" t="n">
        <v>-0.000136</v>
      </c>
      <c r="AC290" s="30" t="n">
        <v>0</v>
      </c>
      <c r="AD290" s="24" t="inlineStr">
        <is>
          <t>2026-08-08T18:33:16.734796Z</t>
        </is>
      </c>
      <c r="AE290" s="31" t="inlineStr">
        <is>
          <t>Measured Edge Margin: Trend Engine projected 4.35-4.28; raw selected-side p=0.3333, calibrated p=0.3864.</t>
        </is>
      </c>
      <c r="AF290" s="31" t="inlineStr">
        <is>
          <t>Research-only; lineup, bullpen, park, weather, xFIP, and wRC+ may be neutral fallbacks; market availability and BBO depth may change before first pitch.</t>
        </is>
      </c>
      <c r="AG290" s="24" t="inlineStr">
        <is>
          <t>review_required</t>
        </is>
      </c>
      <c r="AH290" s="24" t="n"/>
      <c r="AI290" s="31" t="n"/>
      <c r="AJ290" s="31" t="n"/>
      <c r="AK290" s="24" t="inlineStr">
        <is>
          <t>research_observation</t>
        </is>
      </c>
      <c r="AL290" s="26" t="n">
        <v>3</v>
      </c>
      <c r="AM290" s="24" t="inlineStr">
        <is>
          <t>RESEARCH_OBSERVATION</t>
        </is>
      </c>
      <c r="AN290" s="24" t="inlineStr">
        <is>
          <t>NO_CALL</t>
        </is>
      </c>
      <c r="AO290" s="24" t="inlineStr">
        <is>
          <t>NO_CALL_WINNER_OVERVALUED</t>
        </is>
      </c>
      <c r="AP290" s="24" t="inlineStr">
        <is>
          <t>mlb-tb</t>
        </is>
      </c>
      <c r="AQ290" s="24" t="inlineStr">
        <is>
          <t>Tampa Bay Rays</t>
        </is>
      </c>
      <c r="AR290" s="24" t="inlineStr">
        <is>
          <t>Tampa Bay Rays</t>
        </is>
      </c>
      <c r="AS290" s="24" t="inlineStr">
        <is>
          <t>mlb-sea</t>
        </is>
      </c>
      <c r="AT290" s="24" t="inlineStr">
        <is>
          <t>Seattle Mariners</t>
        </is>
      </c>
      <c r="AU290" s="24" t="inlineStr">
        <is>
          <t>Seattle Mariners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research</t>
        </is>
      </c>
      <c r="BA290" s="24" t="inlineStr">
        <is>
          <t>dd339a2eed50d7d83ab2127837995ddab82e879afd27f5414bb6c1f9cd60ba4c</t>
        </is>
      </c>
      <c r="BB290" s="24" t="inlineStr">
        <is>
          <t>flat_probability_shrinkage_toward_half</t>
        </is>
      </c>
      <c r="BC290" s="24" t="inlineStr">
        <is>
          <t>measured-edge-margin-v3</t>
        </is>
      </c>
      <c r="BD290" s="24" t="inlineStr">
        <is>
          <t>dd339a2eed50d7d83ab2127837995ddab82e879afd27f5414bb6c1f9cd60ba4c</t>
        </is>
      </c>
      <c r="BE290" s="24" t="inlineStr">
        <is>
          <t>v3</t>
        </is>
      </c>
      <c r="BF290" s="24" t="inlineStr">
        <is>
          <t>1</t>
        </is>
      </c>
      <c r="BG290" s="24" t="inlineStr">
        <is>
          <t>measured-edge-paired-v1</t>
        </is>
      </c>
      <c r="BH290" s="24" t="inlineStr">
        <is>
          <t>2026-08-08T01:01:06.197155Z</t>
        </is>
      </c>
      <c r="BI290" s="24" t="inlineStr">
        <is>
          <t>["same_event","same_team_same_day","same_league_same_day"]</t>
        </is>
      </c>
      <c r="BJ290" s="25" t="n">
        <v>-1.5</v>
      </c>
      <c r="BK290" s="26" t="n">
        <v>194</v>
      </c>
      <c r="BL290" s="27" t="n">
        <v>2.94</v>
      </c>
      <c r="BM290" s="28" t="n">
        <v>0.340136</v>
      </c>
      <c r="BN290" s="28" t="n">
        <v>0.338308</v>
      </c>
      <c r="BO290" s="28" t="n"/>
      <c r="BP290" s="25" t="n"/>
      <c r="BQ290" s="27" t="n">
        <v>2.94</v>
      </c>
      <c r="BR290" s="28" t="n">
        <v>0.34</v>
      </c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</row>
    <row r="291" ht="36" customHeight="1">
      <c r="A291" s="24" t="inlineStr">
        <is>
          <t>6bc423a2b8234040</t>
        </is>
      </c>
      <c r="B291" s="24" t="inlineStr">
        <is>
          <t>2026-08-08T01:01:06.197155Z</t>
        </is>
      </c>
      <c r="C291" s="24" t="inlineStr">
        <is>
          <t>2026-08-08T01:45Z</t>
        </is>
      </c>
      <c r="D291" s="24" t="inlineStr">
        <is>
          <t>401816438</t>
        </is>
      </c>
      <c r="E291" s="24" t="inlineStr">
        <is>
          <t>MLB</t>
        </is>
      </c>
      <c r="F291" s="24" t="inlineStr">
        <is>
          <t>Tampa Bay Rays</t>
        </is>
      </c>
      <c r="G291" s="24" t="inlineStr">
        <is>
          <t>Seattle Mariners</t>
        </is>
      </c>
      <c r="H291" s="24" t="inlineStr">
        <is>
          <t>total</t>
        </is>
      </c>
      <c r="I291" s="24" t="inlineStr">
        <is>
          <t>over</t>
        </is>
      </c>
      <c r="J291" s="25" t="n">
        <v>6.5</v>
      </c>
      <c r="K291" s="24" t="inlineStr">
        <is>
          <t>polymarket_us</t>
        </is>
      </c>
      <c r="L291" s="26" t="n">
        <v>-115</v>
      </c>
      <c r="M291" s="27" t="n">
        <v>1.869565</v>
      </c>
      <c r="N291" s="28" t="n">
        <v>0.534884</v>
      </c>
      <c r="O291" s="28" t="n">
        <v>0.551096</v>
      </c>
      <c r="P291" s="28" t="n">
        <v>0.042131</v>
      </c>
      <c r="Q291" s="28" t="n">
        <v>0.016212</v>
      </c>
      <c r="R291" s="26" t="n">
        <v>34</v>
      </c>
      <c r="S291" s="29" t="n">
        <v>0</v>
      </c>
      <c r="T291" s="24" t="inlineStr">
        <is>
          <t>measured-edge-totals-v3</t>
        </is>
      </c>
      <c r="U291" s="24" t="inlineStr">
        <is>
          <t>settled</t>
        </is>
      </c>
      <c r="V291" s="24" t="inlineStr">
        <is>
          <t>loss</t>
        </is>
      </c>
      <c r="W291" s="26" t="n">
        <v>2</v>
      </c>
      <c r="X291" s="26" t="n">
        <v>1</v>
      </c>
      <c r="Y291" s="25" t="n">
        <v>6.5</v>
      </c>
      <c r="Z291" s="26" t="n">
        <v>-115</v>
      </c>
      <c r="AA291" s="28" t="n">
        <v>0.535</v>
      </c>
      <c r="AB291" s="28" t="n">
        <v>0.000116</v>
      </c>
      <c r="AC291" s="30" t="n">
        <v>0</v>
      </c>
      <c r="AD291" s="24" t="inlineStr">
        <is>
          <t>2026-08-08T18:33:17.913785Z</t>
        </is>
      </c>
      <c r="AE291" s="31" t="inlineStr">
        <is>
          <t>Measured Edge Totals: Trend Engine projected 4.35-4.28; raw selected-side p=0.6824, calibrated p=0.5511.</t>
        </is>
      </c>
      <c r="AF291" s="31" t="inlineStr">
        <is>
          <t>Research-only; lineup, bullpen, park, weather, xFIP, and wRC+ may be neutral fallbacks; market availability and BBO depth may change before first pitch.</t>
        </is>
      </c>
      <c r="AG291" s="24" t="inlineStr">
        <is>
          <t>review_required</t>
        </is>
      </c>
      <c r="AH291" s="24" t="n"/>
      <c r="AI291" s="31" t="n"/>
      <c r="AJ291" s="31" t="n"/>
      <c r="AK291" s="24" t="inlineStr">
        <is>
          <t>research_observation</t>
        </is>
      </c>
      <c r="AL291" s="26" t="n">
        <v>3</v>
      </c>
      <c r="AM291" s="24" t="inlineStr">
        <is>
          <t>RESEARCH_OBSERVATION</t>
        </is>
      </c>
      <c r="AN291" s="24" t="inlineStr">
        <is>
          <t>NO_CALL</t>
        </is>
      </c>
      <c r="AO291" s="24" t="inlineStr">
        <is>
          <t>NO_CALL_WINNER_OVERVALUED</t>
        </is>
      </c>
      <c r="AP291" s="24" t="inlineStr">
        <is>
          <t>mlb-tb</t>
        </is>
      </c>
      <c r="AQ291" s="24" t="inlineStr">
        <is>
          <t>Tampa Bay Rays</t>
        </is>
      </c>
      <c r="AR291" s="24" t="inlineStr">
        <is>
          <t>Tampa Bay Rays</t>
        </is>
      </c>
      <c r="AS291" s="24" t="inlineStr">
        <is>
          <t>mlb-sea</t>
        </is>
      </c>
      <c r="AT291" s="24" t="inlineStr">
        <is>
          <t>Seattle Mariners</t>
        </is>
      </c>
      <c r="AU291" s="24" t="inlineStr">
        <is>
          <t>Seattle Mariners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research</t>
        </is>
      </c>
      <c r="BA291" s="24" t="inlineStr">
        <is>
          <t>95b84332c75d2ce54036eb8de6ada9c78d0f80228c50825c0347281a8b9b49c7</t>
        </is>
      </c>
      <c r="BB291" s="24" t="inlineStr">
        <is>
          <t>flat_probability_shrinkage_toward_half</t>
        </is>
      </c>
      <c r="BC291" s="24" t="inlineStr">
        <is>
          <t>measured-edge-totals-v3</t>
        </is>
      </c>
      <c r="BD291" s="24" t="inlineStr">
        <is>
          <t>95b84332c75d2ce54036eb8de6ada9c78d0f80228c50825c0347281a8b9b49c7</t>
        </is>
      </c>
      <c r="BE291" s="24" t="inlineStr">
        <is>
          <t>v3</t>
        </is>
      </c>
      <c r="BF291" s="24" t="inlineStr">
        <is>
          <t>1</t>
        </is>
      </c>
      <c r="BG291" s="24" t="inlineStr">
        <is>
          <t>measured-edge-paired-v1</t>
        </is>
      </c>
      <c r="BH291" s="24" t="inlineStr">
        <is>
          <t>2026-08-08T01:01:06.197155Z</t>
        </is>
      </c>
      <c r="BI291" s="24" t="inlineStr">
        <is>
          <t>["same_event","same_team_same_day","same_league_same_day"]</t>
        </is>
      </c>
      <c r="BJ291" s="25" t="n">
        <v>6.5</v>
      </c>
      <c r="BK291" s="26" t="n">
        <v>-115</v>
      </c>
      <c r="BL291" s="27" t="n">
        <v>1.869565</v>
      </c>
      <c r="BM291" s="28" t="n">
        <v>0.534884</v>
      </c>
      <c r="BN291" s="28" t="n">
        <v>0.532338</v>
      </c>
      <c r="BO291" s="28" t="n"/>
      <c r="BP291" s="25" t="n"/>
      <c r="BQ291" s="27" t="n">
        <v>1.869565</v>
      </c>
      <c r="BR291" s="28" t="n">
        <v>0.535</v>
      </c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</row>
    <row r="292" ht="36" customHeight="1">
      <c r="A292" s="24" t="inlineStr">
        <is>
          <t>da33d3d3a5da4682</t>
        </is>
      </c>
      <c r="B292" s="24" t="inlineStr">
        <is>
          <t>2026-08-08T01:01:06.197155Z</t>
        </is>
      </c>
      <c r="C292" s="24" t="inlineStr">
        <is>
          <t>2026-08-08T02:15Z</t>
        </is>
      </c>
      <c r="D292" s="24" t="inlineStr">
        <is>
          <t>401816435</t>
        </is>
      </c>
      <c r="E292" s="24" t="inlineStr">
        <is>
          <t>MLB</t>
        </is>
      </c>
      <c r="F292" s="24" t="inlineStr">
        <is>
          <t>Detroit Tigers</t>
        </is>
      </c>
      <c r="G292" s="24" t="inlineStr">
        <is>
          <t>San Francisco Giants</t>
        </is>
      </c>
      <c r="H292" s="24" t="inlineStr">
        <is>
          <t>spread</t>
        </is>
      </c>
      <c r="I292" s="24" t="inlineStr">
        <is>
          <t>away</t>
        </is>
      </c>
      <c r="J292" s="25" t="n">
        <v>-1.5</v>
      </c>
      <c r="K292" s="24" t="inlineStr">
        <is>
          <t>polymarket_us</t>
        </is>
      </c>
      <c r="L292" s="26" t="n">
        <v>127</v>
      </c>
      <c r="M292" s="27" t="n">
        <v>2.27</v>
      </c>
      <c r="N292" s="28" t="n">
        <v>0.440529</v>
      </c>
      <c r="O292" s="28" t="n">
        <v>0.389715</v>
      </c>
      <c r="P292" s="28" t="n">
        <v>0.042131</v>
      </c>
      <c r="Q292" s="28" t="n">
        <v>-0.050814</v>
      </c>
      <c r="R292" s="26" t="n">
        <v>1</v>
      </c>
      <c r="S292" s="29" t="n">
        <v>0</v>
      </c>
      <c r="T292" s="24" t="inlineStr">
        <is>
          <t>measured-edge-margin-v3</t>
        </is>
      </c>
      <c r="U292" s="24" t="inlineStr">
        <is>
          <t>settled</t>
        </is>
      </c>
      <c r="V292" s="24" t="inlineStr">
        <is>
          <t>loss</t>
        </is>
      </c>
      <c r="W292" s="26" t="n">
        <v>2</v>
      </c>
      <c r="X292" s="26" t="n">
        <v>5</v>
      </c>
      <c r="Y292" s="25" t="n">
        <v>-1.5</v>
      </c>
      <c r="Z292" s="26" t="n">
        <v>127</v>
      </c>
      <c r="AA292" s="28" t="n">
        <v>0.44</v>
      </c>
      <c r="AB292" s="28" t="n">
        <v>-0.000529</v>
      </c>
      <c r="AC292" s="30" t="n">
        <v>0</v>
      </c>
      <c r="AD292" s="24" t="inlineStr">
        <is>
          <t>2026-08-08T18:33:19.136145Z</t>
        </is>
      </c>
      <c r="AE292" s="31" t="inlineStr">
        <is>
          <t>Measured Edge Margin: Trend Engine projected 4.54-4.39; raw selected-side p=0.3382, calibrated p=0.3897.</t>
        </is>
      </c>
      <c r="AF292" s="31" t="inlineStr">
        <is>
          <t>Research-only; lineup, bullpen, park, weather, xFIP, and wRC+ may be neutral fallbacks; market availability and BBO depth may change before first pitch.</t>
        </is>
      </c>
      <c r="AG292" s="24" t="inlineStr">
        <is>
          <t>review_required</t>
        </is>
      </c>
      <c r="AH292" s="24" t="n"/>
      <c r="AI292" s="31" t="n"/>
      <c r="AJ292" s="31" t="n"/>
      <c r="AK292" s="24" t="inlineStr">
        <is>
          <t>research_observation</t>
        </is>
      </c>
      <c r="AL292" s="26" t="n">
        <v>3</v>
      </c>
      <c r="AM292" s="24" t="inlineStr">
        <is>
          <t>RESEARCH_OBSERVATION</t>
        </is>
      </c>
      <c r="AN292" s="24" t="inlineStr">
        <is>
          <t>NO_CALL</t>
        </is>
      </c>
      <c r="AO292" s="24" t="inlineStr">
        <is>
          <t>NO_CALL_WINNER_OVERVALUED</t>
        </is>
      </c>
      <c r="AP292" s="24" t="inlineStr">
        <is>
          <t>mlb-det</t>
        </is>
      </c>
      <c r="AQ292" s="24" t="inlineStr">
        <is>
          <t>Detroit Tigers</t>
        </is>
      </c>
      <c r="AR292" s="24" t="inlineStr">
        <is>
          <t>Detroit Tigers</t>
        </is>
      </c>
      <c r="AS292" s="24" t="inlineStr">
        <is>
          <t>mlb-sf</t>
        </is>
      </c>
      <c r="AT292" s="24" t="inlineStr">
        <is>
          <t>San Francisco Giants</t>
        </is>
      </c>
      <c r="AU292" s="24" t="inlineStr">
        <is>
          <t>San Francisco Giants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research</t>
        </is>
      </c>
      <c r="BA292" s="24" t="inlineStr">
        <is>
          <t>dd339a2eed50d7d83ab2127837995ddab82e879afd27f5414bb6c1f9cd60ba4c</t>
        </is>
      </c>
      <c r="BB292" s="24" t="inlineStr">
        <is>
          <t>flat_probability_shrinkage_toward_half</t>
        </is>
      </c>
      <c r="BC292" s="24" t="inlineStr">
        <is>
          <t>measured-edge-margin-v3</t>
        </is>
      </c>
      <c r="BD292" s="24" t="inlineStr">
        <is>
          <t>dd339a2eed50d7d83ab2127837995ddab82e879afd27f5414bb6c1f9cd60ba4c</t>
        </is>
      </c>
      <c r="BE292" s="24" t="inlineStr">
        <is>
          <t>v3</t>
        </is>
      </c>
      <c r="BF292" s="24" t="inlineStr">
        <is>
          <t>1</t>
        </is>
      </c>
      <c r="BG292" s="24" t="inlineStr">
        <is>
          <t>measured-edge-paired-v1</t>
        </is>
      </c>
      <c r="BH292" s="24" t="inlineStr">
        <is>
          <t>2026-08-08T01:01:06.197155Z</t>
        </is>
      </c>
      <c r="BI292" s="24" t="inlineStr">
        <is>
          <t>["same_event","same_team_same_day","same_league_same_day"]</t>
        </is>
      </c>
      <c r="BJ292" s="25" t="n">
        <v>-1.5</v>
      </c>
      <c r="BK292" s="26" t="n">
        <v>127</v>
      </c>
      <c r="BL292" s="27" t="n">
        <v>2.27</v>
      </c>
      <c r="BM292" s="28" t="n">
        <v>0.440529</v>
      </c>
      <c r="BN292" s="28" t="n">
        <v>0.437811</v>
      </c>
      <c r="BO292" s="28" t="n"/>
      <c r="BP292" s="25" t="n"/>
      <c r="BQ292" s="27" t="n">
        <v>2.27</v>
      </c>
      <c r="BR292" s="28" t="n">
        <v>0.44</v>
      </c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</row>
    <row r="293" ht="36" customHeight="1">
      <c r="A293" s="24" t="inlineStr">
        <is>
          <t>1227c56b01c346af</t>
        </is>
      </c>
      <c r="B293" s="24" t="inlineStr">
        <is>
          <t>2026-08-08T01:01:06.197155Z</t>
        </is>
      </c>
      <c r="C293" s="24" t="inlineStr">
        <is>
          <t>2026-08-08T02:15Z</t>
        </is>
      </c>
      <c r="D293" s="24" t="inlineStr">
        <is>
          <t>401816435</t>
        </is>
      </c>
      <c r="E293" s="24" t="inlineStr">
        <is>
          <t>MLB</t>
        </is>
      </c>
      <c r="F293" s="24" t="inlineStr">
        <is>
          <t>Detroit Tigers</t>
        </is>
      </c>
      <c r="G293" s="24" t="inlineStr">
        <is>
          <t>San Francisco Giants</t>
        </is>
      </c>
      <c r="H293" s="24" t="inlineStr">
        <is>
          <t>total</t>
        </is>
      </c>
      <c r="I293" s="24" t="inlineStr">
        <is>
          <t>over</t>
        </is>
      </c>
      <c r="J293" s="25" t="n">
        <v>8.5</v>
      </c>
      <c r="K293" s="24" t="inlineStr">
        <is>
          <t>polymarket_us</t>
        </is>
      </c>
      <c r="L293" s="26" t="n">
        <v>104</v>
      </c>
      <c r="M293" s="27" t="n">
        <v>2.04</v>
      </c>
      <c r="N293" s="28" t="n">
        <v>0.490196</v>
      </c>
      <c r="O293" s="28" t="n">
        <v>0.5078</v>
      </c>
      <c r="P293" s="28" t="n">
        <v>0.042131</v>
      </c>
      <c r="Q293" s="28" t="n">
        <v>0.017604</v>
      </c>
      <c r="R293" s="26" t="n">
        <v>36</v>
      </c>
      <c r="S293" s="29" t="n">
        <v>0</v>
      </c>
      <c r="T293" s="24" t="inlineStr">
        <is>
          <t>measured-edge-totals-v3</t>
        </is>
      </c>
      <c r="U293" s="24" t="inlineStr">
        <is>
          <t>settled</t>
        </is>
      </c>
      <c r="V293" s="24" t="inlineStr">
        <is>
          <t>loss</t>
        </is>
      </c>
      <c r="W293" s="26" t="n">
        <v>2</v>
      </c>
      <c r="X293" s="26" t="n">
        <v>5</v>
      </c>
      <c r="Y293" s="25" t="n">
        <v>8.5</v>
      </c>
      <c r="Z293" s="26" t="n">
        <v>104</v>
      </c>
      <c r="AA293" s="28" t="n">
        <v>0.49</v>
      </c>
      <c r="AB293" s="28" t="n">
        <v>-0.000196</v>
      </c>
      <c r="AC293" s="30" t="n">
        <v>0</v>
      </c>
      <c r="AD293" s="24" t="inlineStr">
        <is>
          <t>2026-08-08T18:33:20.316663Z</t>
        </is>
      </c>
      <c r="AE293" s="31" t="inlineStr">
        <is>
          <t>Measured Edge Totals: Trend Engine projected 4.54-4.39; raw selected-side p=0.5081, calibrated p=0.5078.</t>
        </is>
      </c>
      <c r="AF293" s="31" t="inlineStr">
        <is>
          <t>Research-only; lineup, bullpen, park, weather, xFIP, and wRC+ may be neutral fallbacks; market availability and BBO depth may change before first pitch.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research_observation</t>
        </is>
      </c>
      <c r="AL293" s="26" t="n">
        <v>3</v>
      </c>
      <c r="AM293" s="24" t="inlineStr">
        <is>
          <t>RESEARCH_OBSERVATION</t>
        </is>
      </c>
      <c r="AN293" s="24" t="inlineStr">
        <is>
          <t>NO_CALL</t>
        </is>
      </c>
      <c r="AO293" s="24" t="inlineStr">
        <is>
          <t>NO_CALL_WINNER_OVERVALUED</t>
        </is>
      </c>
      <c r="AP293" s="24" t="inlineStr">
        <is>
          <t>mlb-det</t>
        </is>
      </c>
      <c r="AQ293" s="24" t="inlineStr">
        <is>
          <t>Detroit Tigers</t>
        </is>
      </c>
      <c r="AR293" s="24" t="inlineStr">
        <is>
          <t>Detroit Tigers</t>
        </is>
      </c>
      <c r="AS293" s="24" t="inlineStr">
        <is>
          <t>mlb-sf</t>
        </is>
      </c>
      <c r="AT293" s="24" t="inlineStr">
        <is>
          <t>San Francisco Giants</t>
        </is>
      </c>
      <c r="AU293" s="24" t="inlineStr">
        <is>
          <t>San Francisco Giants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research</t>
        </is>
      </c>
      <c r="BA293" s="24" t="inlineStr">
        <is>
          <t>95b84332c75d2ce54036eb8de6ada9c78d0f80228c50825c0347281a8b9b49c7</t>
        </is>
      </c>
      <c r="BB293" s="24" t="inlineStr">
        <is>
          <t>flat_probability_shrinkage_toward_half</t>
        </is>
      </c>
      <c r="BC293" s="24" t="inlineStr">
        <is>
          <t>measured-edge-totals-v3</t>
        </is>
      </c>
      <c r="BD293" s="24" t="inlineStr">
        <is>
          <t>95b84332c75d2ce54036eb8de6ada9c78d0f80228c50825c0347281a8b9b49c7</t>
        </is>
      </c>
      <c r="BE293" s="24" t="inlineStr">
        <is>
          <t>v3</t>
        </is>
      </c>
      <c r="BF293" s="24" t="inlineStr">
        <is>
          <t>1</t>
        </is>
      </c>
      <c r="BG293" s="24" t="inlineStr">
        <is>
          <t>measured-edge-paired-v1</t>
        </is>
      </c>
      <c r="BH293" s="24" t="inlineStr">
        <is>
          <t>2026-08-08T01:01:06.197155Z</t>
        </is>
      </c>
      <c r="BI293" s="24" t="inlineStr">
        <is>
          <t>["same_event","same_team_same_day","same_league_same_day"]</t>
        </is>
      </c>
      <c r="BJ293" s="25" t="n">
        <v>8.5</v>
      </c>
      <c r="BK293" s="26" t="n">
        <v>104</v>
      </c>
      <c r="BL293" s="27" t="n">
        <v>2.04</v>
      </c>
      <c r="BM293" s="28" t="n">
        <v>0.490196</v>
      </c>
      <c r="BN293" s="28" t="n">
        <v>0.485149</v>
      </c>
      <c r="BO293" s="28" t="n"/>
      <c r="BP293" s="25" t="n"/>
      <c r="BQ293" s="27" t="n">
        <v>2.04</v>
      </c>
      <c r="BR293" s="28" t="n">
        <v>0.49</v>
      </c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</row>
    <row r="294" ht="36" customHeight="1">
      <c r="A294" s="24" t="inlineStr">
        <is>
          <t>96e56f6b2623406b</t>
        </is>
      </c>
      <c r="B294" s="24" t="inlineStr">
        <is>
          <t>2026-08-08T18:35:59.410253Z</t>
        </is>
      </c>
      <c r="C294" s="24" t="inlineStr">
        <is>
          <t>2026-08-08T15:05:00-0400</t>
        </is>
      </c>
      <c r="D294" s="24" t="inlineStr">
        <is>
          <t>401816441</t>
        </is>
      </c>
      <c r="E294" s="24" t="inlineStr">
        <is>
          <t>MLB</t>
        </is>
      </c>
      <c r="F294" s="24" t="inlineStr">
        <is>
          <t>Atlanta Braves</t>
        </is>
      </c>
      <c r="G294" s="24" t="inlineStr">
        <is>
          <t>New York Yankees</t>
        </is>
      </c>
      <c r="H294" s="24" t="inlineStr">
        <is>
          <t>moneyline</t>
        </is>
      </c>
      <c r="I294" s="24" t="inlineStr">
        <is>
          <t>home</t>
        </is>
      </c>
      <c r="J294" s="25" t="n"/>
      <c r="K294" s="24" t="inlineStr">
        <is>
          <t>polymarket_us</t>
        </is>
      </c>
      <c r="L294" s="26" t="n">
        <v>141</v>
      </c>
      <c r="M294" s="27" t="n">
        <v>2.41</v>
      </c>
      <c r="N294" s="28" t="n">
        <v>0.414938</v>
      </c>
      <c r="O294" s="28" t="n">
        <v>0.517673</v>
      </c>
      <c r="P294" s="28" t="n"/>
      <c r="Q294" s="28" t="n">
        <v>0.102735</v>
      </c>
      <c r="R294" s="26" t="n">
        <v>72</v>
      </c>
      <c r="S294" s="29" t="n">
        <v>0</v>
      </c>
      <c r="T294" s="24" t="inlineStr">
        <is>
          <t>mlb-elo-trend-lr-v8</t>
        </is>
      </c>
      <c r="U294" s="24" t="inlineStr">
        <is>
          <t>settled</t>
        </is>
      </c>
      <c r="V294" s="24" t="inlineStr">
        <is>
          <t>win</t>
        </is>
      </c>
      <c r="W294" s="26" t="n">
        <v>4</v>
      </c>
      <c r="X294" s="26" t="n">
        <v>5</v>
      </c>
      <c r="Y294" s="25" t="n"/>
      <c r="Z294" s="26" t="n">
        <v>141</v>
      </c>
      <c r="AA294" s="28" t="n">
        <v>0.415</v>
      </c>
      <c r="AB294" s="28" t="n">
        <v>6.2e-05</v>
      </c>
      <c r="AC294" s="30" t="n">
        <v>0</v>
      </c>
      <c r="AD294" s="24" t="inlineStr">
        <is>
          <t>2026-08-09T05:12:08.210545Z</t>
        </is>
      </c>
      <c r="AE294" s="31" t="inlineStr">
        <is>
          <t>Learned LR call at threshold 0.5873; executable ask 0.4150 (aec-mlb-atl-nyy-2026-08-08); model edge vs ask +0.1027.</t>
        </is>
      </c>
      <c r="AF294" s="31" t="inlineStr">
        <is>
          <t>Learned model; shadow-qualified via operator override.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research_observation</t>
        </is>
      </c>
      <c r="AL294" s="26" t="n">
        <v>3</v>
      </c>
      <c r="AM294" s="24" t="inlineStr">
        <is>
          <t>RESEARCH_OBSERVATION</t>
        </is>
      </c>
      <c r="AN294" s="24" t="inlineStr">
        <is>
          <t>NO_CALL</t>
        </is>
      </c>
      <c r="AO294" s="24" t="inlineStr">
        <is>
          <t>NO_CALL_BELOW_LEARNED_CONFIDENCE</t>
        </is>
      </c>
      <c r="AP294" s="24" t="inlineStr">
        <is>
          <t>mlb-atl</t>
        </is>
      </c>
      <c r="AQ294" s="24" t="inlineStr">
        <is>
          <t>Atlanta Braves</t>
        </is>
      </c>
      <c r="AR294" s="24" t="inlineStr">
        <is>
          <t>Atlanta Braves</t>
        </is>
      </c>
      <c r="AS294" s="24" t="inlineStr">
        <is>
          <t>mlb-nyy</t>
        </is>
      </c>
      <c r="AT294" s="24" t="inlineStr">
        <is>
          <t>New York Yankees</t>
        </is>
      </c>
      <c r="AU294" s="24" t="inlineStr">
        <is>
          <t>New York Yankees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6a5c79541b0e50cb9f7318270e63d5ccc65cbd7bc53a019748ff772d49de5075</t>
        </is>
      </c>
      <c r="BB294" s="24" t="inlineStr">
        <is>
          <t>learned_lr</t>
        </is>
      </c>
      <c r="BC294" s="24" t="inlineStr">
        <is>
          <t>mlb-elo-trend-lr-v8</t>
        </is>
      </c>
      <c r="BD294" s="24" t="inlineStr">
        <is>
          <t>6a5c79541b0e50cb9f7318270e63d5ccc65cbd7bc53a019748ff772d49de5075</t>
        </is>
      </c>
      <c r="BE294" s="24" t="inlineStr">
        <is>
          <t>e1613c414a1be3bc</t>
        </is>
      </c>
      <c r="BF294" s="24" t="inlineStr">
        <is>
          <t>1</t>
        </is>
      </c>
      <c r="BG294" s="24" t="inlineStr">
        <is>
          <t>mlb-elo-trend-lr-v8</t>
        </is>
      </c>
      <c r="BH294" s="24" t="inlineStr">
        <is>
          <t>2026-08-08T18:35:32.489777Z</t>
        </is>
      </c>
      <c r="BI294" s="24" t="inlineStr">
        <is>
          <t>["same_event","same_team_same_day","same_league_same_day"]</t>
        </is>
      </c>
      <c r="BJ294" s="25" t="n"/>
      <c r="BK294" s="26" t="n">
        <v>141</v>
      </c>
      <c r="BL294" s="27" t="n">
        <v>2.41</v>
      </c>
      <c r="BM294" s="28" t="n">
        <v>0.414938</v>
      </c>
      <c r="BN294" s="28" t="n">
        <v>0.412935</v>
      </c>
      <c r="BO294" s="28" t="n"/>
      <c r="BP294" s="25" t="n"/>
      <c r="BQ294" s="27" t="n">
        <v>2.41</v>
      </c>
      <c r="BR294" s="28" t="n">
        <v>0.415</v>
      </c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inlineStr">
        <is>
          <t>0.5131234641</t>
        </is>
      </c>
      <c r="CD294" s="24" t="inlineStr">
        <is>
          <t>-1.651335</t>
        </is>
      </c>
      <c r="CE294" s="24" t="inlineStr">
        <is>
          <t>1.014</t>
        </is>
      </c>
      <c r="CF294" s="24" t="inlineStr">
        <is>
          <t>1.0229</t>
        </is>
      </c>
      <c r="CG294" s="24" t="n"/>
      <c r="CH294" s="24" t="n"/>
      <c r="CI294" s="24" t="n"/>
      <c r="CJ294" s="24" t="inlineStr">
        <is>
          <t>-1.126204</t>
        </is>
      </c>
      <c r="CK294" s="24" t="n"/>
      <c r="CL294" s="24" t="inlineStr">
        <is>
          <t>0.122776</t>
        </is>
      </c>
      <c r="CM294" s="24" t="inlineStr">
        <is>
          <t>2.4618</t>
        </is>
      </c>
      <c r="CN294" s="24" t="n"/>
      <c r="CO294" s="24" t="n"/>
      <c r="CP294" s="24" t="n"/>
      <c r="CQ294" s="24" t="n"/>
      <c r="CR294" s="24" t="inlineStr">
        <is>
          <t>0.517673</t>
        </is>
      </c>
      <c r="CS294" s="24" t="inlineStr">
        <is>
          <t>True</t>
        </is>
      </c>
    </row>
    <row r="295" ht="36" customHeight="1">
      <c r="A295" s="24" t="inlineStr">
        <is>
          <t>d709cf7318904587</t>
        </is>
      </c>
      <c r="B295" s="24" t="inlineStr">
        <is>
          <t>2026-08-08T18:35:59.410253Z</t>
        </is>
      </c>
      <c r="C295" s="24" t="inlineStr">
        <is>
          <t>2026-08-08T16:10:00-0400</t>
        </is>
      </c>
      <c r="D295" s="24" t="inlineStr">
        <is>
          <t>401816439</t>
        </is>
      </c>
      <c r="E295" s="24" t="inlineStr">
        <is>
          <t>MLB</t>
        </is>
      </c>
      <c r="F295" s="24" t="inlineStr">
        <is>
          <t>Los Angeles Angels</t>
        </is>
      </c>
      <c r="G295" s="24" t="inlineStr">
        <is>
          <t>Miami Marlins</t>
        </is>
      </c>
      <c r="H295" s="24" t="inlineStr">
        <is>
          <t>moneyline</t>
        </is>
      </c>
      <c r="I295" s="24" t="inlineStr">
        <is>
          <t>home</t>
        </is>
      </c>
      <c r="J295" s="25" t="n"/>
      <c r="K295" s="24" t="inlineStr">
        <is>
          <t>polymarket_us</t>
        </is>
      </c>
      <c r="L295" s="26" t="n">
        <v>-147</v>
      </c>
      <c r="M295" s="27" t="n">
        <v>1.680272</v>
      </c>
      <c r="N295" s="28" t="n">
        <v>0.5951419999999999</v>
      </c>
      <c r="O295" s="28" t="n">
        <v>0.6055430000000001</v>
      </c>
      <c r="P295" s="28" t="n"/>
      <c r="Q295" s="28" t="n">
        <v>0.010401</v>
      </c>
      <c r="R295" s="26" t="n">
        <v>27</v>
      </c>
      <c r="S295" s="29" t="n">
        <v>0</v>
      </c>
      <c r="T295" s="24" t="inlineStr">
        <is>
          <t>mlb-elo-trend-lr-v8</t>
        </is>
      </c>
      <c r="U295" s="24" t="inlineStr">
        <is>
          <t>settled</t>
        </is>
      </c>
      <c r="V295" s="24" t="inlineStr">
        <is>
          <t>win</t>
        </is>
      </c>
      <c r="W295" s="26" t="n">
        <v>0</v>
      </c>
      <c r="X295" s="26" t="n">
        <v>7</v>
      </c>
      <c r="Y295" s="25" t="n"/>
      <c r="Z295" s="26" t="n">
        <v>-147</v>
      </c>
      <c r="AA295" s="28" t="n">
        <v>0.595</v>
      </c>
      <c r="AB295" s="28" t="n">
        <v>-0.000142</v>
      </c>
      <c r="AC295" s="30" t="n">
        <v>0</v>
      </c>
      <c r="AD295" s="24" t="inlineStr">
        <is>
          <t>2026-08-09T05:12:11.197964Z</t>
        </is>
      </c>
      <c r="AE295" s="31" t="inlineStr">
        <is>
          <t>Learned LR call at threshold 0.5873; executable ask 0.5950 (aec-mlb-laa-mia-2026-08-08); model edge vs ask +0.0105. NOTE: NO_CALL_STARTER_ERA_GAP_INSUFFICIENT_HISTORY unavailable for this game — defaulted to neutral, other features used normally.</t>
        </is>
      </c>
      <c r="AF295" s="31" t="inlineStr">
        <is>
          <t>Learned model; shadow-qualified via operator override.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research_observation</t>
        </is>
      </c>
      <c r="AL295" s="26" t="n">
        <v>3</v>
      </c>
      <c r="AM295" s="24" t="inlineStr">
        <is>
          <t>RESEARCH_OBSERVATION</t>
        </is>
      </c>
      <c r="AN295" s="24" t="inlineStr">
        <is>
          <t>NO_CALL</t>
        </is>
      </c>
      <c r="AO295" s="24" t="inlineStr">
        <is>
          <t>NO_CALL_WINNER_OVERVALUED</t>
        </is>
      </c>
      <c r="AP295" s="24" t="inlineStr">
        <is>
          <t>mlb-laa</t>
        </is>
      </c>
      <c r="AQ295" s="24" t="inlineStr">
        <is>
          <t>Los Angeles Angels</t>
        </is>
      </c>
      <c r="AR295" s="24" t="inlineStr">
        <is>
          <t>Los Angeles Angels</t>
        </is>
      </c>
      <c r="AS295" s="24" t="inlineStr">
        <is>
          <t>mlb-mia</t>
        </is>
      </c>
      <c r="AT295" s="24" t="inlineStr">
        <is>
          <t>Miami Marlins</t>
        </is>
      </c>
      <c r="AU295" s="24" t="inlineStr">
        <is>
          <t>Miami Marlins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6a5c79541b0e50cb9f7318270e63d5ccc65cbd7bc53a019748ff772d49de5075</t>
        </is>
      </c>
      <c r="BB295" s="24" t="inlineStr">
        <is>
          <t>learned_lr</t>
        </is>
      </c>
      <c r="BC295" s="24" t="inlineStr">
        <is>
          <t>mlb-elo-trend-lr-v8</t>
        </is>
      </c>
      <c r="BD295" s="24" t="inlineStr">
        <is>
          <t>6a5c79541b0e50cb9f7318270e63d5ccc65cbd7bc53a019748ff772d49de5075</t>
        </is>
      </c>
      <c r="BE295" s="24" t="inlineStr">
        <is>
          <t>50da3d44a6bc9c7e</t>
        </is>
      </c>
      <c r="BF295" s="24" t="inlineStr">
        <is>
          <t>1</t>
        </is>
      </c>
      <c r="BG295" s="24" t="inlineStr">
        <is>
          <t>mlb-elo-trend-lr-v8</t>
        </is>
      </c>
      <c r="BH295" s="24" t="inlineStr">
        <is>
          <t>2026-08-08T18:35:33.603860Z</t>
        </is>
      </c>
      <c r="BI295" s="24" t="inlineStr">
        <is>
          <t>["same_event","same_team_same_day","same_league_same_day"]</t>
        </is>
      </c>
      <c r="BJ295" s="25" t="n"/>
      <c r="BK295" s="26" t="n">
        <v>-147</v>
      </c>
      <c r="BL295" s="27" t="n">
        <v>1.680272</v>
      </c>
      <c r="BM295" s="28" t="n">
        <v>0.5951419999999999</v>
      </c>
      <c r="BN295" s="28" t="n">
        <v>0.59204</v>
      </c>
      <c r="BO295" s="28" t="n"/>
      <c r="BP295" s="25" t="n"/>
      <c r="BQ295" s="27" t="n">
        <v>1.680272</v>
      </c>
      <c r="BR295" s="28" t="n">
        <v>0.595</v>
      </c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inlineStr">
        <is>
          <t>0.6204612889</t>
        </is>
      </c>
      <c r="CD295" s="24" t="inlineStr">
        <is>
          <t>-0.245814</t>
        </is>
      </c>
      <c r="CE295" s="24" t="inlineStr">
        <is>
          <t>1.002</t>
        </is>
      </c>
      <c r="CF295" s="24" t="inlineStr">
        <is>
          <t>1.0</t>
        </is>
      </c>
      <c r="CG295" s="24" t="n"/>
      <c r="CH295" s="24" t="n"/>
      <c r="CI295" s="24" t="inlineStr">
        <is>
          <t>NO_CALL_STARTER_ERA_GAP_INSUFFICIENT_HISTORY</t>
        </is>
      </c>
      <c r="CJ295" s="24" t="inlineStr">
        <is>
          <t>-1.61386</t>
        </is>
      </c>
      <c r="CK295" s="24" t="n"/>
      <c r="CL295" s="24" t="inlineStr">
        <is>
          <t>0.136026</t>
        </is>
      </c>
      <c r="CM295" s="24" t="inlineStr">
        <is>
          <t>0.0</t>
        </is>
      </c>
      <c r="CN295" s="24" t="n"/>
      <c r="CO295" s="24" t="n"/>
      <c r="CP295" s="24" t="n"/>
      <c r="CQ295" s="24" t="n"/>
      <c r="CR295" s="24" t="inlineStr">
        <is>
          <t>0.605543</t>
        </is>
      </c>
      <c r="CS295" s="24" t="inlineStr">
        <is>
          <t>True</t>
        </is>
      </c>
    </row>
    <row r="296" ht="36" customHeight="1">
      <c r="A296" s="24" t="inlineStr">
        <is>
          <t>b3ffcbffa75547a1</t>
        </is>
      </c>
      <c r="B296" s="24" t="inlineStr">
        <is>
          <t>2026-08-08T18:35:59.410253Z</t>
        </is>
      </c>
      <c r="C296" s="24" t="inlineStr">
        <is>
          <t>2026-08-08T16:10:00-0400</t>
        </is>
      </c>
      <c r="D296" s="24" t="inlineStr">
        <is>
          <t>401816440</t>
        </is>
      </c>
      <c r="E296" s="24" t="inlineStr">
        <is>
          <t>MLB</t>
        </is>
      </c>
      <c r="F296" s="24" t="inlineStr">
        <is>
          <t>Athletics</t>
        </is>
      </c>
      <c r="G296" s="24" t="inlineStr">
        <is>
          <t>Boston Red Sox</t>
        </is>
      </c>
      <c r="H296" s="24" t="inlineStr">
        <is>
          <t>moneyline</t>
        </is>
      </c>
      <c r="I296" s="24" t="inlineStr">
        <is>
          <t>home</t>
        </is>
      </c>
      <c r="J296" s="25" t="n"/>
      <c r="K296" s="24" t="inlineStr">
        <is>
          <t>polymarket_us</t>
        </is>
      </c>
      <c r="L296" s="26" t="n">
        <v>-251</v>
      </c>
      <c r="M296" s="27" t="n">
        <v>1.398406</v>
      </c>
      <c r="N296" s="28" t="n">
        <v>0.7151</v>
      </c>
      <c r="O296" s="28" t="n">
        <v>0.636676</v>
      </c>
      <c r="P296" s="28" t="n"/>
      <c r="Q296" s="28" t="n">
        <v>-0.07842399999999999</v>
      </c>
      <c r="R296" s="26" t="n">
        <v>0</v>
      </c>
      <c r="S296" s="29" t="n">
        <v>0</v>
      </c>
      <c r="T296" s="24" t="inlineStr">
        <is>
          <t>mlb-elo-trend-lr-v8</t>
        </is>
      </c>
      <c r="U296" s="24" t="inlineStr">
        <is>
          <t>settled</t>
        </is>
      </c>
      <c r="V296" s="24" t="inlineStr">
        <is>
          <t>loss</t>
        </is>
      </c>
      <c r="W296" s="26" t="n">
        <v>7</v>
      </c>
      <c r="X296" s="26" t="n">
        <v>3</v>
      </c>
      <c r="Y296" s="25" t="n"/>
      <c r="Z296" s="26" t="n">
        <v>-213</v>
      </c>
      <c r="AA296" s="28" t="n">
        <v>0.68</v>
      </c>
      <c r="AB296" s="28" t="n">
        <v>-0.0351</v>
      </c>
      <c r="AC296" s="30" t="n">
        <v>0</v>
      </c>
      <c r="AD296" s="24" t="inlineStr">
        <is>
          <t>2026-08-09T05:12:13.877658Z</t>
        </is>
      </c>
      <c r="AE296" s="31" t="inlineStr">
        <is>
          <t>Learned LR call at threshold 0.5873; executable ask 0.7150 (aec-mlb-ath-bos-2026-08-08); model edge vs ask -0.0783.</t>
        </is>
      </c>
      <c r="AF296" s="31" t="inlineStr">
        <is>
          <t>Learned model; shadow-qualified via operator override.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research_observation</t>
        </is>
      </c>
      <c r="AL296" s="26" t="n">
        <v>3</v>
      </c>
      <c r="AM296" s="24" t="inlineStr">
        <is>
          <t>RESEARCH_OBSERVATION</t>
        </is>
      </c>
      <c r="AN296" s="24" t="inlineStr">
        <is>
          <t>NO_CALL</t>
        </is>
      </c>
      <c r="AO296" s="24" t="inlineStr">
        <is>
          <t>NO_CALL_WINNER_OVERVALUED</t>
        </is>
      </c>
      <c r="AP296" s="24" t="inlineStr">
        <is>
          <t>mlb-ath</t>
        </is>
      </c>
      <c r="AQ296" s="24" t="inlineStr">
        <is>
          <t>Athletics</t>
        </is>
      </c>
      <c r="AR296" s="24" t="inlineStr">
        <is>
          <t>Athletics</t>
        </is>
      </c>
      <c r="AS296" s="24" t="inlineStr">
        <is>
          <t>mlb-bos</t>
        </is>
      </c>
      <c r="AT296" s="24" t="inlineStr">
        <is>
          <t>Boston Red Sox</t>
        </is>
      </c>
      <c r="AU296" s="24" t="inlineStr">
        <is>
          <t>Boston Red Sox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6a5c79541b0e50cb9f7318270e63d5ccc65cbd7bc53a019748ff772d49de5075</t>
        </is>
      </c>
      <c r="BB296" s="24" t="inlineStr">
        <is>
          <t>learned_lr</t>
        </is>
      </c>
      <c r="BC296" s="24" t="inlineStr">
        <is>
          <t>mlb-elo-trend-lr-v8</t>
        </is>
      </c>
      <c r="BD296" s="24" t="inlineStr">
        <is>
          <t>6a5c79541b0e50cb9f7318270e63d5ccc65cbd7bc53a019748ff772d49de5075</t>
        </is>
      </c>
      <c r="BE296" s="24" t="inlineStr">
        <is>
          <t>132c59294fd5b13f</t>
        </is>
      </c>
      <c r="BF296" s="24" t="inlineStr">
        <is>
          <t>1</t>
        </is>
      </c>
      <c r="BG296" s="24" t="inlineStr">
        <is>
          <t>mlb-elo-trend-lr-v8</t>
        </is>
      </c>
      <c r="BH296" s="24" t="inlineStr">
        <is>
          <t>2026-08-08T18:35:33.064556Z</t>
        </is>
      </c>
      <c r="BI296" s="24" t="inlineStr">
        <is>
          <t>["same_event","same_team_same_day","same_league_same_day"]</t>
        </is>
      </c>
      <c r="BJ296" s="25" t="n"/>
      <c r="BK296" s="26" t="n">
        <v>-251</v>
      </c>
      <c r="BL296" s="27" t="n">
        <v>1.398406</v>
      </c>
      <c r="BM296" s="28" t="n">
        <v>0.7151</v>
      </c>
      <c r="BN296" s="28" t="n">
        <v>0.711443</v>
      </c>
      <c r="BO296" s="28" t="n"/>
      <c r="BP296" s="25" t="n"/>
      <c r="BQ296" s="27" t="n">
        <v>1.469484</v>
      </c>
      <c r="BR296" s="28" t="n">
        <v>0.68</v>
      </c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inlineStr">
        <is>
          <t>0.7263657746</t>
        </is>
      </c>
      <c r="CD296" s="24" t="inlineStr">
        <is>
          <t>3.972179</t>
        </is>
      </c>
      <c r="CE296" s="24" t="inlineStr">
        <is>
          <t>1.019</t>
        </is>
      </c>
      <c r="CF296" s="24" t="inlineStr">
        <is>
          <t>1.0245</t>
        </is>
      </c>
      <c r="CG296" s="24" t="n"/>
      <c r="CH296" s="24" t="n"/>
      <c r="CI296" s="24" t="n"/>
      <c r="CJ296" s="24" t="inlineStr">
        <is>
          <t>0.671083</t>
        </is>
      </c>
      <c r="CK296" s="24" t="n"/>
      <c r="CL296" s="24" t="inlineStr">
        <is>
          <t>-1.155753</t>
        </is>
      </c>
      <c r="CM296" s="24" t="inlineStr">
        <is>
          <t>-7.0566</t>
        </is>
      </c>
      <c r="CN296" s="24" t="n"/>
      <c r="CO296" s="24" t="n"/>
      <c r="CP296" s="24" t="n"/>
      <c r="CQ296" s="24" t="n"/>
      <c r="CR296" s="24" t="inlineStr">
        <is>
          <t>0.636676</t>
        </is>
      </c>
      <c r="CS296" s="24" t="inlineStr">
        <is>
          <t>False</t>
        </is>
      </c>
    </row>
    <row r="297" ht="36" customHeight="1">
      <c r="A297" s="24" t="inlineStr">
        <is>
          <t>d1f13d508c2641c1</t>
        </is>
      </c>
      <c r="B297" s="24" t="inlineStr">
        <is>
          <t>2026-08-08T18:35:59.410253Z</t>
        </is>
      </c>
      <c r="C297" s="24" t="inlineStr">
        <is>
          <t>2026-08-08T18:05:00-0400</t>
        </is>
      </c>
      <c r="D297" s="24" t="inlineStr">
        <is>
          <t>401816444</t>
        </is>
      </c>
      <c r="E297" s="24" t="inlineStr">
        <is>
          <t>MLB</t>
        </is>
      </c>
      <c r="F297" s="24" t="inlineStr">
        <is>
          <t>Toronto Blue Jays</t>
        </is>
      </c>
      <c r="G297" s="24" t="inlineStr">
        <is>
          <t>Philadelphia Phillies</t>
        </is>
      </c>
      <c r="H297" s="24" t="inlineStr">
        <is>
          <t>moneyline</t>
        </is>
      </c>
      <c r="I297" s="24" t="inlineStr">
        <is>
          <t>home</t>
        </is>
      </c>
      <c r="J297" s="25" t="n"/>
      <c r="K297" s="24" t="inlineStr">
        <is>
          <t>polymarket_us</t>
        </is>
      </c>
      <c r="L297" s="26" t="n">
        <v>-160</v>
      </c>
      <c r="M297" s="27" t="n">
        <v>1.625</v>
      </c>
      <c r="N297" s="28" t="n">
        <v>0.615385</v>
      </c>
      <c r="O297" s="28" t="n">
        <v>0.5880339999999999</v>
      </c>
      <c r="P297" s="28" t="n"/>
      <c r="Q297" s="28" t="n">
        <v>-0.027351</v>
      </c>
      <c r="R297" s="26" t="n">
        <v>8</v>
      </c>
      <c r="S297" s="29" t="n">
        <v>0</v>
      </c>
      <c r="T297" s="24" t="inlineStr">
        <is>
          <t>mlb-elo-trend-lr-v8</t>
        </is>
      </c>
      <c r="U297" s="24" t="inlineStr">
        <is>
          <t>settled</t>
        </is>
      </c>
      <c r="V297" s="24" t="inlineStr">
        <is>
          <t>loss</t>
        </is>
      </c>
      <c r="W297" s="26" t="n">
        <v>7</v>
      </c>
      <c r="X297" s="26" t="n">
        <v>5</v>
      </c>
      <c r="Y297" s="25" t="n"/>
      <c r="Z297" s="26" t="n">
        <v>-147</v>
      </c>
      <c r="AA297" s="28" t="n">
        <v>0.595</v>
      </c>
      <c r="AB297" s="28" t="n">
        <v>-0.020385</v>
      </c>
      <c r="AC297" s="30" t="n">
        <v>0</v>
      </c>
      <c r="AD297" s="24" t="inlineStr">
        <is>
          <t>2026-08-09T05:12:16.626452Z</t>
        </is>
      </c>
      <c r="AE297" s="31" t="inlineStr">
        <is>
          <t>Learned LR call at threshold 0.5873; executable ask 0.6150 (aec-mlb-tor-phi-2026-08-08); model edge vs ask -0.0270.</t>
        </is>
      </c>
      <c r="AF297" s="31" t="inlineStr">
        <is>
          <t>Learned model; shadow-qualified via operator override.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research_observation</t>
        </is>
      </c>
      <c r="AL297" s="26" t="n">
        <v>3</v>
      </c>
      <c r="AM297" s="24" t="inlineStr">
        <is>
          <t>RESEARCH_OBSERVATION</t>
        </is>
      </c>
      <c r="AN297" s="24" t="inlineStr">
        <is>
          <t>NO_CALL</t>
        </is>
      </c>
      <c r="AO297" s="24" t="inlineStr">
        <is>
          <t>NO_CALL_WINNER_OVERVALUED</t>
        </is>
      </c>
      <c r="AP297" s="24" t="inlineStr">
        <is>
          <t>mlb-tor</t>
        </is>
      </c>
      <c r="AQ297" s="24" t="inlineStr">
        <is>
          <t>Toronto Blue Jays</t>
        </is>
      </c>
      <c r="AR297" s="24" t="inlineStr">
        <is>
          <t>Toronto Blue Jays</t>
        </is>
      </c>
      <c r="AS297" s="24" t="inlineStr">
        <is>
          <t>mlb-phi</t>
        </is>
      </c>
      <c r="AT297" s="24" t="inlineStr">
        <is>
          <t>Philadelphia Phillies</t>
        </is>
      </c>
      <c r="AU297" s="24" t="inlineStr">
        <is>
          <t>Philadelphia Phillies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6a5c79541b0e50cb9f7318270e63d5ccc65cbd7bc53a019748ff772d49de5075</t>
        </is>
      </c>
      <c r="BB297" s="24" t="inlineStr">
        <is>
          <t>learned_lr</t>
        </is>
      </c>
      <c r="BC297" s="24" t="inlineStr">
        <is>
          <t>mlb-elo-trend-lr-v8</t>
        </is>
      </c>
      <c r="BD297" s="24" t="inlineStr">
        <is>
          <t>6a5c79541b0e50cb9f7318270e63d5ccc65cbd7bc53a019748ff772d49de5075</t>
        </is>
      </c>
      <c r="BE297" s="24" t="inlineStr">
        <is>
          <t>7f780cca52d36015</t>
        </is>
      </c>
      <c r="BF297" s="24" t="inlineStr">
        <is>
          <t>1</t>
        </is>
      </c>
      <c r="BG297" s="24" t="inlineStr">
        <is>
          <t>mlb-elo-trend-lr-v8</t>
        </is>
      </c>
      <c r="BH297" s="24" t="inlineStr">
        <is>
          <t>2026-08-08T18:35:34.214416Z</t>
        </is>
      </c>
      <c r="BI297" s="24" t="inlineStr">
        <is>
          <t>["same_event","same_team_same_day","same_league_same_day"]</t>
        </is>
      </c>
      <c r="BJ297" s="25" t="n"/>
      <c r="BK297" s="26" t="n">
        <v>-160</v>
      </c>
      <c r="BL297" s="27" t="n">
        <v>1.625</v>
      </c>
      <c r="BM297" s="28" t="n">
        <v>0.615385</v>
      </c>
      <c r="BN297" s="28" t="n">
        <v>0.61194</v>
      </c>
      <c r="BO297" s="28" t="n"/>
      <c r="BP297" s="25" t="n"/>
      <c r="BQ297" s="27" t="n">
        <v>1.680272</v>
      </c>
      <c r="BR297" s="28" t="n">
        <v>0.595</v>
      </c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inlineStr">
        <is>
          <t>0.5908562529</t>
        </is>
      </c>
      <c r="CD297" s="24" t="inlineStr">
        <is>
          <t>0.274735</t>
        </is>
      </c>
      <c r="CE297" s="24" t="inlineStr">
        <is>
          <t>1.02</t>
        </is>
      </c>
      <c r="CF297" s="24" t="inlineStr">
        <is>
          <t>1.012</t>
        </is>
      </c>
      <c r="CG297" s="24" t="n"/>
      <c r="CH297" s="24" t="n"/>
      <c r="CI297" s="24" t="n"/>
      <c r="CJ297" s="24" t="inlineStr">
        <is>
          <t>-0.418394</t>
        </is>
      </c>
      <c r="CK297" s="24" t="n"/>
      <c r="CL297" s="24" t="inlineStr">
        <is>
          <t>-0.1149</t>
        </is>
      </c>
      <c r="CM297" s="24" t="inlineStr">
        <is>
          <t>-4.6324</t>
        </is>
      </c>
      <c r="CN297" s="24" t="n"/>
      <c r="CO297" s="24" t="n"/>
      <c r="CP297" s="24" t="n"/>
      <c r="CQ297" s="24" t="n"/>
      <c r="CR297" s="24" t="inlineStr">
        <is>
          <t>0.588034</t>
        </is>
      </c>
      <c r="CS297" s="24" t="inlineStr">
        <is>
          <t>False</t>
        </is>
      </c>
    </row>
    <row r="298" ht="36" customHeight="1">
      <c r="A298" s="24" t="inlineStr">
        <is>
          <t>087c910b868d4804</t>
        </is>
      </c>
      <c r="B298" s="24" t="inlineStr">
        <is>
          <t>2026-08-08T18:35:59.410253Z</t>
        </is>
      </c>
      <c r="C298" s="24" t="inlineStr">
        <is>
          <t>2026-08-08T18:40:00-0400</t>
        </is>
      </c>
      <c r="D298" s="24" t="inlineStr">
        <is>
          <t>401816443</t>
        </is>
      </c>
      <c r="E298" s="24" t="inlineStr">
        <is>
          <t>MLB</t>
        </is>
      </c>
      <c r="F298" s="24" t="inlineStr">
        <is>
          <t>New York Mets</t>
        </is>
      </c>
      <c r="G298" s="24" t="inlineStr">
        <is>
          <t>Pittsburgh Pirates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polymarket_us</t>
        </is>
      </c>
      <c r="L298" s="26" t="n">
        <v>-117</v>
      </c>
      <c r="M298" s="27" t="n">
        <v>1.854701</v>
      </c>
      <c r="N298" s="28" t="n">
        <v>0.539171</v>
      </c>
      <c r="O298" s="28" t="n">
        <v>0.568631</v>
      </c>
      <c r="P298" s="28" t="n"/>
      <c r="Q298" s="28" t="n">
        <v>0.02946</v>
      </c>
      <c r="R298" s="26" t="n">
        <v>36</v>
      </c>
      <c r="S298" s="29" t="n">
        <v>0</v>
      </c>
      <c r="T298" s="24" t="inlineStr">
        <is>
          <t>mlb-elo-trend-lr-v8</t>
        </is>
      </c>
      <c r="U298" s="24" t="inlineStr">
        <is>
          <t>settled</t>
        </is>
      </c>
      <c r="V298" s="24" t="inlineStr">
        <is>
          <t>win</t>
        </is>
      </c>
      <c r="W298" s="26" t="n">
        <v>0</v>
      </c>
      <c r="X298" s="26" t="n">
        <v>9</v>
      </c>
      <c r="Y298" s="25" t="n"/>
      <c r="Z298" s="26" t="n">
        <v>-133</v>
      </c>
      <c r="AA298" s="28" t="n">
        <v>0.57</v>
      </c>
      <c r="AB298" s="28" t="n">
        <v>0.030829</v>
      </c>
      <c r="AC298" s="30" t="n">
        <v>0</v>
      </c>
      <c r="AD298" s="24" t="inlineStr">
        <is>
          <t>2026-08-09T05:12:19.445443Z</t>
        </is>
      </c>
      <c r="AE298" s="31" t="inlineStr">
        <is>
          <t>Learned LR call at threshold 0.5873; executable ask 0.5400 (aec-mlb-nym-pit-2026-08-08); model edge vs ask +0.0286. NOTE: NO_CALL_STARTER_ERA_GAP_INSUFFICIENT_HISTORY unavailable for this game — defaulted to neutral, other features used normally.</t>
        </is>
      </c>
      <c r="AF298" s="31" t="inlineStr">
        <is>
          <t>Learned model; shadow-qualified via operator override.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research_observation</t>
        </is>
      </c>
      <c r="AL298" s="26" t="n">
        <v>3</v>
      </c>
      <c r="AM298" s="24" t="inlineStr">
        <is>
          <t>RESEARCH_OBSERVATION</t>
        </is>
      </c>
      <c r="AN298" s="24" t="inlineStr">
        <is>
          <t>NO_CALL</t>
        </is>
      </c>
      <c r="AO298" s="24" t="inlineStr">
        <is>
          <t>NO_CALL_WINNER_OVERVALUED</t>
        </is>
      </c>
      <c r="AP298" s="24" t="inlineStr">
        <is>
          <t>mlb-nym</t>
        </is>
      </c>
      <c r="AQ298" s="24" t="inlineStr">
        <is>
          <t>New York Mets</t>
        </is>
      </c>
      <c r="AR298" s="24" t="inlineStr">
        <is>
          <t>New York Mets</t>
        </is>
      </c>
      <c r="AS298" s="24" t="inlineStr">
        <is>
          <t>mlb-pit</t>
        </is>
      </c>
      <c r="AT298" s="24" t="inlineStr">
        <is>
          <t>Pittsburgh Pirates</t>
        </is>
      </c>
      <c r="AU298" s="24" t="inlineStr">
        <is>
          <t>Pittsburgh Pirates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6a5c79541b0e50cb9f7318270e63d5ccc65cbd7bc53a019748ff772d49de5075</t>
        </is>
      </c>
      <c r="BB298" s="24" t="inlineStr">
        <is>
          <t>learned_lr</t>
        </is>
      </c>
      <c r="BC298" s="24" t="inlineStr">
        <is>
          <t>mlb-elo-trend-lr-v8</t>
        </is>
      </c>
      <c r="BD298" s="24" t="inlineStr">
        <is>
          <t>6a5c79541b0e50cb9f7318270e63d5ccc65cbd7bc53a019748ff772d49de5075</t>
        </is>
      </c>
      <c r="BE298" s="24" t="inlineStr">
        <is>
          <t>19667aee26455113</t>
        </is>
      </c>
      <c r="BF298" s="24" t="inlineStr">
        <is>
          <t>1</t>
        </is>
      </c>
      <c r="BG298" s="24" t="inlineStr">
        <is>
          <t>mlb-elo-trend-lr-v8</t>
        </is>
      </c>
      <c r="BH298" s="24" t="inlineStr">
        <is>
          <t>2026-08-08T18:35:34.746462Z</t>
        </is>
      </c>
      <c r="BI298" s="24" t="inlineStr">
        <is>
          <t>["same_event","same_team_same_day","same_league_same_day"]</t>
        </is>
      </c>
      <c r="BJ298" s="25" t="n"/>
      <c r="BK298" s="26" t="n">
        <v>-117</v>
      </c>
      <c r="BL298" s="27" t="n">
        <v>1.854701</v>
      </c>
      <c r="BM298" s="28" t="n">
        <v>0.539171</v>
      </c>
      <c r="BN298" s="28" t="n">
        <v>0.537313</v>
      </c>
      <c r="BO298" s="28" t="n"/>
      <c r="BP298" s="25" t="n"/>
      <c r="BQ298" s="27" t="n">
        <v>1.75188</v>
      </c>
      <c r="BR298" s="28" t="n">
        <v>0.57</v>
      </c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inlineStr">
        <is>
          <t>0.5563357408</t>
        </is>
      </c>
      <c r="CD298" s="24" t="inlineStr">
        <is>
          <t>-3.063243</t>
        </is>
      </c>
      <c r="CE298" s="24" t="inlineStr">
        <is>
          <t>0.989</t>
        </is>
      </c>
      <c r="CF298" s="24" t="inlineStr">
        <is>
          <t>1.0117</t>
        </is>
      </c>
      <c r="CG298" s="24" t="n"/>
      <c r="CH298" s="24" t="n"/>
      <c r="CI298" s="24" t="inlineStr">
        <is>
          <t>NO_CALL_STARTER_ERA_GAP_INSUFFICIENT_HISTORY</t>
        </is>
      </c>
      <c r="CJ298" s="24" t="inlineStr">
        <is>
          <t>-0.422383</t>
        </is>
      </c>
      <c r="CK298" s="24" t="n"/>
      <c r="CL298" s="24" t="inlineStr">
        <is>
          <t>-0.09889</t>
        </is>
      </c>
      <c r="CM298" s="24" t="inlineStr">
        <is>
          <t>0.0</t>
        </is>
      </c>
      <c r="CN298" s="24" t="n"/>
      <c r="CO298" s="24" t="n"/>
      <c r="CP298" s="24" t="n"/>
      <c r="CQ298" s="24" t="n"/>
      <c r="CR298" s="24" t="inlineStr">
        <is>
          <t>0.568631</t>
        </is>
      </c>
      <c r="CS298" s="24" t="inlineStr">
        <is>
          <t>True</t>
        </is>
      </c>
    </row>
    <row r="299" ht="36" customHeight="1">
      <c r="A299" s="24" t="inlineStr">
        <is>
          <t>b0c69140e1654090</t>
        </is>
      </c>
      <c r="B299" s="24" t="inlineStr">
        <is>
          <t>2026-08-08T18:35:59.410253Z</t>
        </is>
      </c>
      <c r="C299" s="24" t="inlineStr">
        <is>
          <t>2026-08-08T18:45:00-0400</t>
        </is>
      </c>
      <c r="D299" s="24" t="inlineStr">
        <is>
          <t>401816442</t>
        </is>
      </c>
      <c r="E299" s="24" t="inlineStr">
        <is>
          <t>MLB</t>
        </is>
      </c>
      <c r="F299" s="24" t="inlineStr">
        <is>
          <t>Cincinnati Reds</t>
        </is>
      </c>
      <c r="G299" s="24" t="inlineStr">
        <is>
          <t>Washington Nationals</t>
        </is>
      </c>
      <c r="H299" s="24" t="inlineStr">
        <is>
          <t>moneyline</t>
        </is>
      </c>
      <c r="I299" s="24" t="inlineStr">
        <is>
          <t>home</t>
        </is>
      </c>
      <c r="J299" s="25" t="n"/>
      <c r="K299" s="24" t="inlineStr">
        <is>
          <t>polymarket_us</t>
        </is>
      </c>
      <c r="L299" s="26" t="n">
        <v>135</v>
      </c>
      <c r="M299" s="27" t="n">
        <v>2.35</v>
      </c>
      <c r="N299" s="28" t="n">
        <v>0.425532</v>
      </c>
      <c r="O299" s="28" t="n">
        <v>0.517557</v>
      </c>
      <c r="P299" s="28" t="n"/>
      <c r="Q299" s="28" t="n">
        <v>0.092025</v>
      </c>
      <c r="R299" s="26" t="n">
        <v>67</v>
      </c>
      <c r="S299" s="29" t="n">
        <v>0</v>
      </c>
      <c r="T299" s="24" t="inlineStr">
        <is>
          <t>mlb-elo-trend-lr-v8</t>
        </is>
      </c>
      <c r="U299" s="24" t="inlineStr">
        <is>
          <t>settled</t>
        </is>
      </c>
      <c r="V299" s="24" t="inlineStr">
        <is>
          <t>win</t>
        </is>
      </c>
      <c r="W299" s="26" t="n">
        <v>2</v>
      </c>
      <c r="X299" s="26" t="n">
        <v>8</v>
      </c>
      <c r="Y299" s="25" t="n"/>
      <c r="Z299" s="26" t="n">
        <v>127</v>
      </c>
      <c r="AA299" s="28" t="n">
        <v>0.44</v>
      </c>
      <c r="AB299" s="28" t="n">
        <v>0.014468</v>
      </c>
      <c r="AC299" s="30" t="n">
        <v>0</v>
      </c>
      <c r="AD299" s="24" t="inlineStr">
        <is>
          <t>2026-08-09T05:12:22.474848Z</t>
        </is>
      </c>
      <c r="AE299" s="31" t="inlineStr">
        <is>
          <t>Learned LR call at threshold 0.5873; executable ask 0.4250 (aec-mlb-cin-wsh-2026-08-08); model edge vs ask +0.0926.</t>
        </is>
      </c>
      <c r="AF299" s="31" t="inlineStr">
        <is>
          <t>Learned model; shadow-qualified via operator override.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research_observation</t>
        </is>
      </c>
      <c r="AL299" s="26" t="n">
        <v>3</v>
      </c>
      <c r="AM299" s="24" t="inlineStr">
        <is>
          <t>RESEARCH_OBSERVATION</t>
        </is>
      </c>
      <c r="AN299" s="24" t="inlineStr">
        <is>
          <t>NO_CALL</t>
        </is>
      </c>
      <c r="AO299" s="24" t="inlineStr">
        <is>
          <t>NO_CALL_BELOW_LEARNED_CONFIDENCE</t>
        </is>
      </c>
      <c r="AP299" s="24" t="inlineStr">
        <is>
          <t>mlb-cin</t>
        </is>
      </c>
      <c r="AQ299" s="24" t="inlineStr">
        <is>
          <t>Cincinnati Reds</t>
        </is>
      </c>
      <c r="AR299" s="24" t="inlineStr">
        <is>
          <t>Cincinnati Reds</t>
        </is>
      </c>
      <c r="AS299" s="24" t="inlineStr">
        <is>
          <t>mlb-wsh</t>
        </is>
      </c>
      <c r="AT299" s="24" t="inlineStr">
        <is>
          <t>Washington Nationals</t>
        </is>
      </c>
      <c r="AU299" s="24" t="inlineStr">
        <is>
          <t>Washington Nationals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6a5c79541b0e50cb9f7318270e63d5ccc65cbd7bc53a019748ff772d49de5075</t>
        </is>
      </c>
      <c r="BB299" s="24" t="inlineStr">
        <is>
          <t>learned_lr</t>
        </is>
      </c>
      <c r="BC299" s="24" t="inlineStr">
        <is>
          <t>mlb-elo-trend-lr-v8</t>
        </is>
      </c>
      <c r="BD299" s="24" t="inlineStr">
        <is>
          <t>6a5c79541b0e50cb9f7318270e63d5ccc65cbd7bc53a019748ff772d49de5075</t>
        </is>
      </c>
      <c r="BE299" s="24" t="inlineStr">
        <is>
          <t>e209a9ddb1285514</t>
        </is>
      </c>
      <c r="BF299" s="24" t="inlineStr">
        <is>
          <t>1</t>
        </is>
      </c>
      <c r="BG299" s="24" t="inlineStr">
        <is>
          <t>mlb-elo-trend-lr-v8</t>
        </is>
      </c>
      <c r="BH299" s="24" t="inlineStr">
        <is>
          <t>2026-08-08T18:35:35.271992Z</t>
        </is>
      </c>
      <c r="BI299" s="24" t="inlineStr">
        <is>
          <t>["same_event","same_team_same_day","same_league_same_day"]</t>
        </is>
      </c>
      <c r="BJ299" s="25" t="n"/>
      <c r="BK299" s="26" t="n">
        <v>135</v>
      </c>
      <c r="BL299" s="27" t="n">
        <v>2.35</v>
      </c>
      <c r="BM299" s="28" t="n">
        <v>0.425532</v>
      </c>
      <c r="BN299" s="28" t="n">
        <v>0.422886</v>
      </c>
      <c r="BO299" s="28" t="n"/>
      <c r="BP299" s="25" t="n"/>
      <c r="BQ299" s="27" t="n">
        <v>2.27</v>
      </c>
      <c r="BR299" s="28" t="n">
        <v>0.44</v>
      </c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inlineStr">
        <is>
          <t>0.5117682302</t>
        </is>
      </c>
      <c r="CD299" s="24" t="inlineStr">
        <is>
          <t>-0.539221</t>
        </is>
      </c>
      <c r="CE299" s="24" t="inlineStr">
        <is>
          <t>1.045</t>
        </is>
      </c>
      <c r="CF299" s="24" t="inlineStr">
        <is>
          <t>1.0191</t>
        </is>
      </c>
      <c r="CG299" s="24" t="n"/>
      <c r="CH299" s="24" t="n"/>
      <c r="CI299" s="24" t="n"/>
      <c r="CJ299" s="24" t="inlineStr">
        <is>
          <t>-0.107544</t>
        </is>
      </c>
      <c r="CK299" s="24" t="n"/>
      <c r="CL299" s="24" t="inlineStr">
        <is>
          <t>0.223608</t>
        </is>
      </c>
      <c r="CM299" s="24" t="inlineStr">
        <is>
          <t>0.2114</t>
        </is>
      </c>
      <c r="CN299" s="24" t="n"/>
      <c r="CO299" s="24" t="n"/>
      <c r="CP299" s="24" t="n"/>
      <c r="CQ299" s="24" t="n"/>
      <c r="CR299" s="24" t="inlineStr">
        <is>
          <t>0.517557</t>
        </is>
      </c>
      <c r="CS299" s="24" t="inlineStr">
        <is>
          <t>True</t>
        </is>
      </c>
    </row>
    <row r="300" ht="36" customHeight="1">
      <c r="A300" s="24" t="inlineStr">
        <is>
          <t>72035f7a82824c88</t>
        </is>
      </c>
      <c r="B300" s="24" t="inlineStr">
        <is>
          <t>2026-08-08T18:35:59.410253Z</t>
        </is>
      </c>
      <c r="C300" s="24" t="inlineStr">
        <is>
          <t>2026-08-08T19:10:00-0400</t>
        </is>
      </c>
      <c r="D300" s="24" t="inlineStr">
        <is>
          <t>401816446</t>
        </is>
      </c>
      <c r="E300" s="24" t="inlineStr">
        <is>
          <t>MLB</t>
        </is>
      </c>
      <c r="F300" s="24" t="inlineStr">
        <is>
          <t>Chicago Cubs</t>
        </is>
      </c>
      <c r="G300" s="24" t="inlineStr">
        <is>
          <t>Kansas City Royals</t>
        </is>
      </c>
      <c r="H300" s="24" t="inlineStr">
        <is>
          <t>moneyline</t>
        </is>
      </c>
      <c r="I300" s="24" t="inlineStr">
        <is>
          <t>away</t>
        </is>
      </c>
      <c r="J300" s="25" t="n"/>
      <c r="K300" s="24" t="inlineStr">
        <is>
          <t>polymarket_us</t>
        </is>
      </c>
      <c r="L300" s="26" t="n">
        <v>-153</v>
      </c>
      <c r="M300" s="27" t="n">
        <v>1.653595</v>
      </c>
      <c r="N300" s="28" t="n">
        <v>0.604743</v>
      </c>
      <c r="O300" s="28" t="n">
        <v>0.555655</v>
      </c>
      <c r="P300" s="28" t="n"/>
      <c r="Q300" s="28" t="n">
        <v>-0.049088</v>
      </c>
      <c r="R300" s="26" t="n">
        <v>0</v>
      </c>
      <c r="S300" s="29" t="n">
        <v>0</v>
      </c>
      <c r="T300" s="24" t="inlineStr">
        <is>
          <t>mlb-elo-trend-lr-v8</t>
        </is>
      </c>
      <c r="U300" s="24" t="inlineStr">
        <is>
          <t>settled</t>
        </is>
      </c>
      <c r="V300" s="24" t="inlineStr">
        <is>
          <t>loss</t>
        </is>
      </c>
      <c r="W300" s="26" t="n">
        <v>3</v>
      </c>
      <c r="X300" s="26" t="n">
        <v>6</v>
      </c>
      <c r="Y300" s="25" t="n"/>
      <c r="Z300" s="26" t="n">
        <v>-160</v>
      </c>
      <c r="AA300" s="28" t="n">
        <v>0.615</v>
      </c>
      <c r="AB300" s="28" t="n">
        <v>0.010257</v>
      </c>
      <c r="AC300" s="30" t="n">
        <v>0</v>
      </c>
      <c r="AD300" s="24" t="inlineStr">
        <is>
          <t>2026-08-09T05:12:26.412325Z</t>
        </is>
      </c>
      <c r="AE300" s="31" t="inlineStr">
        <is>
          <t>Learned LR call at threshold 0.5873; executable ask 0.6050 (aec-mlb-chc-kc-2026-08-08); model edge vs ask -0.0493.</t>
        </is>
      </c>
      <c r="AF300" s="31" t="inlineStr">
        <is>
          <t>Learned model; shadow-qualified via operator override.</t>
        </is>
      </c>
      <c r="AG300" s="24" t="inlineStr">
        <is>
          <t>review_required</t>
        </is>
      </c>
      <c r="AH300" s="24" t="n"/>
      <c r="AI300" s="31" t="n"/>
      <c r="AJ300" s="31" t="n"/>
      <c r="AK300" s="24" t="inlineStr">
        <is>
          <t>research_observation</t>
        </is>
      </c>
      <c r="AL300" s="26" t="n">
        <v>3</v>
      </c>
      <c r="AM300" s="24" t="inlineStr">
        <is>
          <t>RESEARCH_OBSERVATION</t>
        </is>
      </c>
      <c r="AN300" s="24" t="inlineStr">
        <is>
          <t>NO_CALL</t>
        </is>
      </c>
      <c r="AO300" s="24" t="inlineStr">
        <is>
          <t>NO_CALL_WINNER_OVERVALUED</t>
        </is>
      </c>
      <c r="AP300" s="24" t="inlineStr">
        <is>
          <t>mlb-chc</t>
        </is>
      </c>
      <c r="AQ300" s="24" t="inlineStr">
        <is>
          <t>Chicago Cubs</t>
        </is>
      </c>
      <c r="AR300" s="24" t="inlineStr">
        <is>
          <t>Chicago Cubs</t>
        </is>
      </c>
      <c r="AS300" s="24" t="inlineStr">
        <is>
          <t>mlb-kc</t>
        </is>
      </c>
      <c r="AT300" s="24" t="inlineStr">
        <is>
          <t>Kansas City Royals</t>
        </is>
      </c>
      <c r="AU300" s="24" t="inlineStr">
        <is>
          <t>Kansas City Royals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6a5c79541b0e50cb9f7318270e63d5ccc65cbd7bc53a019748ff772d49de5075</t>
        </is>
      </c>
      <c r="BB300" s="24" t="inlineStr">
        <is>
          <t>learned_lr</t>
        </is>
      </c>
      <c r="BC300" s="24" t="inlineStr">
        <is>
          <t>mlb-elo-trend-lr-v8</t>
        </is>
      </c>
      <c r="BD300" s="24" t="inlineStr">
        <is>
          <t>6a5c79541b0e50cb9f7318270e63d5ccc65cbd7bc53a019748ff772d49de5075</t>
        </is>
      </c>
      <c r="BE300" s="24" t="inlineStr">
        <is>
          <t>751c667ff3e460c7</t>
        </is>
      </c>
      <c r="BF300" s="24" t="inlineStr">
        <is>
          <t>1</t>
        </is>
      </c>
      <c r="BG300" s="24" t="inlineStr">
        <is>
          <t>mlb-elo-trend-lr-v8</t>
        </is>
      </c>
      <c r="BH300" s="24" t="inlineStr">
        <is>
          <t>2026-08-08T18:35:35.772229Z</t>
        </is>
      </c>
      <c r="BI300" s="24" t="inlineStr">
        <is>
          <t>["same_event","same_team_same_day","same_league_same_day"]</t>
        </is>
      </c>
      <c r="BJ300" s="25" t="n"/>
      <c r="BK300" s="26" t="n">
        <v>-153</v>
      </c>
      <c r="BL300" s="27" t="n">
        <v>1.653595</v>
      </c>
      <c r="BM300" s="28" t="n">
        <v>0.604743</v>
      </c>
      <c r="BN300" s="28" t="n">
        <v>0.60199</v>
      </c>
      <c r="BO300" s="28" t="n"/>
      <c r="BP300" s="25" t="n"/>
      <c r="BQ300" s="27" t="n">
        <v>1.625</v>
      </c>
      <c r="BR300" s="28" t="n">
        <v>0.615</v>
      </c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inlineStr">
        <is>
          <t>0.3947400738</t>
        </is>
      </c>
      <c r="CD300" s="24" t="inlineStr">
        <is>
          <t>-0.885458</t>
        </is>
      </c>
      <c r="CE300" s="24" t="inlineStr">
        <is>
          <t>0.973</t>
        </is>
      </c>
      <c r="CF300" s="24" t="inlineStr">
        <is>
          <t>1.0218</t>
        </is>
      </c>
      <c r="CG300" s="24" t="n"/>
      <c r="CH300" s="24" t="n"/>
      <c r="CI300" s="24" t="n"/>
      <c r="CJ300" s="24" t="inlineStr">
        <is>
          <t>-0.092714</t>
        </is>
      </c>
      <c r="CK300" s="24" t="n"/>
      <c r="CL300" s="24" t="inlineStr">
        <is>
          <t>0.540938</t>
        </is>
      </c>
      <c r="CM300" s="24" t="inlineStr">
        <is>
          <t>3.3092</t>
        </is>
      </c>
      <c r="CN300" s="24" t="n"/>
      <c r="CO300" s="24" t="n"/>
      <c r="CP300" s="24" t="n"/>
      <c r="CQ300" s="24" t="n"/>
      <c r="CR300" s="24" t="inlineStr">
        <is>
          <t>0.555655</t>
        </is>
      </c>
      <c r="CS300" s="24" t="inlineStr">
        <is>
          <t>False</t>
        </is>
      </c>
    </row>
    <row r="301" ht="36" customHeight="1">
      <c r="A301" s="24" t="inlineStr">
        <is>
          <t>247c00b8b7b341eb</t>
        </is>
      </c>
      <c r="B301" s="24" t="inlineStr">
        <is>
          <t>2026-08-08T18:35:59.410253Z</t>
        </is>
      </c>
      <c r="C301" s="24" t="inlineStr">
        <is>
          <t>2026-08-08T19:10:00-0400</t>
        </is>
      </c>
      <c r="D301" s="24" t="inlineStr">
        <is>
          <t>401816449</t>
        </is>
      </c>
      <c r="E301" s="24" t="inlineStr">
        <is>
          <t>MLB</t>
        </is>
      </c>
      <c r="F301" s="24" t="inlineStr">
        <is>
          <t>Minnesota Twins</t>
        </is>
      </c>
      <c r="G301" s="24" t="inlineStr">
        <is>
          <t>Milwaukee Brewers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polymarket_us</t>
        </is>
      </c>
      <c r="L301" s="26" t="n">
        <v>-135</v>
      </c>
      <c r="M301" s="27" t="n">
        <v>1.740741</v>
      </c>
      <c r="N301" s="28" t="n">
        <v>0.574468</v>
      </c>
      <c r="O301" s="28" t="n">
        <v>0.6256350000000001</v>
      </c>
      <c r="P301" s="28" t="n"/>
      <c r="Q301" s="28" t="n">
        <v>0.051167</v>
      </c>
      <c r="R301" s="26" t="n">
        <v>47</v>
      </c>
      <c r="S301" s="29" t="n">
        <v>0</v>
      </c>
      <c r="T301" s="24" t="inlineStr">
        <is>
          <t>mlb-elo-trend-lr-v8</t>
        </is>
      </c>
      <c r="U301" s="24" t="inlineStr">
        <is>
          <t>settled</t>
        </is>
      </c>
      <c r="V301" s="24" t="inlineStr">
        <is>
          <t>win</t>
        </is>
      </c>
      <c r="W301" s="26" t="n">
        <v>3</v>
      </c>
      <c r="X301" s="26" t="n">
        <v>4</v>
      </c>
      <c r="Y301" s="25" t="n"/>
      <c r="Z301" s="26" t="n">
        <v>-144</v>
      </c>
      <c r="AA301" s="28" t="n">
        <v>0.59</v>
      </c>
      <c r="AB301" s="28" t="n">
        <v>0.015532</v>
      </c>
      <c r="AC301" s="30" t="n">
        <v>0</v>
      </c>
      <c r="AD301" s="24" t="inlineStr">
        <is>
          <t>2026-08-09T05:12:31.074981Z</t>
        </is>
      </c>
      <c r="AE301" s="31" t="inlineStr">
        <is>
          <t>Learned LR call at threshold 0.5873; executable ask 0.5750 (aec-mlb-min-mil-2026-08-08); model edge vs ask +0.0506.</t>
        </is>
      </c>
      <c r="AF301" s="31" t="inlineStr">
        <is>
          <t>Learned model; shadow-qualified via operator override.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research_observation</t>
        </is>
      </c>
      <c r="AL301" s="26" t="n">
        <v>3</v>
      </c>
      <c r="AM301" s="24" t="inlineStr">
        <is>
          <t>RESEARCH_OBSERVATION</t>
        </is>
      </c>
      <c r="AN301" s="24" t="inlineStr">
        <is>
          <t>NO_CALL</t>
        </is>
      </c>
      <c r="AO301" s="24" t="inlineStr">
        <is>
          <t>NO_CALL_WINNER_OVERVALUED</t>
        </is>
      </c>
      <c r="AP301" s="24" t="inlineStr">
        <is>
          <t>mlb-min</t>
        </is>
      </c>
      <c r="AQ301" s="24" t="inlineStr">
        <is>
          <t>Minnesota Twins</t>
        </is>
      </c>
      <c r="AR301" s="24" t="inlineStr">
        <is>
          <t>Minnesota Twins</t>
        </is>
      </c>
      <c r="AS301" s="24" t="inlineStr">
        <is>
          <t>mlb-mil</t>
        </is>
      </c>
      <c r="AT301" s="24" t="inlineStr">
        <is>
          <t>Milwaukee Brewers</t>
        </is>
      </c>
      <c r="AU301" s="24" t="inlineStr">
        <is>
          <t>Milwaukee Brewers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6a5c79541b0e50cb9f7318270e63d5ccc65cbd7bc53a019748ff772d49de5075</t>
        </is>
      </c>
      <c r="BB301" s="24" t="inlineStr">
        <is>
          <t>learned_lr</t>
        </is>
      </c>
      <c r="BC301" s="24" t="inlineStr">
        <is>
          <t>mlb-elo-trend-lr-v8</t>
        </is>
      </c>
      <c r="BD301" s="24" t="inlineStr">
        <is>
          <t>6a5c79541b0e50cb9f7318270e63d5ccc65cbd7bc53a019748ff772d49de5075</t>
        </is>
      </c>
      <c r="BE301" s="24" t="inlineStr">
        <is>
          <t>08b7cd4200672257</t>
        </is>
      </c>
      <c r="BF301" s="24" t="inlineStr">
        <is>
          <t>1</t>
        </is>
      </c>
      <c r="BG301" s="24" t="inlineStr">
        <is>
          <t>mlb-elo-trend-lr-v8</t>
        </is>
      </c>
      <c r="BH301" s="24" t="inlineStr">
        <is>
          <t>2026-08-08T18:35:36.374513Z</t>
        </is>
      </c>
      <c r="BI301" s="24" t="inlineStr">
        <is>
          <t>["same_event","same_team_same_day","same_league_same_day"]</t>
        </is>
      </c>
      <c r="BJ301" s="25" t="n"/>
      <c r="BK301" s="26" t="n">
        <v>-135</v>
      </c>
      <c r="BL301" s="27" t="n">
        <v>1.740741</v>
      </c>
      <c r="BM301" s="28" t="n">
        <v>0.574468</v>
      </c>
      <c r="BN301" s="28" t="n">
        <v>0.572139</v>
      </c>
      <c r="BO301" s="28" t="n"/>
      <c r="BP301" s="25" t="n"/>
      <c r="BQ301" s="27" t="n">
        <v>1.694444</v>
      </c>
      <c r="BR301" s="28" t="n">
        <v>0.59</v>
      </c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inlineStr">
        <is>
          <t>0.6664922675</t>
        </is>
      </c>
      <c r="CD301" s="24" t="inlineStr">
        <is>
          <t>-0.376899</t>
        </is>
      </c>
      <c r="CE301" s="24" t="inlineStr">
        <is>
          <t>0.997</t>
        </is>
      </c>
      <c r="CF301" s="24" t="inlineStr">
        <is>
          <t>1.0</t>
        </is>
      </c>
      <c r="CG301" s="24" t="n"/>
      <c r="CH301" s="24" t="n"/>
      <c r="CI301" s="24" t="n"/>
      <c r="CJ301" s="24" t="inlineStr">
        <is>
          <t>-0.522416</t>
        </is>
      </c>
      <c r="CK301" s="24" t="n"/>
      <c r="CL301" s="24" t="inlineStr">
        <is>
          <t>-0.128856</t>
        </is>
      </c>
      <c r="CM301" s="24" t="inlineStr">
        <is>
          <t>1.1848</t>
        </is>
      </c>
      <c r="CN301" s="24" t="n"/>
      <c r="CO301" s="24" t="n"/>
      <c r="CP301" s="24" t="n"/>
      <c r="CQ301" s="24" t="n"/>
      <c r="CR301" s="24" t="inlineStr">
        <is>
          <t>0.625635</t>
        </is>
      </c>
      <c r="CS301" s="24" t="inlineStr">
        <is>
          <t>True</t>
        </is>
      </c>
    </row>
    <row r="302" ht="36" customHeight="1">
      <c r="A302" s="24" t="inlineStr">
        <is>
          <t>3b07221881cb444a</t>
        </is>
      </c>
      <c r="B302" s="24" t="inlineStr">
        <is>
          <t>2026-08-08T18:35:59.410253Z</t>
        </is>
      </c>
      <c r="C302" s="24" t="inlineStr">
        <is>
          <t>2026-08-08T19:15:00-0400</t>
        </is>
      </c>
      <c r="D302" s="24" t="inlineStr">
        <is>
          <t>401816445</t>
        </is>
      </c>
      <c r="E302" s="24" t="inlineStr">
        <is>
          <t>MLB</t>
        </is>
      </c>
      <c r="F302" s="24" t="inlineStr">
        <is>
          <t>Baltimore Orioles</t>
        </is>
      </c>
      <c r="G302" s="24" t="inlineStr">
        <is>
          <t>Texas Rangers</t>
        </is>
      </c>
      <c r="H302" s="24" t="inlineStr">
        <is>
          <t>moneyline</t>
        </is>
      </c>
      <c r="I302" s="24" t="inlineStr">
        <is>
          <t>home</t>
        </is>
      </c>
      <c r="J302" s="25" t="n"/>
      <c r="K302" s="24" t="inlineStr">
        <is>
          <t>polymarket_us</t>
        </is>
      </c>
      <c r="L302" s="26" t="n">
        <v>-141</v>
      </c>
      <c r="M302" s="27" t="n">
        <v>1.70922</v>
      </c>
      <c r="N302" s="28" t="n">
        <v>0.585062</v>
      </c>
      <c r="O302" s="28" t="n">
        <v>0.538034</v>
      </c>
      <c r="P302" s="28" t="n"/>
      <c r="Q302" s="28" t="n">
        <v>-0.047028</v>
      </c>
      <c r="R302" s="26" t="n">
        <v>0</v>
      </c>
      <c r="S302" s="29" t="n">
        <v>0</v>
      </c>
      <c r="T302" s="24" t="inlineStr">
        <is>
          <t>mlb-elo-trend-lr-v8</t>
        </is>
      </c>
      <c r="U302" s="24" t="inlineStr">
        <is>
          <t>settled</t>
        </is>
      </c>
      <c r="V302" s="24" t="inlineStr">
        <is>
          <t>win</t>
        </is>
      </c>
      <c r="W302" s="26" t="n">
        <v>1</v>
      </c>
      <c r="X302" s="26" t="n">
        <v>5</v>
      </c>
      <c r="Y302" s="25" t="n"/>
      <c r="Z302" s="26" t="n">
        <v>-133</v>
      </c>
      <c r="AA302" s="28" t="n">
        <v>0.57</v>
      </c>
      <c r="AB302" s="28" t="n">
        <v>-0.015062</v>
      </c>
      <c r="AC302" s="30" t="n">
        <v>0</v>
      </c>
      <c r="AD302" s="24" t="inlineStr">
        <is>
          <t>2026-08-09T05:12:33.899828Z</t>
        </is>
      </c>
      <c r="AE302" s="31" t="inlineStr">
        <is>
          <t>Learned LR call at threshold 0.5873; executable ask 0.5850 (aec-mlb-bal-tex-2026-08-08); model edge vs ask -0.0470.</t>
        </is>
      </c>
      <c r="AF302" s="31" t="inlineStr">
        <is>
          <t>Learned model; shadow-qualified via operator override.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research_observation</t>
        </is>
      </c>
      <c r="AL302" s="26" t="n">
        <v>3</v>
      </c>
      <c r="AM302" s="24" t="inlineStr">
        <is>
          <t>RESEARCH_OBSERVATION</t>
        </is>
      </c>
      <c r="AN302" s="24" t="inlineStr">
        <is>
          <t>NO_CALL</t>
        </is>
      </c>
      <c r="AO302" s="24" t="inlineStr">
        <is>
          <t>NO_CALL_WINNER_OVERVALUED</t>
        </is>
      </c>
      <c r="AP302" s="24" t="inlineStr">
        <is>
          <t>mlb-bal</t>
        </is>
      </c>
      <c r="AQ302" s="24" t="inlineStr">
        <is>
          <t>Baltimore Orioles</t>
        </is>
      </c>
      <c r="AR302" s="24" t="inlineStr">
        <is>
          <t>Baltimore Orioles</t>
        </is>
      </c>
      <c r="AS302" s="24" t="inlineStr">
        <is>
          <t>mlb-tex</t>
        </is>
      </c>
      <c r="AT302" s="24" t="inlineStr">
        <is>
          <t>Texas Rangers</t>
        </is>
      </c>
      <c r="AU302" s="24" t="inlineStr">
        <is>
          <t>Texas Rangers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6a5c79541b0e50cb9f7318270e63d5ccc65cbd7bc53a019748ff772d49de5075</t>
        </is>
      </c>
      <c r="BB302" s="24" t="inlineStr">
        <is>
          <t>learned_lr</t>
        </is>
      </c>
      <c r="BC302" s="24" t="inlineStr">
        <is>
          <t>mlb-elo-trend-lr-v8</t>
        </is>
      </c>
      <c r="BD302" s="24" t="inlineStr">
        <is>
          <t>6a5c79541b0e50cb9f7318270e63d5ccc65cbd7bc53a019748ff772d49de5075</t>
        </is>
      </c>
      <c r="BE302" s="24" t="inlineStr">
        <is>
          <t>0deef6e3d747cf97</t>
        </is>
      </c>
      <c r="BF302" s="24" t="inlineStr">
        <is>
          <t>1</t>
        </is>
      </c>
      <c r="BG302" s="24" t="inlineStr">
        <is>
          <t>mlb-elo-trend-lr-v8</t>
        </is>
      </c>
      <c r="BH302" s="24" t="inlineStr">
        <is>
          <t>2026-08-08T18:35:37.373560Z</t>
        </is>
      </c>
      <c r="BI302" s="24" t="inlineStr">
        <is>
          <t>["same_event","same_team_same_day","same_league_same_day"]</t>
        </is>
      </c>
      <c r="BJ302" s="25" t="n"/>
      <c r="BK302" s="26" t="n">
        <v>-141</v>
      </c>
      <c r="BL302" s="27" t="n">
        <v>1.70922</v>
      </c>
      <c r="BM302" s="28" t="n">
        <v>0.585062</v>
      </c>
      <c r="BN302" s="28" t="n">
        <v>0.58209</v>
      </c>
      <c r="BO302" s="28" t="n"/>
      <c r="BP302" s="25" t="n"/>
      <c r="BQ302" s="27" t="n">
        <v>1.75188</v>
      </c>
      <c r="BR302" s="28" t="n">
        <v>0.57</v>
      </c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inlineStr">
        <is>
          <t>0.5173340031</t>
        </is>
      </c>
      <c r="CD302" s="24" t="inlineStr">
        <is>
          <t>0.999093</t>
        </is>
      </c>
      <c r="CE302" s="24" t="inlineStr">
        <is>
          <t>0.913</t>
        </is>
      </c>
      <c r="CF302" s="24" t="inlineStr">
        <is>
          <t>1.0</t>
        </is>
      </c>
      <c r="CG302" s="24" t="n"/>
      <c r="CH302" s="24" t="n"/>
      <c r="CI302" s="24" t="n"/>
      <c r="CJ302" s="24" t="inlineStr">
        <is>
          <t>0.831514</t>
        </is>
      </c>
      <c r="CK302" s="24" t="n"/>
      <c r="CL302" s="24" t="inlineStr">
        <is>
          <t>0.412794</t>
        </is>
      </c>
      <c r="CM302" s="24" t="inlineStr">
        <is>
          <t>2.8362</t>
        </is>
      </c>
      <c r="CN302" s="24" t="n"/>
      <c r="CO302" s="24" t="n"/>
      <c r="CP302" s="24" t="n"/>
      <c r="CQ302" s="24" t="n"/>
      <c r="CR302" s="24" t="inlineStr">
        <is>
          <t>0.538034</t>
        </is>
      </c>
      <c r="CS302" s="24" t="inlineStr">
        <is>
          <t>False</t>
        </is>
      </c>
    </row>
    <row r="303" ht="36" customHeight="1">
      <c r="A303" s="24" t="inlineStr">
        <is>
          <t>7b7d72e318094ae7</t>
        </is>
      </c>
      <c r="B303" s="24" t="inlineStr">
        <is>
          <t>2026-08-08T18:35:59.410253Z</t>
        </is>
      </c>
      <c r="C303" s="24" t="inlineStr">
        <is>
          <t>2026-08-08T19:15:00-0400</t>
        </is>
      </c>
      <c r="D303" s="24" t="inlineStr">
        <is>
          <t>401816447</t>
        </is>
      </c>
      <c r="E303" s="24" t="inlineStr">
        <is>
          <t>MLB</t>
        </is>
      </c>
      <c r="F303" s="24" t="inlineStr">
        <is>
          <t>Cleveland Guardians</t>
        </is>
      </c>
      <c r="G303" s="24" t="inlineStr">
        <is>
          <t>Chicago White Sox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polymarket_us</t>
        </is>
      </c>
      <c r="L303" s="26" t="n">
        <v>125</v>
      </c>
      <c r="M303" s="27" t="n">
        <v>2.25</v>
      </c>
      <c r="N303" s="28" t="n">
        <v>0.444444</v>
      </c>
      <c r="O303" s="28" t="n">
        <v>0.546791</v>
      </c>
      <c r="P303" s="28" t="n"/>
      <c r="Q303" s="28" t="n">
        <v>0.102347</v>
      </c>
      <c r="R303" s="26" t="n">
        <v>72</v>
      </c>
      <c r="S303" s="29" t="n">
        <v>0</v>
      </c>
      <c r="T303" s="24" t="inlineStr">
        <is>
          <t>mlb-elo-trend-lr-v8</t>
        </is>
      </c>
      <c r="U303" s="24" t="inlineStr">
        <is>
          <t>settled</t>
        </is>
      </c>
      <c r="V303" s="24" t="inlineStr">
        <is>
          <t>win</t>
        </is>
      </c>
      <c r="W303" s="26" t="n">
        <v>3</v>
      </c>
      <c r="X303" s="26" t="n">
        <v>6</v>
      </c>
      <c r="Y303" s="25" t="n"/>
      <c r="Z303" s="26" t="n">
        <v>115</v>
      </c>
      <c r="AA303" s="28" t="n">
        <v>0.465</v>
      </c>
      <c r="AB303" s="28" t="n">
        <v>0.020556</v>
      </c>
      <c r="AC303" s="30" t="n">
        <v>0</v>
      </c>
      <c r="AD303" s="24" t="inlineStr">
        <is>
          <t>2026-08-09T05:12:36.450879Z</t>
        </is>
      </c>
      <c r="AE303" s="31" t="inlineStr">
        <is>
          <t>Learned LR call at threshold 0.5873; executable ask 0.4450 (aec-mlb-cle-cws-2026-08-08); model edge vs ask +0.1018.</t>
        </is>
      </c>
      <c r="AF303" s="31" t="inlineStr">
        <is>
          <t>Learned model; shadow-qualified via operator override.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research_observation</t>
        </is>
      </c>
      <c r="AL303" s="26" t="n">
        <v>3</v>
      </c>
      <c r="AM303" s="24" t="inlineStr">
        <is>
          <t>RESEARCH_OBSERVATION</t>
        </is>
      </c>
      <c r="AN303" s="24" t="inlineStr">
        <is>
          <t>NO_CALL</t>
        </is>
      </c>
      <c r="AO303" s="24" t="inlineStr">
        <is>
          <t>NO_CALL_BELOW_LEARNED_CONFIDENCE</t>
        </is>
      </c>
      <c r="AP303" s="24" t="inlineStr">
        <is>
          <t>mlb-cle</t>
        </is>
      </c>
      <c r="AQ303" s="24" t="inlineStr">
        <is>
          <t>Cleveland Guardians</t>
        </is>
      </c>
      <c r="AR303" s="24" t="inlineStr">
        <is>
          <t>Cleveland Guardians</t>
        </is>
      </c>
      <c r="AS303" s="24" t="inlineStr">
        <is>
          <t>mlb-cws</t>
        </is>
      </c>
      <c r="AT303" s="24" t="inlineStr">
        <is>
          <t>Chicago White Sox</t>
        </is>
      </c>
      <c r="AU303" s="24" t="inlineStr">
        <is>
          <t>Chicago White Sox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6a5c79541b0e50cb9f7318270e63d5ccc65cbd7bc53a019748ff772d49de5075</t>
        </is>
      </c>
      <c r="BB303" s="24" t="inlineStr">
        <is>
          <t>learned_lr</t>
        </is>
      </c>
      <c r="BC303" s="24" t="inlineStr">
        <is>
          <t>mlb-elo-trend-lr-v8</t>
        </is>
      </c>
      <c r="BD303" s="24" t="inlineStr">
        <is>
          <t>6a5c79541b0e50cb9f7318270e63d5ccc65cbd7bc53a019748ff772d49de5075</t>
        </is>
      </c>
      <c r="BE303" s="24" t="inlineStr">
        <is>
          <t>78a81b232edd138a</t>
        </is>
      </c>
      <c r="BF303" s="24" t="inlineStr">
        <is>
          <t>1</t>
        </is>
      </c>
      <c r="BG303" s="24" t="inlineStr">
        <is>
          <t>mlb-elo-trend-lr-v8</t>
        </is>
      </c>
      <c r="BH303" s="24" t="inlineStr">
        <is>
          <t>2026-08-08T18:35:37.785912Z</t>
        </is>
      </c>
      <c r="BI303" s="24" t="inlineStr">
        <is>
          <t>["same_event","same_team_same_day","same_league_same_day"]</t>
        </is>
      </c>
      <c r="BJ303" s="25" t="n"/>
      <c r="BK303" s="26" t="n">
        <v>125</v>
      </c>
      <c r="BL303" s="27" t="n">
        <v>2.25</v>
      </c>
      <c r="BM303" s="28" t="n">
        <v>0.444444</v>
      </c>
      <c r="BN303" s="28" t="n">
        <v>0.442786</v>
      </c>
      <c r="BO303" s="28" t="n"/>
      <c r="BP303" s="25" t="n"/>
      <c r="BQ303" s="27" t="n">
        <v>2.15</v>
      </c>
      <c r="BR303" s="28" t="n">
        <v>0.465</v>
      </c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inlineStr">
        <is>
          <t>0.5330109092</t>
        </is>
      </c>
      <c r="CD303" s="24" t="inlineStr">
        <is>
          <t>-1.264903</t>
        </is>
      </c>
      <c r="CE303" s="24" t="inlineStr">
        <is>
          <t>0.94</t>
        </is>
      </c>
      <c r="CF303" s="24" t="inlineStr">
        <is>
          <t>1.0066</t>
        </is>
      </c>
      <c r="CG303" s="24" t="n"/>
      <c r="CH303" s="24" t="n"/>
      <c r="CI303" s="24" t="n"/>
      <c r="CJ303" s="24" t="inlineStr">
        <is>
          <t>-1.046056</t>
        </is>
      </c>
      <c r="CK303" s="24" t="n"/>
      <c r="CL303" s="24" t="inlineStr">
        <is>
          <t>-0.31214</t>
        </is>
      </c>
      <c r="CM303" s="24" t="inlineStr">
        <is>
          <t>-0.7261</t>
        </is>
      </c>
      <c r="CN303" s="24" t="n"/>
      <c r="CO303" s="24" t="n"/>
      <c r="CP303" s="24" t="n"/>
      <c r="CQ303" s="24" t="n"/>
      <c r="CR303" s="24" t="inlineStr">
        <is>
          <t>0.546791</t>
        </is>
      </c>
      <c r="CS303" s="24" t="inlineStr">
        <is>
          <t>True</t>
        </is>
      </c>
    </row>
    <row r="304" ht="36" customHeight="1">
      <c r="A304" s="24" t="inlineStr">
        <is>
          <t>2b05b124b454436f</t>
        </is>
      </c>
      <c r="B304" s="24" t="inlineStr">
        <is>
          <t>2026-08-08T18:35:59.410253Z</t>
        </is>
      </c>
      <c r="C304" s="24" t="inlineStr">
        <is>
          <t>2026-08-08T19:15:00-0400</t>
        </is>
      </c>
      <c r="D304" s="24" t="inlineStr">
        <is>
          <t>401816448</t>
        </is>
      </c>
      <c r="E304" s="24" t="inlineStr">
        <is>
          <t>MLB</t>
        </is>
      </c>
      <c r="F304" s="24" t="inlineStr">
        <is>
          <t>Colorado Rockies</t>
        </is>
      </c>
      <c r="G304" s="24" t="inlineStr">
        <is>
          <t>St. Louis Cardinals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polymarket_us</t>
        </is>
      </c>
      <c r="L304" s="26" t="n">
        <v>-144</v>
      </c>
      <c r="M304" s="27" t="n">
        <v>1.694444</v>
      </c>
      <c r="N304" s="28" t="n">
        <v>0.590164</v>
      </c>
      <c r="O304" s="28" t="n">
        <v>0.652181</v>
      </c>
      <c r="P304" s="28" t="n"/>
      <c r="Q304" s="28" t="n">
        <v>0.062017</v>
      </c>
      <c r="R304" s="26" t="n">
        <v>53</v>
      </c>
      <c r="S304" s="29" t="n">
        <v>0</v>
      </c>
      <c r="T304" s="24" t="inlineStr">
        <is>
          <t>mlb-elo-trend-lr-v8</t>
        </is>
      </c>
      <c r="U304" s="24" t="inlineStr">
        <is>
          <t>settled</t>
        </is>
      </c>
      <c r="V304" s="24" t="inlineStr">
        <is>
          <t>loss</t>
        </is>
      </c>
      <c r="W304" s="26" t="n">
        <v>8</v>
      </c>
      <c r="X304" s="26" t="n">
        <v>6</v>
      </c>
      <c r="Y304" s="25" t="n"/>
      <c r="Z304" s="26" t="n">
        <v>-150</v>
      </c>
      <c r="AA304" s="28" t="n">
        <v>0.6</v>
      </c>
      <c r="AB304" s="28" t="n">
        <v>0.009835999999999999</v>
      </c>
      <c r="AC304" s="30" t="n">
        <v>0</v>
      </c>
      <c r="AD304" s="24" t="inlineStr">
        <is>
          <t>2026-08-09T05:12:39.080924Z</t>
        </is>
      </c>
      <c r="AE304" s="31" t="inlineStr">
        <is>
          <t>Learned LR call at threshold 0.5873; executable ask 0.5900 (aec-mlb-col-stl-2026-08-08); model edge vs ask +0.0622.</t>
        </is>
      </c>
      <c r="AF304" s="31" t="inlineStr">
        <is>
          <t>Learned model; shadow-qualified via operator override.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research_observation</t>
        </is>
      </c>
      <c r="AL304" s="26" t="n">
        <v>3</v>
      </c>
      <c r="AM304" s="24" t="inlineStr">
        <is>
          <t>RESEARCH_OBSERVATION</t>
        </is>
      </c>
      <c r="AN304" s="24" t="inlineStr">
        <is>
          <t>NO_CALL</t>
        </is>
      </c>
      <c r="AO304" s="24" t="inlineStr">
        <is>
          <t>NO_CALL_WINNER_OVERVALUED</t>
        </is>
      </c>
      <c r="AP304" s="24" t="inlineStr">
        <is>
          <t>mlb-col</t>
        </is>
      </c>
      <c r="AQ304" s="24" t="inlineStr">
        <is>
          <t>Colorado Rockies</t>
        </is>
      </c>
      <c r="AR304" s="24" t="inlineStr">
        <is>
          <t>Colorado Rockies</t>
        </is>
      </c>
      <c r="AS304" s="24" t="inlineStr">
        <is>
          <t>mlb-stl</t>
        </is>
      </c>
      <c r="AT304" s="24" t="inlineStr">
        <is>
          <t>St. Louis Cardinals</t>
        </is>
      </c>
      <c r="AU304" s="24" t="inlineStr">
        <is>
          <t>St. Louis Cardinals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6a5c79541b0e50cb9f7318270e63d5ccc65cbd7bc53a019748ff772d49de5075</t>
        </is>
      </c>
      <c r="BB304" s="24" t="inlineStr">
        <is>
          <t>learned_lr</t>
        </is>
      </c>
      <c r="BC304" s="24" t="inlineStr">
        <is>
          <t>mlb-elo-trend-lr-v8</t>
        </is>
      </c>
      <c r="BD304" s="24" t="inlineStr">
        <is>
          <t>6a5c79541b0e50cb9f7318270e63d5ccc65cbd7bc53a019748ff772d49de5075</t>
        </is>
      </c>
      <c r="BE304" s="24" t="inlineStr">
        <is>
          <t>49503d27abde1658</t>
        </is>
      </c>
      <c r="BF304" s="24" t="inlineStr">
        <is>
          <t>1</t>
        </is>
      </c>
      <c r="BG304" s="24" t="inlineStr">
        <is>
          <t>mlb-elo-trend-lr-v8</t>
        </is>
      </c>
      <c r="BH304" s="24" t="inlineStr">
        <is>
          <t>2026-08-08T18:35:36.837369Z</t>
        </is>
      </c>
      <c r="BI304" s="24" t="inlineStr">
        <is>
          <t>["same_event","same_team_same_day","same_league_same_day"]</t>
        </is>
      </c>
      <c r="BJ304" s="25" t="n"/>
      <c r="BK304" s="26" t="n">
        <v>-144</v>
      </c>
      <c r="BL304" s="27" t="n">
        <v>1.694444</v>
      </c>
      <c r="BM304" s="28" t="n">
        <v>0.590164</v>
      </c>
      <c r="BN304" s="28" t="n">
        <v>0.5870649999999999</v>
      </c>
      <c r="BO304" s="28" t="n"/>
      <c r="BP304" s="25" t="n"/>
      <c r="BQ304" s="27" t="n">
        <v>1.666667</v>
      </c>
      <c r="BR304" s="28" t="n">
        <v>0.6</v>
      </c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inlineStr">
        <is>
          <t>0.6608663398</t>
        </is>
      </c>
      <c r="CD304" s="24" t="inlineStr">
        <is>
          <t>-0.358062</t>
        </is>
      </c>
      <c r="CE304" s="24" t="inlineStr">
        <is>
          <t>0.946</t>
        </is>
      </c>
      <c r="CF304" s="24" t="inlineStr">
        <is>
          <t>1.0204</t>
        </is>
      </c>
      <c r="CG304" s="24" t="n"/>
      <c r="CH304" s="24" t="n"/>
      <c r="CI304" s="24" t="n"/>
      <c r="CJ304" s="24" t="inlineStr">
        <is>
          <t>1.053598</t>
        </is>
      </c>
      <c r="CK304" s="24" t="n"/>
      <c r="CL304" s="24" t="inlineStr">
        <is>
          <t>0.05486</t>
        </is>
      </c>
      <c r="CM304" s="24" t="inlineStr">
        <is>
          <t>-2.2234</t>
        </is>
      </c>
      <c r="CN304" s="24" t="n"/>
      <c r="CO304" s="24" t="n"/>
      <c r="CP304" s="24" t="n"/>
      <c r="CQ304" s="24" t="n"/>
      <c r="CR304" s="24" t="inlineStr">
        <is>
          <t>0.652181</t>
        </is>
      </c>
      <c r="CS304" s="24" t="inlineStr">
        <is>
          <t>True</t>
        </is>
      </c>
    </row>
    <row r="305" ht="36" customHeight="1">
      <c r="A305" s="24" t="inlineStr">
        <is>
          <t>11fcbcb6ca584666</t>
        </is>
      </c>
      <c r="B305" s="24" t="inlineStr">
        <is>
          <t>2026-08-08T18:35:59.410253Z</t>
        </is>
      </c>
      <c r="C305" s="24" t="inlineStr">
        <is>
          <t>2026-08-08T19:15:00-0400</t>
        </is>
      </c>
      <c r="D305" s="24" t="inlineStr">
        <is>
          <t>401816450</t>
        </is>
      </c>
      <c r="E305" s="24" t="inlineStr">
        <is>
          <t>MLB</t>
        </is>
      </c>
      <c r="F305" s="24" t="inlineStr">
        <is>
          <t>Detroit Tigers</t>
        </is>
      </c>
      <c r="G305" s="24" t="inlineStr">
        <is>
          <t>San Francisco Giants</t>
        </is>
      </c>
      <c r="H305" s="24" t="inlineStr">
        <is>
          <t>moneyline</t>
        </is>
      </c>
      <c r="I305" s="24" t="inlineStr">
        <is>
          <t>away</t>
        </is>
      </c>
      <c r="J305" s="25" t="n"/>
      <c r="K305" s="24" t="inlineStr">
        <is>
          <t>polymarket_us</t>
        </is>
      </c>
      <c r="L305" s="26" t="n">
        <v>-113</v>
      </c>
      <c r="M305" s="27" t="n">
        <v>1.884956</v>
      </c>
      <c r="N305" s="28" t="n">
        <v>0.530516</v>
      </c>
      <c r="O305" s="28" t="n">
        <v>0.510009</v>
      </c>
      <c r="P305" s="28" t="n"/>
      <c r="Q305" s="28" t="n">
        <v>-0.020507</v>
      </c>
      <c r="R305" s="26" t="n">
        <v>11</v>
      </c>
      <c r="S305" s="29" t="n">
        <v>0</v>
      </c>
      <c r="T305" s="24" t="inlineStr">
        <is>
          <t>mlb-elo-trend-lr-v8</t>
        </is>
      </c>
      <c r="U305" s="24" t="inlineStr">
        <is>
          <t>settled</t>
        </is>
      </c>
      <c r="V305" s="24" t="inlineStr">
        <is>
          <t>win</t>
        </is>
      </c>
      <c r="W305" s="26" t="n">
        <v>8</v>
      </c>
      <c r="X305" s="26" t="n">
        <v>0</v>
      </c>
      <c r="Y305" s="25" t="n"/>
      <c r="Z305" s="26" t="n">
        <v>-102</v>
      </c>
      <c r="AA305" s="28" t="n">
        <v>0.505</v>
      </c>
      <c r="AB305" s="28" t="n">
        <v>-0.025516</v>
      </c>
      <c r="AC305" s="30" t="n">
        <v>0</v>
      </c>
      <c r="AD305" s="24" t="inlineStr">
        <is>
          <t>2026-08-09T05:12:41.786491Z</t>
        </is>
      </c>
      <c r="AE305" s="31" t="inlineStr">
        <is>
          <t>Learned LR call at threshold 0.5873; executable ask 0.5300 (aec-mlb-det-sf-2026-08-08); model edge vs ask -0.0200.</t>
        </is>
      </c>
      <c r="AF305" s="31" t="inlineStr">
        <is>
          <t>Learned model; shadow-qualified via operator override.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research_observation</t>
        </is>
      </c>
      <c r="AL305" s="26" t="n">
        <v>3</v>
      </c>
      <c r="AM305" s="24" t="inlineStr">
        <is>
          <t>RESEARCH_OBSERVATION</t>
        </is>
      </c>
      <c r="AN305" s="24" t="inlineStr">
        <is>
          <t>NO_CALL</t>
        </is>
      </c>
      <c r="AO305" s="24" t="inlineStr">
        <is>
          <t>NO_CALL_WINNER_OVERVALUED</t>
        </is>
      </c>
      <c r="AP305" s="24" t="inlineStr">
        <is>
          <t>mlb-det</t>
        </is>
      </c>
      <c r="AQ305" s="24" t="inlineStr">
        <is>
          <t>Detroit Tigers</t>
        </is>
      </c>
      <c r="AR305" s="24" t="inlineStr">
        <is>
          <t>Detroit Tigers</t>
        </is>
      </c>
      <c r="AS305" s="24" t="inlineStr">
        <is>
          <t>mlb-sf</t>
        </is>
      </c>
      <c r="AT305" s="24" t="inlineStr">
        <is>
          <t>San Francisco Giants</t>
        </is>
      </c>
      <c r="AU305" s="24" t="inlineStr">
        <is>
          <t>San Francisco Giants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6a5c79541b0e50cb9f7318270e63d5ccc65cbd7bc53a019748ff772d49de5075</t>
        </is>
      </c>
      <c r="BB305" s="24" t="inlineStr">
        <is>
          <t>learned_lr</t>
        </is>
      </c>
      <c r="BC305" s="24" t="inlineStr">
        <is>
          <t>mlb-elo-trend-lr-v8</t>
        </is>
      </c>
      <c r="BD305" s="24" t="inlineStr">
        <is>
          <t>6a5c79541b0e50cb9f7318270e63d5ccc65cbd7bc53a019748ff772d49de5075</t>
        </is>
      </c>
      <c r="BE305" s="24" t="inlineStr">
        <is>
          <t>c6bd1a7b7b409579</t>
        </is>
      </c>
      <c r="BF305" s="24" t="inlineStr">
        <is>
          <t>1</t>
        </is>
      </c>
      <c r="BG305" s="24" t="inlineStr">
        <is>
          <t>mlb-elo-trend-lr-v8</t>
        </is>
      </c>
      <c r="BH305" s="24" t="inlineStr">
        <is>
          <t>2026-08-08T18:35:38.899508Z</t>
        </is>
      </c>
      <c r="BI305" s="24" t="inlineStr">
        <is>
          <t>["same_event","same_team_same_day","same_league_same_day"]</t>
        </is>
      </c>
      <c r="BJ305" s="25" t="n"/>
      <c r="BK305" s="26" t="n">
        <v>-113</v>
      </c>
      <c r="BL305" s="27" t="n">
        <v>1.884956</v>
      </c>
      <c r="BM305" s="28" t="n">
        <v>0.530516</v>
      </c>
      <c r="BN305" s="28" t="n">
        <v>0.527363</v>
      </c>
      <c r="BO305" s="28" t="n"/>
      <c r="BP305" s="25" t="n"/>
      <c r="BQ305" s="27" t="n">
        <v>1.980392</v>
      </c>
      <c r="BR305" s="28" t="n">
        <v>0.505</v>
      </c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inlineStr">
        <is>
          <t>0.4512491472</t>
        </is>
      </c>
      <c r="CD305" s="24" t="inlineStr">
        <is>
          <t>-2.881739</t>
        </is>
      </c>
      <c r="CE305" s="24" t="inlineStr">
        <is>
          <t>0.982</t>
        </is>
      </c>
      <c r="CF305" s="24" t="inlineStr">
        <is>
          <t>1.0058</t>
        </is>
      </c>
      <c r="CG305" s="24" t="n"/>
      <c r="CH305" s="24" t="n"/>
      <c r="CI305" s="24" t="n"/>
      <c r="CJ305" s="24" t="inlineStr">
        <is>
          <t>-1.325333</t>
        </is>
      </c>
      <c r="CK305" s="24" t="n"/>
      <c r="CL305" s="24" t="inlineStr">
        <is>
          <t>-0.175408</t>
        </is>
      </c>
      <c r="CM305" s="24" t="inlineStr">
        <is>
          <t>-0.5929</t>
        </is>
      </c>
      <c r="CN305" s="24" t="n"/>
      <c r="CO305" s="24" t="n"/>
      <c r="CP305" s="24" t="n"/>
      <c r="CQ305" s="24" t="n"/>
      <c r="CR305" s="24" t="inlineStr">
        <is>
          <t>0.510009</t>
        </is>
      </c>
      <c r="CS305" s="24" t="inlineStr">
        <is>
          <t>False</t>
        </is>
      </c>
    </row>
    <row r="306" ht="36" customHeight="1">
      <c r="A306" s="24" t="inlineStr">
        <is>
          <t>daa6a70458104816</t>
        </is>
      </c>
      <c r="B306" s="24" t="inlineStr">
        <is>
          <t>2026-08-08T18:35:59.410253Z</t>
        </is>
      </c>
      <c r="C306" s="24" t="inlineStr">
        <is>
          <t>2026-08-08T19:15:00-0400</t>
        </is>
      </c>
      <c r="D306" s="24" t="inlineStr">
        <is>
          <t>401816451</t>
        </is>
      </c>
      <c r="E306" s="24" t="inlineStr">
        <is>
          <t>MLB</t>
        </is>
      </c>
      <c r="F306" s="24" t="inlineStr">
        <is>
          <t>Houston Astros</t>
        </is>
      </c>
      <c r="G306" s="24" t="inlineStr">
        <is>
          <t>San Diego Padres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polymarket_us</t>
        </is>
      </c>
      <c r="L306" s="26" t="n">
        <v>-113</v>
      </c>
      <c r="M306" s="27" t="n">
        <v>1.884956</v>
      </c>
      <c r="N306" s="28" t="n">
        <v>0.530516</v>
      </c>
      <c r="O306" s="28" t="n">
        <v>0.574353</v>
      </c>
      <c r="P306" s="28" t="n"/>
      <c r="Q306" s="28" t="n">
        <v>0.043837</v>
      </c>
      <c r="R306" s="26" t="n">
        <v>43</v>
      </c>
      <c r="S306" s="29" t="n">
        <v>0</v>
      </c>
      <c r="T306" s="24" t="inlineStr">
        <is>
          <t>mlb-elo-trend-lr-v8</t>
        </is>
      </c>
      <c r="U306" s="24" t="inlineStr">
        <is>
          <t>settled</t>
        </is>
      </c>
      <c r="V306" s="24" t="inlineStr">
        <is>
          <t>win</t>
        </is>
      </c>
      <c r="W306" s="26" t="n">
        <v>2</v>
      </c>
      <c r="X306" s="26" t="n">
        <v>3</v>
      </c>
      <c r="Y306" s="25" t="n"/>
      <c r="Z306" s="26" t="n">
        <v>-115</v>
      </c>
      <c r="AA306" s="28" t="n">
        <v>0.535</v>
      </c>
      <c r="AB306" s="28" t="n">
        <v>0.004484</v>
      </c>
      <c r="AC306" s="30" t="n">
        <v>0</v>
      </c>
      <c r="AD306" s="24" t="inlineStr">
        <is>
          <t>2026-08-09T05:12:44.506651Z</t>
        </is>
      </c>
      <c r="AE306" s="31" t="inlineStr">
        <is>
          <t>Learned LR call at threshold 0.5873; executable ask 0.5300 (aec-mlb-hou-sd-2026-08-08); model edge vs ask +0.0444.</t>
        </is>
      </c>
      <c r="AF306" s="31" t="inlineStr">
        <is>
          <t>Learned model; shadow-qualified via operator override.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research_observation</t>
        </is>
      </c>
      <c r="AL306" s="26" t="n">
        <v>3</v>
      </c>
      <c r="AM306" s="24" t="inlineStr">
        <is>
          <t>RESEARCH_OBSERVATION</t>
        </is>
      </c>
      <c r="AN306" s="24" t="inlineStr">
        <is>
          <t>NO_CALL</t>
        </is>
      </c>
      <c r="AO306" s="24" t="inlineStr">
        <is>
          <t>NO_CALL_WINNER_OVERVALUED</t>
        </is>
      </c>
      <c r="AP306" s="24" t="inlineStr">
        <is>
          <t>mlb-hou</t>
        </is>
      </c>
      <c r="AQ306" s="24" t="inlineStr">
        <is>
          <t>Houston Astros</t>
        </is>
      </c>
      <c r="AR306" s="24" t="inlineStr">
        <is>
          <t>Houston Astros</t>
        </is>
      </c>
      <c r="AS306" s="24" t="inlineStr">
        <is>
          <t>mlb-sd</t>
        </is>
      </c>
      <c r="AT306" s="24" t="inlineStr">
        <is>
          <t>San Diego Padres</t>
        </is>
      </c>
      <c r="AU306" s="24" t="inlineStr">
        <is>
          <t>San Diego Padres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6a5c79541b0e50cb9f7318270e63d5ccc65cbd7bc53a019748ff772d49de5075</t>
        </is>
      </c>
      <c r="BB306" s="24" t="inlineStr">
        <is>
          <t>learned_lr</t>
        </is>
      </c>
      <c r="BC306" s="24" t="inlineStr">
        <is>
          <t>mlb-elo-trend-lr-v8</t>
        </is>
      </c>
      <c r="BD306" s="24" t="inlineStr">
        <is>
          <t>6a5c79541b0e50cb9f7318270e63d5ccc65cbd7bc53a019748ff772d49de5075</t>
        </is>
      </c>
      <c r="BE306" s="24" t="inlineStr">
        <is>
          <t>61d05a4208614dbc</t>
        </is>
      </c>
      <c r="BF306" s="24" t="inlineStr">
        <is>
          <t>1</t>
        </is>
      </c>
      <c r="BG306" s="24" t="inlineStr">
        <is>
          <t>mlb-elo-trend-lr-v8</t>
        </is>
      </c>
      <c r="BH306" s="24" t="inlineStr">
        <is>
          <t>2026-08-08T18:35:38.454839Z</t>
        </is>
      </c>
      <c r="BI306" s="24" t="inlineStr">
        <is>
          <t>["same_event","same_team_same_day","same_league_same_day"]</t>
        </is>
      </c>
      <c r="BJ306" s="25" t="n"/>
      <c r="BK306" s="26" t="n">
        <v>-113</v>
      </c>
      <c r="BL306" s="27" t="n">
        <v>1.884956</v>
      </c>
      <c r="BM306" s="28" t="n">
        <v>0.530516</v>
      </c>
      <c r="BN306" s="28" t="n">
        <v>0.527363</v>
      </c>
      <c r="BO306" s="28" t="n"/>
      <c r="BP306" s="25" t="n"/>
      <c r="BQ306" s="27" t="n">
        <v>1.869565</v>
      </c>
      <c r="BR306" s="28" t="n">
        <v>0.535</v>
      </c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inlineStr">
        <is>
          <t>0.5604308496</t>
        </is>
      </c>
      <c r="CD306" s="24" t="inlineStr">
        <is>
          <t>-0.469736</t>
        </is>
      </c>
      <c r="CE306" s="24" t="inlineStr">
        <is>
          <t>0.947</t>
        </is>
      </c>
      <c r="CF306" s="24" t="inlineStr">
        <is>
          <t>1.0117</t>
        </is>
      </c>
      <c r="CG306" s="24" t="n"/>
      <c r="CH306" s="24" t="n"/>
      <c r="CI306" s="24" t="n"/>
      <c r="CJ306" s="24" t="inlineStr">
        <is>
          <t>-0.578519</t>
        </is>
      </c>
      <c r="CK306" s="24" t="n"/>
      <c r="CL306" s="24" t="inlineStr">
        <is>
          <t>0.308141</t>
        </is>
      </c>
      <c r="CM306" s="24" t="inlineStr">
        <is>
          <t>1.2767</t>
        </is>
      </c>
      <c r="CN306" s="24" t="n"/>
      <c r="CO306" s="24" t="n"/>
      <c r="CP306" s="24" t="n"/>
      <c r="CQ306" s="24" t="n"/>
      <c r="CR306" s="24" t="inlineStr">
        <is>
          <t>0.574353</t>
        </is>
      </c>
      <c r="CS306" s="24" t="inlineStr">
        <is>
          <t>True</t>
        </is>
      </c>
    </row>
    <row r="307" ht="36" customHeight="1">
      <c r="A307" s="24" t="inlineStr">
        <is>
          <t>13c6fdb79ce94b9d</t>
        </is>
      </c>
      <c r="B307" s="24" t="inlineStr">
        <is>
          <t>2026-08-08T18:35:59.410253Z</t>
        </is>
      </c>
      <c r="C307" s="24" t="inlineStr">
        <is>
          <t>2026-08-08T20:10:00-0400</t>
        </is>
      </c>
      <c r="D307" s="24" t="inlineStr">
        <is>
          <t>401816452</t>
        </is>
      </c>
      <c r="E307" s="24" t="inlineStr">
        <is>
          <t>MLB</t>
        </is>
      </c>
      <c r="F307" s="24" t="inlineStr">
        <is>
          <t>Los Angeles Dodgers</t>
        </is>
      </c>
      <c r="G307" s="24" t="inlineStr">
        <is>
          <t>Arizona Diamondbacks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polymarket_us</t>
        </is>
      </c>
      <c r="L307" s="26" t="n">
        <v>-182</v>
      </c>
      <c r="M307" s="27" t="n">
        <v>1.549451</v>
      </c>
      <c r="N307" s="28" t="n">
        <v>0.64539</v>
      </c>
      <c r="O307" s="28" t="n">
        <v>0.523891</v>
      </c>
      <c r="P307" s="28" t="n"/>
      <c r="Q307" s="28" t="n">
        <v>-0.121499</v>
      </c>
      <c r="R307" s="26" t="n">
        <v>0</v>
      </c>
      <c r="S307" s="29" t="n">
        <v>0</v>
      </c>
      <c r="T307" s="24" t="inlineStr">
        <is>
          <t>mlb-elo-trend-lr-v8</t>
        </is>
      </c>
      <c r="U307" s="24" t="inlineStr">
        <is>
          <t>settled</t>
        </is>
      </c>
      <c r="V307" s="24" t="inlineStr">
        <is>
          <t>win</t>
        </is>
      </c>
      <c r="W307" s="26" t="n">
        <v>2</v>
      </c>
      <c r="X307" s="26" t="n">
        <v>1</v>
      </c>
      <c r="Y307" s="25" t="n"/>
      <c r="Z307" s="26" t="n">
        <v>-156</v>
      </c>
      <c r="AA307" s="28" t="n">
        <v>0.61</v>
      </c>
      <c r="AB307" s="28" t="n">
        <v>-0.03539</v>
      </c>
      <c r="AC307" s="30" t="n">
        <v>0</v>
      </c>
      <c r="AD307" s="24" t="inlineStr">
        <is>
          <t>2026-08-09T05:12:47.114118Z</t>
        </is>
      </c>
      <c r="AE307" s="31" t="inlineStr">
        <is>
          <t>Learned LR call at threshold 0.5873; executable ask 0.6450 (aec-mlb-lad-az-2026-08-08); model edge vs ask -0.1211.</t>
        </is>
      </c>
      <c r="AF307" s="31" t="inlineStr">
        <is>
          <t>Learned model; shadow-qualified via operator override.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research_observation</t>
        </is>
      </c>
      <c r="AL307" s="26" t="n">
        <v>3</v>
      </c>
      <c r="AM307" s="24" t="inlineStr">
        <is>
          <t>RESEARCH_OBSERVATION</t>
        </is>
      </c>
      <c r="AN307" s="24" t="inlineStr">
        <is>
          <t>NO_CALL</t>
        </is>
      </c>
      <c r="AO307" s="24" t="inlineStr">
        <is>
          <t>NO_CALL_WINNER_OVERVALUED</t>
        </is>
      </c>
      <c r="AP307" s="24" t="inlineStr">
        <is>
          <t>mlb-lad</t>
        </is>
      </c>
      <c r="AQ307" s="24" t="inlineStr">
        <is>
          <t>Los Angeles Dodgers</t>
        </is>
      </c>
      <c r="AR307" s="24" t="inlineStr">
        <is>
          <t>Los Angeles Dodgers</t>
        </is>
      </c>
      <c r="AS307" s="24" t="inlineStr">
        <is>
          <t>mlb-ari</t>
        </is>
      </c>
      <c r="AT307" s="24" t="inlineStr">
        <is>
          <t>Arizona Diamondbacks</t>
        </is>
      </c>
      <c r="AU307" s="24" t="inlineStr">
        <is>
          <t>Arizona Diamondbacks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6a5c79541b0e50cb9f7318270e63d5ccc65cbd7bc53a019748ff772d49de5075</t>
        </is>
      </c>
      <c r="BB307" s="24" t="inlineStr">
        <is>
          <t>learned_lr</t>
        </is>
      </c>
      <c r="BC307" s="24" t="inlineStr">
        <is>
          <t>mlb-elo-trend-lr-v8</t>
        </is>
      </c>
      <c r="BD307" s="24" t="inlineStr">
        <is>
          <t>6a5c79541b0e50cb9f7318270e63d5ccc65cbd7bc53a019748ff772d49de5075</t>
        </is>
      </c>
      <c r="BE307" s="24" t="inlineStr">
        <is>
          <t>416bfa50445f715c</t>
        </is>
      </c>
      <c r="BF307" s="24" t="inlineStr">
        <is>
          <t>1</t>
        </is>
      </c>
      <c r="BG307" s="24" t="inlineStr">
        <is>
          <t>mlb-elo-trend-lr-v8</t>
        </is>
      </c>
      <c r="BH307" s="24" t="inlineStr">
        <is>
          <t>2026-08-08T18:35:39.324262Z</t>
        </is>
      </c>
      <c r="BI307" s="24" t="inlineStr">
        <is>
          <t>["same_event","same_team_same_day","same_league_same_day"]</t>
        </is>
      </c>
      <c r="BJ307" s="25" t="n"/>
      <c r="BK307" s="26" t="n">
        <v>-182</v>
      </c>
      <c r="BL307" s="27" t="n">
        <v>1.549451</v>
      </c>
      <c r="BM307" s="28" t="n">
        <v>0.64539</v>
      </c>
      <c r="BN307" s="28" t="n">
        <v>0.641791</v>
      </c>
      <c r="BO307" s="28" t="n"/>
      <c r="BP307" s="25" t="n"/>
      <c r="BQ307" s="27" t="n">
        <v>1.641026</v>
      </c>
      <c r="BR307" s="28" t="n">
        <v>0.61</v>
      </c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inlineStr">
        <is>
          <t>0.4742141149</t>
        </is>
      </c>
      <c r="CD307" s="24" t="inlineStr">
        <is>
          <t>0.98932</t>
        </is>
      </c>
      <c r="CE307" s="24" t="inlineStr">
        <is>
          <t>1.097</t>
        </is>
      </c>
      <c r="CF307" s="24" t="inlineStr">
        <is>
          <t>1.0</t>
        </is>
      </c>
      <c r="CG307" s="24" t="n"/>
      <c r="CH307" s="24" t="n"/>
      <c r="CI307" s="24" t="n"/>
      <c r="CJ307" s="24" t="inlineStr">
        <is>
          <t>1.625018</t>
        </is>
      </c>
      <c r="CK307" s="24" t="n"/>
      <c r="CL307" s="24" t="inlineStr">
        <is>
          <t>0.17493</t>
        </is>
      </c>
      <c r="CM307" s="24" t="inlineStr">
        <is>
          <t>-1.6235</t>
        </is>
      </c>
      <c r="CN307" s="24" t="n"/>
      <c r="CO307" s="24" t="n"/>
      <c r="CP307" s="24" t="n"/>
      <c r="CQ307" s="24" t="n"/>
      <c r="CR307" s="24" t="inlineStr">
        <is>
          <t>0.523891</t>
        </is>
      </c>
      <c r="CS307" s="24" t="inlineStr">
        <is>
          <t>False</t>
        </is>
      </c>
    </row>
    <row r="308" ht="36" customHeight="1">
      <c r="A308" s="24" t="inlineStr">
        <is>
          <t>414edf31d08e466f</t>
        </is>
      </c>
      <c r="B308" s="24" t="inlineStr">
        <is>
          <t>2026-08-08T18:35:59.410253Z</t>
        </is>
      </c>
      <c r="C308" s="24" t="inlineStr">
        <is>
          <t>2026-08-08T21:50:00-0400</t>
        </is>
      </c>
      <c r="D308" s="24" t="inlineStr">
        <is>
          <t>401816453</t>
        </is>
      </c>
      <c r="E308" s="24" t="inlineStr">
        <is>
          <t>MLB</t>
        </is>
      </c>
      <c r="F308" s="24" t="inlineStr">
        <is>
          <t>Tampa Bay Rays</t>
        </is>
      </c>
      <c r="G308" s="24" t="inlineStr">
        <is>
          <t>Seattle Mariners</t>
        </is>
      </c>
      <c r="H308" s="24" t="inlineStr">
        <is>
          <t>moneyline</t>
        </is>
      </c>
      <c r="I308" s="24" t="inlineStr">
        <is>
          <t>home</t>
        </is>
      </c>
      <c r="J308" s="25" t="n"/>
      <c r="K308" s="24" t="inlineStr">
        <is>
          <t>polymarket_us</t>
        </is>
      </c>
      <c r="L308" s="26" t="n">
        <v>-108</v>
      </c>
      <c r="M308" s="27" t="n">
        <v>1.925926</v>
      </c>
      <c r="N308" s="28" t="n">
        <v>0.519231</v>
      </c>
      <c r="O308" s="28" t="n">
        <v>0.563624</v>
      </c>
      <c r="P308" s="28" t="n"/>
      <c r="Q308" s="28" t="n">
        <v>0.044393</v>
      </c>
      <c r="R308" s="26" t="n">
        <v>43</v>
      </c>
      <c r="S308" s="29" t="n">
        <v>0</v>
      </c>
      <c r="T308" s="24" t="inlineStr">
        <is>
          <t>mlb-elo-trend-lr-v8</t>
        </is>
      </c>
      <c r="U308" s="24" t="inlineStr">
        <is>
          <t>settled</t>
        </is>
      </c>
      <c r="V308" s="24" t="inlineStr">
        <is>
          <t>loss</t>
        </is>
      </c>
      <c r="W308" s="26" t="n">
        <v>3</v>
      </c>
      <c r="X308" s="26" t="n">
        <v>2</v>
      </c>
      <c r="Y308" s="25" t="n"/>
      <c r="Z308" s="26" t="n">
        <v>-111</v>
      </c>
      <c r="AA308" s="28" t="n">
        <v>0.525</v>
      </c>
      <c r="AB308" s="28" t="n">
        <v>0.005769</v>
      </c>
      <c r="AC308" s="30" t="n">
        <v>0</v>
      </c>
      <c r="AD308" s="24" t="inlineStr">
        <is>
          <t>2026-08-09T05:12:49.815992Z</t>
        </is>
      </c>
      <c r="AE308" s="31" t="inlineStr">
        <is>
          <t>Learned LR call at threshold 0.5873; executable ask 0.5200 (aec-mlb-tb-sea-2026-08-08); model edge vs ask +0.0436.</t>
        </is>
      </c>
      <c r="AF308" s="31" t="inlineStr">
        <is>
          <t>Learned model; shadow-qualified via operator override.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research_observation</t>
        </is>
      </c>
      <c r="AL308" s="26" t="n">
        <v>3</v>
      </c>
      <c r="AM308" s="24" t="inlineStr">
        <is>
          <t>RESEARCH_OBSERVATION</t>
        </is>
      </c>
      <c r="AN308" s="24" t="inlineStr">
        <is>
          <t>NO_CALL</t>
        </is>
      </c>
      <c r="AO308" s="24" t="inlineStr">
        <is>
          <t>NO_CALL_WINNER_OVERVALUED</t>
        </is>
      </c>
      <c r="AP308" s="24" t="inlineStr">
        <is>
          <t>mlb-tb</t>
        </is>
      </c>
      <c r="AQ308" s="24" t="inlineStr">
        <is>
          <t>Tampa Bay Rays</t>
        </is>
      </c>
      <c r="AR308" s="24" t="inlineStr">
        <is>
          <t>Tampa Bay Rays</t>
        </is>
      </c>
      <c r="AS308" s="24" t="inlineStr">
        <is>
          <t>mlb-sea</t>
        </is>
      </c>
      <c r="AT308" s="24" t="inlineStr">
        <is>
          <t>Seattle Mariners</t>
        </is>
      </c>
      <c r="AU308" s="24" t="inlineStr">
        <is>
          <t>Seattle Mariners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6a5c79541b0e50cb9f7318270e63d5ccc65cbd7bc53a019748ff772d49de5075</t>
        </is>
      </c>
      <c r="BB308" s="24" t="inlineStr">
        <is>
          <t>learned_lr</t>
        </is>
      </c>
      <c r="BC308" s="24" t="inlineStr">
        <is>
          <t>mlb-elo-trend-lr-v8</t>
        </is>
      </c>
      <c r="BD308" s="24" t="inlineStr">
        <is>
          <t>6a5c79541b0e50cb9f7318270e63d5ccc65cbd7bc53a019748ff772d49de5075</t>
        </is>
      </c>
      <c r="BE308" s="24" t="inlineStr">
        <is>
          <t>d06448996d9b4b8f</t>
        </is>
      </c>
      <c r="BF308" s="24" t="inlineStr">
        <is>
          <t>1</t>
        </is>
      </c>
      <c r="BG308" s="24" t="inlineStr">
        <is>
          <t>mlb-elo-trend-lr-v8</t>
        </is>
      </c>
      <c r="BH308" s="24" t="inlineStr">
        <is>
          <t>2026-08-08T18:35:40.003752Z</t>
        </is>
      </c>
      <c r="BI308" s="24" t="inlineStr">
        <is>
          <t>["same_event","same_team_same_day","same_league_same_day"]</t>
        </is>
      </c>
      <c r="BJ308" s="25" t="n"/>
      <c r="BK308" s="26" t="n">
        <v>-108</v>
      </c>
      <c r="BL308" s="27" t="n">
        <v>1.925926</v>
      </c>
      <c r="BM308" s="28" t="n">
        <v>0.519231</v>
      </c>
      <c r="BN308" s="28" t="n">
        <v>0.517413</v>
      </c>
      <c r="BO308" s="28" t="n"/>
      <c r="BP308" s="25" t="n"/>
      <c r="BQ308" s="27" t="n">
        <v>1.900901</v>
      </c>
      <c r="BR308" s="28" t="n">
        <v>0.525</v>
      </c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inlineStr">
        <is>
          <t>0.5166228758</t>
        </is>
      </c>
      <c r="CD308" s="24" t="inlineStr">
        <is>
          <t>-0.756058</t>
        </is>
      </c>
      <c r="CE308" s="24" t="inlineStr">
        <is>
          <t>0.938</t>
        </is>
      </c>
      <c r="CF308" s="24" t="inlineStr">
        <is>
          <t>1.0</t>
        </is>
      </c>
      <c r="CG308" s="24" t="n"/>
      <c r="CH308" s="24" t="n"/>
      <c r="CI308" s="24" t="n"/>
      <c r="CJ308" s="24" t="inlineStr">
        <is>
          <t>-1.070798</t>
        </is>
      </c>
      <c r="CK308" s="24" t="n"/>
      <c r="CL308" s="24" t="inlineStr">
        <is>
          <t>0.236714</t>
        </is>
      </c>
      <c r="CM308" s="24" t="inlineStr">
        <is>
          <t>-3.0105</t>
        </is>
      </c>
      <c r="CN308" s="24" t="n"/>
      <c r="CO308" s="24" t="n"/>
      <c r="CP308" s="24" t="n"/>
      <c r="CQ308" s="24" t="n"/>
      <c r="CR308" s="24" t="inlineStr">
        <is>
          <t>0.563624</t>
        </is>
      </c>
      <c r="CS308" s="24" t="inlineStr">
        <is>
          <t>True</t>
        </is>
      </c>
    </row>
    <row r="309" ht="36" customHeight="1">
      <c r="A309" s="24" t="inlineStr">
        <is>
          <t>fe23d7a6e93742f2</t>
        </is>
      </c>
      <c r="B309" s="24" t="inlineStr">
        <is>
          <t>2026-08-09T13:59:23.763456Z</t>
        </is>
      </c>
      <c r="C309" s="24" t="inlineStr">
        <is>
          <t>2026-08-09T12:15:00-0400</t>
        </is>
      </c>
      <c r="D309" s="24" t="inlineStr">
        <is>
          <t>401816457</t>
        </is>
      </c>
      <c r="E309" s="24" t="inlineStr">
        <is>
          <t>MLB</t>
        </is>
      </c>
      <c r="F309" s="24" t="inlineStr">
        <is>
          <t>Cincinnati Reds</t>
        </is>
      </c>
      <c r="G309" s="24" t="inlineStr">
        <is>
          <t>Washington Nationals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polymarket_us</t>
        </is>
      </c>
      <c r="L309" s="26" t="n">
        <v>-102</v>
      </c>
      <c r="M309" s="27" t="n">
        <v>1.980392</v>
      </c>
      <c r="N309" s="28" t="n">
        <v>0.50495</v>
      </c>
      <c r="O309" s="28" t="n">
        <v>0.5168430000000001</v>
      </c>
      <c r="P309" s="28" t="n"/>
      <c r="Q309" s="28" t="n">
        <v>0.011893</v>
      </c>
      <c r="R309" s="26" t="n">
        <v>27</v>
      </c>
      <c r="S309" s="29" t="n">
        <v>0</v>
      </c>
      <c r="T309" s="24" t="inlineStr">
        <is>
          <t>mlb-elo-trend-lr-v8</t>
        </is>
      </c>
      <c r="U309" s="24" t="inlineStr">
        <is>
          <t>settled</t>
        </is>
      </c>
      <c r="V309" s="24" t="inlineStr">
        <is>
          <t>win</t>
        </is>
      </c>
      <c r="W309" s="26" t="n">
        <v>1</v>
      </c>
      <c r="X309" s="26" t="n">
        <v>7</v>
      </c>
      <c r="Y309" s="25" t="n"/>
      <c r="Z309" s="26" t="n">
        <v>-102</v>
      </c>
      <c r="AA309" s="28" t="n">
        <v>0.505</v>
      </c>
      <c r="AB309" s="28" t="n">
        <v>5e-05</v>
      </c>
      <c r="AC309" s="30" t="n">
        <v>0</v>
      </c>
      <c r="AD309" s="24" t="inlineStr">
        <is>
          <t>2026-08-09T20:24:36.243090Z</t>
        </is>
      </c>
      <c r="AE309" s="31" t="inlineStr">
        <is>
          <t>Learned LR call at threshold 0.5873; executable ask 0.5050 (aec-mlb-cin-wsh-2026-08-09); model edge vs ask +0.0118.</t>
        </is>
      </c>
      <c r="AF309" s="31" t="inlineStr">
        <is>
          <t>Learned model; shadow-qualified via operator override.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research_observation</t>
        </is>
      </c>
      <c r="AL309" s="26" t="n">
        <v>3</v>
      </c>
      <c r="AM309" s="24" t="inlineStr">
        <is>
          <t>RESEARCH_OBSERVATION</t>
        </is>
      </c>
      <c r="AN309" s="24" t="inlineStr">
        <is>
          <t>NO_CALL</t>
        </is>
      </c>
      <c r="AO309" s="24" t="inlineStr">
        <is>
          <t>NO_CALL_WINNER_OVERVALUED</t>
        </is>
      </c>
      <c r="AP309" s="24" t="inlineStr">
        <is>
          <t>mlb-cin</t>
        </is>
      </c>
      <c r="AQ309" s="24" t="inlineStr">
        <is>
          <t>Cincinnati Reds</t>
        </is>
      </c>
      <c r="AR309" s="24" t="inlineStr">
        <is>
          <t>Cincinnati Reds</t>
        </is>
      </c>
      <c r="AS309" s="24" t="inlineStr">
        <is>
          <t>mlb-wsh</t>
        </is>
      </c>
      <c r="AT309" s="24" t="inlineStr">
        <is>
          <t>Washington Nationals</t>
        </is>
      </c>
      <c r="AU309" s="24" t="inlineStr">
        <is>
          <t>Washington Nationals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6a5c79541b0e50cb9f7318270e63d5ccc65cbd7bc53a019748ff772d49de5075</t>
        </is>
      </c>
      <c r="BB309" s="24" t="inlineStr">
        <is>
          <t>learned_lr</t>
        </is>
      </c>
      <c r="BC309" s="24" t="inlineStr">
        <is>
          <t>mlb-elo-trend-lr-v8</t>
        </is>
      </c>
      <c r="BD309" s="24" t="inlineStr">
        <is>
          <t>6a5c79541b0e50cb9f7318270e63d5ccc65cbd7bc53a019748ff772d49de5075</t>
        </is>
      </c>
      <c r="BE309" s="24" t="inlineStr">
        <is>
          <t>6fd6d978156de795</t>
        </is>
      </c>
      <c r="BF309" s="24" t="inlineStr">
        <is>
          <t>1</t>
        </is>
      </c>
      <c r="BG309" s="24" t="inlineStr">
        <is>
          <t>mlb-elo-trend-lr-v8</t>
        </is>
      </c>
      <c r="BH309" s="24" t="inlineStr">
        <is>
          <t>2026-08-09T13:58:04.211660Z</t>
        </is>
      </c>
      <c r="BI309" s="24" t="inlineStr">
        <is>
          <t>["same_event","same_team_same_day","same_league_same_day"]</t>
        </is>
      </c>
      <c r="BJ309" s="25" t="n"/>
      <c r="BK309" s="26" t="n">
        <v>-102</v>
      </c>
      <c r="BL309" s="27" t="n">
        <v>1.980392</v>
      </c>
      <c r="BM309" s="28" t="n">
        <v>0.50495</v>
      </c>
      <c r="BN309" s="28" t="n">
        <v>0.502488</v>
      </c>
      <c r="BO309" s="28" t="n"/>
      <c r="BP309" s="25" t="n"/>
      <c r="BQ309" s="27" t="n">
        <v>1.980392</v>
      </c>
      <c r="BR309" s="28" t="n">
        <v>0.505</v>
      </c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inlineStr">
        <is>
          <t>0.522652288</t>
        </is>
      </c>
      <c r="CD309" s="24" t="inlineStr">
        <is>
          <t>0.513003</t>
        </is>
      </c>
      <c r="CE309" s="24" t="inlineStr">
        <is>
          <t>1.045</t>
        </is>
      </c>
      <c r="CF309" s="24" t="inlineStr">
        <is>
          <t>1.0197</t>
        </is>
      </c>
      <c r="CG309" s="24" t="n"/>
      <c r="CH309" s="24" t="n"/>
      <c r="CI309" s="24" t="n"/>
      <c r="CJ309" s="24" t="inlineStr">
        <is>
          <t>1.03586</t>
        </is>
      </c>
      <c r="CK309" s="24" t="n"/>
      <c r="CL309" s="24" t="inlineStr">
        <is>
          <t>0.211606</t>
        </is>
      </c>
      <c r="CM309" s="24" t="inlineStr">
        <is>
          <t>0.6196</t>
        </is>
      </c>
      <c r="CN309" s="24" t="n"/>
      <c r="CO309" s="24" t="n"/>
      <c r="CP309" s="24" t="n"/>
      <c r="CQ309" s="24" t="n"/>
      <c r="CR309" s="24" t="inlineStr">
        <is>
          <t>0.516843</t>
        </is>
      </c>
      <c r="CS309" s="24" t="inlineStr">
        <is>
          <t>True</t>
        </is>
      </c>
    </row>
    <row r="310" ht="36" customHeight="1">
      <c r="A310" s="24" t="inlineStr">
        <is>
          <t>343f5a2a95c343f7</t>
        </is>
      </c>
      <c r="B310" s="24" t="inlineStr">
        <is>
          <t>2026-08-09T14:00:08.454871Z</t>
        </is>
      </c>
      <c r="C310" s="24" t="inlineStr">
        <is>
          <t>2026-08-09T16:15Z</t>
        </is>
      </c>
      <c r="D310" s="24" t="inlineStr">
        <is>
          <t>401816457</t>
        </is>
      </c>
      <c r="E310" s="24" t="inlineStr">
        <is>
          <t>MLB</t>
        </is>
      </c>
      <c r="F310" s="24" t="inlineStr">
        <is>
          <t>Cincinnati Reds</t>
        </is>
      </c>
      <c r="G310" s="24" t="inlineStr">
        <is>
          <t>Washington Nationals</t>
        </is>
      </c>
      <c r="H310" s="24" t="inlineStr">
        <is>
          <t>spread</t>
        </is>
      </c>
      <c r="I310" s="24" t="inlineStr">
        <is>
          <t>away</t>
        </is>
      </c>
      <c r="J310" s="25" t="n">
        <v>-1.5</v>
      </c>
      <c r="K310" s="24" t="inlineStr">
        <is>
          <t>polymarket_us</t>
        </is>
      </c>
      <c r="L310" s="26" t="n">
        <v>156</v>
      </c>
      <c r="M310" s="27" t="n">
        <v>2.56</v>
      </c>
      <c r="N310" s="28" t="n">
        <v>0.390625</v>
      </c>
      <c r="O310" s="28" t="n">
        <v>0.412713</v>
      </c>
      <c r="P310" s="28" t="n">
        <v>0.042131</v>
      </c>
      <c r="Q310" s="28" t="n">
        <v>0.022088</v>
      </c>
      <c r="R310" s="26" t="n">
        <v>37</v>
      </c>
      <c r="S310" s="29" t="n">
        <v>0</v>
      </c>
      <c r="T310" s="24" t="inlineStr">
        <is>
          <t>measured-edge-margin-v3</t>
        </is>
      </c>
      <c r="U310" s="24" t="inlineStr">
        <is>
          <t>settled</t>
        </is>
      </c>
      <c r="V310" s="24" t="inlineStr">
        <is>
          <t>loss</t>
        </is>
      </c>
      <c r="W310" s="26" t="n">
        <v>1</v>
      </c>
      <c r="X310" s="26" t="n">
        <v>7</v>
      </c>
      <c r="Y310" s="25" t="n">
        <v>-1.5</v>
      </c>
      <c r="Z310" s="26" t="n">
        <v>156</v>
      </c>
      <c r="AA310" s="28" t="n">
        <v>0.39</v>
      </c>
      <c r="AB310" s="28" t="n">
        <v>-0.000625</v>
      </c>
      <c r="AC310" s="30" t="n">
        <v>0</v>
      </c>
      <c r="AD310" s="24" t="inlineStr">
        <is>
          <t>2026-08-09T20:24:38.377569Z</t>
        </is>
      </c>
      <c r="AE310" s="31" t="inlineStr">
        <is>
          <t>Measured Edge Margin: Trend Engine projected 5.10-4.76; raw selected-side p=0.3719, calibrated p=0.4127.</t>
        </is>
      </c>
      <c r="AF310" s="31" t="inlineStr">
        <is>
          <t>Research-only; lineup, bullpen, park, weather, xFIP, and wRC+ may be neutral fallbacks; market availability and BBO depth may change before first pitch.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research_observation</t>
        </is>
      </c>
      <c r="AL310" s="26" t="n">
        <v>3</v>
      </c>
      <c r="AM310" s="24" t="inlineStr">
        <is>
          <t>RESEARCH_OBSERVATION</t>
        </is>
      </c>
      <c r="AN310" s="24" t="inlineStr">
        <is>
          <t>NO_CALL</t>
        </is>
      </c>
      <c r="AO310" s="24" t="inlineStr">
        <is>
          <t>NO_CALL_WINNER_OVERVALUED</t>
        </is>
      </c>
      <c r="AP310" s="24" t="inlineStr">
        <is>
          <t>mlb-cin</t>
        </is>
      </c>
      <c r="AQ310" s="24" t="inlineStr">
        <is>
          <t>Cincinnati Reds</t>
        </is>
      </c>
      <c r="AR310" s="24" t="inlineStr">
        <is>
          <t>Cincinnati Reds</t>
        </is>
      </c>
      <c r="AS310" s="24" t="inlineStr">
        <is>
          <t>mlb-wsh</t>
        </is>
      </c>
      <c r="AT310" s="24" t="inlineStr">
        <is>
          <t>Washington Nationals</t>
        </is>
      </c>
      <c r="AU310" s="24" t="inlineStr">
        <is>
          <t>Washington Nationals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research</t>
        </is>
      </c>
      <c r="BA310" s="24" t="inlineStr">
        <is>
          <t>dd339a2eed50d7d83ab2127837995ddab82e879afd27f5414bb6c1f9cd60ba4c</t>
        </is>
      </c>
      <c r="BB310" s="24" t="inlineStr">
        <is>
          <t>flat_probability_shrinkage_toward_half</t>
        </is>
      </c>
      <c r="BC310" s="24" t="inlineStr">
        <is>
          <t>measured-edge-margin-v3</t>
        </is>
      </c>
      <c r="BD310" s="24" t="inlineStr">
        <is>
          <t>dd339a2eed50d7d83ab2127837995ddab82e879afd27f5414bb6c1f9cd60ba4c</t>
        </is>
      </c>
      <c r="BE310" s="24" t="inlineStr">
        <is>
          <t>v3</t>
        </is>
      </c>
      <c r="BF310" s="24" t="inlineStr">
        <is>
          <t>1</t>
        </is>
      </c>
      <c r="BG310" s="24" t="inlineStr">
        <is>
          <t>measured-edge-paired-v1</t>
        </is>
      </c>
      <c r="BH310" s="24" t="inlineStr">
        <is>
          <t>2026-08-09T14:00:08.454871Z</t>
        </is>
      </c>
      <c r="BI310" s="24" t="inlineStr">
        <is>
          <t>["same_event","same_team_same_day","same_league_same_day"]</t>
        </is>
      </c>
      <c r="BJ310" s="25" t="n">
        <v>-1.5</v>
      </c>
      <c r="BK310" s="26" t="n">
        <v>156</v>
      </c>
      <c r="BL310" s="27" t="n">
        <v>2.56</v>
      </c>
      <c r="BM310" s="28" t="n">
        <v>0.390625</v>
      </c>
      <c r="BN310" s="28" t="n">
        <v>0.38806</v>
      </c>
      <c r="BO310" s="28" t="n"/>
      <c r="BP310" s="25" t="n"/>
      <c r="BQ310" s="27" t="n">
        <v>2.56</v>
      </c>
      <c r="BR310" s="28" t="n">
        <v>0.39</v>
      </c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</row>
    <row r="311" ht="36" customHeight="1">
      <c r="A311" s="24" t="inlineStr">
        <is>
          <t>2787f72d18264193</t>
        </is>
      </c>
      <c r="B311" s="24" t="inlineStr">
        <is>
          <t>2026-08-09T14:00:08.454871Z</t>
        </is>
      </c>
      <c r="C311" s="24" t="inlineStr">
        <is>
          <t>2026-08-09T16:15Z</t>
        </is>
      </c>
      <c r="D311" s="24" t="inlineStr">
        <is>
          <t>401816457</t>
        </is>
      </c>
      <c r="E311" s="24" t="inlineStr">
        <is>
          <t>MLB</t>
        </is>
      </c>
      <c r="F311" s="24" t="inlineStr">
        <is>
          <t>Cincinnati Reds</t>
        </is>
      </c>
      <c r="G311" s="24" t="inlineStr">
        <is>
          <t>Washington Nationals</t>
        </is>
      </c>
      <c r="H311" s="24" t="inlineStr">
        <is>
          <t>total</t>
        </is>
      </c>
      <c r="I311" s="24" t="inlineStr">
        <is>
          <t>under</t>
        </is>
      </c>
      <c r="J311" s="25" t="n">
        <v>9.5</v>
      </c>
      <c r="K311" s="24" t="inlineStr">
        <is>
          <t>polymarket_us</t>
        </is>
      </c>
      <c r="L311" s="26" t="n">
        <v>-111</v>
      </c>
      <c r="M311" s="27" t="n">
        <v>1.900901</v>
      </c>
      <c r="N311" s="28" t="n">
        <v>0.526066</v>
      </c>
      <c r="O311" s="28" t="n">
        <v>0.5108549999999999</v>
      </c>
      <c r="P311" s="28" t="n">
        <v>0.042131</v>
      </c>
      <c r="Q311" s="28" t="n">
        <v>-0.015211</v>
      </c>
      <c r="R311" s="26" t="n">
        <v>19</v>
      </c>
      <c r="S311" s="29" t="n">
        <v>0</v>
      </c>
      <c r="T311" s="24" t="inlineStr">
        <is>
          <t>measured-edge-totals-v3</t>
        </is>
      </c>
      <c r="U311" s="24" t="inlineStr">
        <is>
          <t>settled</t>
        </is>
      </c>
      <c r="V311" s="24" t="inlineStr">
        <is>
          <t>win</t>
        </is>
      </c>
      <c r="W311" s="26" t="n">
        <v>1</v>
      </c>
      <c r="X311" s="26" t="n">
        <v>7</v>
      </c>
      <c r="Y311" s="25" t="n">
        <v>9.5</v>
      </c>
      <c r="Z311" s="26" t="n">
        <v>-111</v>
      </c>
      <c r="AA311" s="28" t="n">
        <v>0.525</v>
      </c>
      <c r="AB311" s="28" t="n">
        <v>-0.001066</v>
      </c>
      <c r="AC311" s="30" t="n">
        <v>0</v>
      </c>
      <c r="AD311" s="24" t="inlineStr">
        <is>
          <t>2026-08-09T20:24:39.770221Z</t>
        </is>
      </c>
      <c r="AE311" s="31" t="inlineStr">
        <is>
          <t>Measured Edge Totals: Trend Engine projected 5.10-4.76; raw selected-side p=0.5203, calibrated p=0.5109.</t>
        </is>
      </c>
      <c r="AF311" s="31" t="inlineStr">
        <is>
          <t>Research-only; lineup, bullpen, park, weather, xFIP, and wRC+ may be neutral fallbacks; market availability and BBO depth may change before first pitch.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research_observation</t>
        </is>
      </c>
      <c r="AL311" s="26" t="n">
        <v>3</v>
      </c>
      <c r="AM311" s="24" t="inlineStr">
        <is>
          <t>RESEARCH_OBSERVATION</t>
        </is>
      </c>
      <c r="AN311" s="24" t="inlineStr">
        <is>
          <t>NO_CALL</t>
        </is>
      </c>
      <c r="AO311" s="24" t="inlineStr">
        <is>
          <t>NO_CALL_WINNER_OVERVALUED</t>
        </is>
      </c>
      <c r="AP311" s="24" t="inlineStr">
        <is>
          <t>mlb-cin</t>
        </is>
      </c>
      <c r="AQ311" s="24" t="inlineStr">
        <is>
          <t>Cincinnati Reds</t>
        </is>
      </c>
      <c r="AR311" s="24" t="inlineStr">
        <is>
          <t>Cincinnati Reds</t>
        </is>
      </c>
      <c r="AS311" s="24" t="inlineStr">
        <is>
          <t>mlb-wsh</t>
        </is>
      </c>
      <c r="AT311" s="24" t="inlineStr">
        <is>
          <t>Washington Nationals</t>
        </is>
      </c>
      <c r="AU311" s="24" t="inlineStr">
        <is>
          <t>Washington Nationals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research</t>
        </is>
      </c>
      <c r="BA311" s="24" t="inlineStr">
        <is>
          <t>95b84332c75d2ce54036eb8de6ada9c78d0f80228c50825c0347281a8b9b49c7</t>
        </is>
      </c>
      <c r="BB311" s="24" t="inlineStr">
        <is>
          <t>flat_probability_shrinkage_toward_half</t>
        </is>
      </c>
      <c r="BC311" s="24" t="inlineStr">
        <is>
          <t>measured-edge-totals-v3</t>
        </is>
      </c>
      <c r="BD311" s="24" t="inlineStr">
        <is>
          <t>95b84332c75d2ce54036eb8de6ada9c78d0f80228c50825c0347281a8b9b49c7</t>
        </is>
      </c>
      <c r="BE311" s="24" t="inlineStr">
        <is>
          <t>v3</t>
        </is>
      </c>
      <c r="BF311" s="24" t="inlineStr">
        <is>
          <t>1</t>
        </is>
      </c>
      <c r="BG311" s="24" t="inlineStr">
        <is>
          <t>measured-edge-paired-v1</t>
        </is>
      </c>
      <c r="BH311" s="24" t="inlineStr">
        <is>
          <t>2026-08-09T14:00:08.454871Z</t>
        </is>
      </c>
      <c r="BI311" s="24" t="inlineStr">
        <is>
          <t>["same_event","same_team_same_day","same_league_same_day"]</t>
        </is>
      </c>
      <c r="BJ311" s="25" t="n">
        <v>9.5</v>
      </c>
      <c r="BK311" s="26" t="n">
        <v>-111</v>
      </c>
      <c r="BL311" s="27" t="n">
        <v>1.900901</v>
      </c>
      <c r="BM311" s="28" t="n">
        <v>0.526066</v>
      </c>
      <c r="BN311" s="28" t="n">
        <v>0.522388</v>
      </c>
      <c r="BO311" s="28" t="n"/>
      <c r="BP311" s="25" t="n"/>
      <c r="BQ311" s="27" t="n">
        <v>1.900901</v>
      </c>
      <c r="BR311" s="28" t="n">
        <v>0.525</v>
      </c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False</t>
        </is>
      </c>
    </row>
    <row r="312" ht="36" customHeight="1">
      <c r="A312" s="24" t="inlineStr">
        <is>
          <t>0828a4af81304ea4</t>
        </is>
      </c>
      <c r="B312" s="24" t="inlineStr">
        <is>
          <t>2026-08-09T17:06:21.079905Z</t>
        </is>
      </c>
      <c r="C312" s="24" t="inlineStr">
        <is>
          <t>2026-08-09T13:35:00-0400</t>
        </is>
      </c>
      <c r="D312" s="24" t="inlineStr">
        <is>
          <t>401816455</t>
        </is>
      </c>
      <c r="E312" s="24" t="inlineStr">
        <is>
          <t>MLB</t>
        </is>
      </c>
      <c r="F312" s="24" t="inlineStr">
        <is>
          <t>Athletics</t>
        </is>
      </c>
      <c r="G312" s="24" t="inlineStr">
        <is>
          <t>Boston Red Sox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polymarket_us</t>
        </is>
      </c>
      <c r="L312" s="26" t="n">
        <v>-213</v>
      </c>
      <c r="M312" s="27" t="n">
        <v>1.469484</v>
      </c>
      <c r="N312" s="28" t="n">
        <v>0.680511</v>
      </c>
      <c r="O312" s="28" t="n">
        <v>0.630089</v>
      </c>
      <c r="P312" s="28" t="n"/>
      <c r="Q312" s="28" t="n">
        <v>-0.050422</v>
      </c>
      <c r="R312" s="26" t="n">
        <v>0</v>
      </c>
      <c r="S312" s="29" t="n">
        <v>0</v>
      </c>
      <c r="T312" s="24" t="inlineStr">
        <is>
          <t>mlb-elo-trend-lr-v8</t>
        </is>
      </c>
      <c r="U312" s="24" t="inlineStr">
        <is>
          <t>settled</t>
        </is>
      </c>
      <c r="V312" s="24" t="inlineStr">
        <is>
          <t>loss</t>
        </is>
      </c>
      <c r="W312" s="26" t="n">
        <v>4</v>
      </c>
      <c r="X312" s="26" t="n">
        <v>3</v>
      </c>
      <c r="Y312" s="25" t="n"/>
      <c r="Z312" s="26" t="n">
        <v>-208</v>
      </c>
      <c r="AA312" s="28" t="n">
        <v>0.675</v>
      </c>
      <c r="AB312" s="28" t="n">
        <v>-0.005511</v>
      </c>
      <c r="AC312" s="30" t="n">
        <v>0</v>
      </c>
      <c r="AD312" s="24" t="inlineStr">
        <is>
          <t>2026-08-09T20:24:51.845351Z</t>
        </is>
      </c>
      <c r="AE312" s="31" t="inlineStr">
        <is>
          <t>Learned LR call at threshold 0.5873; executable ask 0.6800 (aec-mlb-ath-bos-2026-08-09); model edge vs ask -0.0499.</t>
        </is>
      </c>
      <c r="AF312" s="31" t="inlineStr">
        <is>
          <t>Learned model; shadow-qualified via operator override.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research_observation</t>
        </is>
      </c>
      <c r="AL312" s="26" t="n">
        <v>3</v>
      </c>
      <c r="AM312" s="24" t="inlineStr">
        <is>
          <t>RESEARCH_OBSERVATION</t>
        </is>
      </c>
      <c r="AN312" s="24" t="inlineStr">
        <is>
          <t>NO_CALL</t>
        </is>
      </c>
      <c r="AO312" s="24" t="inlineStr">
        <is>
          <t>NO_CALL_WINNER_OVERVALUED</t>
        </is>
      </c>
      <c r="AP312" s="24" t="inlineStr">
        <is>
          <t>mlb-ath</t>
        </is>
      </c>
      <c r="AQ312" s="24" t="inlineStr">
        <is>
          <t>Athletics</t>
        </is>
      </c>
      <c r="AR312" s="24" t="inlineStr">
        <is>
          <t>Athletics</t>
        </is>
      </c>
      <c r="AS312" s="24" t="inlineStr">
        <is>
          <t>mlb-bos</t>
        </is>
      </c>
      <c r="AT312" s="24" t="inlineStr">
        <is>
          <t>Boston Red Sox</t>
        </is>
      </c>
      <c r="AU312" s="24" t="inlineStr">
        <is>
          <t>Boston Red Sox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6a5c79541b0e50cb9f7318270e63d5ccc65cbd7bc53a019748ff772d49de5075</t>
        </is>
      </c>
      <c r="BB312" s="24" t="inlineStr">
        <is>
          <t>learned_lr</t>
        </is>
      </c>
      <c r="BC312" s="24" t="inlineStr">
        <is>
          <t>mlb-elo-trend-lr-v8</t>
        </is>
      </c>
      <c r="BD312" s="24" t="inlineStr">
        <is>
          <t>6a5c79541b0e50cb9f7318270e63d5ccc65cbd7bc53a019748ff772d49de5075</t>
        </is>
      </c>
      <c r="BE312" s="24" t="inlineStr">
        <is>
          <t>0d2601ead858c9c8</t>
        </is>
      </c>
      <c r="BF312" s="24" t="inlineStr">
        <is>
          <t>1</t>
        </is>
      </c>
      <c r="BG312" s="24" t="inlineStr">
        <is>
          <t>mlb-elo-trend-lr-v8</t>
        </is>
      </c>
      <c r="BH312" s="24" t="inlineStr">
        <is>
          <t>2026-08-09T17:05:34.473779Z</t>
        </is>
      </c>
      <c r="BI312" s="24" t="inlineStr">
        <is>
          <t>["same_event","same_team_same_day","same_league_same_day"]</t>
        </is>
      </c>
      <c r="BJ312" s="25" t="n"/>
      <c r="BK312" s="26" t="n">
        <v>-213</v>
      </c>
      <c r="BL312" s="27" t="n">
        <v>1.469484</v>
      </c>
      <c r="BM312" s="28" t="n">
        <v>0.680511</v>
      </c>
      <c r="BN312" s="28" t="n">
        <v>0.676617</v>
      </c>
      <c r="BO312" s="28" t="n"/>
      <c r="BP312" s="25" t="n"/>
      <c r="BQ312" s="27" t="n">
        <v>1.480769</v>
      </c>
      <c r="BR312" s="28" t="n">
        <v>0.675</v>
      </c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inlineStr">
        <is>
          <t>0.7146198021</t>
        </is>
      </c>
      <c r="CD312" s="24" t="inlineStr">
        <is>
          <t>2.091646</t>
        </is>
      </c>
      <c r="CE312" s="24" t="inlineStr">
        <is>
          <t>1.019</t>
        </is>
      </c>
      <c r="CF312" s="24" t="inlineStr">
        <is>
          <t>1.0263</t>
        </is>
      </c>
      <c r="CG312" s="24" t="n"/>
      <c r="CH312" s="24" t="n"/>
      <c r="CI312" s="24" t="n"/>
      <c r="CJ312" s="24" t="inlineStr">
        <is>
          <t>-0.709198</t>
        </is>
      </c>
      <c r="CK312" s="24" t="n"/>
      <c r="CL312" s="24" t="inlineStr">
        <is>
          <t>-1.119842</t>
        </is>
      </c>
      <c r="CM312" s="24" t="inlineStr">
        <is>
          <t>-4.725</t>
        </is>
      </c>
      <c r="CN312" s="24" t="n"/>
      <c r="CO312" s="24" t="n"/>
      <c r="CP312" s="24" t="n"/>
      <c r="CQ312" s="24" t="n"/>
      <c r="CR312" s="24" t="inlineStr">
        <is>
          <t>0.630089</t>
        </is>
      </c>
      <c r="CS312" s="24" t="inlineStr">
        <is>
          <t>False</t>
        </is>
      </c>
    </row>
    <row r="313" ht="36" customHeight="1">
      <c r="A313" s="24" t="inlineStr">
        <is>
          <t>0c1bcf311f824071</t>
        </is>
      </c>
      <c r="B313" s="24" t="inlineStr">
        <is>
          <t>2026-08-09T17:06:21.079905Z</t>
        </is>
      </c>
      <c r="C313" s="24" t="inlineStr">
        <is>
          <t>2026-08-09T13:35:00-0400</t>
        </is>
      </c>
      <c r="D313" s="24" t="inlineStr">
        <is>
          <t>401816456</t>
        </is>
      </c>
      <c r="E313" s="24" t="inlineStr">
        <is>
          <t>MLB</t>
        </is>
      </c>
      <c r="F313" s="24" t="inlineStr">
        <is>
          <t>Atlanta Braves</t>
        </is>
      </c>
      <c r="G313" s="24" t="inlineStr">
        <is>
          <t>New York Yankees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polymarket_us</t>
        </is>
      </c>
      <c r="L313" s="26" t="n">
        <v>-135</v>
      </c>
      <c r="M313" s="27" t="n">
        <v>1.740741</v>
      </c>
      <c r="N313" s="28" t="n">
        <v>0.574468</v>
      </c>
      <c r="O313" s="28" t="n">
        <v>0.508966</v>
      </c>
      <c r="P313" s="28" t="n"/>
      <c r="Q313" s="28" t="n">
        <v>-0.065502</v>
      </c>
      <c r="R313" s="26" t="n">
        <v>0</v>
      </c>
      <c r="S313" s="29" t="n">
        <v>0</v>
      </c>
      <c r="T313" s="24" t="inlineStr">
        <is>
          <t>mlb-elo-trend-lr-v8</t>
        </is>
      </c>
      <c r="U313" s="24" t="inlineStr">
        <is>
          <t>settled</t>
        </is>
      </c>
      <c r="V313" s="24" t="inlineStr">
        <is>
          <t>loss</t>
        </is>
      </c>
      <c r="W313" s="26" t="n">
        <v>2</v>
      </c>
      <c r="X313" s="26" t="n">
        <v>1</v>
      </c>
      <c r="Y313" s="25" t="n"/>
      <c r="Z313" s="26" t="n">
        <v>-135</v>
      </c>
      <c r="AA313" s="28" t="n">
        <v>0.575</v>
      </c>
      <c r="AB313" s="28" t="n">
        <v>0.000532</v>
      </c>
      <c r="AC313" s="30" t="n">
        <v>0</v>
      </c>
      <c r="AD313" s="24" t="inlineStr">
        <is>
          <t>2026-08-09T20:24:53.285077Z</t>
        </is>
      </c>
      <c r="AE313" s="31" t="inlineStr">
        <is>
          <t>Learned LR call at threshold 0.5873; executable ask 0.5750 (aec-mlb-atl-nyy-2026-08-09); model edge vs ask -0.0660.</t>
        </is>
      </c>
      <c r="AF313" s="31" t="inlineStr">
        <is>
          <t>Learned model; shadow-qualified via operator override.</t>
        </is>
      </c>
      <c r="AG313" s="24" t="inlineStr">
        <is>
          <t>review_required</t>
        </is>
      </c>
      <c r="AH313" s="24" t="n"/>
      <c r="AI313" s="31" t="n"/>
      <c r="AJ313" s="31" t="n"/>
      <c r="AK313" s="24" t="inlineStr">
        <is>
          <t>research_observation</t>
        </is>
      </c>
      <c r="AL313" s="26" t="n">
        <v>3</v>
      </c>
      <c r="AM313" s="24" t="inlineStr">
        <is>
          <t>RESEARCH_OBSERVATION</t>
        </is>
      </c>
      <c r="AN313" s="24" t="inlineStr">
        <is>
          <t>NO_CALL</t>
        </is>
      </c>
      <c r="AO313" s="24" t="inlineStr">
        <is>
          <t>NO_CALL_WINNER_OVERVALUED</t>
        </is>
      </c>
      <c r="AP313" s="24" t="inlineStr">
        <is>
          <t>mlb-atl</t>
        </is>
      </c>
      <c r="AQ313" s="24" t="inlineStr">
        <is>
          <t>Atlanta Braves</t>
        </is>
      </c>
      <c r="AR313" s="24" t="inlineStr">
        <is>
          <t>Atlanta Braves</t>
        </is>
      </c>
      <c r="AS313" s="24" t="inlineStr">
        <is>
          <t>mlb-nyy</t>
        </is>
      </c>
      <c r="AT313" s="24" t="inlineStr">
        <is>
          <t>New York Yankees</t>
        </is>
      </c>
      <c r="AU313" s="24" t="inlineStr">
        <is>
          <t>New York Yankees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6a5c79541b0e50cb9f7318270e63d5ccc65cbd7bc53a019748ff772d49de5075</t>
        </is>
      </c>
      <c r="BB313" s="24" t="inlineStr">
        <is>
          <t>learned_lr</t>
        </is>
      </c>
      <c r="BC313" s="24" t="inlineStr">
        <is>
          <t>mlb-elo-trend-lr-v8</t>
        </is>
      </c>
      <c r="BD313" s="24" t="inlineStr">
        <is>
          <t>6a5c79541b0e50cb9f7318270e63d5ccc65cbd7bc53a019748ff772d49de5075</t>
        </is>
      </c>
      <c r="BE313" s="24" t="inlineStr">
        <is>
          <t>bca56122e5696a72</t>
        </is>
      </c>
      <c r="BF313" s="24" t="inlineStr">
        <is>
          <t>1</t>
        </is>
      </c>
      <c r="BG313" s="24" t="inlineStr">
        <is>
          <t>mlb-elo-trend-lr-v8</t>
        </is>
      </c>
      <c r="BH313" s="24" t="inlineStr">
        <is>
          <t>2026-08-09T17:05:33.917886Z</t>
        </is>
      </c>
      <c r="BI313" s="24" t="inlineStr">
        <is>
          <t>["same_event","same_team_same_day","same_league_same_day"]</t>
        </is>
      </c>
      <c r="BJ313" s="25" t="n"/>
      <c r="BK313" s="26" t="n">
        <v>-135</v>
      </c>
      <c r="BL313" s="27" t="n">
        <v>1.740741</v>
      </c>
      <c r="BM313" s="28" t="n">
        <v>0.574468</v>
      </c>
      <c r="BN313" s="28" t="n">
        <v>0.572139</v>
      </c>
      <c r="BO313" s="28" t="n"/>
      <c r="BP313" s="25" t="n"/>
      <c r="BQ313" s="27" t="n">
        <v>1.740741</v>
      </c>
      <c r="BR313" s="28" t="n">
        <v>0.575</v>
      </c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inlineStr">
        <is>
          <t>0.5169892426</t>
        </is>
      </c>
      <c r="CD313" s="24" t="inlineStr">
        <is>
          <t>-0.969005</t>
        </is>
      </c>
      <c r="CE313" s="24" t="inlineStr">
        <is>
          <t>1.014</t>
        </is>
      </c>
      <c r="CF313" s="24" t="inlineStr">
        <is>
          <t>1.0223</t>
        </is>
      </c>
      <c r="CG313" s="24" t="n"/>
      <c r="CH313" s="24" t="n"/>
      <c r="CI313" s="24" t="n"/>
      <c r="CJ313" s="24" t="inlineStr">
        <is>
          <t>-0.782026</t>
        </is>
      </c>
      <c r="CK313" s="24" t="n"/>
      <c r="CL313" s="24" t="inlineStr">
        <is>
          <t>0.092324</t>
        </is>
      </c>
      <c r="CM313" s="24" t="inlineStr">
        <is>
          <t>3.7853</t>
        </is>
      </c>
      <c r="CN313" s="24" t="n"/>
      <c r="CO313" s="24" t="n"/>
      <c r="CP313" s="24" t="n"/>
      <c r="CQ313" s="24" t="n"/>
      <c r="CR313" s="24" t="inlineStr">
        <is>
          <t>0.508966</t>
        </is>
      </c>
      <c r="CS313" s="24" t="inlineStr">
        <is>
          <t>False</t>
        </is>
      </c>
    </row>
    <row r="314" ht="36" customHeight="1">
      <c r="A314" s="24" t="inlineStr">
        <is>
          <t>0122080e04964201</t>
        </is>
      </c>
      <c r="B314" s="24" t="inlineStr">
        <is>
          <t>2026-08-09T17:06:21.079905Z</t>
        </is>
      </c>
      <c r="C314" s="24" t="inlineStr">
        <is>
          <t>2026-08-09T13:35:00-0400</t>
        </is>
      </c>
      <c r="D314" s="24" t="inlineStr">
        <is>
          <t>401816458</t>
        </is>
      </c>
      <c r="E314" s="24" t="inlineStr">
        <is>
          <t>MLB</t>
        </is>
      </c>
      <c r="F314" s="24" t="inlineStr">
        <is>
          <t>New York Mets</t>
        </is>
      </c>
      <c r="G314" s="24" t="inlineStr">
        <is>
          <t>Pittsburgh Pirates</t>
        </is>
      </c>
      <c r="H314" s="24" t="inlineStr">
        <is>
          <t>moneyline</t>
        </is>
      </c>
      <c r="I314" s="24" t="inlineStr">
        <is>
          <t>home</t>
        </is>
      </c>
      <c r="J314" s="25" t="n"/>
      <c r="K314" s="24" t="inlineStr">
        <is>
          <t>polymarket_us</t>
        </is>
      </c>
      <c r="L314" s="26" t="n">
        <v>-133</v>
      </c>
      <c r="M314" s="27" t="n">
        <v>1.75188</v>
      </c>
      <c r="N314" s="28" t="n">
        <v>0.570815</v>
      </c>
      <c r="O314" s="28" t="n">
        <v>0.570389</v>
      </c>
      <c r="P314" s="28" t="n"/>
      <c r="Q314" s="28" t="n">
        <v>-0.000426</v>
      </c>
      <c r="R314" s="26" t="n">
        <v>22</v>
      </c>
      <c r="S314" s="29" t="n">
        <v>0</v>
      </c>
      <c r="T314" s="24" t="inlineStr">
        <is>
          <t>mlb-elo-trend-lr-v8</t>
        </is>
      </c>
      <c r="U314" s="24" t="inlineStr">
        <is>
          <t>settled</t>
        </is>
      </c>
      <c r="V314" s="24" t="inlineStr">
        <is>
          <t>loss</t>
        </is>
      </c>
      <c r="W314" s="26" t="n">
        <v>11</v>
      </c>
      <c r="X314" s="26" t="n">
        <v>1</v>
      </c>
      <c r="Y314" s="25" t="n"/>
      <c r="Z314" s="26" t="n">
        <v>-133</v>
      </c>
      <c r="AA314" s="28" t="n">
        <v>0.57</v>
      </c>
      <c r="AB314" s="28" t="n">
        <v>-0.000815</v>
      </c>
      <c r="AC314" s="30" t="n">
        <v>0</v>
      </c>
      <c r="AD314" s="24" t="inlineStr">
        <is>
          <t>2026-08-09T20:24:54.732772Z</t>
        </is>
      </c>
      <c r="AE314" s="31" t="inlineStr">
        <is>
          <t>Learned LR call at threshold 0.5873; executable ask 0.5700 (aec-mlb-nym-pit-2026-08-09); model edge vs ask +0.0004.</t>
        </is>
      </c>
      <c r="AF314" s="31" t="inlineStr">
        <is>
          <t>Learned model; shadow-qualified via operator override.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research_observation</t>
        </is>
      </c>
      <c r="AL314" s="26" t="n">
        <v>3</v>
      </c>
      <c r="AM314" s="24" t="inlineStr">
        <is>
          <t>RESEARCH_OBSERVATION</t>
        </is>
      </c>
      <c r="AN314" s="24" t="inlineStr">
        <is>
          <t>NO_CALL</t>
        </is>
      </c>
      <c r="AO314" s="24" t="inlineStr">
        <is>
          <t>NO_CALL_WINNER_OVERVALUED</t>
        </is>
      </c>
      <c r="AP314" s="24" t="inlineStr">
        <is>
          <t>mlb-nym</t>
        </is>
      </c>
      <c r="AQ314" s="24" t="inlineStr">
        <is>
          <t>New York Mets</t>
        </is>
      </c>
      <c r="AR314" s="24" t="inlineStr">
        <is>
          <t>New York Mets</t>
        </is>
      </c>
      <c r="AS314" s="24" t="inlineStr">
        <is>
          <t>mlb-pit</t>
        </is>
      </c>
      <c r="AT314" s="24" t="inlineStr">
        <is>
          <t>Pittsburgh Pirates</t>
        </is>
      </c>
      <c r="AU314" s="24" t="inlineStr">
        <is>
          <t>Pittsburgh Pirates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6a5c79541b0e50cb9f7318270e63d5ccc65cbd7bc53a019748ff772d49de5075</t>
        </is>
      </c>
      <c r="BB314" s="24" t="inlineStr">
        <is>
          <t>learned_lr</t>
        </is>
      </c>
      <c r="BC314" s="24" t="inlineStr">
        <is>
          <t>mlb-elo-trend-lr-v8</t>
        </is>
      </c>
      <c r="BD314" s="24" t="inlineStr">
        <is>
          <t>6a5c79541b0e50cb9f7318270e63d5ccc65cbd7bc53a019748ff772d49de5075</t>
        </is>
      </c>
      <c r="BE314" s="24" t="inlineStr">
        <is>
          <t>1fc2f8b5cc38b147</t>
        </is>
      </c>
      <c r="BF314" s="24" t="inlineStr">
        <is>
          <t>1</t>
        </is>
      </c>
      <c r="BG314" s="24" t="inlineStr">
        <is>
          <t>mlb-elo-trend-lr-v8</t>
        </is>
      </c>
      <c r="BH314" s="24" t="inlineStr">
        <is>
          <t>2026-08-09T17:05:35.441158Z</t>
        </is>
      </c>
      <c r="BI314" s="24" t="inlineStr">
        <is>
          <t>["same_event","same_team_same_day","same_league_same_day"]</t>
        </is>
      </c>
      <c r="BJ314" s="25" t="n"/>
      <c r="BK314" s="26" t="n">
        <v>-133</v>
      </c>
      <c r="BL314" s="27" t="n">
        <v>1.75188</v>
      </c>
      <c r="BM314" s="28" t="n">
        <v>0.570815</v>
      </c>
      <c r="BN314" s="28" t="n">
        <v>0.567164</v>
      </c>
      <c r="BO314" s="28" t="n"/>
      <c r="BP314" s="25" t="n"/>
      <c r="BQ314" s="27" t="n">
        <v>1.75188</v>
      </c>
      <c r="BR314" s="28" t="n">
        <v>0.57</v>
      </c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inlineStr">
        <is>
          <t>0.5677122403</t>
        </is>
      </c>
      <c r="CD314" s="24" t="inlineStr">
        <is>
          <t>-0.918907</t>
        </is>
      </c>
      <c r="CE314" s="24" t="inlineStr">
        <is>
          <t>0.989</t>
        </is>
      </c>
      <c r="CF314" s="24" t="inlineStr">
        <is>
          <t>1.0126</t>
        </is>
      </c>
      <c r="CG314" s="24" t="n"/>
      <c r="CH314" s="24" t="n"/>
      <c r="CI314" s="24" t="n"/>
      <c r="CJ314" s="24" t="inlineStr">
        <is>
          <t>1.324105</t>
        </is>
      </c>
      <c r="CK314" s="24" t="n"/>
      <c r="CL314" s="24" t="inlineStr">
        <is>
          <t>-0.062596</t>
        </is>
      </c>
      <c r="CM314" s="24" t="inlineStr">
        <is>
          <t>-1.0871</t>
        </is>
      </c>
      <c r="CN314" s="24" t="n"/>
      <c r="CO314" s="24" t="n"/>
      <c r="CP314" s="24" t="n"/>
      <c r="CQ314" s="24" t="n"/>
      <c r="CR314" s="24" t="inlineStr">
        <is>
          <t>0.570389</t>
        </is>
      </c>
      <c r="CS314" s="24" t="inlineStr">
        <is>
          <t>False</t>
        </is>
      </c>
    </row>
    <row r="315" ht="36" customHeight="1">
      <c r="A315" s="24" t="inlineStr">
        <is>
          <t>3e6ad83e017d40e9</t>
        </is>
      </c>
      <c r="B315" s="24" t="inlineStr">
        <is>
          <t>2026-08-09T17:06:21.079905Z</t>
        </is>
      </c>
      <c r="C315" s="24" t="inlineStr">
        <is>
          <t>2026-08-09T13:35:00-0400</t>
        </is>
      </c>
      <c r="D315" s="24" t="inlineStr">
        <is>
          <t>401816459</t>
        </is>
      </c>
      <c r="E315" s="24" t="inlineStr">
        <is>
          <t>MLB</t>
        </is>
      </c>
      <c r="F315" s="24" t="inlineStr">
        <is>
          <t>Toronto Blue Jays</t>
        </is>
      </c>
      <c r="G315" s="24" t="inlineStr">
        <is>
          <t>Philadelphia Phillies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polymarket_us</t>
        </is>
      </c>
      <c r="L315" s="26" t="n">
        <v>-223</v>
      </c>
      <c r="M315" s="27" t="n">
        <v>1.44843</v>
      </c>
      <c r="N315" s="28" t="n">
        <v>0.690402</v>
      </c>
      <c r="O315" s="28" t="n">
        <v>0.569003</v>
      </c>
      <c r="P315" s="28" t="n"/>
      <c r="Q315" s="28" t="n">
        <v>-0.121399</v>
      </c>
      <c r="R315" s="26" t="n">
        <v>0</v>
      </c>
      <c r="S315" s="29" t="n">
        <v>0</v>
      </c>
      <c r="T315" s="24" t="inlineStr">
        <is>
          <t>mlb-elo-trend-lr-v8</t>
        </is>
      </c>
      <c r="U315" s="24" t="inlineStr">
        <is>
          <t>settled</t>
        </is>
      </c>
      <c r="V315" s="24" t="inlineStr">
        <is>
          <t>win</t>
        </is>
      </c>
      <c r="W315" s="26" t="n">
        <v>6</v>
      </c>
      <c r="X315" s="26" t="n">
        <v>7</v>
      </c>
      <c r="Y315" s="25" t="n"/>
      <c r="Z315" s="26" t="n">
        <v>-223</v>
      </c>
      <c r="AA315" s="28" t="n">
        <v>0.6899999999999999</v>
      </c>
      <c r="AB315" s="28" t="n">
        <v>-0.000402</v>
      </c>
      <c r="AC315" s="30" t="n">
        <v>0</v>
      </c>
      <c r="AD315" s="24" t="inlineStr">
        <is>
          <t>2026-08-09T23:29:12.453523Z</t>
        </is>
      </c>
      <c r="AE315" s="31" t="inlineStr">
        <is>
          <t>Learned LR call at threshold 0.5873; executable ask 0.6900 (aec-mlb-tor-phi-2026-08-09); model edge vs ask -0.1210. NOTE: NO_CALL_STARTER_ERA_GAP_INSUFFICIENT_HISTORY unavailable for this game — defaulted to neutral, other features used normally.</t>
        </is>
      </c>
      <c r="AF315" s="31" t="inlineStr">
        <is>
          <t>Learned model; shadow-qualified via operator override.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research_observation</t>
        </is>
      </c>
      <c r="AL315" s="26" t="n">
        <v>3</v>
      </c>
      <c r="AM315" s="24" t="inlineStr">
        <is>
          <t>RESEARCH_OBSERVATION</t>
        </is>
      </c>
      <c r="AN315" s="24" t="inlineStr">
        <is>
          <t>NO_CALL</t>
        </is>
      </c>
      <c r="AO315" s="24" t="inlineStr">
        <is>
          <t>NO_CALL_WINNER_OVERVALUED</t>
        </is>
      </c>
      <c r="AP315" s="24" t="inlineStr">
        <is>
          <t>mlb-tor</t>
        </is>
      </c>
      <c r="AQ315" s="24" t="inlineStr">
        <is>
          <t>Toronto Blue Jays</t>
        </is>
      </c>
      <c r="AR315" s="24" t="inlineStr">
        <is>
          <t>Toronto Blue Jays</t>
        </is>
      </c>
      <c r="AS315" s="24" t="inlineStr">
        <is>
          <t>mlb-phi</t>
        </is>
      </c>
      <c r="AT315" s="24" t="inlineStr">
        <is>
          <t>Philadelphia Phillies</t>
        </is>
      </c>
      <c r="AU315" s="24" t="inlineStr">
        <is>
          <t>Philadelphia Phillies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6a5c79541b0e50cb9f7318270e63d5ccc65cbd7bc53a019748ff772d49de5075</t>
        </is>
      </c>
      <c r="BB315" s="24" t="inlineStr">
        <is>
          <t>learned_lr</t>
        </is>
      </c>
      <c r="BC315" s="24" t="inlineStr">
        <is>
          <t>mlb-elo-trend-lr-v8</t>
        </is>
      </c>
      <c r="BD315" s="24" t="inlineStr">
        <is>
          <t>6a5c79541b0e50cb9f7318270e63d5ccc65cbd7bc53a019748ff772d49de5075</t>
        </is>
      </c>
      <c r="BE315" s="24" t="inlineStr">
        <is>
          <t>724274e92be83231</t>
        </is>
      </c>
      <c r="BF315" s="24" t="inlineStr">
        <is>
          <t>1</t>
        </is>
      </c>
      <c r="BG315" s="24" t="inlineStr">
        <is>
          <t>mlb-elo-trend-lr-v8</t>
        </is>
      </c>
      <c r="BH315" s="24" t="inlineStr">
        <is>
          <t>2026-08-09T17:05:35.036891Z</t>
        </is>
      </c>
      <c r="BI315" s="24" t="inlineStr">
        <is>
          <t>["same_event","same_team_same_day","same_league_same_day"]</t>
        </is>
      </c>
      <c r="BJ315" s="25" t="n"/>
      <c r="BK315" s="26" t="n">
        <v>-223</v>
      </c>
      <c r="BL315" s="27" t="n">
        <v>1.44843</v>
      </c>
      <c r="BM315" s="28" t="n">
        <v>0.690402</v>
      </c>
      <c r="BN315" s="28" t="n">
        <v>0.686567</v>
      </c>
      <c r="BO315" s="28" t="n"/>
      <c r="BP315" s="25" t="n"/>
      <c r="BQ315" s="27" t="n">
        <v>1.44843</v>
      </c>
      <c r="BR315" s="28" t="n">
        <v>0.6899999999999999</v>
      </c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inlineStr">
        <is>
          <t>0.5833934632</t>
        </is>
      </c>
      <c r="CD315" s="24" t="inlineStr">
        <is>
          <t>-0.385205</t>
        </is>
      </c>
      <c r="CE315" s="24" t="inlineStr">
        <is>
          <t>1.02</t>
        </is>
      </c>
      <c r="CF315" s="24" t="inlineStr">
        <is>
          <t>1.0238</t>
        </is>
      </c>
      <c r="CG315" s="24" t="n"/>
      <c r="CH315" s="24" t="n"/>
      <c r="CI315" s="24" t="inlineStr">
        <is>
          <t>NO_CALL_STARTER_ERA_GAP_INSUFFICIENT_HISTORY</t>
        </is>
      </c>
      <c r="CJ315" s="24" t="inlineStr">
        <is>
          <t>-0.74156</t>
        </is>
      </c>
      <c r="CK315" s="24" t="n"/>
      <c r="CL315" s="24" t="inlineStr">
        <is>
          <t>0.015846</t>
        </is>
      </c>
      <c r="CM315" s="24" t="inlineStr">
        <is>
          <t>0.0</t>
        </is>
      </c>
      <c r="CN315" s="24" t="n"/>
      <c r="CO315" s="24" t="n"/>
      <c r="CP315" s="24" t="n"/>
      <c r="CQ315" s="24" t="n"/>
      <c r="CR315" s="24" t="inlineStr">
        <is>
          <t>0.569003</t>
        </is>
      </c>
      <c r="CS315" s="24" t="inlineStr">
        <is>
          <t>False</t>
        </is>
      </c>
    </row>
    <row r="316" ht="36" customHeight="1">
      <c r="A316" s="24" t="inlineStr">
        <is>
          <t>ffa0526ea86e4f6c</t>
        </is>
      </c>
      <c r="B316" s="24" t="inlineStr">
        <is>
          <t>2026-08-09T17:06:21.079905Z</t>
        </is>
      </c>
      <c r="C316" s="24" t="inlineStr">
        <is>
          <t>2026-08-09T13:40:00-0400</t>
        </is>
      </c>
      <c r="D316" s="24" t="inlineStr">
        <is>
          <t>401816454</t>
        </is>
      </c>
      <c r="E316" s="24" t="inlineStr">
        <is>
          <t>MLB</t>
        </is>
      </c>
      <c r="F316" s="24" t="inlineStr">
        <is>
          <t>Los Angeles Angels</t>
        </is>
      </c>
      <c r="G316" s="24" t="inlineStr">
        <is>
          <t>Miami Marlins</t>
        </is>
      </c>
      <c r="H316" s="24" t="inlineStr">
        <is>
          <t>moneyline</t>
        </is>
      </c>
      <c r="I316" s="24" t="inlineStr">
        <is>
          <t>home</t>
        </is>
      </c>
      <c r="J316" s="25" t="n"/>
      <c r="K316" s="24" t="inlineStr">
        <is>
          <t>polymarket_us</t>
        </is>
      </c>
      <c r="L316" s="26" t="n">
        <v>-135</v>
      </c>
      <c r="M316" s="27" t="n">
        <v>1.740741</v>
      </c>
      <c r="N316" s="28" t="n">
        <v>0.574468</v>
      </c>
      <c r="O316" s="28" t="n">
        <v>0.611325</v>
      </c>
      <c r="P316" s="28" t="n"/>
      <c r="Q316" s="28" t="n">
        <v>0.036857</v>
      </c>
      <c r="R316" s="26" t="n">
        <v>40</v>
      </c>
      <c r="S316" s="29" t="n">
        <v>0</v>
      </c>
      <c r="T316" s="24" t="inlineStr">
        <is>
          <t>mlb-elo-trend-lr-v8</t>
        </is>
      </c>
      <c r="U316" s="24" t="inlineStr">
        <is>
          <t>settled</t>
        </is>
      </c>
      <c r="V316" s="24" t="inlineStr">
        <is>
          <t>win</t>
        </is>
      </c>
      <c r="W316" s="26" t="n">
        <v>3</v>
      </c>
      <c r="X316" s="26" t="n">
        <v>12</v>
      </c>
      <c r="Y316" s="25" t="n"/>
      <c r="Z316" s="26" t="n">
        <v>-135</v>
      </c>
      <c r="AA316" s="28" t="n">
        <v>0.575</v>
      </c>
      <c r="AB316" s="28" t="n">
        <v>0.000532</v>
      </c>
      <c r="AC316" s="30" t="n">
        <v>0</v>
      </c>
      <c r="AD316" s="24" t="inlineStr">
        <is>
          <t>2026-08-09T23:29:13.823604Z</t>
        </is>
      </c>
      <c r="AE316" s="31" t="inlineStr">
        <is>
          <t>Learned LR call at threshold 0.5873; executable ask 0.5750 (aec-mlb-laa-mia-2026-08-09); model edge vs ask +0.0363.</t>
        </is>
      </c>
      <c r="AF316" s="31" t="inlineStr">
        <is>
          <t>Learned model; shadow-qualified via operator override.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research_observation</t>
        </is>
      </c>
      <c r="AL316" s="26" t="n">
        <v>3</v>
      </c>
      <c r="AM316" s="24" t="inlineStr">
        <is>
          <t>RESEARCH_OBSERVATION</t>
        </is>
      </c>
      <c r="AN316" s="24" t="inlineStr">
        <is>
          <t>NO_CALL</t>
        </is>
      </c>
      <c r="AO316" s="24" t="inlineStr">
        <is>
          <t>NO_CALL_WINNER_OVERVALUED</t>
        </is>
      </c>
      <c r="AP316" s="24" t="inlineStr">
        <is>
          <t>mlb-laa</t>
        </is>
      </c>
      <c r="AQ316" s="24" t="inlineStr">
        <is>
          <t>Los Angeles Angels</t>
        </is>
      </c>
      <c r="AR316" s="24" t="inlineStr">
        <is>
          <t>Los Angeles Angels</t>
        </is>
      </c>
      <c r="AS316" s="24" t="inlineStr">
        <is>
          <t>mlb-mia</t>
        </is>
      </c>
      <c r="AT316" s="24" t="inlineStr">
        <is>
          <t>Miami Marlins</t>
        </is>
      </c>
      <c r="AU316" s="24" t="inlineStr">
        <is>
          <t>Miami Marlins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6a5c79541b0e50cb9f7318270e63d5ccc65cbd7bc53a019748ff772d49de5075</t>
        </is>
      </c>
      <c r="BB316" s="24" t="inlineStr">
        <is>
          <t>learned_lr</t>
        </is>
      </c>
      <c r="BC316" s="24" t="inlineStr">
        <is>
          <t>mlb-elo-trend-lr-v8</t>
        </is>
      </c>
      <c r="BD316" s="24" t="inlineStr">
        <is>
          <t>6a5c79541b0e50cb9f7318270e63d5ccc65cbd7bc53a019748ff772d49de5075</t>
        </is>
      </c>
      <c r="BE316" s="24" t="inlineStr">
        <is>
          <t>7c67bee7b96b8e5e</t>
        </is>
      </c>
      <c r="BF316" s="24" t="inlineStr">
        <is>
          <t>1</t>
        </is>
      </c>
      <c r="BG316" s="24" t="inlineStr">
        <is>
          <t>mlb-elo-trend-lr-v8</t>
        </is>
      </c>
      <c r="BH316" s="24" t="inlineStr">
        <is>
          <t>2026-08-09T17:05:36.013539Z</t>
        </is>
      </c>
      <c r="BI316" s="24" t="inlineStr">
        <is>
          <t>["same_event","same_team_same_day","same_league_same_day"]</t>
        </is>
      </c>
      <c r="BJ316" s="25" t="n"/>
      <c r="BK316" s="26" t="n">
        <v>-135</v>
      </c>
      <c r="BL316" s="27" t="n">
        <v>1.740741</v>
      </c>
      <c r="BM316" s="28" t="n">
        <v>0.574468</v>
      </c>
      <c r="BN316" s="28" t="n">
        <v>0.572139</v>
      </c>
      <c r="BO316" s="28" t="n"/>
      <c r="BP316" s="25" t="n"/>
      <c r="BQ316" s="27" t="n">
        <v>1.740741</v>
      </c>
      <c r="BR316" s="28" t="n">
        <v>0.575</v>
      </c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inlineStr">
        <is>
          <t>0.6286650347</t>
        </is>
      </c>
      <c r="CD316" s="24" t="inlineStr">
        <is>
          <t>0.811272</t>
        </is>
      </c>
      <c r="CE316" s="24" t="inlineStr">
        <is>
          <t>1.002</t>
        </is>
      </c>
      <c r="CF316" s="24" t="inlineStr">
        <is>
          <t>1.0</t>
        </is>
      </c>
      <c r="CG316" s="24" t="n"/>
      <c r="CH316" s="24" t="n"/>
      <c r="CI316" s="24" t="n"/>
      <c r="CJ316" s="24" t="inlineStr">
        <is>
          <t>-0.029117</t>
        </is>
      </c>
      <c r="CK316" s="24" t="n"/>
      <c r="CL316" s="24" t="inlineStr">
        <is>
          <t>0.128614</t>
        </is>
      </c>
      <c r="CM316" s="24" t="inlineStr">
        <is>
          <t>-1.4062</t>
        </is>
      </c>
      <c r="CN316" s="24" t="n"/>
      <c r="CO316" s="24" t="n"/>
      <c r="CP316" s="24" t="n"/>
      <c r="CQ316" s="24" t="n"/>
      <c r="CR316" s="24" t="inlineStr">
        <is>
          <t>0.611325</t>
        </is>
      </c>
      <c r="CS316" s="24" t="inlineStr">
        <is>
          <t>True</t>
        </is>
      </c>
    </row>
    <row r="317" ht="36" customHeight="1">
      <c r="A317" s="24" t="inlineStr">
        <is>
          <t>b717c2b0d48749b1</t>
        </is>
      </c>
      <c r="B317" s="24" t="inlineStr">
        <is>
          <t>2026-08-09T17:06:21.079905Z</t>
        </is>
      </c>
      <c r="C317" s="24" t="inlineStr">
        <is>
          <t>2026-08-09T14:10:00-0400</t>
        </is>
      </c>
      <c r="D317" s="24" t="inlineStr">
        <is>
          <t>401816461</t>
        </is>
      </c>
      <c r="E317" s="24" t="inlineStr">
        <is>
          <t>MLB</t>
        </is>
      </c>
      <c r="F317" s="24" t="inlineStr">
        <is>
          <t>Chicago Cubs</t>
        </is>
      </c>
      <c r="G317" s="24" t="inlineStr">
        <is>
          <t>Kansas City Royals</t>
        </is>
      </c>
      <c r="H317" s="24" t="inlineStr">
        <is>
          <t>moneyline</t>
        </is>
      </c>
      <c r="I317" s="24" t="inlineStr">
        <is>
          <t>away</t>
        </is>
      </c>
      <c r="J317" s="25" t="n"/>
      <c r="K317" s="24" t="inlineStr">
        <is>
          <t>polymarket_us</t>
        </is>
      </c>
      <c r="L317" s="26" t="n">
        <v>-156</v>
      </c>
      <c r="M317" s="27" t="n">
        <v>1.641026</v>
      </c>
      <c r="N317" s="28" t="n">
        <v>0.609375</v>
      </c>
      <c r="O317" s="28" t="n">
        <v>0.5385529999999999</v>
      </c>
      <c r="P317" s="28" t="n"/>
      <c r="Q317" s="28" t="n">
        <v>-0.070822</v>
      </c>
      <c r="R317" s="26" t="n">
        <v>0</v>
      </c>
      <c r="S317" s="29" t="n">
        <v>0</v>
      </c>
      <c r="T317" s="24" t="inlineStr">
        <is>
          <t>mlb-elo-trend-lr-v8</t>
        </is>
      </c>
      <c r="U317" s="24" t="inlineStr">
        <is>
          <t>settled</t>
        </is>
      </c>
      <c r="V317" s="24" t="inlineStr">
        <is>
          <t>win</t>
        </is>
      </c>
      <c r="W317" s="26" t="n">
        <v>10</v>
      </c>
      <c r="X317" s="26" t="n">
        <v>2</v>
      </c>
      <c r="Y317" s="25" t="n"/>
      <c r="Z317" s="26" t="n">
        <v>-156</v>
      </c>
      <c r="AA317" s="28" t="n">
        <v>0.61</v>
      </c>
      <c r="AB317" s="28" t="n">
        <v>0.000625</v>
      </c>
      <c r="AC317" s="30" t="n">
        <v>0</v>
      </c>
      <c r="AD317" s="24" t="inlineStr">
        <is>
          <t>2026-08-09T23:29:15.139941Z</t>
        </is>
      </c>
      <c r="AE317" s="31" t="inlineStr">
        <is>
          <t>Learned LR call at threshold 0.5873; executable ask 0.6100 (aec-mlb-chc-kc-2026-08-09); model edge vs ask -0.0714.</t>
        </is>
      </c>
      <c r="AF317" s="31" t="inlineStr">
        <is>
          <t>Learned model; shadow-qualified via operator override.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research_observation</t>
        </is>
      </c>
      <c r="AL317" s="26" t="n">
        <v>3</v>
      </c>
      <c r="AM317" s="24" t="inlineStr">
        <is>
          <t>RESEARCH_OBSERVATION</t>
        </is>
      </c>
      <c r="AN317" s="24" t="inlineStr">
        <is>
          <t>NO_CALL</t>
        </is>
      </c>
      <c r="AO317" s="24" t="inlineStr">
        <is>
          <t>NO_CALL_WINNER_OVERVALUED</t>
        </is>
      </c>
      <c r="AP317" s="24" t="inlineStr">
        <is>
          <t>mlb-chc</t>
        </is>
      </c>
      <c r="AQ317" s="24" t="inlineStr">
        <is>
          <t>Chicago Cubs</t>
        </is>
      </c>
      <c r="AR317" s="24" t="inlineStr">
        <is>
          <t>Chicago Cubs</t>
        </is>
      </c>
      <c r="AS317" s="24" t="inlineStr">
        <is>
          <t>mlb-kc</t>
        </is>
      </c>
      <c r="AT317" s="24" t="inlineStr">
        <is>
          <t>Kansas City Royals</t>
        </is>
      </c>
      <c r="AU317" s="24" t="inlineStr">
        <is>
          <t>Kansas City Royals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6a5c79541b0e50cb9f7318270e63d5ccc65cbd7bc53a019748ff772d49de5075</t>
        </is>
      </c>
      <c r="BB317" s="24" t="inlineStr">
        <is>
          <t>learned_lr</t>
        </is>
      </c>
      <c r="BC317" s="24" t="inlineStr">
        <is>
          <t>mlb-elo-trend-lr-v8</t>
        </is>
      </c>
      <c r="BD317" s="24" t="inlineStr">
        <is>
          <t>6a5c79541b0e50cb9f7318270e63d5ccc65cbd7bc53a019748ff772d49de5075</t>
        </is>
      </c>
      <c r="BE317" s="24" t="inlineStr">
        <is>
          <t>2d457d81b01460c1</t>
        </is>
      </c>
      <c r="BF317" s="24" t="inlineStr">
        <is>
          <t>1</t>
        </is>
      </c>
      <c r="BG317" s="24" t="inlineStr">
        <is>
          <t>mlb-elo-trend-lr-v8</t>
        </is>
      </c>
      <c r="BH317" s="24" t="inlineStr">
        <is>
          <t>2026-08-09T17:05:36.921166Z</t>
        </is>
      </c>
      <c r="BI317" s="24" t="inlineStr">
        <is>
          <t>["same_event","same_team_same_day","same_league_same_day"]</t>
        </is>
      </c>
      <c r="BJ317" s="25" t="n"/>
      <c r="BK317" s="26" t="n">
        <v>-156</v>
      </c>
      <c r="BL317" s="27" t="n">
        <v>1.641026</v>
      </c>
      <c r="BM317" s="28" t="n">
        <v>0.609375</v>
      </c>
      <c r="BN317" s="28" t="n">
        <v>0.606965</v>
      </c>
      <c r="BO317" s="28" t="n"/>
      <c r="BP317" s="25" t="n"/>
      <c r="BQ317" s="27" t="n">
        <v>1.641026</v>
      </c>
      <c r="BR317" s="28" t="n">
        <v>0.61</v>
      </c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inlineStr">
        <is>
          <t>0.4043336606</t>
        </is>
      </c>
      <c r="CD317" s="24" t="inlineStr">
        <is>
          <t>0.050839</t>
        </is>
      </c>
      <c r="CE317" s="24" t="inlineStr">
        <is>
          <t>0.973</t>
        </is>
      </c>
      <c r="CF317" s="24" t="inlineStr">
        <is>
          <t>1.0302</t>
        </is>
      </c>
      <c r="CG317" s="24" t="n"/>
      <c r="CH317" s="24" t="n"/>
      <c r="CI317" s="24" t="n"/>
      <c r="CJ317" s="24" t="inlineStr">
        <is>
          <t>0.763532</t>
        </is>
      </c>
      <c r="CK317" s="24" t="n"/>
      <c r="CL317" s="24" t="inlineStr">
        <is>
          <t>0.349425</t>
        </is>
      </c>
      <c r="CM317" s="24" t="inlineStr">
        <is>
          <t>-1.6714</t>
        </is>
      </c>
      <c r="CN317" s="24" t="n"/>
      <c r="CO317" s="24" t="n"/>
      <c r="CP317" s="24" t="n"/>
      <c r="CQ317" s="24" t="n"/>
      <c r="CR317" s="24" t="inlineStr">
        <is>
          <t>0.538553</t>
        </is>
      </c>
      <c r="CS317" s="24" t="inlineStr">
        <is>
          <t>False</t>
        </is>
      </c>
    </row>
    <row r="318" ht="36" customHeight="1">
      <c r="A318" s="24" t="inlineStr">
        <is>
          <t>9a6386c5bfb141e8</t>
        </is>
      </c>
      <c r="B318" s="24" t="inlineStr">
        <is>
          <t>2026-08-09T17:06:21.079905Z</t>
        </is>
      </c>
      <c r="C318" s="24" t="inlineStr">
        <is>
          <t>2026-08-09T14:10:00-0400</t>
        </is>
      </c>
      <c r="D318" s="24" t="inlineStr">
        <is>
          <t>401816462</t>
        </is>
      </c>
      <c r="E318" s="24" t="inlineStr">
        <is>
          <t>MLB</t>
        </is>
      </c>
      <c r="F318" s="24" t="inlineStr">
        <is>
          <t>Cleveland Guardians</t>
        </is>
      </c>
      <c r="G318" s="24" t="inlineStr">
        <is>
          <t>Chicago White Sox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polymarket_us</t>
        </is>
      </c>
      <c r="L318" s="26" t="n">
        <v>117</v>
      </c>
      <c r="M318" s="27" t="n">
        <v>2.17</v>
      </c>
      <c r="N318" s="28" t="n">
        <v>0.460829</v>
      </c>
      <c r="O318" s="28" t="n">
        <v>0.524392</v>
      </c>
      <c r="P318" s="28" t="n"/>
      <c r="Q318" s="28" t="n">
        <v>0.06356299999999999</v>
      </c>
      <c r="R318" s="26" t="n">
        <v>53</v>
      </c>
      <c r="S318" s="29" t="n">
        <v>0</v>
      </c>
      <c r="T318" s="24" t="inlineStr">
        <is>
          <t>mlb-elo-trend-lr-v8</t>
        </is>
      </c>
      <c r="U318" s="24" t="inlineStr">
        <is>
          <t>settled</t>
        </is>
      </c>
      <c r="V318" s="24" t="inlineStr">
        <is>
          <t>win</t>
        </is>
      </c>
      <c r="W318" s="26" t="n">
        <v>3</v>
      </c>
      <c r="X318" s="26" t="n">
        <v>5</v>
      </c>
      <c r="Y318" s="25" t="n"/>
      <c r="Z318" s="26" t="n">
        <v>117</v>
      </c>
      <c r="AA318" s="28" t="n">
        <v>0.46</v>
      </c>
      <c r="AB318" s="28" t="n">
        <v>-0.000829</v>
      </c>
      <c r="AC318" s="30" t="n">
        <v>0</v>
      </c>
      <c r="AD318" s="24" t="inlineStr">
        <is>
          <t>2026-08-09T23:29:16.509373Z</t>
        </is>
      </c>
      <c r="AE318" s="31" t="inlineStr">
        <is>
          <t>Learned LR call at threshold 0.5873; executable ask 0.4600 (aec-mlb-cle-cws-2026-08-09); model edge vs ask +0.0644.</t>
        </is>
      </c>
      <c r="AF318" s="31" t="inlineStr">
        <is>
          <t>Learned model; shadow-qualified via operator override.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research_observation</t>
        </is>
      </c>
      <c r="AL318" s="26" t="n">
        <v>3</v>
      </c>
      <c r="AM318" s="24" t="inlineStr">
        <is>
          <t>RESEARCH_OBSERVATION</t>
        </is>
      </c>
      <c r="AN318" s="24" t="inlineStr">
        <is>
          <t>NO_CALL</t>
        </is>
      </c>
      <c r="AO318" s="24" t="inlineStr">
        <is>
          <t>NO_CALL_WINNER_OVERVALUED</t>
        </is>
      </c>
      <c r="AP318" s="24" t="inlineStr">
        <is>
          <t>mlb-cle</t>
        </is>
      </c>
      <c r="AQ318" s="24" t="inlineStr">
        <is>
          <t>Cleveland Guardians</t>
        </is>
      </c>
      <c r="AR318" s="24" t="inlineStr">
        <is>
          <t>Cleveland Guardians</t>
        </is>
      </c>
      <c r="AS318" s="24" t="inlineStr">
        <is>
          <t>mlb-cws</t>
        </is>
      </c>
      <c r="AT318" s="24" t="inlineStr">
        <is>
          <t>Chicago White Sox</t>
        </is>
      </c>
      <c r="AU318" s="24" t="inlineStr">
        <is>
          <t>Chicago White Sox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6a5c79541b0e50cb9f7318270e63d5ccc65cbd7bc53a019748ff772d49de5075</t>
        </is>
      </c>
      <c r="BB318" s="24" t="inlineStr">
        <is>
          <t>learned_lr</t>
        </is>
      </c>
      <c r="BC318" s="24" t="inlineStr">
        <is>
          <t>mlb-elo-trend-lr-v8</t>
        </is>
      </c>
      <c r="BD318" s="24" t="inlineStr">
        <is>
          <t>6a5c79541b0e50cb9f7318270e63d5ccc65cbd7bc53a019748ff772d49de5075</t>
        </is>
      </c>
      <c r="BE318" s="24" t="inlineStr">
        <is>
          <t>7cbd1ac72f054b7b</t>
        </is>
      </c>
      <c r="BF318" s="24" t="inlineStr">
        <is>
          <t>1</t>
        </is>
      </c>
      <c r="BG318" s="24" t="inlineStr">
        <is>
          <t>mlb-elo-trend-lr-v8</t>
        </is>
      </c>
      <c r="BH318" s="24" t="inlineStr">
        <is>
          <t>2026-08-09T17:05:37.368908Z</t>
        </is>
      </c>
      <c r="BI318" s="24" t="inlineStr">
        <is>
          <t>["same_event","same_team_same_day","same_league_same_day"]</t>
        </is>
      </c>
      <c r="BJ318" s="25" t="n"/>
      <c r="BK318" s="26" t="n">
        <v>117</v>
      </c>
      <c r="BL318" s="27" t="n">
        <v>2.17</v>
      </c>
      <c r="BM318" s="28" t="n">
        <v>0.460829</v>
      </c>
      <c r="BN318" s="28" t="n">
        <v>0.457711</v>
      </c>
      <c r="BO318" s="28" t="n"/>
      <c r="BP318" s="25" t="n"/>
      <c r="BQ318" s="27" t="n">
        <v>2.17</v>
      </c>
      <c r="BR318" s="28" t="n">
        <v>0.46</v>
      </c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inlineStr">
        <is>
          <t>0.540347346</t>
        </is>
      </c>
      <c r="CD318" s="24" t="inlineStr">
        <is>
          <t>-0.501586</t>
        </is>
      </c>
      <c r="CE318" s="24" t="inlineStr">
        <is>
          <t>0.94</t>
        </is>
      </c>
      <c r="CF318" s="24" t="inlineStr">
        <is>
          <t>1.018</t>
        </is>
      </c>
      <c r="CG318" s="24" t="n"/>
      <c r="CH318" s="24" t="n"/>
      <c r="CI318" s="24" t="n"/>
      <c r="CJ318" s="24" t="inlineStr">
        <is>
          <t>-0.240276</t>
        </is>
      </c>
      <c r="CK318" s="24" t="n"/>
      <c r="CL318" s="24" t="inlineStr">
        <is>
          <t>-0.398017</t>
        </is>
      </c>
      <c r="CM318" s="24" t="inlineStr">
        <is>
          <t>3.3171</t>
        </is>
      </c>
      <c r="CN318" s="24" t="n"/>
      <c r="CO318" s="24" t="n"/>
      <c r="CP318" s="24" t="n"/>
      <c r="CQ318" s="24" t="n"/>
      <c r="CR318" s="24" t="inlineStr">
        <is>
          <t>0.524392</t>
        </is>
      </c>
      <c r="CS318" s="24" t="inlineStr">
        <is>
          <t>True</t>
        </is>
      </c>
    </row>
    <row r="319" ht="36" customHeight="1">
      <c r="A319" s="24" t="inlineStr">
        <is>
          <t>935851a9563244af</t>
        </is>
      </c>
      <c r="B319" s="24" t="inlineStr">
        <is>
          <t>2026-08-09T17:06:21.079905Z</t>
        </is>
      </c>
      <c r="C319" s="24" t="inlineStr">
        <is>
          <t>2026-08-09T14:10:00-0400</t>
        </is>
      </c>
      <c r="D319" s="24" t="inlineStr">
        <is>
          <t>401816464</t>
        </is>
      </c>
      <c r="E319" s="24" t="inlineStr">
        <is>
          <t>MLB</t>
        </is>
      </c>
      <c r="F319" s="24" t="inlineStr">
        <is>
          <t>Minnesota Twins</t>
        </is>
      </c>
      <c r="G319" s="24" t="inlineStr">
        <is>
          <t>Milwaukee Brewers</t>
        </is>
      </c>
      <c r="H319" s="24" t="inlineStr">
        <is>
          <t>moneyline</t>
        </is>
      </c>
      <c r="I319" s="24" t="inlineStr">
        <is>
          <t>home</t>
        </is>
      </c>
      <c r="J319" s="25" t="n"/>
      <c r="K319" s="24" t="inlineStr">
        <is>
          <t>polymarket_us</t>
        </is>
      </c>
      <c r="L319" s="26" t="n">
        <v>-251</v>
      </c>
      <c r="M319" s="27" t="n">
        <v>1.398406</v>
      </c>
      <c r="N319" s="28" t="n">
        <v>0.7151</v>
      </c>
      <c r="O319" s="28" t="n">
        <v>0.640576</v>
      </c>
      <c r="P319" s="28" t="n"/>
      <c r="Q319" s="28" t="n">
        <v>-0.07452400000000001</v>
      </c>
      <c r="R319" s="26" t="n">
        <v>0</v>
      </c>
      <c r="S319" s="29" t="n">
        <v>0</v>
      </c>
      <c r="T319" s="24" t="inlineStr">
        <is>
          <t>mlb-elo-trend-lr-v8</t>
        </is>
      </c>
      <c r="U319" s="24" t="inlineStr">
        <is>
          <t>settled</t>
        </is>
      </c>
      <c r="V319" s="24" t="inlineStr">
        <is>
          <t>win</t>
        </is>
      </c>
      <c r="W319" s="26" t="n">
        <v>3</v>
      </c>
      <c r="X319" s="26" t="n">
        <v>4</v>
      </c>
      <c r="Y319" s="25" t="n"/>
      <c r="Z319" s="26" t="n">
        <v>-251</v>
      </c>
      <c r="AA319" s="28" t="n">
        <v>0.715</v>
      </c>
      <c r="AB319" s="28" t="n">
        <v>-0.0001</v>
      </c>
      <c r="AC319" s="30" t="n">
        <v>0</v>
      </c>
      <c r="AD319" s="24" t="inlineStr">
        <is>
          <t>2026-08-09T23:29:17.892549Z</t>
        </is>
      </c>
      <c r="AE319" s="31" t="inlineStr">
        <is>
          <t>Learned LR call at threshold 0.5873; executable ask 0.7150 (aec-mlb-min-mil-2026-08-09); model edge vs ask -0.0744.</t>
        </is>
      </c>
      <c r="AF319" s="31" t="inlineStr">
        <is>
          <t>Learned model; shadow-qualified via operator override.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research_observation</t>
        </is>
      </c>
      <c r="AL319" s="26" t="n">
        <v>3</v>
      </c>
      <c r="AM319" s="24" t="inlineStr">
        <is>
          <t>RESEARCH_OBSERVATION</t>
        </is>
      </c>
      <c r="AN319" s="24" t="inlineStr">
        <is>
          <t>NO_CALL</t>
        </is>
      </c>
      <c r="AO319" s="24" t="inlineStr">
        <is>
          <t>NO_CALL_WINNER_OVERVALUED</t>
        </is>
      </c>
      <c r="AP319" s="24" t="inlineStr">
        <is>
          <t>mlb-min</t>
        </is>
      </c>
      <c r="AQ319" s="24" t="inlineStr">
        <is>
          <t>Minnesota Twins</t>
        </is>
      </c>
      <c r="AR319" s="24" t="inlineStr">
        <is>
          <t>Minnesota Twins</t>
        </is>
      </c>
      <c r="AS319" s="24" t="inlineStr">
        <is>
          <t>mlb-mil</t>
        </is>
      </c>
      <c r="AT319" s="24" t="inlineStr">
        <is>
          <t>Milwaukee Brewers</t>
        </is>
      </c>
      <c r="AU319" s="24" t="inlineStr">
        <is>
          <t>Milwaukee Brewers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6a5c79541b0e50cb9f7318270e63d5ccc65cbd7bc53a019748ff772d49de5075</t>
        </is>
      </c>
      <c r="BB319" s="24" t="inlineStr">
        <is>
          <t>learned_lr</t>
        </is>
      </c>
      <c r="BC319" s="24" t="inlineStr">
        <is>
          <t>mlb-elo-trend-lr-v8</t>
        </is>
      </c>
      <c r="BD319" s="24" t="inlineStr">
        <is>
          <t>6a5c79541b0e50cb9f7318270e63d5ccc65cbd7bc53a019748ff772d49de5075</t>
        </is>
      </c>
      <c r="BE319" s="24" t="inlineStr">
        <is>
          <t>21d4da21b018d1f2</t>
        </is>
      </c>
      <c r="BF319" s="24" t="inlineStr">
        <is>
          <t>1</t>
        </is>
      </c>
      <c r="BG319" s="24" t="inlineStr">
        <is>
          <t>mlb-elo-trend-lr-v8</t>
        </is>
      </c>
      <c r="BH319" s="24" t="inlineStr">
        <is>
          <t>2026-08-09T17:05:36.603159Z</t>
        </is>
      </c>
      <c r="BI319" s="24" t="inlineStr">
        <is>
          <t>["same_event","same_team_same_day","same_league_same_day"]</t>
        </is>
      </c>
      <c r="BJ319" s="25" t="n"/>
      <c r="BK319" s="26" t="n">
        <v>-251</v>
      </c>
      <c r="BL319" s="27" t="n">
        <v>1.398406</v>
      </c>
      <c r="BM319" s="28" t="n">
        <v>0.7151</v>
      </c>
      <c r="BN319" s="28" t="n">
        <v>0.711443</v>
      </c>
      <c r="BO319" s="28" t="n"/>
      <c r="BP319" s="25" t="n"/>
      <c r="BQ319" s="27" t="n">
        <v>1.398406</v>
      </c>
      <c r="BR319" s="28" t="n">
        <v>0.715</v>
      </c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inlineStr">
        <is>
          <t>0.6687321655</t>
        </is>
      </c>
      <c r="CD319" s="24" t="inlineStr">
        <is>
          <t>-0.226419</t>
        </is>
      </c>
      <c r="CE319" s="24" t="inlineStr">
        <is>
          <t>0.997</t>
        </is>
      </c>
      <c r="CF319" s="24" t="inlineStr">
        <is>
          <t>1.0</t>
        </is>
      </c>
      <c r="CG319" s="24" t="n"/>
      <c r="CH319" s="24" t="n"/>
      <c r="CI319" s="24" t="n"/>
      <c r="CJ319" s="24" t="inlineStr">
        <is>
          <t>-0.484852</t>
        </is>
      </c>
      <c r="CK319" s="24" t="n"/>
      <c r="CL319" s="24" t="inlineStr">
        <is>
          <t>-0.143495</t>
        </is>
      </c>
      <c r="CM319" s="24" t="inlineStr">
        <is>
          <t>-2.1518</t>
        </is>
      </c>
      <c r="CN319" s="24" t="n"/>
      <c r="CO319" s="24" t="n"/>
      <c r="CP319" s="24" t="n"/>
      <c r="CQ319" s="24" t="n"/>
      <c r="CR319" s="24" t="inlineStr">
        <is>
          <t>0.640576</t>
        </is>
      </c>
      <c r="CS319" s="24" t="inlineStr">
        <is>
          <t>False</t>
        </is>
      </c>
    </row>
    <row r="320" ht="36" customHeight="1">
      <c r="A320" s="24" t="inlineStr">
        <is>
          <t>d204a241ce2048a0</t>
        </is>
      </c>
      <c r="B320" s="24" t="inlineStr">
        <is>
          <t>2026-08-09T17:06:21.079905Z</t>
        </is>
      </c>
      <c r="C320" s="24" t="inlineStr">
        <is>
          <t>2026-08-09T14:15:00-0400</t>
        </is>
      </c>
      <c r="D320" s="24" t="inlineStr">
        <is>
          <t>401816463</t>
        </is>
      </c>
      <c r="E320" s="24" t="inlineStr">
        <is>
          <t>MLB</t>
        </is>
      </c>
      <c r="F320" s="24" t="inlineStr">
        <is>
          <t>Colorado Rockies</t>
        </is>
      </c>
      <c r="G320" s="24" t="inlineStr">
        <is>
          <t>St. Louis Cardinals</t>
        </is>
      </c>
      <c r="H320" s="24" t="inlineStr">
        <is>
          <t>moneyline</t>
        </is>
      </c>
      <c r="I320" s="24" t="inlineStr">
        <is>
          <t>home</t>
        </is>
      </c>
      <c r="J320" s="25" t="n"/>
      <c r="K320" s="24" t="inlineStr">
        <is>
          <t>polymarket_us</t>
        </is>
      </c>
      <c r="L320" s="26" t="n">
        <v>-153</v>
      </c>
      <c r="M320" s="27" t="n">
        <v>1.653595</v>
      </c>
      <c r="N320" s="28" t="n">
        <v>0.604743</v>
      </c>
      <c r="O320" s="28" t="n">
        <v>0.653323</v>
      </c>
      <c r="P320" s="28" t="n"/>
      <c r="Q320" s="28" t="n">
        <v>0.04858</v>
      </c>
      <c r="R320" s="26" t="n">
        <v>46</v>
      </c>
      <c r="S320" s="29" t="n">
        <v>0</v>
      </c>
      <c r="T320" s="24" t="inlineStr">
        <is>
          <t>mlb-elo-trend-lr-v8</t>
        </is>
      </c>
      <c r="U320" s="24" t="inlineStr">
        <is>
          <t>settled</t>
        </is>
      </c>
      <c r="V320" s="24" t="inlineStr">
        <is>
          <t>win</t>
        </is>
      </c>
      <c r="W320" s="26" t="n">
        <v>4</v>
      </c>
      <c r="X320" s="26" t="n">
        <v>7</v>
      </c>
      <c r="Y320" s="25" t="n"/>
      <c r="Z320" s="26" t="n">
        <v>-153</v>
      </c>
      <c r="AA320" s="28" t="n">
        <v>0.605</v>
      </c>
      <c r="AB320" s="28" t="n">
        <v>0.000257</v>
      </c>
      <c r="AC320" s="30" t="n">
        <v>0</v>
      </c>
      <c r="AD320" s="24" t="inlineStr">
        <is>
          <t>2026-08-09T23:29:19.222106Z</t>
        </is>
      </c>
      <c r="AE320" s="31" t="inlineStr">
        <is>
          <t>Learned LR call at threshold 0.5873; executable ask 0.6050 (aec-mlb-col-stl-2026-08-09); model edge vs ask +0.0483.</t>
        </is>
      </c>
      <c r="AF320" s="31" t="inlineStr">
        <is>
          <t>Learned model; shadow-qualified via operator override.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research_observation</t>
        </is>
      </c>
      <c r="AL320" s="26" t="n">
        <v>3</v>
      </c>
      <c r="AM320" s="24" t="inlineStr">
        <is>
          <t>RESEARCH_OBSERVATION</t>
        </is>
      </c>
      <c r="AN320" s="24" t="inlineStr">
        <is>
          <t>NO_CALL</t>
        </is>
      </c>
      <c r="AO320" s="24" t="inlineStr">
        <is>
          <t>NO_CALL_WINNER_OVERVALUED</t>
        </is>
      </c>
      <c r="AP320" s="24" t="inlineStr">
        <is>
          <t>mlb-col</t>
        </is>
      </c>
      <c r="AQ320" s="24" t="inlineStr">
        <is>
          <t>Colorado Rockies</t>
        </is>
      </c>
      <c r="AR320" s="24" t="inlineStr">
        <is>
          <t>Colorado Rockies</t>
        </is>
      </c>
      <c r="AS320" s="24" t="inlineStr">
        <is>
          <t>mlb-stl</t>
        </is>
      </c>
      <c r="AT320" s="24" t="inlineStr">
        <is>
          <t>St. Louis Cardinals</t>
        </is>
      </c>
      <c r="AU320" s="24" t="inlineStr">
        <is>
          <t>St. Louis Cardinals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6a5c79541b0e50cb9f7318270e63d5ccc65cbd7bc53a019748ff772d49de5075</t>
        </is>
      </c>
      <c r="BB320" s="24" t="inlineStr">
        <is>
          <t>learned_lr</t>
        </is>
      </c>
      <c r="BC320" s="24" t="inlineStr">
        <is>
          <t>mlb-elo-trend-lr-v8</t>
        </is>
      </c>
      <c r="BD320" s="24" t="inlineStr">
        <is>
          <t>6a5c79541b0e50cb9f7318270e63d5ccc65cbd7bc53a019748ff772d49de5075</t>
        </is>
      </c>
      <c r="BE320" s="24" t="inlineStr">
        <is>
          <t>e37248301eb7acf4</t>
        </is>
      </c>
      <c r="BF320" s="24" t="inlineStr">
        <is>
          <t>1</t>
        </is>
      </c>
      <c r="BG320" s="24" t="inlineStr">
        <is>
          <t>mlb-elo-trend-lr-v8</t>
        </is>
      </c>
      <c r="BH320" s="24" t="inlineStr">
        <is>
          <t>2026-08-09T17:05:38.039098Z</t>
        </is>
      </c>
      <c r="BI320" s="24" t="inlineStr">
        <is>
          <t>["same_event","same_team_same_day","same_league_same_day"]</t>
        </is>
      </c>
      <c r="BJ320" s="25" t="n"/>
      <c r="BK320" s="26" t="n">
        <v>-153</v>
      </c>
      <c r="BL320" s="27" t="n">
        <v>1.653595</v>
      </c>
      <c r="BM320" s="28" t="n">
        <v>0.604743</v>
      </c>
      <c r="BN320" s="28" t="n">
        <v>0.60199</v>
      </c>
      <c r="BO320" s="28" t="n"/>
      <c r="BP320" s="25" t="n"/>
      <c r="BQ320" s="27" t="n">
        <v>1.653595</v>
      </c>
      <c r="BR320" s="28" t="n">
        <v>0.605</v>
      </c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inlineStr">
        <is>
          <t>0.6529117223</t>
        </is>
      </c>
      <c r="CD320" s="24" t="inlineStr">
        <is>
          <t>-0.716361</t>
        </is>
      </c>
      <c r="CE320" s="24" t="inlineStr">
        <is>
          <t>0.946</t>
        </is>
      </c>
      <c r="CF320" s="24" t="inlineStr">
        <is>
          <t>1.0293</t>
        </is>
      </c>
      <c r="CG320" s="24" t="n"/>
      <c r="CH320" s="24" t="n"/>
      <c r="CI320" s="24" t="n"/>
      <c r="CJ320" s="24" t="inlineStr">
        <is>
          <t>0.155234</t>
        </is>
      </c>
      <c r="CK320" s="24" t="n"/>
      <c r="CL320" s="24" t="inlineStr">
        <is>
          <t>0.060177</t>
        </is>
      </c>
      <c r="CM320" s="24" t="inlineStr">
        <is>
          <t>-3.3879</t>
        </is>
      </c>
      <c r="CN320" s="24" t="n"/>
      <c r="CO320" s="24" t="n"/>
      <c r="CP320" s="24" t="n"/>
      <c r="CQ320" s="24" t="n"/>
      <c r="CR320" s="24" t="inlineStr">
        <is>
          <t>0.653323</t>
        </is>
      </c>
      <c r="CS320" s="24" t="inlineStr">
        <is>
          <t>True</t>
        </is>
      </c>
    </row>
    <row r="321" ht="36" customHeight="1">
      <c r="A321" s="24" t="inlineStr">
        <is>
          <t>67c72c61d1b24593</t>
        </is>
      </c>
      <c r="B321" s="24" t="inlineStr">
        <is>
          <t>2026-08-09T17:06:21.079905Z</t>
        </is>
      </c>
      <c r="C321" s="24" t="inlineStr">
        <is>
          <t>2026-08-09T14:35:00-0400</t>
        </is>
      </c>
      <c r="D321" s="24" t="inlineStr">
        <is>
          <t>401816460</t>
        </is>
      </c>
      <c r="E321" s="24" t="inlineStr">
        <is>
          <t>MLB</t>
        </is>
      </c>
      <c r="F321" s="24" t="inlineStr">
        <is>
          <t>Baltimore Orioles</t>
        </is>
      </c>
      <c r="G321" s="24" t="inlineStr">
        <is>
          <t>Texas Rangers</t>
        </is>
      </c>
      <c r="H321" s="24" t="inlineStr">
        <is>
          <t>moneyline</t>
        </is>
      </c>
      <c r="I321" s="24" t="inlineStr">
        <is>
          <t>home</t>
        </is>
      </c>
      <c r="J321" s="25" t="n"/>
      <c r="K321" s="24" t="inlineStr">
        <is>
          <t>polymarket_us</t>
        </is>
      </c>
      <c r="L321" s="26" t="n">
        <v>-120</v>
      </c>
      <c r="M321" s="27" t="n">
        <v>1.833333</v>
      </c>
      <c r="N321" s="28" t="n">
        <v>0.545455</v>
      </c>
      <c r="O321" s="28" t="n">
        <v>0.5361399999999999</v>
      </c>
      <c r="P321" s="28" t="n"/>
      <c r="Q321" s="28" t="n">
        <v>-0.009315</v>
      </c>
      <c r="R321" s="26" t="n">
        <v>17</v>
      </c>
      <c r="S321" s="29" t="n">
        <v>0</v>
      </c>
      <c r="T321" s="24" t="inlineStr">
        <is>
          <t>mlb-elo-trend-lr-v8</t>
        </is>
      </c>
      <c r="U321" s="24" t="inlineStr">
        <is>
          <t>settled</t>
        </is>
      </c>
      <c r="V321" s="24" t="inlineStr">
        <is>
          <t>loss</t>
        </is>
      </c>
      <c r="W321" s="26" t="n">
        <v>10</v>
      </c>
      <c r="X321" s="26" t="n">
        <v>5</v>
      </c>
      <c r="Y321" s="25" t="n"/>
      <c r="Z321" s="26" t="n">
        <v>-120</v>
      </c>
      <c r="AA321" s="28" t="n">
        <v>0.545</v>
      </c>
      <c r="AB321" s="28" t="n">
        <v>-0.000455</v>
      </c>
      <c r="AC321" s="30" t="n">
        <v>0</v>
      </c>
      <c r="AD321" s="24" t="inlineStr">
        <is>
          <t>2026-08-09T23:29:20.606410Z</t>
        </is>
      </c>
      <c r="AE321" s="31" t="inlineStr">
        <is>
          <t>Learned LR call at threshold 0.5873; executable ask 0.5450 (aec-mlb-bal-tex-2026-08-09); model edge vs ask -0.0089.</t>
        </is>
      </c>
      <c r="AF321" s="31" t="inlineStr">
        <is>
          <t>Learned model; shadow-qualified via operator override.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research_observation</t>
        </is>
      </c>
      <c r="AL321" s="26" t="n">
        <v>3</v>
      </c>
      <c r="AM321" s="24" t="inlineStr">
        <is>
          <t>RESEARCH_OBSERVATION</t>
        </is>
      </c>
      <c r="AN321" s="24" t="inlineStr">
        <is>
          <t>NO_CALL</t>
        </is>
      </c>
      <c r="AO321" s="24" t="inlineStr">
        <is>
          <t>NO_CALL_WINNER_OVERVALUED</t>
        </is>
      </c>
      <c r="AP321" s="24" t="inlineStr">
        <is>
          <t>mlb-bal</t>
        </is>
      </c>
      <c r="AQ321" s="24" t="inlineStr">
        <is>
          <t>Baltimore Orioles</t>
        </is>
      </c>
      <c r="AR321" s="24" t="inlineStr">
        <is>
          <t>Baltimore Orioles</t>
        </is>
      </c>
      <c r="AS321" s="24" t="inlineStr">
        <is>
          <t>mlb-tex</t>
        </is>
      </c>
      <c r="AT321" s="24" t="inlineStr">
        <is>
          <t>Texas Rangers</t>
        </is>
      </c>
      <c r="AU321" s="24" t="inlineStr">
        <is>
          <t>Texas Rangers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6a5c79541b0e50cb9f7318270e63d5ccc65cbd7bc53a019748ff772d49de5075</t>
        </is>
      </c>
      <c r="BB321" s="24" t="inlineStr">
        <is>
          <t>learned_lr</t>
        </is>
      </c>
      <c r="BC321" s="24" t="inlineStr">
        <is>
          <t>mlb-elo-trend-lr-v8</t>
        </is>
      </c>
      <c r="BD321" s="24" t="inlineStr">
        <is>
          <t>6a5c79541b0e50cb9f7318270e63d5ccc65cbd7bc53a019748ff772d49de5075</t>
        </is>
      </c>
      <c r="BE321" s="24" t="inlineStr">
        <is>
          <t>d830eb2ea62a9e6c</t>
        </is>
      </c>
      <c r="BF321" s="24" t="inlineStr">
        <is>
          <t>1</t>
        </is>
      </c>
      <c r="BG321" s="24" t="inlineStr">
        <is>
          <t>mlb-elo-trend-lr-v8</t>
        </is>
      </c>
      <c r="BH321" s="24" t="inlineStr">
        <is>
          <t>2026-08-09T17:05:38.458433Z</t>
        </is>
      </c>
      <c r="BI321" s="24" t="inlineStr">
        <is>
          <t>["same_event","same_team_same_day","same_league_same_day"]</t>
        </is>
      </c>
      <c r="BJ321" s="25" t="n"/>
      <c r="BK321" s="26" t="n">
        <v>-120</v>
      </c>
      <c r="BL321" s="27" t="n">
        <v>1.833333</v>
      </c>
      <c r="BM321" s="28" t="n">
        <v>0.545455</v>
      </c>
      <c r="BN321" s="28" t="n">
        <v>0.542289</v>
      </c>
      <c r="BO321" s="28" t="n"/>
      <c r="BP321" s="25" t="n"/>
      <c r="BQ321" s="27" t="n">
        <v>1.833333</v>
      </c>
      <c r="BR321" s="28" t="n">
        <v>0.545</v>
      </c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inlineStr">
        <is>
          <t>0.526211665</t>
        </is>
      </c>
      <c r="CD321" s="24" t="inlineStr">
        <is>
          <t>1.482199</t>
        </is>
      </c>
      <c r="CE321" s="24" t="inlineStr">
        <is>
          <t>0.913</t>
        </is>
      </c>
      <c r="CF321" s="24" t="inlineStr">
        <is>
          <t>1.0</t>
        </is>
      </c>
      <c r="CG321" s="24" t="n"/>
      <c r="CH321" s="24" t="n"/>
      <c r="CI321" s="24" t="n"/>
      <c r="CJ321" s="24" t="inlineStr">
        <is>
          <t>1.494093</t>
        </is>
      </c>
      <c r="CK321" s="24" t="n"/>
      <c r="CL321" s="24" t="inlineStr">
        <is>
          <t>0.154309</t>
        </is>
      </c>
      <c r="CM321" s="24" t="inlineStr">
        <is>
          <t>1.9587</t>
        </is>
      </c>
      <c r="CN321" s="24" t="n"/>
      <c r="CO321" s="24" t="n"/>
      <c r="CP321" s="24" t="n"/>
      <c r="CQ321" s="24" t="n"/>
      <c r="CR321" s="24" t="inlineStr">
        <is>
          <t>0.53614</t>
        </is>
      </c>
      <c r="CS321" s="24" t="inlineStr">
        <is>
          <t>False</t>
        </is>
      </c>
    </row>
    <row r="322" ht="36" customHeight="1">
      <c r="A322" s="24" t="inlineStr">
        <is>
          <t>1ff258bb32e9420c</t>
        </is>
      </c>
      <c r="B322" s="24" t="inlineStr">
        <is>
          <t>2026-08-09T17:06:21.079905Z</t>
        </is>
      </c>
      <c r="C322" s="24" t="inlineStr">
        <is>
          <t>2026-08-09T16:05:00-0400</t>
        </is>
      </c>
      <c r="D322" s="24" t="inlineStr">
        <is>
          <t>401816465</t>
        </is>
      </c>
      <c r="E322" s="24" t="inlineStr">
        <is>
          <t>MLB</t>
        </is>
      </c>
      <c r="F322" s="24" t="inlineStr">
        <is>
          <t>Detroit Tigers</t>
        </is>
      </c>
      <c r="G322" s="24" t="inlineStr">
        <is>
          <t>San Francisco Giants</t>
        </is>
      </c>
      <c r="H322" s="24" t="inlineStr">
        <is>
          <t>moneyline</t>
        </is>
      </c>
      <c r="I322" s="24" t="inlineStr">
        <is>
          <t>away</t>
        </is>
      </c>
      <c r="J322" s="25" t="n"/>
      <c r="K322" s="24" t="inlineStr">
        <is>
          <t>polymarket_us</t>
        </is>
      </c>
      <c r="L322" s="26" t="n">
        <v>-117</v>
      </c>
      <c r="M322" s="27" t="n">
        <v>1.854701</v>
      </c>
      <c r="N322" s="28" t="n">
        <v>0.539171</v>
      </c>
      <c r="O322" s="28" t="n">
        <v>0.523918</v>
      </c>
      <c r="P322" s="28" t="n"/>
      <c r="Q322" s="28" t="n">
        <v>-0.015253</v>
      </c>
      <c r="R322" s="26" t="n">
        <v>13</v>
      </c>
      <c r="S322" s="29" t="n">
        <v>0</v>
      </c>
      <c r="T322" s="24" t="inlineStr">
        <is>
          <t>mlb-elo-trend-lr-v8</t>
        </is>
      </c>
      <c r="U322" s="24" t="inlineStr">
        <is>
          <t>settled</t>
        </is>
      </c>
      <c r="V322" s="24" t="inlineStr">
        <is>
          <t>win</t>
        </is>
      </c>
      <c r="W322" s="26" t="n">
        <v>3</v>
      </c>
      <c r="X322" s="26" t="n">
        <v>1</v>
      </c>
      <c r="Y322" s="25" t="n"/>
      <c r="Z322" s="26" t="n">
        <v>-117</v>
      </c>
      <c r="AA322" s="28" t="n">
        <v>0.54</v>
      </c>
      <c r="AB322" s="28" t="n">
        <v>0.000829</v>
      </c>
      <c r="AC322" s="30" t="n">
        <v>0</v>
      </c>
      <c r="AD322" s="24" t="inlineStr">
        <is>
          <t>2026-08-09T23:29:22.020402Z</t>
        </is>
      </c>
      <c r="AE322" s="31" t="inlineStr">
        <is>
          <t>Learned LR call at threshold 0.5873; executable ask 0.5400 (aec-mlb-det-sf-2026-08-09); model edge vs ask -0.0161.</t>
        </is>
      </c>
      <c r="AF322" s="31" t="inlineStr">
        <is>
          <t>Learned model; shadow-qualified via operator override.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research_observation</t>
        </is>
      </c>
      <c r="AL322" s="26" t="n">
        <v>3</v>
      </c>
      <c r="AM322" s="24" t="inlineStr">
        <is>
          <t>RESEARCH_OBSERVATION</t>
        </is>
      </c>
      <c r="AN322" s="24" t="inlineStr">
        <is>
          <t>NO_CALL</t>
        </is>
      </c>
      <c r="AO322" s="24" t="inlineStr">
        <is>
          <t>NO_CALL_WINNER_OVERVALUED</t>
        </is>
      </c>
      <c r="AP322" s="24" t="inlineStr">
        <is>
          <t>mlb-det</t>
        </is>
      </c>
      <c r="AQ322" s="24" t="inlineStr">
        <is>
          <t>Detroit Tigers</t>
        </is>
      </c>
      <c r="AR322" s="24" t="inlineStr">
        <is>
          <t>Detroit Tigers</t>
        </is>
      </c>
      <c r="AS322" s="24" t="inlineStr">
        <is>
          <t>mlb-sf</t>
        </is>
      </c>
      <c r="AT322" s="24" t="inlineStr">
        <is>
          <t>San Francisco Giants</t>
        </is>
      </c>
      <c r="AU322" s="24" t="inlineStr">
        <is>
          <t>San Francisco Giants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6a5c79541b0e50cb9f7318270e63d5ccc65cbd7bc53a019748ff772d49de5075</t>
        </is>
      </c>
      <c r="BB322" s="24" t="inlineStr">
        <is>
          <t>learned_lr</t>
        </is>
      </c>
      <c r="BC322" s="24" t="inlineStr">
        <is>
          <t>mlb-elo-trend-lr-v8</t>
        </is>
      </c>
      <c r="BD322" s="24" t="inlineStr">
        <is>
          <t>6a5c79541b0e50cb9f7318270e63d5ccc65cbd7bc53a019748ff772d49de5075</t>
        </is>
      </c>
      <c r="BE322" s="24" t="inlineStr">
        <is>
          <t>f469f5a9760bf0fd</t>
        </is>
      </c>
      <c r="BF322" s="24" t="inlineStr">
        <is>
          <t>1</t>
        </is>
      </c>
      <c r="BG322" s="24" t="inlineStr">
        <is>
          <t>mlb-elo-trend-lr-v8</t>
        </is>
      </c>
      <c r="BH322" s="24" t="inlineStr">
        <is>
          <t>2026-08-09T17:05:39.000411Z</t>
        </is>
      </c>
      <c r="BI322" s="24" t="inlineStr">
        <is>
          <t>["same_event","same_team_same_day","same_league_same_day"]</t>
        </is>
      </c>
      <c r="BJ322" s="25" t="n"/>
      <c r="BK322" s="26" t="n">
        <v>-117</v>
      </c>
      <c r="BL322" s="27" t="n">
        <v>1.854701</v>
      </c>
      <c r="BM322" s="28" t="n">
        <v>0.539171</v>
      </c>
      <c r="BN322" s="28" t="n">
        <v>0.537313</v>
      </c>
      <c r="BO322" s="28" t="n"/>
      <c r="BP322" s="25" t="n"/>
      <c r="BQ322" s="27" t="n">
        <v>1.854701</v>
      </c>
      <c r="BR322" s="28" t="n">
        <v>0.54</v>
      </c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inlineStr">
        <is>
          <t>0.4401408662</t>
        </is>
      </c>
      <c r="CD322" s="24" t="inlineStr">
        <is>
          <t>-3.514012</t>
        </is>
      </c>
      <c r="CE322" s="24" t="inlineStr">
        <is>
          <t>0.982</t>
        </is>
      </c>
      <c r="CF322" s="24" t="inlineStr">
        <is>
          <t>1.0043</t>
        </is>
      </c>
      <c r="CG322" s="24" t="n"/>
      <c r="CH322" s="24" t="n"/>
      <c r="CI322" s="24" t="n"/>
      <c r="CJ322" s="24" t="inlineStr">
        <is>
          <t>-2.215083</t>
        </is>
      </c>
      <c r="CK322" s="24" t="n"/>
      <c r="CL322" s="24" t="inlineStr">
        <is>
          <t>0.143478</t>
        </is>
      </c>
      <c r="CM322" s="24" t="inlineStr">
        <is>
          <t>3.9572</t>
        </is>
      </c>
      <c r="CN322" s="24" t="n"/>
      <c r="CO322" s="24" t="n"/>
      <c r="CP322" s="24" t="n"/>
      <c r="CQ322" s="24" t="n"/>
      <c r="CR322" s="24" t="inlineStr">
        <is>
          <t>0.523918</t>
        </is>
      </c>
      <c r="CS322" s="24" t="inlineStr">
        <is>
          <t>False</t>
        </is>
      </c>
    </row>
    <row r="323" ht="36" customHeight="1">
      <c r="A323" s="24" t="inlineStr">
        <is>
          <t>ef92dd36222647d7</t>
        </is>
      </c>
      <c r="B323" s="24" t="inlineStr">
        <is>
          <t>2026-08-09T17:06:21.079905Z</t>
        </is>
      </c>
      <c r="C323" s="24" t="inlineStr">
        <is>
          <t>2026-08-09T16:10:00-0400</t>
        </is>
      </c>
      <c r="D323" s="24" t="inlineStr">
        <is>
          <t>401816467</t>
        </is>
      </c>
      <c r="E323" s="24" t="inlineStr">
        <is>
          <t>MLB</t>
        </is>
      </c>
      <c r="F323" s="24" t="inlineStr">
        <is>
          <t>Los Angeles Dodgers</t>
        </is>
      </c>
      <c r="G323" s="24" t="inlineStr">
        <is>
          <t>Arizona Diamondbacks</t>
        </is>
      </c>
      <c r="H323" s="24" t="inlineStr">
        <is>
          <t>moneyline</t>
        </is>
      </c>
      <c r="I323" s="24" t="inlineStr">
        <is>
          <t>away</t>
        </is>
      </c>
      <c r="J323" s="25" t="n"/>
      <c r="K323" s="24" t="inlineStr">
        <is>
          <t>polymarket_us</t>
        </is>
      </c>
      <c r="L323" s="26" t="n">
        <v>-135</v>
      </c>
      <c r="M323" s="27" t="n">
        <v>1.740741</v>
      </c>
      <c r="N323" s="28" t="n">
        <v>0.574468</v>
      </c>
      <c r="O323" s="28" t="n">
        <v>0.537223</v>
      </c>
      <c r="P323" s="28" t="n"/>
      <c r="Q323" s="28" t="n">
        <v>-0.037245</v>
      </c>
      <c r="R323" s="26" t="n">
        <v>3</v>
      </c>
      <c r="S323" s="29" t="n">
        <v>0</v>
      </c>
      <c r="T323" s="24" t="inlineStr">
        <is>
          <t>mlb-elo-trend-lr-v8</t>
        </is>
      </c>
      <c r="U323" s="24" t="inlineStr">
        <is>
          <t>settled</t>
        </is>
      </c>
      <c r="V323" s="24" t="inlineStr">
        <is>
          <t>loss</t>
        </is>
      </c>
      <c r="W323" s="26" t="n">
        <v>2</v>
      </c>
      <c r="X323" s="26" t="n">
        <v>4</v>
      </c>
      <c r="Y323" s="25" t="n"/>
      <c r="Z323" s="26" t="n">
        <v>-135</v>
      </c>
      <c r="AA323" s="28" t="n">
        <v>0.575</v>
      </c>
      <c r="AB323" s="28" t="n">
        <v>0.000532</v>
      </c>
      <c r="AC323" s="30" t="n">
        <v>0</v>
      </c>
      <c r="AD323" s="24" t="inlineStr">
        <is>
          <t>2026-08-09T23:29:23.414165Z</t>
        </is>
      </c>
      <c r="AE323" s="31" t="inlineStr">
        <is>
          <t>Learned LR call at threshold 0.5873; executable ask 0.5750 (aec-mlb-lad-az-2026-08-09); model edge vs ask -0.0378.</t>
        </is>
      </c>
      <c r="AF323" s="31" t="inlineStr">
        <is>
          <t>Learned model; shadow-qualified via operator override.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research_observation</t>
        </is>
      </c>
      <c r="AL323" s="26" t="n">
        <v>3</v>
      </c>
      <c r="AM323" s="24" t="inlineStr">
        <is>
          <t>RESEARCH_OBSERVATION</t>
        </is>
      </c>
      <c r="AN323" s="24" t="inlineStr">
        <is>
          <t>NO_CALL</t>
        </is>
      </c>
      <c r="AO323" s="24" t="inlineStr">
        <is>
          <t>NO_CALL_WINNER_OVERVALUED</t>
        </is>
      </c>
      <c r="AP323" s="24" t="inlineStr">
        <is>
          <t>mlb-lad</t>
        </is>
      </c>
      <c r="AQ323" s="24" t="inlineStr">
        <is>
          <t>Los Angeles Dodgers</t>
        </is>
      </c>
      <c r="AR323" s="24" t="inlineStr">
        <is>
          <t>Los Angeles Dodgers</t>
        </is>
      </c>
      <c r="AS323" s="24" t="inlineStr">
        <is>
          <t>mlb-ari</t>
        </is>
      </c>
      <c r="AT323" s="24" t="inlineStr">
        <is>
          <t>Arizona Diamondbacks</t>
        </is>
      </c>
      <c r="AU323" s="24" t="inlineStr">
        <is>
          <t>Arizona Diamondbacks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6a5c79541b0e50cb9f7318270e63d5ccc65cbd7bc53a019748ff772d49de5075</t>
        </is>
      </c>
      <c r="BB323" s="24" t="inlineStr">
        <is>
          <t>learned_lr</t>
        </is>
      </c>
      <c r="BC323" s="24" t="inlineStr">
        <is>
          <t>mlb-elo-trend-lr-v8</t>
        </is>
      </c>
      <c r="BD323" s="24" t="inlineStr">
        <is>
          <t>6a5c79541b0e50cb9f7318270e63d5ccc65cbd7bc53a019748ff772d49de5075</t>
        </is>
      </c>
      <c r="BE323" s="24" t="inlineStr">
        <is>
          <t>aac436d6916cd50c</t>
        </is>
      </c>
      <c r="BF323" s="24" t="inlineStr">
        <is>
          <t>1</t>
        </is>
      </c>
      <c r="BG323" s="24" t="inlineStr">
        <is>
          <t>mlb-elo-trend-lr-v8</t>
        </is>
      </c>
      <c r="BH323" s="24" t="inlineStr">
        <is>
          <t>2026-08-09T17:05:39.558971Z</t>
        </is>
      </c>
      <c r="BI323" s="24" t="inlineStr">
        <is>
          <t>["same_event","same_team_same_day","same_league_same_day"]</t>
        </is>
      </c>
      <c r="BJ323" s="25" t="n"/>
      <c r="BK323" s="26" t="n">
        <v>-135</v>
      </c>
      <c r="BL323" s="27" t="n">
        <v>1.740741</v>
      </c>
      <c r="BM323" s="28" t="n">
        <v>0.574468</v>
      </c>
      <c r="BN323" s="28" t="n">
        <v>0.572139</v>
      </c>
      <c r="BO323" s="28" t="n"/>
      <c r="BP323" s="25" t="n"/>
      <c r="BQ323" s="27" t="n">
        <v>1.740741</v>
      </c>
      <c r="BR323" s="28" t="n">
        <v>0.575</v>
      </c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inlineStr">
        <is>
          <t>0.470471916</t>
        </is>
      </c>
      <c r="CD323" s="24" t="inlineStr">
        <is>
          <t>0.648918</t>
        </is>
      </c>
      <c r="CE323" s="24" t="inlineStr">
        <is>
          <t>1.097</t>
        </is>
      </c>
      <c r="CF323" s="24" t="inlineStr">
        <is>
          <t>1.0</t>
        </is>
      </c>
      <c r="CG323" s="24" t="n"/>
      <c r="CH323" s="24" t="n"/>
      <c r="CI323" s="24" t="n"/>
      <c r="CJ323" s="24" t="inlineStr">
        <is>
          <t>1.119977</t>
        </is>
      </c>
      <c r="CK323" s="24" t="n"/>
      <c r="CL323" s="24" t="inlineStr">
        <is>
          <t>0.195971</t>
        </is>
      </c>
      <c r="CM323" s="24" t="inlineStr">
        <is>
          <t>1.205</t>
        </is>
      </c>
      <c r="CN323" s="24" t="n"/>
      <c r="CO323" s="24" t="n"/>
      <c r="CP323" s="24" t="n"/>
      <c r="CQ323" s="24" t="n"/>
      <c r="CR323" s="24" t="inlineStr">
        <is>
          <t>0.537223</t>
        </is>
      </c>
      <c r="CS323" s="24" t="inlineStr">
        <is>
          <t>False</t>
        </is>
      </c>
    </row>
    <row r="324" ht="36" customHeight="1">
      <c r="A324" s="24" t="inlineStr">
        <is>
          <t>1ed9295d5cbb44b3</t>
        </is>
      </c>
      <c r="B324" s="24" t="inlineStr">
        <is>
          <t>2026-08-09T17:06:21.079905Z</t>
        </is>
      </c>
      <c r="C324" s="24" t="inlineStr">
        <is>
          <t>2026-08-09T16:10:00-0400</t>
        </is>
      </c>
      <c r="D324" s="24" t="inlineStr">
        <is>
          <t>401816468</t>
        </is>
      </c>
      <c r="E324" s="24" t="inlineStr">
        <is>
          <t>MLB</t>
        </is>
      </c>
      <c r="F324" s="24" t="inlineStr">
        <is>
          <t>Tampa Bay Rays</t>
        </is>
      </c>
      <c r="G324" s="24" t="inlineStr">
        <is>
          <t>Seattle Mariners</t>
        </is>
      </c>
      <c r="H324" s="24" t="inlineStr">
        <is>
          <t>moneyline</t>
        </is>
      </c>
      <c r="I324" s="24" t="inlineStr">
        <is>
          <t>home</t>
        </is>
      </c>
      <c r="J324" s="25" t="n"/>
      <c r="K324" s="24" t="inlineStr">
        <is>
          <t>polymarket_us</t>
        </is>
      </c>
      <c r="L324" s="26" t="n">
        <v>-102</v>
      </c>
      <c r="M324" s="27" t="n">
        <v>1.980392</v>
      </c>
      <c r="N324" s="28" t="n">
        <v>0.50495</v>
      </c>
      <c r="O324" s="28" t="n">
        <v>0.560094</v>
      </c>
      <c r="P324" s="28" t="n"/>
      <c r="Q324" s="28" t="n">
        <v>0.055144</v>
      </c>
      <c r="R324" s="26" t="n">
        <v>49</v>
      </c>
      <c r="S324" s="29" t="n">
        <v>0</v>
      </c>
      <c r="T324" s="24" t="inlineStr">
        <is>
          <t>mlb-elo-trend-lr-v8</t>
        </is>
      </c>
      <c r="U324" s="24" t="inlineStr">
        <is>
          <t>settled</t>
        </is>
      </c>
      <c r="V324" s="24" t="inlineStr">
        <is>
          <t>loss</t>
        </is>
      </c>
      <c r="W324" s="26" t="n">
        <v>4</v>
      </c>
      <c r="X324" s="26" t="n">
        <v>1</v>
      </c>
      <c r="Y324" s="25" t="n"/>
      <c r="Z324" s="26" t="n">
        <v>-102</v>
      </c>
      <c r="AA324" s="28" t="n">
        <v>0.505</v>
      </c>
      <c r="AB324" s="28" t="n">
        <v>5e-05</v>
      </c>
      <c r="AC324" s="30" t="n">
        <v>0</v>
      </c>
      <c r="AD324" s="24" t="inlineStr">
        <is>
          <t>2026-08-09T23:29:24.808725Z</t>
        </is>
      </c>
      <c r="AE324" s="31" t="inlineStr">
        <is>
          <t>Learned LR call at threshold 0.5873; executable ask 0.5050 (aec-mlb-tb-sea-2026-08-09); model edge vs ask +0.0551.</t>
        </is>
      </c>
      <c r="AF324" s="31" t="inlineStr">
        <is>
          <t>Learned model; shadow-qualified via operator override.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research_observation</t>
        </is>
      </c>
      <c r="AL324" s="26" t="n">
        <v>3</v>
      </c>
      <c r="AM324" s="24" t="inlineStr">
        <is>
          <t>RESEARCH_OBSERVATION</t>
        </is>
      </c>
      <c r="AN324" s="24" t="inlineStr">
        <is>
          <t>NO_CALL</t>
        </is>
      </c>
      <c r="AO324" s="24" t="inlineStr">
        <is>
          <t>NO_CALL_WINNER_OVERVALUED</t>
        </is>
      </c>
      <c r="AP324" s="24" t="inlineStr">
        <is>
          <t>mlb-tb</t>
        </is>
      </c>
      <c r="AQ324" s="24" t="inlineStr">
        <is>
          <t>Tampa Bay Rays</t>
        </is>
      </c>
      <c r="AR324" s="24" t="inlineStr">
        <is>
          <t>Tampa Bay Rays</t>
        </is>
      </c>
      <c r="AS324" s="24" t="inlineStr">
        <is>
          <t>mlb-sea</t>
        </is>
      </c>
      <c r="AT324" s="24" t="inlineStr">
        <is>
          <t>Seattle Mariners</t>
        </is>
      </c>
      <c r="AU324" s="24" t="inlineStr">
        <is>
          <t>Seattle Mariners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6a5c79541b0e50cb9f7318270e63d5ccc65cbd7bc53a019748ff772d49de5075</t>
        </is>
      </c>
      <c r="BB324" s="24" t="inlineStr">
        <is>
          <t>learned_lr</t>
        </is>
      </c>
      <c r="BC324" s="24" t="inlineStr">
        <is>
          <t>mlb-elo-trend-lr-v8</t>
        </is>
      </c>
      <c r="BD324" s="24" t="inlineStr">
        <is>
          <t>6a5c79541b0e50cb9f7318270e63d5ccc65cbd7bc53a019748ff772d49de5075</t>
        </is>
      </c>
      <c r="BE324" s="24" t="inlineStr">
        <is>
          <t>3da8ce3665ef8ca2</t>
        </is>
      </c>
      <c r="BF324" s="24" t="inlineStr">
        <is>
          <t>1</t>
        </is>
      </c>
      <c r="BG324" s="24" t="inlineStr">
        <is>
          <t>mlb-elo-trend-lr-v8</t>
        </is>
      </c>
      <c r="BH324" s="24" t="inlineStr">
        <is>
          <t>2026-08-09T17:05:40.155337Z</t>
        </is>
      </c>
      <c r="BI324" s="24" t="inlineStr">
        <is>
          <t>["same_event","same_team_same_day","same_league_same_day"]</t>
        </is>
      </c>
      <c r="BJ324" s="25" t="n"/>
      <c r="BK324" s="26" t="n">
        <v>-102</v>
      </c>
      <c r="BL324" s="27" t="n">
        <v>1.980392</v>
      </c>
      <c r="BM324" s="28" t="n">
        <v>0.50495</v>
      </c>
      <c r="BN324" s="28" t="n">
        <v>0.502488</v>
      </c>
      <c r="BO324" s="28" t="n"/>
      <c r="BP324" s="25" t="n"/>
      <c r="BQ324" s="27" t="n">
        <v>1.980392</v>
      </c>
      <c r="BR324" s="28" t="n">
        <v>0.505</v>
      </c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inlineStr">
        <is>
          <t>0.5124819133</t>
        </is>
      </c>
      <c r="CD324" s="24" t="inlineStr">
        <is>
          <t>-0.736747</t>
        </is>
      </c>
      <c r="CE324" s="24" t="inlineStr">
        <is>
          <t>0.938</t>
        </is>
      </c>
      <c r="CF324" s="24" t="inlineStr">
        <is>
          <t>1.0</t>
        </is>
      </c>
      <c r="CG324" s="24" t="n"/>
      <c r="CH324" s="24" t="n"/>
      <c r="CI324" s="24" t="n"/>
      <c r="CJ324" s="24" t="inlineStr">
        <is>
          <t>-1.011663</t>
        </is>
      </c>
      <c r="CK324" s="24" t="n"/>
      <c r="CL324" s="24" t="inlineStr">
        <is>
          <t>0.333848</t>
        </is>
      </c>
      <c r="CM324" s="24" t="inlineStr">
        <is>
          <t>-2.1681</t>
        </is>
      </c>
      <c r="CN324" s="24" t="n"/>
      <c r="CO324" s="24" t="n"/>
      <c r="CP324" s="24" t="n"/>
      <c r="CQ324" s="24" t="n"/>
      <c r="CR324" s="24" t="inlineStr">
        <is>
          <t>0.560094</t>
        </is>
      </c>
      <c r="CS324" s="24" t="inlineStr">
        <is>
          <t>True</t>
        </is>
      </c>
    </row>
    <row r="325" ht="36" customHeight="1">
      <c r="A325" s="24" t="inlineStr">
        <is>
          <t>9f37416867b54dda</t>
        </is>
      </c>
      <c r="B325" s="24" t="inlineStr">
        <is>
          <t>2026-08-09T17:06:46.891600Z</t>
        </is>
      </c>
      <c r="C325" s="24" t="inlineStr">
        <is>
          <t>2026-08-09T17:35Z</t>
        </is>
      </c>
      <c r="D325" s="24" t="inlineStr">
        <is>
          <t>401816455</t>
        </is>
      </c>
      <c r="E325" s="24" t="inlineStr">
        <is>
          <t>MLB</t>
        </is>
      </c>
      <c r="F325" s="24" t="inlineStr">
        <is>
          <t>Athletics</t>
        </is>
      </c>
      <c r="G325" s="24" t="inlineStr">
        <is>
          <t>Boston Red Sox</t>
        </is>
      </c>
      <c r="H325" s="24" t="inlineStr">
        <is>
          <t>spread</t>
        </is>
      </c>
      <c r="I325" s="24" t="inlineStr">
        <is>
          <t>home</t>
        </is>
      </c>
      <c r="J325" s="25" t="n">
        <v>-1.5</v>
      </c>
      <c r="K325" s="24" t="inlineStr">
        <is>
          <t>polymarket_us</t>
        </is>
      </c>
      <c r="L325" s="26" t="n">
        <v>-108</v>
      </c>
      <c r="M325" s="27" t="n">
        <v>1.925926</v>
      </c>
      <c r="N325" s="28" t="n">
        <v>0.519231</v>
      </c>
      <c r="O325" s="28" t="n">
        <v>0.457821</v>
      </c>
      <c r="P325" s="28" t="n">
        <v>0.042131</v>
      </c>
      <c r="Q325" s="28" t="n">
        <v>-0.06141</v>
      </c>
      <c r="R325" s="26" t="n">
        <v>0</v>
      </c>
      <c r="S325" s="29" t="n">
        <v>0</v>
      </c>
      <c r="T325" s="24" t="inlineStr">
        <is>
          <t>measured-edge-margin-v3</t>
        </is>
      </c>
      <c r="U325" s="24" t="inlineStr">
        <is>
          <t>settled</t>
        </is>
      </c>
      <c r="V325" s="24" t="inlineStr">
        <is>
          <t>loss</t>
        </is>
      </c>
      <c r="W325" s="26" t="n">
        <v>4</v>
      </c>
      <c r="X325" s="26" t="n">
        <v>3</v>
      </c>
      <c r="Y325" s="25" t="n">
        <v>-1.5</v>
      </c>
      <c r="Z325" s="26" t="n">
        <v>-108</v>
      </c>
      <c r="AA325" s="28" t="n">
        <v>0.52</v>
      </c>
      <c r="AB325" s="28" t="n">
        <v>0.000769</v>
      </c>
      <c r="AC325" s="30" t="n">
        <v>0</v>
      </c>
      <c r="AD325" s="24" t="inlineStr">
        <is>
          <t>2026-08-09T20:24:56.102716Z</t>
        </is>
      </c>
      <c r="AE325" s="31" t="inlineStr">
        <is>
          <t>Measured Edge Margin: Trend Engine projected 3.98-5.04; raw selected-side p=0.4381, calibrated p=0.4578.</t>
        </is>
      </c>
      <c r="AF325" s="31" t="inlineStr">
        <is>
          <t>Research-only; lineup, bullpen, park, weather, xFIP, and wRC+ may be neutral fallbacks; market availability and BBO depth may change before first pitch.</t>
        </is>
      </c>
      <c r="AG325" s="24" t="inlineStr">
        <is>
          <t>review_required</t>
        </is>
      </c>
      <c r="AH325" s="24" t="n"/>
      <c r="AI325" s="31" t="n"/>
      <c r="AJ325" s="31" t="n"/>
      <c r="AK325" s="24" t="inlineStr">
        <is>
          <t>research_observation</t>
        </is>
      </c>
      <c r="AL325" s="26" t="n">
        <v>3</v>
      </c>
      <c r="AM325" s="24" t="inlineStr">
        <is>
          <t>RESEARCH_OBSERVATION</t>
        </is>
      </c>
      <c r="AN325" s="24" t="inlineStr">
        <is>
          <t>NO_CALL</t>
        </is>
      </c>
      <c r="AO325" s="24" t="inlineStr">
        <is>
          <t>NO_CALL_WINNER_OVERVALUED</t>
        </is>
      </c>
      <c r="AP325" s="24" t="inlineStr">
        <is>
          <t>mlb-ath</t>
        </is>
      </c>
      <c r="AQ325" s="24" t="inlineStr">
        <is>
          <t>Athletics</t>
        </is>
      </c>
      <c r="AR325" s="24" t="inlineStr">
        <is>
          <t>Athletics</t>
        </is>
      </c>
      <c r="AS325" s="24" t="inlineStr">
        <is>
          <t>mlb-bos</t>
        </is>
      </c>
      <c r="AT325" s="24" t="inlineStr">
        <is>
          <t>Boston Red Sox</t>
        </is>
      </c>
      <c r="AU325" s="24" t="inlineStr">
        <is>
          <t>Boston Red Sox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research</t>
        </is>
      </c>
      <c r="BA325" s="24" t="inlineStr">
        <is>
          <t>dd339a2eed50d7d83ab2127837995ddab82e879afd27f5414bb6c1f9cd60ba4c</t>
        </is>
      </c>
      <c r="BB325" s="24" t="inlineStr">
        <is>
          <t>flat_probability_shrinkage_toward_half</t>
        </is>
      </c>
      <c r="BC325" s="24" t="inlineStr">
        <is>
          <t>measured-edge-margin-v3</t>
        </is>
      </c>
      <c r="BD325" s="24" t="inlineStr">
        <is>
          <t>dd339a2eed50d7d83ab2127837995ddab82e879afd27f5414bb6c1f9cd60ba4c</t>
        </is>
      </c>
      <c r="BE325" s="24" t="inlineStr">
        <is>
          <t>v3</t>
        </is>
      </c>
      <c r="BF325" s="24" t="inlineStr">
        <is>
          <t>1</t>
        </is>
      </c>
      <c r="BG325" s="24" t="inlineStr">
        <is>
          <t>measured-edge-paired-v1</t>
        </is>
      </c>
      <c r="BH325" s="24" t="inlineStr">
        <is>
          <t>2026-08-09T17:06:46.891600Z</t>
        </is>
      </c>
      <c r="BI325" s="24" t="inlineStr">
        <is>
          <t>["same_event","same_team_same_day","same_league_same_day"]</t>
        </is>
      </c>
      <c r="BJ325" s="25" t="n">
        <v>-1.5</v>
      </c>
      <c r="BK325" s="26" t="n">
        <v>-108</v>
      </c>
      <c r="BL325" s="27" t="n">
        <v>1.925926</v>
      </c>
      <c r="BM325" s="28" t="n">
        <v>0.519231</v>
      </c>
      <c r="BN325" s="28" t="n">
        <v>0.517413</v>
      </c>
      <c r="BO325" s="28" t="n"/>
      <c r="BP325" s="25" t="n"/>
      <c r="BQ325" s="27" t="n">
        <v>1.925926</v>
      </c>
      <c r="BR325" s="28" t="n">
        <v>0.52</v>
      </c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</row>
    <row r="326" ht="36" customHeight="1">
      <c r="A326" s="24" t="inlineStr">
        <is>
          <t>360b2c8d410d495b</t>
        </is>
      </c>
      <c r="B326" s="24" t="inlineStr">
        <is>
          <t>2026-08-09T17:06:46.891600Z</t>
        </is>
      </c>
      <c r="C326" s="24" t="inlineStr">
        <is>
          <t>2026-08-09T17:35Z</t>
        </is>
      </c>
      <c r="D326" s="24" t="inlineStr">
        <is>
          <t>401816455</t>
        </is>
      </c>
      <c r="E326" s="24" t="inlineStr">
        <is>
          <t>MLB</t>
        </is>
      </c>
      <c r="F326" s="24" t="inlineStr">
        <is>
          <t>Athletics</t>
        </is>
      </c>
      <c r="G326" s="24" t="inlineStr">
        <is>
          <t>Boston Red Sox</t>
        </is>
      </c>
      <c r="H326" s="24" t="inlineStr">
        <is>
          <t>total</t>
        </is>
      </c>
      <c r="I326" s="24" t="inlineStr">
        <is>
          <t>under</t>
        </is>
      </c>
      <c r="J326" s="25" t="n">
        <v>9.5</v>
      </c>
      <c r="K326" s="24" t="inlineStr">
        <is>
          <t>polymarket_us</t>
        </is>
      </c>
      <c r="L326" s="26" t="n">
        <v>-113</v>
      </c>
      <c r="M326" s="27" t="n">
        <v>1.884956</v>
      </c>
      <c r="N326" s="28" t="n">
        <v>0.530516</v>
      </c>
      <c r="O326" s="28" t="n">
        <v>0.529957</v>
      </c>
      <c r="P326" s="28" t="n">
        <v>0.042131</v>
      </c>
      <c r="Q326" s="28" t="n">
        <v>-0.000559</v>
      </c>
      <c r="R326" s="26" t="n">
        <v>26</v>
      </c>
      <c r="S326" s="29" t="n">
        <v>0</v>
      </c>
      <c r="T326" s="24" t="inlineStr">
        <is>
          <t>measured-edge-totals-v3</t>
        </is>
      </c>
      <c r="U326" s="24" t="inlineStr">
        <is>
          <t>settled</t>
        </is>
      </c>
      <c r="V326" s="24" t="inlineStr">
        <is>
          <t>win</t>
        </is>
      </c>
      <c r="W326" s="26" t="n">
        <v>4</v>
      </c>
      <c r="X326" s="26" t="n">
        <v>3</v>
      </c>
      <c r="Y326" s="25" t="n">
        <v>9.5</v>
      </c>
      <c r="Z326" s="26" t="n">
        <v>-113</v>
      </c>
      <c r="AA326" s="28" t="n">
        <v>0.53</v>
      </c>
      <c r="AB326" s="28" t="n">
        <v>-0.000516</v>
      </c>
      <c r="AC326" s="30" t="n">
        <v>0</v>
      </c>
      <c r="AD326" s="24" t="inlineStr">
        <is>
          <t>2026-08-09T20:24:57.520329Z</t>
        </is>
      </c>
      <c r="AE326" s="31" t="inlineStr">
        <is>
          <t>Measured Edge Totals: Trend Engine projected 3.98-5.04; raw selected-side p=0.5972, calibrated p=0.5300.</t>
        </is>
      </c>
      <c r="AF326" s="31" t="inlineStr">
        <is>
          <t>Research-only; lineup, bullpen, park, weather, xFIP, and wRC+ may be neutral fallbacks; market availability and BBO depth may change before first pitch.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research_observation</t>
        </is>
      </c>
      <c r="AL326" s="26" t="n">
        <v>3</v>
      </c>
      <c r="AM326" s="24" t="inlineStr">
        <is>
          <t>RESEARCH_OBSERVATION</t>
        </is>
      </c>
      <c r="AN326" s="24" t="inlineStr">
        <is>
          <t>NO_CALL</t>
        </is>
      </c>
      <c r="AO326" s="24" t="inlineStr">
        <is>
          <t>NO_CALL_WINNER_OVERVALUED</t>
        </is>
      </c>
      <c r="AP326" s="24" t="inlineStr">
        <is>
          <t>mlb-ath</t>
        </is>
      </c>
      <c r="AQ326" s="24" t="inlineStr">
        <is>
          <t>Athletics</t>
        </is>
      </c>
      <c r="AR326" s="24" t="inlineStr">
        <is>
          <t>Athletics</t>
        </is>
      </c>
      <c r="AS326" s="24" t="inlineStr">
        <is>
          <t>mlb-bos</t>
        </is>
      </c>
      <c r="AT326" s="24" t="inlineStr">
        <is>
          <t>Boston Red Sox</t>
        </is>
      </c>
      <c r="AU326" s="24" t="inlineStr">
        <is>
          <t>Boston Red Sox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research</t>
        </is>
      </c>
      <c r="BA326" s="24" t="inlineStr">
        <is>
          <t>95b84332c75d2ce54036eb8de6ada9c78d0f80228c50825c0347281a8b9b49c7</t>
        </is>
      </c>
      <c r="BB326" s="24" t="inlineStr">
        <is>
          <t>flat_probability_shrinkage_toward_half</t>
        </is>
      </c>
      <c r="BC326" s="24" t="inlineStr">
        <is>
          <t>measured-edge-totals-v3</t>
        </is>
      </c>
      <c r="BD326" s="24" t="inlineStr">
        <is>
          <t>95b84332c75d2ce54036eb8de6ada9c78d0f80228c50825c0347281a8b9b49c7</t>
        </is>
      </c>
      <c r="BE326" s="24" t="inlineStr">
        <is>
          <t>v3</t>
        </is>
      </c>
      <c r="BF326" s="24" t="inlineStr">
        <is>
          <t>1</t>
        </is>
      </c>
      <c r="BG326" s="24" t="inlineStr">
        <is>
          <t>measured-edge-paired-v1</t>
        </is>
      </c>
      <c r="BH326" s="24" t="inlineStr">
        <is>
          <t>2026-08-09T17:06:46.891600Z</t>
        </is>
      </c>
      <c r="BI326" s="24" t="inlineStr">
        <is>
          <t>["same_event","same_team_same_day","same_league_same_day"]</t>
        </is>
      </c>
      <c r="BJ326" s="25" t="n">
        <v>9.5</v>
      </c>
      <c r="BK326" s="26" t="n">
        <v>-113</v>
      </c>
      <c r="BL326" s="27" t="n">
        <v>1.884956</v>
      </c>
      <c r="BM326" s="28" t="n">
        <v>0.530516</v>
      </c>
      <c r="BN326" s="28" t="n">
        <v>0.527363</v>
      </c>
      <c r="BO326" s="28" t="n"/>
      <c r="BP326" s="25" t="n"/>
      <c r="BQ326" s="27" t="n">
        <v>1.884956</v>
      </c>
      <c r="BR326" s="28" t="n">
        <v>0.53</v>
      </c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</row>
    <row r="327" ht="36" customHeight="1">
      <c r="A327" s="24" t="inlineStr">
        <is>
          <t>3722d37c29094dd0</t>
        </is>
      </c>
      <c r="B327" s="24" t="inlineStr">
        <is>
          <t>2026-08-09T17:06:46.891600Z</t>
        </is>
      </c>
      <c r="C327" s="24" t="inlineStr">
        <is>
          <t>2026-08-09T17:35Z</t>
        </is>
      </c>
      <c r="D327" s="24" t="inlineStr">
        <is>
          <t>401816456</t>
        </is>
      </c>
      <c r="E327" s="24" t="inlineStr">
        <is>
          <t>MLB</t>
        </is>
      </c>
      <c r="F327" s="24" t="inlineStr">
        <is>
          <t>Atlanta Braves</t>
        </is>
      </c>
      <c r="G327" s="24" t="inlineStr">
        <is>
          <t>New York Yankees</t>
        </is>
      </c>
      <c r="H327" s="24" t="inlineStr">
        <is>
          <t>spread</t>
        </is>
      </c>
      <c r="I327" s="24" t="inlineStr">
        <is>
          <t>home</t>
        </is>
      </c>
      <c r="J327" s="25" t="n">
        <v>-1.5</v>
      </c>
      <c r="K327" s="24" t="inlineStr">
        <is>
          <t>polymarket_us</t>
        </is>
      </c>
      <c r="L327" s="26" t="n">
        <v>153</v>
      </c>
      <c r="M327" s="27" t="n">
        <v>2.53</v>
      </c>
      <c r="N327" s="28" t="n">
        <v>0.395257</v>
      </c>
      <c r="O327" s="28" t="n">
        <v>0.40348</v>
      </c>
      <c r="P327" s="28" t="n">
        <v>0.042131</v>
      </c>
      <c r="Q327" s="28" t="n">
        <v>0.008222999999999999</v>
      </c>
      <c r="R327" s="26" t="n">
        <v>30</v>
      </c>
      <c r="S327" s="29" t="n">
        <v>0</v>
      </c>
      <c r="T327" s="24" t="inlineStr">
        <is>
          <t>measured-edge-margin-v3</t>
        </is>
      </c>
      <c r="U327" s="24" t="inlineStr">
        <is>
          <t>settled</t>
        </is>
      </c>
      <c r="V327" s="24" t="inlineStr">
        <is>
          <t>loss</t>
        </is>
      </c>
      <c r="W327" s="26" t="n">
        <v>2</v>
      </c>
      <c r="X327" s="26" t="n">
        <v>1</v>
      </c>
      <c r="Y327" s="25" t="n">
        <v>-1.5</v>
      </c>
      <c r="Z327" s="26" t="n">
        <v>153</v>
      </c>
      <c r="AA327" s="28" t="n">
        <v>0.395</v>
      </c>
      <c r="AB327" s="28" t="n">
        <v>-0.000257</v>
      </c>
      <c r="AC327" s="30" t="n">
        <v>0</v>
      </c>
      <c r="AD327" s="24" t="inlineStr">
        <is>
          <t>2026-08-09T20:24:58.919722Z</t>
        </is>
      </c>
      <c r="AE327" s="31" t="inlineStr">
        <is>
          <t>Measured Edge Margin: Trend Engine projected 4.17-4.50; raw selected-side p=0.3584, calibrated p=0.4035.</t>
        </is>
      </c>
      <c r="AF327" s="31" t="inlineStr">
        <is>
          <t>Research-only; lineup, bullpen, park, weather, xFIP, and wRC+ may be neutral fallbacks; market availability and BBO depth may change before first pitch.</t>
        </is>
      </c>
      <c r="AG327" s="24" t="inlineStr">
        <is>
          <t>review_required</t>
        </is>
      </c>
      <c r="AH327" s="24" t="n"/>
      <c r="AI327" s="31" t="n"/>
      <c r="AJ327" s="31" t="n"/>
      <c r="AK327" s="24" t="inlineStr">
        <is>
          <t>research_observation</t>
        </is>
      </c>
      <c r="AL327" s="26" t="n">
        <v>3</v>
      </c>
      <c r="AM327" s="24" t="inlineStr">
        <is>
          <t>RESEARCH_OBSERVATION</t>
        </is>
      </c>
      <c r="AN327" s="24" t="inlineStr">
        <is>
          <t>NO_CALL</t>
        </is>
      </c>
      <c r="AO327" s="24" t="inlineStr">
        <is>
          <t>NO_CALL_WINNER_OVERVALUED</t>
        </is>
      </c>
      <c r="AP327" s="24" t="inlineStr">
        <is>
          <t>mlb-atl</t>
        </is>
      </c>
      <c r="AQ327" s="24" t="inlineStr">
        <is>
          <t>Atlanta Braves</t>
        </is>
      </c>
      <c r="AR327" s="24" t="inlineStr">
        <is>
          <t>Atlanta Braves</t>
        </is>
      </c>
      <c r="AS327" s="24" t="inlineStr">
        <is>
          <t>mlb-nyy</t>
        </is>
      </c>
      <c r="AT327" s="24" t="inlineStr">
        <is>
          <t>New York Yankees</t>
        </is>
      </c>
      <c r="AU327" s="24" t="inlineStr">
        <is>
          <t>New York Yankees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research</t>
        </is>
      </c>
      <c r="BA327" s="24" t="inlineStr">
        <is>
          <t>dd339a2eed50d7d83ab2127837995ddab82e879afd27f5414bb6c1f9cd60ba4c</t>
        </is>
      </c>
      <c r="BB327" s="24" t="inlineStr">
        <is>
          <t>flat_probability_shrinkage_toward_half</t>
        </is>
      </c>
      <c r="BC327" s="24" t="inlineStr">
        <is>
          <t>measured-edge-margin-v3</t>
        </is>
      </c>
      <c r="BD327" s="24" t="inlineStr">
        <is>
          <t>dd339a2eed50d7d83ab2127837995ddab82e879afd27f5414bb6c1f9cd60ba4c</t>
        </is>
      </c>
      <c r="BE327" s="24" t="inlineStr">
        <is>
          <t>v3</t>
        </is>
      </c>
      <c r="BF327" s="24" t="inlineStr">
        <is>
          <t>1</t>
        </is>
      </c>
      <c r="BG327" s="24" t="inlineStr">
        <is>
          <t>measured-edge-paired-v1</t>
        </is>
      </c>
      <c r="BH327" s="24" t="inlineStr">
        <is>
          <t>2026-08-09T17:06:46.891600Z</t>
        </is>
      </c>
      <c r="BI327" s="24" t="inlineStr">
        <is>
          <t>["same_event","same_team_same_day","same_league_same_day"]</t>
        </is>
      </c>
      <c r="BJ327" s="25" t="n">
        <v>-1.5</v>
      </c>
      <c r="BK327" s="26" t="n">
        <v>153</v>
      </c>
      <c r="BL327" s="27" t="n">
        <v>2.53</v>
      </c>
      <c r="BM327" s="28" t="n">
        <v>0.395257</v>
      </c>
      <c r="BN327" s="28" t="n">
        <v>0.393035</v>
      </c>
      <c r="BO327" s="28" t="n"/>
      <c r="BP327" s="25" t="n"/>
      <c r="BQ327" s="27" t="n">
        <v>2.53</v>
      </c>
      <c r="BR327" s="28" t="n">
        <v>0.395</v>
      </c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</row>
    <row r="328" ht="36" customHeight="1">
      <c r="A328" s="24" t="inlineStr">
        <is>
          <t>df8dd643ca144af5</t>
        </is>
      </c>
      <c r="B328" s="24" t="inlineStr">
        <is>
          <t>2026-08-09T17:06:46.891600Z</t>
        </is>
      </c>
      <c r="C328" s="24" t="inlineStr">
        <is>
          <t>2026-08-09T17:35Z</t>
        </is>
      </c>
      <c r="D328" s="24" t="inlineStr">
        <is>
          <t>401816456</t>
        </is>
      </c>
      <c r="E328" s="24" t="inlineStr">
        <is>
          <t>MLB</t>
        </is>
      </c>
      <c r="F328" s="24" t="inlineStr">
        <is>
          <t>Atlanta Braves</t>
        </is>
      </c>
      <c r="G328" s="24" t="inlineStr">
        <is>
          <t>New York Yankees</t>
        </is>
      </c>
      <c r="H328" s="24" t="inlineStr">
        <is>
          <t>total</t>
        </is>
      </c>
      <c r="I328" s="24" t="inlineStr">
        <is>
          <t>under</t>
        </is>
      </c>
      <c r="J328" s="25" t="n">
        <v>8.5</v>
      </c>
      <c r="K328" s="24" t="inlineStr">
        <is>
          <t>polymarket_us</t>
        </is>
      </c>
      <c r="L328" s="26" t="n">
        <v>-102</v>
      </c>
      <c r="M328" s="27" t="n">
        <v>1.980392</v>
      </c>
      <c r="N328" s="28" t="n">
        <v>0.50495</v>
      </c>
      <c r="O328" s="28" t="n">
        <v>0.507651</v>
      </c>
      <c r="P328" s="28" t="n">
        <v>0.042131</v>
      </c>
      <c r="Q328" s="28" t="n">
        <v>0.002701</v>
      </c>
      <c r="R328" s="26" t="n">
        <v>27</v>
      </c>
      <c r="S328" s="29" t="n">
        <v>0</v>
      </c>
      <c r="T328" s="24" t="inlineStr">
        <is>
          <t>measured-edge-totals-v3</t>
        </is>
      </c>
      <c r="U328" s="24" t="inlineStr">
        <is>
          <t>settled</t>
        </is>
      </c>
      <c r="V328" s="24" t="inlineStr">
        <is>
          <t>win</t>
        </is>
      </c>
      <c r="W328" s="26" t="n">
        <v>2</v>
      </c>
      <c r="X328" s="26" t="n">
        <v>1</v>
      </c>
      <c r="Y328" s="25" t="n">
        <v>8.5</v>
      </c>
      <c r="Z328" s="26" t="n">
        <v>-102</v>
      </c>
      <c r="AA328" s="28" t="n">
        <v>0.505</v>
      </c>
      <c r="AB328" s="28" t="n">
        <v>5e-05</v>
      </c>
      <c r="AC328" s="30" t="n">
        <v>0</v>
      </c>
      <c r="AD328" s="24" t="inlineStr">
        <is>
          <t>2026-08-09T20:25:00.287479Z</t>
        </is>
      </c>
      <c r="AE328" s="31" t="inlineStr">
        <is>
          <t>Measured Edge Totals: Trend Engine projected 4.17-4.50; raw selected-side p=0.5074, calibrated p=0.5077.</t>
        </is>
      </c>
      <c r="AF328" s="31" t="inlineStr">
        <is>
          <t>Research-only; lineup, bullpen, park, weather, xFIP, and wRC+ may be neutral fallbacks; market availability and BBO depth may change before first pitch.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research_observation</t>
        </is>
      </c>
      <c r="AL328" s="26" t="n">
        <v>3</v>
      </c>
      <c r="AM328" s="24" t="inlineStr">
        <is>
          <t>RESEARCH_OBSERVATION</t>
        </is>
      </c>
      <c r="AN328" s="24" t="inlineStr">
        <is>
          <t>NO_CALL</t>
        </is>
      </c>
      <c r="AO328" s="24" t="inlineStr">
        <is>
          <t>NO_CALL_WINNER_OVERVALUED</t>
        </is>
      </c>
      <c r="AP328" s="24" t="inlineStr">
        <is>
          <t>mlb-atl</t>
        </is>
      </c>
      <c r="AQ328" s="24" t="inlineStr">
        <is>
          <t>Atlanta Braves</t>
        </is>
      </c>
      <c r="AR328" s="24" t="inlineStr">
        <is>
          <t>Atlanta Braves</t>
        </is>
      </c>
      <c r="AS328" s="24" t="inlineStr">
        <is>
          <t>mlb-nyy</t>
        </is>
      </c>
      <c r="AT328" s="24" t="inlineStr">
        <is>
          <t>New York Yankees</t>
        </is>
      </c>
      <c r="AU328" s="24" t="inlineStr">
        <is>
          <t>New York Yankees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research</t>
        </is>
      </c>
      <c r="BA328" s="24" t="inlineStr">
        <is>
          <t>95b84332c75d2ce54036eb8de6ada9c78d0f80228c50825c0347281a8b9b49c7</t>
        </is>
      </c>
      <c r="BB328" s="24" t="inlineStr">
        <is>
          <t>flat_probability_shrinkage_toward_half</t>
        </is>
      </c>
      <c r="BC328" s="24" t="inlineStr">
        <is>
          <t>measured-edge-totals-v3</t>
        </is>
      </c>
      <c r="BD328" s="24" t="inlineStr">
        <is>
          <t>95b84332c75d2ce54036eb8de6ada9c78d0f80228c50825c0347281a8b9b49c7</t>
        </is>
      </c>
      <c r="BE328" s="24" t="inlineStr">
        <is>
          <t>v3</t>
        </is>
      </c>
      <c r="BF328" s="24" t="inlineStr">
        <is>
          <t>1</t>
        </is>
      </c>
      <c r="BG328" s="24" t="inlineStr">
        <is>
          <t>measured-edge-paired-v1</t>
        </is>
      </c>
      <c r="BH328" s="24" t="inlineStr">
        <is>
          <t>2026-08-09T17:06:46.891600Z</t>
        </is>
      </c>
      <c r="BI328" s="24" t="inlineStr">
        <is>
          <t>["same_event","same_team_same_day","same_league_same_day"]</t>
        </is>
      </c>
      <c r="BJ328" s="25" t="n">
        <v>8.5</v>
      </c>
      <c r="BK328" s="26" t="n">
        <v>-102</v>
      </c>
      <c r="BL328" s="27" t="n">
        <v>1.980392</v>
      </c>
      <c r="BM328" s="28" t="n">
        <v>0.50495</v>
      </c>
      <c r="BN328" s="28" t="n">
        <v>0.502488</v>
      </c>
      <c r="BO328" s="28" t="n"/>
      <c r="BP328" s="25" t="n"/>
      <c r="BQ328" s="27" t="n">
        <v>1.980392</v>
      </c>
      <c r="BR328" s="28" t="n">
        <v>0.505</v>
      </c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</row>
    <row r="329" ht="36" customHeight="1">
      <c r="A329" s="24" t="inlineStr">
        <is>
          <t>89f7edc0ce7e4965</t>
        </is>
      </c>
      <c r="B329" s="24" t="inlineStr">
        <is>
          <t>2026-08-09T17:06:46.891600Z</t>
        </is>
      </c>
      <c r="C329" s="24" t="inlineStr">
        <is>
          <t>2026-08-09T17:35Z</t>
        </is>
      </c>
      <c r="D329" s="24" t="inlineStr">
        <is>
          <t>401816458</t>
        </is>
      </c>
      <c r="E329" s="24" t="inlineStr">
        <is>
          <t>MLB</t>
        </is>
      </c>
      <c r="F329" s="24" t="inlineStr">
        <is>
          <t>New York Mets</t>
        </is>
      </c>
      <c r="G329" s="24" t="inlineStr">
        <is>
          <t>Pittsburgh Pirates</t>
        </is>
      </c>
      <c r="H329" s="24" t="inlineStr">
        <is>
          <t>spread</t>
        </is>
      </c>
      <c r="I329" s="24" t="inlineStr">
        <is>
          <t>home</t>
        </is>
      </c>
      <c r="J329" s="25" t="n">
        <v>-1.5</v>
      </c>
      <c r="K329" s="24" t="inlineStr">
        <is>
          <t>polymarket_us</t>
        </is>
      </c>
      <c r="L329" s="26" t="n">
        <v>153</v>
      </c>
      <c r="M329" s="27" t="n">
        <v>2.53</v>
      </c>
      <c r="N329" s="28" t="n">
        <v>0.395257</v>
      </c>
      <c r="O329" s="28" t="n">
        <v>0.401947</v>
      </c>
      <c r="P329" s="28" t="n">
        <v>0.042131</v>
      </c>
      <c r="Q329" s="28" t="n">
        <v>0.00669</v>
      </c>
      <c r="R329" s="26" t="n">
        <v>29</v>
      </c>
      <c r="S329" s="29" t="n">
        <v>0</v>
      </c>
      <c r="T329" s="24" t="inlineStr">
        <is>
          <t>measured-edge-margin-v3</t>
        </is>
      </c>
      <c r="U329" s="24" t="inlineStr">
        <is>
          <t>settled</t>
        </is>
      </c>
      <c r="V329" s="24" t="inlineStr">
        <is>
          <t>loss</t>
        </is>
      </c>
      <c r="W329" s="26" t="n">
        <v>11</v>
      </c>
      <c r="X329" s="26" t="n">
        <v>1</v>
      </c>
      <c r="Y329" s="25" t="n">
        <v>-1.5</v>
      </c>
      <c r="Z329" s="26" t="n">
        <v>153</v>
      </c>
      <c r="AA329" s="28" t="n">
        <v>0.395</v>
      </c>
      <c r="AB329" s="28" t="n">
        <v>-0.000257</v>
      </c>
      <c r="AC329" s="30" t="n">
        <v>0</v>
      </c>
      <c r="AD329" s="24" t="inlineStr">
        <is>
          <t>2026-08-09T20:25:01.697715Z</t>
        </is>
      </c>
      <c r="AE329" s="31" t="inlineStr">
        <is>
          <t>Measured Edge Margin: Trend Engine projected 4.22-4.54; raw selected-side p=0.3561, calibrated p=0.4019.</t>
        </is>
      </c>
      <c r="AF329" s="31" t="inlineStr">
        <is>
          <t>Research-only; lineup, bullpen, park, weather, xFIP, and wRC+ may be neutral fallbacks; market availability and BBO depth may change before first pitch.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research_observation</t>
        </is>
      </c>
      <c r="AL329" s="26" t="n">
        <v>3</v>
      </c>
      <c r="AM329" s="24" t="inlineStr">
        <is>
          <t>RESEARCH_OBSERVATION</t>
        </is>
      </c>
      <c r="AN329" s="24" t="inlineStr">
        <is>
          <t>NO_CALL</t>
        </is>
      </c>
      <c r="AO329" s="24" t="inlineStr">
        <is>
          <t>NO_CALL_WINNER_OVERVALUED</t>
        </is>
      </c>
      <c r="AP329" s="24" t="inlineStr">
        <is>
          <t>mlb-nym</t>
        </is>
      </c>
      <c r="AQ329" s="24" t="inlineStr">
        <is>
          <t>New York Mets</t>
        </is>
      </c>
      <c r="AR329" s="24" t="inlineStr">
        <is>
          <t>New York Mets</t>
        </is>
      </c>
      <c r="AS329" s="24" t="inlineStr">
        <is>
          <t>mlb-pit</t>
        </is>
      </c>
      <c r="AT329" s="24" t="inlineStr">
        <is>
          <t>Pittsburgh Pirates</t>
        </is>
      </c>
      <c r="AU329" s="24" t="inlineStr">
        <is>
          <t>Pittsburgh Pirates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research</t>
        </is>
      </c>
      <c r="BA329" s="24" t="inlineStr">
        <is>
          <t>dd339a2eed50d7d83ab2127837995ddab82e879afd27f5414bb6c1f9cd60ba4c</t>
        </is>
      </c>
      <c r="BB329" s="24" t="inlineStr">
        <is>
          <t>flat_probability_shrinkage_toward_half</t>
        </is>
      </c>
      <c r="BC329" s="24" t="inlineStr">
        <is>
          <t>measured-edge-margin-v3</t>
        </is>
      </c>
      <c r="BD329" s="24" t="inlineStr">
        <is>
          <t>dd339a2eed50d7d83ab2127837995ddab82e879afd27f5414bb6c1f9cd60ba4c</t>
        </is>
      </c>
      <c r="BE329" s="24" t="inlineStr">
        <is>
          <t>v3</t>
        </is>
      </c>
      <c r="BF329" s="24" t="inlineStr">
        <is>
          <t>1</t>
        </is>
      </c>
      <c r="BG329" s="24" t="inlineStr">
        <is>
          <t>measured-edge-paired-v1</t>
        </is>
      </c>
      <c r="BH329" s="24" t="inlineStr">
        <is>
          <t>2026-08-09T17:06:46.891600Z</t>
        </is>
      </c>
      <c r="BI329" s="24" t="inlineStr">
        <is>
          <t>["same_event","same_team_same_day","same_league_same_day"]</t>
        </is>
      </c>
      <c r="BJ329" s="25" t="n">
        <v>-1.5</v>
      </c>
      <c r="BK329" s="26" t="n">
        <v>153</v>
      </c>
      <c r="BL329" s="27" t="n">
        <v>2.53</v>
      </c>
      <c r="BM329" s="28" t="n">
        <v>0.395257</v>
      </c>
      <c r="BN329" s="28" t="n">
        <v>0.393035</v>
      </c>
      <c r="BO329" s="28" t="n"/>
      <c r="BP329" s="25" t="n"/>
      <c r="BQ329" s="27" t="n">
        <v>2.53</v>
      </c>
      <c r="BR329" s="28" t="n">
        <v>0.395</v>
      </c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</row>
    <row r="330" ht="36" customHeight="1">
      <c r="A330" s="24" t="inlineStr">
        <is>
          <t>f124aebed4754c0a</t>
        </is>
      </c>
      <c r="B330" s="24" t="inlineStr">
        <is>
          <t>2026-08-09T17:06:46.891600Z</t>
        </is>
      </c>
      <c r="C330" s="24" t="inlineStr">
        <is>
          <t>2026-08-09T17:35Z</t>
        </is>
      </c>
      <c r="D330" s="24" t="inlineStr">
        <is>
          <t>401816458</t>
        </is>
      </c>
      <c r="E330" s="24" t="inlineStr">
        <is>
          <t>MLB</t>
        </is>
      </c>
      <c r="F330" s="24" t="inlineStr">
        <is>
          <t>New York Mets</t>
        </is>
      </c>
      <c r="G330" s="24" t="inlineStr">
        <is>
          <t>Pittsburgh Pirates</t>
        </is>
      </c>
      <c r="H330" s="24" t="inlineStr">
        <is>
          <t>total</t>
        </is>
      </c>
      <c r="I330" s="24" t="inlineStr">
        <is>
          <t>under</t>
        </is>
      </c>
      <c r="J330" s="25" t="n">
        <v>8.5</v>
      </c>
      <c r="K330" s="24" t="inlineStr">
        <is>
          <t>polymarket_us</t>
        </is>
      </c>
      <c r="L330" s="26" t="n">
        <v>-106</v>
      </c>
      <c r="M330" s="27" t="n">
        <v>1.943396</v>
      </c>
      <c r="N330" s="28" t="n">
        <v>0.514563</v>
      </c>
      <c r="O330" s="28" t="n">
        <v>0.508768</v>
      </c>
      <c r="P330" s="28" t="n">
        <v>0.042131</v>
      </c>
      <c r="Q330" s="28" t="n">
        <v>-0.005795</v>
      </c>
      <c r="R330" s="26" t="n">
        <v>23</v>
      </c>
      <c r="S330" s="29" t="n">
        <v>0</v>
      </c>
      <c r="T330" s="24" t="inlineStr">
        <is>
          <t>measured-edge-totals-v3</t>
        </is>
      </c>
      <c r="U330" s="24" t="inlineStr">
        <is>
          <t>settled</t>
        </is>
      </c>
      <c r="V330" s="24" t="inlineStr">
        <is>
          <t>loss</t>
        </is>
      </c>
      <c r="W330" s="26" t="n">
        <v>11</v>
      </c>
      <c r="X330" s="26" t="n">
        <v>1</v>
      </c>
      <c r="Y330" s="25" t="n">
        <v>8.5</v>
      </c>
      <c r="Z330" s="26" t="n">
        <v>-106</v>
      </c>
      <c r="AA330" s="28" t="n">
        <v>0.515</v>
      </c>
      <c r="AB330" s="28" t="n">
        <v>0.000437</v>
      </c>
      <c r="AC330" s="30" t="n">
        <v>0</v>
      </c>
      <c r="AD330" s="24" t="inlineStr">
        <is>
          <t>2026-08-09T20:25:03.117387Z</t>
        </is>
      </c>
      <c r="AE330" s="31" t="inlineStr">
        <is>
          <t>Measured Edge Totals: Trend Engine projected 4.22-4.54; raw selected-side p=0.5120, calibrated p=0.5088.</t>
        </is>
      </c>
      <c r="AF330" s="31" t="inlineStr">
        <is>
          <t>Research-only; lineup, bullpen, park, weather, xFIP, and wRC+ may be neutral fallbacks; market availability and BBO depth may change before first pitch.</t>
        </is>
      </c>
      <c r="AG330" s="24" t="inlineStr">
        <is>
          <t>review_required</t>
        </is>
      </c>
      <c r="AH330" s="24" t="n"/>
      <c r="AI330" s="31" t="n"/>
      <c r="AJ330" s="31" t="n"/>
      <c r="AK330" s="24" t="inlineStr">
        <is>
          <t>research_observation</t>
        </is>
      </c>
      <c r="AL330" s="26" t="n">
        <v>3</v>
      </c>
      <c r="AM330" s="24" t="inlineStr">
        <is>
          <t>RESEARCH_OBSERVATION</t>
        </is>
      </c>
      <c r="AN330" s="24" t="inlineStr">
        <is>
          <t>NO_CALL</t>
        </is>
      </c>
      <c r="AO330" s="24" t="inlineStr">
        <is>
          <t>NO_CALL_WINNER_OVERVALUED</t>
        </is>
      </c>
      <c r="AP330" s="24" t="inlineStr">
        <is>
          <t>mlb-nym</t>
        </is>
      </c>
      <c r="AQ330" s="24" t="inlineStr">
        <is>
          <t>New York Mets</t>
        </is>
      </c>
      <c r="AR330" s="24" t="inlineStr">
        <is>
          <t>New York Mets</t>
        </is>
      </c>
      <c r="AS330" s="24" t="inlineStr">
        <is>
          <t>mlb-pit</t>
        </is>
      </c>
      <c r="AT330" s="24" t="inlineStr">
        <is>
          <t>Pittsburgh Pirates</t>
        </is>
      </c>
      <c r="AU330" s="24" t="inlineStr">
        <is>
          <t>Pittsburgh Pirates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research</t>
        </is>
      </c>
      <c r="BA330" s="24" t="inlineStr">
        <is>
          <t>95b84332c75d2ce54036eb8de6ada9c78d0f80228c50825c0347281a8b9b49c7</t>
        </is>
      </c>
      <c r="BB330" s="24" t="inlineStr">
        <is>
          <t>flat_probability_shrinkage_toward_half</t>
        </is>
      </c>
      <c r="BC330" s="24" t="inlineStr">
        <is>
          <t>measured-edge-totals-v3</t>
        </is>
      </c>
      <c r="BD330" s="24" t="inlineStr">
        <is>
          <t>95b84332c75d2ce54036eb8de6ada9c78d0f80228c50825c0347281a8b9b49c7</t>
        </is>
      </c>
      <c r="BE330" s="24" t="inlineStr">
        <is>
          <t>v3</t>
        </is>
      </c>
      <c r="BF330" s="24" t="inlineStr">
        <is>
          <t>1</t>
        </is>
      </c>
      <c r="BG330" s="24" t="inlineStr">
        <is>
          <t>measured-edge-paired-v1</t>
        </is>
      </c>
      <c r="BH330" s="24" t="inlineStr">
        <is>
          <t>2026-08-09T17:06:46.891600Z</t>
        </is>
      </c>
      <c r="BI330" s="24" t="inlineStr">
        <is>
          <t>["same_event","same_team_same_day","same_league_same_day"]</t>
        </is>
      </c>
      <c r="BJ330" s="25" t="n">
        <v>8.5</v>
      </c>
      <c r="BK330" s="26" t="n">
        <v>-106</v>
      </c>
      <c r="BL330" s="27" t="n">
        <v>1.943396</v>
      </c>
      <c r="BM330" s="28" t="n">
        <v>0.514563</v>
      </c>
      <c r="BN330" s="28" t="n">
        <v>0.5124379999999999</v>
      </c>
      <c r="BO330" s="28" t="n"/>
      <c r="BP330" s="25" t="n"/>
      <c r="BQ330" s="27" t="n">
        <v>1.943396</v>
      </c>
      <c r="BR330" s="28" t="n">
        <v>0.515</v>
      </c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False</t>
        </is>
      </c>
    </row>
    <row r="331" ht="36" customHeight="1">
      <c r="A331" s="24" t="inlineStr">
        <is>
          <t>41882d44725d4ca1</t>
        </is>
      </c>
      <c r="B331" s="24" t="inlineStr">
        <is>
          <t>2026-08-09T17:06:46.891600Z</t>
        </is>
      </c>
      <c r="C331" s="24" t="inlineStr">
        <is>
          <t>2026-08-09T17:35Z</t>
        </is>
      </c>
      <c r="D331" s="24" t="inlineStr">
        <is>
          <t>401816459</t>
        </is>
      </c>
      <c r="E331" s="24" t="inlineStr">
        <is>
          <t>MLB</t>
        </is>
      </c>
      <c r="F331" s="24" t="inlineStr">
        <is>
          <t>Toronto Blue Jays</t>
        </is>
      </c>
      <c r="G331" s="24" t="inlineStr">
        <is>
          <t>Philadelphia Phillies</t>
        </is>
      </c>
      <c r="H331" s="24" t="inlineStr">
        <is>
          <t>spread</t>
        </is>
      </c>
      <c r="I331" s="24" t="inlineStr">
        <is>
          <t>home</t>
        </is>
      </c>
      <c r="J331" s="25" t="n">
        <v>-1.5</v>
      </c>
      <c r="K331" s="24" t="inlineStr">
        <is>
          <t>polymarket_us</t>
        </is>
      </c>
      <c r="L331" s="26" t="n">
        <v>-108</v>
      </c>
      <c r="M331" s="27" t="n">
        <v>1.925926</v>
      </c>
      <c r="N331" s="28" t="n">
        <v>0.519231</v>
      </c>
      <c r="O331" s="28" t="n">
        <v>0.417891</v>
      </c>
      <c r="P331" s="28" t="n">
        <v>0.05172</v>
      </c>
      <c r="Q331" s="28" t="n">
        <v>-0.10134</v>
      </c>
      <c r="R331" s="26" t="n">
        <v>0</v>
      </c>
      <c r="S331" s="29" t="n">
        <v>0</v>
      </c>
      <c r="T331" s="24" t="inlineStr">
        <is>
          <t>measured-edge-margin-v3</t>
        </is>
      </c>
      <c r="U331" s="24" t="inlineStr">
        <is>
          <t>settled</t>
        </is>
      </c>
      <c r="V331" s="24" t="inlineStr">
        <is>
          <t>loss</t>
        </is>
      </c>
      <c r="W331" s="26" t="n">
        <v>6</v>
      </c>
      <c r="X331" s="26" t="n">
        <v>7</v>
      </c>
      <c r="Y331" s="25" t="n">
        <v>-1.5</v>
      </c>
      <c r="Z331" s="26" t="n">
        <v>-108</v>
      </c>
      <c r="AA331" s="28" t="n">
        <v>0.52</v>
      </c>
      <c r="AB331" s="28" t="n">
        <v>0.000769</v>
      </c>
      <c r="AC331" s="30" t="n">
        <v>0</v>
      </c>
      <c r="AD331" s="24" t="inlineStr">
        <is>
          <t>2026-08-09T23:29:28.268895Z</t>
        </is>
      </c>
      <c r="AE331" s="31" t="inlineStr">
        <is>
          <t>Measured Edge Margin: Trend Engine projected 4.15-4.68; raw selected-side p=0.3795, calibrated p=0.4179.</t>
        </is>
      </c>
      <c r="AF331" s="31" t="inlineStr">
        <is>
          <t>Research-only; lineup, bullpen, park, weather, xFIP, and wRC+ may be neutral fallbacks; market availability and BBO depth may change before first pitch.</t>
        </is>
      </c>
      <c r="AG331" s="24" t="inlineStr">
        <is>
          <t>review_required</t>
        </is>
      </c>
      <c r="AH331" s="24" t="n"/>
      <c r="AI331" s="31" t="n"/>
      <c r="AJ331" s="31" t="n"/>
      <c r="AK331" s="24" t="inlineStr">
        <is>
          <t>research_observation</t>
        </is>
      </c>
      <c r="AL331" s="26" t="n">
        <v>3</v>
      </c>
      <c r="AM331" s="24" t="inlineStr">
        <is>
          <t>RESEARCH_OBSERVATION</t>
        </is>
      </c>
      <c r="AN331" s="24" t="inlineStr">
        <is>
          <t>NO_CALL</t>
        </is>
      </c>
      <c r="AO331" s="24" t="inlineStr">
        <is>
          <t>NO_CALL_WINNER_OVERVALUED</t>
        </is>
      </c>
      <c r="AP331" s="24" t="inlineStr">
        <is>
          <t>mlb-tor</t>
        </is>
      </c>
      <c r="AQ331" s="24" t="inlineStr">
        <is>
          <t>Toronto Blue Jays</t>
        </is>
      </c>
      <c r="AR331" s="24" t="inlineStr">
        <is>
          <t>Toronto Blue Jays</t>
        </is>
      </c>
      <c r="AS331" s="24" t="inlineStr">
        <is>
          <t>mlb-phi</t>
        </is>
      </c>
      <c r="AT331" s="24" t="inlineStr">
        <is>
          <t>Philadelphia Phillies</t>
        </is>
      </c>
      <c r="AU331" s="24" t="inlineStr">
        <is>
          <t>Philadelphia Phillies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research</t>
        </is>
      </c>
      <c r="BA331" s="24" t="inlineStr">
        <is>
          <t>dd339a2eed50d7d83ab2127837995ddab82e879afd27f5414bb6c1f9cd60ba4c</t>
        </is>
      </c>
      <c r="BB331" s="24" t="inlineStr">
        <is>
          <t>flat_probability_shrinkage_toward_half</t>
        </is>
      </c>
      <c r="BC331" s="24" t="inlineStr">
        <is>
          <t>measured-edge-margin-v3</t>
        </is>
      </c>
      <c r="BD331" s="24" t="inlineStr">
        <is>
          <t>dd339a2eed50d7d83ab2127837995ddab82e879afd27f5414bb6c1f9cd60ba4c</t>
        </is>
      </c>
      <c r="BE331" s="24" t="inlineStr">
        <is>
          <t>v3</t>
        </is>
      </c>
      <c r="BF331" s="24" t="inlineStr">
        <is>
          <t>1</t>
        </is>
      </c>
      <c r="BG331" s="24" t="inlineStr">
        <is>
          <t>measured-edge-paired-v1</t>
        </is>
      </c>
      <c r="BH331" s="24" t="inlineStr">
        <is>
          <t>2026-08-09T17:06:46.891600Z</t>
        </is>
      </c>
      <c r="BI331" s="24" t="inlineStr">
        <is>
          <t>["same_event","same_team_same_day","same_league_same_day"]</t>
        </is>
      </c>
      <c r="BJ331" s="25" t="n">
        <v>-1.5</v>
      </c>
      <c r="BK331" s="26" t="n">
        <v>-108</v>
      </c>
      <c r="BL331" s="27" t="n">
        <v>1.925926</v>
      </c>
      <c r="BM331" s="28" t="n">
        <v>0.519231</v>
      </c>
      <c r="BN331" s="28" t="n">
        <v>0.517413</v>
      </c>
      <c r="BO331" s="28" t="n"/>
      <c r="BP331" s="25" t="n"/>
      <c r="BQ331" s="27" t="n">
        <v>1.925926</v>
      </c>
      <c r="BR331" s="28" t="n">
        <v>0.52</v>
      </c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</row>
    <row r="332" ht="36" customHeight="1">
      <c r="A332" s="24" t="inlineStr">
        <is>
          <t>cb4ab462cdd148a0</t>
        </is>
      </c>
      <c r="B332" s="24" t="inlineStr">
        <is>
          <t>2026-08-09T17:06:46.891600Z</t>
        </is>
      </c>
      <c r="C332" s="24" t="inlineStr">
        <is>
          <t>2026-08-09T17:35Z</t>
        </is>
      </c>
      <c r="D332" s="24" t="inlineStr">
        <is>
          <t>401816459</t>
        </is>
      </c>
      <c r="E332" s="24" t="inlineStr">
        <is>
          <t>MLB</t>
        </is>
      </c>
      <c r="F332" s="24" t="inlineStr">
        <is>
          <t>Toronto Blue Jays</t>
        </is>
      </c>
      <c r="G332" s="24" t="inlineStr">
        <is>
          <t>Philadelphia Phillies</t>
        </is>
      </c>
      <c r="H332" s="24" t="inlineStr">
        <is>
          <t>total</t>
        </is>
      </c>
      <c r="I332" s="24" t="inlineStr">
        <is>
          <t>over</t>
        </is>
      </c>
      <c r="J332" s="25" t="n">
        <v>8.5</v>
      </c>
      <c r="K332" s="24" t="inlineStr">
        <is>
          <t>polymarket_us</t>
        </is>
      </c>
      <c r="L332" s="26" t="n">
        <v>104</v>
      </c>
      <c r="M332" s="27" t="n">
        <v>2.04</v>
      </c>
      <c r="N332" s="28" t="n">
        <v>0.490196</v>
      </c>
      <c r="O332" s="28" t="n">
        <v>0.506036</v>
      </c>
      <c r="P332" s="28" t="n">
        <v>0.05172</v>
      </c>
      <c r="Q332" s="28" t="n">
        <v>0.01584</v>
      </c>
      <c r="R332" s="26" t="n">
        <v>28</v>
      </c>
      <c r="S332" s="29" t="n">
        <v>0</v>
      </c>
      <c r="T332" s="24" t="inlineStr">
        <is>
          <t>measured-edge-totals-v3</t>
        </is>
      </c>
      <c r="U332" s="24" t="inlineStr">
        <is>
          <t>settled</t>
        </is>
      </c>
      <c r="V332" s="24" t="inlineStr">
        <is>
          <t>win</t>
        </is>
      </c>
      <c r="W332" s="26" t="n">
        <v>6</v>
      </c>
      <c r="X332" s="26" t="n">
        <v>7</v>
      </c>
      <c r="Y332" s="25" t="n">
        <v>8.5</v>
      </c>
      <c r="Z332" s="26" t="n">
        <v>104</v>
      </c>
      <c r="AA332" s="28" t="n">
        <v>0.49</v>
      </c>
      <c r="AB332" s="28" t="n">
        <v>-0.000196</v>
      </c>
      <c r="AC332" s="30" t="n">
        <v>0</v>
      </c>
      <c r="AD332" s="24" t="inlineStr">
        <is>
          <t>2026-08-09T23:29:29.653417Z</t>
        </is>
      </c>
      <c r="AE332" s="31" t="inlineStr">
        <is>
          <t>Measured Edge Totals: Trend Engine projected 4.15-4.68; raw selected-side p=0.5010, calibrated p=0.5060.</t>
        </is>
      </c>
      <c r="AF332" s="31" t="inlineStr">
        <is>
          <t>Research-only; lineup, bullpen, park, weather, xFIP, and wRC+ may be neutral fallbacks; market availability and BBO depth may change before first pitch.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research_observation</t>
        </is>
      </c>
      <c r="AL332" s="26" t="n">
        <v>3</v>
      </c>
      <c r="AM332" s="24" t="inlineStr">
        <is>
          <t>RESEARCH_OBSERVATION</t>
        </is>
      </c>
      <c r="AN332" s="24" t="inlineStr">
        <is>
          <t>NO_CALL</t>
        </is>
      </c>
      <c r="AO332" s="24" t="inlineStr">
        <is>
          <t>NO_CALL_WINNER_OVERVALUED</t>
        </is>
      </c>
      <c r="AP332" s="24" t="inlineStr">
        <is>
          <t>mlb-tor</t>
        </is>
      </c>
      <c r="AQ332" s="24" t="inlineStr">
        <is>
          <t>Toronto Blue Jays</t>
        </is>
      </c>
      <c r="AR332" s="24" t="inlineStr">
        <is>
          <t>Toronto Blue Jays</t>
        </is>
      </c>
      <c r="AS332" s="24" t="inlineStr">
        <is>
          <t>mlb-phi</t>
        </is>
      </c>
      <c r="AT332" s="24" t="inlineStr">
        <is>
          <t>Philadelphia Phillies</t>
        </is>
      </c>
      <c r="AU332" s="24" t="inlineStr">
        <is>
          <t>Philadelphia Phillies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research</t>
        </is>
      </c>
      <c r="BA332" s="24" t="inlineStr">
        <is>
          <t>95b84332c75d2ce54036eb8de6ada9c78d0f80228c50825c0347281a8b9b49c7</t>
        </is>
      </c>
      <c r="BB332" s="24" t="inlineStr">
        <is>
          <t>flat_probability_shrinkage_toward_half</t>
        </is>
      </c>
      <c r="BC332" s="24" t="inlineStr">
        <is>
          <t>measured-edge-totals-v3</t>
        </is>
      </c>
      <c r="BD332" s="24" t="inlineStr">
        <is>
          <t>95b84332c75d2ce54036eb8de6ada9c78d0f80228c50825c0347281a8b9b49c7</t>
        </is>
      </c>
      <c r="BE332" s="24" t="inlineStr">
        <is>
          <t>v3</t>
        </is>
      </c>
      <c r="BF332" s="24" t="inlineStr">
        <is>
          <t>1</t>
        </is>
      </c>
      <c r="BG332" s="24" t="inlineStr">
        <is>
          <t>measured-edge-paired-v1</t>
        </is>
      </c>
      <c r="BH332" s="24" t="inlineStr">
        <is>
          <t>2026-08-09T17:06:46.891600Z</t>
        </is>
      </c>
      <c r="BI332" s="24" t="inlineStr">
        <is>
          <t>["same_event","same_team_same_day","same_league_same_day"]</t>
        </is>
      </c>
      <c r="BJ332" s="25" t="n">
        <v>8.5</v>
      </c>
      <c r="BK332" s="26" t="n">
        <v>104</v>
      </c>
      <c r="BL332" s="27" t="n">
        <v>2.04</v>
      </c>
      <c r="BM332" s="28" t="n">
        <v>0.490196</v>
      </c>
      <c r="BN332" s="28" t="n">
        <v>0.487562</v>
      </c>
      <c r="BO332" s="28" t="n"/>
      <c r="BP332" s="25" t="n"/>
      <c r="BQ332" s="27" t="n">
        <v>2.04</v>
      </c>
      <c r="BR332" s="28" t="n">
        <v>0.49</v>
      </c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</row>
    <row r="333" ht="36" customHeight="1">
      <c r="A333" s="24" t="inlineStr">
        <is>
          <t>15de29f6f9b842e3</t>
        </is>
      </c>
      <c r="B333" s="24" t="inlineStr">
        <is>
          <t>2026-08-09T17:06:46.891600Z</t>
        </is>
      </c>
      <c r="C333" s="24" t="inlineStr">
        <is>
          <t>2026-08-09T17:40Z</t>
        </is>
      </c>
      <c r="D333" s="24" t="inlineStr">
        <is>
          <t>401816454</t>
        </is>
      </c>
      <c r="E333" s="24" t="inlineStr">
        <is>
          <t>MLB</t>
        </is>
      </c>
      <c r="F333" s="24" t="inlineStr">
        <is>
          <t>Los Angeles Angels</t>
        </is>
      </c>
      <c r="G333" s="24" t="inlineStr">
        <is>
          <t>Miami Marlins</t>
        </is>
      </c>
      <c r="H333" s="24" t="inlineStr">
        <is>
          <t>spread</t>
        </is>
      </c>
      <c r="I333" s="24" t="inlineStr">
        <is>
          <t>home</t>
        </is>
      </c>
      <c r="J333" s="25" t="n">
        <v>-1.5</v>
      </c>
      <c r="K333" s="24" t="inlineStr">
        <is>
          <t>polymarket_us</t>
        </is>
      </c>
      <c r="L333" s="26" t="n">
        <v>150</v>
      </c>
      <c r="M333" s="27" t="n">
        <v>2.5</v>
      </c>
      <c r="N333" s="28" t="n">
        <v>0.4</v>
      </c>
      <c r="O333" s="28" t="n">
        <v>0.434075</v>
      </c>
      <c r="P333" s="28" t="n">
        <v>0.042131</v>
      </c>
      <c r="Q333" s="28" t="n">
        <v>0.034075</v>
      </c>
      <c r="R333" s="26" t="n">
        <v>43</v>
      </c>
      <c r="S333" s="29" t="n">
        <v>0</v>
      </c>
      <c r="T333" s="24" t="inlineStr">
        <is>
          <t>measured-edge-margin-v3</t>
        </is>
      </c>
      <c r="U333" s="24" t="inlineStr">
        <is>
          <t>settled</t>
        </is>
      </c>
      <c r="V333" s="24" t="inlineStr">
        <is>
          <t>win</t>
        </is>
      </c>
      <c r="W333" s="26" t="n">
        <v>3</v>
      </c>
      <c r="X333" s="26" t="n">
        <v>12</v>
      </c>
      <c r="Y333" s="25" t="n">
        <v>-1.5</v>
      </c>
      <c r="Z333" s="26" t="n">
        <v>150</v>
      </c>
      <c r="AA333" s="28" t="n">
        <v>0.4</v>
      </c>
      <c r="AB333" s="28" t="n">
        <v>0</v>
      </c>
      <c r="AC333" s="30" t="n">
        <v>0</v>
      </c>
      <c r="AD333" s="24" t="inlineStr">
        <is>
          <t>2026-08-09T23:29:31.001031Z</t>
        </is>
      </c>
      <c r="AE333" s="31" t="inlineStr">
        <is>
          <t>Measured Edge Margin: Trend Engine projected 4.52-5.18; raw selected-side p=0.4032, calibrated p=0.4341.</t>
        </is>
      </c>
      <c r="AF333" s="31" t="inlineStr">
        <is>
          <t>Research-only; lineup, bullpen, park, weather, xFIP, and wRC+ may be neutral fallbacks; market availability and BBO depth may change before first pitch.</t>
        </is>
      </c>
      <c r="AG333" s="24" t="inlineStr">
        <is>
          <t>not_applicable</t>
        </is>
      </c>
      <c r="AH333" s="24" t="n"/>
      <c r="AI333" s="31" t="n"/>
      <c r="AJ333" s="31" t="n"/>
      <c r="AK333" s="24" t="inlineStr">
        <is>
          <t>research_observation</t>
        </is>
      </c>
      <c r="AL333" s="26" t="n">
        <v>3</v>
      </c>
      <c r="AM333" s="24" t="inlineStr">
        <is>
          <t>RESEARCH_OBSERVATION</t>
        </is>
      </c>
      <c r="AN333" s="24" t="inlineStr">
        <is>
          <t>NO_CALL</t>
        </is>
      </c>
      <c r="AO333" s="24" t="inlineStr">
        <is>
          <t>NO_CALL_WINNER_OVERVALUED</t>
        </is>
      </c>
      <c r="AP333" s="24" t="inlineStr">
        <is>
          <t>mlb-laa</t>
        </is>
      </c>
      <c r="AQ333" s="24" t="inlineStr">
        <is>
          <t>Los Angeles Angels</t>
        </is>
      </c>
      <c r="AR333" s="24" t="inlineStr">
        <is>
          <t>Los Angeles Angels</t>
        </is>
      </c>
      <c r="AS333" s="24" t="inlineStr">
        <is>
          <t>mlb-mia</t>
        </is>
      </c>
      <c r="AT333" s="24" t="inlineStr">
        <is>
          <t>Miami Marlins</t>
        </is>
      </c>
      <c r="AU333" s="24" t="inlineStr">
        <is>
          <t>Miami Marlins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research</t>
        </is>
      </c>
      <c r="BA333" s="24" t="inlineStr">
        <is>
          <t>dd339a2eed50d7d83ab2127837995ddab82e879afd27f5414bb6c1f9cd60ba4c</t>
        </is>
      </c>
      <c r="BB333" s="24" t="inlineStr">
        <is>
          <t>flat_probability_shrinkage_toward_half</t>
        </is>
      </c>
      <c r="BC333" s="24" t="inlineStr">
        <is>
          <t>measured-edge-margin-v3</t>
        </is>
      </c>
      <c r="BD333" s="24" t="inlineStr">
        <is>
          <t>dd339a2eed50d7d83ab2127837995ddab82e879afd27f5414bb6c1f9cd60ba4c</t>
        </is>
      </c>
      <c r="BE333" s="24" t="inlineStr">
        <is>
          <t>v3</t>
        </is>
      </c>
      <c r="BF333" s="24" t="inlineStr">
        <is>
          <t>1</t>
        </is>
      </c>
      <c r="BG333" s="24" t="inlineStr">
        <is>
          <t>measured-edge-paired-v1</t>
        </is>
      </c>
      <c r="BH333" s="24" t="inlineStr">
        <is>
          <t>2026-08-09T17:06:46.891600Z</t>
        </is>
      </c>
      <c r="BI333" s="24" t="inlineStr">
        <is>
          <t>["same_event","same_team_same_day","same_league_same_day"]</t>
        </is>
      </c>
      <c r="BJ333" s="25" t="n">
        <v>-1.5</v>
      </c>
      <c r="BK333" s="26" t="n">
        <v>150</v>
      </c>
      <c r="BL333" s="27" t="n">
        <v>2.5</v>
      </c>
      <c r="BM333" s="28" t="n">
        <v>0.4</v>
      </c>
      <c r="BN333" s="28" t="n">
        <v>0.39801</v>
      </c>
      <c r="BO333" s="28" t="n"/>
      <c r="BP333" s="25" t="n"/>
      <c r="BQ333" s="27" t="n">
        <v>2.5</v>
      </c>
      <c r="BR333" s="28" t="n">
        <v>0.4</v>
      </c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</row>
    <row r="334" ht="36" customHeight="1">
      <c r="A334" s="24" t="inlineStr">
        <is>
          <t>61b9a6aad15944a0</t>
        </is>
      </c>
      <c r="B334" s="24" t="inlineStr">
        <is>
          <t>2026-08-09T17:06:46.891600Z</t>
        </is>
      </c>
      <c r="C334" s="24" t="inlineStr">
        <is>
          <t>2026-08-09T17:40Z</t>
        </is>
      </c>
      <c r="D334" s="24" t="inlineStr">
        <is>
          <t>401816454</t>
        </is>
      </c>
      <c r="E334" s="24" t="inlineStr">
        <is>
          <t>MLB</t>
        </is>
      </c>
      <c r="F334" s="24" t="inlineStr">
        <is>
          <t>Los Angeles Angels</t>
        </is>
      </c>
      <c r="G334" s="24" t="inlineStr">
        <is>
          <t>Miami Marlins</t>
        </is>
      </c>
      <c r="H334" s="24" t="inlineStr">
        <is>
          <t>total</t>
        </is>
      </c>
      <c r="I334" s="24" t="inlineStr">
        <is>
          <t>over</t>
        </is>
      </c>
      <c r="J334" s="25" t="n">
        <v>8.5</v>
      </c>
      <c r="K334" s="24" t="inlineStr">
        <is>
          <t>polymarket_us</t>
        </is>
      </c>
      <c r="L334" s="26" t="n">
        <v>102</v>
      </c>
      <c r="M334" s="27" t="n">
        <v>2.02</v>
      </c>
      <c r="N334" s="28" t="n">
        <v>0.49505</v>
      </c>
      <c r="O334" s="28" t="n">
        <v>0.524666</v>
      </c>
      <c r="P334" s="28" t="n">
        <v>0.042131</v>
      </c>
      <c r="Q334" s="28" t="n">
        <v>0.029616</v>
      </c>
      <c r="R334" s="26" t="n">
        <v>41</v>
      </c>
      <c r="S334" s="29" t="n">
        <v>0</v>
      </c>
      <c r="T334" s="24" t="inlineStr">
        <is>
          <t>measured-edge-totals-v3</t>
        </is>
      </c>
      <c r="U334" s="24" t="inlineStr">
        <is>
          <t>settled</t>
        </is>
      </c>
      <c r="V334" s="24" t="inlineStr">
        <is>
          <t>win</t>
        </is>
      </c>
      <c r="W334" s="26" t="n">
        <v>3</v>
      </c>
      <c r="X334" s="26" t="n">
        <v>12</v>
      </c>
      <c r="Y334" s="25" t="n">
        <v>8.5</v>
      </c>
      <c r="Z334" s="26" t="n">
        <v>102</v>
      </c>
      <c r="AA334" s="28" t="n">
        <v>0.495</v>
      </c>
      <c r="AB334" s="28" t="n">
        <v>-5e-05</v>
      </c>
      <c r="AC334" s="30" t="n">
        <v>0</v>
      </c>
      <c r="AD334" s="24" t="inlineStr">
        <is>
          <t>2026-08-09T23:29:32.381879Z</t>
        </is>
      </c>
      <c r="AE334" s="31" t="inlineStr">
        <is>
          <t>Measured Edge Totals: Trend Engine projected 4.52-5.18; raw selected-side p=0.5759, calibrated p=0.5247.</t>
        </is>
      </c>
      <c r="AF334" s="31" t="inlineStr">
        <is>
          <t>Research-only; lineup, bullpen, park, weather, xFIP, and wRC+ may be neutral fallbacks; market availability and BBO depth may change before first pitch.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research_observation</t>
        </is>
      </c>
      <c r="AL334" s="26" t="n">
        <v>3</v>
      </c>
      <c r="AM334" s="24" t="inlineStr">
        <is>
          <t>RESEARCH_OBSERVATION</t>
        </is>
      </c>
      <c r="AN334" s="24" t="inlineStr">
        <is>
          <t>NO_CALL</t>
        </is>
      </c>
      <c r="AO334" s="24" t="inlineStr">
        <is>
          <t>NO_CALL_WINNER_OVERVALUED</t>
        </is>
      </c>
      <c r="AP334" s="24" t="inlineStr">
        <is>
          <t>mlb-laa</t>
        </is>
      </c>
      <c r="AQ334" s="24" t="inlineStr">
        <is>
          <t>Los Angeles Angels</t>
        </is>
      </c>
      <c r="AR334" s="24" t="inlineStr">
        <is>
          <t>Los Angeles Angels</t>
        </is>
      </c>
      <c r="AS334" s="24" t="inlineStr">
        <is>
          <t>mlb-mia</t>
        </is>
      </c>
      <c r="AT334" s="24" t="inlineStr">
        <is>
          <t>Miami Marlins</t>
        </is>
      </c>
      <c r="AU334" s="24" t="inlineStr">
        <is>
          <t>Miami Marlins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research</t>
        </is>
      </c>
      <c r="BA334" s="24" t="inlineStr">
        <is>
          <t>95b84332c75d2ce54036eb8de6ada9c78d0f80228c50825c0347281a8b9b49c7</t>
        </is>
      </c>
      <c r="BB334" s="24" t="inlineStr">
        <is>
          <t>flat_probability_shrinkage_toward_half</t>
        </is>
      </c>
      <c r="BC334" s="24" t="inlineStr">
        <is>
          <t>measured-edge-totals-v3</t>
        </is>
      </c>
      <c r="BD334" s="24" t="inlineStr">
        <is>
          <t>95b84332c75d2ce54036eb8de6ada9c78d0f80228c50825c0347281a8b9b49c7</t>
        </is>
      </c>
      <c r="BE334" s="24" t="inlineStr">
        <is>
          <t>v3</t>
        </is>
      </c>
      <c r="BF334" s="24" t="inlineStr">
        <is>
          <t>1</t>
        </is>
      </c>
      <c r="BG334" s="24" t="inlineStr">
        <is>
          <t>measured-edge-paired-v1</t>
        </is>
      </c>
      <c r="BH334" s="24" t="inlineStr">
        <is>
          <t>2026-08-09T17:06:46.891600Z</t>
        </is>
      </c>
      <c r="BI334" s="24" t="inlineStr">
        <is>
          <t>["same_event","same_team_same_day","same_league_same_day"]</t>
        </is>
      </c>
      <c r="BJ334" s="25" t="n">
        <v>8.5</v>
      </c>
      <c r="BK334" s="26" t="n">
        <v>102</v>
      </c>
      <c r="BL334" s="27" t="n">
        <v>2.02</v>
      </c>
      <c r="BM334" s="28" t="n">
        <v>0.49505</v>
      </c>
      <c r="BN334" s="28" t="n">
        <v>0.492537</v>
      </c>
      <c r="BO334" s="28" t="n"/>
      <c r="BP334" s="25" t="n"/>
      <c r="BQ334" s="27" t="n">
        <v>2.02</v>
      </c>
      <c r="BR334" s="28" t="n">
        <v>0.495</v>
      </c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</row>
    <row r="335" ht="36" customHeight="1">
      <c r="A335" s="24" t="inlineStr">
        <is>
          <t>0ccd6e835fa04ddd</t>
        </is>
      </c>
      <c r="B335" s="24" t="inlineStr">
        <is>
          <t>2026-08-09T17:06:46.891600Z</t>
        </is>
      </c>
      <c r="C335" s="24" t="inlineStr">
        <is>
          <t>2026-08-09T18:10Z</t>
        </is>
      </c>
      <c r="D335" s="24" t="inlineStr">
        <is>
          <t>401816461</t>
        </is>
      </c>
      <c r="E335" s="24" t="inlineStr">
        <is>
          <t>MLB</t>
        </is>
      </c>
      <c r="F335" s="24" t="inlineStr">
        <is>
          <t>Chicago Cubs</t>
        </is>
      </c>
      <c r="G335" s="24" t="inlineStr">
        <is>
          <t>Kansas City Royals</t>
        </is>
      </c>
      <c r="H335" s="24" t="inlineStr">
        <is>
          <t>spread</t>
        </is>
      </c>
      <c r="I335" s="24" t="inlineStr">
        <is>
          <t>home</t>
        </is>
      </c>
      <c r="J335" s="25" t="n">
        <v>1.5</v>
      </c>
      <c r="K335" s="24" t="inlineStr">
        <is>
          <t>polymarket_us</t>
        </is>
      </c>
      <c r="L335" s="26" t="n">
        <v>-102</v>
      </c>
      <c r="M335" s="27" t="n">
        <v>1.980392</v>
      </c>
      <c r="N335" s="28" t="n">
        <v>0.50495</v>
      </c>
      <c r="O335" s="28" t="n">
        <v>0.66173</v>
      </c>
      <c r="P335" s="28" t="n">
        <v>0.05172</v>
      </c>
      <c r="Q335" s="28" t="n">
        <v>0.15678</v>
      </c>
      <c r="R335" s="26" t="n">
        <v>99</v>
      </c>
      <c r="S335" s="29" t="n">
        <v>1.75</v>
      </c>
      <c r="T335" s="24" t="inlineStr">
        <is>
          <t>measured-edge-margin-v3</t>
        </is>
      </c>
      <c r="U335" s="24" t="inlineStr">
        <is>
          <t>settled</t>
        </is>
      </c>
      <c r="V335" s="24" t="inlineStr">
        <is>
          <t>loss</t>
        </is>
      </c>
      <c r="W335" s="26" t="n">
        <v>10</v>
      </c>
      <c r="X335" s="26" t="n">
        <v>2</v>
      </c>
      <c r="Y335" s="25" t="n">
        <v>1.5</v>
      </c>
      <c r="Z335" s="26" t="n">
        <v>-102</v>
      </c>
      <c r="AA335" s="28" t="n">
        <v>0.505</v>
      </c>
      <c r="AB335" s="28" t="n">
        <v>5e-05</v>
      </c>
      <c r="AC335" s="30" t="n">
        <v>-1.75</v>
      </c>
      <c r="AD335" s="24" t="inlineStr">
        <is>
          <t>2026-08-09T23:29:33.721586Z</t>
        </is>
      </c>
      <c r="AE335" s="31" t="inlineStr">
        <is>
          <t>Measured Edge Margin: Trend Engine projected 3.78-4.36; raw selected-side p=0.7373, calibrated p=0.6617.</t>
        </is>
      </c>
      <c r="AF335" s="31" t="inlineStr">
        <is>
          <t>Research-only; lineup, bullpen, park, weather, xFIP, and wRC+ may be neutral fallbacks; market availability and BBO depth may change before first pitch.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3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mlb-chc</t>
        </is>
      </c>
      <c r="AQ335" s="24" t="inlineStr">
        <is>
          <t>Chicago Cubs</t>
        </is>
      </c>
      <c r="AR335" s="24" t="inlineStr">
        <is>
          <t>Chicago Cubs</t>
        </is>
      </c>
      <c r="AS335" s="24" t="inlineStr">
        <is>
          <t>mlb-kc</t>
        </is>
      </c>
      <c r="AT335" s="24" t="inlineStr">
        <is>
          <t>Kansas City Royals</t>
        </is>
      </c>
      <c r="AU335" s="24" t="inlineStr">
        <is>
          <t>Kansas City Royals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research</t>
        </is>
      </c>
      <c r="BA335" s="24" t="inlineStr">
        <is>
          <t>dd339a2eed50d7d83ab2127837995ddab82e879afd27f5414bb6c1f9cd60ba4c</t>
        </is>
      </c>
      <c r="BB335" s="24" t="inlineStr">
        <is>
          <t>flat_probability_shrinkage_toward_half</t>
        </is>
      </c>
      <c r="BC335" s="24" t="inlineStr">
        <is>
          <t>measured-edge-margin-v3</t>
        </is>
      </c>
      <c r="BD335" s="24" t="inlineStr">
        <is>
          <t>dd339a2eed50d7d83ab2127837995ddab82e879afd27f5414bb6c1f9cd60ba4c</t>
        </is>
      </c>
      <c r="BE335" s="24" t="inlineStr">
        <is>
          <t>v3</t>
        </is>
      </c>
      <c r="BF335" s="24" t="inlineStr">
        <is>
          <t>1</t>
        </is>
      </c>
      <c r="BG335" s="24" t="inlineStr">
        <is>
          <t>measured-edge-paired-v1</t>
        </is>
      </c>
      <c r="BH335" s="24" t="inlineStr">
        <is>
          <t>2026-08-09T17:06:46.891600Z</t>
        </is>
      </c>
      <c r="BI335" s="24" t="inlineStr">
        <is>
          <t>["same_event","same_team_same_day","same_league_same_day"]</t>
        </is>
      </c>
      <c r="BJ335" s="25" t="n">
        <v>1.5</v>
      </c>
      <c r="BK335" s="26" t="n">
        <v>-102</v>
      </c>
      <c r="BL335" s="27" t="n">
        <v>1.980392</v>
      </c>
      <c r="BM335" s="28" t="n">
        <v>0.50495</v>
      </c>
      <c r="BN335" s="28" t="n">
        <v>0.502488</v>
      </c>
      <c r="BO335" s="28" t="n"/>
      <c r="BP335" s="25" t="n"/>
      <c r="BQ335" s="27" t="n">
        <v>1.980392</v>
      </c>
      <c r="BR335" s="28" t="n">
        <v>0.505</v>
      </c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</row>
    <row r="336" ht="36" customHeight="1">
      <c r="A336" s="24" t="inlineStr">
        <is>
          <t>e0f8e0d8062e44cb</t>
        </is>
      </c>
      <c r="B336" s="24" t="inlineStr">
        <is>
          <t>2026-08-09T17:06:46.891600Z</t>
        </is>
      </c>
      <c r="C336" s="24" t="inlineStr">
        <is>
          <t>2026-08-09T18:10Z</t>
        </is>
      </c>
      <c r="D336" s="24" t="inlineStr">
        <is>
          <t>401816461</t>
        </is>
      </c>
      <c r="E336" s="24" t="inlineStr">
        <is>
          <t>MLB</t>
        </is>
      </c>
      <c r="F336" s="24" t="inlineStr">
        <is>
          <t>Chicago Cubs</t>
        </is>
      </c>
      <c r="G336" s="24" t="inlineStr">
        <is>
          <t>Kansas City Royals</t>
        </is>
      </c>
      <c r="H336" s="24" t="inlineStr">
        <is>
          <t>total</t>
        </is>
      </c>
      <c r="I336" s="24" t="inlineStr">
        <is>
          <t>under</t>
        </is>
      </c>
      <c r="J336" s="25" t="n">
        <v>10.5</v>
      </c>
      <c r="K336" s="24" t="inlineStr">
        <is>
          <t>polymarket_us</t>
        </is>
      </c>
      <c r="L336" s="26" t="n">
        <v>-106</v>
      </c>
      <c r="M336" s="27" t="n">
        <v>1.943396</v>
      </c>
      <c r="N336" s="28" t="n">
        <v>0.514563</v>
      </c>
      <c r="O336" s="28" t="n">
        <v>0.566136</v>
      </c>
      <c r="P336" s="28" t="n">
        <v>0.05172</v>
      </c>
      <c r="Q336" s="28" t="n">
        <v>0.051573</v>
      </c>
      <c r="R336" s="26" t="n">
        <v>46</v>
      </c>
      <c r="S336" s="29" t="n">
        <v>0</v>
      </c>
      <c r="T336" s="24" t="inlineStr">
        <is>
          <t>measured-edge-totals-v3</t>
        </is>
      </c>
      <c r="U336" s="24" t="inlineStr">
        <is>
          <t>settled</t>
        </is>
      </c>
      <c r="V336" s="24" t="inlineStr">
        <is>
          <t>loss</t>
        </is>
      </c>
      <c r="W336" s="26" t="n">
        <v>10</v>
      </c>
      <c r="X336" s="26" t="n">
        <v>2</v>
      </c>
      <c r="Y336" s="25" t="n">
        <v>10.5</v>
      </c>
      <c r="Z336" s="26" t="n">
        <v>-106</v>
      </c>
      <c r="AA336" s="28" t="n">
        <v>0.515</v>
      </c>
      <c r="AB336" s="28" t="n">
        <v>0.000437</v>
      </c>
      <c r="AC336" s="30" t="n">
        <v>0</v>
      </c>
      <c r="AD336" s="24" t="inlineStr">
        <is>
          <t>2026-08-09T23:29:35.120949Z</t>
        </is>
      </c>
      <c r="AE336" s="31" t="inlineStr">
        <is>
          <t>Measured Edge Totals: Trend Engine projected 3.78-4.36; raw selected-side p=0.7429, calibrated p=0.5661.</t>
        </is>
      </c>
      <c r="AF336" s="31" t="inlineStr">
        <is>
          <t>Research-only; lineup, bullpen, park, weather, xFIP, and wRC+ may be neutral fallbacks; market availability and BBO depth may change before first pitch.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research_observation</t>
        </is>
      </c>
      <c r="AL336" s="26" t="n">
        <v>3</v>
      </c>
      <c r="AM336" s="24" t="inlineStr">
        <is>
          <t>RESEARCH_OBSERVATION</t>
        </is>
      </c>
      <c r="AN336" s="24" t="inlineStr">
        <is>
          <t>NO_CALL</t>
        </is>
      </c>
      <c r="AO336" s="24" t="inlineStr">
        <is>
          <t>NO_CALL_WINNER_OVERVALUED</t>
        </is>
      </c>
      <c r="AP336" s="24" t="inlineStr">
        <is>
          <t>mlb-chc</t>
        </is>
      </c>
      <c r="AQ336" s="24" t="inlineStr">
        <is>
          <t>Chicago Cubs</t>
        </is>
      </c>
      <c r="AR336" s="24" t="inlineStr">
        <is>
          <t>Chicago Cubs</t>
        </is>
      </c>
      <c r="AS336" s="24" t="inlineStr">
        <is>
          <t>mlb-kc</t>
        </is>
      </c>
      <c r="AT336" s="24" t="inlineStr">
        <is>
          <t>Kansas City Royals</t>
        </is>
      </c>
      <c r="AU336" s="24" t="inlineStr">
        <is>
          <t>Kansas City Royals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research</t>
        </is>
      </c>
      <c r="BA336" s="24" t="inlineStr">
        <is>
          <t>95b84332c75d2ce54036eb8de6ada9c78d0f80228c50825c0347281a8b9b49c7</t>
        </is>
      </c>
      <c r="BB336" s="24" t="inlineStr">
        <is>
          <t>flat_probability_shrinkage_toward_half</t>
        </is>
      </c>
      <c r="BC336" s="24" t="inlineStr">
        <is>
          <t>measured-edge-totals-v3</t>
        </is>
      </c>
      <c r="BD336" s="24" t="inlineStr">
        <is>
          <t>95b84332c75d2ce54036eb8de6ada9c78d0f80228c50825c0347281a8b9b49c7</t>
        </is>
      </c>
      <c r="BE336" s="24" t="inlineStr">
        <is>
          <t>v3</t>
        </is>
      </c>
      <c r="BF336" s="24" t="inlineStr">
        <is>
          <t>1</t>
        </is>
      </c>
      <c r="BG336" s="24" t="inlineStr">
        <is>
          <t>measured-edge-paired-v1</t>
        </is>
      </c>
      <c r="BH336" s="24" t="inlineStr">
        <is>
          <t>2026-08-09T17:06:46.891600Z</t>
        </is>
      </c>
      <c r="BI336" s="24" t="inlineStr">
        <is>
          <t>["same_event","same_team_same_day","same_league_same_day"]</t>
        </is>
      </c>
      <c r="BJ336" s="25" t="n">
        <v>10.5</v>
      </c>
      <c r="BK336" s="26" t="n">
        <v>-106</v>
      </c>
      <c r="BL336" s="27" t="n">
        <v>1.943396</v>
      </c>
      <c r="BM336" s="28" t="n">
        <v>0.514563</v>
      </c>
      <c r="BN336" s="28" t="n">
        <v>0.5124379999999999</v>
      </c>
      <c r="BO336" s="28" t="n"/>
      <c r="BP336" s="25" t="n"/>
      <c r="BQ336" s="27" t="n">
        <v>1.943396</v>
      </c>
      <c r="BR336" s="28" t="n">
        <v>0.515</v>
      </c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</row>
    <row r="337" ht="36" customHeight="1">
      <c r="A337" s="24" t="inlineStr">
        <is>
          <t>f4df9ea041b44220</t>
        </is>
      </c>
      <c r="B337" s="24" t="inlineStr">
        <is>
          <t>2026-08-09T17:06:46.891600Z</t>
        </is>
      </c>
      <c r="C337" s="24" t="inlineStr">
        <is>
          <t>2026-08-09T18:10Z</t>
        </is>
      </c>
      <c r="D337" s="24" t="inlineStr">
        <is>
          <t>401816462</t>
        </is>
      </c>
      <c r="E337" s="24" t="inlineStr">
        <is>
          <t>MLB</t>
        </is>
      </c>
      <c r="F337" s="24" t="inlineStr">
        <is>
          <t>Cleveland Guardians</t>
        </is>
      </c>
      <c r="G337" s="24" t="inlineStr">
        <is>
          <t>Chicago White Sox</t>
        </is>
      </c>
      <c r="H337" s="24" t="inlineStr">
        <is>
          <t>spread</t>
        </is>
      </c>
      <c r="I337" s="24" t="inlineStr">
        <is>
          <t>away</t>
        </is>
      </c>
      <c r="J337" s="25" t="n">
        <v>-1.5</v>
      </c>
      <c r="K337" s="24" t="inlineStr">
        <is>
          <t>polymarket_us</t>
        </is>
      </c>
      <c r="L337" s="26" t="n">
        <v>135</v>
      </c>
      <c r="M337" s="27" t="n">
        <v>2.35</v>
      </c>
      <c r="N337" s="28" t="n">
        <v>0.425532</v>
      </c>
      <c r="O337" s="28" t="n">
        <v>0.39503</v>
      </c>
      <c r="P337" s="28" t="n">
        <v>0.042131</v>
      </c>
      <c r="Q337" s="28" t="n">
        <v>-0.030502</v>
      </c>
      <c r="R337" s="26" t="n">
        <v>11</v>
      </c>
      <c r="S337" s="29" t="n">
        <v>0</v>
      </c>
      <c r="T337" s="24" t="inlineStr">
        <is>
          <t>measured-edge-margin-v3</t>
        </is>
      </c>
      <c r="U337" s="24" t="inlineStr">
        <is>
          <t>settled</t>
        </is>
      </c>
      <c r="V337" s="24" t="inlineStr">
        <is>
          <t>loss</t>
        </is>
      </c>
      <c r="W337" s="26" t="n">
        <v>3</v>
      </c>
      <c r="X337" s="26" t="n">
        <v>5</v>
      </c>
      <c r="Y337" s="25" t="n">
        <v>-1.5</v>
      </c>
      <c r="Z337" s="26" t="n">
        <v>135</v>
      </c>
      <c r="AA337" s="28" t="n">
        <v>0.425</v>
      </c>
      <c r="AB337" s="28" t="n">
        <v>-0.000532</v>
      </c>
      <c r="AC337" s="30" t="n">
        <v>0</v>
      </c>
      <c r="AD337" s="24" t="inlineStr">
        <is>
          <t>2026-08-09T23:29:36.518360Z</t>
        </is>
      </c>
      <c r="AE337" s="31" t="inlineStr">
        <is>
          <t>Measured Edge Margin: Trend Engine projected 4.87-4.76; raw selected-side p=0.3459, calibrated p=0.3950.</t>
        </is>
      </c>
      <c r="AF337" s="31" t="inlineStr">
        <is>
          <t>Research-only; lineup, bullpen, park, weather, xFIP, and wRC+ may be neutral fallbacks; market availability and BBO depth may change before first pitch.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research_observation</t>
        </is>
      </c>
      <c r="AL337" s="26" t="n">
        <v>3</v>
      </c>
      <c r="AM337" s="24" t="inlineStr">
        <is>
          <t>RESEARCH_OBSERVATION</t>
        </is>
      </c>
      <c r="AN337" s="24" t="inlineStr">
        <is>
          <t>NO_CALL</t>
        </is>
      </c>
      <c r="AO337" s="24" t="inlineStr">
        <is>
          <t>NO_CALL_WINNER_OVERVALUED</t>
        </is>
      </c>
      <c r="AP337" s="24" t="inlineStr">
        <is>
          <t>mlb-cle</t>
        </is>
      </c>
      <c r="AQ337" s="24" t="inlineStr">
        <is>
          <t>Cleveland Guardians</t>
        </is>
      </c>
      <c r="AR337" s="24" t="inlineStr">
        <is>
          <t>Cleveland Guardians</t>
        </is>
      </c>
      <c r="AS337" s="24" t="inlineStr">
        <is>
          <t>mlb-cws</t>
        </is>
      </c>
      <c r="AT337" s="24" t="inlineStr">
        <is>
          <t>Chicago White Sox</t>
        </is>
      </c>
      <c r="AU337" s="24" t="inlineStr">
        <is>
          <t>Chicago White Sox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research</t>
        </is>
      </c>
      <c r="BA337" s="24" t="inlineStr">
        <is>
          <t>dd339a2eed50d7d83ab2127837995ddab82e879afd27f5414bb6c1f9cd60ba4c</t>
        </is>
      </c>
      <c r="BB337" s="24" t="inlineStr">
        <is>
          <t>flat_probability_shrinkage_toward_half</t>
        </is>
      </c>
      <c r="BC337" s="24" t="inlineStr">
        <is>
          <t>measured-edge-margin-v3</t>
        </is>
      </c>
      <c r="BD337" s="24" t="inlineStr">
        <is>
          <t>dd339a2eed50d7d83ab2127837995ddab82e879afd27f5414bb6c1f9cd60ba4c</t>
        </is>
      </c>
      <c r="BE337" s="24" t="inlineStr">
        <is>
          <t>v3</t>
        </is>
      </c>
      <c r="BF337" s="24" t="inlineStr">
        <is>
          <t>1</t>
        </is>
      </c>
      <c r="BG337" s="24" t="inlineStr">
        <is>
          <t>measured-edge-paired-v1</t>
        </is>
      </c>
      <c r="BH337" s="24" t="inlineStr">
        <is>
          <t>2026-08-09T17:06:46.891600Z</t>
        </is>
      </c>
      <c r="BI337" s="24" t="inlineStr">
        <is>
          <t>["same_event","same_team_same_day","same_league_same_day"]</t>
        </is>
      </c>
      <c r="BJ337" s="25" t="n">
        <v>-1.5</v>
      </c>
      <c r="BK337" s="26" t="n">
        <v>135</v>
      </c>
      <c r="BL337" s="27" t="n">
        <v>2.35</v>
      </c>
      <c r="BM337" s="28" t="n">
        <v>0.425532</v>
      </c>
      <c r="BN337" s="28" t="n">
        <v>0.422886</v>
      </c>
      <c r="BO337" s="28" t="n"/>
      <c r="BP337" s="25" t="n"/>
      <c r="BQ337" s="27" t="n">
        <v>2.35</v>
      </c>
      <c r="BR337" s="28" t="n">
        <v>0.425</v>
      </c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False</t>
        </is>
      </c>
    </row>
    <row r="338" ht="36" customHeight="1">
      <c r="A338" s="24" t="inlineStr">
        <is>
          <t>dd242af686e34a6e</t>
        </is>
      </c>
      <c r="B338" s="24" t="inlineStr">
        <is>
          <t>2026-08-09T17:06:46.891600Z</t>
        </is>
      </c>
      <c r="C338" s="24" t="inlineStr">
        <is>
          <t>2026-08-09T18:10Z</t>
        </is>
      </c>
      <c r="D338" s="24" t="inlineStr">
        <is>
          <t>401816462</t>
        </is>
      </c>
      <c r="E338" s="24" t="inlineStr">
        <is>
          <t>MLB</t>
        </is>
      </c>
      <c r="F338" s="24" t="inlineStr">
        <is>
          <t>Cleveland Guardians</t>
        </is>
      </c>
      <c r="G338" s="24" t="inlineStr">
        <is>
          <t>Chicago White Sox</t>
        </is>
      </c>
      <c r="H338" s="24" t="inlineStr">
        <is>
          <t>total</t>
        </is>
      </c>
      <c r="I338" s="24" t="inlineStr">
        <is>
          <t>over</t>
        </is>
      </c>
      <c r="J338" s="25" t="n">
        <v>8.5</v>
      </c>
      <c r="K338" s="24" t="inlineStr">
        <is>
          <t>polymarket_us</t>
        </is>
      </c>
      <c r="L338" s="26" t="n">
        <v>104</v>
      </c>
      <c r="M338" s="27" t="n">
        <v>2.04</v>
      </c>
      <c r="N338" s="28" t="n">
        <v>0.490196</v>
      </c>
      <c r="O338" s="28" t="n">
        <v>0.524579</v>
      </c>
      <c r="P338" s="28" t="n">
        <v>0.042131</v>
      </c>
      <c r="Q338" s="28" t="n">
        <v>0.034383</v>
      </c>
      <c r="R338" s="26" t="n">
        <v>43</v>
      </c>
      <c r="S338" s="29" t="n">
        <v>0</v>
      </c>
      <c r="T338" s="24" t="inlineStr">
        <is>
          <t>measured-edge-totals-v3</t>
        </is>
      </c>
      <c r="U338" s="24" t="inlineStr">
        <is>
          <t>settled</t>
        </is>
      </c>
      <c r="V338" s="24" t="inlineStr">
        <is>
          <t>loss</t>
        </is>
      </c>
      <c r="W338" s="26" t="n">
        <v>3</v>
      </c>
      <c r="X338" s="26" t="n">
        <v>5</v>
      </c>
      <c r="Y338" s="25" t="n">
        <v>8.5</v>
      </c>
      <c r="Z338" s="26" t="n">
        <v>104</v>
      </c>
      <c r="AA338" s="28" t="n">
        <v>0.49</v>
      </c>
      <c r="AB338" s="28" t="n">
        <v>-0.000196</v>
      </c>
      <c r="AC338" s="30" t="n">
        <v>0</v>
      </c>
      <c r="AD338" s="24" t="inlineStr">
        <is>
          <t>2026-08-09T23:29:37.858487Z</t>
        </is>
      </c>
      <c r="AE338" s="31" t="inlineStr">
        <is>
          <t>Measured Edge Totals: Trend Engine projected 4.87-4.76; raw selected-side p=0.5756, calibrated p=0.5246.</t>
        </is>
      </c>
      <c r="AF338" s="31" t="inlineStr">
        <is>
          <t>Research-only; lineup, bullpen, park, weather, xFIP, and wRC+ may be neutral fallbacks; market availability and BBO depth may change before first pitch.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research_observation</t>
        </is>
      </c>
      <c r="AL338" s="26" t="n">
        <v>3</v>
      </c>
      <c r="AM338" s="24" t="inlineStr">
        <is>
          <t>RESEARCH_OBSERVATION</t>
        </is>
      </c>
      <c r="AN338" s="24" t="inlineStr">
        <is>
          <t>NO_CALL</t>
        </is>
      </c>
      <c r="AO338" s="24" t="inlineStr">
        <is>
          <t>NO_CALL_WINNER_OVERVALUED</t>
        </is>
      </c>
      <c r="AP338" s="24" t="inlineStr">
        <is>
          <t>mlb-cle</t>
        </is>
      </c>
      <c r="AQ338" s="24" t="inlineStr">
        <is>
          <t>Cleveland Guardians</t>
        </is>
      </c>
      <c r="AR338" s="24" t="inlineStr">
        <is>
          <t>Cleveland Guardians</t>
        </is>
      </c>
      <c r="AS338" s="24" t="inlineStr">
        <is>
          <t>mlb-cws</t>
        </is>
      </c>
      <c r="AT338" s="24" t="inlineStr">
        <is>
          <t>Chicago White Sox</t>
        </is>
      </c>
      <c r="AU338" s="24" t="inlineStr">
        <is>
          <t>Chicago White Sox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research</t>
        </is>
      </c>
      <c r="BA338" s="24" t="inlineStr">
        <is>
          <t>95b84332c75d2ce54036eb8de6ada9c78d0f80228c50825c0347281a8b9b49c7</t>
        </is>
      </c>
      <c r="BB338" s="24" t="inlineStr">
        <is>
          <t>flat_probability_shrinkage_toward_half</t>
        </is>
      </c>
      <c r="BC338" s="24" t="inlineStr">
        <is>
          <t>measured-edge-totals-v3</t>
        </is>
      </c>
      <c r="BD338" s="24" t="inlineStr">
        <is>
          <t>95b84332c75d2ce54036eb8de6ada9c78d0f80228c50825c0347281a8b9b49c7</t>
        </is>
      </c>
      <c r="BE338" s="24" t="inlineStr">
        <is>
          <t>v3</t>
        </is>
      </c>
      <c r="BF338" s="24" t="inlineStr">
        <is>
          <t>1</t>
        </is>
      </c>
      <c r="BG338" s="24" t="inlineStr">
        <is>
          <t>measured-edge-paired-v1</t>
        </is>
      </c>
      <c r="BH338" s="24" t="inlineStr">
        <is>
          <t>2026-08-09T17:06:46.891600Z</t>
        </is>
      </c>
      <c r="BI338" s="24" t="inlineStr">
        <is>
          <t>["same_event","same_team_same_day","same_league_same_day"]</t>
        </is>
      </c>
      <c r="BJ338" s="25" t="n">
        <v>8.5</v>
      </c>
      <c r="BK338" s="26" t="n">
        <v>104</v>
      </c>
      <c r="BL338" s="27" t="n">
        <v>2.04</v>
      </c>
      <c r="BM338" s="28" t="n">
        <v>0.490196</v>
      </c>
      <c r="BN338" s="28" t="n">
        <v>0.487562</v>
      </c>
      <c r="BO338" s="28" t="n"/>
      <c r="BP338" s="25" t="n"/>
      <c r="BQ338" s="27" t="n">
        <v>2.04</v>
      </c>
      <c r="BR338" s="28" t="n">
        <v>0.49</v>
      </c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</row>
    <row r="339" ht="36" customHeight="1">
      <c r="A339" s="24" t="inlineStr">
        <is>
          <t>a431856d7afd44a8</t>
        </is>
      </c>
      <c r="B339" s="24" t="inlineStr">
        <is>
          <t>2026-08-09T17:06:46.891600Z</t>
        </is>
      </c>
      <c r="C339" s="24" t="inlineStr">
        <is>
          <t>2026-08-09T18:10Z</t>
        </is>
      </c>
      <c r="D339" s="24" t="inlineStr">
        <is>
          <t>401816464</t>
        </is>
      </c>
      <c r="E339" s="24" t="inlineStr">
        <is>
          <t>MLB</t>
        </is>
      </c>
      <c r="F339" s="24" t="inlineStr">
        <is>
          <t>Minnesota Twins</t>
        </is>
      </c>
      <c r="G339" s="24" t="inlineStr">
        <is>
          <t>Milwaukee Brewers</t>
        </is>
      </c>
      <c r="H339" s="24" t="inlineStr">
        <is>
          <t>spread</t>
        </is>
      </c>
      <c r="I339" s="24" t="inlineStr">
        <is>
          <t>home</t>
        </is>
      </c>
      <c r="J339" s="25" t="n">
        <v>-1.5</v>
      </c>
      <c r="K339" s="24" t="inlineStr">
        <is>
          <t>polymarket_us</t>
        </is>
      </c>
      <c r="L339" s="26" t="n">
        <v>-111</v>
      </c>
      <c r="M339" s="27" t="n">
        <v>1.900901</v>
      </c>
      <c r="N339" s="28" t="n">
        <v>0.526066</v>
      </c>
      <c r="O339" s="28" t="n">
        <v>0.449031</v>
      </c>
      <c r="P339" s="28" t="n">
        <v>0.042131</v>
      </c>
      <c r="Q339" s="28" t="n">
        <v>-0.07703500000000001</v>
      </c>
      <c r="R339" s="26" t="n">
        <v>0</v>
      </c>
      <c r="S339" s="29" t="n">
        <v>0</v>
      </c>
      <c r="T339" s="24" t="inlineStr">
        <is>
          <t>measured-edge-margin-v3</t>
        </is>
      </c>
      <c r="U339" s="24" t="inlineStr">
        <is>
          <t>settled</t>
        </is>
      </c>
      <c r="V339" s="24" t="inlineStr">
        <is>
          <t>loss</t>
        </is>
      </c>
      <c r="W339" s="26" t="n">
        <v>3</v>
      </c>
      <c r="X339" s="26" t="n">
        <v>4</v>
      </c>
      <c r="Y339" s="25" t="n">
        <v>-1.5</v>
      </c>
      <c r="Z339" s="26" t="n">
        <v>-111</v>
      </c>
      <c r="AA339" s="28" t="n">
        <v>0.525</v>
      </c>
      <c r="AB339" s="28" t="n">
        <v>-0.001066</v>
      </c>
      <c r="AC339" s="30" t="n">
        <v>0</v>
      </c>
      <c r="AD339" s="24" t="inlineStr">
        <is>
          <t>2026-08-09T23:29:39.255201Z</t>
        </is>
      </c>
      <c r="AE339" s="31" t="inlineStr">
        <is>
          <t>Measured Edge Margin: Trend Engine projected 3.67-4.67; raw selected-side p=0.4252, calibrated p=0.4490.</t>
        </is>
      </c>
      <c r="AF339" s="31" t="inlineStr">
        <is>
          <t>Research-only; lineup, bullpen, park, weather, xFIP, and wRC+ may be neutral fallbacks; market availability and BBO depth may change before first pitch.</t>
        </is>
      </c>
      <c r="AG339" s="24" t="inlineStr">
        <is>
          <t>review_required</t>
        </is>
      </c>
      <c r="AH339" s="24" t="n"/>
      <c r="AI339" s="31" t="n"/>
      <c r="AJ339" s="31" t="n"/>
      <c r="AK339" s="24" t="inlineStr">
        <is>
          <t>research_observation</t>
        </is>
      </c>
      <c r="AL339" s="26" t="n">
        <v>3</v>
      </c>
      <c r="AM339" s="24" t="inlineStr">
        <is>
          <t>RESEARCH_OBSERVATION</t>
        </is>
      </c>
      <c r="AN339" s="24" t="inlineStr">
        <is>
          <t>NO_CALL</t>
        </is>
      </c>
      <c r="AO339" s="24" t="inlineStr">
        <is>
          <t>NO_CALL_WINNER_OVERVALUED</t>
        </is>
      </c>
      <c r="AP339" s="24" t="inlineStr">
        <is>
          <t>mlb-min</t>
        </is>
      </c>
      <c r="AQ339" s="24" t="inlineStr">
        <is>
          <t>Minnesota Twins</t>
        </is>
      </c>
      <c r="AR339" s="24" t="inlineStr">
        <is>
          <t>Minnesota Twins</t>
        </is>
      </c>
      <c r="AS339" s="24" t="inlineStr">
        <is>
          <t>mlb-mil</t>
        </is>
      </c>
      <c r="AT339" s="24" t="inlineStr">
        <is>
          <t>Milwaukee Brewers</t>
        </is>
      </c>
      <c r="AU339" s="24" t="inlineStr">
        <is>
          <t>Milwaukee Brewers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research</t>
        </is>
      </c>
      <c r="BA339" s="24" t="inlineStr">
        <is>
          <t>dd339a2eed50d7d83ab2127837995ddab82e879afd27f5414bb6c1f9cd60ba4c</t>
        </is>
      </c>
      <c r="BB339" s="24" t="inlineStr">
        <is>
          <t>flat_probability_shrinkage_toward_half</t>
        </is>
      </c>
      <c r="BC339" s="24" t="inlineStr">
        <is>
          <t>measured-edge-margin-v3</t>
        </is>
      </c>
      <c r="BD339" s="24" t="inlineStr">
        <is>
          <t>dd339a2eed50d7d83ab2127837995ddab82e879afd27f5414bb6c1f9cd60ba4c</t>
        </is>
      </c>
      <c r="BE339" s="24" t="inlineStr">
        <is>
          <t>v3</t>
        </is>
      </c>
      <c r="BF339" s="24" t="inlineStr">
        <is>
          <t>1</t>
        </is>
      </c>
      <c r="BG339" s="24" t="inlineStr">
        <is>
          <t>measured-edge-paired-v1</t>
        </is>
      </c>
      <c r="BH339" s="24" t="inlineStr">
        <is>
          <t>2026-08-09T17:06:46.891600Z</t>
        </is>
      </c>
      <c r="BI339" s="24" t="inlineStr">
        <is>
          <t>["same_event","same_team_same_day","same_league_same_day"]</t>
        </is>
      </c>
      <c r="BJ339" s="25" t="n">
        <v>-1.5</v>
      </c>
      <c r="BK339" s="26" t="n">
        <v>-111</v>
      </c>
      <c r="BL339" s="27" t="n">
        <v>1.900901</v>
      </c>
      <c r="BM339" s="28" t="n">
        <v>0.526066</v>
      </c>
      <c r="BN339" s="28" t="n">
        <v>0.522388</v>
      </c>
      <c r="BO339" s="28" t="n"/>
      <c r="BP339" s="25" t="n"/>
      <c r="BQ339" s="27" t="n">
        <v>1.900901</v>
      </c>
      <c r="BR339" s="28" t="n">
        <v>0.525</v>
      </c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</row>
    <row r="340" ht="36" customHeight="1">
      <c r="A340" s="24" t="inlineStr">
        <is>
          <t>23d89775b8404b49</t>
        </is>
      </c>
      <c r="B340" s="24" t="inlineStr">
        <is>
          <t>2026-08-09T17:06:46.891600Z</t>
        </is>
      </c>
      <c r="C340" s="24" t="inlineStr">
        <is>
          <t>2026-08-09T18:10Z</t>
        </is>
      </c>
      <c r="D340" s="24" t="inlineStr">
        <is>
          <t>401816464</t>
        </is>
      </c>
      <c r="E340" s="24" t="inlineStr">
        <is>
          <t>MLB</t>
        </is>
      </c>
      <c r="F340" s="24" t="inlineStr">
        <is>
          <t>Minnesota Twins</t>
        </is>
      </c>
      <c r="G340" s="24" t="inlineStr">
        <is>
          <t>Milwaukee Brewers</t>
        </is>
      </c>
      <c r="H340" s="24" t="inlineStr">
        <is>
          <t>total</t>
        </is>
      </c>
      <c r="I340" s="24" t="inlineStr">
        <is>
          <t>over</t>
        </is>
      </c>
      <c r="J340" s="25" t="n">
        <v>7.5</v>
      </c>
      <c r="K340" s="24" t="inlineStr">
        <is>
          <t>polymarket_us</t>
        </is>
      </c>
      <c r="L340" s="26" t="n">
        <v>122</v>
      </c>
      <c r="M340" s="27" t="n">
        <v>2.22</v>
      </c>
      <c r="N340" s="28" t="n">
        <v>0.45045</v>
      </c>
      <c r="O340" s="28" t="n">
        <v>0.514419</v>
      </c>
      <c r="P340" s="28" t="n">
        <v>0.042131</v>
      </c>
      <c r="Q340" s="28" t="n">
        <v>0.063969</v>
      </c>
      <c r="R340" s="26" t="n">
        <v>58</v>
      </c>
      <c r="S340" s="29" t="n">
        <v>0</v>
      </c>
      <c r="T340" s="24" t="inlineStr">
        <is>
          <t>measured-edge-totals-v3</t>
        </is>
      </c>
      <c r="U340" s="24" t="inlineStr">
        <is>
          <t>settled</t>
        </is>
      </c>
      <c r="V340" s="24" t="inlineStr">
        <is>
          <t>loss</t>
        </is>
      </c>
      <c r="W340" s="26" t="n">
        <v>3</v>
      </c>
      <c r="X340" s="26" t="n">
        <v>4</v>
      </c>
      <c r="Y340" s="25" t="n">
        <v>7.5</v>
      </c>
      <c r="Z340" s="26" t="n">
        <v>122</v>
      </c>
      <c r="AA340" s="28" t="n">
        <v>0.45</v>
      </c>
      <c r="AB340" s="28" t="n">
        <v>-0.00045</v>
      </c>
      <c r="AC340" s="30" t="n">
        <v>0</v>
      </c>
      <c r="AD340" s="24" t="inlineStr">
        <is>
          <t>2026-08-09T23:29:40.650242Z</t>
        </is>
      </c>
      <c r="AE340" s="31" t="inlineStr">
        <is>
          <t>Measured Edge Totals: Trend Engine projected 3.67-4.67; raw selected-side p=0.5347, calibrated p=0.5144.</t>
        </is>
      </c>
      <c r="AF340" s="31" t="inlineStr">
        <is>
          <t>Research-only; lineup, bullpen, park, weather, xFIP, and wRC+ may be neutral fallbacks; market availability and BBO depth may change before first pitch.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research_observation</t>
        </is>
      </c>
      <c r="AL340" s="26" t="n">
        <v>3</v>
      </c>
      <c r="AM340" s="24" t="inlineStr">
        <is>
          <t>RESEARCH_OBSERVATION</t>
        </is>
      </c>
      <c r="AN340" s="24" t="inlineStr">
        <is>
          <t>NO_CALL</t>
        </is>
      </c>
      <c r="AO340" s="24" t="inlineStr">
        <is>
          <t>NO_CALL_WINNER_OVERVALUED</t>
        </is>
      </c>
      <c r="AP340" s="24" t="inlineStr">
        <is>
          <t>mlb-min</t>
        </is>
      </c>
      <c r="AQ340" s="24" t="inlineStr">
        <is>
          <t>Minnesota Twins</t>
        </is>
      </c>
      <c r="AR340" s="24" t="inlineStr">
        <is>
          <t>Minnesota Twins</t>
        </is>
      </c>
      <c r="AS340" s="24" t="inlineStr">
        <is>
          <t>mlb-mil</t>
        </is>
      </c>
      <c r="AT340" s="24" t="inlineStr">
        <is>
          <t>Milwaukee Brewers</t>
        </is>
      </c>
      <c r="AU340" s="24" t="inlineStr">
        <is>
          <t>Milwaukee Brewers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research</t>
        </is>
      </c>
      <c r="BA340" s="24" t="inlineStr">
        <is>
          <t>95b84332c75d2ce54036eb8de6ada9c78d0f80228c50825c0347281a8b9b49c7</t>
        </is>
      </c>
      <c r="BB340" s="24" t="inlineStr">
        <is>
          <t>flat_probability_shrinkage_toward_half</t>
        </is>
      </c>
      <c r="BC340" s="24" t="inlineStr">
        <is>
          <t>measured-edge-totals-v3</t>
        </is>
      </c>
      <c r="BD340" s="24" t="inlineStr">
        <is>
          <t>95b84332c75d2ce54036eb8de6ada9c78d0f80228c50825c0347281a8b9b49c7</t>
        </is>
      </c>
      <c r="BE340" s="24" t="inlineStr">
        <is>
          <t>v3</t>
        </is>
      </c>
      <c r="BF340" s="24" t="inlineStr">
        <is>
          <t>1</t>
        </is>
      </c>
      <c r="BG340" s="24" t="inlineStr">
        <is>
          <t>measured-edge-paired-v1</t>
        </is>
      </c>
      <c r="BH340" s="24" t="inlineStr">
        <is>
          <t>2026-08-09T17:06:46.891600Z</t>
        </is>
      </c>
      <c r="BI340" s="24" t="inlineStr">
        <is>
          <t>["same_event","same_team_same_day","same_league_same_day"]</t>
        </is>
      </c>
      <c r="BJ340" s="25" t="n">
        <v>7.5</v>
      </c>
      <c r="BK340" s="26" t="n">
        <v>122</v>
      </c>
      <c r="BL340" s="27" t="n">
        <v>2.22</v>
      </c>
      <c r="BM340" s="28" t="n">
        <v>0.45045</v>
      </c>
      <c r="BN340" s="28" t="n">
        <v>0.447761</v>
      </c>
      <c r="BO340" s="28" t="n"/>
      <c r="BP340" s="25" t="n"/>
      <c r="BQ340" s="27" t="n">
        <v>2.22</v>
      </c>
      <c r="BR340" s="28" t="n">
        <v>0.45</v>
      </c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</row>
    <row r="341" ht="36" customHeight="1">
      <c r="A341" s="24" t="inlineStr">
        <is>
          <t>d374920394ce4496</t>
        </is>
      </c>
      <c r="B341" s="24" t="inlineStr">
        <is>
          <t>2026-08-09T17:06:46.891600Z</t>
        </is>
      </c>
      <c r="C341" s="24" t="inlineStr">
        <is>
          <t>2026-08-09T18:15Z</t>
        </is>
      </c>
      <c r="D341" s="24" t="inlineStr">
        <is>
          <t>401816463</t>
        </is>
      </c>
      <c r="E341" s="24" t="inlineStr">
        <is>
          <t>MLB</t>
        </is>
      </c>
      <c r="F341" s="24" t="inlineStr">
        <is>
          <t>Colorado Rockies</t>
        </is>
      </c>
      <c r="G341" s="24" t="inlineStr">
        <is>
          <t>St. Louis Cardinals</t>
        </is>
      </c>
      <c r="H341" s="24" t="inlineStr">
        <is>
          <t>spread</t>
        </is>
      </c>
      <c r="I341" s="24" t="inlineStr">
        <is>
          <t>home</t>
        </is>
      </c>
      <c r="J341" s="25" t="n">
        <v>-1.5</v>
      </c>
      <c r="K341" s="24" t="inlineStr">
        <is>
          <t>polymarket_us</t>
        </is>
      </c>
      <c r="L341" s="26" t="n">
        <v>130</v>
      </c>
      <c r="M341" s="27" t="n">
        <v>2.3</v>
      </c>
      <c r="N341" s="28" t="n">
        <v>0.434783</v>
      </c>
      <c r="O341" s="28" t="n">
        <v>0.43864</v>
      </c>
      <c r="P341" s="28" t="n">
        <v>0.042131</v>
      </c>
      <c r="Q341" s="28" t="n">
        <v>0.003857</v>
      </c>
      <c r="R341" s="26" t="n">
        <v>28</v>
      </c>
      <c r="S341" s="29" t="n">
        <v>0</v>
      </c>
      <c r="T341" s="24" t="inlineStr">
        <is>
          <t>measured-edge-margin-v3</t>
        </is>
      </c>
      <c r="U341" s="24" t="inlineStr">
        <is>
          <t>settled</t>
        </is>
      </c>
      <c r="V341" s="24" t="inlineStr">
        <is>
          <t>win</t>
        </is>
      </c>
      <c r="W341" s="26" t="n">
        <v>4</v>
      </c>
      <c r="X341" s="26" t="n">
        <v>7</v>
      </c>
      <c r="Y341" s="25" t="n">
        <v>-1.5</v>
      </c>
      <c r="Z341" s="26" t="n">
        <v>130</v>
      </c>
      <c r="AA341" s="28" t="n">
        <v>0.435</v>
      </c>
      <c r="AB341" s="28" t="n">
        <v>0.000217</v>
      </c>
      <c r="AC341" s="30" t="n">
        <v>0</v>
      </c>
      <c r="AD341" s="24" t="inlineStr">
        <is>
          <t>2026-08-09T23:29:41.995995Z</t>
        </is>
      </c>
      <c r="AE341" s="31" t="inlineStr">
        <is>
          <t>Measured Edge Margin: Trend Engine projected 4.61-5.34; raw selected-side p=0.4099, calibrated p=0.4386.</t>
        </is>
      </c>
      <c r="AF341" s="31" t="inlineStr">
        <is>
          <t>Research-only; lineup, bullpen, park, weather, xFIP, and wRC+ may be neutral fallbacks; market availability and BBO depth may change before first pitch.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research_observation</t>
        </is>
      </c>
      <c r="AL341" s="26" t="n">
        <v>3</v>
      </c>
      <c r="AM341" s="24" t="inlineStr">
        <is>
          <t>RESEARCH_OBSERVATION</t>
        </is>
      </c>
      <c r="AN341" s="24" t="inlineStr">
        <is>
          <t>NO_CALL</t>
        </is>
      </c>
      <c r="AO341" s="24" t="inlineStr">
        <is>
          <t>NO_CALL_WINNER_OVERVALUED</t>
        </is>
      </c>
      <c r="AP341" s="24" t="inlineStr">
        <is>
          <t>mlb-col</t>
        </is>
      </c>
      <c r="AQ341" s="24" t="inlineStr">
        <is>
          <t>Colorado Rockies</t>
        </is>
      </c>
      <c r="AR341" s="24" t="inlineStr">
        <is>
          <t>Colorado Rockies</t>
        </is>
      </c>
      <c r="AS341" s="24" t="inlineStr">
        <is>
          <t>mlb-stl</t>
        </is>
      </c>
      <c r="AT341" s="24" t="inlineStr">
        <is>
          <t>St. Louis Cardinals</t>
        </is>
      </c>
      <c r="AU341" s="24" t="inlineStr">
        <is>
          <t>St. Louis Cardinals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research</t>
        </is>
      </c>
      <c r="BA341" s="24" t="inlineStr">
        <is>
          <t>dd339a2eed50d7d83ab2127837995ddab82e879afd27f5414bb6c1f9cd60ba4c</t>
        </is>
      </c>
      <c r="BB341" s="24" t="inlineStr">
        <is>
          <t>flat_probability_shrinkage_toward_half</t>
        </is>
      </c>
      <c r="BC341" s="24" t="inlineStr">
        <is>
          <t>measured-edge-margin-v3</t>
        </is>
      </c>
      <c r="BD341" s="24" t="inlineStr">
        <is>
          <t>dd339a2eed50d7d83ab2127837995ddab82e879afd27f5414bb6c1f9cd60ba4c</t>
        </is>
      </c>
      <c r="BE341" s="24" t="inlineStr">
        <is>
          <t>v3</t>
        </is>
      </c>
      <c r="BF341" s="24" t="inlineStr">
        <is>
          <t>1</t>
        </is>
      </c>
      <c r="BG341" s="24" t="inlineStr">
        <is>
          <t>measured-edge-paired-v1</t>
        </is>
      </c>
      <c r="BH341" s="24" t="inlineStr">
        <is>
          <t>2026-08-09T17:06:46.891600Z</t>
        </is>
      </c>
      <c r="BI341" s="24" t="inlineStr">
        <is>
          <t>["same_event","same_team_same_day","same_league_same_day"]</t>
        </is>
      </c>
      <c r="BJ341" s="25" t="n">
        <v>-1.5</v>
      </c>
      <c r="BK341" s="26" t="n">
        <v>130</v>
      </c>
      <c r="BL341" s="27" t="n">
        <v>2.3</v>
      </c>
      <c r="BM341" s="28" t="n">
        <v>0.434783</v>
      </c>
      <c r="BN341" s="28" t="n">
        <v>0.432836</v>
      </c>
      <c r="BO341" s="28" t="n"/>
      <c r="BP341" s="25" t="n"/>
      <c r="BQ341" s="27" t="n">
        <v>2.3</v>
      </c>
      <c r="BR341" s="28" t="n">
        <v>0.435</v>
      </c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</row>
    <row r="342" ht="36" customHeight="1">
      <c r="A342" s="24" t="inlineStr">
        <is>
          <t>4f5bb1f4e0054a3e</t>
        </is>
      </c>
      <c r="B342" s="24" t="inlineStr">
        <is>
          <t>2026-08-09T17:06:46.891600Z</t>
        </is>
      </c>
      <c r="C342" s="24" t="inlineStr">
        <is>
          <t>2026-08-09T18:15Z</t>
        </is>
      </c>
      <c r="D342" s="24" t="inlineStr">
        <is>
          <t>401816463</t>
        </is>
      </c>
      <c r="E342" s="24" t="inlineStr">
        <is>
          <t>MLB</t>
        </is>
      </c>
      <c r="F342" s="24" t="inlineStr">
        <is>
          <t>Colorado Rockies</t>
        </is>
      </c>
      <c r="G342" s="24" t="inlineStr">
        <is>
          <t>St. Louis Cardinals</t>
        </is>
      </c>
      <c r="H342" s="24" t="inlineStr">
        <is>
          <t>total</t>
        </is>
      </c>
      <c r="I342" s="24" t="inlineStr">
        <is>
          <t>under</t>
        </is>
      </c>
      <c r="J342" s="25" t="n">
        <v>9.5</v>
      </c>
      <c r="K342" s="24" t="inlineStr">
        <is>
          <t>polymarket_us</t>
        </is>
      </c>
      <c r="L342" s="26" t="n">
        <v>-117</v>
      </c>
      <c r="M342" s="27" t="n">
        <v>1.854701</v>
      </c>
      <c r="N342" s="28" t="n">
        <v>0.539171</v>
      </c>
      <c r="O342" s="28" t="n">
        <v>0.510246</v>
      </c>
      <c r="P342" s="28" t="n">
        <v>0.042131</v>
      </c>
      <c r="Q342" s="28" t="n">
        <v>-0.028925</v>
      </c>
      <c r="R342" s="26" t="n">
        <v>11</v>
      </c>
      <c r="S342" s="29" t="n">
        <v>0</v>
      </c>
      <c r="T342" s="24" t="inlineStr">
        <is>
          <t>measured-edge-totals-v3</t>
        </is>
      </c>
      <c r="U342" s="24" t="inlineStr">
        <is>
          <t>settled</t>
        </is>
      </c>
      <c r="V342" s="24" t="inlineStr">
        <is>
          <t>loss</t>
        </is>
      </c>
      <c r="W342" s="26" t="n">
        <v>4</v>
      </c>
      <c r="X342" s="26" t="n">
        <v>7</v>
      </c>
      <c r="Y342" s="25" t="n">
        <v>9.5</v>
      </c>
      <c r="Z342" s="26" t="n">
        <v>-117</v>
      </c>
      <c r="AA342" s="28" t="n">
        <v>0.54</v>
      </c>
      <c r="AB342" s="28" t="n">
        <v>0.000829</v>
      </c>
      <c r="AC342" s="30" t="n">
        <v>0</v>
      </c>
      <c r="AD342" s="24" t="inlineStr">
        <is>
          <t>2026-08-09T23:29:43.406739Z</t>
        </is>
      </c>
      <c r="AE342" s="31" t="inlineStr">
        <is>
          <t>Measured Edge Totals: Trend Engine projected 4.61-5.34; raw selected-side p=0.5179, calibrated p=0.5102.</t>
        </is>
      </c>
      <c r="AF342" s="31" t="inlineStr">
        <is>
          <t>Research-only; lineup, bullpen, park, weather, xFIP, and wRC+ may be neutral fallbacks; market availability and BBO depth may change before first pitch.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research_observation</t>
        </is>
      </c>
      <c r="AL342" s="26" t="n">
        <v>3</v>
      </c>
      <c r="AM342" s="24" t="inlineStr">
        <is>
          <t>RESEARCH_OBSERVATION</t>
        </is>
      </c>
      <c r="AN342" s="24" t="inlineStr">
        <is>
          <t>NO_CALL</t>
        </is>
      </c>
      <c r="AO342" s="24" t="inlineStr">
        <is>
          <t>NO_CALL_WINNER_OVERVALUED</t>
        </is>
      </c>
      <c r="AP342" s="24" t="inlineStr">
        <is>
          <t>mlb-col</t>
        </is>
      </c>
      <c r="AQ342" s="24" t="inlineStr">
        <is>
          <t>Colorado Rockies</t>
        </is>
      </c>
      <c r="AR342" s="24" t="inlineStr">
        <is>
          <t>Colorado Rockies</t>
        </is>
      </c>
      <c r="AS342" s="24" t="inlineStr">
        <is>
          <t>mlb-stl</t>
        </is>
      </c>
      <c r="AT342" s="24" t="inlineStr">
        <is>
          <t>St. Louis Cardinals</t>
        </is>
      </c>
      <c r="AU342" s="24" t="inlineStr">
        <is>
          <t>St. Louis Cardinals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research</t>
        </is>
      </c>
      <c r="BA342" s="24" t="inlineStr">
        <is>
          <t>95b84332c75d2ce54036eb8de6ada9c78d0f80228c50825c0347281a8b9b49c7</t>
        </is>
      </c>
      <c r="BB342" s="24" t="inlineStr">
        <is>
          <t>flat_probability_shrinkage_toward_half</t>
        </is>
      </c>
      <c r="BC342" s="24" t="inlineStr">
        <is>
          <t>measured-edge-totals-v3</t>
        </is>
      </c>
      <c r="BD342" s="24" t="inlineStr">
        <is>
          <t>95b84332c75d2ce54036eb8de6ada9c78d0f80228c50825c0347281a8b9b49c7</t>
        </is>
      </c>
      <c r="BE342" s="24" t="inlineStr">
        <is>
          <t>v3</t>
        </is>
      </c>
      <c r="BF342" s="24" t="inlineStr">
        <is>
          <t>1</t>
        </is>
      </c>
      <c r="BG342" s="24" t="inlineStr">
        <is>
          <t>measured-edge-paired-v1</t>
        </is>
      </c>
      <c r="BH342" s="24" t="inlineStr">
        <is>
          <t>2026-08-09T17:06:46.891600Z</t>
        </is>
      </c>
      <c r="BI342" s="24" t="inlineStr">
        <is>
          <t>["same_event","same_team_same_day","same_league_same_day"]</t>
        </is>
      </c>
      <c r="BJ342" s="25" t="n">
        <v>9.5</v>
      </c>
      <c r="BK342" s="26" t="n">
        <v>-117</v>
      </c>
      <c r="BL342" s="27" t="n">
        <v>1.854701</v>
      </c>
      <c r="BM342" s="28" t="n">
        <v>0.539171</v>
      </c>
      <c r="BN342" s="28" t="n">
        <v>0.537313</v>
      </c>
      <c r="BO342" s="28" t="n"/>
      <c r="BP342" s="25" t="n"/>
      <c r="BQ342" s="27" t="n">
        <v>1.854701</v>
      </c>
      <c r="BR342" s="28" t="n">
        <v>0.54</v>
      </c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</row>
    <row r="343" ht="36" customHeight="1">
      <c r="A343" s="24" t="inlineStr">
        <is>
          <t>a1145280bc27469b</t>
        </is>
      </c>
      <c r="B343" s="24" t="inlineStr">
        <is>
          <t>2026-08-09T17:06:46.891600Z</t>
        </is>
      </c>
      <c r="C343" s="24" t="inlineStr">
        <is>
          <t>2026-08-09T18:35Z</t>
        </is>
      </c>
      <c r="D343" s="24" t="inlineStr">
        <is>
          <t>401816460</t>
        </is>
      </c>
      <c r="E343" s="24" t="inlineStr">
        <is>
          <t>MLB</t>
        </is>
      </c>
      <c r="F343" s="24" t="inlineStr">
        <is>
          <t>Baltimore Orioles</t>
        </is>
      </c>
      <c r="G343" s="24" t="inlineStr">
        <is>
          <t>Texas Rangers</t>
        </is>
      </c>
      <c r="H343" s="24" t="inlineStr">
        <is>
          <t>spread</t>
        </is>
      </c>
      <c r="I343" s="24" t="inlineStr">
        <is>
          <t>home</t>
        </is>
      </c>
      <c r="J343" s="25" t="n">
        <v>-1.5</v>
      </c>
      <c r="K343" s="24" t="inlineStr">
        <is>
          <t>polymarket_us</t>
        </is>
      </c>
      <c r="L343" s="26" t="n">
        <v>170</v>
      </c>
      <c r="M343" s="27" t="n">
        <v>2.7</v>
      </c>
      <c r="N343" s="28" t="n">
        <v>0.37037</v>
      </c>
      <c r="O343" s="28" t="n">
        <v>0.383992</v>
      </c>
      <c r="P343" s="28" t="n">
        <v>0.05172</v>
      </c>
      <c r="Q343" s="28" t="n">
        <v>0.013622</v>
      </c>
      <c r="R343" s="26" t="n">
        <v>27</v>
      </c>
      <c r="S343" s="29" t="n">
        <v>0</v>
      </c>
      <c r="T343" s="24" t="inlineStr">
        <is>
          <t>measured-edge-margin-v3</t>
        </is>
      </c>
      <c r="U343" s="24" t="inlineStr">
        <is>
          <t>settled</t>
        </is>
      </c>
      <c r="V343" s="24" t="inlineStr">
        <is>
          <t>loss</t>
        </is>
      </c>
      <c r="W343" s="26" t="n">
        <v>10</v>
      </c>
      <c r="X343" s="26" t="n">
        <v>5</v>
      </c>
      <c r="Y343" s="25" t="n">
        <v>-1.5</v>
      </c>
      <c r="Z343" s="26" t="n">
        <v>170</v>
      </c>
      <c r="AA343" s="28" t="n">
        <v>0.37</v>
      </c>
      <c r="AB343" s="28" t="n">
        <v>-0.00037</v>
      </c>
      <c r="AC343" s="30" t="n">
        <v>0</v>
      </c>
      <c r="AD343" s="24" t="inlineStr">
        <is>
          <t>2026-08-09T23:29:45.205455Z</t>
        </is>
      </c>
      <c r="AE343" s="31" t="inlineStr">
        <is>
          <t>Measured Edge Margin: Trend Engine projected 4.47-4.53; raw selected-side p=0.3297, calibrated p=0.3840.</t>
        </is>
      </c>
      <c r="AF343" s="31" t="inlineStr">
        <is>
          <t>Research-only; lineup, bullpen, park, weather, xFIP, and wRC+ may be neutral fallbacks; market availability and BBO depth may change before first pitch.</t>
        </is>
      </c>
      <c r="AG343" s="24" t="inlineStr">
        <is>
          <t>review_required</t>
        </is>
      </c>
      <c r="AH343" s="24" t="n"/>
      <c r="AI343" s="31" t="n"/>
      <c r="AJ343" s="31" t="n"/>
      <c r="AK343" s="24" t="inlineStr">
        <is>
          <t>research_observation</t>
        </is>
      </c>
      <c r="AL343" s="26" t="n">
        <v>3</v>
      </c>
      <c r="AM343" s="24" t="inlineStr">
        <is>
          <t>RESEARCH_OBSERVATION</t>
        </is>
      </c>
      <c r="AN343" s="24" t="inlineStr">
        <is>
          <t>NO_CALL</t>
        </is>
      </c>
      <c r="AO343" s="24" t="inlineStr">
        <is>
          <t>NO_CALL_WINNER_OVERVALUED</t>
        </is>
      </c>
      <c r="AP343" s="24" t="inlineStr">
        <is>
          <t>mlb-bal</t>
        </is>
      </c>
      <c r="AQ343" s="24" t="inlineStr">
        <is>
          <t>Baltimore Orioles</t>
        </is>
      </c>
      <c r="AR343" s="24" t="inlineStr">
        <is>
          <t>Baltimore Orioles</t>
        </is>
      </c>
      <c r="AS343" s="24" t="inlineStr">
        <is>
          <t>mlb-tex</t>
        </is>
      </c>
      <c r="AT343" s="24" t="inlineStr">
        <is>
          <t>Texas Rangers</t>
        </is>
      </c>
      <c r="AU343" s="24" t="inlineStr">
        <is>
          <t>Texas Rangers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research</t>
        </is>
      </c>
      <c r="BA343" s="24" t="inlineStr">
        <is>
          <t>dd339a2eed50d7d83ab2127837995ddab82e879afd27f5414bb6c1f9cd60ba4c</t>
        </is>
      </c>
      <c r="BB343" s="24" t="inlineStr">
        <is>
          <t>flat_probability_shrinkage_toward_half</t>
        </is>
      </c>
      <c r="BC343" s="24" t="inlineStr">
        <is>
          <t>measured-edge-margin-v3</t>
        </is>
      </c>
      <c r="BD343" s="24" t="inlineStr">
        <is>
          <t>dd339a2eed50d7d83ab2127837995ddab82e879afd27f5414bb6c1f9cd60ba4c</t>
        </is>
      </c>
      <c r="BE343" s="24" t="inlineStr">
        <is>
          <t>v3</t>
        </is>
      </c>
      <c r="BF343" s="24" t="inlineStr">
        <is>
          <t>1</t>
        </is>
      </c>
      <c r="BG343" s="24" t="inlineStr">
        <is>
          <t>measured-edge-paired-v1</t>
        </is>
      </c>
      <c r="BH343" s="24" t="inlineStr">
        <is>
          <t>2026-08-09T17:06:46.891600Z</t>
        </is>
      </c>
      <c r="BI343" s="24" t="inlineStr">
        <is>
          <t>["same_event","same_team_same_day","same_league_same_day"]</t>
        </is>
      </c>
      <c r="BJ343" s="25" t="n">
        <v>-1.5</v>
      </c>
      <c r="BK343" s="26" t="n">
        <v>170</v>
      </c>
      <c r="BL343" s="27" t="n">
        <v>2.7</v>
      </c>
      <c r="BM343" s="28" t="n">
        <v>0.37037</v>
      </c>
      <c r="BN343" s="28" t="n">
        <v>0.368159</v>
      </c>
      <c r="BO343" s="28" t="n"/>
      <c r="BP343" s="25" t="n"/>
      <c r="BQ343" s="27" t="n">
        <v>2.7</v>
      </c>
      <c r="BR343" s="28" t="n">
        <v>0.37</v>
      </c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</row>
    <row r="344" ht="36" customHeight="1">
      <c r="A344" s="24" t="inlineStr">
        <is>
          <t>b79df9c705814222</t>
        </is>
      </c>
      <c r="B344" s="24" t="inlineStr">
        <is>
          <t>2026-08-09T17:06:46.891600Z</t>
        </is>
      </c>
      <c r="C344" s="24" t="inlineStr">
        <is>
          <t>2026-08-09T18:35Z</t>
        </is>
      </c>
      <c r="D344" s="24" t="inlineStr">
        <is>
          <t>401816460</t>
        </is>
      </c>
      <c r="E344" s="24" t="inlineStr">
        <is>
          <t>MLB</t>
        </is>
      </c>
      <c r="F344" s="24" t="inlineStr">
        <is>
          <t>Baltimore Orioles</t>
        </is>
      </c>
      <c r="G344" s="24" t="inlineStr">
        <is>
          <t>Texas Rangers</t>
        </is>
      </c>
      <c r="H344" s="24" t="inlineStr">
        <is>
          <t>total</t>
        </is>
      </c>
      <c r="I344" s="24" t="inlineStr">
        <is>
          <t>over</t>
        </is>
      </c>
      <c r="J344" s="25" t="n">
        <v>8.5</v>
      </c>
      <c r="K344" s="24" t="inlineStr">
        <is>
          <t>polymarket_us</t>
        </is>
      </c>
      <c r="L344" s="26" t="n">
        <v>113</v>
      </c>
      <c r="M344" s="27" t="n">
        <v>2.13</v>
      </c>
      <c r="N344" s="28" t="n">
        <v>0.469484</v>
      </c>
      <c r="O344" s="28" t="n">
        <v>0.508433</v>
      </c>
      <c r="P344" s="28" t="n">
        <v>0.05172</v>
      </c>
      <c r="Q344" s="28" t="n">
        <v>0.038949</v>
      </c>
      <c r="R344" s="26" t="n">
        <v>39</v>
      </c>
      <c r="S344" s="29" t="n">
        <v>0</v>
      </c>
      <c r="T344" s="24" t="inlineStr">
        <is>
          <t>measured-edge-totals-v3</t>
        </is>
      </c>
      <c r="U344" s="24" t="inlineStr">
        <is>
          <t>settled</t>
        </is>
      </c>
      <c r="V344" s="24" t="inlineStr">
        <is>
          <t>win</t>
        </is>
      </c>
      <c r="W344" s="26" t="n">
        <v>10</v>
      </c>
      <c r="X344" s="26" t="n">
        <v>5</v>
      </c>
      <c r="Y344" s="25" t="n">
        <v>8.5</v>
      </c>
      <c r="Z344" s="26" t="n">
        <v>113</v>
      </c>
      <c r="AA344" s="28" t="n">
        <v>0.47</v>
      </c>
      <c r="AB344" s="28" t="n">
        <v>0.000516</v>
      </c>
      <c r="AC344" s="30" t="n">
        <v>0</v>
      </c>
      <c r="AD344" s="24" t="inlineStr">
        <is>
          <t>2026-08-09T23:29:46.568273Z</t>
        </is>
      </c>
      <c r="AE344" s="31" t="inlineStr">
        <is>
          <t>Measured Edge Totals: Trend Engine projected 4.47-4.53; raw selected-side p=0.5106, calibrated p=0.5084.</t>
        </is>
      </c>
      <c r="AF344" s="31" t="inlineStr">
        <is>
          <t>Research-only; lineup, bullpen, park, weather, xFIP, and wRC+ may be neutral fallbacks; market availability and BBO depth may change before first pitch.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research_observation</t>
        </is>
      </c>
      <c r="AL344" s="26" t="n">
        <v>3</v>
      </c>
      <c r="AM344" s="24" t="inlineStr">
        <is>
          <t>RESEARCH_OBSERVATION</t>
        </is>
      </c>
      <c r="AN344" s="24" t="inlineStr">
        <is>
          <t>NO_CALL</t>
        </is>
      </c>
      <c r="AO344" s="24" t="inlineStr">
        <is>
          <t>NO_CALL_WINNER_OVERVALUED</t>
        </is>
      </c>
      <c r="AP344" s="24" t="inlineStr">
        <is>
          <t>mlb-bal</t>
        </is>
      </c>
      <c r="AQ344" s="24" t="inlineStr">
        <is>
          <t>Baltimore Orioles</t>
        </is>
      </c>
      <c r="AR344" s="24" t="inlineStr">
        <is>
          <t>Baltimore Orioles</t>
        </is>
      </c>
      <c r="AS344" s="24" t="inlineStr">
        <is>
          <t>mlb-tex</t>
        </is>
      </c>
      <c r="AT344" s="24" t="inlineStr">
        <is>
          <t>Texas Rangers</t>
        </is>
      </c>
      <c r="AU344" s="24" t="inlineStr">
        <is>
          <t>Texas Rangers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research</t>
        </is>
      </c>
      <c r="BA344" s="24" t="inlineStr">
        <is>
          <t>95b84332c75d2ce54036eb8de6ada9c78d0f80228c50825c0347281a8b9b49c7</t>
        </is>
      </c>
      <c r="BB344" s="24" t="inlineStr">
        <is>
          <t>flat_probability_shrinkage_toward_half</t>
        </is>
      </c>
      <c r="BC344" s="24" t="inlineStr">
        <is>
          <t>measured-edge-totals-v3</t>
        </is>
      </c>
      <c r="BD344" s="24" t="inlineStr">
        <is>
          <t>95b84332c75d2ce54036eb8de6ada9c78d0f80228c50825c0347281a8b9b49c7</t>
        </is>
      </c>
      <c r="BE344" s="24" t="inlineStr">
        <is>
          <t>v3</t>
        </is>
      </c>
      <c r="BF344" s="24" t="inlineStr">
        <is>
          <t>1</t>
        </is>
      </c>
      <c r="BG344" s="24" t="inlineStr">
        <is>
          <t>measured-edge-paired-v1</t>
        </is>
      </c>
      <c r="BH344" s="24" t="inlineStr">
        <is>
          <t>2026-08-09T17:06:46.891600Z</t>
        </is>
      </c>
      <c r="BI344" s="24" t="inlineStr">
        <is>
          <t>["same_event","same_team_same_day","same_league_same_day"]</t>
        </is>
      </c>
      <c r="BJ344" s="25" t="n">
        <v>8.5</v>
      </c>
      <c r="BK344" s="26" t="n">
        <v>113</v>
      </c>
      <c r="BL344" s="27" t="n">
        <v>2.13</v>
      </c>
      <c r="BM344" s="28" t="n">
        <v>0.469484</v>
      </c>
      <c r="BN344" s="28" t="n">
        <v>0.467662</v>
      </c>
      <c r="BO344" s="28" t="n"/>
      <c r="BP344" s="25" t="n"/>
      <c r="BQ344" s="27" t="n">
        <v>2.13</v>
      </c>
      <c r="BR344" s="28" t="n">
        <v>0.47</v>
      </c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</row>
    <row r="345" ht="36" customHeight="1">
      <c r="A345" s="24" t="inlineStr">
        <is>
          <t>c86c28ac785e4979</t>
        </is>
      </c>
      <c r="B345" s="24" t="inlineStr">
        <is>
          <t>2026-08-09T17:06:46.891600Z</t>
        </is>
      </c>
      <c r="C345" s="24" t="inlineStr">
        <is>
          <t>2026-08-09T20:05Z</t>
        </is>
      </c>
      <c r="D345" s="24" t="inlineStr">
        <is>
          <t>401816465</t>
        </is>
      </c>
      <c r="E345" s="24" t="inlineStr">
        <is>
          <t>MLB</t>
        </is>
      </c>
      <c r="F345" s="24" t="inlineStr">
        <is>
          <t>Detroit Tigers</t>
        </is>
      </c>
      <c r="G345" s="24" t="inlineStr">
        <is>
          <t>San Francisco Giants</t>
        </is>
      </c>
      <c r="H345" s="24" t="inlineStr">
        <is>
          <t>spread</t>
        </is>
      </c>
      <c r="I345" s="24" t="inlineStr">
        <is>
          <t>away</t>
        </is>
      </c>
      <c r="J345" s="25" t="n">
        <v>-1.5</v>
      </c>
      <c r="K345" s="24" t="inlineStr">
        <is>
          <t>polymarket_us</t>
        </is>
      </c>
      <c r="L345" s="26" t="n">
        <v>147</v>
      </c>
      <c r="M345" s="27" t="n">
        <v>2.47</v>
      </c>
      <c r="N345" s="28" t="n">
        <v>0.404858</v>
      </c>
      <c r="O345" s="28" t="n">
        <v>0.431587</v>
      </c>
      <c r="P345" s="28" t="n">
        <v>0.042131</v>
      </c>
      <c r="Q345" s="28" t="n">
        <v>0.026729</v>
      </c>
      <c r="R345" s="26" t="n">
        <v>39</v>
      </c>
      <c r="S345" s="29" t="n">
        <v>0</v>
      </c>
      <c r="T345" s="24" t="inlineStr">
        <is>
          <t>measured-edge-margin-v3</t>
        </is>
      </c>
      <c r="U345" s="24" t="inlineStr">
        <is>
          <t>settled</t>
        </is>
      </c>
      <c r="V345" s="24" t="inlineStr">
        <is>
          <t>win</t>
        </is>
      </c>
      <c r="W345" s="26" t="n">
        <v>3</v>
      </c>
      <c r="X345" s="26" t="n">
        <v>1</v>
      </c>
      <c r="Y345" s="25" t="n">
        <v>-1.5</v>
      </c>
      <c r="Z345" s="26" t="n">
        <v>147</v>
      </c>
      <c r="AA345" s="28" t="n">
        <v>0.405</v>
      </c>
      <c r="AB345" s="28" t="n">
        <v>0.000142</v>
      </c>
      <c r="AC345" s="30" t="n">
        <v>0</v>
      </c>
      <c r="AD345" s="24" t="inlineStr">
        <is>
          <t>2026-08-09T23:29:47.965850Z</t>
        </is>
      </c>
      <c r="AE345" s="31" t="inlineStr">
        <is>
          <t>Measured Edge Margin: Trend Engine projected 4.57-3.81; raw selected-side p=0.3996, calibrated p=0.4316.</t>
        </is>
      </c>
      <c r="AF345" s="31" t="inlineStr">
        <is>
          <t>Research-only; lineup, bullpen, park, weather, xFIP, and wRC+ may be neutral fallbacks; market availability and BBO depth may change before first pitch.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research_observation</t>
        </is>
      </c>
      <c r="AL345" s="26" t="n">
        <v>3</v>
      </c>
      <c r="AM345" s="24" t="inlineStr">
        <is>
          <t>RESEARCH_OBSERVATION</t>
        </is>
      </c>
      <c r="AN345" s="24" t="inlineStr">
        <is>
          <t>NO_CALL</t>
        </is>
      </c>
      <c r="AO345" s="24" t="inlineStr">
        <is>
          <t>NO_CALL_WINNER_OVERVALUED</t>
        </is>
      </c>
      <c r="AP345" s="24" t="inlineStr">
        <is>
          <t>mlb-det</t>
        </is>
      </c>
      <c r="AQ345" s="24" t="inlineStr">
        <is>
          <t>Detroit Tigers</t>
        </is>
      </c>
      <c r="AR345" s="24" t="inlineStr">
        <is>
          <t>Detroit Tigers</t>
        </is>
      </c>
      <c r="AS345" s="24" t="inlineStr">
        <is>
          <t>mlb-sf</t>
        </is>
      </c>
      <c r="AT345" s="24" t="inlineStr">
        <is>
          <t>San Francisco Giants</t>
        </is>
      </c>
      <c r="AU345" s="24" t="inlineStr">
        <is>
          <t>San Francisco Giants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research</t>
        </is>
      </c>
      <c r="BA345" s="24" t="inlineStr">
        <is>
          <t>dd339a2eed50d7d83ab2127837995ddab82e879afd27f5414bb6c1f9cd60ba4c</t>
        </is>
      </c>
      <c r="BB345" s="24" t="inlineStr">
        <is>
          <t>flat_probability_shrinkage_toward_half</t>
        </is>
      </c>
      <c r="BC345" s="24" t="inlineStr">
        <is>
          <t>measured-edge-margin-v3</t>
        </is>
      </c>
      <c r="BD345" s="24" t="inlineStr">
        <is>
          <t>dd339a2eed50d7d83ab2127837995ddab82e879afd27f5414bb6c1f9cd60ba4c</t>
        </is>
      </c>
      <c r="BE345" s="24" t="inlineStr">
        <is>
          <t>v3</t>
        </is>
      </c>
      <c r="BF345" s="24" t="inlineStr">
        <is>
          <t>1</t>
        </is>
      </c>
      <c r="BG345" s="24" t="inlineStr">
        <is>
          <t>measured-edge-paired-v1</t>
        </is>
      </c>
      <c r="BH345" s="24" t="inlineStr">
        <is>
          <t>2026-08-09T17:06:46.891600Z</t>
        </is>
      </c>
      <c r="BI345" s="24" t="inlineStr">
        <is>
          <t>["same_event","same_team_same_day","same_league_same_day"]</t>
        </is>
      </c>
      <c r="BJ345" s="25" t="n">
        <v>-1.5</v>
      </c>
      <c r="BK345" s="26" t="n">
        <v>147</v>
      </c>
      <c r="BL345" s="27" t="n">
        <v>2.47</v>
      </c>
      <c r="BM345" s="28" t="n">
        <v>0.404858</v>
      </c>
      <c r="BN345" s="28" t="n">
        <v>0.402985</v>
      </c>
      <c r="BO345" s="28" t="n"/>
      <c r="BP345" s="25" t="n"/>
      <c r="BQ345" s="27" t="n">
        <v>2.47</v>
      </c>
      <c r="BR345" s="28" t="n">
        <v>0.405</v>
      </c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</row>
    <row r="346" ht="36" customHeight="1">
      <c r="A346" s="24" t="inlineStr">
        <is>
          <t>7e750d03173e4fe1</t>
        </is>
      </c>
      <c r="B346" s="24" t="inlineStr">
        <is>
          <t>2026-08-09T17:06:46.891600Z</t>
        </is>
      </c>
      <c r="C346" s="24" t="inlineStr">
        <is>
          <t>2026-08-09T20:05Z</t>
        </is>
      </c>
      <c r="D346" s="24" t="inlineStr">
        <is>
          <t>401816465</t>
        </is>
      </c>
      <c r="E346" s="24" t="inlineStr">
        <is>
          <t>MLB</t>
        </is>
      </c>
      <c r="F346" s="24" t="inlineStr">
        <is>
          <t>Detroit Tigers</t>
        </is>
      </c>
      <c r="G346" s="24" t="inlineStr">
        <is>
          <t>San Francisco Giants</t>
        </is>
      </c>
      <c r="H346" s="24" t="inlineStr">
        <is>
          <t>total</t>
        </is>
      </c>
      <c r="I346" s="24" t="inlineStr">
        <is>
          <t>over</t>
        </is>
      </c>
      <c r="J346" s="25" t="n">
        <v>7.5</v>
      </c>
      <c r="K346" s="24" t="inlineStr">
        <is>
          <t>polymarket_us</t>
        </is>
      </c>
      <c r="L346" s="26" t="n">
        <v>111</v>
      </c>
      <c r="M346" s="27" t="n">
        <v>2.11</v>
      </c>
      <c r="N346" s="28" t="n">
        <v>0.473934</v>
      </c>
      <c r="O346" s="28" t="n">
        <v>0.5151520000000001</v>
      </c>
      <c r="P346" s="28" t="n">
        <v>0.042131</v>
      </c>
      <c r="Q346" s="28" t="n">
        <v>0.041218</v>
      </c>
      <c r="R346" s="26" t="n">
        <v>46</v>
      </c>
      <c r="S346" s="29" t="n">
        <v>0</v>
      </c>
      <c r="T346" s="24" t="inlineStr">
        <is>
          <t>measured-edge-totals-v3</t>
        </is>
      </c>
      <c r="U346" s="24" t="inlineStr">
        <is>
          <t>settled</t>
        </is>
      </c>
      <c r="V346" s="24" t="inlineStr">
        <is>
          <t>loss</t>
        </is>
      </c>
      <c r="W346" s="26" t="n">
        <v>3</v>
      </c>
      <c r="X346" s="26" t="n">
        <v>1</v>
      </c>
      <c r="Y346" s="25" t="n">
        <v>7.5</v>
      </c>
      <c r="Z346" s="26" t="n">
        <v>111</v>
      </c>
      <c r="AA346" s="28" t="n">
        <v>0.475</v>
      </c>
      <c r="AB346" s="28" t="n">
        <v>0.001066</v>
      </c>
      <c r="AC346" s="30" t="n">
        <v>0</v>
      </c>
      <c r="AD346" s="24" t="inlineStr">
        <is>
          <t>2026-08-09T23:29:49.324666Z</t>
        </is>
      </c>
      <c r="AE346" s="31" t="inlineStr">
        <is>
          <t>Measured Edge Totals: Trend Engine projected 4.57-3.81; raw selected-side p=0.5376, calibrated p=0.5152.</t>
        </is>
      </c>
      <c r="AF346" s="31" t="inlineStr">
        <is>
          <t>Research-only; lineup, bullpen, park, weather, xFIP, and wRC+ may be neutral fallbacks; market availability and BBO depth may change before first pitch.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research_observation</t>
        </is>
      </c>
      <c r="AL346" s="26" t="n">
        <v>3</v>
      </c>
      <c r="AM346" s="24" t="inlineStr">
        <is>
          <t>RESEARCH_OBSERVATION</t>
        </is>
      </c>
      <c r="AN346" s="24" t="inlineStr">
        <is>
          <t>NO_CALL</t>
        </is>
      </c>
      <c r="AO346" s="24" t="inlineStr">
        <is>
          <t>NO_CALL_WINNER_OVERVALUED</t>
        </is>
      </c>
      <c r="AP346" s="24" t="inlineStr">
        <is>
          <t>mlb-det</t>
        </is>
      </c>
      <c r="AQ346" s="24" t="inlineStr">
        <is>
          <t>Detroit Tigers</t>
        </is>
      </c>
      <c r="AR346" s="24" t="inlineStr">
        <is>
          <t>Detroit Tigers</t>
        </is>
      </c>
      <c r="AS346" s="24" t="inlineStr">
        <is>
          <t>mlb-sf</t>
        </is>
      </c>
      <c r="AT346" s="24" t="inlineStr">
        <is>
          <t>San Francisco Giants</t>
        </is>
      </c>
      <c r="AU346" s="24" t="inlineStr">
        <is>
          <t>San Francisco Giants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research</t>
        </is>
      </c>
      <c r="BA346" s="24" t="inlineStr">
        <is>
          <t>95b84332c75d2ce54036eb8de6ada9c78d0f80228c50825c0347281a8b9b49c7</t>
        </is>
      </c>
      <c r="BB346" s="24" t="inlineStr">
        <is>
          <t>flat_probability_shrinkage_toward_half</t>
        </is>
      </c>
      <c r="BC346" s="24" t="inlineStr">
        <is>
          <t>measured-edge-totals-v3</t>
        </is>
      </c>
      <c r="BD346" s="24" t="inlineStr">
        <is>
          <t>95b84332c75d2ce54036eb8de6ada9c78d0f80228c50825c0347281a8b9b49c7</t>
        </is>
      </c>
      <c r="BE346" s="24" t="inlineStr">
        <is>
          <t>v3</t>
        </is>
      </c>
      <c r="BF346" s="24" t="inlineStr">
        <is>
          <t>1</t>
        </is>
      </c>
      <c r="BG346" s="24" t="inlineStr">
        <is>
          <t>measured-edge-paired-v1</t>
        </is>
      </c>
      <c r="BH346" s="24" t="inlineStr">
        <is>
          <t>2026-08-09T17:06:46.891600Z</t>
        </is>
      </c>
      <c r="BI346" s="24" t="inlineStr">
        <is>
          <t>["same_event","same_team_same_day","same_league_same_day"]</t>
        </is>
      </c>
      <c r="BJ346" s="25" t="n">
        <v>7.5</v>
      </c>
      <c r="BK346" s="26" t="n">
        <v>111</v>
      </c>
      <c r="BL346" s="27" t="n">
        <v>2.11</v>
      </c>
      <c r="BM346" s="28" t="n">
        <v>0.473934</v>
      </c>
      <c r="BN346" s="28" t="n">
        <v>0.472637</v>
      </c>
      <c r="BO346" s="28" t="n"/>
      <c r="BP346" s="25" t="n"/>
      <c r="BQ346" s="27" t="n">
        <v>2.11</v>
      </c>
      <c r="BR346" s="28" t="n">
        <v>0.475</v>
      </c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</row>
    <row r="347" ht="36" customHeight="1">
      <c r="A347" s="24" t="inlineStr">
        <is>
          <t>d062adda7dbd4eda</t>
        </is>
      </c>
      <c r="B347" s="24" t="inlineStr">
        <is>
          <t>2026-08-09T17:06:46.891600Z</t>
        </is>
      </c>
      <c r="C347" s="24" t="inlineStr">
        <is>
          <t>2026-08-09T20:10Z</t>
        </is>
      </c>
      <c r="D347" s="24" t="inlineStr">
        <is>
          <t>401816467</t>
        </is>
      </c>
      <c r="E347" s="24" t="inlineStr">
        <is>
          <t>MLB</t>
        </is>
      </c>
      <c r="F347" s="24" t="inlineStr">
        <is>
          <t>Los Angeles Dodgers</t>
        </is>
      </c>
      <c r="G347" s="24" t="inlineStr">
        <is>
          <t>Arizona Diamondbacks</t>
        </is>
      </c>
      <c r="H347" s="24" t="inlineStr">
        <is>
          <t>spread</t>
        </is>
      </c>
      <c r="I347" s="24" t="inlineStr">
        <is>
          <t>home</t>
        </is>
      </c>
      <c r="J347" s="25" t="n">
        <v>1.5</v>
      </c>
      <c r="K347" s="24" t="inlineStr">
        <is>
          <t>polymarket_us</t>
        </is>
      </c>
      <c r="L347" s="26" t="n">
        <v>-117</v>
      </c>
      <c r="M347" s="27" t="n">
        <v>1.854701</v>
      </c>
      <c r="N347" s="28" t="n">
        <v>0.539171</v>
      </c>
      <c r="O347" s="28" t="n">
        <v>0.63519</v>
      </c>
      <c r="P347" s="28" t="n">
        <v>0.042131</v>
      </c>
      <c r="Q347" s="28" t="n">
        <v>0.09601899999999999</v>
      </c>
      <c r="R347" s="26" t="n">
        <v>74</v>
      </c>
      <c r="S347" s="29" t="n">
        <v>1.5</v>
      </c>
      <c r="T347" s="24" t="inlineStr">
        <is>
          <t>measured-edge-margin-v3</t>
        </is>
      </c>
      <c r="U347" s="24" t="inlineStr">
        <is>
          <t>settled</t>
        </is>
      </c>
      <c r="V347" s="24" t="inlineStr">
        <is>
          <t>win</t>
        </is>
      </c>
      <c r="W347" s="26" t="n">
        <v>2</v>
      </c>
      <c r="X347" s="26" t="n">
        <v>4</v>
      </c>
      <c r="Y347" s="25" t="n">
        <v>1.5</v>
      </c>
      <c r="Z347" s="26" t="n">
        <v>-117</v>
      </c>
      <c r="AA347" s="28" t="n">
        <v>0.54</v>
      </c>
      <c r="AB347" s="28" t="n">
        <v>0.000829</v>
      </c>
      <c r="AC347" s="30" t="n">
        <v>1.2821</v>
      </c>
      <c r="AD347" s="24" t="inlineStr">
        <is>
          <t>2026-08-09T23:29:50.735772Z</t>
        </is>
      </c>
      <c r="AE347" s="31" t="inlineStr">
        <is>
          <t>Measured Edge Margin: Trend Engine projected 4.48-4.80; raw selected-side p=0.6984, calibrated p=0.6352.</t>
        </is>
      </c>
      <c r="AF347" s="31" t="inlineStr">
        <is>
          <t>Research-only; lineup, bullpen, park, weather, xFIP, and wRC+ may be neutral fallbacks; market availability and BBO depth may change before first pitch.</t>
        </is>
      </c>
      <c r="AG347" s="24" t="inlineStr">
        <is>
          <t>not_applicable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3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mlb-lad</t>
        </is>
      </c>
      <c r="AQ347" s="24" t="inlineStr">
        <is>
          <t>Los Angeles Dodgers</t>
        </is>
      </c>
      <c r="AR347" s="24" t="inlineStr">
        <is>
          <t>Los Angeles Dodgers</t>
        </is>
      </c>
      <c r="AS347" s="24" t="inlineStr">
        <is>
          <t>mlb-ari</t>
        </is>
      </c>
      <c r="AT347" s="24" t="inlineStr">
        <is>
          <t>Arizona Diamondbacks</t>
        </is>
      </c>
      <c r="AU347" s="24" t="inlineStr">
        <is>
          <t>Arizona Diamondbacks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research</t>
        </is>
      </c>
      <c r="BA347" s="24" t="inlineStr">
        <is>
          <t>dd339a2eed50d7d83ab2127837995ddab82e879afd27f5414bb6c1f9cd60ba4c</t>
        </is>
      </c>
      <c r="BB347" s="24" t="inlineStr">
        <is>
          <t>flat_probability_shrinkage_toward_half</t>
        </is>
      </c>
      <c r="BC347" s="24" t="inlineStr">
        <is>
          <t>measured-edge-margin-v3</t>
        </is>
      </c>
      <c r="BD347" s="24" t="inlineStr">
        <is>
          <t>dd339a2eed50d7d83ab2127837995ddab82e879afd27f5414bb6c1f9cd60ba4c</t>
        </is>
      </c>
      <c r="BE347" s="24" t="inlineStr">
        <is>
          <t>v3</t>
        </is>
      </c>
      <c r="BF347" s="24" t="inlineStr">
        <is>
          <t>1</t>
        </is>
      </c>
      <c r="BG347" s="24" t="inlineStr">
        <is>
          <t>measured-edge-paired-v1</t>
        </is>
      </c>
      <c r="BH347" s="24" t="inlineStr">
        <is>
          <t>2026-08-09T17:06:46.891600Z</t>
        </is>
      </c>
      <c r="BI347" s="24" t="inlineStr">
        <is>
          <t>["same_event","same_team_same_day","same_league_same_day"]</t>
        </is>
      </c>
      <c r="BJ347" s="25" t="n">
        <v>1.5</v>
      </c>
      <c r="BK347" s="26" t="n">
        <v>-117</v>
      </c>
      <c r="BL347" s="27" t="n">
        <v>1.854701</v>
      </c>
      <c r="BM347" s="28" t="n">
        <v>0.539171</v>
      </c>
      <c r="BN347" s="28" t="n">
        <v>0.537313</v>
      </c>
      <c r="BO347" s="28" t="n"/>
      <c r="BP347" s="25" t="n"/>
      <c r="BQ347" s="27" t="n">
        <v>1.854701</v>
      </c>
      <c r="BR347" s="28" t="n">
        <v>0.54</v>
      </c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</row>
    <row r="348" ht="36" customHeight="1">
      <c r="A348" s="24" t="inlineStr">
        <is>
          <t>a3e4c8aae2cc4054</t>
        </is>
      </c>
      <c r="B348" s="24" t="inlineStr">
        <is>
          <t>2026-08-09T17:06:46.891600Z</t>
        </is>
      </c>
      <c r="C348" s="24" t="inlineStr">
        <is>
          <t>2026-08-09T20:10Z</t>
        </is>
      </c>
      <c r="D348" s="24" t="inlineStr">
        <is>
          <t>401816467</t>
        </is>
      </c>
      <c r="E348" s="24" t="inlineStr">
        <is>
          <t>MLB</t>
        </is>
      </c>
      <c r="F348" s="24" t="inlineStr">
        <is>
          <t>Los Angeles Dodgers</t>
        </is>
      </c>
      <c r="G348" s="24" t="inlineStr">
        <is>
          <t>Arizona Diamondbacks</t>
        </is>
      </c>
      <c r="H348" s="24" t="inlineStr">
        <is>
          <t>total</t>
        </is>
      </c>
      <c r="I348" s="24" t="inlineStr">
        <is>
          <t>over</t>
        </is>
      </c>
      <c r="J348" s="25" t="n">
        <v>8.5</v>
      </c>
      <c r="K348" s="24" t="inlineStr">
        <is>
          <t>polymarket_us</t>
        </is>
      </c>
      <c r="L348" s="26" t="n">
        <v>-120</v>
      </c>
      <c r="M348" s="27" t="n">
        <v>1.833333</v>
      </c>
      <c r="N348" s="28" t="n">
        <v>0.545455</v>
      </c>
      <c r="O348" s="28" t="n">
        <v>0.515202</v>
      </c>
      <c r="P348" s="28" t="n">
        <v>0.042131</v>
      </c>
      <c r="Q348" s="28" t="n">
        <v>-0.030253</v>
      </c>
      <c r="R348" s="26" t="n">
        <v>11</v>
      </c>
      <c r="S348" s="29" t="n">
        <v>0</v>
      </c>
      <c r="T348" s="24" t="inlineStr">
        <is>
          <t>measured-edge-totals-v3</t>
        </is>
      </c>
      <c r="U348" s="24" t="inlineStr">
        <is>
          <t>settled</t>
        </is>
      </c>
      <c r="V348" s="24" t="inlineStr">
        <is>
          <t>loss</t>
        </is>
      </c>
      <c r="W348" s="26" t="n">
        <v>2</v>
      </c>
      <c r="X348" s="26" t="n">
        <v>4</v>
      </c>
      <c r="Y348" s="25" t="n">
        <v>8.5</v>
      </c>
      <c r="Z348" s="26" t="n">
        <v>-120</v>
      </c>
      <c r="AA348" s="28" t="n">
        <v>0.545</v>
      </c>
      <c r="AB348" s="28" t="n">
        <v>-0.000455</v>
      </c>
      <c r="AC348" s="30" t="n">
        <v>0</v>
      </c>
      <c r="AD348" s="24" t="inlineStr">
        <is>
          <t>2026-08-09T23:29:52.139026Z</t>
        </is>
      </c>
      <c r="AE348" s="31" t="inlineStr">
        <is>
          <t>Measured Edge Totals: Trend Engine projected 4.48-4.80; raw selected-side p=0.5379, calibrated p=0.5152.</t>
        </is>
      </c>
      <c r="AF348" s="31" t="inlineStr">
        <is>
          <t>Research-only; lineup, bullpen, park, weather, xFIP, and wRC+ may be neutral fallbacks; market availability and BBO depth may change before first pitch.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research_observation</t>
        </is>
      </c>
      <c r="AL348" s="26" t="n">
        <v>3</v>
      </c>
      <c r="AM348" s="24" t="inlineStr">
        <is>
          <t>RESEARCH_OBSERVATION</t>
        </is>
      </c>
      <c r="AN348" s="24" t="inlineStr">
        <is>
          <t>NO_CALL</t>
        </is>
      </c>
      <c r="AO348" s="24" t="inlineStr">
        <is>
          <t>NO_CALL_WINNER_OVERVALUED</t>
        </is>
      </c>
      <c r="AP348" s="24" t="inlineStr">
        <is>
          <t>mlb-lad</t>
        </is>
      </c>
      <c r="AQ348" s="24" t="inlineStr">
        <is>
          <t>Los Angeles Dodgers</t>
        </is>
      </c>
      <c r="AR348" s="24" t="inlineStr">
        <is>
          <t>Los Angeles Dodgers</t>
        </is>
      </c>
      <c r="AS348" s="24" t="inlineStr">
        <is>
          <t>mlb-ari</t>
        </is>
      </c>
      <c r="AT348" s="24" t="inlineStr">
        <is>
          <t>Arizona Diamondbacks</t>
        </is>
      </c>
      <c r="AU348" s="24" t="inlineStr">
        <is>
          <t>Arizona Diamondbacks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research</t>
        </is>
      </c>
      <c r="BA348" s="24" t="inlineStr">
        <is>
          <t>95b84332c75d2ce54036eb8de6ada9c78d0f80228c50825c0347281a8b9b49c7</t>
        </is>
      </c>
      <c r="BB348" s="24" t="inlineStr">
        <is>
          <t>flat_probability_shrinkage_toward_half</t>
        </is>
      </c>
      <c r="BC348" s="24" t="inlineStr">
        <is>
          <t>measured-edge-totals-v3</t>
        </is>
      </c>
      <c r="BD348" s="24" t="inlineStr">
        <is>
          <t>95b84332c75d2ce54036eb8de6ada9c78d0f80228c50825c0347281a8b9b49c7</t>
        </is>
      </c>
      <c r="BE348" s="24" t="inlineStr">
        <is>
          <t>v3</t>
        </is>
      </c>
      <c r="BF348" s="24" t="inlineStr">
        <is>
          <t>1</t>
        </is>
      </c>
      <c r="BG348" s="24" t="inlineStr">
        <is>
          <t>measured-edge-paired-v1</t>
        </is>
      </c>
      <c r="BH348" s="24" t="inlineStr">
        <is>
          <t>2026-08-09T17:06:46.891600Z</t>
        </is>
      </c>
      <c r="BI348" s="24" t="inlineStr">
        <is>
          <t>["same_event","same_team_same_day","same_league_same_day"]</t>
        </is>
      </c>
      <c r="BJ348" s="25" t="n">
        <v>8.5</v>
      </c>
      <c r="BK348" s="26" t="n">
        <v>-120</v>
      </c>
      <c r="BL348" s="27" t="n">
        <v>1.833333</v>
      </c>
      <c r="BM348" s="28" t="n">
        <v>0.545455</v>
      </c>
      <c r="BN348" s="28" t="n">
        <v>0.542289</v>
      </c>
      <c r="BO348" s="28" t="n"/>
      <c r="BP348" s="25" t="n"/>
      <c r="BQ348" s="27" t="n">
        <v>1.833333</v>
      </c>
      <c r="BR348" s="28" t="n">
        <v>0.545</v>
      </c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False</t>
        </is>
      </c>
    </row>
    <row r="349" ht="36" customHeight="1">
      <c r="A349" s="24" t="inlineStr">
        <is>
          <t>7f3d4e14c1584460</t>
        </is>
      </c>
      <c r="B349" s="24" t="inlineStr">
        <is>
          <t>2026-08-09T17:06:46.891600Z</t>
        </is>
      </c>
      <c r="C349" s="24" t="inlineStr">
        <is>
          <t>2026-08-09T20:10Z</t>
        </is>
      </c>
      <c r="D349" s="24" t="inlineStr">
        <is>
          <t>401816468</t>
        </is>
      </c>
      <c r="E349" s="24" t="inlineStr">
        <is>
          <t>MLB</t>
        </is>
      </c>
      <c r="F349" s="24" t="inlineStr">
        <is>
          <t>Tampa Bay Rays</t>
        </is>
      </c>
      <c r="G349" s="24" t="inlineStr">
        <is>
          <t>Seattle Mariners</t>
        </is>
      </c>
      <c r="H349" s="24" t="inlineStr">
        <is>
          <t>spread</t>
        </is>
      </c>
      <c r="I349" s="24" t="inlineStr">
        <is>
          <t>home</t>
        </is>
      </c>
      <c r="J349" s="25" t="n">
        <v>1.5</v>
      </c>
      <c r="K349" s="24" t="inlineStr">
        <is>
          <t>polymarket_us</t>
        </is>
      </c>
      <c r="L349" s="26" t="n">
        <v>-178</v>
      </c>
      <c r="M349" s="27" t="n">
        <v>1.561798</v>
      </c>
      <c r="N349" s="28" t="n">
        <v>0.640288</v>
      </c>
      <c r="O349" s="28" t="n">
        <v>0.639244</v>
      </c>
      <c r="P349" s="28" t="n">
        <v>0.042131</v>
      </c>
      <c r="Q349" s="28" t="n">
        <v>-0.001044</v>
      </c>
      <c r="R349" s="26" t="n">
        <v>26</v>
      </c>
      <c r="S349" s="29" t="n">
        <v>0</v>
      </c>
      <c r="T349" s="24" t="inlineStr">
        <is>
          <t>measured-edge-margin-v3</t>
        </is>
      </c>
      <c r="U349" s="24" t="inlineStr">
        <is>
          <t>settled</t>
        </is>
      </c>
      <c r="V349" s="24" t="inlineStr">
        <is>
          <t>loss</t>
        </is>
      </c>
      <c r="W349" s="26" t="n">
        <v>4</v>
      </c>
      <c r="X349" s="26" t="n">
        <v>1</v>
      </c>
      <c r="Y349" s="25" t="n">
        <v>1.5</v>
      </c>
      <c r="Z349" s="26" t="n">
        <v>-178</v>
      </c>
      <c r="AA349" s="28" t="n">
        <v>0.64</v>
      </c>
      <c r="AB349" s="28" t="n">
        <v>-0.000288</v>
      </c>
      <c r="AC349" s="30" t="n">
        <v>0</v>
      </c>
      <c r="AD349" s="24" t="inlineStr">
        <is>
          <t>2026-08-09T23:29:53.494969Z</t>
        </is>
      </c>
      <c r="AE349" s="31" t="inlineStr">
        <is>
          <t>Measured Edge Margin: Trend Engine projected 4.22-4.59; raw selected-side p=0.7044, calibrated p=0.6392.</t>
        </is>
      </c>
      <c r="AF349" s="31" t="inlineStr">
        <is>
          <t>Research-only; lineup, bullpen, park, weather, xFIP, and wRC+ may be neutral fallbacks; market availability and BBO depth may change before first pitch.</t>
        </is>
      </c>
      <c r="AG349" s="24" t="inlineStr">
        <is>
          <t>review_required</t>
        </is>
      </c>
      <c r="AH349" s="24" t="n"/>
      <c r="AI349" s="31" t="n"/>
      <c r="AJ349" s="31" t="n"/>
      <c r="AK349" s="24" t="inlineStr">
        <is>
          <t>research_observation</t>
        </is>
      </c>
      <c r="AL349" s="26" t="n">
        <v>3</v>
      </c>
      <c r="AM349" s="24" t="inlineStr">
        <is>
          <t>RESEARCH_OBSERVATION</t>
        </is>
      </c>
      <c r="AN349" s="24" t="inlineStr">
        <is>
          <t>NO_CALL</t>
        </is>
      </c>
      <c r="AO349" s="24" t="inlineStr">
        <is>
          <t>NO_CALL_WINNER_OVERVALUED</t>
        </is>
      </c>
      <c r="AP349" s="24" t="inlineStr">
        <is>
          <t>mlb-tb</t>
        </is>
      </c>
      <c r="AQ349" s="24" t="inlineStr">
        <is>
          <t>Tampa Bay Rays</t>
        </is>
      </c>
      <c r="AR349" s="24" t="inlineStr">
        <is>
          <t>Tampa Bay Rays</t>
        </is>
      </c>
      <c r="AS349" s="24" t="inlineStr">
        <is>
          <t>mlb-sea</t>
        </is>
      </c>
      <c r="AT349" s="24" t="inlineStr">
        <is>
          <t>Seattle Mariners</t>
        </is>
      </c>
      <c r="AU349" s="24" t="inlineStr">
        <is>
          <t>Seattle Mariners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research</t>
        </is>
      </c>
      <c r="BA349" s="24" t="inlineStr">
        <is>
          <t>dd339a2eed50d7d83ab2127837995ddab82e879afd27f5414bb6c1f9cd60ba4c</t>
        </is>
      </c>
      <c r="BB349" s="24" t="inlineStr">
        <is>
          <t>flat_probability_shrinkage_toward_half</t>
        </is>
      </c>
      <c r="BC349" s="24" t="inlineStr">
        <is>
          <t>measured-edge-margin-v3</t>
        </is>
      </c>
      <c r="BD349" s="24" t="inlineStr">
        <is>
          <t>dd339a2eed50d7d83ab2127837995ddab82e879afd27f5414bb6c1f9cd60ba4c</t>
        </is>
      </c>
      <c r="BE349" s="24" t="inlineStr">
        <is>
          <t>v3</t>
        </is>
      </c>
      <c r="BF349" s="24" t="inlineStr">
        <is>
          <t>1</t>
        </is>
      </c>
      <c r="BG349" s="24" t="inlineStr">
        <is>
          <t>measured-edge-paired-v1</t>
        </is>
      </c>
      <c r="BH349" s="24" t="inlineStr">
        <is>
          <t>2026-08-09T17:06:46.891600Z</t>
        </is>
      </c>
      <c r="BI349" s="24" t="inlineStr">
        <is>
          <t>["same_event","same_team_same_day","same_league_same_day"]</t>
        </is>
      </c>
      <c r="BJ349" s="25" t="n">
        <v>1.5</v>
      </c>
      <c r="BK349" s="26" t="n">
        <v>-178</v>
      </c>
      <c r="BL349" s="27" t="n">
        <v>1.561798</v>
      </c>
      <c r="BM349" s="28" t="n">
        <v>0.640288</v>
      </c>
      <c r="BN349" s="28" t="n">
        <v>0.636816</v>
      </c>
      <c r="BO349" s="28" t="n"/>
      <c r="BP349" s="25" t="n"/>
      <c r="BQ349" s="27" t="n">
        <v>1.561798</v>
      </c>
      <c r="BR349" s="28" t="n">
        <v>0.64</v>
      </c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False</t>
        </is>
      </c>
    </row>
    <row r="350" ht="36" customHeight="1">
      <c r="A350" s="24" t="inlineStr">
        <is>
          <t>fc6ca0ce87df4350</t>
        </is>
      </c>
      <c r="B350" s="24" t="inlineStr">
        <is>
          <t>2026-08-09T17:06:46.891600Z</t>
        </is>
      </c>
      <c r="C350" s="24" t="inlineStr">
        <is>
          <t>2026-08-09T20:10Z</t>
        </is>
      </c>
      <c r="D350" s="24" t="inlineStr">
        <is>
          <t>401816468</t>
        </is>
      </c>
      <c r="E350" s="24" t="inlineStr">
        <is>
          <t>MLB</t>
        </is>
      </c>
      <c r="F350" s="24" t="inlineStr">
        <is>
          <t>Tampa Bay Rays</t>
        </is>
      </c>
      <c r="G350" s="24" t="inlineStr">
        <is>
          <t>Seattle Mariners</t>
        </is>
      </c>
      <c r="H350" s="24" t="inlineStr">
        <is>
          <t>total</t>
        </is>
      </c>
      <c r="I350" s="24" t="inlineStr">
        <is>
          <t>over</t>
        </is>
      </c>
      <c r="J350" s="25" t="n">
        <v>7.5</v>
      </c>
      <c r="K350" s="24" t="inlineStr">
        <is>
          <t>polymarket_us</t>
        </is>
      </c>
      <c r="L350" s="26" t="n">
        <v>111</v>
      </c>
      <c r="M350" s="27" t="n">
        <v>2.11</v>
      </c>
      <c r="N350" s="28" t="n">
        <v>0.473934</v>
      </c>
      <c r="O350" s="28" t="n">
        <v>0.525237</v>
      </c>
      <c r="P350" s="28" t="n">
        <v>0.042131</v>
      </c>
      <c r="Q350" s="28" t="n">
        <v>0.051303</v>
      </c>
      <c r="R350" s="26" t="n">
        <v>51</v>
      </c>
      <c r="S350" s="29" t="n">
        <v>0</v>
      </c>
      <c r="T350" s="24" t="inlineStr">
        <is>
          <t>measured-edge-totals-v3</t>
        </is>
      </c>
      <c r="U350" s="24" t="inlineStr">
        <is>
          <t>settled</t>
        </is>
      </c>
      <c r="V350" s="24" t="inlineStr">
        <is>
          <t>loss</t>
        </is>
      </c>
      <c r="W350" s="26" t="n">
        <v>4</v>
      </c>
      <c r="X350" s="26" t="n">
        <v>1</v>
      </c>
      <c r="Y350" s="25" t="n">
        <v>7.5</v>
      </c>
      <c r="Z350" s="26" t="n">
        <v>111</v>
      </c>
      <c r="AA350" s="28" t="n">
        <v>0.475</v>
      </c>
      <c r="AB350" s="28" t="n">
        <v>0.001066</v>
      </c>
      <c r="AC350" s="30" t="n">
        <v>0</v>
      </c>
      <c r="AD350" s="24" t="inlineStr">
        <is>
          <t>2026-08-09T23:29:54.895331Z</t>
        </is>
      </c>
      <c r="AE350" s="31" t="inlineStr">
        <is>
          <t>Measured Edge Totals: Trend Engine projected 4.22-4.59; raw selected-side p=0.5783, calibrated p=0.5252.</t>
        </is>
      </c>
      <c r="AF350" s="31" t="inlineStr">
        <is>
          <t>Research-only; lineup, bullpen, park, weather, xFIP, and wRC+ may be neutral fallbacks; market availability and BBO depth may change before first pitch.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research_observation</t>
        </is>
      </c>
      <c r="AL350" s="26" t="n">
        <v>3</v>
      </c>
      <c r="AM350" s="24" t="inlineStr">
        <is>
          <t>RESEARCH_OBSERVATION</t>
        </is>
      </c>
      <c r="AN350" s="24" t="inlineStr">
        <is>
          <t>NO_CALL</t>
        </is>
      </c>
      <c r="AO350" s="24" t="inlineStr">
        <is>
          <t>NO_CALL_WINNER_OVERVALUED</t>
        </is>
      </c>
      <c r="AP350" s="24" t="inlineStr">
        <is>
          <t>mlb-tb</t>
        </is>
      </c>
      <c r="AQ350" s="24" t="inlineStr">
        <is>
          <t>Tampa Bay Rays</t>
        </is>
      </c>
      <c r="AR350" s="24" t="inlineStr">
        <is>
          <t>Tampa Bay Rays</t>
        </is>
      </c>
      <c r="AS350" s="24" t="inlineStr">
        <is>
          <t>mlb-sea</t>
        </is>
      </c>
      <c r="AT350" s="24" t="inlineStr">
        <is>
          <t>Seattle Mariners</t>
        </is>
      </c>
      <c r="AU350" s="24" t="inlineStr">
        <is>
          <t>Seattle Mariners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research</t>
        </is>
      </c>
      <c r="BA350" s="24" t="inlineStr">
        <is>
          <t>95b84332c75d2ce54036eb8de6ada9c78d0f80228c50825c0347281a8b9b49c7</t>
        </is>
      </c>
      <c r="BB350" s="24" t="inlineStr">
        <is>
          <t>flat_probability_shrinkage_toward_half</t>
        </is>
      </c>
      <c r="BC350" s="24" t="inlineStr">
        <is>
          <t>measured-edge-totals-v3</t>
        </is>
      </c>
      <c r="BD350" s="24" t="inlineStr">
        <is>
          <t>95b84332c75d2ce54036eb8de6ada9c78d0f80228c50825c0347281a8b9b49c7</t>
        </is>
      </c>
      <c r="BE350" s="24" t="inlineStr">
        <is>
          <t>v3</t>
        </is>
      </c>
      <c r="BF350" s="24" t="inlineStr">
        <is>
          <t>1</t>
        </is>
      </c>
      <c r="BG350" s="24" t="inlineStr">
        <is>
          <t>measured-edge-paired-v1</t>
        </is>
      </c>
      <c r="BH350" s="24" t="inlineStr">
        <is>
          <t>2026-08-09T17:06:46.891600Z</t>
        </is>
      </c>
      <c r="BI350" s="24" t="inlineStr">
        <is>
          <t>["same_event","same_team_same_day","same_league_same_day"]</t>
        </is>
      </c>
      <c r="BJ350" s="25" t="n">
        <v>7.5</v>
      </c>
      <c r="BK350" s="26" t="n">
        <v>111</v>
      </c>
      <c r="BL350" s="27" t="n">
        <v>2.11</v>
      </c>
      <c r="BM350" s="28" t="n">
        <v>0.473934</v>
      </c>
      <c r="BN350" s="28" t="n">
        <v>0.472637</v>
      </c>
      <c r="BO350" s="28" t="n"/>
      <c r="BP350" s="25" t="n"/>
      <c r="BQ350" s="27" t="n">
        <v>2.11</v>
      </c>
      <c r="BR350" s="28" t="n">
        <v>0.475</v>
      </c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</row>
    <row r="351" ht="36" customHeight="1">
      <c r="A351" s="24" t="inlineStr">
        <is>
          <t>75db3642ead14736</t>
        </is>
      </c>
      <c r="B351" s="24" t="inlineStr">
        <is>
          <t>2026-08-09T23:32:06.730886Z</t>
        </is>
      </c>
      <c r="C351" s="24" t="inlineStr">
        <is>
          <t>2026-08-09T20:20:00-0400</t>
        </is>
      </c>
      <c r="D351" s="24" t="inlineStr">
        <is>
          <t>401816466</t>
        </is>
      </c>
      <c r="E351" s="24" t="inlineStr">
        <is>
          <t>MLB</t>
        </is>
      </c>
      <c r="F351" s="24" t="inlineStr">
        <is>
          <t>Houston Astros</t>
        </is>
      </c>
      <c r="G351" s="24" t="inlineStr">
        <is>
          <t>San Diego Padres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polymarket_us</t>
        </is>
      </c>
      <c r="L351" s="26" t="n">
        <v>-111</v>
      </c>
      <c r="M351" s="27" t="n">
        <v>1.900901</v>
      </c>
      <c r="N351" s="28" t="n">
        <v>0.526066</v>
      </c>
      <c r="O351" s="28" t="n">
        <v>0.581468</v>
      </c>
      <c r="P351" s="28" t="n"/>
      <c r="Q351" s="28" t="n">
        <v>0.055402</v>
      </c>
      <c r="R351" s="26" t="n">
        <v>50</v>
      </c>
      <c r="S351" s="29" t="n">
        <v>0</v>
      </c>
      <c r="T351" s="24" t="inlineStr">
        <is>
          <t>mlb-elo-trend-lr-v8</t>
        </is>
      </c>
      <c r="U351" s="24" t="inlineStr">
        <is>
          <t>settled</t>
        </is>
      </c>
      <c r="V351" s="24" t="inlineStr">
        <is>
          <t>win</t>
        </is>
      </c>
      <c r="W351" s="26" t="n">
        <v>2</v>
      </c>
      <c r="X351" s="26" t="n">
        <v>7</v>
      </c>
      <c r="Y351" s="25" t="n"/>
      <c r="Z351" s="26" t="n">
        <v>-111</v>
      </c>
      <c r="AA351" s="28" t="n">
        <v>0.525</v>
      </c>
      <c r="AB351" s="28" t="n">
        <v>-0.001066</v>
      </c>
      <c r="AC351" s="30" t="n">
        <v>0</v>
      </c>
      <c r="AD351" s="24" t="inlineStr">
        <is>
          <t>2026-08-10T05:37:37.063782Z</t>
        </is>
      </c>
      <c r="AE351" s="31" t="inlineStr">
        <is>
          <t>Learned LR call at threshold 0.6197; executable ask 0.5250 (aec-mlb-hou-sd-2026-08-09); model edge vs ask +0.0565. NOTE: NO_CALL_STARTER_ERA_GAP_INSUFFICIENT_HISTORY unavailable for this game — defaulted to neutral, other features used normally.</t>
        </is>
      </c>
      <c r="AF351" s="31" t="inlineStr">
        <is>
          <t>Learned model; shadow-qualified via operator override.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research_observation</t>
        </is>
      </c>
      <c r="AL351" s="26" t="n">
        <v>3</v>
      </c>
      <c r="AM351" s="24" t="inlineStr">
        <is>
          <t>RESEARCH_OBSERVATION</t>
        </is>
      </c>
      <c r="AN351" s="24" t="inlineStr">
        <is>
          <t>NO_CALL</t>
        </is>
      </c>
      <c r="AO351" s="24" t="inlineStr">
        <is>
          <t>NO_CALL_BELOW_LEARNED_CONFIDENCE</t>
        </is>
      </c>
      <c r="AP351" s="24" t="inlineStr">
        <is>
          <t>mlb-hou</t>
        </is>
      </c>
      <c r="AQ351" s="24" t="inlineStr">
        <is>
          <t>Houston Astros</t>
        </is>
      </c>
      <c r="AR351" s="24" t="inlineStr">
        <is>
          <t>Houston Astros</t>
        </is>
      </c>
      <c r="AS351" s="24" t="inlineStr">
        <is>
          <t>mlb-sd</t>
        </is>
      </c>
      <c r="AT351" s="24" t="inlineStr">
        <is>
          <t>San Diego Padres</t>
        </is>
      </c>
      <c r="AU351" s="24" t="inlineStr">
        <is>
          <t>San Diego Padres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3b345499bd6bad9bcf65367a07fe0c668fb5817d4f016a0a865c01d9212fdeb8</t>
        </is>
      </c>
      <c r="BB351" s="24" t="inlineStr">
        <is>
          <t>learned_lr</t>
        </is>
      </c>
      <c r="BC351" s="24" t="inlineStr">
        <is>
          <t>mlb-elo-trend-lr-v8</t>
        </is>
      </c>
      <c r="BD351" s="24" t="inlineStr">
        <is>
          <t>3b345499bd6bad9bcf65367a07fe0c668fb5817d4f016a0a865c01d9212fdeb8</t>
        </is>
      </c>
      <c r="BE351" s="24" t="inlineStr">
        <is>
          <t>30dad56e7c91e24f</t>
        </is>
      </c>
      <c r="BF351" s="24" t="inlineStr">
        <is>
          <t>1</t>
        </is>
      </c>
      <c r="BG351" s="24" t="inlineStr">
        <is>
          <t>mlb-elo-trend-lr-v8</t>
        </is>
      </c>
      <c r="BH351" s="24" t="inlineStr">
        <is>
          <t>2026-08-09T23:31:32.806202Z</t>
        </is>
      </c>
      <c r="BI351" s="24" t="inlineStr">
        <is>
          <t>["same_event","same_team_same_day","same_league_same_day"]</t>
        </is>
      </c>
      <c r="BJ351" s="25" t="n"/>
      <c r="BK351" s="26" t="n">
        <v>-111</v>
      </c>
      <c r="BL351" s="27" t="n">
        <v>1.900901</v>
      </c>
      <c r="BM351" s="28" t="n">
        <v>0.526066</v>
      </c>
      <c r="BN351" s="28" t="n">
        <v>0.522388</v>
      </c>
      <c r="BO351" s="28" t="n"/>
      <c r="BP351" s="25" t="n"/>
      <c r="BQ351" s="27" t="n">
        <v>1.900901</v>
      </c>
      <c r="BR351" s="28" t="n">
        <v>0.525</v>
      </c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inlineStr">
        <is>
          <t>0.563819512</t>
        </is>
      </c>
      <c r="CD351" s="24" t="inlineStr">
        <is>
          <t>-0.154623</t>
        </is>
      </c>
      <c r="CE351" s="24" t="inlineStr">
        <is>
          <t>0.945</t>
        </is>
      </c>
      <c r="CF351" s="24" t="inlineStr">
        <is>
          <t>1.0121</t>
        </is>
      </c>
      <c r="CG351" s="24" t="n"/>
      <c r="CH351" s="24" t="n"/>
      <c r="CI351" s="24" t="inlineStr">
        <is>
          <t>NO_CALL_STARTER_ERA_GAP_INSUFFICIENT_HISTORY</t>
        </is>
      </c>
      <c r="CJ351" s="24" t="inlineStr">
        <is>
          <t>-0.339875</t>
        </is>
      </c>
      <c r="CK351" s="24" t="n"/>
      <c r="CL351" s="24" t="inlineStr">
        <is>
          <t>0.312934</t>
        </is>
      </c>
      <c r="CM351" s="24" t="inlineStr">
        <is>
          <t>0.0</t>
        </is>
      </c>
      <c r="CN351" s="24" t="n"/>
      <c r="CO351" s="24" t="n"/>
      <c r="CP351" s="24" t="n"/>
      <c r="CQ351" s="24" t="n"/>
      <c r="CR351" s="24" t="inlineStr">
        <is>
          <t>0.581468</t>
        </is>
      </c>
      <c r="CS351" s="24" t="inlineStr">
        <is>
          <t>True</t>
        </is>
      </c>
    </row>
    <row r="352" ht="36" customHeight="1">
      <c r="A352" s="24" t="inlineStr">
        <is>
          <t>d2c817498bc54597</t>
        </is>
      </c>
      <c r="B352" s="24" t="inlineStr">
        <is>
          <t>2026-08-09T23:32:16.171272Z</t>
        </is>
      </c>
      <c r="C352" s="24" t="inlineStr">
        <is>
          <t>2026-08-10T00:20Z</t>
        </is>
      </c>
      <c r="D352" s="24" t="inlineStr">
        <is>
          <t>401816466</t>
        </is>
      </c>
      <c r="E352" s="24" t="inlineStr">
        <is>
          <t>MLB</t>
        </is>
      </c>
      <c r="F352" s="24" t="inlineStr">
        <is>
          <t>Houston Astros</t>
        </is>
      </c>
      <c r="G352" s="24" t="inlineStr">
        <is>
          <t>San Diego Padres</t>
        </is>
      </c>
      <c r="H352" s="24" t="inlineStr">
        <is>
          <t>spread</t>
        </is>
      </c>
      <c r="I352" s="24" t="inlineStr">
        <is>
          <t>away</t>
        </is>
      </c>
      <c r="J352" s="25" t="n">
        <v>1.5</v>
      </c>
      <c r="K352" s="24" t="inlineStr">
        <is>
          <t>polymarket_us</t>
        </is>
      </c>
      <c r="L352" s="26" t="n">
        <v>-178</v>
      </c>
      <c r="M352" s="27" t="n">
        <v>1.561798</v>
      </c>
      <c r="N352" s="28" t="n">
        <v>0.640288</v>
      </c>
      <c r="O352" s="28" t="n">
        <v>0.5895359999999999</v>
      </c>
      <c r="P352" s="28" t="n">
        <v>0.05172</v>
      </c>
      <c r="Q352" s="28" t="n">
        <v>-0.050752</v>
      </c>
      <c r="R352" s="26" t="n">
        <v>0</v>
      </c>
      <c r="S352" s="29" t="n">
        <v>1.25</v>
      </c>
      <c r="T352" s="24" t="inlineStr">
        <is>
          <t>measured-edge-margin-v3</t>
        </is>
      </c>
      <c r="U352" s="24" t="inlineStr">
        <is>
          <t>settled</t>
        </is>
      </c>
      <c r="V352" s="24" t="inlineStr">
        <is>
          <t>loss</t>
        </is>
      </c>
      <c r="W352" s="26" t="n">
        <v>2</v>
      </c>
      <c r="X352" s="26" t="n">
        <v>7</v>
      </c>
      <c r="Y352" s="25" t="n">
        <v>1.5</v>
      </c>
      <c r="Z352" s="26" t="n">
        <v>-178</v>
      </c>
      <c r="AA352" s="28" t="n">
        <v>0.64</v>
      </c>
      <c r="AB352" s="28" t="n">
        <v>-0.000288</v>
      </c>
      <c r="AC352" s="30" t="n">
        <v>-1.25</v>
      </c>
      <c r="AD352" s="24" t="inlineStr">
        <is>
          <t>2026-08-10T05:37:38.419846Z</t>
        </is>
      </c>
      <c r="AE352" s="31" t="inlineStr">
        <is>
          <t>Measured Edge Margin: Trend Engine projected 4.24-4.65; raw selected-side p=0.6314, calibrated p=0.5895.</t>
        </is>
      </c>
      <c r="AF352" s="31" t="inlineStr">
        <is>
          <t>Research-only; lineup, bullpen, park, weather, xFIP, and wRC+ may be neutral fallbacks; market availability and BBO depth may change before first pitch.</t>
        </is>
      </c>
      <c r="AG352" s="24" t="inlineStr">
        <is>
          <t>review_required</t>
        </is>
      </c>
      <c r="AH352" s="24" t="n"/>
      <c r="AI352" s="31" t="n"/>
      <c r="AJ352" s="31" t="n"/>
      <c r="AK352" s="24" t="inlineStr">
        <is>
          <t>model_qualified</t>
        </is>
      </c>
      <c r="AL352" s="26" t="n">
        <v>3</v>
      </c>
      <c r="AM352" s="24" t="inlineStr">
        <is>
          <t>QUALIFIED_SHADOW_CALL</t>
        </is>
      </c>
      <c r="AN352" s="24" t="inlineStr">
        <is>
          <t>CALL</t>
        </is>
      </c>
      <c r="AO352" s="24" t="inlineStr">
        <is>
          <t>QUALIFIED</t>
        </is>
      </c>
      <c r="AP352" s="24" t="inlineStr">
        <is>
          <t>mlb-hou</t>
        </is>
      </c>
      <c r="AQ352" s="24" t="inlineStr">
        <is>
          <t>Houston Astros</t>
        </is>
      </c>
      <c r="AR352" s="24" t="inlineStr">
        <is>
          <t>Houston Astros</t>
        </is>
      </c>
      <c r="AS352" s="24" t="inlineStr">
        <is>
          <t>mlb-sd</t>
        </is>
      </c>
      <c r="AT352" s="24" t="inlineStr">
        <is>
          <t>San Diego Padres</t>
        </is>
      </c>
      <c r="AU352" s="24" t="inlineStr">
        <is>
          <t>San Diego Padres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research</t>
        </is>
      </c>
      <c r="BA352" s="24" t="inlineStr">
        <is>
          <t>dd339a2eed50d7d83ab2127837995ddab82e879afd27f5414bb6c1f9cd60ba4c</t>
        </is>
      </c>
      <c r="BB352" s="24" t="inlineStr">
        <is>
          <t>flat_probability_shrinkage_toward_half</t>
        </is>
      </c>
      <c r="BC352" s="24" t="inlineStr">
        <is>
          <t>measured-edge-margin-v3</t>
        </is>
      </c>
      <c r="BD352" s="24" t="inlineStr">
        <is>
          <t>dd339a2eed50d7d83ab2127837995ddab82e879afd27f5414bb6c1f9cd60ba4c</t>
        </is>
      </c>
      <c r="BE352" s="24" t="inlineStr">
        <is>
          <t>v3</t>
        </is>
      </c>
      <c r="BF352" s="24" t="inlineStr">
        <is>
          <t>1</t>
        </is>
      </c>
      <c r="BG352" s="24" t="inlineStr">
        <is>
          <t>measured-edge-paired-v1</t>
        </is>
      </c>
      <c r="BH352" s="24" t="inlineStr">
        <is>
          <t>2026-08-09T23:32:16.171272Z</t>
        </is>
      </c>
      <c r="BI352" s="24" t="inlineStr">
        <is>
          <t>["same_event","same_team_same_day","same_league_same_day"]</t>
        </is>
      </c>
      <c r="BJ352" s="25" t="n">
        <v>1.5</v>
      </c>
      <c r="BK352" s="26" t="n">
        <v>-178</v>
      </c>
      <c r="BL352" s="27" t="n">
        <v>1.561798</v>
      </c>
      <c r="BM352" s="28" t="n">
        <v>0.640288</v>
      </c>
      <c r="BN352" s="28" t="n">
        <v>0.636816</v>
      </c>
      <c r="BO352" s="28" t="n"/>
      <c r="BP352" s="25" t="n"/>
      <c r="BQ352" s="27" t="n">
        <v>1.561798</v>
      </c>
      <c r="BR352" s="28" t="n">
        <v>0.64</v>
      </c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False</t>
        </is>
      </c>
    </row>
    <row r="353" ht="36" customHeight="1">
      <c r="A353" s="24" t="inlineStr">
        <is>
          <t>481c4ac0eb244f91</t>
        </is>
      </c>
      <c r="B353" s="24" t="inlineStr">
        <is>
          <t>2026-08-09T23:32:16.171272Z</t>
        </is>
      </c>
      <c r="C353" s="24" t="inlineStr">
        <is>
          <t>2026-08-10T00:20Z</t>
        </is>
      </c>
      <c r="D353" s="24" t="inlineStr">
        <is>
          <t>401816466</t>
        </is>
      </c>
      <c r="E353" s="24" t="inlineStr">
        <is>
          <t>MLB</t>
        </is>
      </c>
      <c r="F353" s="24" t="inlineStr">
        <is>
          <t>Houston Astros</t>
        </is>
      </c>
      <c r="G353" s="24" t="inlineStr">
        <is>
          <t>San Diego Padres</t>
        </is>
      </c>
      <c r="H353" s="24" t="inlineStr">
        <is>
          <t>total</t>
        </is>
      </c>
      <c r="I353" s="24" t="inlineStr">
        <is>
          <t>over</t>
        </is>
      </c>
      <c r="J353" s="25" t="n">
        <v>8.5</v>
      </c>
      <c r="K353" s="24" t="inlineStr">
        <is>
          <t>polymarket_us</t>
        </is>
      </c>
      <c r="L353" s="26" t="n">
        <v>-125</v>
      </c>
      <c r="M353" s="27" t="n">
        <v>1.8</v>
      </c>
      <c r="N353" s="28" t="n">
        <v>0.555556</v>
      </c>
      <c r="O353" s="28" t="n">
        <v>0.5072410000000001</v>
      </c>
      <c r="P353" s="28" t="n">
        <v>0.05172</v>
      </c>
      <c r="Q353" s="28" t="n">
        <v>-0.048315</v>
      </c>
      <c r="R353" s="26" t="n">
        <v>0</v>
      </c>
      <c r="S353" s="29" t="n">
        <v>1</v>
      </c>
      <c r="T353" s="24" t="inlineStr">
        <is>
          <t>measured-edge-totals-v3</t>
        </is>
      </c>
      <c r="U353" s="24" t="inlineStr">
        <is>
          <t>settled</t>
        </is>
      </c>
      <c r="V353" s="24" t="inlineStr">
        <is>
          <t>win</t>
        </is>
      </c>
      <c r="W353" s="26" t="n">
        <v>2</v>
      </c>
      <c r="X353" s="26" t="n">
        <v>7</v>
      </c>
      <c r="Y353" s="25" t="n">
        <v>8.5</v>
      </c>
      <c r="Z353" s="26" t="n">
        <v>-125</v>
      </c>
      <c r="AA353" s="28" t="n">
        <v>0.555</v>
      </c>
      <c r="AB353" s="28" t="n">
        <v>-0.000556</v>
      </c>
      <c r="AC353" s="30" t="n">
        <v>0.8</v>
      </c>
      <c r="AD353" s="24" t="inlineStr">
        <is>
          <t>2026-08-10T05:37:39.772040Z</t>
        </is>
      </c>
      <c r="AE353" s="31" t="inlineStr">
        <is>
          <t>Measured Edge Totals: Trend Engine projected 4.24-4.65; raw selected-side p=0.5058, calibrated p=0.5072.</t>
        </is>
      </c>
      <c r="AF353" s="31" t="inlineStr">
        <is>
          <t>Research-only; lineup, bullpen, park, weather, xFIP, and wRC+ may be neutral fallbacks; market availability and BBO depth may change before first pitch.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3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mlb-hou</t>
        </is>
      </c>
      <c r="AQ353" s="24" t="inlineStr">
        <is>
          <t>Houston Astros</t>
        </is>
      </c>
      <c r="AR353" s="24" t="inlineStr">
        <is>
          <t>Houston Astros</t>
        </is>
      </c>
      <c r="AS353" s="24" t="inlineStr">
        <is>
          <t>mlb-sd</t>
        </is>
      </c>
      <c r="AT353" s="24" t="inlineStr">
        <is>
          <t>San Diego Padres</t>
        </is>
      </c>
      <c r="AU353" s="24" t="inlineStr">
        <is>
          <t>San Diego Padres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research</t>
        </is>
      </c>
      <c r="BA353" s="24" t="inlineStr">
        <is>
          <t>95b84332c75d2ce54036eb8de6ada9c78d0f80228c50825c0347281a8b9b49c7</t>
        </is>
      </c>
      <c r="BB353" s="24" t="inlineStr">
        <is>
          <t>flat_probability_shrinkage_toward_half</t>
        </is>
      </c>
      <c r="BC353" s="24" t="inlineStr">
        <is>
          <t>measured-edge-totals-v3</t>
        </is>
      </c>
      <c r="BD353" s="24" t="inlineStr">
        <is>
          <t>95b84332c75d2ce54036eb8de6ada9c78d0f80228c50825c0347281a8b9b49c7</t>
        </is>
      </c>
      <c r="BE353" s="24" t="inlineStr">
        <is>
          <t>v3</t>
        </is>
      </c>
      <c r="BF353" s="24" t="inlineStr">
        <is>
          <t>1</t>
        </is>
      </c>
      <c r="BG353" s="24" t="inlineStr">
        <is>
          <t>measured-edge-paired-v1</t>
        </is>
      </c>
      <c r="BH353" s="24" t="inlineStr">
        <is>
          <t>2026-08-09T23:32:16.171272Z</t>
        </is>
      </c>
      <c r="BI353" s="24" t="inlineStr">
        <is>
          <t>["same_event","same_team_same_day","same_league_same_day"]</t>
        </is>
      </c>
      <c r="BJ353" s="25" t="n">
        <v>8.5</v>
      </c>
      <c r="BK353" s="26" t="n">
        <v>-125</v>
      </c>
      <c r="BL353" s="27" t="n">
        <v>1.8</v>
      </c>
      <c r="BM353" s="28" t="n">
        <v>0.555556</v>
      </c>
      <c r="BN353" s="28" t="n">
        <v>0.552239</v>
      </c>
      <c r="BO353" s="28" t="n"/>
      <c r="BP353" s="25" t="n"/>
      <c r="BQ353" s="27" t="n">
        <v>1.8</v>
      </c>
      <c r="BR353" s="28" t="n">
        <v>0.555</v>
      </c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</row>
    <row r="354" ht="36" customHeight="1">
      <c r="A354" s="24" t="inlineStr">
        <is>
          <t>2e34b3d18e2a4eb5</t>
        </is>
      </c>
      <c r="B354" s="24" t="inlineStr">
        <is>
          <t>2026-08-10T16:34:47.251195Z</t>
        </is>
      </c>
      <c r="C354" s="24" t="inlineStr">
        <is>
          <t>2026-08-10T19:07:00-0400</t>
        </is>
      </c>
      <c r="D354" s="24" t="inlineStr">
        <is>
          <t>401816469</t>
        </is>
      </c>
      <c r="E354" s="24" t="inlineStr">
        <is>
          <t>MLB</t>
        </is>
      </c>
      <c r="F354" s="24" t="inlineStr">
        <is>
          <t>Boston Red Sox</t>
        </is>
      </c>
      <c r="G354" s="24" t="inlineStr">
        <is>
          <t>Toronto Blue Jays</t>
        </is>
      </c>
      <c r="H354" s="24" t="inlineStr">
        <is>
          <t>moneyline</t>
        </is>
      </c>
      <c r="I354" s="24" t="inlineStr">
        <is>
          <t>away</t>
        </is>
      </c>
      <c r="J354" s="25" t="n"/>
      <c r="K354" s="24" t="inlineStr">
        <is>
          <t>polymarket_us</t>
        </is>
      </c>
      <c r="L354" s="26" t="n">
        <v>-147</v>
      </c>
      <c r="M354" s="27" t="n">
        <v>1.680272</v>
      </c>
      <c r="N354" s="28" t="n">
        <v>0.5951419999999999</v>
      </c>
      <c r="O354" s="28" t="n">
        <v>0.561708</v>
      </c>
      <c r="P354" s="28" t="n"/>
      <c r="Q354" s="28" t="n">
        <v>-0.033434</v>
      </c>
      <c r="R354" s="26" t="n">
        <v>5</v>
      </c>
      <c r="S354" s="29" t="n">
        <v>0</v>
      </c>
      <c r="T354" s="24" t="inlineStr">
        <is>
          <t>mlb-elo-trend-lr-v8</t>
        </is>
      </c>
      <c r="U354" s="24" t="inlineStr">
        <is>
          <t>settled</t>
        </is>
      </c>
      <c r="V354" s="24" t="inlineStr">
        <is>
          <t>loss</t>
        </is>
      </c>
      <c r="W354" s="26" t="n">
        <v>1</v>
      </c>
      <c r="X354" s="26" t="n">
        <v>2</v>
      </c>
      <c r="Y354" s="25" t="n"/>
      <c r="Z354" s="26" t="n">
        <v>-147</v>
      </c>
      <c r="AA354" s="28" t="n">
        <v>0.595</v>
      </c>
      <c r="AB354" s="28" t="n">
        <v>-0.000142</v>
      </c>
      <c r="AC354" s="30" t="n">
        <v>0</v>
      </c>
      <c r="AD354" s="24" t="inlineStr">
        <is>
          <t>2026-08-11T13:06:17.470676Z</t>
        </is>
      </c>
      <c r="AE354" s="31" t="inlineStr">
        <is>
          <t>Learned LR call at threshold 0.6197; executable ask 0.5950 (aec-mlb-bos-tor-2026-08-10); model edge vs ask -0.0333.</t>
        </is>
      </c>
      <c r="AF354" s="31" t="inlineStr">
        <is>
          <t>Learned model; shadow-qualified via operator override.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research_observation</t>
        </is>
      </c>
      <c r="AL354" s="26" t="n">
        <v>3</v>
      </c>
      <c r="AM354" s="24" t="inlineStr">
        <is>
          <t>RESEARCH_OBSERVATION</t>
        </is>
      </c>
      <c r="AN354" s="24" t="inlineStr">
        <is>
          <t>NO_CALL</t>
        </is>
      </c>
      <c r="AO354" s="24" t="inlineStr">
        <is>
          <t>NO_CALL_BELOW_LEARNED_CONFIDENCE</t>
        </is>
      </c>
      <c r="AP354" s="24" t="inlineStr">
        <is>
          <t>mlb-bos</t>
        </is>
      </c>
      <c r="AQ354" s="24" t="inlineStr">
        <is>
          <t>Boston Red Sox</t>
        </is>
      </c>
      <c r="AR354" s="24" t="inlineStr">
        <is>
          <t>Boston Red Sox</t>
        </is>
      </c>
      <c r="AS354" s="24" t="inlineStr">
        <is>
          <t>mlb-tor</t>
        </is>
      </c>
      <c r="AT354" s="24" t="inlineStr">
        <is>
          <t>Toronto Blue Jays</t>
        </is>
      </c>
      <c r="AU354" s="24" t="inlineStr">
        <is>
          <t>Toronto Blue Jays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3b345499bd6bad9bcf65367a07fe0c668fb5817d4f016a0a865c01d9212fdeb8</t>
        </is>
      </c>
      <c r="BB354" s="24" t="inlineStr">
        <is>
          <t>learned_lr</t>
        </is>
      </c>
      <c r="BC354" s="24" t="inlineStr">
        <is>
          <t>mlb-elo-trend-lr-v8</t>
        </is>
      </c>
      <c r="BD354" s="24" t="inlineStr">
        <is>
          <t>3b345499bd6bad9bcf65367a07fe0c668fb5817d4f016a0a865c01d9212fdeb8</t>
        </is>
      </c>
      <c r="BE354" s="24" t="inlineStr">
        <is>
          <t>7b94144f929eaecd</t>
        </is>
      </c>
      <c r="BF354" s="24" t="inlineStr">
        <is>
          <t>1</t>
        </is>
      </c>
      <c r="BG354" s="24" t="inlineStr">
        <is>
          <t>mlb-elo-trend-lr-v8</t>
        </is>
      </c>
      <c r="BH354" s="24" t="inlineStr">
        <is>
          <t>2026-08-10T16:34:07.887258Z</t>
        </is>
      </c>
      <c r="BI354" s="24" t="inlineStr">
        <is>
          <t>["same_event","same_team_same_day","same_league_same_day"]</t>
        </is>
      </c>
      <c r="BJ354" s="25" t="n"/>
      <c r="BK354" s="26" t="n">
        <v>-147</v>
      </c>
      <c r="BL354" s="27" t="n">
        <v>1.680272</v>
      </c>
      <c r="BM354" s="28" t="n">
        <v>0.5951419999999999</v>
      </c>
      <c r="BN354" s="28" t="n">
        <v>0.59204</v>
      </c>
      <c r="BO354" s="28" t="n"/>
      <c r="BP354" s="25" t="n"/>
      <c r="BQ354" s="27" t="n">
        <v>1.680272</v>
      </c>
      <c r="BR354" s="28" t="n">
        <v>0.595</v>
      </c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inlineStr">
        <is>
          <t>0.4377663455</t>
        </is>
      </c>
      <c r="CD354" s="24" t="inlineStr">
        <is>
          <t>-0.118304</t>
        </is>
      </c>
      <c r="CE354" s="24" t="inlineStr">
        <is>
          <t>1.019</t>
        </is>
      </c>
      <c r="CF354" s="24" t="inlineStr">
        <is>
          <t>1.0</t>
        </is>
      </c>
      <c r="CG354" s="24" t="n"/>
      <c r="CH354" s="24" t="n"/>
      <c r="CI354" s="24" t="n"/>
      <c r="CJ354" s="24" t="inlineStr">
        <is>
          <t>0.716568</t>
        </is>
      </c>
      <c r="CK354" s="24" t="n"/>
      <c r="CL354" s="24" t="inlineStr">
        <is>
          <t>0.103416</t>
        </is>
      </c>
      <c r="CM354" s="24" t="inlineStr">
        <is>
          <t>5.1383</t>
        </is>
      </c>
      <c r="CN354" s="24" t="n"/>
      <c r="CO354" s="24" t="n"/>
      <c r="CP354" s="24" t="n"/>
      <c r="CQ354" s="24" t="n"/>
      <c r="CR354" s="24" t="inlineStr">
        <is>
          <t>0.561708</t>
        </is>
      </c>
      <c r="CS354" s="24" t="inlineStr">
        <is>
          <t>False</t>
        </is>
      </c>
    </row>
    <row r="355" ht="36" customHeight="1">
      <c r="A355" s="24" t="inlineStr">
        <is>
          <t>4316d6019ff242a6</t>
        </is>
      </c>
      <c r="B355" s="24" t="inlineStr">
        <is>
          <t>2026-08-10T16:34:47.251195Z</t>
        </is>
      </c>
      <c r="C355" s="24" t="inlineStr">
        <is>
          <t>2026-08-10T19:15:00-0400</t>
        </is>
      </c>
      <c r="D355" s="24" t="inlineStr">
        <is>
          <t>401816470</t>
        </is>
      </c>
      <c r="E355" s="24" t="inlineStr">
        <is>
          <t>MLB</t>
        </is>
      </c>
      <c r="F355" s="24" t="inlineStr">
        <is>
          <t>New York Mets</t>
        </is>
      </c>
      <c r="G355" s="24" t="inlineStr">
        <is>
          <t>Atlanta Braves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polymarket_us</t>
        </is>
      </c>
      <c r="L355" s="26" t="n">
        <v>-135</v>
      </c>
      <c r="M355" s="27" t="n">
        <v>1.740741</v>
      </c>
      <c r="N355" s="28" t="n">
        <v>0.574468</v>
      </c>
      <c r="O355" s="28" t="n">
        <v>0.609141</v>
      </c>
      <c r="P355" s="28" t="n"/>
      <c r="Q355" s="28" t="n">
        <v>0.034673</v>
      </c>
      <c r="R355" s="26" t="n">
        <v>39</v>
      </c>
      <c r="S355" s="29" t="n">
        <v>0</v>
      </c>
      <c r="T355" s="24" t="inlineStr">
        <is>
          <t>mlb-elo-trend-lr-v8</t>
        </is>
      </c>
      <c r="U355" s="24" t="inlineStr">
        <is>
          <t>settled</t>
        </is>
      </c>
      <c r="V355" s="24" t="inlineStr">
        <is>
          <t>loss</t>
        </is>
      </c>
      <c r="W355" s="26" t="n">
        <v>8</v>
      </c>
      <c r="X355" s="26" t="n">
        <v>5</v>
      </c>
      <c r="Y355" s="25" t="n"/>
      <c r="Z355" s="26" t="n">
        <v>-135</v>
      </c>
      <c r="AA355" s="28" t="n">
        <v>0.575</v>
      </c>
      <c r="AB355" s="28" t="n">
        <v>0.000532</v>
      </c>
      <c r="AC355" s="30" t="n">
        <v>0</v>
      </c>
      <c r="AD355" s="24" t="inlineStr">
        <is>
          <t>2026-08-11T13:06:19.011892Z</t>
        </is>
      </c>
      <c r="AE355" s="31" t="inlineStr">
        <is>
          <t>Learned LR call at threshold 0.6197; executable ask 0.5750 (aec-mlb-nym-atl-2026-08-10); model edge vs ask +0.0341.</t>
        </is>
      </c>
      <c r="AF355" s="31" t="inlineStr">
        <is>
          <t>Learned model; shadow-qualified via operator override.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research_observation</t>
        </is>
      </c>
      <c r="AL355" s="26" t="n">
        <v>3</v>
      </c>
      <c r="AM355" s="24" t="inlineStr">
        <is>
          <t>RESEARCH_OBSERVATION</t>
        </is>
      </c>
      <c r="AN355" s="24" t="inlineStr">
        <is>
          <t>NO_CALL</t>
        </is>
      </c>
      <c r="AO355" s="24" t="inlineStr">
        <is>
          <t>NO_CALL_BELOW_LEARNED_CONFIDENCE</t>
        </is>
      </c>
      <c r="AP355" s="24" t="inlineStr">
        <is>
          <t>mlb-nym</t>
        </is>
      </c>
      <c r="AQ355" s="24" t="inlineStr">
        <is>
          <t>New York Mets</t>
        </is>
      </c>
      <c r="AR355" s="24" t="inlineStr">
        <is>
          <t>New York Mets</t>
        </is>
      </c>
      <c r="AS355" s="24" t="inlineStr">
        <is>
          <t>mlb-atl</t>
        </is>
      </c>
      <c r="AT355" s="24" t="inlineStr">
        <is>
          <t>Atlanta Braves</t>
        </is>
      </c>
      <c r="AU355" s="24" t="inlineStr">
        <is>
          <t>Atlanta Braves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3b345499bd6bad9bcf65367a07fe0c668fb5817d4f016a0a865c01d9212fdeb8</t>
        </is>
      </c>
      <c r="BB355" s="24" t="inlineStr">
        <is>
          <t>learned_lr</t>
        </is>
      </c>
      <c r="BC355" s="24" t="inlineStr">
        <is>
          <t>mlb-elo-trend-lr-v8</t>
        </is>
      </c>
      <c r="BD355" s="24" t="inlineStr">
        <is>
          <t>3b345499bd6bad9bcf65367a07fe0c668fb5817d4f016a0a865c01d9212fdeb8</t>
        </is>
      </c>
      <c r="BE355" s="24" t="inlineStr">
        <is>
          <t>584378ae06368f2c</t>
        </is>
      </c>
      <c r="BF355" s="24" t="inlineStr">
        <is>
          <t>1</t>
        </is>
      </c>
      <c r="BG355" s="24" t="inlineStr">
        <is>
          <t>mlb-elo-trend-lr-v8</t>
        </is>
      </c>
      <c r="BH355" s="24" t="inlineStr">
        <is>
          <t>2026-08-10T16:34:08.464531Z</t>
        </is>
      </c>
      <c r="BI355" s="24" t="inlineStr">
        <is>
          <t>["same_event","same_team_same_day","same_league_same_day"]</t>
        </is>
      </c>
      <c r="BJ355" s="25" t="n"/>
      <c r="BK355" s="26" t="n">
        <v>-135</v>
      </c>
      <c r="BL355" s="27" t="n">
        <v>1.740741</v>
      </c>
      <c r="BM355" s="28" t="n">
        <v>0.574468</v>
      </c>
      <c r="BN355" s="28" t="n">
        <v>0.572139</v>
      </c>
      <c r="BO355" s="28" t="n"/>
      <c r="BP355" s="25" t="n"/>
      <c r="BQ355" s="27" t="n">
        <v>1.740741</v>
      </c>
      <c r="BR355" s="28" t="n">
        <v>0.575</v>
      </c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inlineStr">
        <is>
          <t>0.6228305274</t>
        </is>
      </c>
      <c r="CD355" s="24" t="inlineStr">
        <is>
          <t>-1.673199</t>
        </is>
      </c>
      <c r="CE355" s="24" t="inlineStr">
        <is>
          <t>0.929</t>
        </is>
      </c>
      <c r="CF355" s="24" t="inlineStr">
        <is>
          <t>1.0214</t>
        </is>
      </c>
      <c r="CG355" s="24" t="n"/>
      <c r="CH355" s="24" t="n"/>
      <c r="CI355" s="24" t="n"/>
      <c r="CJ355" s="24" t="inlineStr">
        <is>
          <t>1.116689</t>
        </is>
      </c>
      <c r="CK355" s="24" t="n"/>
      <c r="CL355" s="24" t="inlineStr">
        <is>
          <t>0.224133</t>
        </is>
      </c>
      <c r="CM355" s="24" t="inlineStr">
        <is>
          <t>5.28</t>
        </is>
      </c>
      <c r="CN355" s="24" t="n"/>
      <c r="CO355" s="24" t="n"/>
      <c r="CP355" s="24" t="n"/>
      <c r="CQ355" s="24" t="n"/>
      <c r="CR355" s="24" t="inlineStr">
        <is>
          <t>0.609141</t>
        </is>
      </c>
      <c r="CS355" s="24" t="inlineStr">
        <is>
          <t>True</t>
        </is>
      </c>
    </row>
    <row r="356" ht="36" customHeight="1">
      <c r="A356" s="24" t="inlineStr">
        <is>
          <t>ddde55afae6e4592</t>
        </is>
      </c>
      <c r="B356" s="24" t="inlineStr">
        <is>
          <t>2026-08-10T16:34:47.251195Z</t>
        </is>
      </c>
      <c r="C356" s="24" t="inlineStr">
        <is>
          <t>2026-08-10T19:40:00-0400</t>
        </is>
      </c>
      <c r="D356" s="24" t="inlineStr">
        <is>
          <t>401816471</t>
        </is>
      </c>
      <c r="E356" s="24" t="inlineStr">
        <is>
          <t>MLB</t>
        </is>
      </c>
      <c r="F356" s="24" t="inlineStr">
        <is>
          <t>Baltimore Orioles</t>
        </is>
      </c>
      <c r="G356" s="24" t="inlineStr">
        <is>
          <t>Minnesota Twins</t>
        </is>
      </c>
      <c r="H356" s="24" t="inlineStr">
        <is>
          <t>moneyline</t>
        </is>
      </c>
      <c r="I356" s="24" t="inlineStr">
        <is>
          <t>away</t>
        </is>
      </c>
      <c r="J356" s="25" t="n"/>
      <c r="K356" s="24" t="inlineStr">
        <is>
          <t>polymarket_us</t>
        </is>
      </c>
      <c r="L356" s="26" t="n">
        <v>-108</v>
      </c>
      <c r="M356" s="27" t="n">
        <v>1.925926</v>
      </c>
      <c r="N356" s="28" t="n">
        <v>0.519231</v>
      </c>
      <c r="O356" s="28" t="n">
        <v>0.5149629999999999</v>
      </c>
      <c r="P356" s="28" t="n"/>
      <c r="Q356" s="28" t="n">
        <v>-0.004268</v>
      </c>
      <c r="R356" s="26" t="n">
        <v>19</v>
      </c>
      <c r="S356" s="29" t="n">
        <v>0</v>
      </c>
      <c r="T356" s="24" t="inlineStr">
        <is>
          <t>mlb-elo-trend-lr-v8</t>
        </is>
      </c>
      <c r="U356" s="24" t="inlineStr">
        <is>
          <t>settled</t>
        </is>
      </c>
      <c r="V356" s="24" t="inlineStr">
        <is>
          <t>loss</t>
        </is>
      </c>
      <c r="W356" s="26" t="n">
        <v>5</v>
      </c>
      <c r="X356" s="26" t="n">
        <v>9</v>
      </c>
      <c r="Y356" s="25" t="n"/>
      <c r="Z356" s="26" t="n">
        <v>-108</v>
      </c>
      <c r="AA356" s="28" t="n">
        <v>0.52</v>
      </c>
      <c r="AB356" s="28" t="n">
        <v>0.000769</v>
      </c>
      <c r="AC356" s="30" t="n">
        <v>0</v>
      </c>
      <c r="AD356" s="24" t="inlineStr">
        <is>
          <t>2026-08-11T13:06:20.501771Z</t>
        </is>
      </c>
      <c r="AE356" s="31" t="inlineStr">
        <is>
          <t>Learned LR call at threshold 0.6197; executable ask 0.5200 (aec-mlb-bal-min-2026-08-10); model edge vs ask -0.0050.</t>
        </is>
      </c>
      <c r="AF356" s="31" t="inlineStr">
        <is>
          <t>Learned model; shadow-qualified via operator override.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research_observation</t>
        </is>
      </c>
      <c r="AL356" s="26" t="n">
        <v>3</v>
      </c>
      <c r="AM356" s="24" t="inlineStr">
        <is>
          <t>RESEARCH_OBSERVATION</t>
        </is>
      </c>
      <c r="AN356" s="24" t="inlineStr">
        <is>
          <t>NO_CALL</t>
        </is>
      </c>
      <c r="AO356" s="24" t="inlineStr">
        <is>
          <t>NO_CALL_BELOW_LEARNED_CONFIDENCE</t>
        </is>
      </c>
      <c r="AP356" s="24" t="inlineStr">
        <is>
          <t>mlb-bal</t>
        </is>
      </c>
      <c r="AQ356" s="24" t="inlineStr">
        <is>
          <t>Baltimore Orioles</t>
        </is>
      </c>
      <c r="AR356" s="24" t="inlineStr">
        <is>
          <t>Baltimore Orioles</t>
        </is>
      </c>
      <c r="AS356" s="24" t="inlineStr">
        <is>
          <t>mlb-min</t>
        </is>
      </c>
      <c r="AT356" s="24" t="inlineStr">
        <is>
          <t>Minnesota Twins</t>
        </is>
      </c>
      <c r="AU356" s="24" t="inlineStr">
        <is>
          <t>Minnesota Twins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3b345499bd6bad9bcf65367a07fe0c668fb5817d4f016a0a865c01d9212fdeb8</t>
        </is>
      </c>
      <c r="BB356" s="24" t="inlineStr">
        <is>
          <t>learned_lr</t>
        </is>
      </c>
      <c r="BC356" s="24" t="inlineStr">
        <is>
          <t>mlb-elo-trend-lr-v8</t>
        </is>
      </c>
      <c r="BD356" s="24" t="inlineStr">
        <is>
          <t>3b345499bd6bad9bcf65367a07fe0c668fb5817d4f016a0a865c01d9212fdeb8</t>
        </is>
      </c>
      <c r="BE356" s="24" t="inlineStr">
        <is>
          <t>bc53fc4bb15a17f0</t>
        </is>
      </c>
      <c r="BF356" s="24" t="inlineStr">
        <is>
          <t>1</t>
        </is>
      </c>
      <c r="BG356" s="24" t="inlineStr">
        <is>
          <t>mlb-elo-trend-lr-v8</t>
        </is>
      </c>
      <c r="BH356" s="24" t="inlineStr">
        <is>
          <t>2026-08-10T16:34:08.962538Z</t>
        </is>
      </c>
      <c r="BI356" s="24" t="inlineStr">
        <is>
          <t>["same_event","same_team_same_day","same_league_same_day"]</t>
        </is>
      </c>
      <c r="BJ356" s="25" t="n"/>
      <c r="BK356" s="26" t="n">
        <v>-108</v>
      </c>
      <c r="BL356" s="27" t="n">
        <v>1.925926</v>
      </c>
      <c r="BM356" s="28" t="n">
        <v>0.519231</v>
      </c>
      <c r="BN356" s="28" t="n">
        <v>0.517413</v>
      </c>
      <c r="BO356" s="28" t="n"/>
      <c r="BP356" s="25" t="n"/>
      <c r="BQ356" s="27" t="n">
        <v>1.925926</v>
      </c>
      <c r="BR356" s="28" t="n">
        <v>0.52</v>
      </c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inlineStr">
        <is>
          <t>0.5081826828</t>
        </is>
      </c>
      <c r="CD356" s="24" t="inlineStr">
        <is>
          <t>0.047524</t>
        </is>
      </c>
      <c r="CE356" s="24" t="inlineStr">
        <is>
          <t>1.037</t>
        </is>
      </c>
      <c r="CF356" s="24" t="inlineStr">
        <is>
          <t>1.0173</t>
        </is>
      </c>
      <c r="CG356" s="24" t="n"/>
      <c r="CH356" s="24" t="n"/>
      <c r="CI356" s="24" t="n"/>
      <c r="CJ356" s="24" t="inlineStr">
        <is>
          <t>0.60956</t>
        </is>
      </c>
      <c r="CK356" s="24" t="n"/>
      <c r="CL356" s="24" t="inlineStr">
        <is>
          <t>-0.255423</t>
        </is>
      </c>
      <c r="CM356" s="24" t="inlineStr">
        <is>
          <t>2.2908</t>
        </is>
      </c>
      <c r="CN356" s="24" t="n"/>
      <c r="CO356" s="24" t="n"/>
      <c r="CP356" s="24" t="n"/>
      <c r="CQ356" s="24" t="n"/>
      <c r="CR356" s="24" t="inlineStr">
        <is>
          <t>0.514963</t>
        </is>
      </c>
      <c r="CS356" s="24" t="inlineStr">
        <is>
          <t>False</t>
        </is>
      </c>
    </row>
    <row r="357" ht="36" customHeight="1">
      <c r="A357" s="24" t="inlineStr">
        <is>
          <t>584b55441f5749ab</t>
        </is>
      </c>
      <c r="B357" s="24" t="inlineStr">
        <is>
          <t>2026-08-10T16:34:47.251195Z</t>
        </is>
      </c>
      <c r="C357" s="24" t="inlineStr">
        <is>
          <t>2026-08-10T19:45:00-0400</t>
        </is>
      </c>
      <c r="D357" s="24" t="inlineStr">
        <is>
          <t>401816472</t>
        </is>
      </c>
      <c r="E357" s="24" t="inlineStr">
        <is>
          <t>MLB</t>
        </is>
      </c>
      <c r="F357" s="24" t="inlineStr">
        <is>
          <t>Philadelphia Phillies</t>
        </is>
      </c>
      <c r="G357" s="24" t="inlineStr">
        <is>
          <t>St. Louis Cardinals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polymarket_us</t>
        </is>
      </c>
      <c r="L357" s="26" t="n">
        <v>108</v>
      </c>
      <c r="M357" s="27" t="n">
        <v>2.08</v>
      </c>
      <c r="N357" s="28" t="n">
        <v>0.480769</v>
      </c>
      <c r="O357" s="28" t="n">
        <v>0.519238</v>
      </c>
      <c r="P357" s="28" t="n"/>
      <c r="Q357" s="28" t="n">
        <v>0.038469</v>
      </c>
      <c r="R357" s="26" t="n">
        <v>41</v>
      </c>
      <c r="S357" s="29" t="n">
        <v>0</v>
      </c>
      <c r="T357" s="24" t="inlineStr">
        <is>
          <t>mlb-elo-trend-lr-v8</t>
        </is>
      </c>
      <c r="U357" s="24" t="inlineStr">
        <is>
          <t>settled</t>
        </is>
      </c>
      <c r="V357" s="24" t="inlineStr">
        <is>
          <t>loss</t>
        </is>
      </c>
      <c r="W357" s="26" t="n">
        <v>6</v>
      </c>
      <c r="X357" s="26" t="n">
        <v>5</v>
      </c>
      <c r="Y357" s="25" t="n"/>
      <c r="Z357" s="26" t="n">
        <v>108</v>
      </c>
      <c r="AA357" s="28" t="n">
        <v>0.48</v>
      </c>
      <c r="AB357" s="28" t="n">
        <v>-0.000769</v>
      </c>
      <c r="AC357" s="30" t="n">
        <v>0</v>
      </c>
      <c r="AD357" s="24" t="inlineStr">
        <is>
          <t>2026-08-11T13:06:22.040506Z</t>
        </is>
      </c>
      <c r="AE357" s="31" t="inlineStr">
        <is>
          <t>Learned LR call at threshold 0.6197; executable ask 0.4800 (aec-mlb-phi-stl-2026-08-10); model edge vs ask +0.0392.</t>
        </is>
      </c>
      <c r="AF357" s="31" t="inlineStr">
        <is>
          <t>Learned model; shadow-qualified via operator override.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research_observation</t>
        </is>
      </c>
      <c r="AL357" s="26" t="n">
        <v>3</v>
      </c>
      <c r="AM357" s="24" t="inlineStr">
        <is>
          <t>RESEARCH_OBSERVATION</t>
        </is>
      </c>
      <c r="AN357" s="24" t="inlineStr">
        <is>
          <t>NO_CALL</t>
        </is>
      </c>
      <c r="AO357" s="24" t="inlineStr">
        <is>
          <t>NO_CALL_BELOW_LEARNED_CONFIDENCE</t>
        </is>
      </c>
      <c r="AP357" s="24" t="inlineStr">
        <is>
          <t>mlb-phi</t>
        </is>
      </c>
      <c r="AQ357" s="24" t="inlineStr">
        <is>
          <t>Philadelphia Phillies</t>
        </is>
      </c>
      <c r="AR357" s="24" t="inlineStr">
        <is>
          <t>Philadelphia Phillies</t>
        </is>
      </c>
      <c r="AS357" s="24" t="inlineStr">
        <is>
          <t>mlb-stl</t>
        </is>
      </c>
      <c r="AT357" s="24" t="inlineStr">
        <is>
          <t>St. Louis Cardinals</t>
        </is>
      </c>
      <c r="AU357" s="24" t="inlineStr">
        <is>
          <t>St. Louis Cardinals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3b345499bd6bad9bcf65367a07fe0c668fb5817d4f016a0a865c01d9212fdeb8</t>
        </is>
      </c>
      <c r="BB357" s="24" t="inlineStr">
        <is>
          <t>learned_lr</t>
        </is>
      </c>
      <c r="BC357" s="24" t="inlineStr">
        <is>
          <t>mlb-elo-trend-lr-v8</t>
        </is>
      </c>
      <c r="BD357" s="24" t="inlineStr">
        <is>
          <t>3b345499bd6bad9bcf65367a07fe0c668fb5817d4f016a0a865c01d9212fdeb8</t>
        </is>
      </c>
      <c r="BE357" s="24" t="inlineStr">
        <is>
          <t>279b87cdfcc5c765</t>
        </is>
      </c>
      <c r="BF357" s="24" t="inlineStr">
        <is>
          <t>1</t>
        </is>
      </c>
      <c r="BG357" s="24" t="inlineStr">
        <is>
          <t>mlb-elo-trend-lr-v8</t>
        </is>
      </c>
      <c r="BH357" s="24" t="inlineStr">
        <is>
          <t>2026-08-10T16:34:09.701942Z</t>
        </is>
      </c>
      <c r="BI357" s="24" t="inlineStr">
        <is>
          <t>["same_event","same_team_same_day","same_league_same_day"]</t>
        </is>
      </c>
      <c r="BJ357" s="25" t="n"/>
      <c r="BK357" s="26" t="n">
        <v>108</v>
      </c>
      <c r="BL357" s="27" t="n">
        <v>2.08</v>
      </c>
      <c r="BM357" s="28" t="n">
        <v>0.480769</v>
      </c>
      <c r="BN357" s="28" t="n">
        <v>0.477612</v>
      </c>
      <c r="BO357" s="28" t="n"/>
      <c r="BP357" s="25" t="n"/>
      <c r="BQ357" s="27" t="n">
        <v>2.08</v>
      </c>
      <c r="BR357" s="28" t="n">
        <v>0.48</v>
      </c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inlineStr">
        <is>
          <t>0.4649057818</t>
        </is>
      </c>
      <c r="CD357" s="24" t="inlineStr">
        <is>
          <t>-0.555889</t>
        </is>
      </c>
      <c r="CE357" s="24" t="inlineStr">
        <is>
          <t>0.946</t>
        </is>
      </c>
      <c r="CF357" s="24" t="inlineStr">
        <is>
          <t>1.0278</t>
        </is>
      </c>
      <c r="CG357" s="24" t="n"/>
      <c r="CH357" s="24" t="n"/>
      <c r="CI357" s="24" t="n"/>
      <c r="CJ357" s="24" t="inlineStr">
        <is>
          <t>0.601279</t>
        </is>
      </c>
      <c r="CK357" s="24" t="n"/>
      <c r="CL357" s="24" t="inlineStr">
        <is>
          <t>0.177141</t>
        </is>
      </c>
      <c r="CM357" s="24" t="inlineStr">
        <is>
          <t>-3.4252</t>
        </is>
      </c>
      <c r="CN357" s="24" t="n"/>
      <c r="CO357" s="24" t="n"/>
      <c r="CP357" s="24" t="n"/>
      <c r="CQ357" s="24" t="n"/>
      <c r="CR357" s="24" t="inlineStr">
        <is>
          <t>0.519238</t>
        </is>
      </c>
      <c r="CS357" s="24" t="inlineStr">
        <is>
          <t>True</t>
        </is>
      </c>
    </row>
    <row r="358" ht="36" customHeight="1">
      <c r="A358" s="24" t="inlineStr">
        <is>
          <t>463d0cd9fcca4c6c</t>
        </is>
      </c>
      <c r="B358" s="24" t="inlineStr">
        <is>
          <t>2026-08-10T16:34:47.251195Z</t>
        </is>
      </c>
      <c r="C358" s="24" t="inlineStr">
        <is>
          <t>2026-08-10T21:38:00-0400</t>
        </is>
      </c>
      <c r="D358" s="24" t="inlineStr">
        <is>
          <t>401816478</t>
        </is>
      </c>
      <c r="E358" s="24" t="inlineStr">
        <is>
          <t>MLB</t>
        </is>
      </c>
      <c r="F358" s="24" t="inlineStr">
        <is>
          <t>Texas Rangers</t>
        </is>
      </c>
      <c r="G358" s="24" t="inlineStr">
        <is>
          <t>Los Angeles Angels</t>
        </is>
      </c>
      <c r="H358" s="24" t="inlineStr">
        <is>
          <t>moneyline</t>
        </is>
      </c>
      <c r="I358" s="24" t="inlineStr">
        <is>
          <t>away</t>
        </is>
      </c>
      <c r="J358" s="25" t="n"/>
      <c r="K358" s="24" t="inlineStr">
        <is>
          <t>polymarket_us</t>
        </is>
      </c>
      <c r="L358" s="26" t="n">
        <v>-106</v>
      </c>
      <c r="M358" s="27" t="n">
        <v>1.943396</v>
      </c>
      <c r="N358" s="28" t="n">
        <v>0.514563</v>
      </c>
      <c r="O358" s="28" t="n">
        <v>0.514748</v>
      </c>
      <c r="P358" s="28" t="n"/>
      <c r="Q358" s="28" t="n">
        <v>0.000185</v>
      </c>
      <c r="R358" s="26" t="n">
        <v>21</v>
      </c>
      <c r="S358" s="29" t="n">
        <v>0</v>
      </c>
      <c r="T358" s="24" t="inlineStr">
        <is>
          <t>mlb-elo-trend-lr-v8</t>
        </is>
      </c>
      <c r="U358" s="24" t="inlineStr">
        <is>
          <t>settled</t>
        </is>
      </c>
      <c r="V358" s="24" t="inlineStr">
        <is>
          <t>win</t>
        </is>
      </c>
      <c r="W358" s="26" t="n">
        <v>4</v>
      </c>
      <c r="X358" s="26" t="n">
        <v>1</v>
      </c>
      <c r="Y358" s="25" t="n"/>
      <c r="Z358" s="26" t="n">
        <v>-106</v>
      </c>
      <c r="AA358" s="28" t="n">
        <v>0.515</v>
      </c>
      <c r="AB358" s="28" t="n">
        <v>0.000437</v>
      </c>
      <c r="AC358" s="30" t="n">
        <v>0</v>
      </c>
      <c r="AD358" s="24" t="inlineStr">
        <is>
          <t>2026-08-11T13:06:23.577013Z</t>
        </is>
      </c>
      <c r="AE358" s="31" t="inlineStr">
        <is>
          <t>Learned LR call at threshold 0.6197; executable ask 0.5150 (aec-mlb-tex-laa-2026-08-10); model edge vs ask -0.0003.</t>
        </is>
      </c>
      <c r="AF358" s="31" t="inlineStr">
        <is>
          <t>Learned model; shadow-qualified via operator override.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research_observation</t>
        </is>
      </c>
      <c r="AL358" s="26" t="n">
        <v>3</v>
      </c>
      <c r="AM358" s="24" t="inlineStr">
        <is>
          <t>RESEARCH_OBSERVATION</t>
        </is>
      </c>
      <c r="AN358" s="24" t="inlineStr">
        <is>
          <t>NO_CALL</t>
        </is>
      </c>
      <c r="AO358" s="24" t="inlineStr">
        <is>
          <t>NO_CALL_BELOW_LEARNED_CONFIDENCE</t>
        </is>
      </c>
      <c r="AP358" s="24" t="inlineStr">
        <is>
          <t>mlb-tex</t>
        </is>
      </c>
      <c r="AQ358" s="24" t="inlineStr">
        <is>
          <t>Texas Rangers</t>
        </is>
      </c>
      <c r="AR358" s="24" t="inlineStr">
        <is>
          <t>Texas Rangers</t>
        </is>
      </c>
      <c r="AS358" s="24" t="inlineStr">
        <is>
          <t>mlb-laa</t>
        </is>
      </c>
      <c r="AT358" s="24" t="inlineStr">
        <is>
          <t>Los Angeles Angels</t>
        </is>
      </c>
      <c r="AU358" s="24" t="inlineStr">
        <is>
          <t>Los Angeles Angels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3b345499bd6bad9bcf65367a07fe0c668fb5817d4f016a0a865c01d9212fdeb8</t>
        </is>
      </c>
      <c r="BB358" s="24" t="inlineStr">
        <is>
          <t>learned_lr</t>
        </is>
      </c>
      <c r="BC358" s="24" t="inlineStr">
        <is>
          <t>mlb-elo-trend-lr-v8</t>
        </is>
      </c>
      <c r="BD358" s="24" t="inlineStr">
        <is>
          <t>3b345499bd6bad9bcf65367a07fe0c668fb5817d4f016a0a865c01d9212fdeb8</t>
        </is>
      </c>
      <c r="BE358" s="24" t="inlineStr">
        <is>
          <t>f3580953366d2c92</t>
        </is>
      </c>
      <c r="BF358" s="24" t="inlineStr">
        <is>
          <t>1</t>
        </is>
      </c>
      <c r="BG358" s="24" t="inlineStr">
        <is>
          <t>mlb-elo-trend-lr-v8</t>
        </is>
      </c>
      <c r="BH358" s="24" t="inlineStr">
        <is>
          <t>2026-08-10T16:34:10.274997Z</t>
        </is>
      </c>
      <c r="BI358" s="24" t="inlineStr">
        <is>
          <t>["same_event","same_team_same_day","same_league_same_day"]</t>
        </is>
      </c>
      <c r="BJ358" s="25" t="n"/>
      <c r="BK358" s="26" t="n">
        <v>-106</v>
      </c>
      <c r="BL358" s="27" t="n">
        <v>1.943396</v>
      </c>
      <c r="BM358" s="28" t="n">
        <v>0.514563</v>
      </c>
      <c r="BN358" s="28" t="n">
        <v>0.5124379999999999</v>
      </c>
      <c r="BO358" s="28" t="n"/>
      <c r="BP358" s="25" t="n"/>
      <c r="BQ358" s="27" t="n">
        <v>1.943396</v>
      </c>
      <c r="BR358" s="28" t="n">
        <v>0.515</v>
      </c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inlineStr">
        <is>
          <t>0.4582291828</t>
        </is>
      </c>
      <c r="CD358" s="24" t="inlineStr">
        <is>
          <t>-0.978894</t>
        </is>
      </c>
      <c r="CE358" s="24" t="inlineStr">
        <is>
          <t>1.01</t>
        </is>
      </c>
      <c r="CF358" s="24" t="inlineStr">
        <is>
          <t>1.0049</t>
        </is>
      </c>
      <c r="CG358" s="24" t="n"/>
      <c r="CH358" s="24" t="n"/>
      <c r="CI358" s="24" t="n"/>
      <c r="CJ358" s="24" t="inlineStr">
        <is>
          <t>-1.507588</t>
        </is>
      </c>
      <c r="CK358" s="24" t="n"/>
      <c r="CL358" s="24" t="inlineStr">
        <is>
          <t>0.005227</t>
        </is>
      </c>
      <c r="CM358" s="24" t="inlineStr">
        <is>
          <t>-0.8387</t>
        </is>
      </c>
      <c r="CN358" s="24" t="n"/>
      <c r="CO358" s="24" t="n"/>
      <c r="CP358" s="24" t="n"/>
      <c r="CQ358" s="24" t="n"/>
      <c r="CR358" s="24" t="inlineStr">
        <is>
          <t>0.514748</t>
        </is>
      </c>
      <c r="CS358" s="24" t="inlineStr">
        <is>
          <t>True</t>
        </is>
      </c>
    </row>
    <row r="359" ht="36" customHeight="1">
      <c r="A359" s="24" t="inlineStr">
        <is>
          <t>92755c5e0dc24f80</t>
        </is>
      </c>
      <c r="B359" s="24" t="inlineStr">
        <is>
          <t>2026-08-10T16:34:47.251195Z</t>
        </is>
      </c>
      <c r="C359" s="24" t="inlineStr">
        <is>
          <t>2026-08-10T21:40:00-0400</t>
        </is>
      </c>
      <c r="D359" s="24" t="inlineStr">
        <is>
          <t>401816473</t>
        </is>
      </c>
      <c r="E359" s="24" t="inlineStr">
        <is>
          <t>MLB</t>
        </is>
      </c>
      <c r="F359" s="24" t="inlineStr">
        <is>
          <t>Colorado Rockies</t>
        </is>
      </c>
      <c r="G359" s="24" t="inlineStr">
        <is>
          <t>Arizona Diamondbacks</t>
        </is>
      </c>
      <c r="H359" s="24" t="inlineStr">
        <is>
          <t>moneyline</t>
        </is>
      </c>
      <c r="I359" s="24" t="inlineStr">
        <is>
          <t>home</t>
        </is>
      </c>
      <c r="J359" s="25" t="n"/>
      <c r="K359" s="24" t="inlineStr">
        <is>
          <t>polymarket_us</t>
        </is>
      </c>
      <c r="L359" s="26" t="n">
        <v>-186</v>
      </c>
      <c r="M359" s="27" t="n">
        <v>1.537634</v>
      </c>
      <c r="N359" s="28" t="n">
        <v>0.65035</v>
      </c>
      <c r="O359" s="28" t="n">
        <v>0.651088</v>
      </c>
      <c r="P359" s="28" t="n"/>
      <c r="Q359" s="28" t="n">
        <v>0.000738</v>
      </c>
      <c r="R359" s="26" t="n">
        <v>22</v>
      </c>
      <c r="S359" s="29" t="n">
        <v>1.75</v>
      </c>
      <c r="T359" s="24" t="inlineStr">
        <is>
          <t>mlb-elo-trend-lr-v8</t>
        </is>
      </c>
      <c r="U359" s="24" t="inlineStr">
        <is>
          <t>settled</t>
        </is>
      </c>
      <c r="V359" s="24" t="inlineStr">
        <is>
          <t>win</t>
        </is>
      </c>
      <c r="W359" s="26" t="n">
        <v>0</v>
      </c>
      <c r="X359" s="26" t="n">
        <v>9</v>
      </c>
      <c r="Y359" s="25" t="n"/>
      <c r="Z359" s="26" t="n">
        <v>-186</v>
      </c>
      <c r="AA359" s="28" t="n">
        <v>0.65</v>
      </c>
      <c r="AB359" s="28" t="n">
        <v>-0.00035</v>
      </c>
      <c r="AC359" s="30" t="n">
        <v>0.9409</v>
      </c>
      <c r="AD359" s="24" t="inlineStr">
        <is>
          <t>2026-08-11T13:06:25.083618Z</t>
        </is>
      </c>
      <c r="AE359" s="31" t="inlineStr">
        <is>
          <t>Learned LR call at threshold 0.6197; executable ask 0.6500 (aec-mlb-col-az-2026-08-10); model edge vs ask +0.0011.</t>
        </is>
      </c>
      <c r="AF359" s="31" t="inlineStr">
        <is>
          <t>Learned model; shadow-qualified via operator override.</t>
        </is>
      </c>
      <c r="AG359" s="24" t="inlineStr">
        <is>
          <t>not_applicable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3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mlb-col</t>
        </is>
      </c>
      <c r="AQ359" s="24" t="inlineStr">
        <is>
          <t>Colorado Rockies</t>
        </is>
      </c>
      <c r="AR359" s="24" t="inlineStr">
        <is>
          <t>Colorado Rockies</t>
        </is>
      </c>
      <c r="AS359" s="24" t="inlineStr">
        <is>
          <t>mlb-ari</t>
        </is>
      </c>
      <c r="AT359" s="24" t="inlineStr">
        <is>
          <t>Arizona Diamondbacks</t>
        </is>
      </c>
      <c r="AU359" s="24" t="inlineStr">
        <is>
          <t>Arizona Diamondbacks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3b345499bd6bad9bcf65367a07fe0c668fb5817d4f016a0a865c01d9212fdeb8</t>
        </is>
      </c>
      <c r="BB359" s="24" t="inlineStr">
        <is>
          <t>learned_lr</t>
        </is>
      </c>
      <c r="BC359" s="24" t="inlineStr">
        <is>
          <t>mlb-elo-trend-lr-v8</t>
        </is>
      </c>
      <c r="BD359" s="24" t="inlineStr">
        <is>
          <t>3b345499bd6bad9bcf65367a07fe0c668fb5817d4f016a0a865c01d9212fdeb8</t>
        </is>
      </c>
      <c r="BE359" s="24" t="inlineStr">
        <is>
          <t>b4a698ea92aeb5d0</t>
        </is>
      </c>
      <c r="BF359" s="24" t="inlineStr">
        <is>
          <t>1</t>
        </is>
      </c>
      <c r="BG359" s="24" t="inlineStr">
        <is>
          <t>mlb-elo-trend-lr-v8</t>
        </is>
      </c>
      <c r="BH359" s="24" t="inlineStr">
        <is>
          <t>2026-08-10T16:34:11.790019Z</t>
        </is>
      </c>
      <c r="BI359" s="24" t="inlineStr">
        <is>
          <t>["same_event","same_team_same_day","same_league_same_day"]</t>
        </is>
      </c>
      <c r="BJ359" s="25" t="n"/>
      <c r="BK359" s="26" t="n">
        <v>-186</v>
      </c>
      <c r="BL359" s="27" t="n">
        <v>1.537634</v>
      </c>
      <c r="BM359" s="28" t="n">
        <v>0.65035</v>
      </c>
      <c r="BN359" s="28" t="n">
        <v>0.646766</v>
      </c>
      <c r="BO359" s="28" t="n"/>
      <c r="BP359" s="25" t="n"/>
      <c r="BQ359" s="27" t="n">
        <v>1.537634</v>
      </c>
      <c r="BR359" s="28" t="n">
        <v>0.65</v>
      </c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inlineStr">
        <is>
          <t>0.6941730683</t>
        </is>
      </c>
      <c r="CD359" s="24" t="inlineStr">
        <is>
          <t>-0.291055</t>
        </is>
      </c>
      <c r="CE359" s="24" t="inlineStr">
        <is>
          <t>1.097</t>
        </is>
      </c>
      <c r="CF359" s="24" t="inlineStr">
        <is>
          <t>1.0</t>
        </is>
      </c>
      <c r="CG359" s="24" t="n"/>
      <c r="CH359" s="24" t="n"/>
      <c r="CI359" s="24" t="n"/>
      <c r="CJ359" s="24" t="inlineStr">
        <is>
          <t>1.199176</t>
        </is>
      </c>
      <c r="CK359" s="24" t="n"/>
      <c r="CL359" s="24" t="inlineStr">
        <is>
          <t>0.159831</t>
        </is>
      </c>
      <c r="CM359" s="24" t="inlineStr">
        <is>
          <t>-2.7333</t>
        </is>
      </c>
      <c r="CN359" s="24" t="n"/>
      <c r="CO359" s="24" t="n"/>
      <c r="CP359" s="24" t="n"/>
      <c r="CQ359" s="24" t="n"/>
      <c r="CR359" s="24" t="inlineStr">
        <is>
          <t>0.651088</t>
        </is>
      </c>
      <c r="CS359" s="24" t="inlineStr">
        <is>
          <t>True</t>
        </is>
      </c>
    </row>
    <row r="360" ht="36" customHeight="1">
      <c r="A360" s="24" t="inlineStr">
        <is>
          <t>ef46fed6ccca4985</t>
        </is>
      </c>
      <c r="B360" s="24" t="inlineStr">
        <is>
          <t>2026-08-10T16:34:47.251195Z</t>
        </is>
      </c>
      <c r="C360" s="24" t="inlineStr">
        <is>
          <t>2026-08-10T21:40:00-0400</t>
        </is>
      </c>
      <c r="D360" s="24" t="inlineStr">
        <is>
          <t>401816476</t>
        </is>
      </c>
      <c r="E360" s="24" t="inlineStr">
        <is>
          <t>MLB</t>
        </is>
      </c>
      <c r="F360" s="24" t="inlineStr">
        <is>
          <t>Milwaukee Brewers</t>
        </is>
      </c>
      <c r="G360" s="24" t="inlineStr">
        <is>
          <t>San Diego Padres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polymarket_us</t>
        </is>
      </c>
      <c r="L360" s="26" t="n">
        <v>-111</v>
      </c>
      <c r="M360" s="27" t="n">
        <v>1.900901</v>
      </c>
      <c r="N360" s="28" t="n">
        <v>0.526066</v>
      </c>
      <c r="O360" s="28" t="n">
        <v>0.515225</v>
      </c>
      <c r="P360" s="28" t="n"/>
      <c r="Q360" s="28" t="n">
        <v>-0.010841</v>
      </c>
      <c r="R360" s="26" t="n">
        <v>16</v>
      </c>
      <c r="S360" s="29" t="n">
        <v>0</v>
      </c>
      <c r="T360" s="24" t="inlineStr">
        <is>
          <t>mlb-elo-trend-lr-v8</t>
        </is>
      </c>
      <c r="U360" s="24" t="inlineStr">
        <is>
          <t>settled</t>
        </is>
      </c>
      <c r="V360" s="24" t="inlineStr">
        <is>
          <t>loss</t>
        </is>
      </c>
      <c r="W360" s="26" t="n">
        <v>2</v>
      </c>
      <c r="X360" s="26" t="n">
        <v>3</v>
      </c>
      <c r="Y360" s="25" t="n"/>
      <c r="Z360" s="26" t="n">
        <v>-111</v>
      </c>
      <c r="AA360" s="28" t="n">
        <v>0.525</v>
      </c>
      <c r="AB360" s="28" t="n">
        <v>-0.001066</v>
      </c>
      <c r="AC360" s="30" t="n">
        <v>0</v>
      </c>
      <c r="AD360" s="24" t="inlineStr">
        <is>
          <t>2026-08-11T13:06:26.613101Z</t>
        </is>
      </c>
      <c r="AE360" s="31" t="inlineStr">
        <is>
          <t>Learned LR call at threshold 0.6197; executable ask 0.5250 (aec-mlb-mil-sd-2026-08-10); model edge vs ask -0.0098.</t>
        </is>
      </c>
      <c r="AF360" s="31" t="inlineStr">
        <is>
          <t>Learned model; shadow-qualified via operator override.</t>
        </is>
      </c>
      <c r="AG360" s="24" t="inlineStr">
        <is>
          <t>review_required</t>
        </is>
      </c>
      <c r="AH360" s="24" t="n"/>
      <c r="AI360" s="31" t="n"/>
      <c r="AJ360" s="31" t="n"/>
      <c r="AK360" s="24" t="inlineStr">
        <is>
          <t>research_observation</t>
        </is>
      </c>
      <c r="AL360" s="26" t="n">
        <v>3</v>
      </c>
      <c r="AM360" s="24" t="inlineStr">
        <is>
          <t>RESEARCH_OBSERVATION</t>
        </is>
      </c>
      <c r="AN360" s="24" t="inlineStr">
        <is>
          <t>NO_CALL</t>
        </is>
      </c>
      <c r="AO360" s="24" t="inlineStr">
        <is>
          <t>NO_CALL_BELOW_LEARNED_CONFIDENCE</t>
        </is>
      </c>
      <c r="AP360" s="24" t="inlineStr">
        <is>
          <t>mlb-mil</t>
        </is>
      </c>
      <c r="AQ360" s="24" t="inlineStr">
        <is>
          <t>Milwaukee Brewers</t>
        </is>
      </c>
      <c r="AR360" s="24" t="inlineStr">
        <is>
          <t>Milwaukee Brewers</t>
        </is>
      </c>
      <c r="AS360" s="24" t="inlineStr">
        <is>
          <t>mlb-sd</t>
        </is>
      </c>
      <c r="AT360" s="24" t="inlineStr">
        <is>
          <t>San Diego Padres</t>
        </is>
      </c>
      <c r="AU360" s="24" t="inlineStr">
        <is>
          <t>San Diego Padres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3b345499bd6bad9bcf65367a07fe0c668fb5817d4f016a0a865c01d9212fdeb8</t>
        </is>
      </c>
      <c r="BB360" s="24" t="inlineStr">
        <is>
          <t>learned_lr</t>
        </is>
      </c>
      <c r="BC360" s="24" t="inlineStr">
        <is>
          <t>mlb-elo-trend-lr-v8</t>
        </is>
      </c>
      <c r="BD360" s="24" t="inlineStr">
        <is>
          <t>3b345499bd6bad9bcf65367a07fe0c668fb5817d4f016a0a865c01d9212fdeb8</t>
        </is>
      </c>
      <c r="BE360" s="24" t="inlineStr">
        <is>
          <t>7102e05308173694</t>
        </is>
      </c>
      <c r="BF360" s="24" t="inlineStr">
        <is>
          <t>1</t>
        </is>
      </c>
      <c r="BG360" s="24" t="inlineStr">
        <is>
          <t>mlb-elo-trend-lr-v8</t>
        </is>
      </c>
      <c r="BH360" s="24" t="inlineStr">
        <is>
          <t>2026-08-10T16:34:12.160259Z</t>
        </is>
      </c>
      <c r="BI360" s="24" t="inlineStr">
        <is>
          <t>["same_event","same_team_same_day","same_league_same_day"]</t>
        </is>
      </c>
      <c r="BJ360" s="25" t="n"/>
      <c r="BK360" s="26" t="n">
        <v>-111</v>
      </c>
      <c r="BL360" s="27" t="n">
        <v>1.900901</v>
      </c>
      <c r="BM360" s="28" t="n">
        <v>0.526066</v>
      </c>
      <c r="BN360" s="28" t="n">
        <v>0.522388</v>
      </c>
      <c r="BO360" s="28" t="n"/>
      <c r="BP360" s="25" t="n"/>
      <c r="BQ360" s="27" t="n">
        <v>1.900901</v>
      </c>
      <c r="BR360" s="28" t="n">
        <v>0.525</v>
      </c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inlineStr">
        <is>
          <t>0.457612545</t>
        </is>
      </c>
      <c r="CD360" s="24" t="inlineStr">
        <is>
          <t>0.75762</t>
        </is>
      </c>
      <c r="CE360" s="24" t="inlineStr">
        <is>
          <t>0.945</t>
        </is>
      </c>
      <c r="CF360" s="24" t="inlineStr">
        <is>
          <t>1.0034</t>
        </is>
      </c>
      <c r="CG360" s="24" t="n"/>
      <c r="CH360" s="24" t="n"/>
      <c r="CI360" s="24" t="n"/>
      <c r="CJ360" s="24" t="inlineStr">
        <is>
          <t>0.719889</t>
        </is>
      </c>
      <c r="CK360" s="24" t="n"/>
      <c r="CL360" s="24" t="inlineStr">
        <is>
          <t>0.312879</t>
        </is>
      </c>
      <c r="CM360" s="24" t="inlineStr">
        <is>
          <t>2.4538</t>
        </is>
      </c>
      <c r="CN360" s="24" t="n"/>
      <c r="CO360" s="24" t="n"/>
      <c r="CP360" s="24" t="n"/>
      <c r="CQ360" s="24" t="n"/>
      <c r="CR360" s="24" t="inlineStr">
        <is>
          <t>0.515225</t>
        </is>
      </c>
      <c r="CS360" s="24" t="inlineStr">
        <is>
          <t>False</t>
        </is>
      </c>
    </row>
    <row r="361" ht="36" customHeight="1">
      <c r="A361" s="24" t="inlineStr">
        <is>
          <t>2d59680d02aa4835</t>
        </is>
      </c>
      <c r="B361" s="24" t="inlineStr">
        <is>
          <t>2026-08-10T16:34:47.251195Z</t>
        </is>
      </c>
      <c r="C361" s="24" t="inlineStr">
        <is>
          <t>2026-08-10T21:40:00-0400</t>
        </is>
      </c>
      <c r="D361" s="24" t="inlineStr">
        <is>
          <t>401816477</t>
        </is>
      </c>
      <c r="E361" s="24" t="inlineStr">
        <is>
          <t>MLB</t>
        </is>
      </c>
      <c r="F361" s="24" t="inlineStr">
        <is>
          <t>Tampa Bay Rays</t>
        </is>
      </c>
      <c r="G361" s="24" t="inlineStr">
        <is>
          <t>Athletics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polymarket_us</t>
        </is>
      </c>
      <c r="L361" s="26" t="n">
        <v>-150</v>
      </c>
      <c r="M361" s="27" t="n">
        <v>1.666667</v>
      </c>
      <c r="N361" s="28" t="n">
        <v>0.6</v>
      </c>
      <c r="O361" s="28" t="n">
        <v>0.592719</v>
      </c>
      <c r="P361" s="28" t="n"/>
      <c r="Q361" s="28" t="n">
        <v>-0.007281</v>
      </c>
      <c r="R361" s="26" t="n">
        <v>18</v>
      </c>
      <c r="S361" s="29" t="n">
        <v>0</v>
      </c>
      <c r="T361" s="24" t="inlineStr">
        <is>
          <t>mlb-elo-trend-lr-v8</t>
        </is>
      </c>
      <c r="U361" s="24" t="inlineStr">
        <is>
          <t>settled</t>
        </is>
      </c>
      <c r="V361" s="24" t="inlineStr">
        <is>
          <t>win</t>
        </is>
      </c>
      <c r="W361" s="26" t="n">
        <v>10</v>
      </c>
      <c r="X361" s="26" t="n">
        <v>6</v>
      </c>
      <c r="Y361" s="25" t="n"/>
      <c r="Z361" s="26" t="n">
        <v>-150</v>
      </c>
      <c r="AA361" s="28" t="n">
        <v>0.6</v>
      </c>
      <c r="AB361" s="28" t="n">
        <v>0</v>
      </c>
      <c r="AC361" s="30" t="n">
        <v>0</v>
      </c>
      <c r="AD361" s="24" t="inlineStr">
        <is>
          <t>2026-08-11T13:06:28.131044Z</t>
        </is>
      </c>
      <c r="AE361" s="31" t="inlineStr">
        <is>
          <t>Learned LR call at threshold 0.6197; executable ask 0.6000 (aec-mlb-tb-ath-2026-08-10); model edge vs ask -0.0073.</t>
        </is>
      </c>
      <c r="AF361" s="31" t="inlineStr">
        <is>
          <t>Learned model; shadow-qualified via operator override.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research_observation</t>
        </is>
      </c>
      <c r="AL361" s="26" t="n">
        <v>3</v>
      </c>
      <c r="AM361" s="24" t="inlineStr">
        <is>
          <t>RESEARCH_OBSERVATION</t>
        </is>
      </c>
      <c r="AN361" s="24" t="inlineStr">
        <is>
          <t>NO_CALL</t>
        </is>
      </c>
      <c r="AO361" s="24" t="inlineStr">
        <is>
          <t>NO_CALL_BELOW_LEARNED_CONFIDENCE</t>
        </is>
      </c>
      <c r="AP361" s="24" t="inlineStr">
        <is>
          <t>mlb-tb</t>
        </is>
      </c>
      <c r="AQ361" s="24" t="inlineStr">
        <is>
          <t>Tampa Bay Rays</t>
        </is>
      </c>
      <c r="AR361" s="24" t="inlineStr">
        <is>
          <t>Tampa Bay Rays</t>
        </is>
      </c>
      <c r="AS361" s="24" t="inlineStr">
        <is>
          <t>mlb-ath</t>
        </is>
      </c>
      <c r="AT361" s="24" t="inlineStr">
        <is>
          <t>Athletics</t>
        </is>
      </c>
      <c r="AU361" s="24" t="inlineStr">
        <is>
          <t>Athletics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3b345499bd6bad9bcf65367a07fe0c668fb5817d4f016a0a865c01d9212fdeb8</t>
        </is>
      </c>
      <c r="BB361" s="24" t="inlineStr">
        <is>
          <t>learned_lr</t>
        </is>
      </c>
      <c r="BC361" s="24" t="inlineStr">
        <is>
          <t>mlb-elo-trend-lr-v8</t>
        </is>
      </c>
      <c r="BD361" s="24" t="inlineStr">
        <is>
          <t>3b345499bd6bad9bcf65367a07fe0c668fb5817d4f016a0a865c01d9212fdeb8</t>
        </is>
      </c>
      <c r="BE361" s="24" t="inlineStr">
        <is>
          <t>e6a8341cfabe4d9c</t>
        </is>
      </c>
      <c r="BF361" s="24" t="inlineStr">
        <is>
          <t>1</t>
        </is>
      </c>
      <c r="BG361" s="24" t="inlineStr">
        <is>
          <t>mlb-elo-trend-lr-v8</t>
        </is>
      </c>
      <c r="BH361" s="24" t="inlineStr">
        <is>
          <t>2026-08-10T16:34:10.792677Z</t>
        </is>
      </c>
      <c r="BI361" s="24" t="inlineStr">
        <is>
          <t>["same_event","same_team_same_day","same_league_same_day"]</t>
        </is>
      </c>
      <c r="BJ361" s="25" t="n"/>
      <c r="BK361" s="26" t="n">
        <v>-150</v>
      </c>
      <c r="BL361" s="27" t="n">
        <v>1.666667</v>
      </c>
      <c r="BM361" s="28" t="n">
        <v>0.6</v>
      </c>
      <c r="BN361" s="28" t="n">
        <v>0.597015</v>
      </c>
      <c r="BO361" s="28" t="n"/>
      <c r="BP361" s="25" t="n"/>
      <c r="BQ361" s="27" t="n">
        <v>1.666667</v>
      </c>
      <c r="BR361" s="28" t="n">
        <v>0.6</v>
      </c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inlineStr">
        <is>
          <t>0.4112307727</t>
        </is>
      </c>
      <c r="CD361" s="24" t="inlineStr">
        <is>
          <t>-0.095817</t>
        </is>
      </c>
      <c r="CE361" s="24" t="inlineStr">
        <is>
          <t>1.153</t>
        </is>
      </c>
      <c r="CF361" s="24" t="inlineStr">
        <is>
          <t>1.0174</t>
        </is>
      </c>
      <c r="CG361" s="24" t="n"/>
      <c r="CH361" s="24" t="n"/>
      <c r="CI361" s="24" t="n"/>
      <c r="CJ361" s="24" t="inlineStr">
        <is>
          <t>-0.032045</t>
        </is>
      </c>
      <c r="CK361" s="24" t="n"/>
      <c r="CL361" s="24" t="inlineStr">
        <is>
          <t>0.244647</t>
        </is>
      </c>
      <c r="CM361" s="24" t="inlineStr">
        <is>
          <t>2.0552</t>
        </is>
      </c>
      <c r="CN361" s="24" t="n"/>
      <c r="CO361" s="24" t="n"/>
      <c r="CP361" s="24" t="n"/>
      <c r="CQ361" s="24" t="n"/>
      <c r="CR361" s="24" t="inlineStr">
        <is>
          <t>0.592719</t>
        </is>
      </c>
      <c r="CS361" s="24" t="inlineStr">
        <is>
          <t>False</t>
        </is>
      </c>
    </row>
    <row r="362" ht="36" customHeight="1">
      <c r="A362" s="24" t="inlineStr">
        <is>
          <t>0dd3ab0ce29b4132</t>
        </is>
      </c>
      <c r="B362" s="24" t="inlineStr">
        <is>
          <t>2026-08-10T16:34:47.251195Z</t>
        </is>
      </c>
      <c r="C362" s="24" t="inlineStr">
        <is>
          <t>2026-08-10T21:45:00-0400</t>
        </is>
      </c>
      <c r="D362" s="24" t="inlineStr">
        <is>
          <t>401816474</t>
        </is>
      </c>
      <c r="E362" s="24" t="inlineStr">
        <is>
          <t>MLB</t>
        </is>
      </c>
      <c r="F362" s="24" t="inlineStr">
        <is>
          <t>Houston Astros</t>
        </is>
      </c>
      <c r="G362" s="24" t="inlineStr">
        <is>
          <t>San Francisco Giants</t>
        </is>
      </c>
      <c r="H362" s="24" t="inlineStr">
        <is>
          <t>moneyline</t>
        </is>
      </c>
      <c r="I362" s="24" t="inlineStr">
        <is>
          <t>home</t>
        </is>
      </c>
      <c r="J362" s="25" t="n"/>
      <c r="K362" s="24" t="inlineStr">
        <is>
          <t>polymarket_us</t>
        </is>
      </c>
      <c r="L362" s="26" t="n">
        <v>135</v>
      </c>
      <c r="M362" s="27" t="n">
        <v>2.35</v>
      </c>
      <c r="N362" s="28" t="n">
        <v>0.425532</v>
      </c>
      <c r="O362" s="28" t="n">
        <v>0.51644</v>
      </c>
      <c r="P362" s="28" t="n"/>
      <c r="Q362" s="28" t="n">
        <v>0.090908</v>
      </c>
      <c r="R362" s="26" t="n">
        <v>67</v>
      </c>
      <c r="S362" s="29" t="n">
        <v>0</v>
      </c>
      <c r="T362" s="24" t="inlineStr">
        <is>
          <t>mlb-elo-trend-lr-v8</t>
        </is>
      </c>
      <c r="U362" s="24" t="inlineStr">
        <is>
          <t>settled</t>
        </is>
      </c>
      <c r="V362" s="24" t="inlineStr">
        <is>
          <t>loss</t>
        </is>
      </c>
      <c r="W362" s="26" t="n">
        <v>6</v>
      </c>
      <c r="X362" s="26" t="n">
        <v>3</v>
      </c>
      <c r="Y362" s="25" t="n"/>
      <c r="Z362" s="26" t="n">
        <v>135</v>
      </c>
      <c r="AA362" s="28" t="n">
        <v>0.425</v>
      </c>
      <c r="AB362" s="28" t="n">
        <v>-0.000532</v>
      </c>
      <c r="AC362" s="30" t="n">
        <v>0</v>
      </c>
      <c r="AD362" s="24" t="inlineStr">
        <is>
          <t>2026-08-11T13:06:29.605006Z</t>
        </is>
      </c>
      <c r="AE362" s="31" t="inlineStr">
        <is>
          <t>Learned LR call at threshold 0.6197; executable ask 0.4250 (aec-mlb-hou-sf-2026-08-10); model edge vs ask +0.0914.</t>
        </is>
      </c>
      <c r="AF362" s="31" t="inlineStr">
        <is>
          <t>Learned model; shadow-qualified via operator override.</t>
        </is>
      </c>
      <c r="AG362" s="24" t="inlineStr">
        <is>
          <t>review_required</t>
        </is>
      </c>
      <c r="AH362" s="24" t="n"/>
      <c r="AI362" s="31" t="n"/>
      <c r="AJ362" s="31" t="n"/>
      <c r="AK362" s="24" t="inlineStr">
        <is>
          <t>research_observation</t>
        </is>
      </c>
      <c r="AL362" s="26" t="n">
        <v>3</v>
      </c>
      <c r="AM362" s="24" t="inlineStr">
        <is>
          <t>RESEARCH_OBSERVATION</t>
        </is>
      </c>
      <c r="AN362" s="24" t="inlineStr">
        <is>
          <t>NO_CALL</t>
        </is>
      </c>
      <c r="AO362" s="24" t="inlineStr">
        <is>
          <t>NO_CALL_BELOW_LEARNED_CONFIDENCE</t>
        </is>
      </c>
      <c r="AP362" s="24" t="inlineStr">
        <is>
          <t>mlb-hou</t>
        </is>
      </c>
      <c r="AQ362" s="24" t="inlineStr">
        <is>
          <t>Houston Astros</t>
        </is>
      </c>
      <c r="AR362" s="24" t="inlineStr">
        <is>
          <t>Houston Astros</t>
        </is>
      </c>
      <c r="AS362" s="24" t="inlineStr">
        <is>
          <t>mlb-sf</t>
        </is>
      </c>
      <c r="AT362" s="24" t="inlineStr">
        <is>
          <t>San Francisco Giants</t>
        </is>
      </c>
      <c r="AU362" s="24" t="inlineStr">
        <is>
          <t>San Francisco Giants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3b345499bd6bad9bcf65367a07fe0c668fb5817d4f016a0a865c01d9212fdeb8</t>
        </is>
      </c>
      <c r="BB362" s="24" t="inlineStr">
        <is>
          <t>learned_lr</t>
        </is>
      </c>
      <c r="BC362" s="24" t="inlineStr">
        <is>
          <t>mlb-elo-trend-lr-v8</t>
        </is>
      </c>
      <c r="BD362" s="24" t="inlineStr">
        <is>
          <t>3b345499bd6bad9bcf65367a07fe0c668fb5817d4f016a0a865c01d9212fdeb8</t>
        </is>
      </c>
      <c r="BE362" s="24" t="inlineStr">
        <is>
          <t>59cfc557a6e9b39f</t>
        </is>
      </c>
      <c r="BF362" s="24" t="inlineStr">
        <is>
          <t>1</t>
        </is>
      </c>
      <c r="BG362" s="24" t="inlineStr">
        <is>
          <t>mlb-elo-trend-lr-v8</t>
        </is>
      </c>
      <c r="BH362" s="24" t="inlineStr">
        <is>
          <t>2026-08-10T16:34:12.844651Z</t>
        </is>
      </c>
      <c r="BI362" s="24" t="inlineStr">
        <is>
          <t>["same_event","same_team_same_day","same_league_same_day"]</t>
        </is>
      </c>
      <c r="BJ362" s="25" t="n"/>
      <c r="BK362" s="26" t="n">
        <v>135</v>
      </c>
      <c r="BL362" s="27" t="n">
        <v>2.35</v>
      </c>
      <c r="BM362" s="28" t="n">
        <v>0.425532</v>
      </c>
      <c r="BN362" s="28" t="n">
        <v>0.422886</v>
      </c>
      <c r="BO362" s="28" t="n"/>
      <c r="BP362" s="25" t="n"/>
      <c r="BQ362" s="27" t="n">
        <v>2.35</v>
      </c>
      <c r="BR362" s="28" t="n">
        <v>0.425</v>
      </c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inlineStr">
        <is>
          <t>0.4959557423</t>
        </is>
      </c>
      <c r="CD362" s="24" t="inlineStr">
        <is>
          <t>-0.810671</t>
        </is>
      </c>
      <c r="CE362" s="24" t="inlineStr">
        <is>
          <t>0.98</t>
        </is>
      </c>
      <c r="CF362" s="24" t="inlineStr">
        <is>
          <t>0.995</t>
        </is>
      </c>
      <c r="CG362" s="24" t="n"/>
      <c r="CH362" s="24" t="n"/>
      <c r="CI362" s="24" t="n"/>
      <c r="CJ362" s="24" t="inlineStr">
        <is>
          <t>-0.607006</t>
        </is>
      </c>
      <c r="CK362" s="24" t="n"/>
      <c r="CL362" s="24" t="inlineStr">
        <is>
          <t>0.356904</t>
        </is>
      </c>
      <c r="CM362" s="24" t="inlineStr">
        <is>
          <t>2.7973</t>
        </is>
      </c>
      <c r="CN362" s="24" t="n"/>
      <c r="CO362" s="24" t="n"/>
      <c r="CP362" s="24" t="n"/>
      <c r="CQ362" s="24" t="n"/>
      <c r="CR362" s="24" t="inlineStr">
        <is>
          <t>0.51644</t>
        </is>
      </c>
      <c r="CS362" s="24" t="inlineStr">
        <is>
          <t>True</t>
        </is>
      </c>
    </row>
    <row r="363" ht="36" customHeight="1">
      <c r="A363" s="24" t="inlineStr">
        <is>
          <t>3629f708231d4c2a</t>
        </is>
      </c>
      <c r="B363" s="24" t="inlineStr">
        <is>
          <t>2026-08-10T16:34:47.251195Z</t>
        </is>
      </c>
      <c r="C363" s="24" t="inlineStr">
        <is>
          <t>2026-08-10T22:10:00-0400</t>
        </is>
      </c>
      <c r="D363" s="24" t="inlineStr">
        <is>
          <t>401816475</t>
        </is>
      </c>
      <c r="E363" s="24" t="inlineStr">
        <is>
          <t>MLB</t>
        </is>
      </c>
      <c r="F363" s="24" t="inlineStr">
        <is>
          <t>Kansas City Royals</t>
        </is>
      </c>
      <c r="G363" s="24" t="inlineStr">
        <is>
          <t>Los Angeles Dodgers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polymarket_us</t>
        </is>
      </c>
      <c r="L363" s="26" t="n">
        <v>-251</v>
      </c>
      <c r="M363" s="27" t="n">
        <v>1.398406</v>
      </c>
      <c r="N363" s="28" t="n">
        <v>0.7151</v>
      </c>
      <c r="O363" s="28" t="n">
        <v>0.634885</v>
      </c>
      <c r="P363" s="28" t="n"/>
      <c r="Q363" s="28" t="n">
        <v>-0.08021499999999999</v>
      </c>
      <c r="R363" s="26" t="n">
        <v>0</v>
      </c>
      <c r="S363" s="29" t="n">
        <v>1.5</v>
      </c>
      <c r="T363" s="24" t="inlineStr">
        <is>
          <t>mlb-elo-trend-lr-v8</t>
        </is>
      </c>
      <c r="U363" s="24" t="inlineStr">
        <is>
          <t>settled</t>
        </is>
      </c>
      <c r="V363" s="24" t="inlineStr">
        <is>
          <t>win</t>
        </is>
      </c>
      <c r="W363" s="26" t="n">
        <v>5</v>
      </c>
      <c r="X363" s="26" t="n">
        <v>6</v>
      </c>
      <c r="Y363" s="25" t="n"/>
      <c r="Z363" s="26" t="n">
        <v>-251</v>
      </c>
      <c r="AA363" s="28" t="n">
        <v>0.715</v>
      </c>
      <c r="AB363" s="28" t="n">
        <v>-0.0001</v>
      </c>
      <c r="AC363" s="30" t="n">
        <v>0.5976</v>
      </c>
      <c r="AD363" s="24" t="inlineStr">
        <is>
          <t>2026-08-11T13:06:31.133420Z</t>
        </is>
      </c>
      <c r="AE363" s="31" t="inlineStr">
        <is>
          <t>Learned LR call at threshold 0.6197; executable ask 0.7150 (aec-mlb-kc-lad-2026-08-10); model edge vs ask -0.0801.</t>
        </is>
      </c>
      <c r="AF363" s="31" t="inlineStr">
        <is>
          <t>Learned model; shadow-qualified via operator override.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model_qualified</t>
        </is>
      </c>
      <c r="AL363" s="26" t="n">
        <v>3</v>
      </c>
      <c r="AM363" s="24" t="inlineStr">
        <is>
          <t>QUALIFIED_SHADOW_CALL</t>
        </is>
      </c>
      <c r="AN363" s="24" t="inlineStr">
        <is>
          <t>CALL</t>
        </is>
      </c>
      <c r="AO363" s="24" t="inlineStr">
        <is>
          <t>QUALIFIED</t>
        </is>
      </c>
      <c r="AP363" s="24" t="inlineStr">
        <is>
          <t>mlb-kc</t>
        </is>
      </c>
      <c r="AQ363" s="24" t="inlineStr">
        <is>
          <t>Kansas City Royals</t>
        </is>
      </c>
      <c r="AR363" s="24" t="inlineStr">
        <is>
          <t>Kansas City Royals</t>
        </is>
      </c>
      <c r="AS363" s="24" t="inlineStr">
        <is>
          <t>mlb-lad</t>
        </is>
      </c>
      <c r="AT363" s="24" t="inlineStr">
        <is>
          <t>Los Angeles Dodgers</t>
        </is>
      </c>
      <c r="AU363" s="24" t="inlineStr">
        <is>
          <t>Los Angeles Dodgers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3b345499bd6bad9bcf65367a07fe0c668fb5817d4f016a0a865c01d9212fdeb8</t>
        </is>
      </c>
      <c r="BB363" s="24" t="inlineStr">
        <is>
          <t>learned_lr</t>
        </is>
      </c>
      <c r="BC363" s="24" t="inlineStr">
        <is>
          <t>mlb-elo-trend-lr-v8</t>
        </is>
      </c>
      <c r="BD363" s="24" t="inlineStr">
        <is>
          <t>3b345499bd6bad9bcf65367a07fe0c668fb5817d4f016a0a865c01d9212fdeb8</t>
        </is>
      </c>
      <c r="BE363" s="24" t="inlineStr">
        <is>
          <t>19d07a09c729d869</t>
        </is>
      </c>
      <c r="BF363" s="24" t="inlineStr">
        <is>
          <t>1</t>
        </is>
      </c>
      <c r="BG363" s="24" t="inlineStr">
        <is>
          <t>mlb-elo-trend-lr-v8</t>
        </is>
      </c>
      <c r="BH363" s="24" t="inlineStr">
        <is>
          <t>2026-08-10T16:34:13.862219Z</t>
        </is>
      </c>
      <c r="BI363" s="24" t="inlineStr">
        <is>
          <t>["same_event","same_team_same_day","same_league_same_day"]</t>
        </is>
      </c>
      <c r="BJ363" s="25" t="n"/>
      <c r="BK363" s="26" t="n">
        <v>-251</v>
      </c>
      <c r="BL363" s="27" t="n">
        <v>1.398406</v>
      </c>
      <c r="BM363" s="28" t="n">
        <v>0.7151</v>
      </c>
      <c r="BN363" s="28" t="n">
        <v>0.711443</v>
      </c>
      <c r="BO363" s="28" t="n"/>
      <c r="BP363" s="25" t="n"/>
      <c r="BQ363" s="27" t="n">
        <v>1.398406</v>
      </c>
      <c r="BR363" s="28" t="n">
        <v>0.715</v>
      </c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inlineStr">
        <is>
          <t>0.6689872193</t>
        </is>
      </c>
      <c r="CD363" s="24" t="inlineStr">
        <is>
          <t>-0.660466</t>
        </is>
      </c>
      <c r="CE363" s="24" t="inlineStr">
        <is>
          <t>1.026</t>
        </is>
      </c>
      <c r="CF363" s="24" t="inlineStr">
        <is>
          <t>1.0042</t>
        </is>
      </c>
      <c r="CG363" s="24" t="n"/>
      <c r="CH363" s="24" t="n"/>
      <c r="CI363" s="24" t="n"/>
      <c r="CJ363" s="24" t="inlineStr">
        <is>
          <t>-0.432411</t>
        </is>
      </c>
      <c r="CK363" s="24" t="n"/>
      <c r="CL363" s="24" t="inlineStr">
        <is>
          <t>-0.485019</t>
        </is>
      </c>
      <c r="CM363" s="24" t="inlineStr">
        <is>
          <t>-4.417</t>
        </is>
      </c>
      <c r="CN363" s="24" t="n"/>
      <c r="CO363" s="24" t="n"/>
      <c r="CP363" s="24" t="n"/>
      <c r="CQ363" s="24" t="n"/>
      <c r="CR363" s="24" t="inlineStr">
        <is>
          <t>0.634885</t>
        </is>
      </c>
      <c r="CS363" s="24" t="inlineStr">
        <is>
          <t>False</t>
        </is>
      </c>
    </row>
    <row r="364" ht="36" customHeight="1">
      <c r="A364" s="24" t="inlineStr">
        <is>
          <t>50bfa8e92003483f</t>
        </is>
      </c>
      <c r="B364" s="24" t="inlineStr">
        <is>
          <t>2026-08-10T16:35:10.426686Z</t>
        </is>
      </c>
      <c r="C364" s="24" t="inlineStr">
        <is>
          <t>2026-08-10T23:07Z</t>
        </is>
      </c>
      <c r="D364" s="24" t="inlineStr">
        <is>
          <t>401816469</t>
        </is>
      </c>
      <c r="E364" s="24" t="inlineStr">
        <is>
          <t>MLB</t>
        </is>
      </c>
      <c r="F364" s="24" t="inlineStr">
        <is>
          <t>Boston Red Sox</t>
        </is>
      </c>
      <c r="G364" s="24" t="inlineStr">
        <is>
          <t>Toronto Blue Jays</t>
        </is>
      </c>
      <c r="H364" s="24" t="inlineStr">
        <is>
          <t>spread</t>
        </is>
      </c>
      <c r="I364" s="24" t="inlineStr">
        <is>
          <t>home</t>
        </is>
      </c>
      <c r="J364" s="25" t="n">
        <v>1.5</v>
      </c>
      <c r="K364" s="24" t="inlineStr">
        <is>
          <t>polymarket_us</t>
        </is>
      </c>
      <c r="L364" s="26" t="n">
        <v>-120</v>
      </c>
      <c r="M364" s="27" t="n">
        <v>1.833333</v>
      </c>
      <c r="N364" s="28" t="n">
        <v>0.545455</v>
      </c>
      <c r="O364" s="28" t="n">
        <v>0.557987</v>
      </c>
      <c r="P364" s="28" t="n">
        <v>0.042131</v>
      </c>
      <c r="Q364" s="28" t="n">
        <v>0.012532</v>
      </c>
      <c r="R364" s="26" t="n">
        <v>33</v>
      </c>
      <c r="S364" s="29" t="n">
        <v>1</v>
      </c>
      <c r="T364" s="24" t="inlineStr">
        <is>
          <t>measured-edge-margin-v3</t>
        </is>
      </c>
      <c r="U364" s="24" t="inlineStr">
        <is>
          <t>settled</t>
        </is>
      </c>
      <c r="V364" s="24" t="inlineStr">
        <is>
          <t>win</t>
        </is>
      </c>
      <c r="W364" s="26" t="n">
        <v>1</v>
      </c>
      <c r="X364" s="26" t="n">
        <v>2</v>
      </c>
      <c r="Y364" s="25" t="n">
        <v>1.5</v>
      </c>
      <c r="Z364" s="26" t="n">
        <v>-120</v>
      </c>
      <c r="AA364" s="28" t="n">
        <v>0.545</v>
      </c>
      <c r="AB364" s="28" t="n">
        <v>-0.000455</v>
      </c>
      <c r="AC364" s="30" t="n">
        <v>0.8333</v>
      </c>
      <c r="AD364" s="24" t="inlineStr">
        <is>
          <t>2026-08-11T13:06:34.534053Z</t>
        </is>
      </c>
      <c r="AE364" s="31" t="inlineStr">
        <is>
          <t>Measured Edge Margin: Trend Engine projected 5.15-4.30; raw selected-side p=0.5851, calibrated p=0.5580.</t>
        </is>
      </c>
      <c r="AF364" s="31" t="inlineStr">
        <is>
          <t>Research-only; lineup, bullpen, park, weather, xFIP, and wRC+ may be neutral fallbacks; market availability and BBO depth may change before first pitch.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3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mlb-bos</t>
        </is>
      </c>
      <c r="AQ364" s="24" t="inlineStr">
        <is>
          <t>Boston Red Sox</t>
        </is>
      </c>
      <c r="AR364" s="24" t="inlineStr">
        <is>
          <t>Boston Red Sox</t>
        </is>
      </c>
      <c r="AS364" s="24" t="inlineStr">
        <is>
          <t>mlb-tor</t>
        </is>
      </c>
      <c r="AT364" s="24" t="inlineStr">
        <is>
          <t>Toronto Blue Jays</t>
        </is>
      </c>
      <c r="AU364" s="24" t="inlineStr">
        <is>
          <t>Toronto Blue Jays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research</t>
        </is>
      </c>
      <c r="BA364" s="24" t="inlineStr">
        <is>
          <t>dd339a2eed50d7d83ab2127837995ddab82e879afd27f5414bb6c1f9cd60ba4c</t>
        </is>
      </c>
      <c r="BB364" s="24" t="inlineStr">
        <is>
          <t>flat_probability_shrinkage_toward_half</t>
        </is>
      </c>
      <c r="BC364" s="24" t="inlineStr">
        <is>
          <t>measured-edge-margin-v3</t>
        </is>
      </c>
      <c r="BD364" s="24" t="inlineStr">
        <is>
          <t>dd339a2eed50d7d83ab2127837995ddab82e879afd27f5414bb6c1f9cd60ba4c</t>
        </is>
      </c>
      <c r="BE364" s="24" t="inlineStr">
        <is>
          <t>v3</t>
        </is>
      </c>
      <c r="BF364" s="24" t="inlineStr">
        <is>
          <t>1</t>
        </is>
      </c>
      <c r="BG364" s="24" t="inlineStr">
        <is>
          <t>measured-edge-paired-v1</t>
        </is>
      </c>
      <c r="BH364" s="24" t="inlineStr">
        <is>
          <t>2026-08-10T16:35:10.426686Z</t>
        </is>
      </c>
      <c r="BI364" s="24" t="inlineStr">
        <is>
          <t>["same_event","same_team_same_day","same_league_same_day"]</t>
        </is>
      </c>
      <c r="BJ364" s="25" t="n">
        <v>1.5</v>
      </c>
      <c r="BK364" s="26" t="n">
        <v>-120</v>
      </c>
      <c r="BL364" s="27" t="n">
        <v>1.833333</v>
      </c>
      <c r="BM364" s="28" t="n">
        <v>0.545455</v>
      </c>
      <c r="BN364" s="28" t="n">
        <v>0.542289</v>
      </c>
      <c r="BO364" s="28" t="n"/>
      <c r="BP364" s="25" t="n"/>
      <c r="BQ364" s="27" t="n">
        <v>1.833333</v>
      </c>
      <c r="BR364" s="28" t="n">
        <v>0.545</v>
      </c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</row>
    <row r="365" ht="36" customHeight="1">
      <c r="A365" s="24" t="inlineStr">
        <is>
          <t>fe7ece460b6c483f</t>
        </is>
      </c>
      <c r="B365" s="24" t="inlineStr">
        <is>
          <t>2026-08-10T16:35:10.426686Z</t>
        </is>
      </c>
      <c r="C365" s="24" t="inlineStr">
        <is>
          <t>2026-08-10T23:07Z</t>
        </is>
      </c>
      <c r="D365" s="24" t="inlineStr">
        <is>
          <t>401816469</t>
        </is>
      </c>
      <c r="E365" s="24" t="inlineStr">
        <is>
          <t>MLB</t>
        </is>
      </c>
      <c r="F365" s="24" t="inlineStr">
        <is>
          <t>Boston Red Sox</t>
        </is>
      </c>
      <c r="G365" s="24" t="inlineStr">
        <is>
          <t>Toronto Blue Jays</t>
        </is>
      </c>
      <c r="H365" s="24" t="inlineStr">
        <is>
          <t>total</t>
        </is>
      </c>
      <c r="I365" s="24" t="inlineStr">
        <is>
          <t>over</t>
        </is>
      </c>
      <c r="J365" s="25" t="n">
        <v>8.5</v>
      </c>
      <c r="K365" s="24" t="inlineStr">
        <is>
          <t>polymarket_us</t>
        </is>
      </c>
      <c r="L365" s="26" t="n">
        <v>106</v>
      </c>
      <c r="M365" s="27" t="n">
        <v>2.06</v>
      </c>
      <c r="N365" s="28" t="n">
        <v>0.485437</v>
      </c>
      <c r="O365" s="28" t="n">
        <v>0.520282</v>
      </c>
      <c r="P365" s="28" t="n">
        <v>0.042131</v>
      </c>
      <c r="Q365" s="28" t="n">
        <v>0.034845</v>
      </c>
      <c r="R365" s="26" t="n">
        <v>44</v>
      </c>
      <c r="S365" s="29" t="n">
        <v>1</v>
      </c>
      <c r="T365" s="24" t="inlineStr">
        <is>
          <t>measured-edge-totals-v3</t>
        </is>
      </c>
      <c r="U365" s="24" t="inlineStr">
        <is>
          <t>settled</t>
        </is>
      </c>
      <c r="V365" s="24" t="inlineStr">
        <is>
          <t>loss</t>
        </is>
      </c>
      <c r="W365" s="26" t="n">
        <v>1</v>
      </c>
      <c r="X365" s="26" t="n">
        <v>2</v>
      </c>
      <c r="Y365" s="25" t="n">
        <v>8.5</v>
      </c>
      <c r="Z365" s="26" t="n">
        <v>106</v>
      </c>
      <c r="AA365" s="28" t="n">
        <v>0.485</v>
      </c>
      <c r="AB365" s="28" t="n">
        <v>-0.000437</v>
      </c>
      <c r="AC365" s="30" t="n">
        <v>-1</v>
      </c>
      <c r="AD365" s="24" t="inlineStr">
        <is>
          <t>2026-08-11T13:06:36.036881Z</t>
        </is>
      </c>
      <c r="AE365" s="31" t="inlineStr">
        <is>
          <t>Measured Edge Totals: Trend Engine projected 5.15-4.30; raw selected-side p=0.5583, calibrated p=0.5203.</t>
        </is>
      </c>
      <c r="AF365" s="31" t="inlineStr">
        <is>
          <t>Research-only; lineup, bullpen, park, weather, xFIP, and wRC+ may be neutral fallbacks; market availability and BBO depth may change before first pitch.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3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>mlb-bos</t>
        </is>
      </c>
      <c r="AQ365" s="24" t="inlineStr">
        <is>
          <t>Boston Red Sox</t>
        </is>
      </c>
      <c r="AR365" s="24" t="inlineStr">
        <is>
          <t>Boston Red Sox</t>
        </is>
      </c>
      <c r="AS365" s="24" t="inlineStr">
        <is>
          <t>mlb-tor</t>
        </is>
      </c>
      <c r="AT365" s="24" t="inlineStr">
        <is>
          <t>Toronto Blue Jays</t>
        </is>
      </c>
      <c r="AU365" s="24" t="inlineStr">
        <is>
          <t>Toronto Blue Jays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research</t>
        </is>
      </c>
      <c r="BA365" s="24" t="inlineStr">
        <is>
          <t>95b84332c75d2ce54036eb8de6ada9c78d0f80228c50825c0347281a8b9b49c7</t>
        </is>
      </c>
      <c r="BB365" s="24" t="inlineStr">
        <is>
          <t>flat_probability_shrinkage_toward_half</t>
        </is>
      </c>
      <c r="BC365" s="24" t="inlineStr">
        <is>
          <t>measured-edge-totals-v3</t>
        </is>
      </c>
      <c r="BD365" s="24" t="inlineStr">
        <is>
          <t>95b84332c75d2ce54036eb8de6ada9c78d0f80228c50825c0347281a8b9b49c7</t>
        </is>
      </c>
      <c r="BE365" s="24" t="inlineStr">
        <is>
          <t>v3</t>
        </is>
      </c>
      <c r="BF365" s="24" t="inlineStr">
        <is>
          <t>1</t>
        </is>
      </c>
      <c r="BG365" s="24" t="inlineStr">
        <is>
          <t>measured-edge-paired-v1</t>
        </is>
      </c>
      <c r="BH365" s="24" t="inlineStr">
        <is>
          <t>2026-08-10T16:35:10.426686Z</t>
        </is>
      </c>
      <c r="BI365" s="24" t="inlineStr">
        <is>
          <t>["same_event","same_team_same_day","same_league_same_day"]</t>
        </is>
      </c>
      <c r="BJ365" s="25" t="n">
        <v>8.5</v>
      </c>
      <c r="BK365" s="26" t="n">
        <v>106</v>
      </c>
      <c r="BL365" s="27" t="n">
        <v>2.06</v>
      </c>
      <c r="BM365" s="28" t="n">
        <v>0.485437</v>
      </c>
      <c r="BN365" s="28" t="n">
        <v>0.482587</v>
      </c>
      <c r="BO365" s="28" t="n"/>
      <c r="BP365" s="25" t="n"/>
      <c r="BQ365" s="27" t="n">
        <v>2.06</v>
      </c>
      <c r="BR365" s="28" t="n">
        <v>0.485</v>
      </c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</row>
    <row r="366" ht="36" customHeight="1">
      <c r="A366" s="24" t="inlineStr">
        <is>
          <t>3326c7d69da3472b</t>
        </is>
      </c>
      <c r="B366" s="24" t="inlineStr">
        <is>
          <t>2026-08-10T16:35:10.426686Z</t>
        </is>
      </c>
      <c r="C366" s="24" t="inlineStr">
        <is>
          <t>2026-08-10T23:15Z</t>
        </is>
      </c>
      <c r="D366" s="24" t="inlineStr">
        <is>
          <t>401816470</t>
        </is>
      </c>
      <c r="E366" s="24" t="inlineStr">
        <is>
          <t>MLB</t>
        </is>
      </c>
      <c r="F366" s="24" t="inlineStr">
        <is>
          <t>New York Mets</t>
        </is>
      </c>
      <c r="G366" s="24" t="inlineStr">
        <is>
          <t>Atlanta Braves</t>
        </is>
      </c>
      <c r="H366" s="24" t="inlineStr">
        <is>
          <t>spread</t>
        </is>
      </c>
      <c r="I366" s="24" t="inlineStr">
        <is>
          <t>away</t>
        </is>
      </c>
      <c r="J366" s="25" t="n">
        <v>1.5</v>
      </c>
      <c r="K366" s="24" t="inlineStr">
        <is>
          <t>polymarket_us</t>
        </is>
      </c>
      <c r="L366" s="26" t="n">
        <v>-150</v>
      </c>
      <c r="M366" s="27" t="n">
        <v>1.666667</v>
      </c>
      <c r="N366" s="28" t="n">
        <v>0.6</v>
      </c>
      <c r="O366" s="28" t="n">
        <v>0.619313</v>
      </c>
      <c r="P366" s="28" t="n">
        <v>0.042131</v>
      </c>
      <c r="Q366" s="28" t="n">
        <v>0.019313</v>
      </c>
      <c r="R366" s="26" t="n">
        <v>36</v>
      </c>
      <c r="S366" s="29" t="n">
        <v>1.5</v>
      </c>
      <c r="T366" s="24" t="inlineStr">
        <is>
          <t>measured-edge-margin-v3</t>
        </is>
      </c>
      <c r="U366" s="24" t="inlineStr">
        <is>
          <t>settled</t>
        </is>
      </c>
      <c r="V366" s="24" t="inlineStr">
        <is>
          <t>win</t>
        </is>
      </c>
      <c r="W366" s="26" t="n">
        <v>8</v>
      </c>
      <c r="X366" s="26" t="n">
        <v>5</v>
      </c>
      <c r="Y366" s="25" t="n">
        <v>1.5</v>
      </c>
      <c r="Z366" s="26" t="n">
        <v>-150</v>
      </c>
      <c r="AA366" s="28" t="n">
        <v>0.6</v>
      </c>
      <c r="AB366" s="28" t="n">
        <v>0</v>
      </c>
      <c r="AC366" s="30" t="n">
        <v>1</v>
      </c>
      <c r="AD366" s="24" t="inlineStr">
        <is>
          <t>2026-08-11T13:06:37.553277Z</t>
        </is>
      </c>
      <c r="AE366" s="31" t="inlineStr">
        <is>
          <t>Measured Edge Margin: Trend Engine projected 4.23-4.22; raw selected-side p=0.6751, calibrated p=0.6193.</t>
        </is>
      </c>
      <c r="AF366" s="31" t="inlineStr">
        <is>
          <t>Research-only; lineup, bullpen, park, weather, xFIP, and wRC+ may be neutral fallbacks; market availability and BBO depth may change before first pitch.</t>
        </is>
      </c>
      <c r="AG366" s="24" t="inlineStr">
        <is>
          <t>not_applicable</t>
        </is>
      </c>
      <c r="AH366" s="24" t="n"/>
      <c r="AI366" s="31" t="n"/>
      <c r="AJ366" s="31" t="n"/>
      <c r="AK366" s="24" t="inlineStr">
        <is>
          <t>model_qualified</t>
        </is>
      </c>
      <c r="AL366" s="26" t="n">
        <v>3</v>
      </c>
      <c r="AM366" s="24" t="inlineStr">
        <is>
          <t>QUALIFIED_SHADOW_CALL</t>
        </is>
      </c>
      <c r="AN366" s="24" t="inlineStr">
        <is>
          <t>CALL</t>
        </is>
      </c>
      <c r="AO366" s="24" t="inlineStr">
        <is>
          <t>QUALIFIED</t>
        </is>
      </c>
      <c r="AP366" s="24" t="inlineStr">
        <is>
          <t>mlb-nym</t>
        </is>
      </c>
      <c r="AQ366" s="24" t="inlineStr">
        <is>
          <t>New York Mets</t>
        </is>
      </c>
      <c r="AR366" s="24" t="inlineStr">
        <is>
          <t>New York Mets</t>
        </is>
      </c>
      <c r="AS366" s="24" t="inlineStr">
        <is>
          <t>mlb-atl</t>
        </is>
      </c>
      <c r="AT366" s="24" t="inlineStr">
        <is>
          <t>Atlanta Braves</t>
        </is>
      </c>
      <c r="AU366" s="24" t="inlineStr">
        <is>
          <t>Atlanta Braves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research</t>
        </is>
      </c>
      <c r="BA366" s="24" t="inlineStr">
        <is>
          <t>dd339a2eed50d7d83ab2127837995ddab82e879afd27f5414bb6c1f9cd60ba4c</t>
        </is>
      </c>
      <c r="BB366" s="24" t="inlineStr">
        <is>
          <t>flat_probability_shrinkage_toward_half</t>
        </is>
      </c>
      <c r="BC366" s="24" t="inlineStr">
        <is>
          <t>measured-edge-margin-v3</t>
        </is>
      </c>
      <c r="BD366" s="24" t="inlineStr">
        <is>
          <t>dd339a2eed50d7d83ab2127837995ddab82e879afd27f5414bb6c1f9cd60ba4c</t>
        </is>
      </c>
      <c r="BE366" s="24" t="inlineStr">
        <is>
          <t>v3</t>
        </is>
      </c>
      <c r="BF366" s="24" t="inlineStr">
        <is>
          <t>1</t>
        </is>
      </c>
      <c r="BG366" s="24" t="inlineStr">
        <is>
          <t>measured-edge-paired-v1</t>
        </is>
      </c>
      <c r="BH366" s="24" t="inlineStr">
        <is>
          <t>2026-08-10T16:35:10.426686Z</t>
        </is>
      </c>
      <c r="BI366" s="24" t="inlineStr">
        <is>
          <t>["same_event","same_team_same_day","same_league_same_day"]</t>
        </is>
      </c>
      <c r="BJ366" s="25" t="n">
        <v>1.5</v>
      </c>
      <c r="BK366" s="26" t="n">
        <v>-150</v>
      </c>
      <c r="BL366" s="27" t="n">
        <v>1.666667</v>
      </c>
      <c r="BM366" s="28" t="n">
        <v>0.6</v>
      </c>
      <c r="BN366" s="28" t="n">
        <v>0.597015</v>
      </c>
      <c r="BO366" s="28" t="n"/>
      <c r="BP366" s="25" t="n"/>
      <c r="BQ366" s="27" t="n">
        <v>1.666667</v>
      </c>
      <c r="BR366" s="28" t="n">
        <v>0.6</v>
      </c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</row>
    <row r="367" ht="36" customHeight="1">
      <c r="A367" s="24" t="inlineStr">
        <is>
          <t>f8c127f53fb9494d</t>
        </is>
      </c>
      <c r="B367" s="24" t="inlineStr">
        <is>
          <t>2026-08-10T16:35:10.426686Z</t>
        </is>
      </c>
      <c r="C367" s="24" t="inlineStr">
        <is>
          <t>2026-08-10T23:15Z</t>
        </is>
      </c>
      <c r="D367" s="24" t="inlineStr">
        <is>
          <t>401816470</t>
        </is>
      </c>
      <c r="E367" s="24" t="inlineStr">
        <is>
          <t>MLB</t>
        </is>
      </c>
      <c r="F367" s="24" t="inlineStr">
        <is>
          <t>New York Mets</t>
        </is>
      </c>
      <c r="G367" s="24" t="inlineStr">
        <is>
          <t>Atlanta Braves</t>
        </is>
      </c>
      <c r="H367" s="24" t="inlineStr">
        <is>
          <t>total</t>
        </is>
      </c>
      <c r="I367" s="24" t="inlineStr">
        <is>
          <t>under</t>
        </is>
      </c>
      <c r="J367" s="25" t="n">
        <v>8.5</v>
      </c>
      <c r="K367" s="24" t="inlineStr">
        <is>
          <t>polymarket_us</t>
        </is>
      </c>
      <c r="L367" s="26" t="n">
        <v>-104</v>
      </c>
      <c r="M367" s="27" t="n">
        <v>1.961538</v>
      </c>
      <c r="N367" s="28" t="n">
        <v>0.509804</v>
      </c>
      <c r="O367" s="28" t="n">
        <v>0.514954</v>
      </c>
      <c r="P367" s="28" t="n">
        <v>0.042131</v>
      </c>
      <c r="Q367" s="28" t="n">
        <v>0.00515</v>
      </c>
      <c r="R367" s="26" t="n">
        <v>28</v>
      </c>
      <c r="S367" s="29" t="n">
        <v>1</v>
      </c>
      <c r="T367" s="24" t="inlineStr">
        <is>
          <t>measured-edge-totals-v3</t>
        </is>
      </c>
      <c r="U367" s="24" t="inlineStr">
        <is>
          <t>settled</t>
        </is>
      </c>
      <c r="V367" s="24" t="inlineStr">
        <is>
          <t>loss</t>
        </is>
      </c>
      <c r="W367" s="26" t="n">
        <v>8</v>
      </c>
      <c r="X367" s="26" t="n">
        <v>5</v>
      </c>
      <c r="Y367" s="25" t="n">
        <v>8.5</v>
      </c>
      <c r="Z367" s="26" t="n">
        <v>-104</v>
      </c>
      <c r="AA367" s="28" t="n">
        <v>0.51</v>
      </c>
      <c r="AB367" s="28" t="n">
        <v>0.000196</v>
      </c>
      <c r="AC367" s="30" t="n">
        <v>-1</v>
      </c>
      <c r="AD367" s="24" t="inlineStr">
        <is>
          <t>2026-08-11T13:06:39.007297Z</t>
        </is>
      </c>
      <c r="AE367" s="31" t="inlineStr">
        <is>
          <t>Measured Edge Totals: Trend Engine projected 4.23-4.22; raw selected-side p=0.5369, calibrated p=0.5150.</t>
        </is>
      </c>
      <c r="AF367" s="31" t="inlineStr">
        <is>
          <t>Research-only; lineup, bullpen, park, weather, xFIP, and wRC+ may be neutral fallbacks; market availability and BBO depth may change before first pitch.</t>
        </is>
      </c>
      <c r="AG367" s="24" t="inlineStr">
        <is>
          <t>review_required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3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mlb-nym</t>
        </is>
      </c>
      <c r="AQ367" s="24" t="inlineStr">
        <is>
          <t>New York Mets</t>
        </is>
      </c>
      <c r="AR367" s="24" t="inlineStr">
        <is>
          <t>New York Mets</t>
        </is>
      </c>
      <c r="AS367" s="24" t="inlineStr">
        <is>
          <t>mlb-atl</t>
        </is>
      </c>
      <c r="AT367" s="24" t="inlineStr">
        <is>
          <t>Atlanta Braves</t>
        </is>
      </c>
      <c r="AU367" s="24" t="inlineStr">
        <is>
          <t>Atlanta Braves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research</t>
        </is>
      </c>
      <c r="BA367" s="24" t="inlineStr">
        <is>
          <t>95b84332c75d2ce54036eb8de6ada9c78d0f80228c50825c0347281a8b9b49c7</t>
        </is>
      </c>
      <c r="BB367" s="24" t="inlineStr">
        <is>
          <t>flat_probability_shrinkage_toward_half</t>
        </is>
      </c>
      <c r="BC367" s="24" t="inlineStr">
        <is>
          <t>measured-edge-totals-v3</t>
        </is>
      </c>
      <c r="BD367" s="24" t="inlineStr">
        <is>
          <t>95b84332c75d2ce54036eb8de6ada9c78d0f80228c50825c0347281a8b9b49c7</t>
        </is>
      </c>
      <c r="BE367" s="24" t="inlineStr">
        <is>
          <t>v3</t>
        </is>
      </c>
      <c r="BF367" s="24" t="inlineStr">
        <is>
          <t>1</t>
        </is>
      </c>
      <c r="BG367" s="24" t="inlineStr">
        <is>
          <t>measured-edge-paired-v1</t>
        </is>
      </c>
      <c r="BH367" s="24" t="inlineStr">
        <is>
          <t>2026-08-10T16:35:10.426686Z</t>
        </is>
      </c>
      <c r="BI367" s="24" t="inlineStr">
        <is>
          <t>["same_event","same_team_same_day","same_league_same_day"]</t>
        </is>
      </c>
      <c r="BJ367" s="25" t="n">
        <v>8.5</v>
      </c>
      <c r="BK367" s="26" t="n">
        <v>-104</v>
      </c>
      <c r="BL367" s="27" t="n">
        <v>1.961538</v>
      </c>
      <c r="BM367" s="28" t="n">
        <v>0.509804</v>
      </c>
      <c r="BN367" s="28" t="n">
        <v>0.507463</v>
      </c>
      <c r="BO367" s="28" t="n"/>
      <c r="BP367" s="25" t="n"/>
      <c r="BQ367" s="27" t="n">
        <v>1.961538</v>
      </c>
      <c r="BR367" s="28" t="n">
        <v>0.51</v>
      </c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</row>
    <row r="368" ht="36" customHeight="1">
      <c r="A368" s="24" t="inlineStr">
        <is>
          <t>8e29a7e353404503</t>
        </is>
      </c>
      <c r="B368" s="24" t="inlineStr">
        <is>
          <t>2026-08-10T16:35:10.426686Z</t>
        </is>
      </c>
      <c r="C368" s="24" t="inlineStr">
        <is>
          <t>2026-08-10T23:40Z</t>
        </is>
      </c>
      <c r="D368" s="24" t="inlineStr">
        <is>
          <t>401816471</t>
        </is>
      </c>
      <c r="E368" s="24" t="inlineStr">
        <is>
          <t>MLB</t>
        </is>
      </c>
      <c r="F368" s="24" t="inlineStr">
        <is>
          <t>Baltimore Orioles</t>
        </is>
      </c>
      <c r="G368" s="24" t="inlineStr">
        <is>
          <t>Minnesota Twins</t>
        </is>
      </c>
      <c r="H368" s="24" t="inlineStr">
        <is>
          <t>spread</t>
        </is>
      </c>
      <c r="I368" s="24" t="inlineStr">
        <is>
          <t>home</t>
        </is>
      </c>
      <c r="J368" s="25" t="n">
        <v>1.5</v>
      </c>
      <c r="K368" s="24" t="inlineStr">
        <is>
          <t>polymarket_us</t>
        </is>
      </c>
      <c r="L368" s="26" t="n">
        <v>-156</v>
      </c>
      <c r="M368" s="27" t="n">
        <v>1.641026</v>
      </c>
      <c r="N368" s="28" t="n">
        <v>0.609375</v>
      </c>
      <c r="O368" s="28" t="n">
        <v>0.581972</v>
      </c>
      <c r="P368" s="28" t="n">
        <v>0.05172</v>
      </c>
      <c r="Q368" s="28" t="n">
        <v>-0.027403</v>
      </c>
      <c r="R368" s="26" t="n">
        <v>6</v>
      </c>
      <c r="S368" s="29" t="n">
        <v>1.25</v>
      </c>
      <c r="T368" s="24" t="inlineStr">
        <is>
          <t>measured-edge-margin-v3</t>
        </is>
      </c>
      <c r="U368" s="24" t="inlineStr">
        <is>
          <t>settled</t>
        </is>
      </c>
      <c r="V368" s="24" t="inlineStr">
        <is>
          <t>win</t>
        </is>
      </c>
      <c r="W368" s="26" t="n">
        <v>5</v>
      </c>
      <c r="X368" s="26" t="n">
        <v>9</v>
      </c>
      <c r="Y368" s="25" t="n">
        <v>1.5</v>
      </c>
      <c r="Z368" s="26" t="n">
        <v>-156</v>
      </c>
      <c r="AA368" s="28" t="n">
        <v>0.61</v>
      </c>
      <c r="AB368" s="28" t="n">
        <v>0.000625</v>
      </c>
      <c r="AC368" s="30" t="n">
        <v>0.8013</v>
      </c>
      <c r="AD368" s="24" t="inlineStr">
        <is>
          <t>2026-08-11T13:06:40.507756Z</t>
        </is>
      </c>
      <c r="AE368" s="31" t="inlineStr">
        <is>
          <t>Measured Edge Margin: Trend Engine projected 5.02-4.58; raw selected-side p=0.6203, calibrated p=0.5820.</t>
        </is>
      </c>
      <c r="AF368" s="31" t="inlineStr">
        <is>
          <t>Research-only; lineup, bullpen, park, weather, xFIP, and wRC+ may be neutral fallbacks; market availability and BBO depth may change before first pitch.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model_qualified</t>
        </is>
      </c>
      <c r="AL368" s="26" t="n">
        <v>3</v>
      </c>
      <c r="AM368" s="24" t="inlineStr">
        <is>
          <t>QUALIFIED_SHADOW_CALL</t>
        </is>
      </c>
      <c r="AN368" s="24" t="inlineStr">
        <is>
          <t>CALL</t>
        </is>
      </c>
      <c r="AO368" s="24" t="inlineStr">
        <is>
          <t>QUALIFIED</t>
        </is>
      </c>
      <c r="AP368" s="24" t="inlineStr">
        <is>
          <t>mlb-bal</t>
        </is>
      </c>
      <c r="AQ368" s="24" t="inlineStr">
        <is>
          <t>Baltimore Orioles</t>
        </is>
      </c>
      <c r="AR368" s="24" t="inlineStr">
        <is>
          <t>Baltimore Orioles</t>
        </is>
      </c>
      <c r="AS368" s="24" t="inlineStr">
        <is>
          <t>mlb-min</t>
        </is>
      </c>
      <c r="AT368" s="24" t="inlineStr">
        <is>
          <t>Minnesota Twins</t>
        </is>
      </c>
      <c r="AU368" s="24" t="inlineStr">
        <is>
          <t>Minnesota Twins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research</t>
        </is>
      </c>
      <c r="BA368" s="24" t="inlineStr">
        <is>
          <t>dd339a2eed50d7d83ab2127837995ddab82e879afd27f5414bb6c1f9cd60ba4c</t>
        </is>
      </c>
      <c r="BB368" s="24" t="inlineStr">
        <is>
          <t>flat_probability_shrinkage_toward_half</t>
        </is>
      </c>
      <c r="BC368" s="24" t="inlineStr">
        <is>
          <t>measured-edge-margin-v3</t>
        </is>
      </c>
      <c r="BD368" s="24" t="inlineStr">
        <is>
          <t>dd339a2eed50d7d83ab2127837995ddab82e879afd27f5414bb6c1f9cd60ba4c</t>
        </is>
      </c>
      <c r="BE368" s="24" t="inlineStr">
        <is>
          <t>v3</t>
        </is>
      </c>
      <c r="BF368" s="24" t="inlineStr">
        <is>
          <t>1</t>
        </is>
      </c>
      <c r="BG368" s="24" t="inlineStr">
        <is>
          <t>measured-edge-paired-v1</t>
        </is>
      </c>
      <c r="BH368" s="24" t="inlineStr">
        <is>
          <t>2026-08-10T16:35:10.426686Z</t>
        </is>
      </c>
      <c r="BI368" s="24" t="inlineStr">
        <is>
          <t>["same_event","same_team_same_day","same_league_same_day"]</t>
        </is>
      </c>
      <c r="BJ368" s="25" t="n">
        <v>1.5</v>
      </c>
      <c r="BK368" s="26" t="n">
        <v>-156</v>
      </c>
      <c r="BL368" s="27" t="n">
        <v>1.641026</v>
      </c>
      <c r="BM368" s="28" t="n">
        <v>0.609375</v>
      </c>
      <c r="BN368" s="28" t="n">
        <v>0.606965</v>
      </c>
      <c r="BO368" s="28" t="n"/>
      <c r="BP368" s="25" t="n"/>
      <c r="BQ368" s="27" t="n">
        <v>1.641026</v>
      </c>
      <c r="BR368" s="28" t="n">
        <v>0.61</v>
      </c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False</t>
        </is>
      </c>
    </row>
    <row r="369" ht="36" customHeight="1">
      <c r="A369" s="24" t="inlineStr">
        <is>
          <t>cbad6a2cdc704345</t>
        </is>
      </c>
      <c r="B369" s="24" t="inlineStr">
        <is>
          <t>2026-08-10T16:35:10.426686Z</t>
        </is>
      </c>
      <c r="C369" s="24" t="inlineStr">
        <is>
          <t>2026-08-10T23:40Z</t>
        </is>
      </c>
      <c r="D369" s="24" t="inlineStr">
        <is>
          <t>401816471</t>
        </is>
      </c>
      <c r="E369" s="24" t="inlineStr">
        <is>
          <t>MLB</t>
        </is>
      </c>
      <c r="F369" s="24" t="inlineStr">
        <is>
          <t>Baltimore Orioles</t>
        </is>
      </c>
      <c r="G369" s="24" t="inlineStr">
        <is>
          <t>Minnesota Twins</t>
        </is>
      </c>
      <c r="H369" s="24" t="inlineStr">
        <is>
          <t>total</t>
        </is>
      </c>
      <c r="I369" s="24" t="inlineStr">
        <is>
          <t>over</t>
        </is>
      </c>
      <c r="J369" s="25" t="n">
        <v>8.5</v>
      </c>
      <c r="K369" s="24" t="inlineStr">
        <is>
          <t>polymarket_us</t>
        </is>
      </c>
      <c r="L369" s="26" t="n">
        <v>102</v>
      </c>
      <c r="M369" s="27" t="n">
        <v>2.02</v>
      </c>
      <c r="N369" s="28" t="n">
        <v>0.49505</v>
      </c>
      <c r="O369" s="28" t="n">
        <v>0.522406</v>
      </c>
      <c r="P369" s="28" t="n">
        <v>0.05172</v>
      </c>
      <c r="Q369" s="28" t="n">
        <v>0.027356</v>
      </c>
      <c r="R369" s="26" t="n">
        <v>34</v>
      </c>
      <c r="S369" s="29" t="n">
        <v>1</v>
      </c>
      <c r="T369" s="24" t="inlineStr">
        <is>
          <t>measured-edge-totals-v3</t>
        </is>
      </c>
      <c r="U369" s="24" t="inlineStr">
        <is>
          <t>settled</t>
        </is>
      </c>
      <c r="V369" s="24" t="inlineStr">
        <is>
          <t>win</t>
        </is>
      </c>
      <c r="W369" s="26" t="n">
        <v>5</v>
      </c>
      <c r="X369" s="26" t="n">
        <v>9</v>
      </c>
      <c r="Y369" s="25" t="n">
        <v>8.5</v>
      </c>
      <c r="Z369" s="26" t="n">
        <v>102</v>
      </c>
      <c r="AA369" s="28" t="n">
        <v>0.495</v>
      </c>
      <c r="AB369" s="28" t="n">
        <v>-5e-05</v>
      </c>
      <c r="AC369" s="30" t="n">
        <v>1.02</v>
      </c>
      <c r="AD369" s="24" t="inlineStr">
        <is>
          <t>2026-08-11T13:06:42.144209Z</t>
        </is>
      </c>
      <c r="AE369" s="31" t="inlineStr">
        <is>
          <t>Measured Edge Totals: Trend Engine projected 5.02-4.58; raw selected-side p=0.5668, calibrated p=0.5224.</t>
        </is>
      </c>
      <c r="AF369" s="31" t="inlineStr">
        <is>
          <t>Research-only; lineup, bullpen, park, weather, xFIP, and wRC+ may be neutral fallbacks; market availability and BBO depth may change before first pitch.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3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mlb-bal</t>
        </is>
      </c>
      <c r="AQ369" s="24" t="inlineStr">
        <is>
          <t>Baltimore Orioles</t>
        </is>
      </c>
      <c r="AR369" s="24" t="inlineStr">
        <is>
          <t>Baltimore Orioles</t>
        </is>
      </c>
      <c r="AS369" s="24" t="inlineStr">
        <is>
          <t>mlb-min</t>
        </is>
      </c>
      <c r="AT369" s="24" t="inlineStr">
        <is>
          <t>Minnesota Twins</t>
        </is>
      </c>
      <c r="AU369" s="24" t="inlineStr">
        <is>
          <t>Minnesota Twins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research</t>
        </is>
      </c>
      <c r="BA369" s="24" t="inlineStr">
        <is>
          <t>95b84332c75d2ce54036eb8de6ada9c78d0f80228c50825c0347281a8b9b49c7</t>
        </is>
      </c>
      <c r="BB369" s="24" t="inlineStr">
        <is>
          <t>flat_probability_shrinkage_toward_half</t>
        </is>
      </c>
      <c r="BC369" s="24" t="inlineStr">
        <is>
          <t>measured-edge-totals-v3</t>
        </is>
      </c>
      <c r="BD369" s="24" t="inlineStr">
        <is>
          <t>95b84332c75d2ce54036eb8de6ada9c78d0f80228c50825c0347281a8b9b49c7</t>
        </is>
      </c>
      <c r="BE369" s="24" t="inlineStr">
        <is>
          <t>v3</t>
        </is>
      </c>
      <c r="BF369" s="24" t="inlineStr">
        <is>
          <t>1</t>
        </is>
      </c>
      <c r="BG369" s="24" t="inlineStr">
        <is>
          <t>measured-edge-paired-v1</t>
        </is>
      </c>
      <c r="BH369" s="24" t="inlineStr">
        <is>
          <t>2026-08-10T16:35:10.426686Z</t>
        </is>
      </c>
      <c r="BI369" s="24" t="inlineStr">
        <is>
          <t>["same_event","same_team_same_day","same_league_same_day"]</t>
        </is>
      </c>
      <c r="BJ369" s="25" t="n">
        <v>8.5</v>
      </c>
      <c r="BK369" s="26" t="n">
        <v>102</v>
      </c>
      <c r="BL369" s="27" t="n">
        <v>2.02</v>
      </c>
      <c r="BM369" s="28" t="n">
        <v>0.49505</v>
      </c>
      <c r="BN369" s="28" t="n">
        <v>0.492537</v>
      </c>
      <c r="BO369" s="28" t="n"/>
      <c r="BP369" s="25" t="n"/>
      <c r="BQ369" s="27" t="n">
        <v>2.02</v>
      </c>
      <c r="BR369" s="28" t="n">
        <v>0.495</v>
      </c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</row>
    <row r="370" ht="36" customHeight="1">
      <c r="A370" s="24" t="inlineStr">
        <is>
          <t>f4e6e851256344de</t>
        </is>
      </c>
      <c r="B370" s="24" t="inlineStr">
        <is>
          <t>2026-08-10T16:35:10.426686Z</t>
        </is>
      </c>
      <c r="C370" s="24" t="inlineStr">
        <is>
          <t>2026-08-10T23:45Z</t>
        </is>
      </c>
      <c r="D370" s="24" t="inlineStr">
        <is>
          <t>401816472</t>
        </is>
      </c>
      <c r="E370" s="24" t="inlineStr">
        <is>
          <t>MLB</t>
        </is>
      </c>
      <c r="F370" s="24" t="inlineStr">
        <is>
          <t>Philadelphia Phillies</t>
        </is>
      </c>
      <c r="G370" s="24" t="inlineStr">
        <is>
          <t>St. Louis Cardinals</t>
        </is>
      </c>
      <c r="H370" s="24" t="inlineStr">
        <is>
          <t>spread</t>
        </is>
      </c>
      <c r="I370" s="24" t="inlineStr">
        <is>
          <t>home</t>
        </is>
      </c>
      <c r="J370" s="25" t="n">
        <v>1.5</v>
      </c>
      <c r="K370" s="24" t="inlineStr">
        <is>
          <t>polymarket_us</t>
        </is>
      </c>
      <c r="L370" s="26" t="n">
        <v>-153</v>
      </c>
      <c r="M370" s="27" t="n">
        <v>1.653595</v>
      </c>
      <c r="N370" s="28" t="n">
        <v>0.604743</v>
      </c>
      <c r="O370" s="28" t="n">
        <v>0.660674</v>
      </c>
      <c r="P370" s="28" t="n">
        <v>0.05172</v>
      </c>
      <c r="Q370" s="28" t="n">
        <v>0.055931</v>
      </c>
      <c r="R370" s="26" t="n">
        <v>48</v>
      </c>
      <c r="S370" s="29" t="n">
        <v>1.75</v>
      </c>
      <c r="T370" s="24" t="inlineStr">
        <is>
          <t>measured-edge-margin-v3</t>
        </is>
      </c>
      <c r="U370" s="24" t="inlineStr">
        <is>
          <t>settled</t>
        </is>
      </c>
      <c r="V370" s="24" t="inlineStr">
        <is>
          <t>win</t>
        </is>
      </c>
      <c r="W370" s="26" t="n">
        <v>6</v>
      </c>
      <c r="X370" s="26" t="n">
        <v>5</v>
      </c>
      <c r="Y370" s="25" t="n">
        <v>1.5</v>
      </c>
      <c r="Z370" s="26" t="n">
        <v>-153</v>
      </c>
      <c r="AA370" s="28" t="n">
        <v>0.605</v>
      </c>
      <c r="AB370" s="28" t="n">
        <v>0.000257</v>
      </c>
      <c r="AC370" s="30" t="n">
        <v>1.1438</v>
      </c>
      <c r="AD370" s="24" t="inlineStr">
        <is>
          <t>2026-08-11T13:06:43.738424Z</t>
        </is>
      </c>
      <c r="AE370" s="31" t="inlineStr">
        <is>
          <t>Measured Edge Margin: Trend Engine projected 4.48-5.28; raw selected-side p=0.7358, calibrated p=0.6607.</t>
        </is>
      </c>
      <c r="AF370" s="31" t="inlineStr">
        <is>
          <t>Research-only; lineup, bullpen, park, weather, xFIP, and wRC+ may be neutral fallbacks; market availability and BBO depth may change before first pitch.</t>
        </is>
      </c>
      <c r="AG370" s="24" t="inlineStr">
        <is>
          <t>not_applicable</t>
        </is>
      </c>
      <c r="AH370" s="24" t="n"/>
      <c r="AI370" s="31" t="n"/>
      <c r="AJ370" s="31" t="n"/>
      <c r="AK370" s="24" t="inlineStr">
        <is>
          <t>model_qualified</t>
        </is>
      </c>
      <c r="AL370" s="26" t="n">
        <v>3</v>
      </c>
      <c r="AM370" s="24" t="inlineStr">
        <is>
          <t>QUALIFIED_SHADOW_CALL</t>
        </is>
      </c>
      <c r="AN370" s="24" t="inlineStr">
        <is>
          <t>CALL</t>
        </is>
      </c>
      <c r="AO370" s="24" t="inlineStr">
        <is>
          <t>QUALIFIED</t>
        </is>
      </c>
      <c r="AP370" s="24" t="inlineStr">
        <is>
          <t>mlb-phi</t>
        </is>
      </c>
      <c r="AQ370" s="24" t="inlineStr">
        <is>
          <t>Philadelphia Phillies</t>
        </is>
      </c>
      <c r="AR370" s="24" t="inlineStr">
        <is>
          <t>Philadelphia Phillies</t>
        </is>
      </c>
      <c r="AS370" s="24" t="inlineStr">
        <is>
          <t>mlb-stl</t>
        </is>
      </c>
      <c r="AT370" s="24" t="inlineStr">
        <is>
          <t>St. Louis Cardinals</t>
        </is>
      </c>
      <c r="AU370" s="24" t="inlineStr">
        <is>
          <t>St. Louis Cardinals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research</t>
        </is>
      </c>
      <c r="BA370" s="24" t="inlineStr">
        <is>
          <t>dd339a2eed50d7d83ab2127837995ddab82e879afd27f5414bb6c1f9cd60ba4c</t>
        </is>
      </c>
      <c r="BB370" s="24" t="inlineStr">
        <is>
          <t>flat_probability_shrinkage_toward_half</t>
        </is>
      </c>
      <c r="BC370" s="24" t="inlineStr">
        <is>
          <t>measured-edge-margin-v3</t>
        </is>
      </c>
      <c r="BD370" s="24" t="inlineStr">
        <is>
          <t>dd339a2eed50d7d83ab2127837995ddab82e879afd27f5414bb6c1f9cd60ba4c</t>
        </is>
      </c>
      <c r="BE370" s="24" t="inlineStr">
        <is>
          <t>v3</t>
        </is>
      </c>
      <c r="BF370" s="24" t="inlineStr">
        <is>
          <t>1</t>
        </is>
      </c>
      <c r="BG370" s="24" t="inlineStr">
        <is>
          <t>measured-edge-paired-v1</t>
        </is>
      </c>
      <c r="BH370" s="24" t="inlineStr">
        <is>
          <t>2026-08-10T16:35:10.426686Z</t>
        </is>
      </c>
      <c r="BI370" s="24" t="inlineStr">
        <is>
          <t>["same_event","same_team_same_day","same_league_same_day"]</t>
        </is>
      </c>
      <c r="BJ370" s="25" t="n">
        <v>1.5</v>
      </c>
      <c r="BK370" s="26" t="n">
        <v>-153</v>
      </c>
      <c r="BL370" s="27" t="n">
        <v>1.653595</v>
      </c>
      <c r="BM370" s="28" t="n">
        <v>0.604743</v>
      </c>
      <c r="BN370" s="28" t="n">
        <v>0.60199</v>
      </c>
      <c r="BO370" s="28" t="n"/>
      <c r="BP370" s="25" t="n"/>
      <c r="BQ370" s="27" t="n">
        <v>1.653595</v>
      </c>
      <c r="BR370" s="28" t="n">
        <v>0.605</v>
      </c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</row>
    <row r="371" ht="36" customHeight="1">
      <c r="A371" s="24" t="inlineStr">
        <is>
          <t>1f1e03006cbe4027</t>
        </is>
      </c>
      <c r="B371" s="24" t="inlineStr">
        <is>
          <t>2026-08-10T16:35:10.426686Z</t>
        </is>
      </c>
      <c r="C371" s="24" t="inlineStr">
        <is>
          <t>2026-08-10T23:45Z</t>
        </is>
      </c>
      <c r="D371" s="24" t="inlineStr">
        <is>
          <t>401816472</t>
        </is>
      </c>
      <c r="E371" s="24" t="inlineStr">
        <is>
          <t>MLB</t>
        </is>
      </c>
      <c r="F371" s="24" t="inlineStr">
        <is>
          <t>Philadelphia Phillies</t>
        </is>
      </c>
      <c r="G371" s="24" t="inlineStr">
        <is>
          <t>St. Louis Cardinals</t>
        </is>
      </c>
      <c r="H371" s="24" t="inlineStr">
        <is>
          <t>total</t>
        </is>
      </c>
      <c r="I371" s="24" t="inlineStr">
        <is>
          <t>under</t>
        </is>
      </c>
      <c r="J371" s="25" t="n">
        <v>9.5</v>
      </c>
      <c r="K371" s="24" t="inlineStr">
        <is>
          <t>polymarket_us</t>
        </is>
      </c>
      <c r="L371" s="26" t="n">
        <v>-125</v>
      </c>
      <c r="M371" s="27" t="n">
        <v>1.8</v>
      </c>
      <c r="N371" s="28" t="n">
        <v>0.555556</v>
      </c>
      <c r="O371" s="28" t="n">
        <v>0.513587</v>
      </c>
      <c r="P371" s="28" t="n">
        <v>0.05172</v>
      </c>
      <c r="Q371" s="28" t="n">
        <v>-0.041969</v>
      </c>
      <c r="R371" s="26" t="n">
        <v>0</v>
      </c>
      <c r="S371" s="29" t="n">
        <v>1</v>
      </c>
      <c r="T371" s="24" t="inlineStr">
        <is>
          <t>measured-edge-totals-v3</t>
        </is>
      </c>
      <c r="U371" s="24" t="inlineStr">
        <is>
          <t>settled</t>
        </is>
      </c>
      <c r="V371" s="24" t="inlineStr">
        <is>
          <t>loss</t>
        </is>
      </c>
      <c r="W371" s="26" t="n">
        <v>6</v>
      </c>
      <c r="X371" s="26" t="n">
        <v>5</v>
      </c>
      <c r="Y371" s="25" t="n">
        <v>9.5</v>
      </c>
      <c r="Z371" s="26" t="n">
        <v>-125</v>
      </c>
      <c r="AA371" s="28" t="n">
        <v>0.555</v>
      </c>
      <c r="AB371" s="28" t="n">
        <v>-0.000556</v>
      </c>
      <c r="AC371" s="30" t="n">
        <v>-1</v>
      </c>
      <c r="AD371" s="24" t="inlineStr">
        <is>
          <t>2026-08-11T13:06:45.255136Z</t>
        </is>
      </c>
      <c r="AE371" s="31" t="inlineStr">
        <is>
          <t>Measured Edge Totals: Trend Engine projected 4.48-5.28; raw selected-side p=0.5313, calibrated p=0.5136.</t>
        </is>
      </c>
      <c r="AF371" s="31" t="inlineStr">
        <is>
          <t>Research-only; lineup, bullpen, park, weather, xFIP, and wRC+ may be neutral fallbacks; market availability and BBO depth may change before first pitch.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model_qualified</t>
        </is>
      </c>
      <c r="AL371" s="26" t="n">
        <v>3</v>
      </c>
      <c r="AM371" s="24" t="inlineStr">
        <is>
          <t>QUALIFIED_SHADOW_CALL</t>
        </is>
      </c>
      <c r="AN371" s="24" t="inlineStr">
        <is>
          <t>CALL</t>
        </is>
      </c>
      <c r="AO371" s="24" t="inlineStr">
        <is>
          <t>QUALIFIED</t>
        </is>
      </c>
      <c r="AP371" s="24" t="inlineStr">
        <is>
          <t>mlb-phi</t>
        </is>
      </c>
      <c r="AQ371" s="24" t="inlineStr">
        <is>
          <t>Philadelphia Phillies</t>
        </is>
      </c>
      <c r="AR371" s="24" t="inlineStr">
        <is>
          <t>Philadelphia Phillies</t>
        </is>
      </c>
      <c r="AS371" s="24" t="inlineStr">
        <is>
          <t>mlb-stl</t>
        </is>
      </c>
      <c r="AT371" s="24" t="inlineStr">
        <is>
          <t>St. Louis Cardinals</t>
        </is>
      </c>
      <c r="AU371" s="24" t="inlineStr">
        <is>
          <t>St. Louis Cardinals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research</t>
        </is>
      </c>
      <c r="BA371" s="24" t="inlineStr">
        <is>
          <t>95b84332c75d2ce54036eb8de6ada9c78d0f80228c50825c0347281a8b9b49c7</t>
        </is>
      </c>
      <c r="BB371" s="24" t="inlineStr">
        <is>
          <t>flat_probability_shrinkage_toward_half</t>
        </is>
      </c>
      <c r="BC371" s="24" t="inlineStr">
        <is>
          <t>measured-edge-totals-v3</t>
        </is>
      </c>
      <c r="BD371" s="24" t="inlineStr">
        <is>
          <t>95b84332c75d2ce54036eb8de6ada9c78d0f80228c50825c0347281a8b9b49c7</t>
        </is>
      </c>
      <c r="BE371" s="24" t="inlineStr">
        <is>
          <t>v3</t>
        </is>
      </c>
      <c r="BF371" s="24" t="inlineStr">
        <is>
          <t>1</t>
        </is>
      </c>
      <c r="BG371" s="24" t="inlineStr">
        <is>
          <t>measured-edge-paired-v1</t>
        </is>
      </c>
      <c r="BH371" s="24" t="inlineStr">
        <is>
          <t>2026-08-10T16:35:10.426686Z</t>
        </is>
      </c>
      <c r="BI371" s="24" t="inlineStr">
        <is>
          <t>["same_event","same_team_same_day","same_league_same_day"]</t>
        </is>
      </c>
      <c r="BJ371" s="25" t="n">
        <v>9.5</v>
      </c>
      <c r="BK371" s="26" t="n">
        <v>-125</v>
      </c>
      <c r="BL371" s="27" t="n">
        <v>1.8</v>
      </c>
      <c r="BM371" s="28" t="n">
        <v>0.555556</v>
      </c>
      <c r="BN371" s="28" t="n">
        <v>0.552239</v>
      </c>
      <c r="BO371" s="28" t="n"/>
      <c r="BP371" s="25" t="n"/>
      <c r="BQ371" s="27" t="n">
        <v>1.8</v>
      </c>
      <c r="BR371" s="28" t="n">
        <v>0.555</v>
      </c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</row>
    <row r="372" ht="36" customHeight="1">
      <c r="A372" s="24" t="inlineStr">
        <is>
          <t>e3992d6b647345fc</t>
        </is>
      </c>
      <c r="B372" s="24" t="inlineStr">
        <is>
          <t>2026-08-10T16:35:10.426686Z</t>
        </is>
      </c>
      <c r="C372" s="24" t="inlineStr">
        <is>
          <t>2026-08-11T01:38Z</t>
        </is>
      </c>
      <c r="D372" s="24" t="inlineStr">
        <is>
          <t>401816478</t>
        </is>
      </c>
      <c r="E372" s="24" t="inlineStr">
        <is>
          <t>MLB</t>
        </is>
      </c>
      <c r="F372" s="24" t="inlineStr">
        <is>
          <t>Texas Rangers</t>
        </is>
      </c>
      <c r="G372" s="24" t="inlineStr">
        <is>
          <t>Los Angeles Angels</t>
        </is>
      </c>
      <c r="H372" s="24" t="inlineStr">
        <is>
          <t>spread</t>
        </is>
      </c>
      <c r="I372" s="24" t="inlineStr">
        <is>
          <t>home</t>
        </is>
      </c>
      <c r="J372" s="25" t="n">
        <v>1.5</v>
      </c>
      <c r="K372" s="24" t="inlineStr">
        <is>
          <t>polymarket_us</t>
        </is>
      </c>
      <c r="L372" s="26" t="n">
        <v>-156</v>
      </c>
      <c r="M372" s="27" t="n">
        <v>1.641026</v>
      </c>
      <c r="N372" s="28" t="n">
        <v>0.609375</v>
      </c>
      <c r="O372" s="28" t="n">
        <v>0.624526</v>
      </c>
      <c r="P372" s="28" t="n">
        <v>0.042131</v>
      </c>
      <c r="Q372" s="28" t="n">
        <v>0.015151</v>
      </c>
      <c r="R372" s="26" t="n">
        <v>34</v>
      </c>
      <c r="S372" s="29" t="n">
        <v>1.5</v>
      </c>
      <c r="T372" s="24" t="inlineStr">
        <is>
          <t>measured-edge-margin-v3</t>
        </is>
      </c>
      <c r="U372" s="24" t="inlineStr">
        <is>
          <t>settled</t>
        </is>
      </c>
      <c r="V372" s="24" t="inlineStr">
        <is>
          <t>loss</t>
        </is>
      </c>
      <c r="W372" s="26" t="n">
        <v>4</v>
      </c>
      <c r="X372" s="26" t="n">
        <v>1</v>
      </c>
      <c r="Y372" s="25" t="n">
        <v>1.5</v>
      </c>
      <c r="Z372" s="26" t="n">
        <v>-156</v>
      </c>
      <c r="AA372" s="28" t="n">
        <v>0.61</v>
      </c>
      <c r="AB372" s="28" t="n">
        <v>0.000625</v>
      </c>
      <c r="AC372" s="30" t="n">
        <v>-1.5</v>
      </c>
      <c r="AD372" s="24" t="inlineStr">
        <is>
          <t>2026-08-11T13:06:46.771020Z</t>
        </is>
      </c>
      <c r="AE372" s="31" t="inlineStr">
        <is>
          <t>Measured Edge Margin: Trend Engine projected 4.49-4.65; raw selected-side p=0.6827, calibrated p=0.6245.</t>
        </is>
      </c>
      <c r="AF372" s="31" t="inlineStr">
        <is>
          <t>Research-only; lineup, bullpen, park, weather, xFIP, and wRC+ may be neutral fallbacks; market availability and BBO depth may change before first pitch.</t>
        </is>
      </c>
      <c r="AG372" s="24" t="inlineStr">
        <is>
          <t>review_required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3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mlb-tex</t>
        </is>
      </c>
      <c r="AQ372" s="24" t="inlineStr">
        <is>
          <t>Texas Rangers</t>
        </is>
      </c>
      <c r="AR372" s="24" t="inlineStr">
        <is>
          <t>Texas Rangers</t>
        </is>
      </c>
      <c r="AS372" s="24" t="inlineStr">
        <is>
          <t>mlb-laa</t>
        </is>
      </c>
      <c r="AT372" s="24" t="inlineStr">
        <is>
          <t>Los Angeles Angels</t>
        </is>
      </c>
      <c r="AU372" s="24" t="inlineStr">
        <is>
          <t>Los Angeles Angels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research</t>
        </is>
      </c>
      <c r="BA372" s="24" t="inlineStr">
        <is>
          <t>dd339a2eed50d7d83ab2127837995ddab82e879afd27f5414bb6c1f9cd60ba4c</t>
        </is>
      </c>
      <c r="BB372" s="24" t="inlineStr">
        <is>
          <t>flat_probability_shrinkage_toward_half</t>
        </is>
      </c>
      <c r="BC372" s="24" t="inlineStr">
        <is>
          <t>measured-edge-margin-v3</t>
        </is>
      </c>
      <c r="BD372" s="24" t="inlineStr">
        <is>
          <t>dd339a2eed50d7d83ab2127837995ddab82e879afd27f5414bb6c1f9cd60ba4c</t>
        </is>
      </c>
      <c r="BE372" s="24" t="inlineStr">
        <is>
          <t>v3</t>
        </is>
      </c>
      <c r="BF372" s="24" t="inlineStr">
        <is>
          <t>1</t>
        </is>
      </c>
      <c r="BG372" s="24" t="inlineStr">
        <is>
          <t>measured-edge-paired-v1</t>
        </is>
      </c>
      <c r="BH372" s="24" t="inlineStr">
        <is>
          <t>2026-08-10T16:35:10.426686Z</t>
        </is>
      </c>
      <c r="BI372" s="24" t="inlineStr">
        <is>
          <t>["same_event","same_team_same_day","same_league_same_day"]</t>
        </is>
      </c>
      <c r="BJ372" s="25" t="n">
        <v>1.5</v>
      </c>
      <c r="BK372" s="26" t="n">
        <v>-156</v>
      </c>
      <c r="BL372" s="27" t="n">
        <v>1.641026</v>
      </c>
      <c r="BM372" s="28" t="n">
        <v>0.609375</v>
      </c>
      <c r="BN372" s="28" t="n">
        <v>0.606965</v>
      </c>
      <c r="BO372" s="28" t="n"/>
      <c r="BP372" s="25" t="n"/>
      <c r="BQ372" s="27" t="n">
        <v>1.641026</v>
      </c>
      <c r="BR372" s="28" t="n">
        <v>0.61</v>
      </c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</row>
    <row r="373" ht="36" customHeight="1">
      <c r="A373" s="24" t="inlineStr">
        <is>
          <t>3236c2769d1e4130</t>
        </is>
      </c>
      <c r="B373" s="24" t="inlineStr">
        <is>
          <t>2026-08-10T16:35:10.426686Z</t>
        </is>
      </c>
      <c r="C373" s="24" t="inlineStr">
        <is>
          <t>2026-08-11T01:38Z</t>
        </is>
      </c>
      <c r="D373" s="24" t="inlineStr">
        <is>
          <t>401816478</t>
        </is>
      </c>
      <c r="E373" s="24" t="inlineStr">
        <is>
          <t>MLB</t>
        </is>
      </c>
      <c r="F373" s="24" t="inlineStr">
        <is>
          <t>Texas Rangers</t>
        </is>
      </c>
      <c r="G373" s="24" t="inlineStr">
        <is>
          <t>Los Angeles Angels</t>
        </is>
      </c>
      <c r="H373" s="24" t="inlineStr">
        <is>
          <t>total</t>
        </is>
      </c>
      <c r="I373" s="24" t="inlineStr">
        <is>
          <t>over</t>
        </is>
      </c>
      <c r="J373" s="25" t="n">
        <v>7.5</v>
      </c>
      <c r="K373" s="24" t="inlineStr">
        <is>
          <t>polymarket_us</t>
        </is>
      </c>
      <c r="L373" s="26" t="n">
        <v>-115</v>
      </c>
      <c r="M373" s="27" t="n">
        <v>1.869565</v>
      </c>
      <c r="N373" s="28" t="n">
        <v>0.534884</v>
      </c>
      <c r="O373" s="28" t="n">
        <v>0.533074</v>
      </c>
      <c r="P373" s="28" t="n">
        <v>0.042131</v>
      </c>
      <c r="Q373" s="28" t="n">
        <v>-0.00181</v>
      </c>
      <c r="R373" s="26" t="n">
        <v>25</v>
      </c>
      <c r="S373" s="29" t="n">
        <v>1</v>
      </c>
      <c r="T373" s="24" t="inlineStr">
        <is>
          <t>measured-edge-totals-v3</t>
        </is>
      </c>
      <c r="U373" s="24" t="inlineStr">
        <is>
          <t>settled</t>
        </is>
      </c>
      <c r="V373" s="24" t="inlineStr">
        <is>
          <t>loss</t>
        </is>
      </c>
      <c r="W373" s="26" t="n">
        <v>4</v>
      </c>
      <c r="X373" s="26" t="n">
        <v>1</v>
      </c>
      <c r="Y373" s="25" t="n">
        <v>7.5</v>
      </c>
      <c r="Z373" s="26" t="n">
        <v>-115</v>
      </c>
      <c r="AA373" s="28" t="n">
        <v>0.535</v>
      </c>
      <c r="AB373" s="28" t="n">
        <v>0.000116</v>
      </c>
      <c r="AC373" s="30" t="n">
        <v>-1</v>
      </c>
      <c r="AD373" s="24" t="inlineStr">
        <is>
          <t>2026-08-11T13:06:48.234852Z</t>
        </is>
      </c>
      <c r="AE373" s="31" t="inlineStr">
        <is>
          <t>Measured Edge Totals: Trend Engine projected 4.49-4.65; raw selected-side p=0.6098, calibrated p=0.5331.</t>
        </is>
      </c>
      <c r="AF373" s="31" t="inlineStr">
        <is>
          <t>Research-only; lineup, bullpen, park, weather, xFIP, and wRC+ may be neutral fallbacks; market availability and BBO depth may change before first pitch.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3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mlb-tex</t>
        </is>
      </c>
      <c r="AQ373" s="24" t="inlineStr">
        <is>
          <t>Texas Rangers</t>
        </is>
      </c>
      <c r="AR373" s="24" t="inlineStr">
        <is>
          <t>Texas Rangers</t>
        </is>
      </c>
      <c r="AS373" s="24" t="inlineStr">
        <is>
          <t>mlb-laa</t>
        </is>
      </c>
      <c r="AT373" s="24" t="inlineStr">
        <is>
          <t>Los Angeles Angels</t>
        </is>
      </c>
      <c r="AU373" s="24" t="inlineStr">
        <is>
          <t>Los Angeles Angels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research</t>
        </is>
      </c>
      <c r="BA373" s="24" t="inlineStr">
        <is>
          <t>95b84332c75d2ce54036eb8de6ada9c78d0f80228c50825c0347281a8b9b49c7</t>
        </is>
      </c>
      <c r="BB373" s="24" t="inlineStr">
        <is>
          <t>flat_probability_shrinkage_toward_half</t>
        </is>
      </c>
      <c r="BC373" s="24" t="inlineStr">
        <is>
          <t>measured-edge-totals-v3</t>
        </is>
      </c>
      <c r="BD373" s="24" t="inlineStr">
        <is>
          <t>95b84332c75d2ce54036eb8de6ada9c78d0f80228c50825c0347281a8b9b49c7</t>
        </is>
      </c>
      <c r="BE373" s="24" t="inlineStr">
        <is>
          <t>v3</t>
        </is>
      </c>
      <c r="BF373" s="24" t="inlineStr">
        <is>
          <t>1</t>
        </is>
      </c>
      <c r="BG373" s="24" t="inlineStr">
        <is>
          <t>measured-edge-paired-v1</t>
        </is>
      </c>
      <c r="BH373" s="24" t="inlineStr">
        <is>
          <t>2026-08-10T16:35:10.426686Z</t>
        </is>
      </c>
      <c r="BI373" s="24" t="inlineStr">
        <is>
          <t>["same_event","same_team_same_day","same_league_same_day"]</t>
        </is>
      </c>
      <c r="BJ373" s="25" t="n">
        <v>7.5</v>
      </c>
      <c r="BK373" s="26" t="n">
        <v>-115</v>
      </c>
      <c r="BL373" s="27" t="n">
        <v>1.869565</v>
      </c>
      <c r="BM373" s="28" t="n">
        <v>0.534884</v>
      </c>
      <c r="BN373" s="28" t="n">
        <v>0.532338</v>
      </c>
      <c r="BO373" s="28" t="n"/>
      <c r="BP373" s="25" t="n"/>
      <c r="BQ373" s="27" t="n">
        <v>1.869565</v>
      </c>
      <c r="BR373" s="28" t="n">
        <v>0.535</v>
      </c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False</t>
        </is>
      </c>
    </row>
    <row r="374" ht="36" customHeight="1">
      <c r="A374" s="24" t="inlineStr">
        <is>
          <t>aebd782f3f5441cc</t>
        </is>
      </c>
      <c r="B374" s="24" t="inlineStr">
        <is>
          <t>2026-08-10T16:35:10.426686Z</t>
        </is>
      </c>
      <c r="C374" s="24" t="inlineStr">
        <is>
          <t>2026-08-11T01:40Z</t>
        </is>
      </c>
      <c r="D374" s="24" t="inlineStr">
        <is>
          <t>401816473</t>
        </is>
      </c>
      <c r="E374" s="24" t="inlineStr">
        <is>
          <t>MLB</t>
        </is>
      </c>
      <c r="F374" s="24" t="inlineStr">
        <is>
          <t>Colorado Rockies</t>
        </is>
      </c>
      <c r="G374" s="24" t="inlineStr">
        <is>
          <t>Arizona Diamondbacks</t>
        </is>
      </c>
      <c r="H374" s="24" t="inlineStr">
        <is>
          <t>spread</t>
        </is>
      </c>
      <c r="I374" s="24" t="inlineStr">
        <is>
          <t>away</t>
        </is>
      </c>
      <c r="J374" s="25" t="n">
        <v>1.5</v>
      </c>
      <c r="K374" s="24" t="inlineStr">
        <is>
          <t>polymarket_us</t>
        </is>
      </c>
      <c r="L374" s="26" t="n">
        <v>-111</v>
      </c>
      <c r="M374" s="27" t="n">
        <v>1.900901</v>
      </c>
      <c r="N374" s="28" t="n">
        <v>0.526066</v>
      </c>
      <c r="O374" s="28" t="n">
        <v>0.578395</v>
      </c>
      <c r="P374" s="28" t="n">
        <v>0.05172</v>
      </c>
      <c r="Q374" s="28" t="n">
        <v>0.052329</v>
      </c>
      <c r="R374" s="26" t="n">
        <v>47</v>
      </c>
      <c r="S374" s="29" t="n">
        <v>1.25</v>
      </c>
      <c r="T374" s="24" t="inlineStr">
        <is>
          <t>measured-edge-margin-v3</t>
        </is>
      </c>
      <c r="U374" s="24" t="inlineStr">
        <is>
          <t>settled</t>
        </is>
      </c>
      <c r="V374" s="24" t="inlineStr">
        <is>
          <t>loss</t>
        </is>
      </c>
      <c r="W374" s="26" t="n">
        <v>0</v>
      </c>
      <c r="X374" s="26" t="n">
        <v>9</v>
      </c>
      <c r="Y374" s="25" t="n">
        <v>1.5</v>
      </c>
      <c r="Z374" s="26" t="n">
        <v>-111</v>
      </c>
      <c r="AA374" s="28" t="n">
        <v>0.525</v>
      </c>
      <c r="AB374" s="28" t="n">
        <v>-0.001066</v>
      </c>
      <c r="AC374" s="30" t="n">
        <v>-1.25</v>
      </c>
      <c r="AD374" s="24" t="inlineStr">
        <is>
          <t>2026-08-11T13:06:49.752557Z</t>
        </is>
      </c>
      <c r="AE374" s="31" t="inlineStr">
        <is>
          <t>Measured Edge Margin: Trend Engine projected 4.36-4.90; raw selected-side p=0.6150, calibrated p=0.5784.</t>
        </is>
      </c>
      <c r="AF374" s="31" t="inlineStr">
        <is>
          <t>Research-only; lineup, bullpen, park, weather, xFIP, and wRC+ may be neutral fallbacks; market availability and BBO depth may change before first pitch.</t>
        </is>
      </c>
      <c r="AG374" s="24" t="inlineStr">
        <is>
          <t>review_required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3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mlb-col</t>
        </is>
      </c>
      <c r="AQ374" s="24" t="inlineStr">
        <is>
          <t>Colorado Rockies</t>
        </is>
      </c>
      <c r="AR374" s="24" t="inlineStr">
        <is>
          <t>Colorado Rockies</t>
        </is>
      </c>
      <c r="AS374" s="24" t="inlineStr">
        <is>
          <t>mlb-ari</t>
        </is>
      </c>
      <c r="AT374" s="24" t="inlineStr">
        <is>
          <t>Arizona Diamondbacks</t>
        </is>
      </c>
      <c r="AU374" s="24" t="inlineStr">
        <is>
          <t>Arizona Diamondbacks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research</t>
        </is>
      </c>
      <c r="BA374" s="24" t="inlineStr">
        <is>
          <t>dd339a2eed50d7d83ab2127837995ddab82e879afd27f5414bb6c1f9cd60ba4c</t>
        </is>
      </c>
      <c r="BB374" s="24" t="inlineStr">
        <is>
          <t>flat_probability_shrinkage_toward_half</t>
        </is>
      </c>
      <c r="BC374" s="24" t="inlineStr">
        <is>
          <t>measured-edge-margin-v3</t>
        </is>
      </c>
      <c r="BD374" s="24" t="inlineStr">
        <is>
          <t>dd339a2eed50d7d83ab2127837995ddab82e879afd27f5414bb6c1f9cd60ba4c</t>
        </is>
      </c>
      <c r="BE374" s="24" t="inlineStr">
        <is>
          <t>v3</t>
        </is>
      </c>
      <c r="BF374" s="24" t="inlineStr">
        <is>
          <t>1</t>
        </is>
      </c>
      <c r="BG374" s="24" t="inlineStr">
        <is>
          <t>measured-edge-paired-v1</t>
        </is>
      </c>
      <c r="BH374" s="24" t="inlineStr">
        <is>
          <t>2026-08-10T16:35:10.426686Z</t>
        </is>
      </c>
      <c r="BI374" s="24" t="inlineStr">
        <is>
          <t>["same_event","same_team_same_day","same_league_same_day"]</t>
        </is>
      </c>
      <c r="BJ374" s="25" t="n">
        <v>1.5</v>
      </c>
      <c r="BK374" s="26" t="n">
        <v>-111</v>
      </c>
      <c r="BL374" s="27" t="n">
        <v>1.900901</v>
      </c>
      <c r="BM374" s="28" t="n">
        <v>0.526066</v>
      </c>
      <c r="BN374" s="28" t="n">
        <v>0.522388</v>
      </c>
      <c r="BO374" s="28" t="n"/>
      <c r="BP374" s="25" t="n"/>
      <c r="BQ374" s="27" t="n">
        <v>1.900901</v>
      </c>
      <c r="BR374" s="28" t="n">
        <v>0.525</v>
      </c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</row>
    <row r="375" ht="36" customHeight="1">
      <c r="A375" s="24" t="inlineStr">
        <is>
          <t>9f0c0a281c79402e</t>
        </is>
      </c>
      <c r="B375" s="24" t="inlineStr">
        <is>
          <t>2026-08-10T16:35:10.426686Z</t>
        </is>
      </c>
      <c r="C375" s="24" t="inlineStr">
        <is>
          <t>2026-08-11T01:40Z</t>
        </is>
      </c>
      <c r="D375" s="24" t="inlineStr">
        <is>
          <t>401816473</t>
        </is>
      </c>
      <c r="E375" s="24" t="inlineStr">
        <is>
          <t>MLB</t>
        </is>
      </c>
      <c r="F375" s="24" t="inlineStr">
        <is>
          <t>Colorado Rockies</t>
        </is>
      </c>
      <c r="G375" s="24" t="inlineStr">
        <is>
          <t>Arizona Diamondbacks</t>
        </is>
      </c>
      <c r="H375" s="24" t="inlineStr">
        <is>
          <t>total</t>
        </is>
      </c>
      <c r="I375" s="24" t="inlineStr">
        <is>
          <t>over</t>
        </is>
      </c>
      <c r="J375" s="25" t="n">
        <v>8.5</v>
      </c>
      <c r="K375" s="24" t="inlineStr">
        <is>
          <t>polymarket_us</t>
        </is>
      </c>
      <c r="L375" s="26" t="n">
        <v>-113</v>
      </c>
      <c r="M375" s="27" t="n">
        <v>1.884956</v>
      </c>
      <c r="N375" s="28" t="n">
        <v>0.530516</v>
      </c>
      <c r="O375" s="28" t="n">
        <v>0.514618</v>
      </c>
      <c r="P375" s="28" t="n">
        <v>0.05172</v>
      </c>
      <c r="Q375" s="28" t="n">
        <v>-0.015898</v>
      </c>
      <c r="R375" s="26" t="n">
        <v>13</v>
      </c>
      <c r="S375" s="29" t="n">
        <v>1</v>
      </c>
      <c r="T375" s="24" t="inlineStr">
        <is>
          <t>measured-edge-totals-v3</t>
        </is>
      </c>
      <c r="U375" s="24" t="inlineStr">
        <is>
          <t>settled</t>
        </is>
      </c>
      <c r="V375" s="24" t="inlineStr">
        <is>
          <t>win</t>
        </is>
      </c>
      <c r="W375" s="26" t="n">
        <v>0</v>
      </c>
      <c r="X375" s="26" t="n">
        <v>9</v>
      </c>
      <c r="Y375" s="25" t="n">
        <v>8.5</v>
      </c>
      <c r="Z375" s="26" t="n">
        <v>-113</v>
      </c>
      <c r="AA375" s="28" t="n">
        <v>0.53</v>
      </c>
      <c r="AB375" s="28" t="n">
        <v>-0.000516</v>
      </c>
      <c r="AC375" s="30" t="n">
        <v>0.885</v>
      </c>
      <c r="AD375" s="24" t="inlineStr">
        <is>
          <t>2026-08-11T13:06:51.293822Z</t>
        </is>
      </c>
      <c r="AE375" s="31" t="inlineStr">
        <is>
          <t>Measured Edge Totals: Trend Engine projected 4.36-4.90; raw selected-side p=0.5355, calibrated p=0.5146.</t>
        </is>
      </c>
      <c r="AF375" s="31" t="inlineStr">
        <is>
          <t>Research-only; lineup, bullpen, park, weather, xFIP, and wRC+ may be neutral fallbacks; market availability and BBO depth may change before first pitch.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3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mlb-col</t>
        </is>
      </c>
      <c r="AQ375" s="24" t="inlineStr">
        <is>
          <t>Colorado Rockies</t>
        </is>
      </c>
      <c r="AR375" s="24" t="inlineStr">
        <is>
          <t>Colorado Rockies</t>
        </is>
      </c>
      <c r="AS375" s="24" t="inlineStr">
        <is>
          <t>mlb-ari</t>
        </is>
      </c>
      <c r="AT375" s="24" t="inlineStr">
        <is>
          <t>Arizona Diamondbacks</t>
        </is>
      </c>
      <c r="AU375" s="24" t="inlineStr">
        <is>
          <t>Arizona Diamondbacks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research</t>
        </is>
      </c>
      <c r="BA375" s="24" t="inlineStr">
        <is>
          <t>95b84332c75d2ce54036eb8de6ada9c78d0f80228c50825c0347281a8b9b49c7</t>
        </is>
      </c>
      <c r="BB375" s="24" t="inlineStr">
        <is>
          <t>flat_probability_shrinkage_toward_half</t>
        </is>
      </c>
      <c r="BC375" s="24" t="inlineStr">
        <is>
          <t>measured-edge-totals-v3</t>
        </is>
      </c>
      <c r="BD375" s="24" t="inlineStr">
        <is>
          <t>95b84332c75d2ce54036eb8de6ada9c78d0f80228c50825c0347281a8b9b49c7</t>
        </is>
      </c>
      <c r="BE375" s="24" t="inlineStr">
        <is>
          <t>v3</t>
        </is>
      </c>
      <c r="BF375" s="24" t="inlineStr">
        <is>
          <t>1</t>
        </is>
      </c>
      <c r="BG375" s="24" t="inlineStr">
        <is>
          <t>measured-edge-paired-v1</t>
        </is>
      </c>
      <c r="BH375" s="24" t="inlineStr">
        <is>
          <t>2026-08-10T16:35:10.426686Z</t>
        </is>
      </c>
      <c r="BI375" s="24" t="inlineStr">
        <is>
          <t>["same_event","same_team_same_day","same_league_same_day"]</t>
        </is>
      </c>
      <c r="BJ375" s="25" t="n">
        <v>8.5</v>
      </c>
      <c r="BK375" s="26" t="n">
        <v>-113</v>
      </c>
      <c r="BL375" s="27" t="n">
        <v>1.884956</v>
      </c>
      <c r="BM375" s="28" t="n">
        <v>0.530516</v>
      </c>
      <c r="BN375" s="28" t="n">
        <v>0.527363</v>
      </c>
      <c r="BO375" s="28" t="n"/>
      <c r="BP375" s="25" t="n"/>
      <c r="BQ375" s="27" t="n">
        <v>1.884956</v>
      </c>
      <c r="BR375" s="28" t="n">
        <v>0.53</v>
      </c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</row>
    <row r="376" ht="36" customHeight="1">
      <c r="A376" s="24" t="inlineStr">
        <is>
          <t>cf86abe623ea452c</t>
        </is>
      </c>
      <c r="B376" s="24" t="inlineStr">
        <is>
          <t>2026-08-10T16:35:10.426686Z</t>
        </is>
      </c>
      <c r="C376" s="24" t="inlineStr">
        <is>
          <t>2026-08-11T01:40Z</t>
        </is>
      </c>
      <c r="D376" s="24" t="inlineStr">
        <is>
          <t>401816476</t>
        </is>
      </c>
      <c r="E376" s="24" t="inlineStr">
        <is>
          <t>MLB</t>
        </is>
      </c>
      <c r="F376" s="24" t="inlineStr">
        <is>
          <t>Milwaukee Brewers</t>
        </is>
      </c>
      <c r="G376" s="24" t="inlineStr">
        <is>
          <t>San Diego Padres</t>
        </is>
      </c>
      <c r="H376" s="24" t="inlineStr">
        <is>
          <t>spread</t>
        </is>
      </c>
      <c r="I376" s="24" t="inlineStr">
        <is>
          <t>home</t>
        </is>
      </c>
      <c r="J376" s="25" t="n">
        <v>1.5</v>
      </c>
      <c r="K376" s="24" t="inlineStr">
        <is>
          <t>polymarket_us</t>
        </is>
      </c>
      <c r="L376" s="26" t="n">
        <v>-163</v>
      </c>
      <c r="M376" s="27" t="n">
        <v>1.613497</v>
      </c>
      <c r="N376" s="28" t="n">
        <v>0.619772</v>
      </c>
      <c r="O376" s="28" t="n">
        <v>0.591614</v>
      </c>
      <c r="P376" s="28" t="n">
        <v>0.042131</v>
      </c>
      <c r="Q376" s="28" t="n">
        <v>-0.028158</v>
      </c>
      <c r="R376" s="26" t="n">
        <v>12</v>
      </c>
      <c r="S376" s="29" t="n">
        <v>1.25</v>
      </c>
      <c r="T376" s="24" t="inlineStr">
        <is>
          <t>measured-edge-margin-v3</t>
        </is>
      </c>
      <c r="U376" s="24" t="inlineStr">
        <is>
          <t>settled</t>
        </is>
      </c>
      <c r="V376" s="24" t="inlineStr">
        <is>
          <t>win</t>
        </is>
      </c>
      <c r="W376" s="26" t="n">
        <v>2</v>
      </c>
      <c r="X376" s="26" t="n">
        <v>3</v>
      </c>
      <c r="Y376" s="25" t="n">
        <v>1.5</v>
      </c>
      <c r="Z376" s="26" t="n">
        <v>-163</v>
      </c>
      <c r="AA376" s="28" t="n">
        <v>0.62</v>
      </c>
      <c r="AB376" s="28" t="n">
        <v>0.000228</v>
      </c>
      <c r="AC376" s="30" t="n">
        <v>0.7669</v>
      </c>
      <c r="AD376" s="24" t="inlineStr">
        <is>
          <t>2026-08-11T13:06:52.752457Z</t>
        </is>
      </c>
      <c r="AE376" s="31" t="inlineStr">
        <is>
          <t>Measured Edge Margin: Trend Engine projected 4.48-4.13; raw selected-side p=0.6344, calibrated p=0.5916.</t>
        </is>
      </c>
      <c r="AF376" s="31" t="inlineStr">
        <is>
          <t>Research-only; lineup, bullpen, park, weather, xFIP, and wRC+ may be neutral fallbacks; market availability and BBO depth may change before first pitch.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3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mlb-mil</t>
        </is>
      </c>
      <c r="AQ376" s="24" t="inlineStr">
        <is>
          <t>Milwaukee Brewers</t>
        </is>
      </c>
      <c r="AR376" s="24" t="inlineStr">
        <is>
          <t>Milwaukee Brewers</t>
        </is>
      </c>
      <c r="AS376" s="24" t="inlineStr">
        <is>
          <t>mlb-sd</t>
        </is>
      </c>
      <c r="AT376" s="24" t="inlineStr">
        <is>
          <t>San Diego Padres</t>
        </is>
      </c>
      <c r="AU376" s="24" t="inlineStr">
        <is>
          <t>San Diego Padres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research</t>
        </is>
      </c>
      <c r="BA376" s="24" t="inlineStr">
        <is>
          <t>dd339a2eed50d7d83ab2127837995ddab82e879afd27f5414bb6c1f9cd60ba4c</t>
        </is>
      </c>
      <c r="BB376" s="24" t="inlineStr">
        <is>
          <t>flat_probability_shrinkage_toward_half</t>
        </is>
      </c>
      <c r="BC376" s="24" t="inlineStr">
        <is>
          <t>measured-edge-margin-v3</t>
        </is>
      </c>
      <c r="BD376" s="24" t="inlineStr">
        <is>
          <t>dd339a2eed50d7d83ab2127837995ddab82e879afd27f5414bb6c1f9cd60ba4c</t>
        </is>
      </c>
      <c r="BE376" s="24" t="inlineStr">
        <is>
          <t>v3</t>
        </is>
      </c>
      <c r="BF376" s="24" t="inlineStr">
        <is>
          <t>1</t>
        </is>
      </c>
      <c r="BG376" s="24" t="inlineStr">
        <is>
          <t>measured-edge-paired-v1</t>
        </is>
      </c>
      <c r="BH376" s="24" t="inlineStr">
        <is>
          <t>2026-08-10T16:35:10.426686Z</t>
        </is>
      </c>
      <c r="BI376" s="24" t="inlineStr">
        <is>
          <t>["same_event","same_team_same_day","same_league_same_day"]</t>
        </is>
      </c>
      <c r="BJ376" s="25" t="n">
        <v>1.5</v>
      </c>
      <c r="BK376" s="26" t="n">
        <v>-163</v>
      </c>
      <c r="BL376" s="27" t="n">
        <v>1.613497</v>
      </c>
      <c r="BM376" s="28" t="n">
        <v>0.619772</v>
      </c>
      <c r="BN376" s="28" t="n">
        <v>0.616915</v>
      </c>
      <c r="BO376" s="28" t="n"/>
      <c r="BP376" s="25" t="n"/>
      <c r="BQ376" s="27" t="n">
        <v>1.613497</v>
      </c>
      <c r="BR376" s="28" t="n">
        <v>0.62</v>
      </c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False</t>
        </is>
      </c>
    </row>
    <row r="377" ht="36" customHeight="1">
      <c r="A377" s="24" t="inlineStr">
        <is>
          <t>95af97cee58742cd</t>
        </is>
      </c>
      <c r="B377" s="24" t="inlineStr">
        <is>
          <t>2026-08-10T16:35:10.426686Z</t>
        </is>
      </c>
      <c r="C377" s="24" t="inlineStr">
        <is>
          <t>2026-08-11T01:40Z</t>
        </is>
      </c>
      <c r="D377" s="24" t="inlineStr">
        <is>
          <t>401816476</t>
        </is>
      </c>
      <c r="E377" s="24" t="inlineStr">
        <is>
          <t>MLB</t>
        </is>
      </c>
      <c r="F377" s="24" t="inlineStr">
        <is>
          <t>Milwaukee Brewers</t>
        </is>
      </c>
      <c r="G377" s="24" t="inlineStr">
        <is>
          <t>San Diego Padres</t>
        </is>
      </c>
      <c r="H377" s="24" t="inlineStr">
        <is>
          <t>total</t>
        </is>
      </c>
      <c r="I377" s="24" t="inlineStr">
        <is>
          <t>over</t>
        </is>
      </c>
      <c r="J377" s="25" t="n">
        <v>7.5</v>
      </c>
      <c r="K377" s="24" t="inlineStr">
        <is>
          <t>polymarket_us</t>
        </is>
      </c>
      <c r="L377" s="26" t="n">
        <v>122</v>
      </c>
      <c r="M377" s="27" t="n">
        <v>2.22</v>
      </c>
      <c r="N377" s="28" t="n">
        <v>0.45045</v>
      </c>
      <c r="O377" s="28" t="n">
        <v>0.520903</v>
      </c>
      <c r="P377" s="28" t="n">
        <v>0.042131</v>
      </c>
      <c r="Q377" s="28" t="n">
        <v>0.070453</v>
      </c>
      <c r="R377" s="26" t="n">
        <v>61</v>
      </c>
      <c r="S377" s="29" t="n">
        <v>1</v>
      </c>
      <c r="T377" s="24" t="inlineStr">
        <is>
          <t>measured-edge-totals-v3</t>
        </is>
      </c>
      <c r="U377" s="24" t="inlineStr">
        <is>
          <t>settled</t>
        </is>
      </c>
      <c r="V377" s="24" t="inlineStr">
        <is>
          <t>loss</t>
        </is>
      </c>
      <c r="W377" s="26" t="n">
        <v>2</v>
      </c>
      <c r="X377" s="26" t="n">
        <v>3</v>
      </c>
      <c r="Y377" s="25" t="n">
        <v>7.5</v>
      </c>
      <c r="Z377" s="26" t="n">
        <v>122</v>
      </c>
      <c r="AA377" s="28" t="n">
        <v>0.45</v>
      </c>
      <c r="AB377" s="28" t="n">
        <v>-0.00045</v>
      </c>
      <c r="AC377" s="30" t="n">
        <v>-1</v>
      </c>
      <c r="AD377" s="24" t="inlineStr">
        <is>
          <t>2026-08-11T13:06:54.260696Z</t>
        </is>
      </c>
      <c r="AE377" s="31" t="inlineStr">
        <is>
          <t>Measured Edge Totals: Trend Engine projected 4.48-4.13; raw selected-side p=0.5608, calibrated p=0.5209.</t>
        </is>
      </c>
      <c r="AF377" s="31" t="inlineStr">
        <is>
          <t>Research-only; lineup, bullpen, park, weather, xFIP, and wRC+ may be neutral fallbacks; market availability and BBO depth may change before first pitch.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3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mlb-mil</t>
        </is>
      </c>
      <c r="AQ377" s="24" t="inlineStr">
        <is>
          <t>Milwaukee Brewers</t>
        </is>
      </c>
      <c r="AR377" s="24" t="inlineStr">
        <is>
          <t>Milwaukee Brewers</t>
        </is>
      </c>
      <c r="AS377" s="24" t="inlineStr">
        <is>
          <t>mlb-sd</t>
        </is>
      </c>
      <c r="AT377" s="24" t="inlineStr">
        <is>
          <t>San Diego Padres</t>
        </is>
      </c>
      <c r="AU377" s="24" t="inlineStr">
        <is>
          <t>San Diego Padres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research</t>
        </is>
      </c>
      <c r="BA377" s="24" t="inlineStr">
        <is>
          <t>95b84332c75d2ce54036eb8de6ada9c78d0f80228c50825c0347281a8b9b49c7</t>
        </is>
      </c>
      <c r="BB377" s="24" t="inlineStr">
        <is>
          <t>flat_probability_shrinkage_toward_half</t>
        </is>
      </c>
      <c r="BC377" s="24" t="inlineStr">
        <is>
          <t>measured-edge-totals-v3</t>
        </is>
      </c>
      <c r="BD377" s="24" t="inlineStr">
        <is>
          <t>95b84332c75d2ce54036eb8de6ada9c78d0f80228c50825c0347281a8b9b49c7</t>
        </is>
      </c>
      <c r="BE377" s="24" t="inlineStr">
        <is>
          <t>v3</t>
        </is>
      </c>
      <c r="BF377" s="24" t="inlineStr">
        <is>
          <t>1</t>
        </is>
      </c>
      <c r="BG377" s="24" t="inlineStr">
        <is>
          <t>measured-edge-paired-v1</t>
        </is>
      </c>
      <c r="BH377" s="24" t="inlineStr">
        <is>
          <t>2026-08-10T16:35:10.426686Z</t>
        </is>
      </c>
      <c r="BI377" s="24" t="inlineStr">
        <is>
          <t>["same_event","same_team_same_day","same_league_same_day"]</t>
        </is>
      </c>
      <c r="BJ377" s="25" t="n">
        <v>7.5</v>
      </c>
      <c r="BK377" s="26" t="n">
        <v>122</v>
      </c>
      <c r="BL377" s="27" t="n">
        <v>2.22</v>
      </c>
      <c r="BM377" s="28" t="n">
        <v>0.45045</v>
      </c>
      <c r="BN377" s="28" t="n">
        <v>0.447761</v>
      </c>
      <c r="BO377" s="28" t="n"/>
      <c r="BP377" s="25" t="n"/>
      <c r="BQ377" s="27" t="n">
        <v>2.22</v>
      </c>
      <c r="BR377" s="28" t="n">
        <v>0.45</v>
      </c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</row>
    <row r="378" ht="36" customHeight="1">
      <c r="A378" s="24" t="inlineStr">
        <is>
          <t>ebd331ffd1be43b5</t>
        </is>
      </c>
      <c r="B378" s="24" t="inlineStr">
        <is>
          <t>2026-08-10T16:35:10.426686Z</t>
        </is>
      </c>
      <c r="C378" s="24" t="inlineStr">
        <is>
          <t>2026-08-11T01:40Z</t>
        </is>
      </c>
      <c r="D378" s="24" t="inlineStr">
        <is>
          <t>401816477</t>
        </is>
      </c>
      <c r="E378" s="24" t="inlineStr">
        <is>
          <t>MLB</t>
        </is>
      </c>
      <c r="F378" s="24" t="inlineStr">
        <is>
          <t>Tampa Bay Rays</t>
        </is>
      </c>
      <c r="G378" s="24" t="inlineStr">
        <is>
          <t>Athletics</t>
        </is>
      </c>
      <c r="H378" s="24" t="inlineStr">
        <is>
          <t>spread</t>
        </is>
      </c>
      <c r="I378" s="24" t="inlineStr">
        <is>
          <t>home</t>
        </is>
      </c>
      <c r="J378" s="25" t="n">
        <v>1.5</v>
      </c>
      <c r="K378" s="24" t="inlineStr">
        <is>
          <t>polymarket_us</t>
        </is>
      </c>
      <c r="L378" s="26" t="n">
        <v>-106</v>
      </c>
      <c r="M378" s="27" t="n">
        <v>1.943396</v>
      </c>
      <c r="N378" s="28" t="n">
        <v>0.514563</v>
      </c>
      <c r="O378" s="28" t="n">
        <v>0.645922</v>
      </c>
      <c r="P378" s="28" t="n">
        <v>0.042131</v>
      </c>
      <c r="Q378" s="28" t="n">
        <v>0.131359</v>
      </c>
      <c r="R378" s="26" t="n">
        <v>91</v>
      </c>
      <c r="S378" s="29" t="n">
        <v>1.75</v>
      </c>
      <c r="T378" s="24" t="inlineStr">
        <is>
          <t>measured-edge-margin-v3</t>
        </is>
      </c>
      <c r="U378" s="24" t="inlineStr">
        <is>
          <t>settled</t>
        </is>
      </c>
      <c r="V378" s="24" t="inlineStr">
        <is>
          <t>loss</t>
        </is>
      </c>
      <c r="W378" s="26" t="n">
        <v>10</v>
      </c>
      <c r="X378" s="26" t="n">
        <v>6</v>
      </c>
      <c r="Y378" s="25" t="n">
        <v>1.5</v>
      </c>
      <c r="Z378" s="26" t="n">
        <v>-106</v>
      </c>
      <c r="AA378" s="28" t="n">
        <v>0.515</v>
      </c>
      <c r="AB378" s="28" t="n">
        <v>0.000437</v>
      </c>
      <c r="AC378" s="30" t="n">
        <v>-1.75</v>
      </c>
      <c r="AD378" s="24" t="inlineStr">
        <is>
          <t>2026-08-11T13:06:55.774479Z</t>
        </is>
      </c>
      <c r="AE378" s="31" t="inlineStr">
        <is>
          <t>Measured Edge Margin: Trend Engine projected 4.71-5.38; raw selected-side p=0.7141, calibrated p=0.6459.</t>
        </is>
      </c>
      <c r="AF378" s="31" t="inlineStr">
        <is>
          <t>Research-only; lineup, bullpen, park, weather, xFIP, and wRC+ may be neutral fallbacks; market availability and BBO depth may change before first pitch.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3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mlb-tb</t>
        </is>
      </c>
      <c r="AQ378" s="24" t="inlineStr">
        <is>
          <t>Tampa Bay Rays</t>
        </is>
      </c>
      <c r="AR378" s="24" t="inlineStr">
        <is>
          <t>Tampa Bay Rays</t>
        </is>
      </c>
      <c r="AS378" s="24" t="inlineStr">
        <is>
          <t>mlb-ath</t>
        </is>
      </c>
      <c r="AT378" s="24" t="inlineStr">
        <is>
          <t>Athletics</t>
        </is>
      </c>
      <c r="AU378" s="24" t="inlineStr">
        <is>
          <t>Athletics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research</t>
        </is>
      </c>
      <c r="BA378" s="24" t="inlineStr">
        <is>
          <t>dd339a2eed50d7d83ab2127837995ddab82e879afd27f5414bb6c1f9cd60ba4c</t>
        </is>
      </c>
      <c r="BB378" s="24" t="inlineStr">
        <is>
          <t>flat_probability_shrinkage_toward_half</t>
        </is>
      </c>
      <c r="BC378" s="24" t="inlineStr">
        <is>
          <t>measured-edge-margin-v3</t>
        </is>
      </c>
      <c r="BD378" s="24" t="inlineStr">
        <is>
          <t>dd339a2eed50d7d83ab2127837995ddab82e879afd27f5414bb6c1f9cd60ba4c</t>
        </is>
      </c>
      <c r="BE378" s="24" t="inlineStr">
        <is>
          <t>v3</t>
        </is>
      </c>
      <c r="BF378" s="24" t="inlineStr">
        <is>
          <t>1</t>
        </is>
      </c>
      <c r="BG378" s="24" t="inlineStr">
        <is>
          <t>measured-edge-paired-v1</t>
        </is>
      </c>
      <c r="BH378" s="24" t="inlineStr">
        <is>
          <t>2026-08-10T16:35:10.426686Z</t>
        </is>
      </c>
      <c r="BI378" s="24" t="inlineStr">
        <is>
          <t>["same_event","same_team_same_day","same_league_same_day"]</t>
        </is>
      </c>
      <c r="BJ378" s="25" t="n">
        <v>1.5</v>
      </c>
      <c r="BK378" s="26" t="n">
        <v>-106</v>
      </c>
      <c r="BL378" s="27" t="n">
        <v>1.943396</v>
      </c>
      <c r="BM378" s="28" t="n">
        <v>0.514563</v>
      </c>
      <c r="BN378" s="28" t="n">
        <v>0.5124379999999999</v>
      </c>
      <c r="BO378" s="28" t="n"/>
      <c r="BP378" s="25" t="n"/>
      <c r="BQ378" s="27" t="n">
        <v>1.943396</v>
      </c>
      <c r="BR378" s="28" t="n">
        <v>0.515</v>
      </c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</row>
    <row r="379" ht="36" customHeight="1">
      <c r="A379" s="24" t="inlineStr">
        <is>
          <t>3cdf18f9420f4632</t>
        </is>
      </c>
      <c r="B379" s="24" t="inlineStr">
        <is>
          <t>2026-08-10T16:35:10.426686Z</t>
        </is>
      </c>
      <c r="C379" s="24" t="inlineStr">
        <is>
          <t>2026-08-11T01:40Z</t>
        </is>
      </c>
      <c r="D379" s="24" t="inlineStr">
        <is>
          <t>401816477</t>
        </is>
      </c>
      <c r="E379" s="24" t="inlineStr">
        <is>
          <t>MLB</t>
        </is>
      </c>
      <c r="F379" s="24" t="inlineStr">
        <is>
          <t>Tampa Bay Rays</t>
        </is>
      </c>
      <c r="G379" s="24" t="inlineStr">
        <is>
          <t>Athletics</t>
        </is>
      </c>
      <c r="H379" s="24" t="inlineStr">
        <is>
          <t>total</t>
        </is>
      </c>
      <c r="I379" s="24" t="inlineStr">
        <is>
          <t>over</t>
        </is>
      </c>
      <c r="J379" s="25" t="n">
        <v>9.5</v>
      </c>
      <c r="K379" s="24" t="inlineStr">
        <is>
          <t>polymarket_us</t>
        </is>
      </c>
      <c r="L379" s="26" t="n">
        <v>-113</v>
      </c>
      <c r="M379" s="27" t="n">
        <v>1.884956</v>
      </c>
      <c r="N379" s="28" t="n">
        <v>0.530516</v>
      </c>
      <c r="O379" s="28" t="n">
        <v>0.505862</v>
      </c>
      <c r="P379" s="28" t="n">
        <v>0.042131</v>
      </c>
      <c r="Q379" s="28" t="n">
        <v>-0.024654</v>
      </c>
      <c r="R379" s="26" t="n">
        <v>15</v>
      </c>
      <c r="S379" s="29" t="n">
        <v>1</v>
      </c>
      <c r="T379" s="24" t="inlineStr">
        <is>
          <t>measured-edge-totals-v3</t>
        </is>
      </c>
      <c r="U379" s="24" t="inlineStr">
        <is>
          <t>settled</t>
        </is>
      </c>
      <c r="V379" s="24" t="inlineStr">
        <is>
          <t>win</t>
        </is>
      </c>
      <c r="W379" s="26" t="n">
        <v>10</v>
      </c>
      <c r="X379" s="26" t="n">
        <v>6</v>
      </c>
      <c r="Y379" s="25" t="n">
        <v>9.5</v>
      </c>
      <c r="Z379" s="26" t="n">
        <v>-113</v>
      </c>
      <c r="AA379" s="28" t="n">
        <v>0.53</v>
      </c>
      <c r="AB379" s="28" t="n">
        <v>-0.000516</v>
      </c>
      <c r="AC379" s="30" t="n">
        <v>0.885</v>
      </c>
      <c r="AD379" s="24" t="inlineStr">
        <is>
          <t>2026-08-11T13:06:57.233263Z</t>
        </is>
      </c>
      <c r="AE379" s="31" t="inlineStr">
        <is>
          <t>Measured Edge Totals: Trend Engine projected 4.71-5.38; raw selected-side p=0.5002, calibrated p=0.5059.</t>
        </is>
      </c>
      <c r="AF379" s="31" t="inlineStr">
        <is>
          <t>Research-only; lineup, bullpen, park, weather, xFIP, and wRC+ may be neutral fallbacks; market availability and BBO depth may change before first pitch.</t>
        </is>
      </c>
      <c r="AG379" s="24" t="inlineStr">
        <is>
          <t>not_applicable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3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mlb-tb</t>
        </is>
      </c>
      <c r="AQ379" s="24" t="inlineStr">
        <is>
          <t>Tampa Bay Rays</t>
        </is>
      </c>
      <c r="AR379" s="24" t="inlineStr">
        <is>
          <t>Tampa Bay Rays</t>
        </is>
      </c>
      <c r="AS379" s="24" t="inlineStr">
        <is>
          <t>mlb-ath</t>
        </is>
      </c>
      <c r="AT379" s="24" t="inlineStr">
        <is>
          <t>Athletics</t>
        </is>
      </c>
      <c r="AU379" s="24" t="inlineStr">
        <is>
          <t>Athletics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research</t>
        </is>
      </c>
      <c r="BA379" s="24" t="inlineStr">
        <is>
          <t>95b84332c75d2ce54036eb8de6ada9c78d0f80228c50825c0347281a8b9b49c7</t>
        </is>
      </c>
      <c r="BB379" s="24" t="inlineStr">
        <is>
          <t>flat_probability_shrinkage_toward_half</t>
        </is>
      </c>
      <c r="BC379" s="24" t="inlineStr">
        <is>
          <t>measured-edge-totals-v3</t>
        </is>
      </c>
      <c r="BD379" s="24" t="inlineStr">
        <is>
          <t>95b84332c75d2ce54036eb8de6ada9c78d0f80228c50825c0347281a8b9b49c7</t>
        </is>
      </c>
      <c r="BE379" s="24" t="inlineStr">
        <is>
          <t>v3</t>
        </is>
      </c>
      <c r="BF379" s="24" t="inlineStr">
        <is>
          <t>1</t>
        </is>
      </c>
      <c r="BG379" s="24" t="inlineStr">
        <is>
          <t>measured-edge-paired-v1</t>
        </is>
      </c>
      <c r="BH379" s="24" t="inlineStr">
        <is>
          <t>2026-08-10T16:35:10.426686Z</t>
        </is>
      </c>
      <c r="BI379" s="24" t="inlineStr">
        <is>
          <t>["same_event","same_team_same_day","same_league_same_day"]</t>
        </is>
      </c>
      <c r="BJ379" s="25" t="n">
        <v>9.5</v>
      </c>
      <c r="BK379" s="26" t="n">
        <v>-113</v>
      </c>
      <c r="BL379" s="27" t="n">
        <v>1.884956</v>
      </c>
      <c r="BM379" s="28" t="n">
        <v>0.530516</v>
      </c>
      <c r="BN379" s="28" t="n">
        <v>0.524752</v>
      </c>
      <c r="BO379" s="28" t="n"/>
      <c r="BP379" s="25" t="n"/>
      <c r="BQ379" s="27" t="n">
        <v>1.884956</v>
      </c>
      <c r="BR379" s="28" t="n">
        <v>0.53</v>
      </c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</row>
    <row r="380" ht="36" customHeight="1">
      <c r="A380" s="24" t="inlineStr">
        <is>
          <t>3c6e6b37ed4a4199</t>
        </is>
      </c>
      <c r="B380" s="24" t="inlineStr">
        <is>
          <t>2026-08-10T16:35:10.426686Z</t>
        </is>
      </c>
      <c r="C380" s="24" t="inlineStr">
        <is>
          <t>2026-08-11T01:45Z</t>
        </is>
      </c>
      <c r="D380" s="24" t="inlineStr">
        <is>
          <t>401816474</t>
        </is>
      </c>
      <c r="E380" s="24" t="inlineStr">
        <is>
          <t>MLB</t>
        </is>
      </c>
      <c r="F380" s="24" t="inlineStr">
        <is>
          <t>Houston Astros</t>
        </is>
      </c>
      <c r="G380" s="24" t="inlineStr">
        <is>
          <t>San Francisco Giants</t>
        </is>
      </c>
      <c r="H380" s="24" t="inlineStr">
        <is>
          <t>spread</t>
        </is>
      </c>
      <c r="I380" s="24" t="inlineStr">
        <is>
          <t>home</t>
        </is>
      </c>
      <c r="J380" s="25" t="n">
        <v>1.5</v>
      </c>
      <c r="K380" s="24" t="inlineStr">
        <is>
          <t>polymarket_us</t>
        </is>
      </c>
      <c r="L380" s="26" t="n">
        <v>-127</v>
      </c>
      <c r="M380" s="27" t="n">
        <v>1.787402</v>
      </c>
      <c r="N380" s="28" t="n">
        <v>0.5594710000000001</v>
      </c>
      <c r="O380" s="28" t="n">
        <v>0.621289</v>
      </c>
      <c r="P380" s="28" t="n">
        <v>0.05172</v>
      </c>
      <c r="Q380" s="28" t="n">
        <v>0.061818</v>
      </c>
      <c r="R380" s="26" t="n">
        <v>51</v>
      </c>
      <c r="S380" s="29" t="n">
        <v>1.5</v>
      </c>
      <c r="T380" s="24" t="inlineStr">
        <is>
          <t>measured-edge-margin-v3</t>
        </is>
      </c>
      <c r="U380" s="24" t="inlineStr">
        <is>
          <t>settled</t>
        </is>
      </c>
      <c r="V380" s="24" t="inlineStr">
        <is>
          <t>loss</t>
        </is>
      </c>
      <c r="W380" s="26" t="n">
        <v>6</v>
      </c>
      <c r="X380" s="26" t="n">
        <v>3</v>
      </c>
      <c r="Y380" s="25" t="n">
        <v>1.5</v>
      </c>
      <c r="Z380" s="26" t="n">
        <v>-127</v>
      </c>
      <c r="AA380" s="28" t="n">
        <v>0.5600000000000001</v>
      </c>
      <c r="AB380" s="28" t="n">
        <v>0.000529</v>
      </c>
      <c r="AC380" s="30" t="n">
        <v>-1.5</v>
      </c>
      <c r="AD380" s="24" t="inlineStr">
        <is>
          <t>2026-08-11T13:06:58.742669Z</t>
        </is>
      </c>
      <c r="AE380" s="31" t="inlineStr">
        <is>
          <t>Measured Edge Margin: Trend Engine projected 4.41-4.47; raw selected-side p=0.6780, calibrated p=0.6213.</t>
        </is>
      </c>
      <c r="AF380" s="31" t="inlineStr">
        <is>
          <t>Research-only; lineup, bullpen, park, weather, xFIP, and wRC+ may be neutral fallbacks; market availability and BBO depth may change before first pitch.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3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mlb-hou</t>
        </is>
      </c>
      <c r="AQ380" s="24" t="inlineStr">
        <is>
          <t>Houston Astros</t>
        </is>
      </c>
      <c r="AR380" s="24" t="inlineStr">
        <is>
          <t>Houston Astros</t>
        </is>
      </c>
      <c r="AS380" s="24" t="inlineStr">
        <is>
          <t>mlb-sf</t>
        </is>
      </c>
      <c r="AT380" s="24" t="inlineStr">
        <is>
          <t>San Francisco Giants</t>
        </is>
      </c>
      <c r="AU380" s="24" t="inlineStr">
        <is>
          <t>San Francisco Giants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research</t>
        </is>
      </c>
      <c r="BA380" s="24" t="inlineStr">
        <is>
          <t>dd339a2eed50d7d83ab2127837995ddab82e879afd27f5414bb6c1f9cd60ba4c</t>
        </is>
      </c>
      <c r="BB380" s="24" t="inlineStr">
        <is>
          <t>flat_probability_shrinkage_toward_half</t>
        </is>
      </c>
      <c r="BC380" s="24" t="inlineStr">
        <is>
          <t>measured-edge-margin-v3</t>
        </is>
      </c>
      <c r="BD380" s="24" t="inlineStr">
        <is>
          <t>dd339a2eed50d7d83ab2127837995ddab82e879afd27f5414bb6c1f9cd60ba4c</t>
        </is>
      </c>
      <c r="BE380" s="24" t="inlineStr">
        <is>
          <t>v3</t>
        </is>
      </c>
      <c r="BF380" s="24" t="inlineStr">
        <is>
          <t>1</t>
        </is>
      </c>
      <c r="BG380" s="24" t="inlineStr">
        <is>
          <t>measured-edge-paired-v1</t>
        </is>
      </c>
      <c r="BH380" s="24" t="inlineStr">
        <is>
          <t>2026-08-10T16:35:10.426686Z</t>
        </is>
      </c>
      <c r="BI380" s="24" t="inlineStr">
        <is>
          <t>["same_event","same_team_same_day","same_league_same_day"]</t>
        </is>
      </c>
      <c r="BJ380" s="25" t="n">
        <v>1.5</v>
      </c>
      <c r="BK380" s="26" t="n">
        <v>-127</v>
      </c>
      <c r="BL380" s="27" t="n">
        <v>1.787402</v>
      </c>
      <c r="BM380" s="28" t="n">
        <v>0.5594710000000001</v>
      </c>
      <c r="BN380" s="28" t="n">
        <v>0.557214</v>
      </c>
      <c r="BO380" s="28" t="n"/>
      <c r="BP380" s="25" t="n"/>
      <c r="BQ380" s="27" t="n">
        <v>1.787402</v>
      </c>
      <c r="BR380" s="28" t="n">
        <v>0.5600000000000001</v>
      </c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</row>
    <row r="381" ht="36" customHeight="1">
      <c r="A381" s="24" t="inlineStr">
        <is>
          <t>5a37edc422be43de</t>
        </is>
      </c>
      <c r="B381" s="24" t="inlineStr">
        <is>
          <t>2026-08-10T16:35:10.426686Z</t>
        </is>
      </c>
      <c r="C381" s="24" t="inlineStr">
        <is>
          <t>2026-08-11T01:45Z</t>
        </is>
      </c>
      <c r="D381" s="24" t="inlineStr">
        <is>
          <t>401816474</t>
        </is>
      </c>
      <c r="E381" s="24" t="inlineStr">
        <is>
          <t>MLB</t>
        </is>
      </c>
      <c r="F381" s="24" t="inlineStr">
        <is>
          <t>Houston Astros</t>
        </is>
      </c>
      <c r="G381" s="24" t="inlineStr">
        <is>
          <t>San Francisco Giants</t>
        </is>
      </c>
      <c r="H381" s="24" t="inlineStr">
        <is>
          <t>total</t>
        </is>
      </c>
      <c r="I381" s="24" t="inlineStr">
        <is>
          <t>over</t>
        </is>
      </c>
      <c r="J381" s="25" t="n">
        <v>8.5</v>
      </c>
      <c r="K381" s="24" t="inlineStr">
        <is>
          <t>polymarket_us</t>
        </is>
      </c>
      <c r="L381" s="26" t="n">
        <v>108</v>
      </c>
      <c r="M381" s="27" t="n">
        <v>2.08</v>
      </c>
      <c r="N381" s="28" t="n">
        <v>0.480769</v>
      </c>
      <c r="O381" s="28" t="n">
        <v>0.507502</v>
      </c>
      <c r="P381" s="28" t="n">
        <v>0.05172</v>
      </c>
      <c r="Q381" s="28" t="n">
        <v>0.026733</v>
      </c>
      <c r="R381" s="26" t="n">
        <v>34</v>
      </c>
      <c r="S381" s="29" t="n">
        <v>1</v>
      </c>
      <c r="T381" s="24" t="inlineStr">
        <is>
          <t>measured-edge-totals-v3</t>
        </is>
      </c>
      <c r="U381" s="24" t="inlineStr">
        <is>
          <t>settled</t>
        </is>
      </c>
      <c r="V381" s="24" t="inlineStr">
        <is>
          <t>win</t>
        </is>
      </c>
      <c r="W381" s="26" t="n">
        <v>6</v>
      </c>
      <c r="X381" s="26" t="n">
        <v>3</v>
      </c>
      <c r="Y381" s="25" t="n">
        <v>8.5</v>
      </c>
      <c r="Z381" s="26" t="n">
        <v>108</v>
      </c>
      <c r="AA381" s="28" t="n">
        <v>0.48</v>
      </c>
      <c r="AB381" s="28" t="n">
        <v>-0.000769</v>
      </c>
      <c r="AC381" s="30" t="n">
        <v>1.08</v>
      </c>
      <c r="AD381" s="24" t="inlineStr">
        <is>
          <t>2026-08-11T13:07:00.251270Z</t>
        </is>
      </c>
      <c r="AE381" s="31" t="inlineStr">
        <is>
          <t>Measured Edge Totals: Trend Engine projected 4.41-4.47; raw selected-side p=0.5069, calibrated p=0.5075.</t>
        </is>
      </c>
      <c r="AF381" s="31" t="inlineStr">
        <is>
          <t>Research-only; lineup, bullpen, park, weather, xFIP, and wRC+ may be neutral fallbacks; market availability and BBO depth may change before first pitch.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model_qualified</t>
        </is>
      </c>
      <c r="AL381" s="26" t="n">
        <v>3</v>
      </c>
      <c r="AM381" s="24" t="inlineStr">
        <is>
          <t>QUALIFIED_SHADOW_CALL</t>
        </is>
      </c>
      <c r="AN381" s="24" t="inlineStr">
        <is>
          <t>CALL</t>
        </is>
      </c>
      <c r="AO381" s="24" t="inlineStr">
        <is>
          <t>QUALIFIED</t>
        </is>
      </c>
      <c r="AP381" s="24" t="inlineStr">
        <is>
          <t>mlb-hou</t>
        </is>
      </c>
      <c r="AQ381" s="24" t="inlineStr">
        <is>
          <t>Houston Astros</t>
        </is>
      </c>
      <c r="AR381" s="24" t="inlineStr">
        <is>
          <t>Houston Astros</t>
        </is>
      </c>
      <c r="AS381" s="24" t="inlineStr">
        <is>
          <t>mlb-sf</t>
        </is>
      </c>
      <c r="AT381" s="24" t="inlineStr">
        <is>
          <t>San Francisco Giants</t>
        </is>
      </c>
      <c r="AU381" s="24" t="inlineStr">
        <is>
          <t>San Francisco Giants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research</t>
        </is>
      </c>
      <c r="BA381" s="24" t="inlineStr">
        <is>
          <t>95b84332c75d2ce54036eb8de6ada9c78d0f80228c50825c0347281a8b9b49c7</t>
        </is>
      </c>
      <c r="BB381" s="24" t="inlineStr">
        <is>
          <t>flat_probability_shrinkage_toward_half</t>
        </is>
      </c>
      <c r="BC381" s="24" t="inlineStr">
        <is>
          <t>measured-edge-totals-v3</t>
        </is>
      </c>
      <c r="BD381" s="24" t="inlineStr">
        <is>
          <t>95b84332c75d2ce54036eb8de6ada9c78d0f80228c50825c0347281a8b9b49c7</t>
        </is>
      </c>
      <c r="BE381" s="24" t="inlineStr">
        <is>
          <t>v3</t>
        </is>
      </c>
      <c r="BF381" s="24" t="inlineStr">
        <is>
          <t>1</t>
        </is>
      </c>
      <c r="BG381" s="24" t="inlineStr">
        <is>
          <t>measured-edge-paired-v1</t>
        </is>
      </c>
      <c r="BH381" s="24" t="inlineStr">
        <is>
          <t>2026-08-10T16:35:10.426686Z</t>
        </is>
      </c>
      <c r="BI381" s="24" t="inlineStr">
        <is>
          <t>["same_event","same_team_same_day","same_league_same_day"]</t>
        </is>
      </c>
      <c r="BJ381" s="25" t="n">
        <v>8.5</v>
      </c>
      <c r="BK381" s="26" t="n">
        <v>108</v>
      </c>
      <c r="BL381" s="27" t="n">
        <v>2.08</v>
      </c>
      <c r="BM381" s="28" t="n">
        <v>0.480769</v>
      </c>
      <c r="BN381" s="28" t="n">
        <v>0.477612</v>
      </c>
      <c r="BO381" s="28" t="n"/>
      <c r="BP381" s="25" t="n"/>
      <c r="BQ381" s="27" t="n">
        <v>2.08</v>
      </c>
      <c r="BR381" s="28" t="n">
        <v>0.48</v>
      </c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True</t>
        </is>
      </c>
    </row>
    <row r="382" ht="36" customHeight="1">
      <c r="A382" s="24" t="inlineStr">
        <is>
          <t>61162c1daf2e4e19</t>
        </is>
      </c>
      <c r="B382" s="24" t="inlineStr">
        <is>
          <t>2026-08-10T16:35:10.426686Z</t>
        </is>
      </c>
      <c r="C382" s="24" t="inlineStr">
        <is>
          <t>2026-08-11T02:10Z</t>
        </is>
      </c>
      <c r="D382" s="24" t="inlineStr">
        <is>
          <t>401816475</t>
        </is>
      </c>
      <c r="E382" s="24" t="inlineStr">
        <is>
          <t>MLB</t>
        </is>
      </c>
      <c r="F382" s="24" t="inlineStr">
        <is>
          <t>Kansas City Royals</t>
        </is>
      </c>
      <c r="G382" s="24" t="inlineStr">
        <is>
          <t>Los Angeles Dodgers</t>
        </is>
      </c>
      <c r="H382" s="24" t="inlineStr">
        <is>
          <t>spread</t>
        </is>
      </c>
      <c r="I382" s="24" t="inlineStr">
        <is>
          <t>away</t>
        </is>
      </c>
      <c r="J382" s="25" t="n">
        <v>1.5</v>
      </c>
      <c r="K382" s="24" t="inlineStr">
        <is>
          <t>polymarket_us</t>
        </is>
      </c>
      <c r="L382" s="26" t="n">
        <v>113</v>
      </c>
      <c r="M382" s="27" t="n">
        <v>2.13</v>
      </c>
      <c r="N382" s="28" t="n">
        <v>0.469484</v>
      </c>
      <c r="O382" s="28" t="n">
        <v>0.570286</v>
      </c>
      <c r="P382" s="28" t="n">
        <v>0.042131</v>
      </c>
      <c r="Q382" s="28" t="n">
        <v>0.100802</v>
      </c>
      <c r="R382" s="26" t="n">
        <v>76</v>
      </c>
      <c r="S382" s="29" t="n">
        <v>1.25</v>
      </c>
      <c r="T382" s="24" t="inlineStr">
        <is>
          <t>measured-edge-margin-v3</t>
        </is>
      </c>
      <c r="U382" s="24" t="inlineStr">
        <is>
          <t>settled</t>
        </is>
      </c>
      <c r="V382" s="24" t="inlineStr">
        <is>
          <t>win</t>
        </is>
      </c>
      <c r="W382" s="26" t="n">
        <v>5</v>
      </c>
      <c r="X382" s="26" t="n">
        <v>6</v>
      </c>
      <c r="Y382" s="25" t="n">
        <v>1.5</v>
      </c>
      <c r="Z382" s="26" t="n">
        <v>113</v>
      </c>
      <c r="AA382" s="28" t="n">
        <v>0.47</v>
      </c>
      <c r="AB382" s="28" t="n">
        <v>0.000516</v>
      </c>
      <c r="AC382" s="30" t="n">
        <v>1.4125</v>
      </c>
      <c r="AD382" s="24" t="inlineStr">
        <is>
          <t>2026-08-11T13:07:01.712191Z</t>
        </is>
      </c>
      <c r="AE382" s="31" t="inlineStr">
        <is>
          <t>Measured Edge Margin: Trend Engine projected 4.01-4.71; raw selected-side p=0.6031, calibrated p=0.5703.</t>
        </is>
      </c>
      <c r="AF382" s="31" t="inlineStr">
        <is>
          <t>Research-only; lineup, bullpen, park, weather, xFIP, and wRC+ may be neutral fallbacks; market availability and BBO depth may change before first pitch.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3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mlb-kc</t>
        </is>
      </c>
      <c r="AQ382" s="24" t="inlineStr">
        <is>
          <t>Kansas City Royals</t>
        </is>
      </c>
      <c r="AR382" s="24" t="inlineStr">
        <is>
          <t>Kansas City Royals</t>
        </is>
      </c>
      <c r="AS382" s="24" t="inlineStr">
        <is>
          <t>mlb-lad</t>
        </is>
      </c>
      <c r="AT382" s="24" t="inlineStr">
        <is>
          <t>Los Angeles Dodgers</t>
        </is>
      </c>
      <c r="AU382" s="24" t="inlineStr">
        <is>
          <t>Los Angeles Dodgers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research</t>
        </is>
      </c>
      <c r="BA382" s="24" t="inlineStr">
        <is>
          <t>dd339a2eed50d7d83ab2127837995ddab82e879afd27f5414bb6c1f9cd60ba4c</t>
        </is>
      </c>
      <c r="BB382" s="24" t="inlineStr">
        <is>
          <t>flat_probability_shrinkage_toward_half</t>
        </is>
      </c>
      <c r="BC382" s="24" t="inlineStr">
        <is>
          <t>measured-edge-margin-v3</t>
        </is>
      </c>
      <c r="BD382" s="24" t="inlineStr">
        <is>
          <t>dd339a2eed50d7d83ab2127837995ddab82e879afd27f5414bb6c1f9cd60ba4c</t>
        </is>
      </c>
      <c r="BE382" s="24" t="inlineStr">
        <is>
          <t>v3</t>
        </is>
      </c>
      <c r="BF382" s="24" t="inlineStr">
        <is>
          <t>1</t>
        </is>
      </c>
      <c r="BG382" s="24" t="inlineStr">
        <is>
          <t>measured-edge-paired-v1</t>
        </is>
      </c>
      <c r="BH382" s="24" t="inlineStr">
        <is>
          <t>2026-08-10T16:35:10.426686Z</t>
        </is>
      </c>
      <c r="BI382" s="24" t="inlineStr">
        <is>
          <t>["same_event","same_team_same_day","same_league_same_day"]</t>
        </is>
      </c>
      <c r="BJ382" s="25" t="n">
        <v>1.5</v>
      </c>
      <c r="BK382" s="26" t="n">
        <v>113</v>
      </c>
      <c r="BL382" s="27" t="n">
        <v>2.13</v>
      </c>
      <c r="BM382" s="28" t="n">
        <v>0.469484</v>
      </c>
      <c r="BN382" s="28" t="n">
        <v>0.467662</v>
      </c>
      <c r="BO382" s="28" t="n"/>
      <c r="BP382" s="25" t="n"/>
      <c r="BQ382" s="27" t="n">
        <v>2.13</v>
      </c>
      <c r="BR382" s="28" t="n">
        <v>0.47</v>
      </c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</row>
    <row r="383" ht="36" customHeight="1">
      <c r="A383" s="24" t="inlineStr">
        <is>
          <t>e638a60915fb49cd</t>
        </is>
      </c>
      <c r="B383" s="24" t="inlineStr">
        <is>
          <t>2026-08-10T16:35:10.426686Z</t>
        </is>
      </c>
      <c r="C383" s="24" t="inlineStr">
        <is>
          <t>2026-08-11T02:10Z</t>
        </is>
      </c>
      <c r="D383" s="24" t="inlineStr">
        <is>
          <t>401816475</t>
        </is>
      </c>
      <c r="E383" s="24" t="inlineStr">
        <is>
          <t>MLB</t>
        </is>
      </c>
      <c r="F383" s="24" t="inlineStr">
        <is>
          <t>Kansas City Royals</t>
        </is>
      </c>
      <c r="G383" s="24" t="inlineStr">
        <is>
          <t>Los Angeles Dodgers</t>
        </is>
      </c>
      <c r="H383" s="24" t="inlineStr">
        <is>
          <t>total</t>
        </is>
      </c>
      <c r="I383" s="24" t="inlineStr">
        <is>
          <t>over</t>
        </is>
      </c>
      <c r="J383" s="25" t="n">
        <v>7.5</v>
      </c>
      <c r="K383" s="24" t="inlineStr">
        <is>
          <t>polymarket_us</t>
        </is>
      </c>
      <c r="L383" s="26" t="n">
        <v>115</v>
      </c>
      <c r="M383" s="27" t="n">
        <v>2.15</v>
      </c>
      <c r="N383" s="28" t="n">
        <v>0.465116</v>
      </c>
      <c r="O383" s="28" t="n">
        <v>0.522468</v>
      </c>
      <c r="P383" s="28" t="n">
        <v>0.042131</v>
      </c>
      <c r="Q383" s="28" t="n">
        <v>0.057352</v>
      </c>
      <c r="R383" s="26" t="n">
        <v>55</v>
      </c>
      <c r="S383" s="29" t="n">
        <v>1</v>
      </c>
      <c r="T383" s="24" t="inlineStr">
        <is>
          <t>measured-edge-totals-v3</t>
        </is>
      </c>
      <c r="U383" s="24" t="inlineStr">
        <is>
          <t>settled</t>
        </is>
      </c>
      <c r="V383" s="24" t="inlineStr">
        <is>
          <t>win</t>
        </is>
      </c>
      <c r="W383" s="26" t="n">
        <v>5</v>
      </c>
      <c r="X383" s="26" t="n">
        <v>6</v>
      </c>
      <c r="Y383" s="25" t="n">
        <v>7.5</v>
      </c>
      <c r="Z383" s="26" t="n">
        <v>115</v>
      </c>
      <c r="AA383" s="28" t="n">
        <v>0.465</v>
      </c>
      <c r="AB383" s="28" t="n">
        <v>-0.000116</v>
      </c>
      <c r="AC383" s="30" t="n">
        <v>1.15</v>
      </c>
      <c r="AD383" s="24" t="inlineStr">
        <is>
          <t>2026-08-11T13:07:03.235352Z</t>
        </is>
      </c>
      <c r="AE383" s="31" t="inlineStr">
        <is>
          <t>Measured Edge Totals: Trend Engine projected 4.01-4.71; raw selected-side p=0.5671, calibrated p=0.5225.</t>
        </is>
      </c>
      <c r="AF383" s="31" t="inlineStr">
        <is>
          <t>Research-only; lineup, bullpen, park, weather, xFIP, and wRC+ may be neutral fallbacks; market availability and BBO depth may change before first pitch.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3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mlb-kc</t>
        </is>
      </c>
      <c r="AQ383" s="24" t="inlineStr">
        <is>
          <t>Kansas City Royals</t>
        </is>
      </c>
      <c r="AR383" s="24" t="inlineStr">
        <is>
          <t>Kansas City Royals</t>
        </is>
      </c>
      <c r="AS383" s="24" t="inlineStr">
        <is>
          <t>mlb-lad</t>
        </is>
      </c>
      <c r="AT383" s="24" t="inlineStr">
        <is>
          <t>Los Angeles Dodgers</t>
        </is>
      </c>
      <c r="AU383" s="24" t="inlineStr">
        <is>
          <t>Los Angeles Dodgers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research</t>
        </is>
      </c>
      <c r="BA383" s="24" t="inlineStr">
        <is>
          <t>95b84332c75d2ce54036eb8de6ada9c78d0f80228c50825c0347281a8b9b49c7</t>
        </is>
      </c>
      <c r="BB383" s="24" t="inlineStr">
        <is>
          <t>flat_probability_shrinkage_toward_half</t>
        </is>
      </c>
      <c r="BC383" s="24" t="inlineStr">
        <is>
          <t>measured-edge-totals-v3</t>
        </is>
      </c>
      <c r="BD383" s="24" t="inlineStr">
        <is>
          <t>95b84332c75d2ce54036eb8de6ada9c78d0f80228c50825c0347281a8b9b49c7</t>
        </is>
      </c>
      <c r="BE383" s="24" t="inlineStr">
        <is>
          <t>v3</t>
        </is>
      </c>
      <c r="BF383" s="24" t="inlineStr">
        <is>
          <t>1</t>
        </is>
      </c>
      <c r="BG383" s="24" t="inlineStr">
        <is>
          <t>measured-edge-paired-v1</t>
        </is>
      </c>
      <c r="BH383" s="24" t="inlineStr">
        <is>
          <t>2026-08-10T16:35:10.426686Z</t>
        </is>
      </c>
      <c r="BI383" s="24" t="inlineStr">
        <is>
          <t>["same_event","same_team_same_day","same_league_same_day"]</t>
        </is>
      </c>
      <c r="BJ383" s="25" t="n">
        <v>7.5</v>
      </c>
      <c r="BK383" s="26" t="n">
        <v>115</v>
      </c>
      <c r="BL383" s="27" t="n">
        <v>2.15</v>
      </c>
      <c r="BM383" s="28" t="n">
        <v>0.465116</v>
      </c>
      <c r="BN383" s="28" t="n">
        <v>0.462687</v>
      </c>
      <c r="BO383" s="28" t="n"/>
      <c r="BP383" s="25" t="n"/>
      <c r="BQ383" s="27" t="n">
        <v>2.15</v>
      </c>
      <c r="BR383" s="28" t="n">
        <v>0.465</v>
      </c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</row>
    <row r="384" ht="36" customHeight="1">
      <c r="A384" s="24" t="inlineStr">
        <is>
          <t>cd884219be944373</t>
        </is>
      </c>
      <c r="B384" s="24" t="inlineStr">
        <is>
          <t>2026-08-11T19:56:37.866275Z</t>
        </is>
      </c>
      <c r="C384" s="24" t="inlineStr">
        <is>
          <t>2026-08-11T18:40:00-0400</t>
        </is>
      </c>
      <c r="D384" s="24" t="inlineStr">
        <is>
          <t>401816481</t>
        </is>
      </c>
      <c r="E384" s="24" t="inlineStr">
        <is>
          <t>MLB</t>
        </is>
      </c>
      <c r="F384" s="24" t="inlineStr">
        <is>
          <t>Cleveland Guardians</t>
        </is>
      </c>
      <c r="G384" s="24" t="inlineStr">
        <is>
          <t>Detroit Tigers</t>
        </is>
      </c>
      <c r="H384" s="24" t="inlineStr">
        <is>
          <t>moneyline</t>
        </is>
      </c>
      <c r="I384" s="24" t="inlineStr">
        <is>
          <t>home</t>
        </is>
      </c>
      <c r="J384" s="25" t="n"/>
      <c r="K384" s="24" t="inlineStr">
        <is>
          <t>polymarket_us</t>
        </is>
      </c>
      <c r="L384" s="26" t="n">
        <v>-127</v>
      </c>
      <c r="M384" s="27" t="n">
        <v>1.787402</v>
      </c>
      <c r="N384" s="28" t="n">
        <v>0.5594710000000001</v>
      </c>
      <c r="O384" s="28" t="n">
        <v>0.575088</v>
      </c>
      <c r="P384" s="28" t="n"/>
      <c r="Q384" s="28" t="n">
        <v>0.015617</v>
      </c>
      <c r="R384" s="26" t="n">
        <v>29</v>
      </c>
      <c r="S384" s="29" t="n">
        <v>0</v>
      </c>
      <c r="T384" s="24" t="inlineStr">
        <is>
          <t>mlb-elo-trend-lr-v8</t>
        </is>
      </c>
      <c r="U384" s="24" t="inlineStr">
        <is>
          <t>settled</t>
        </is>
      </c>
      <c r="V384" s="24" t="inlineStr">
        <is>
          <t>win</t>
        </is>
      </c>
      <c r="W384" s="26" t="n">
        <v>4</v>
      </c>
      <c r="X384" s="26" t="n">
        <v>6</v>
      </c>
      <c r="Y384" s="25" t="n"/>
      <c r="Z384" s="26" t="n">
        <v>-127</v>
      </c>
      <c r="AA384" s="28" t="n">
        <v>0.5600000000000001</v>
      </c>
      <c r="AB384" s="28" t="n">
        <v>0.000529</v>
      </c>
      <c r="AC384" s="30" t="n">
        <v>0</v>
      </c>
      <c r="AD384" s="24" t="inlineStr">
        <is>
          <t>2026-08-12T02:05:23.214873Z</t>
        </is>
      </c>
      <c r="AE384" s="31" t="inlineStr">
        <is>
          <t>Learned LR call at threshold 0.6197; executable ask 0.5600 (aec-mlb-cle-det-2026-08-11); model edge vs ask +0.0151.</t>
        </is>
      </c>
      <c r="AF384" s="31" t="inlineStr">
        <is>
          <t>Learned model; shadow-qualified via operator override.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research_observation</t>
        </is>
      </c>
      <c r="AL384" s="26" t="n">
        <v>3</v>
      </c>
      <c r="AM384" s="24" t="inlineStr">
        <is>
          <t>RESEARCH_OBSERVATION</t>
        </is>
      </c>
      <c r="AN384" s="24" t="inlineStr">
        <is>
          <t>NO_CALL</t>
        </is>
      </c>
      <c r="AO384" s="24" t="inlineStr">
        <is>
          <t>NO_CALL_BELOW_LEARNED_CONFIDENCE</t>
        </is>
      </c>
      <c r="AP384" s="24" t="inlineStr">
        <is>
          <t>mlb-cle</t>
        </is>
      </c>
      <c r="AQ384" s="24" t="inlineStr">
        <is>
          <t>Cleveland Guardians</t>
        </is>
      </c>
      <c r="AR384" s="24" t="inlineStr">
        <is>
          <t>Cleveland Guardians</t>
        </is>
      </c>
      <c r="AS384" s="24" t="inlineStr">
        <is>
          <t>mlb-det</t>
        </is>
      </c>
      <c r="AT384" s="24" t="inlineStr">
        <is>
          <t>Detroit Tigers</t>
        </is>
      </c>
      <c r="AU384" s="24" t="inlineStr">
        <is>
          <t>Detroit Tigers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3b345499bd6bad9bcf65367a07fe0c668fb5817d4f016a0a865c01d9212fdeb8</t>
        </is>
      </c>
      <c r="BB384" s="24" t="inlineStr">
        <is>
          <t>learned_lr</t>
        </is>
      </c>
      <c r="BC384" s="24" t="inlineStr">
        <is>
          <t>mlb-elo-trend-lr-v8</t>
        </is>
      </c>
      <c r="BD384" s="24" t="inlineStr">
        <is>
          <t>3b345499bd6bad9bcf65367a07fe0c668fb5817d4f016a0a865c01d9212fdeb8</t>
        </is>
      </c>
      <c r="BE384" s="24" t="inlineStr">
        <is>
          <t>52d459f1b051c83a</t>
        </is>
      </c>
      <c r="BF384" s="24" t="inlineStr">
        <is>
          <t>1</t>
        </is>
      </c>
      <c r="BG384" s="24" t="inlineStr">
        <is>
          <t>mlb-elo-trend-lr-v8</t>
        </is>
      </c>
      <c r="BH384" s="24" t="inlineStr">
        <is>
          <t>2026-08-11T19:55:28.449865Z</t>
        </is>
      </c>
      <c r="BI384" s="24" t="inlineStr">
        <is>
          <t>["same_event","same_team_same_day","same_league_same_day"]</t>
        </is>
      </c>
      <c r="BJ384" s="25" t="n"/>
      <c r="BK384" s="26" t="n">
        <v>-127</v>
      </c>
      <c r="BL384" s="27" t="n">
        <v>1.787402</v>
      </c>
      <c r="BM384" s="28" t="n">
        <v>0.5594710000000001</v>
      </c>
      <c r="BN384" s="28" t="n">
        <v>0.557214</v>
      </c>
      <c r="BO384" s="28" t="n"/>
      <c r="BP384" s="25" t="n"/>
      <c r="BQ384" s="27" t="n">
        <v>1.787402</v>
      </c>
      <c r="BR384" s="28" t="n">
        <v>0.5600000000000001</v>
      </c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inlineStr">
        <is>
          <t>0.5937859854</t>
        </is>
      </c>
      <c r="CD384" s="24" t="inlineStr">
        <is>
          <t>1.389878</t>
        </is>
      </c>
      <c r="CE384" s="24" t="inlineStr">
        <is>
          <t>0.963</t>
        </is>
      </c>
      <c r="CF384" s="24" t="inlineStr">
        <is>
          <t>1.0084</t>
        </is>
      </c>
      <c r="CG384" s="24" t="n"/>
      <c r="CH384" s="24" t="n"/>
      <c r="CI384" s="24" t="n"/>
      <c r="CJ384" s="24" t="inlineStr">
        <is>
          <t>2.771753</t>
        </is>
      </c>
      <c r="CK384" s="24" t="n"/>
      <c r="CL384" s="24" t="inlineStr">
        <is>
          <t>-0.464772</t>
        </is>
      </c>
      <c r="CM384" s="24" t="inlineStr">
        <is>
          <t>-2.8636</t>
        </is>
      </c>
      <c r="CN384" s="24" t="n"/>
      <c r="CO384" s="24" t="n"/>
      <c r="CP384" s="24" t="n"/>
      <c r="CQ384" s="24" t="n"/>
      <c r="CR384" s="24" t="inlineStr">
        <is>
          <t>0.575088</t>
        </is>
      </c>
      <c r="CS384" s="24" t="inlineStr">
        <is>
          <t>True</t>
        </is>
      </c>
    </row>
    <row r="385" ht="36" customHeight="1">
      <c r="A385" s="24" t="inlineStr">
        <is>
          <t>bc9a6245aa7a4214</t>
        </is>
      </c>
      <c r="B385" s="24" t="inlineStr">
        <is>
          <t>2026-08-11T19:56:37.866275Z</t>
        </is>
      </c>
      <c r="C385" s="24" t="inlineStr">
        <is>
          <t>2026-08-11T18:40:00-0400</t>
        </is>
      </c>
      <c r="D385" s="24" t="inlineStr">
        <is>
          <t>401816483</t>
        </is>
      </c>
      <c r="E385" s="24" t="inlineStr">
        <is>
          <t>MLB</t>
        </is>
      </c>
      <c r="F385" s="24" t="inlineStr">
        <is>
          <t>Pittsburgh Pirates</t>
        </is>
      </c>
      <c r="G385" s="24" t="inlineStr">
        <is>
          <t>Miami Marlins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polymarket_us</t>
        </is>
      </c>
      <c r="L385" s="26" t="n">
        <v>104</v>
      </c>
      <c r="M385" s="27" t="n">
        <v>2.04</v>
      </c>
      <c r="N385" s="28" t="n">
        <v>0.490196</v>
      </c>
      <c r="O385" s="28" t="n">
        <v>0.53764</v>
      </c>
      <c r="P385" s="28" t="n"/>
      <c r="Q385" s="28" t="n">
        <v>0.047444</v>
      </c>
      <c r="R385" s="26" t="n">
        <v>45</v>
      </c>
      <c r="S385" s="29" t="n">
        <v>0</v>
      </c>
      <c r="T385" s="24" t="inlineStr">
        <is>
          <t>mlb-elo-trend-lr-v8</t>
        </is>
      </c>
      <c r="U385" s="24" t="inlineStr">
        <is>
          <t>settled</t>
        </is>
      </c>
      <c r="V385" s="24" t="inlineStr">
        <is>
          <t>win</t>
        </is>
      </c>
      <c r="W385" s="26" t="n">
        <v>0</v>
      </c>
      <c r="X385" s="26" t="n">
        <v>2</v>
      </c>
      <c r="Y385" s="25" t="n"/>
      <c r="Z385" s="26" t="n">
        <v>104</v>
      </c>
      <c r="AA385" s="28" t="n">
        <v>0.49</v>
      </c>
      <c r="AB385" s="28" t="n">
        <v>-0.000196</v>
      </c>
      <c r="AC385" s="30" t="n">
        <v>0</v>
      </c>
      <c r="AD385" s="24" t="inlineStr">
        <is>
          <t>2026-08-12T02:05:24.855566Z</t>
        </is>
      </c>
      <c r="AE385" s="31" t="inlineStr">
        <is>
          <t>Learned LR call at threshold 0.6197; executable ask 0.4900 (aec-mlb-pit-mia-2026-08-11); model edge vs ask +0.0476. NOTE: NO_CALL_STARTER_ERA_GAP_INSUFFICIENT_HISTORY unavailable for this game — defaulted to neutral, other features used normally.</t>
        </is>
      </c>
      <c r="AF385" s="31" t="inlineStr">
        <is>
          <t>Learned model; shadow-qualified via operator override.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research_observation</t>
        </is>
      </c>
      <c r="AL385" s="26" t="n">
        <v>3</v>
      </c>
      <c r="AM385" s="24" t="inlineStr">
        <is>
          <t>RESEARCH_OBSERVATION</t>
        </is>
      </c>
      <c r="AN385" s="24" t="inlineStr">
        <is>
          <t>NO_CALL</t>
        </is>
      </c>
      <c r="AO385" s="24" t="inlineStr">
        <is>
          <t>NO_CALL_BELOW_LEARNED_CONFIDENCE</t>
        </is>
      </c>
      <c r="AP385" s="24" t="inlineStr">
        <is>
          <t>mlb-pit</t>
        </is>
      </c>
      <c r="AQ385" s="24" t="inlineStr">
        <is>
          <t>Pittsburgh Pirates</t>
        </is>
      </c>
      <c r="AR385" s="24" t="inlineStr">
        <is>
          <t>Pittsburgh Pirates</t>
        </is>
      </c>
      <c r="AS385" s="24" t="inlineStr">
        <is>
          <t>mlb-mia</t>
        </is>
      </c>
      <c r="AT385" s="24" t="inlineStr">
        <is>
          <t>Miami Marlins</t>
        </is>
      </c>
      <c r="AU385" s="24" t="inlineStr">
        <is>
          <t>Miami Marlins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3b345499bd6bad9bcf65367a07fe0c668fb5817d4f016a0a865c01d9212fdeb8</t>
        </is>
      </c>
      <c r="BB385" s="24" t="inlineStr">
        <is>
          <t>learned_lr</t>
        </is>
      </c>
      <c r="BC385" s="24" t="inlineStr">
        <is>
          <t>mlb-elo-trend-lr-v8</t>
        </is>
      </c>
      <c r="BD385" s="24" t="inlineStr">
        <is>
          <t>3b345499bd6bad9bcf65367a07fe0c668fb5817d4f016a0a865c01d9212fdeb8</t>
        </is>
      </c>
      <c r="BE385" s="24" t="inlineStr">
        <is>
          <t>6c1ffb4c8c9252d6</t>
        </is>
      </c>
      <c r="BF385" s="24" t="inlineStr">
        <is>
          <t>1</t>
        </is>
      </c>
      <c r="BG385" s="24" t="inlineStr">
        <is>
          <t>mlb-elo-trend-lr-v8</t>
        </is>
      </c>
      <c r="BH385" s="24" t="inlineStr">
        <is>
          <t>2026-08-11T19:55:29.370904Z</t>
        </is>
      </c>
      <c r="BI385" s="24" t="inlineStr">
        <is>
          <t>["same_event","same_team_same_day","same_league_same_day"]</t>
        </is>
      </c>
      <c r="BJ385" s="25" t="n"/>
      <c r="BK385" s="26" t="n">
        <v>104</v>
      </c>
      <c r="BL385" s="27" t="n">
        <v>2.04</v>
      </c>
      <c r="BM385" s="28" t="n">
        <v>0.490196</v>
      </c>
      <c r="BN385" s="28" t="n">
        <v>0.487562</v>
      </c>
      <c r="BO385" s="28" t="n"/>
      <c r="BP385" s="25" t="n"/>
      <c r="BQ385" s="27" t="n">
        <v>2.04</v>
      </c>
      <c r="BR385" s="28" t="n">
        <v>0.49</v>
      </c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inlineStr">
        <is>
          <t>0.5389404417</t>
        </is>
      </c>
      <c r="CD385" s="24" t="inlineStr">
        <is>
          <t>1.863897</t>
        </is>
      </c>
      <c r="CE385" s="24" t="inlineStr">
        <is>
          <t>1.001</t>
        </is>
      </c>
      <c r="CF385" s="24" t="inlineStr">
        <is>
          <t>1.0</t>
        </is>
      </c>
      <c r="CG385" s="24" t="n"/>
      <c r="CH385" s="24" t="n"/>
      <c r="CI385" s="24" t="inlineStr">
        <is>
          <t>NO_CALL_STARTER_ERA_GAP_INSUFFICIENT_HISTORY</t>
        </is>
      </c>
      <c r="CJ385" s="24" t="inlineStr">
        <is>
          <t>0.930726</t>
        </is>
      </c>
      <c r="CK385" s="24" t="n"/>
      <c r="CL385" s="24" t="inlineStr">
        <is>
          <t>0.278699</t>
        </is>
      </c>
      <c r="CM385" s="24" t="inlineStr">
        <is>
          <t>0.0</t>
        </is>
      </c>
      <c r="CN385" s="24" t="n"/>
      <c r="CO385" s="24" t="n"/>
      <c r="CP385" s="24" t="n"/>
      <c r="CQ385" s="24" t="n"/>
      <c r="CR385" s="24" t="inlineStr">
        <is>
          <t>0.53764</t>
        </is>
      </c>
      <c r="CS385" s="24" t="inlineStr">
        <is>
          <t>True</t>
        </is>
      </c>
    </row>
    <row r="386" ht="36" customHeight="1">
      <c r="A386" s="24" t="inlineStr">
        <is>
          <t>305a08a921b74a28</t>
        </is>
      </c>
      <c r="B386" s="24" t="inlineStr">
        <is>
          <t>2026-08-11T19:56:37.866275Z</t>
        </is>
      </c>
      <c r="C386" s="24" t="inlineStr">
        <is>
          <t>2026-08-11T18:45:00-0400</t>
        </is>
      </c>
      <c r="D386" s="24" t="inlineStr">
        <is>
          <t>401816480</t>
        </is>
      </c>
      <c r="E386" s="24" t="inlineStr">
        <is>
          <t>MLB</t>
        </is>
      </c>
      <c r="F386" s="24" t="inlineStr">
        <is>
          <t>Chicago Cubs</t>
        </is>
      </c>
      <c r="G386" s="24" t="inlineStr">
        <is>
          <t>Washington Nationals</t>
        </is>
      </c>
      <c r="H386" s="24" t="inlineStr">
        <is>
          <t>moneyline</t>
        </is>
      </c>
      <c r="I386" s="24" t="inlineStr">
        <is>
          <t>away</t>
        </is>
      </c>
      <c r="J386" s="25" t="n"/>
      <c r="K386" s="24" t="inlineStr">
        <is>
          <t>polymarket_us</t>
        </is>
      </c>
      <c r="L386" s="26" t="n">
        <v>-167</v>
      </c>
      <c r="M386" s="27" t="n">
        <v>1.598802</v>
      </c>
      <c r="N386" s="28" t="n">
        <v>0.625468</v>
      </c>
      <c r="O386" s="28" t="n">
        <v>0.577645</v>
      </c>
      <c r="P386" s="28" t="n"/>
      <c r="Q386" s="28" t="n">
        <v>-0.047823</v>
      </c>
      <c r="R386" s="26" t="n">
        <v>0</v>
      </c>
      <c r="S386" s="29" t="n">
        <v>0</v>
      </c>
      <c r="T386" s="24" t="inlineStr">
        <is>
          <t>mlb-elo-trend-lr-v8</t>
        </is>
      </c>
      <c r="U386" s="24" t="inlineStr">
        <is>
          <t>settled</t>
        </is>
      </c>
      <c r="V386" s="24" t="inlineStr">
        <is>
          <t>win</t>
        </is>
      </c>
      <c r="W386" s="26" t="n">
        <v>8</v>
      </c>
      <c r="X386" s="26" t="n">
        <v>6</v>
      </c>
      <c r="Y386" s="25" t="n"/>
      <c r="Z386" s="26" t="n">
        <v>-167</v>
      </c>
      <c r="AA386" s="28" t="n">
        <v>0.625</v>
      </c>
      <c r="AB386" s="28" t="n">
        <v>-0.000468</v>
      </c>
      <c r="AC386" s="30" t="n">
        <v>0</v>
      </c>
      <c r="AD386" s="24" t="inlineStr">
        <is>
          <t>2026-08-12T02:05:26.453830Z</t>
        </is>
      </c>
      <c r="AE386" s="31" t="inlineStr">
        <is>
          <t>Learned LR call at threshold 0.6197; executable ask 0.6250 (aec-mlb-chc-wsh-2026-08-11); model edge vs ask -0.0474.</t>
        </is>
      </c>
      <c r="AF386" s="31" t="inlineStr">
        <is>
          <t>Learned model; shadow-qualified via operator override.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research_observation</t>
        </is>
      </c>
      <c r="AL386" s="26" t="n">
        <v>3</v>
      </c>
      <c r="AM386" s="24" t="inlineStr">
        <is>
          <t>RESEARCH_OBSERVATION</t>
        </is>
      </c>
      <c r="AN386" s="24" t="inlineStr">
        <is>
          <t>NO_CALL</t>
        </is>
      </c>
      <c r="AO386" s="24" t="inlineStr">
        <is>
          <t>NO_CALL_BELOW_LEARNED_CONFIDENCE</t>
        </is>
      </c>
      <c r="AP386" s="24" t="inlineStr">
        <is>
          <t>mlb-chc</t>
        </is>
      </c>
      <c r="AQ386" s="24" t="inlineStr">
        <is>
          <t>Chicago Cubs</t>
        </is>
      </c>
      <c r="AR386" s="24" t="inlineStr">
        <is>
          <t>Chicago Cubs</t>
        </is>
      </c>
      <c r="AS386" s="24" t="inlineStr">
        <is>
          <t>mlb-wsh</t>
        </is>
      </c>
      <c r="AT386" s="24" t="inlineStr">
        <is>
          <t>Washington Nationals</t>
        </is>
      </c>
      <c r="AU386" s="24" t="inlineStr">
        <is>
          <t>Washington Nationals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3b345499bd6bad9bcf65367a07fe0c668fb5817d4f016a0a865c01d9212fdeb8</t>
        </is>
      </c>
      <c r="BB386" s="24" t="inlineStr">
        <is>
          <t>learned_lr</t>
        </is>
      </c>
      <c r="BC386" s="24" t="inlineStr">
        <is>
          <t>mlb-elo-trend-lr-v8</t>
        </is>
      </c>
      <c r="BD386" s="24" t="inlineStr">
        <is>
          <t>3b345499bd6bad9bcf65367a07fe0c668fb5817d4f016a0a865c01d9212fdeb8</t>
        </is>
      </c>
      <c r="BE386" s="24" t="inlineStr">
        <is>
          <t>b2b8f038900049b4</t>
        </is>
      </c>
      <c r="BF386" s="24" t="inlineStr">
        <is>
          <t>1</t>
        </is>
      </c>
      <c r="BG386" s="24" t="inlineStr">
        <is>
          <t>mlb-elo-trend-lr-v8</t>
        </is>
      </c>
      <c r="BH386" s="24" t="inlineStr">
        <is>
          <t>2026-08-11T19:55:29.968818Z</t>
        </is>
      </c>
      <c r="BI386" s="24" t="inlineStr">
        <is>
          <t>["same_event","same_team_same_day","same_league_same_day"]</t>
        </is>
      </c>
      <c r="BJ386" s="25" t="n"/>
      <c r="BK386" s="26" t="n">
        <v>-167</v>
      </c>
      <c r="BL386" s="27" t="n">
        <v>1.598802</v>
      </c>
      <c r="BM386" s="28" t="n">
        <v>0.625468</v>
      </c>
      <c r="BN386" s="28" t="n">
        <v>0.621891</v>
      </c>
      <c r="BO386" s="28" t="n"/>
      <c r="BP386" s="25" t="n"/>
      <c r="BQ386" s="27" t="n">
        <v>1.598802</v>
      </c>
      <c r="BR386" s="28" t="n">
        <v>0.625</v>
      </c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inlineStr">
        <is>
          <t>0.4180308161</t>
        </is>
      </c>
      <c r="CD386" s="24" t="inlineStr">
        <is>
          <t>-0.400662</t>
        </is>
      </c>
      <c r="CE386" s="24" t="inlineStr">
        <is>
          <t>1.042</t>
        </is>
      </c>
      <c r="CF386" s="24" t="inlineStr">
        <is>
          <t>1.0134</t>
        </is>
      </c>
      <c r="CG386" s="24" t="n"/>
      <c r="CH386" s="24" t="n"/>
      <c r="CI386" s="24" t="n"/>
      <c r="CJ386" s="24" t="inlineStr">
        <is>
          <t>0.654643</t>
        </is>
      </c>
      <c r="CK386" s="24" t="n"/>
      <c r="CL386" s="24" t="inlineStr">
        <is>
          <t>-0.041909</t>
        </is>
      </c>
      <c r="CM386" s="24" t="inlineStr">
        <is>
          <t>3.3102</t>
        </is>
      </c>
      <c r="CN386" s="24" t="n"/>
      <c r="CO386" s="24" t="n"/>
      <c r="CP386" s="24" t="n"/>
      <c r="CQ386" s="24" t="n"/>
      <c r="CR386" s="24" t="inlineStr">
        <is>
          <t>0.577645</t>
        </is>
      </c>
      <c r="CS386" s="24" t="inlineStr">
        <is>
          <t>False</t>
        </is>
      </c>
    </row>
    <row r="387" ht="36" customHeight="1">
      <c r="A387" s="24" t="inlineStr">
        <is>
          <t>79d19a9fe33c47e2</t>
        </is>
      </c>
      <c r="B387" s="24" t="inlineStr">
        <is>
          <t>2026-08-11T23:02:00.677208Z</t>
        </is>
      </c>
      <c r="C387" s="24" t="inlineStr">
        <is>
          <t>2026-08-11T19:05:00-0400</t>
        </is>
      </c>
      <c r="D387" s="24" t="inlineStr">
        <is>
          <t>401816484</t>
        </is>
      </c>
      <c r="E387" s="24" t="inlineStr">
        <is>
          <t>MLB</t>
        </is>
      </c>
      <c r="F387" s="24" t="inlineStr">
        <is>
          <t>Seattle Mariners</t>
        </is>
      </c>
      <c r="G387" s="24" t="inlineStr">
        <is>
          <t>New York Yankees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polymarket_us</t>
        </is>
      </c>
      <c r="L387" s="26" t="n">
        <v>-125</v>
      </c>
      <c r="M387" s="27" t="n">
        <v>1.8</v>
      </c>
      <c r="N387" s="28" t="n">
        <v>0.555556</v>
      </c>
      <c r="O387" s="28" t="n">
        <v>0.568261</v>
      </c>
      <c r="P387" s="28" t="n"/>
      <c r="Q387" s="28" t="n">
        <v>0.012705</v>
      </c>
      <c r="R387" s="26" t="n">
        <v>28</v>
      </c>
      <c r="S387" s="29" t="n">
        <v>0</v>
      </c>
      <c r="T387" s="24" t="inlineStr">
        <is>
          <t>mlb-elo-trend-lr-v8</t>
        </is>
      </c>
      <c r="U387" s="24" t="inlineStr">
        <is>
          <t>settled</t>
        </is>
      </c>
      <c r="V387" s="24" t="inlineStr">
        <is>
          <t>win</t>
        </is>
      </c>
      <c r="W387" s="26" t="n">
        <v>1</v>
      </c>
      <c r="X387" s="26" t="n">
        <v>4</v>
      </c>
      <c r="Y387" s="25" t="n"/>
      <c r="Z387" s="26" t="n">
        <v>-125</v>
      </c>
      <c r="AA387" s="28" t="n">
        <v>0.555</v>
      </c>
      <c r="AB387" s="28" t="n">
        <v>-0.000556</v>
      </c>
      <c r="AC387" s="30" t="n">
        <v>0</v>
      </c>
      <c r="AD387" s="24" t="inlineStr">
        <is>
          <t>2026-08-12T05:11:16.641062Z</t>
        </is>
      </c>
      <c r="AE387" s="31" t="inlineStr">
        <is>
          <t>Learned LR call at threshold 0.6197; executable ask 0.5550 (aec-mlb-sea-nyy-2026-08-11); model edge vs ask +0.0133.</t>
        </is>
      </c>
      <c r="AF387" s="31" t="inlineStr">
        <is>
          <t>Learned model; shadow-qualified via operator override.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research_observation</t>
        </is>
      </c>
      <c r="AL387" s="26" t="n">
        <v>3</v>
      </c>
      <c r="AM387" s="24" t="inlineStr">
        <is>
          <t>RESEARCH_OBSERVATION</t>
        </is>
      </c>
      <c r="AN387" s="24" t="inlineStr">
        <is>
          <t>NO_CALL</t>
        </is>
      </c>
      <c r="AO387" s="24" t="inlineStr">
        <is>
          <t>NO_CALL_BELOW_LEARNED_CONFIDENCE</t>
        </is>
      </c>
      <c r="AP387" s="24" t="inlineStr">
        <is>
          <t>mlb-sea</t>
        </is>
      </c>
      <c r="AQ387" s="24" t="inlineStr">
        <is>
          <t>Seattle Mariners</t>
        </is>
      </c>
      <c r="AR387" s="24" t="inlineStr">
        <is>
          <t>Seattle Mariners</t>
        </is>
      </c>
      <c r="AS387" s="24" t="inlineStr">
        <is>
          <t>mlb-nyy</t>
        </is>
      </c>
      <c r="AT387" s="24" t="inlineStr">
        <is>
          <t>New York Yankees</t>
        </is>
      </c>
      <c r="AU387" s="24" t="inlineStr">
        <is>
          <t>New York Yankees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3b345499bd6bad9bcf65367a07fe0c668fb5817d4f016a0a865c01d9212fdeb8</t>
        </is>
      </c>
      <c r="BB387" s="24" t="inlineStr">
        <is>
          <t>learned_lr</t>
        </is>
      </c>
      <c r="BC387" s="24" t="inlineStr">
        <is>
          <t>mlb-elo-trend-lr-v8</t>
        </is>
      </c>
      <c r="BD387" s="24" t="inlineStr">
        <is>
          <t>3b345499bd6bad9bcf65367a07fe0c668fb5817d4f016a0a865c01d9212fdeb8</t>
        </is>
      </c>
      <c r="BE387" s="24" t="inlineStr">
        <is>
          <t>d3bd98bad778f3e2</t>
        </is>
      </c>
      <c r="BF387" s="24" t="inlineStr">
        <is>
          <t>1</t>
        </is>
      </c>
      <c r="BG387" s="24" t="inlineStr">
        <is>
          <t>mlb-elo-trend-lr-v8</t>
        </is>
      </c>
      <c r="BH387" s="24" t="inlineStr">
        <is>
          <t>2026-08-11T23:01:14.599979Z</t>
        </is>
      </c>
      <c r="BI387" s="24" t="inlineStr">
        <is>
          <t>["same_event","same_team_same_day","same_league_same_day"]</t>
        </is>
      </c>
      <c r="BJ387" s="25" t="n"/>
      <c r="BK387" s="26" t="n">
        <v>-125</v>
      </c>
      <c r="BL387" s="27" t="n">
        <v>1.8</v>
      </c>
      <c r="BM387" s="28" t="n">
        <v>0.555556</v>
      </c>
      <c r="BN387" s="28" t="n">
        <v>0.552239</v>
      </c>
      <c r="BO387" s="28" t="n"/>
      <c r="BP387" s="25" t="n"/>
      <c r="BQ387" s="27" t="n">
        <v>1.8</v>
      </c>
      <c r="BR387" s="28" t="n">
        <v>0.555</v>
      </c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inlineStr">
        <is>
          <t>0.580441337</t>
        </is>
      </c>
      <c r="CD387" s="24" t="inlineStr">
        <is>
          <t>0.193617</t>
        </is>
      </c>
      <c r="CE387" s="24" t="inlineStr">
        <is>
          <t>1.012</t>
        </is>
      </c>
      <c r="CF387" s="24" t="inlineStr">
        <is>
          <t>1.0133</t>
        </is>
      </c>
      <c r="CG387" s="24" t="n"/>
      <c r="CH387" s="24" t="n"/>
      <c r="CI387" s="24" t="n"/>
      <c r="CJ387" s="24" t="inlineStr">
        <is>
          <t>1.306921</t>
        </is>
      </c>
      <c r="CK387" s="24" t="n"/>
      <c r="CL387" s="24" t="inlineStr">
        <is>
          <t>-0.003604</t>
        </is>
      </c>
      <c r="CM387" s="24" t="inlineStr">
        <is>
          <t>-0.6814</t>
        </is>
      </c>
      <c r="CN387" s="24" t="n"/>
      <c r="CO387" s="24" t="n"/>
      <c r="CP387" s="24" t="n"/>
      <c r="CQ387" s="24" t="n"/>
      <c r="CR387" s="24" t="inlineStr">
        <is>
          <t>0.568261</t>
        </is>
      </c>
      <c r="CS387" s="24" t="inlineStr">
        <is>
          <t>True</t>
        </is>
      </c>
    </row>
    <row r="388" ht="36" customHeight="1">
      <c r="A388" s="24" t="inlineStr">
        <is>
          <t>ea5e50f3d4d74d51</t>
        </is>
      </c>
      <c r="B388" s="24" t="inlineStr">
        <is>
          <t>2026-08-11T23:02:00.677208Z</t>
        </is>
      </c>
      <c r="C388" s="24" t="inlineStr">
        <is>
          <t>2026-08-11T19:07:00-0400</t>
        </is>
      </c>
      <c r="D388" s="24" t="inlineStr">
        <is>
          <t>401816479</t>
        </is>
      </c>
      <c r="E388" s="24" t="inlineStr">
        <is>
          <t>MLB</t>
        </is>
      </c>
      <c r="F388" s="24" t="inlineStr">
        <is>
          <t>Boston Red Sox</t>
        </is>
      </c>
      <c r="G388" s="24" t="inlineStr">
        <is>
          <t>Toronto Blue Jays</t>
        </is>
      </c>
      <c r="H388" s="24" t="inlineStr">
        <is>
          <t>moneyline</t>
        </is>
      </c>
      <c r="I388" s="24" t="inlineStr">
        <is>
          <t>away</t>
        </is>
      </c>
      <c r="J388" s="25" t="n"/>
      <c r="K388" s="24" t="inlineStr">
        <is>
          <t>polymarket_us</t>
        </is>
      </c>
      <c r="L388" s="26" t="n">
        <v>125</v>
      </c>
      <c r="M388" s="27" t="n">
        <v>2.25</v>
      </c>
      <c r="N388" s="28" t="n">
        <v>0.444444</v>
      </c>
      <c r="O388" s="28" t="n">
        <v>0.524245</v>
      </c>
      <c r="P388" s="28" t="n"/>
      <c r="Q388" s="28" t="n">
        <v>0.079801</v>
      </c>
      <c r="R388" s="26" t="n">
        <v>61</v>
      </c>
      <c r="S388" s="29" t="n">
        <v>0</v>
      </c>
      <c r="T388" s="24" t="inlineStr">
        <is>
          <t>mlb-elo-trend-lr-v8</t>
        </is>
      </c>
      <c r="U388" s="24" t="inlineStr">
        <is>
          <t>settled</t>
        </is>
      </c>
      <c r="V388" s="24" t="inlineStr">
        <is>
          <t>loss</t>
        </is>
      </c>
      <c r="W388" s="26" t="n">
        <v>3</v>
      </c>
      <c r="X388" s="26" t="n">
        <v>5</v>
      </c>
      <c r="Y388" s="25" t="n"/>
      <c r="Z388" s="26" t="n">
        <v>125</v>
      </c>
      <c r="AA388" s="28" t="n">
        <v>0.445</v>
      </c>
      <c r="AB388" s="28" t="n">
        <v>0.000556</v>
      </c>
      <c r="AC388" s="30" t="n">
        <v>0</v>
      </c>
      <c r="AD388" s="24" t="inlineStr">
        <is>
          <t>2026-08-12T02:05:31.291804Z</t>
        </is>
      </c>
      <c r="AE388" s="31" t="inlineStr">
        <is>
          <t>Learned LR call at threshold 0.6197; executable ask 0.4450 (aec-mlb-bos-tor-2026-08-11); model edge vs ask +0.0792.</t>
        </is>
      </c>
      <c r="AF388" s="31" t="inlineStr">
        <is>
          <t>Learned model; shadow-qualified via operator override.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research_observation</t>
        </is>
      </c>
      <c r="AL388" s="26" t="n">
        <v>3</v>
      </c>
      <c r="AM388" s="24" t="inlineStr">
        <is>
          <t>RESEARCH_OBSERVATION</t>
        </is>
      </c>
      <c r="AN388" s="24" t="inlineStr">
        <is>
          <t>NO_CALL</t>
        </is>
      </c>
      <c r="AO388" s="24" t="inlineStr">
        <is>
          <t>NO_CALL_BELOW_LEARNED_CONFIDENCE</t>
        </is>
      </c>
      <c r="AP388" s="24" t="inlineStr">
        <is>
          <t>mlb-bos</t>
        </is>
      </c>
      <c r="AQ388" s="24" t="inlineStr">
        <is>
          <t>Boston Red Sox</t>
        </is>
      </c>
      <c r="AR388" s="24" t="inlineStr">
        <is>
          <t>Boston Red Sox</t>
        </is>
      </c>
      <c r="AS388" s="24" t="inlineStr">
        <is>
          <t>mlb-tor</t>
        </is>
      </c>
      <c r="AT388" s="24" t="inlineStr">
        <is>
          <t>Toronto Blue Jays</t>
        </is>
      </c>
      <c r="AU388" s="24" t="inlineStr">
        <is>
          <t>Toronto Blue Jays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3b345499bd6bad9bcf65367a07fe0c668fb5817d4f016a0a865c01d9212fdeb8</t>
        </is>
      </c>
      <c r="BB388" s="24" t="inlineStr">
        <is>
          <t>learned_lr</t>
        </is>
      </c>
      <c r="BC388" s="24" t="inlineStr">
        <is>
          <t>mlb-elo-trend-lr-v8</t>
        </is>
      </c>
      <c r="BD388" s="24" t="inlineStr">
        <is>
          <t>3b345499bd6bad9bcf65367a07fe0c668fb5817d4f016a0a865c01d9212fdeb8</t>
        </is>
      </c>
      <c r="BE388" s="24" t="inlineStr">
        <is>
          <t>2d41142e90ae28d7</t>
        </is>
      </c>
      <c r="BF388" s="24" t="inlineStr">
        <is>
          <t>1</t>
        </is>
      </c>
      <c r="BG388" s="24" t="inlineStr">
        <is>
          <t>mlb-elo-trend-lr-v8</t>
        </is>
      </c>
      <c r="BH388" s="24" t="inlineStr">
        <is>
          <t>2026-08-11T23:01:15.104787Z</t>
        </is>
      </c>
      <c r="BI388" s="24" t="inlineStr">
        <is>
          <t>["same_event","same_team_same_day","same_league_same_day"]</t>
        </is>
      </c>
      <c r="BJ388" s="25" t="n"/>
      <c r="BK388" s="26" t="n">
        <v>125</v>
      </c>
      <c r="BL388" s="27" t="n">
        <v>2.25</v>
      </c>
      <c r="BM388" s="28" t="n">
        <v>0.444444</v>
      </c>
      <c r="BN388" s="28" t="n">
        <v>0.442786</v>
      </c>
      <c r="BO388" s="28" t="n"/>
      <c r="BP388" s="25" t="n"/>
      <c r="BQ388" s="27" t="n">
        <v>2.25</v>
      </c>
      <c r="BR388" s="28" t="n">
        <v>0.445</v>
      </c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inlineStr">
        <is>
          <t>0.4422775997</t>
        </is>
      </c>
      <c r="CD388" s="24" t="inlineStr">
        <is>
          <t>0.300645</t>
        </is>
      </c>
      <c r="CE388" s="24" t="inlineStr">
        <is>
          <t>1.019</t>
        </is>
      </c>
      <c r="CF388" s="24" t="inlineStr">
        <is>
          <t>1.0</t>
        </is>
      </c>
      <c r="CG388" s="24" t="n"/>
      <c r="CH388" s="24" t="n"/>
      <c r="CI388" s="24" t="n"/>
      <c r="CJ388" s="24" t="inlineStr">
        <is>
          <t>0.918917</t>
        </is>
      </c>
      <c r="CK388" s="24" t="n"/>
      <c r="CL388" s="24" t="inlineStr">
        <is>
          <t>0.12132</t>
        </is>
      </c>
      <c r="CM388" s="24" t="inlineStr">
        <is>
          <t>-2.4837</t>
        </is>
      </c>
      <c r="CN388" s="24" t="n"/>
      <c r="CO388" s="24" t="n"/>
      <c r="CP388" s="24" t="n"/>
      <c r="CQ388" s="24" t="n"/>
      <c r="CR388" s="24" t="inlineStr">
        <is>
          <t>0.524245</t>
        </is>
      </c>
      <c r="CS388" s="24" t="inlineStr">
        <is>
          <t>True</t>
        </is>
      </c>
    </row>
    <row r="389" ht="36" customHeight="1">
      <c r="A389" s="24" t="inlineStr">
        <is>
          <t>dcdc2a3e20234e32</t>
        </is>
      </c>
      <c r="B389" s="24" t="inlineStr">
        <is>
          <t>2026-08-11T23:02:00.677208Z</t>
        </is>
      </c>
      <c r="C389" s="24" t="inlineStr">
        <is>
          <t>2026-08-11T19:15:00-0400</t>
        </is>
      </c>
      <c r="D389" s="24" t="inlineStr">
        <is>
          <t>401816482</t>
        </is>
      </c>
      <c r="E389" s="24" t="inlineStr">
        <is>
          <t>MLB</t>
        </is>
      </c>
      <c r="F389" s="24" t="inlineStr">
        <is>
          <t>New York Mets</t>
        </is>
      </c>
      <c r="G389" s="24" t="inlineStr">
        <is>
          <t>Atlanta Braves</t>
        </is>
      </c>
      <c r="H389" s="24" t="inlineStr">
        <is>
          <t>moneyline</t>
        </is>
      </c>
      <c r="I389" s="24" t="inlineStr">
        <is>
          <t>home</t>
        </is>
      </c>
      <c r="J389" s="25" t="n"/>
      <c r="K389" s="24" t="inlineStr">
        <is>
          <t>polymarket_us</t>
        </is>
      </c>
      <c r="L389" s="26" t="n">
        <v>-122</v>
      </c>
      <c r="M389" s="27" t="n">
        <v>1.819672</v>
      </c>
      <c r="N389" s="28" t="n">
        <v>0.54955</v>
      </c>
      <c r="O389" s="28" t="n">
        <v>0.628273</v>
      </c>
      <c r="P389" s="28" t="n"/>
      <c r="Q389" s="28" t="n">
        <v>0.078723</v>
      </c>
      <c r="R389" s="26" t="n">
        <v>61</v>
      </c>
      <c r="S389" s="29" t="n">
        <v>1.5</v>
      </c>
      <c r="T389" s="24" t="inlineStr">
        <is>
          <t>mlb-elo-trend-lr-v8</t>
        </is>
      </c>
      <c r="U389" s="24" t="inlineStr">
        <is>
          <t>settled</t>
        </is>
      </c>
      <c r="V389" s="24" t="inlineStr">
        <is>
          <t>win</t>
        </is>
      </c>
      <c r="W389" s="26" t="n">
        <v>0</v>
      </c>
      <c r="X389" s="26" t="n">
        <v>4</v>
      </c>
      <c r="Y389" s="25" t="n"/>
      <c r="Z389" s="26" t="n">
        <v>-122</v>
      </c>
      <c r="AA389" s="28" t="n">
        <v>0.55</v>
      </c>
      <c r="AB389" s="28" t="n">
        <v>0.00045</v>
      </c>
      <c r="AC389" s="30" t="n">
        <v>1.2295</v>
      </c>
      <c r="AD389" s="24" t="inlineStr">
        <is>
          <t>2026-08-12T02:05:32.955862Z</t>
        </is>
      </c>
      <c r="AE389" s="31" t="inlineStr">
        <is>
          <t>Learned LR call at threshold 0.6197; executable ask 0.5500 (aec-mlb-nym-atl-2026-08-11); model edge vs ask +0.0783. NOTE: NO_CALL_STARTER_ERA_GAP_INSUFFICIENT_HISTORY unavailable for this game — defaulted to neutral, other features used normally.</t>
        </is>
      </c>
      <c r="AF389" s="31" t="inlineStr">
        <is>
          <t>Learned model; shadow-qualified via operator override.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model_qualified</t>
        </is>
      </c>
      <c r="AL389" s="26" t="n">
        <v>3</v>
      </c>
      <c r="AM389" s="24" t="inlineStr">
        <is>
          <t>QUALIFIED_SHADOW_CALL</t>
        </is>
      </c>
      <c r="AN389" s="24" t="inlineStr">
        <is>
          <t>CALL</t>
        </is>
      </c>
      <c r="AO389" s="24" t="inlineStr">
        <is>
          <t>QUALIFIED</t>
        </is>
      </c>
      <c r="AP389" s="24" t="inlineStr">
        <is>
          <t>mlb-nym</t>
        </is>
      </c>
      <c r="AQ389" s="24" t="inlineStr">
        <is>
          <t>New York Mets</t>
        </is>
      </c>
      <c r="AR389" s="24" t="inlineStr">
        <is>
          <t>New York Mets</t>
        </is>
      </c>
      <c r="AS389" s="24" t="inlineStr">
        <is>
          <t>mlb-atl</t>
        </is>
      </c>
      <c r="AT389" s="24" t="inlineStr">
        <is>
          <t>Atlanta Braves</t>
        </is>
      </c>
      <c r="AU389" s="24" t="inlineStr">
        <is>
          <t>Atlanta Braves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3b345499bd6bad9bcf65367a07fe0c668fb5817d4f016a0a865c01d9212fdeb8</t>
        </is>
      </c>
      <c r="BB389" s="24" t="inlineStr">
        <is>
          <t>learned_lr</t>
        </is>
      </c>
      <c r="BC389" s="24" t="inlineStr">
        <is>
          <t>mlb-elo-trend-lr-v8</t>
        </is>
      </c>
      <c r="BD389" s="24" t="inlineStr">
        <is>
          <t>3b345499bd6bad9bcf65367a07fe0c668fb5817d4f016a0a865c01d9212fdeb8</t>
        </is>
      </c>
      <c r="BE389" s="24" t="inlineStr">
        <is>
          <t>a7998de244e45272</t>
        </is>
      </c>
      <c r="BF389" s="24" t="inlineStr">
        <is>
          <t>1</t>
        </is>
      </c>
      <c r="BG389" s="24" t="inlineStr">
        <is>
          <t>mlb-elo-trend-lr-v8</t>
        </is>
      </c>
      <c r="BH389" s="24" t="inlineStr">
        <is>
          <t>2026-08-11T23:01:15.761181Z</t>
        </is>
      </c>
      <c r="BI389" s="24" t="inlineStr">
        <is>
          <t>["same_event","same_team_same_day","same_league_same_day"]</t>
        </is>
      </c>
      <c r="BJ389" s="25" t="n"/>
      <c r="BK389" s="26" t="n">
        <v>-122</v>
      </c>
      <c r="BL389" s="27" t="n">
        <v>1.819672</v>
      </c>
      <c r="BM389" s="28" t="n">
        <v>0.54955</v>
      </c>
      <c r="BN389" s="28" t="n">
        <v>0.547264</v>
      </c>
      <c r="BO389" s="28" t="n"/>
      <c r="BP389" s="25" t="n"/>
      <c r="BQ389" s="27" t="n">
        <v>1.819672</v>
      </c>
      <c r="BR389" s="28" t="n">
        <v>0.55</v>
      </c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inlineStr">
        <is>
          <t>0.6130563568</t>
        </is>
      </c>
      <c r="CD389" s="24" t="inlineStr">
        <is>
          <t>-1.986539</t>
        </is>
      </c>
      <c r="CE389" s="24" t="inlineStr">
        <is>
          <t>0.929</t>
        </is>
      </c>
      <c r="CF389" s="24" t="inlineStr">
        <is>
          <t>1.0069</t>
        </is>
      </c>
      <c r="CG389" s="24" t="n"/>
      <c r="CH389" s="24" t="n"/>
      <c r="CI389" s="24" t="inlineStr">
        <is>
          <t>NO_CALL_STARTER_ERA_GAP_INSUFFICIENT_HISTORY</t>
        </is>
      </c>
      <c r="CJ389" s="24" t="inlineStr">
        <is>
          <t>0.283928</t>
        </is>
      </c>
      <c r="CK389" s="24" t="n"/>
      <c r="CL389" s="24" t="inlineStr">
        <is>
          <t>0.212618</t>
        </is>
      </c>
      <c r="CM389" s="24" t="inlineStr">
        <is>
          <t>0.0</t>
        </is>
      </c>
      <c r="CN389" s="24" t="n"/>
      <c r="CO389" s="24" t="n"/>
      <c r="CP389" s="24" t="n"/>
      <c r="CQ389" s="24" t="n"/>
      <c r="CR389" s="24" t="inlineStr">
        <is>
          <t>0.628273</t>
        </is>
      </c>
      <c r="CS389" s="24" t="inlineStr">
        <is>
          <t>True</t>
        </is>
      </c>
    </row>
    <row r="390" ht="36" customHeight="1">
      <c r="A390" s="24" t="inlineStr">
        <is>
          <t>a4a433262b4d424c</t>
        </is>
      </c>
      <c r="B390" s="24" t="inlineStr">
        <is>
          <t>2026-08-11T23:02:00.677208Z</t>
        </is>
      </c>
      <c r="C390" s="24" t="inlineStr">
        <is>
          <t>2026-08-11T19:40:00-0400</t>
        </is>
      </c>
      <c r="D390" s="24" t="inlineStr">
        <is>
          <t>401816485</t>
        </is>
      </c>
      <c r="E390" s="24" t="inlineStr">
        <is>
          <t>MLB</t>
        </is>
      </c>
      <c r="F390" s="24" t="inlineStr">
        <is>
          <t>Baltimore Orioles</t>
        </is>
      </c>
      <c r="G390" s="24" t="inlineStr">
        <is>
          <t>Minnesota Twins</t>
        </is>
      </c>
      <c r="H390" s="24" t="inlineStr">
        <is>
          <t>moneyline</t>
        </is>
      </c>
      <c r="I390" s="24" t="inlineStr">
        <is>
          <t>away</t>
        </is>
      </c>
      <c r="J390" s="25" t="n"/>
      <c r="K390" s="24" t="inlineStr">
        <is>
          <t>polymarket_us</t>
        </is>
      </c>
      <c r="L390" s="26" t="n">
        <v>106</v>
      </c>
      <c r="M390" s="27" t="n">
        <v>2.06</v>
      </c>
      <c r="N390" s="28" t="n">
        <v>0.485437</v>
      </c>
      <c r="O390" s="28" t="n">
        <v>0.515128</v>
      </c>
      <c r="P390" s="28" t="n"/>
      <c r="Q390" s="28" t="n">
        <v>0.029691</v>
      </c>
      <c r="R390" s="26" t="n">
        <v>36</v>
      </c>
      <c r="S390" s="29" t="n">
        <v>0</v>
      </c>
      <c r="T390" s="24" t="inlineStr">
        <is>
          <t>mlb-elo-trend-lr-v8</t>
        </is>
      </c>
      <c r="U390" s="24" t="inlineStr">
        <is>
          <t>settled</t>
        </is>
      </c>
      <c r="V390" s="24" t="inlineStr">
        <is>
          <t>win</t>
        </is>
      </c>
      <c r="W390" s="26" t="n">
        <v>5</v>
      </c>
      <c r="X390" s="26" t="n">
        <v>2</v>
      </c>
      <c r="Y390" s="25" t="n"/>
      <c r="Z390" s="26" t="n">
        <v>106</v>
      </c>
      <c r="AA390" s="28" t="n">
        <v>0.485</v>
      </c>
      <c r="AB390" s="28" t="n">
        <v>-0.000437</v>
      </c>
      <c r="AC390" s="30" t="n">
        <v>0</v>
      </c>
      <c r="AD390" s="24" t="inlineStr">
        <is>
          <t>2026-08-12T05:11:18.259066Z</t>
        </is>
      </c>
      <c r="AE390" s="31" t="inlineStr">
        <is>
          <t>Learned LR call at threshold 0.6197; executable ask 0.4850 (aec-mlb-bal-min-2026-08-11); model edge vs ask +0.0301.</t>
        </is>
      </c>
      <c r="AF390" s="31" t="inlineStr">
        <is>
          <t>Learned model; shadow-qualified via operator override.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research_observation</t>
        </is>
      </c>
      <c r="AL390" s="26" t="n">
        <v>3</v>
      </c>
      <c r="AM390" s="24" t="inlineStr">
        <is>
          <t>RESEARCH_OBSERVATION</t>
        </is>
      </c>
      <c r="AN390" s="24" t="inlineStr">
        <is>
          <t>NO_CALL</t>
        </is>
      </c>
      <c r="AO390" s="24" t="inlineStr">
        <is>
          <t>NO_CALL_BELOW_LEARNED_CONFIDENCE</t>
        </is>
      </c>
      <c r="AP390" s="24" t="inlineStr">
        <is>
          <t>mlb-bal</t>
        </is>
      </c>
      <c r="AQ390" s="24" t="inlineStr">
        <is>
          <t>Baltimore Orioles</t>
        </is>
      </c>
      <c r="AR390" s="24" t="inlineStr">
        <is>
          <t>Baltimore Orioles</t>
        </is>
      </c>
      <c r="AS390" s="24" t="inlineStr">
        <is>
          <t>mlb-min</t>
        </is>
      </c>
      <c r="AT390" s="24" t="inlineStr">
        <is>
          <t>Minnesota Twins</t>
        </is>
      </c>
      <c r="AU390" s="24" t="inlineStr">
        <is>
          <t>Minnesota Twins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3b345499bd6bad9bcf65367a07fe0c668fb5817d4f016a0a865c01d9212fdeb8</t>
        </is>
      </c>
      <c r="BB390" s="24" t="inlineStr">
        <is>
          <t>learned_lr</t>
        </is>
      </c>
      <c r="BC390" s="24" t="inlineStr">
        <is>
          <t>mlb-elo-trend-lr-v8</t>
        </is>
      </c>
      <c r="BD390" s="24" t="inlineStr">
        <is>
          <t>3b345499bd6bad9bcf65367a07fe0c668fb5817d4f016a0a865c01d9212fdeb8</t>
        </is>
      </c>
      <c r="BE390" s="24" t="inlineStr">
        <is>
          <t>8673fae646958c60</t>
        </is>
      </c>
      <c r="BF390" s="24" t="inlineStr">
        <is>
          <t>1</t>
        </is>
      </c>
      <c r="BG390" s="24" t="inlineStr">
        <is>
          <t>mlb-elo-trend-lr-v8</t>
        </is>
      </c>
      <c r="BH390" s="24" t="inlineStr">
        <is>
          <t>2026-08-11T23:01:16.867487Z</t>
        </is>
      </c>
      <c r="BI390" s="24" t="inlineStr">
        <is>
          <t>["same_event","same_team_same_day","same_league_same_day"]</t>
        </is>
      </c>
      <c r="BJ390" s="25" t="n"/>
      <c r="BK390" s="26" t="n">
        <v>106</v>
      </c>
      <c r="BL390" s="27" t="n">
        <v>2.06</v>
      </c>
      <c r="BM390" s="28" t="n">
        <v>0.485437</v>
      </c>
      <c r="BN390" s="28" t="n">
        <v>0.482587</v>
      </c>
      <c r="BO390" s="28" t="n"/>
      <c r="BP390" s="25" t="n"/>
      <c r="BQ390" s="27" t="n">
        <v>2.06</v>
      </c>
      <c r="BR390" s="28" t="n">
        <v>0.485</v>
      </c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inlineStr">
        <is>
          <t>0.517266101</t>
        </is>
      </c>
      <c r="CD390" s="24" t="inlineStr">
        <is>
          <t>0.683843</t>
        </is>
      </c>
      <c r="CE390" s="24" t="inlineStr">
        <is>
          <t>1.037</t>
        </is>
      </c>
      <c r="CF390" s="24" t="inlineStr">
        <is>
          <t>1.0169</t>
        </is>
      </c>
      <c r="CG390" s="24" t="n"/>
      <c r="CH390" s="24" t="n"/>
      <c r="CI390" s="24" t="n"/>
      <c r="CJ390" s="24" t="inlineStr">
        <is>
          <t>1.23182</t>
        </is>
      </c>
      <c r="CK390" s="24" t="n"/>
      <c r="CL390" s="24" t="inlineStr">
        <is>
          <t>-0.40515</t>
        </is>
      </c>
      <c r="CM390" s="24" t="inlineStr">
        <is>
          <t>1.7552</t>
        </is>
      </c>
      <c r="CN390" s="24" t="n"/>
      <c r="CO390" s="24" t="n"/>
      <c r="CP390" s="24" t="n"/>
      <c r="CQ390" s="24" t="n"/>
      <c r="CR390" s="24" t="inlineStr">
        <is>
          <t>0.515128</t>
        </is>
      </c>
      <c r="CS390" s="24" t="inlineStr">
        <is>
          <t>True</t>
        </is>
      </c>
    </row>
    <row r="391" ht="36" customHeight="1">
      <c r="A391" s="24" t="inlineStr">
        <is>
          <t>65c41af92f014538</t>
        </is>
      </c>
      <c r="B391" s="24" t="inlineStr">
        <is>
          <t>2026-08-11T23:02:00.677208Z</t>
        </is>
      </c>
      <c r="C391" s="24" t="inlineStr">
        <is>
          <t>2026-08-11T19:40:00-0400</t>
        </is>
      </c>
      <c r="D391" s="24" t="inlineStr">
        <is>
          <t>401816486</t>
        </is>
      </c>
      <c r="E391" s="24" t="inlineStr">
        <is>
          <t>MLB</t>
        </is>
      </c>
      <c r="F391" s="24" t="inlineStr">
        <is>
          <t>Cincinnati Reds</t>
        </is>
      </c>
      <c r="G391" s="24" t="inlineStr">
        <is>
          <t>Chicago White Sox</t>
        </is>
      </c>
      <c r="H391" s="24" t="inlineStr">
        <is>
          <t>moneyline</t>
        </is>
      </c>
      <c r="I391" s="24" t="inlineStr">
        <is>
          <t>home</t>
        </is>
      </c>
      <c r="J391" s="25" t="n"/>
      <c r="K391" s="24" t="inlineStr">
        <is>
          <t>polymarket_us</t>
        </is>
      </c>
      <c r="L391" s="26" t="n">
        <v>-150</v>
      </c>
      <c r="M391" s="27" t="n">
        <v>1.666667</v>
      </c>
      <c r="N391" s="28" t="n">
        <v>0.6</v>
      </c>
      <c r="O391" s="28" t="n">
        <v>0.573125</v>
      </c>
      <c r="P391" s="28" t="n"/>
      <c r="Q391" s="28" t="n">
        <v>-0.026875</v>
      </c>
      <c r="R391" s="26" t="n">
        <v>8</v>
      </c>
      <c r="S391" s="29" t="n">
        <v>0</v>
      </c>
      <c r="T391" s="24" t="inlineStr">
        <is>
          <t>mlb-elo-trend-lr-v8</t>
        </is>
      </c>
      <c r="U391" s="24" t="inlineStr">
        <is>
          <t>settled</t>
        </is>
      </c>
      <c r="V391" s="24" t="inlineStr">
        <is>
          <t>loss</t>
        </is>
      </c>
      <c r="W391" s="26" t="n">
        <v>5</v>
      </c>
      <c r="X391" s="26" t="n">
        <v>4</v>
      </c>
      <c r="Y391" s="25" t="n"/>
      <c r="Z391" s="26" t="n">
        <v>-150</v>
      </c>
      <c r="AA391" s="28" t="n">
        <v>0.6</v>
      </c>
      <c r="AB391" s="28" t="n">
        <v>0</v>
      </c>
      <c r="AC391" s="30" t="n">
        <v>0</v>
      </c>
      <c r="AD391" s="24" t="inlineStr">
        <is>
          <t>2026-08-12T05:11:19.880402Z</t>
        </is>
      </c>
      <c r="AE391" s="31" t="inlineStr">
        <is>
          <t>Learned LR call at threshold 0.6197; executable ask 0.6000 (aec-mlb-cin-cws-2026-08-11); model edge vs ask -0.0269.</t>
        </is>
      </c>
      <c r="AF391" s="31" t="inlineStr">
        <is>
          <t>Learned model; shadow-qualified via operator override.</t>
        </is>
      </c>
      <c r="AG391" s="24" t="inlineStr">
        <is>
          <t>review_required</t>
        </is>
      </c>
      <c r="AH391" s="24" t="n"/>
      <c r="AI391" s="31" t="n"/>
      <c r="AJ391" s="31" t="n"/>
      <c r="AK391" s="24" t="inlineStr">
        <is>
          <t>research_observation</t>
        </is>
      </c>
      <c r="AL391" s="26" t="n">
        <v>3</v>
      </c>
      <c r="AM391" s="24" t="inlineStr">
        <is>
          <t>RESEARCH_OBSERVATION</t>
        </is>
      </c>
      <c r="AN391" s="24" t="inlineStr">
        <is>
          <t>NO_CALL</t>
        </is>
      </c>
      <c r="AO391" s="24" t="inlineStr">
        <is>
          <t>NO_CALL_BELOW_LEARNED_CONFIDENCE</t>
        </is>
      </c>
      <c r="AP391" s="24" t="inlineStr">
        <is>
          <t>mlb-cin</t>
        </is>
      </c>
      <c r="AQ391" s="24" t="inlineStr">
        <is>
          <t>Cincinnati Reds</t>
        </is>
      </c>
      <c r="AR391" s="24" t="inlineStr">
        <is>
          <t>Cincinnati Reds</t>
        </is>
      </c>
      <c r="AS391" s="24" t="inlineStr">
        <is>
          <t>mlb-cws</t>
        </is>
      </c>
      <c r="AT391" s="24" t="inlineStr">
        <is>
          <t>Chicago White Sox</t>
        </is>
      </c>
      <c r="AU391" s="24" t="inlineStr">
        <is>
          <t>Chicago White Sox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3b345499bd6bad9bcf65367a07fe0c668fb5817d4f016a0a865c01d9212fdeb8</t>
        </is>
      </c>
      <c r="BB391" s="24" t="inlineStr">
        <is>
          <t>learned_lr</t>
        </is>
      </c>
      <c r="BC391" s="24" t="inlineStr">
        <is>
          <t>mlb-elo-trend-lr-v8</t>
        </is>
      </c>
      <c r="BD391" s="24" t="inlineStr">
        <is>
          <t>3b345499bd6bad9bcf65367a07fe0c668fb5817d4f016a0a865c01d9212fdeb8</t>
        </is>
      </c>
      <c r="BE391" s="24" t="inlineStr">
        <is>
          <t>e8f89a6a8fd64b45</t>
        </is>
      </c>
      <c r="BF391" s="24" t="inlineStr">
        <is>
          <t>1</t>
        </is>
      </c>
      <c r="BG391" s="24" t="inlineStr">
        <is>
          <t>mlb-elo-trend-lr-v8</t>
        </is>
      </c>
      <c r="BH391" s="24" t="inlineStr">
        <is>
          <t>2026-08-11T23:01:17.191452Z</t>
        </is>
      </c>
      <c r="BI391" s="24" t="inlineStr">
        <is>
          <t>["same_event","same_team_same_day","same_league_same_day"]</t>
        </is>
      </c>
      <c r="BJ391" s="25" t="n"/>
      <c r="BK391" s="26" t="n">
        <v>-150</v>
      </c>
      <c r="BL391" s="27" t="n">
        <v>1.666667</v>
      </c>
      <c r="BM391" s="28" t="n">
        <v>0.6</v>
      </c>
      <c r="BN391" s="28" t="n">
        <v>0.597015</v>
      </c>
      <c r="BO391" s="28" t="n"/>
      <c r="BP391" s="25" t="n"/>
      <c r="BQ391" s="27" t="n">
        <v>1.666667</v>
      </c>
      <c r="BR391" s="28" t="n">
        <v>0.6</v>
      </c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inlineStr">
        <is>
          <t>0.5733262506</t>
        </is>
      </c>
      <c r="CD391" s="24" t="inlineStr">
        <is>
          <t>1.056672</t>
        </is>
      </c>
      <c r="CE391" s="24" t="inlineStr">
        <is>
          <t>0.937</t>
        </is>
      </c>
      <c r="CF391" s="24" t="inlineStr">
        <is>
          <t>1.0055</t>
        </is>
      </c>
      <c r="CG391" s="24" t="n"/>
      <c r="CH391" s="24" t="n"/>
      <c r="CI391" s="24" t="n"/>
      <c r="CJ391" s="24" t="inlineStr">
        <is>
          <t>-0.335093</t>
        </is>
      </c>
      <c r="CK391" s="24" t="n"/>
      <c r="CL391" s="24" t="inlineStr">
        <is>
          <t>-0.190597</t>
        </is>
      </c>
      <c r="CM391" s="24" t="inlineStr">
        <is>
          <t>-1.8077</t>
        </is>
      </c>
      <c r="CN391" s="24" t="n"/>
      <c r="CO391" s="24" t="n"/>
      <c r="CP391" s="24" t="n"/>
      <c r="CQ391" s="24" t="n"/>
      <c r="CR391" s="24" t="inlineStr">
        <is>
          <t>0.573125</t>
        </is>
      </c>
      <c r="CS391" s="24" t="inlineStr">
        <is>
          <t>False</t>
        </is>
      </c>
    </row>
    <row r="392" ht="36" customHeight="1">
      <c r="A392" s="24" t="inlineStr">
        <is>
          <t>60b38e2f80364af7</t>
        </is>
      </c>
      <c r="B392" s="24" t="inlineStr">
        <is>
          <t>2026-08-11T23:02:00.677208Z</t>
        </is>
      </c>
      <c r="C392" s="24" t="inlineStr">
        <is>
          <t>2026-08-11T19:45:00-0400</t>
        </is>
      </c>
      <c r="D392" s="24" t="inlineStr">
        <is>
          <t>401816487</t>
        </is>
      </c>
      <c r="E392" s="24" t="inlineStr">
        <is>
          <t>MLB</t>
        </is>
      </c>
      <c r="F392" s="24" t="inlineStr">
        <is>
          <t>Philadelphia Phillies</t>
        </is>
      </c>
      <c r="G392" s="24" t="inlineStr">
        <is>
          <t>St. Louis Cardinals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polymarket_us</t>
        </is>
      </c>
      <c r="L392" s="26" t="n">
        <v>-153</v>
      </c>
      <c r="M392" s="27" t="n">
        <v>1.653595</v>
      </c>
      <c r="N392" s="28" t="n">
        <v>0.604743</v>
      </c>
      <c r="O392" s="28" t="n">
        <v>0.504957</v>
      </c>
      <c r="P392" s="28" t="n"/>
      <c r="Q392" s="28" t="n">
        <v>-0.099786</v>
      </c>
      <c r="R392" s="26" t="n">
        <v>0</v>
      </c>
      <c r="S392" s="29" t="n">
        <v>0</v>
      </c>
      <c r="T392" s="24" t="inlineStr">
        <is>
          <t>mlb-elo-trend-lr-v8</t>
        </is>
      </c>
      <c r="U392" s="24" t="inlineStr">
        <is>
          <t>settled</t>
        </is>
      </c>
      <c r="V392" s="24" t="inlineStr">
        <is>
          <t>loss</t>
        </is>
      </c>
      <c r="W392" s="26" t="n">
        <v>0</v>
      </c>
      <c r="X392" s="26" t="n">
        <v>2</v>
      </c>
      <c r="Y392" s="25" t="n"/>
      <c r="Z392" s="26" t="n">
        <v>-153</v>
      </c>
      <c r="AA392" s="28" t="n">
        <v>0.605</v>
      </c>
      <c r="AB392" s="28" t="n">
        <v>0.000257</v>
      </c>
      <c r="AC392" s="30" t="n">
        <v>0</v>
      </c>
      <c r="AD392" s="24" t="inlineStr">
        <is>
          <t>2026-08-12T05:11:21.510471Z</t>
        </is>
      </c>
      <c r="AE392" s="31" t="inlineStr">
        <is>
          <t>Learned LR call at threshold 0.6197; executable ask 0.6050 (aec-mlb-phi-stl-2026-08-11); model edge vs ask -0.1000. NOTE: NO_CALL_STARTER_ERA_GAP_INSUFFICIENT_HISTORY unavailable for this game — defaulted to neutral, other features used normally.</t>
        </is>
      </c>
      <c r="AF392" s="31" t="inlineStr">
        <is>
          <t>Learned model; shadow-qualified via operator override.</t>
        </is>
      </c>
      <c r="AG392" s="24" t="inlineStr">
        <is>
          <t>review_required</t>
        </is>
      </c>
      <c r="AH392" s="24" t="n"/>
      <c r="AI392" s="31" t="n"/>
      <c r="AJ392" s="31" t="n"/>
      <c r="AK392" s="24" t="inlineStr">
        <is>
          <t>research_observation</t>
        </is>
      </c>
      <c r="AL392" s="26" t="n">
        <v>3</v>
      </c>
      <c r="AM392" s="24" t="inlineStr">
        <is>
          <t>RESEARCH_OBSERVATION</t>
        </is>
      </c>
      <c r="AN392" s="24" t="inlineStr">
        <is>
          <t>NO_CALL</t>
        </is>
      </c>
      <c r="AO392" s="24" t="inlineStr">
        <is>
          <t>NO_CALL_BELOW_LEARNED_CONFIDENCE</t>
        </is>
      </c>
      <c r="AP392" s="24" t="inlineStr">
        <is>
          <t>mlb-phi</t>
        </is>
      </c>
      <c r="AQ392" s="24" t="inlineStr">
        <is>
          <t>Philadelphia Phillies</t>
        </is>
      </c>
      <c r="AR392" s="24" t="inlineStr">
        <is>
          <t>Philadelphia Phillies</t>
        </is>
      </c>
      <c r="AS392" s="24" t="inlineStr">
        <is>
          <t>mlb-stl</t>
        </is>
      </c>
      <c r="AT392" s="24" t="inlineStr">
        <is>
          <t>St. Louis Cardinals</t>
        </is>
      </c>
      <c r="AU392" s="24" t="inlineStr">
        <is>
          <t>St. Louis Cardinals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3b345499bd6bad9bcf65367a07fe0c668fb5817d4f016a0a865c01d9212fdeb8</t>
        </is>
      </c>
      <c r="BB392" s="24" t="inlineStr">
        <is>
          <t>learned_lr</t>
        </is>
      </c>
      <c r="BC392" s="24" t="inlineStr">
        <is>
          <t>mlb-elo-trend-lr-v8</t>
        </is>
      </c>
      <c r="BD392" s="24" t="inlineStr">
        <is>
          <t>3b345499bd6bad9bcf65367a07fe0c668fb5817d4f016a0a865c01d9212fdeb8</t>
        </is>
      </c>
      <c r="BE392" s="24" t="inlineStr">
        <is>
          <t>52b9926188231331</t>
        </is>
      </c>
      <c r="BF392" s="24" t="inlineStr">
        <is>
          <t>1</t>
        </is>
      </c>
      <c r="BG392" s="24" t="inlineStr">
        <is>
          <t>mlb-elo-trend-lr-v8</t>
        </is>
      </c>
      <c r="BH392" s="24" t="inlineStr">
        <is>
          <t>2026-08-11T23:01:17.684392Z</t>
        </is>
      </c>
      <c r="BI392" s="24" t="inlineStr">
        <is>
          <t>["same_event","same_team_same_day","same_league_same_day"]</t>
        </is>
      </c>
      <c r="BJ392" s="25" t="n"/>
      <c r="BK392" s="26" t="n">
        <v>-153</v>
      </c>
      <c r="BL392" s="27" t="n">
        <v>1.653595</v>
      </c>
      <c r="BM392" s="28" t="n">
        <v>0.604743</v>
      </c>
      <c r="BN392" s="28" t="n">
        <v>0.60199</v>
      </c>
      <c r="BO392" s="28" t="n"/>
      <c r="BP392" s="25" t="n"/>
      <c r="BQ392" s="27" t="n">
        <v>1.653595</v>
      </c>
      <c r="BR392" s="28" t="n">
        <v>0.605</v>
      </c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inlineStr">
        <is>
          <t>0.4612565238</t>
        </is>
      </c>
      <c r="CD392" s="24" t="inlineStr">
        <is>
          <t>-0.420245</t>
        </is>
      </c>
      <c r="CE392" s="24" t="inlineStr">
        <is>
          <t>0.946</t>
        </is>
      </c>
      <c r="CF392" s="24" t="inlineStr">
        <is>
          <t>1.0253</t>
        </is>
      </c>
      <c r="CG392" s="24" t="n"/>
      <c r="CH392" s="24" t="n"/>
      <c r="CI392" s="24" t="inlineStr">
        <is>
          <t>NO_CALL_STARTER_ERA_GAP_INSUFFICIENT_HISTORY</t>
        </is>
      </c>
      <c r="CJ392" s="24" t="inlineStr">
        <is>
          <t>0.365167</t>
        </is>
      </c>
      <c r="CK392" s="24" t="n"/>
      <c r="CL392" s="24" t="inlineStr">
        <is>
          <t>0.059218</t>
        </is>
      </c>
      <c r="CM392" s="24" t="inlineStr">
        <is>
          <t>0.0</t>
        </is>
      </c>
      <c r="CN392" s="24" t="n"/>
      <c r="CO392" s="24" t="n"/>
      <c r="CP392" s="24" t="n"/>
      <c r="CQ392" s="24" t="n"/>
      <c r="CR392" s="24" t="inlineStr">
        <is>
          <t>0.504957</t>
        </is>
      </c>
      <c r="CS392" s="24" t="inlineStr">
        <is>
          <t>False</t>
        </is>
      </c>
    </row>
    <row r="393" ht="36" customHeight="1">
      <c r="A393" s="24" t="inlineStr">
        <is>
          <t>f3b7be89061a4500</t>
        </is>
      </c>
      <c r="B393" s="24" t="inlineStr">
        <is>
          <t>2026-08-11T23:02:00.677208Z</t>
        </is>
      </c>
      <c r="C393" s="24" t="inlineStr">
        <is>
          <t>2026-08-11T21:38:00-0400</t>
        </is>
      </c>
      <c r="D393" s="24" t="inlineStr">
        <is>
          <t>401816493</t>
        </is>
      </c>
      <c r="E393" s="24" t="inlineStr">
        <is>
          <t>MLB</t>
        </is>
      </c>
      <c r="F393" s="24" t="inlineStr">
        <is>
          <t>Texas Rangers</t>
        </is>
      </c>
      <c r="G393" s="24" t="inlineStr">
        <is>
          <t>Los Angeles Angels</t>
        </is>
      </c>
      <c r="H393" s="24" t="inlineStr">
        <is>
          <t>moneyline</t>
        </is>
      </c>
      <c r="I393" s="24" t="inlineStr">
        <is>
          <t>away</t>
        </is>
      </c>
      <c r="J393" s="25" t="n"/>
      <c r="K393" s="24" t="inlineStr">
        <is>
          <t>polymarket_us</t>
        </is>
      </c>
      <c r="L393" s="26" t="n">
        <v>-141</v>
      </c>
      <c r="M393" s="27" t="n">
        <v>1.70922</v>
      </c>
      <c r="N393" s="28" t="n">
        <v>0.585062</v>
      </c>
      <c r="O393" s="28" t="n">
        <v>0.517356</v>
      </c>
      <c r="P393" s="28" t="n"/>
      <c r="Q393" s="28" t="n">
        <v>-0.067706</v>
      </c>
      <c r="R393" s="26" t="n">
        <v>0</v>
      </c>
      <c r="S393" s="29" t="n">
        <v>0</v>
      </c>
      <c r="T393" s="24" t="inlineStr">
        <is>
          <t>mlb-elo-trend-lr-v8</t>
        </is>
      </c>
      <c r="U393" s="24" t="inlineStr">
        <is>
          <t>settled</t>
        </is>
      </c>
      <c r="V393" s="24" t="inlineStr">
        <is>
          <t>loss</t>
        </is>
      </c>
      <c r="W393" s="26" t="n">
        <v>2</v>
      </c>
      <c r="X393" s="26" t="n">
        <v>3</v>
      </c>
      <c r="Y393" s="25" t="n"/>
      <c r="Z393" s="26" t="n">
        <v>-141</v>
      </c>
      <c r="AA393" s="28" t="n">
        <v>0.585</v>
      </c>
      <c r="AB393" s="28" t="n">
        <v>-6.2e-05</v>
      </c>
      <c r="AC393" s="30" t="n">
        <v>0</v>
      </c>
      <c r="AD393" s="24" t="inlineStr">
        <is>
          <t>2026-08-12T05:11:23.090733Z</t>
        </is>
      </c>
      <c r="AE393" s="31" t="inlineStr">
        <is>
          <t>Learned LR call at threshold 0.6197; executable ask 0.5850 (aec-mlb-tex-laa-2026-08-11); model edge vs ask -0.0676.</t>
        </is>
      </c>
      <c r="AF393" s="31" t="inlineStr">
        <is>
          <t>Learned model; shadow-qualified via operator override.</t>
        </is>
      </c>
      <c r="AG393" s="24" t="inlineStr">
        <is>
          <t>review_required</t>
        </is>
      </c>
      <c r="AH393" s="24" t="n"/>
      <c r="AI393" s="31" t="n"/>
      <c r="AJ393" s="31" t="n"/>
      <c r="AK393" s="24" t="inlineStr">
        <is>
          <t>research_observation</t>
        </is>
      </c>
      <c r="AL393" s="26" t="n">
        <v>3</v>
      </c>
      <c r="AM393" s="24" t="inlineStr">
        <is>
          <t>RESEARCH_OBSERVATION</t>
        </is>
      </c>
      <c r="AN393" s="24" t="inlineStr">
        <is>
          <t>NO_CALL</t>
        </is>
      </c>
      <c r="AO393" s="24" t="inlineStr">
        <is>
          <t>NO_CALL_BELOW_LEARNED_CONFIDENCE</t>
        </is>
      </c>
      <c r="AP393" s="24" t="inlineStr">
        <is>
          <t>mlb-tex</t>
        </is>
      </c>
      <c r="AQ393" s="24" t="inlineStr">
        <is>
          <t>Texas Rangers</t>
        </is>
      </c>
      <c r="AR393" s="24" t="inlineStr">
        <is>
          <t>Texas Rangers</t>
        </is>
      </c>
      <c r="AS393" s="24" t="inlineStr">
        <is>
          <t>mlb-laa</t>
        </is>
      </c>
      <c r="AT393" s="24" t="inlineStr">
        <is>
          <t>Los Angeles Angels</t>
        </is>
      </c>
      <c r="AU393" s="24" t="inlineStr">
        <is>
          <t>Los Angeles Angels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3b345499bd6bad9bcf65367a07fe0c668fb5817d4f016a0a865c01d9212fdeb8</t>
        </is>
      </c>
      <c r="BB393" s="24" t="inlineStr">
        <is>
          <t>learned_lr</t>
        </is>
      </c>
      <c r="BC393" s="24" t="inlineStr">
        <is>
          <t>mlb-elo-trend-lr-v8</t>
        </is>
      </c>
      <c r="BD393" s="24" t="inlineStr">
        <is>
          <t>3b345499bd6bad9bcf65367a07fe0c668fb5817d4f016a0a865c01d9212fdeb8</t>
        </is>
      </c>
      <c r="BE393" s="24" t="inlineStr">
        <is>
          <t>a230d66ffb194ca7</t>
        </is>
      </c>
      <c r="BF393" s="24" t="inlineStr">
        <is>
          <t>1</t>
        </is>
      </c>
      <c r="BG393" s="24" t="inlineStr">
        <is>
          <t>mlb-elo-trend-lr-v8</t>
        </is>
      </c>
      <c r="BH393" s="24" t="inlineStr">
        <is>
          <t>2026-08-11T23:01:18.264511Z</t>
        </is>
      </c>
      <c r="BI393" s="24" t="inlineStr">
        <is>
          <t>["same_event","same_team_same_day","same_league_same_day"]</t>
        </is>
      </c>
      <c r="BJ393" s="25" t="n"/>
      <c r="BK393" s="26" t="n">
        <v>-141</v>
      </c>
      <c r="BL393" s="27" t="n">
        <v>1.70922</v>
      </c>
      <c r="BM393" s="28" t="n">
        <v>0.585062</v>
      </c>
      <c r="BN393" s="28" t="n">
        <v>0.58209</v>
      </c>
      <c r="BO393" s="28" t="n"/>
      <c r="BP393" s="25" t="n"/>
      <c r="BQ393" s="27" t="n">
        <v>1.70922</v>
      </c>
      <c r="BR393" s="28" t="n">
        <v>0.585</v>
      </c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inlineStr">
        <is>
          <t>0.4510706648</t>
        </is>
      </c>
      <c r="CD393" s="24" t="inlineStr">
        <is>
          <t>-1.109893</t>
        </is>
      </c>
      <c r="CE393" s="24" t="inlineStr">
        <is>
          <t>1.01</t>
        </is>
      </c>
      <c r="CF393" s="24" t="inlineStr">
        <is>
          <t>1.0118</t>
        </is>
      </c>
      <c r="CG393" s="24" t="n"/>
      <c r="CH393" s="24" t="n"/>
      <c r="CI393" s="24" t="n"/>
      <c r="CJ393" s="24" t="inlineStr">
        <is>
          <t>-1.794904</t>
        </is>
      </c>
      <c r="CK393" s="24" t="n"/>
      <c r="CL393" s="24" t="inlineStr">
        <is>
          <t>0.100895</t>
        </is>
      </c>
      <c r="CM393" s="24" t="inlineStr">
        <is>
          <t>-0.6063</t>
        </is>
      </c>
      <c r="CN393" s="24" t="n"/>
      <c r="CO393" s="24" t="n"/>
      <c r="CP393" s="24" t="n"/>
      <c r="CQ393" s="24" t="n"/>
      <c r="CR393" s="24" t="inlineStr">
        <is>
          <t>0.517356</t>
        </is>
      </c>
      <c r="CS393" s="24" t="inlineStr">
        <is>
          <t>False</t>
        </is>
      </c>
    </row>
    <row r="394" ht="36" customHeight="1">
      <c r="A394" s="24" t="inlineStr">
        <is>
          <t>01178297bc774037</t>
        </is>
      </c>
      <c r="B394" s="24" t="inlineStr">
        <is>
          <t>2026-08-11T23:02:00.677208Z</t>
        </is>
      </c>
      <c r="C394" s="24" t="inlineStr">
        <is>
          <t>2026-08-11T21:40:00-0400</t>
        </is>
      </c>
      <c r="D394" s="24" t="inlineStr">
        <is>
          <t>401816488</t>
        </is>
      </c>
      <c r="E394" s="24" t="inlineStr">
        <is>
          <t>MLB</t>
        </is>
      </c>
      <c r="F394" s="24" t="inlineStr">
        <is>
          <t>Colorado Rockies</t>
        </is>
      </c>
      <c r="G394" s="24" t="inlineStr">
        <is>
          <t>Arizona Diamondbacks</t>
        </is>
      </c>
      <c r="H394" s="24" t="inlineStr">
        <is>
          <t>moneyline</t>
        </is>
      </c>
      <c r="I394" s="24" t="inlineStr">
        <is>
          <t>home</t>
        </is>
      </c>
      <c r="J394" s="25" t="n"/>
      <c r="K394" s="24" t="inlineStr">
        <is>
          <t>polymarket_us</t>
        </is>
      </c>
      <c r="L394" s="26" t="n">
        <v>-167</v>
      </c>
      <c r="M394" s="27" t="n">
        <v>1.598802</v>
      </c>
      <c r="N394" s="28" t="n">
        <v>0.625468</v>
      </c>
      <c r="O394" s="28" t="n">
        <v>0.6485030000000001</v>
      </c>
      <c r="P394" s="28" t="n"/>
      <c r="Q394" s="28" t="n">
        <v>0.023035</v>
      </c>
      <c r="R394" s="26" t="n">
        <v>33</v>
      </c>
      <c r="S394" s="29" t="n">
        <v>1.75</v>
      </c>
      <c r="T394" s="24" t="inlineStr">
        <is>
          <t>mlb-elo-trend-lr-v8</t>
        </is>
      </c>
      <c r="U394" s="24" t="inlineStr">
        <is>
          <t>settled</t>
        </is>
      </c>
      <c r="V394" s="24" t="inlineStr">
        <is>
          <t>loss</t>
        </is>
      </c>
      <c r="W394" s="26" t="n">
        <v>3</v>
      </c>
      <c r="X394" s="26" t="n">
        <v>2</v>
      </c>
      <c r="Y394" s="25" t="n"/>
      <c r="Z394" s="26" t="n">
        <v>-167</v>
      </c>
      <c r="AA394" s="28" t="n">
        <v>0.625</v>
      </c>
      <c r="AB394" s="28" t="n">
        <v>-0.000468</v>
      </c>
      <c r="AC394" s="30" t="n">
        <v>-1.75</v>
      </c>
      <c r="AD394" s="24" t="inlineStr">
        <is>
          <t>2026-08-12T05:11:24.724130Z</t>
        </is>
      </c>
      <c r="AE394" s="31" t="inlineStr">
        <is>
          <t>Learned LR call at threshold 0.6197; executable ask 0.6250 (aec-mlb-col-az-2026-08-11); model edge vs ask +0.0235.</t>
        </is>
      </c>
      <c r="AF394" s="31" t="inlineStr">
        <is>
          <t>Learned model; shadow-qualified via operator override.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3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mlb-col</t>
        </is>
      </c>
      <c r="AQ394" s="24" t="inlineStr">
        <is>
          <t>Colorado Rockies</t>
        </is>
      </c>
      <c r="AR394" s="24" t="inlineStr">
        <is>
          <t>Colorado Rockies</t>
        </is>
      </c>
      <c r="AS394" s="24" t="inlineStr">
        <is>
          <t>mlb-ari</t>
        </is>
      </c>
      <c r="AT394" s="24" t="inlineStr">
        <is>
          <t>Arizona Diamondbacks</t>
        </is>
      </c>
      <c r="AU394" s="24" t="inlineStr">
        <is>
          <t>Arizona Diamondbacks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3b345499bd6bad9bcf65367a07fe0c668fb5817d4f016a0a865c01d9212fdeb8</t>
        </is>
      </c>
      <c r="BB394" s="24" t="inlineStr">
        <is>
          <t>learned_lr</t>
        </is>
      </c>
      <c r="BC394" s="24" t="inlineStr">
        <is>
          <t>mlb-elo-trend-lr-v8</t>
        </is>
      </c>
      <c r="BD394" s="24" t="inlineStr">
        <is>
          <t>3b345499bd6bad9bcf65367a07fe0c668fb5817d4f016a0a865c01d9212fdeb8</t>
        </is>
      </c>
      <c r="BE394" s="24" t="inlineStr">
        <is>
          <t>55658b7e56d9a791</t>
        </is>
      </c>
      <c r="BF394" s="24" t="inlineStr">
        <is>
          <t>1</t>
        </is>
      </c>
      <c r="BG394" s="24" t="inlineStr">
        <is>
          <t>mlb-elo-trend-lr-v8</t>
        </is>
      </c>
      <c r="BH394" s="24" t="inlineStr">
        <is>
          <t>2026-08-11T23:01:19.107769Z</t>
        </is>
      </c>
      <c r="BI394" s="24" t="inlineStr">
        <is>
          <t>["same_event","same_team_same_day","same_league_same_day"]</t>
        </is>
      </c>
      <c r="BJ394" s="25" t="n"/>
      <c r="BK394" s="26" t="n">
        <v>-167</v>
      </c>
      <c r="BL394" s="27" t="n">
        <v>1.598802</v>
      </c>
      <c r="BM394" s="28" t="n">
        <v>0.625468</v>
      </c>
      <c r="BN394" s="28" t="n">
        <v>0.621891</v>
      </c>
      <c r="BO394" s="28" t="n"/>
      <c r="BP394" s="25" t="n"/>
      <c r="BQ394" s="27" t="n">
        <v>1.598802</v>
      </c>
      <c r="BR394" s="28" t="n">
        <v>0.625</v>
      </c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inlineStr">
        <is>
          <t>0.7006006637</t>
        </is>
      </c>
      <c r="CD394" s="24" t="inlineStr">
        <is>
          <t>0.999398</t>
        </is>
      </c>
      <c r="CE394" s="24" t="inlineStr">
        <is>
          <t>1.097</t>
        </is>
      </c>
      <c r="CF394" s="24" t="inlineStr">
        <is>
          <t>1.0</t>
        </is>
      </c>
      <c r="CG394" s="24" t="n"/>
      <c r="CH394" s="24" t="n"/>
      <c r="CI394" s="24" t="n"/>
      <c r="CJ394" s="24" t="inlineStr">
        <is>
          <t>2.062328</t>
        </is>
      </c>
      <c r="CK394" s="24" t="n"/>
      <c r="CL394" s="24" t="inlineStr">
        <is>
          <t>0.032194</t>
        </is>
      </c>
      <c r="CM394" s="24" t="inlineStr">
        <is>
          <t>-3.8162</t>
        </is>
      </c>
      <c r="CN394" s="24" t="n"/>
      <c r="CO394" s="24" t="n"/>
      <c r="CP394" s="24" t="n"/>
      <c r="CQ394" s="24" t="n"/>
      <c r="CR394" s="24" t="inlineStr">
        <is>
          <t>0.648503</t>
        </is>
      </c>
      <c r="CS394" s="24" t="inlineStr">
        <is>
          <t>True</t>
        </is>
      </c>
    </row>
    <row r="395" ht="36" customHeight="1">
      <c r="A395" s="24" t="inlineStr">
        <is>
          <t>9cf2ac4d29b24f03</t>
        </is>
      </c>
      <c r="B395" s="24" t="inlineStr">
        <is>
          <t>2026-08-11T23:02:00.677208Z</t>
        </is>
      </c>
      <c r="C395" s="24" t="inlineStr">
        <is>
          <t>2026-08-11T21:40:00-0400</t>
        </is>
      </c>
      <c r="D395" s="24" t="inlineStr">
        <is>
          <t>401816491</t>
        </is>
      </c>
      <c r="E395" s="24" t="inlineStr">
        <is>
          <t>MLB</t>
        </is>
      </c>
      <c r="F395" s="24" t="inlineStr">
        <is>
          <t>Milwaukee Brewers</t>
        </is>
      </c>
      <c r="G395" s="24" t="inlineStr">
        <is>
          <t>San Diego Padres</t>
        </is>
      </c>
      <c r="H395" s="24" t="inlineStr">
        <is>
          <t>moneyline</t>
        </is>
      </c>
      <c r="I395" s="24" t="inlineStr">
        <is>
          <t>away</t>
        </is>
      </c>
      <c r="J395" s="25" t="n"/>
      <c r="K395" s="24" t="inlineStr">
        <is>
          <t>polymarket_us</t>
        </is>
      </c>
      <c r="L395" s="26" t="n">
        <v>-117</v>
      </c>
      <c r="M395" s="27" t="n">
        <v>1.854701</v>
      </c>
      <c r="N395" s="28" t="n">
        <v>0.539171</v>
      </c>
      <c r="O395" s="28" t="n">
        <v>0.534615</v>
      </c>
      <c r="P395" s="28" t="n"/>
      <c r="Q395" s="28" t="n">
        <v>-0.004556</v>
      </c>
      <c r="R395" s="26" t="n">
        <v>19</v>
      </c>
      <c r="S395" s="29" t="n">
        <v>0</v>
      </c>
      <c r="T395" s="24" t="inlineStr">
        <is>
          <t>mlb-elo-trend-lr-v8</t>
        </is>
      </c>
      <c r="U395" s="24" t="inlineStr">
        <is>
          <t>settled</t>
        </is>
      </c>
      <c r="V395" s="24" t="inlineStr">
        <is>
          <t>loss</t>
        </is>
      </c>
      <c r="W395" s="26" t="n">
        <v>2</v>
      </c>
      <c r="X395" s="26" t="n">
        <v>11</v>
      </c>
      <c r="Y395" s="25" t="n"/>
      <c r="Z395" s="26" t="n">
        <v>-117</v>
      </c>
      <c r="AA395" s="28" t="n">
        <v>0.54</v>
      </c>
      <c r="AB395" s="28" t="n">
        <v>0.000829</v>
      </c>
      <c r="AC395" s="30" t="n">
        <v>0</v>
      </c>
      <c r="AD395" s="24" t="inlineStr">
        <is>
          <t>2026-08-12T05:11:26.383147Z</t>
        </is>
      </c>
      <c r="AE395" s="31" t="inlineStr">
        <is>
          <t>Learned LR call at threshold 0.6197; executable ask 0.5400 (aec-mlb-mil-sd-2026-08-11); model edge vs ask -0.0054.</t>
        </is>
      </c>
      <c r="AF395" s="31" t="inlineStr">
        <is>
          <t>Learned model; shadow-qualified via operator override.</t>
        </is>
      </c>
      <c r="AG395" s="24" t="inlineStr">
        <is>
          <t>review_required</t>
        </is>
      </c>
      <c r="AH395" s="24" t="n"/>
      <c r="AI395" s="31" t="n"/>
      <c r="AJ395" s="31" t="n"/>
      <c r="AK395" s="24" t="inlineStr">
        <is>
          <t>research_observation</t>
        </is>
      </c>
      <c r="AL395" s="26" t="n">
        <v>3</v>
      </c>
      <c r="AM395" s="24" t="inlineStr">
        <is>
          <t>RESEARCH_OBSERVATION</t>
        </is>
      </c>
      <c r="AN395" s="24" t="inlineStr">
        <is>
          <t>NO_CALL</t>
        </is>
      </c>
      <c r="AO395" s="24" t="inlineStr">
        <is>
          <t>NO_CALL_BELOW_LEARNED_CONFIDENCE</t>
        </is>
      </c>
      <c r="AP395" s="24" t="inlineStr">
        <is>
          <t>mlb-mil</t>
        </is>
      </c>
      <c r="AQ395" s="24" t="inlineStr">
        <is>
          <t>Milwaukee Brewers</t>
        </is>
      </c>
      <c r="AR395" s="24" t="inlineStr">
        <is>
          <t>Milwaukee Brewers</t>
        </is>
      </c>
      <c r="AS395" s="24" t="inlineStr">
        <is>
          <t>mlb-sd</t>
        </is>
      </c>
      <c r="AT395" s="24" t="inlineStr">
        <is>
          <t>San Diego Padres</t>
        </is>
      </c>
      <c r="AU395" s="24" t="inlineStr">
        <is>
          <t>San Diego Padres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3b345499bd6bad9bcf65367a07fe0c668fb5817d4f016a0a865c01d9212fdeb8</t>
        </is>
      </c>
      <c r="BB395" s="24" t="inlineStr">
        <is>
          <t>learned_lr</t>
        </is>
      </c>
      <c r="BC395" s="24" t="inlineStr">
        <is>
          <t>mlb-elo-trend-lr-v8</t>
        </is>
      </c>
      <c r="BD395" s="24" t="inlineStr">
        <is>
          <t>3b345499bd6bad9bcf65367a07fe0c668fb5817d4f016a0a865c01d9212fdeb8</t>
        </is>
      </c>
      <c r="BE395" s="24" t="inlineStr">
        <is>
          <t>59a288b09c0c8562</t>
        </is>
      </c>
      <c r="BF395" s="24" t="inlineStr">
        <is>
          <t>1</t>
        </is>
      </c>
      <c r="BG395" s="24" t="inlineStr">
        <is>
          <t>mlb-elo-trend-lr-v8</t>
        </is>
      </c>
      <c r="BH395" s="24" t="inlineStr">
        <is>
          <t>2026-08-11T23:01:20.339167Z</t>
        </is>
      </c>
      <c r="BI395" s="24" t="inlineStr">
        <is>
          <t>["same_event","same_team_same_day","same_league_same_day"]</t>
        </is>
      </c>
      <c r="BJ395" s="25" t="n"/>
      <c r="BK395" s="26" t="n">
        <v>-117</v>
      </c>
      <c r="BL395" s="27" t="n">
        <v>1.854701</v>
      </c>
      <c r="BM395" s="28" t="n">
        <v>0.539171</v>
      </c>
      <c r="BN395" s="28" t="n">
        <v>0.537313</v>
      </c>
      <c r="BO395" s="28" t="n"/>
      <c r="BP395" s="25" t="n"/>
      <c r="BQ395" s="27" t="n">
        <v>1.854701</v>
      </c>
      <c r="BR395" s="28" t="n">
        <v>0.54</v>
      </c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inlineStr">
        <is>
          <t>0.4619713575</t>
        </is>
      </c>
      <c r="CD395" s="24" t="inlineStr">
        <is>
          <t>0.831816</t>
        </is>
      </c>
      <c r="CE395" s="24" t="inlineStr">
        <is>
          <t>0.945</t>
        </is>
      </c>
      <c r="CF395" s="24" t="inlineStr">
        <is>
          <t>1.0047</t>
        </is>
      </c>
      <c r="CG395" s="24" t="n"/>
      <c r="CH395" s="24" t="n"/>
      <c r="CI395" s="24" t="n"/>
      <c r="CJ395" s="24" t="inlineStr">
        <is>
          <t>0.842936</t>
        </is>
      </c>
      <c r="CK395" s="24" t="n"/>
      <c r="CL395" s="24" t="inlineStr">
        <is>
          <t>0.330348</t>
        </is>
      </c>
      <c r="CM395" s="24" t="inlineStr">
        <is>
          <t>7.2594</t>
        </is>
      </c>
      <c r="CN395" s="24" t="n"/>
      <c r="CO395" s="24" t="n"/>
      <c r="CP395" s="24" t="n"/>
      <c r="CQ395" s="24" t="n"/>
      <c r="CR395" s="24" t="inlineStr">
        <is>
          <t>0.534615</t>
        </is>
      </c>
      <c r="CS395" s="24" t="inlineStr">
        <is>
          <t>False</t>
        </is>
      </c>
    </row>
    <row r="396" ht="36" customHeight="1">
      <c r="A396" s="24" t="inlineStr">
        <is>
          <t>1bac5ac69bec4870</t>
        </is>
      </c>
      <c r="B396" s="24" t="inlineStr">
        <is>
          <t>2026-08-11T23:02:00.677208Z</t>
        </is>
      </c>
      <c r="C396" s="24" t="inlineStr">
        <is>
          <t>2026-08-11T21:40:00-0400</t>
        </is>
      </c>
      <c r="D396" s="24" t="inlineStr">
        <is>
          <t>401816492</t>
        </is>
      </c>
      <c r="E396" s="24" t="inlineStr">
        <is>
          <t>MLB</t>
        </is>
      </c>
      <c r="F396" s="24" t="inlineStr">
        <is>
          <t>Tampa Bay Rays</t>
        </is>
      </c>
      <c r="G396" s="24" t="inlineStr">
        <is>
          <t>Athletics</t>
        </is>
      </c>
      <c r="H396" s="24" t="inlineStr">
        <is>
          <t>moneyline</t>
        </is>
      </c>
      <c r="I396" s="24" t="inlineStr">
        <is>
          <t>away</t>
        </is>
      </c>
      <c r="J396" s="25" t="n"/>
      <c r="K396" s="24" t="inlineStr">
        <is>
          <t>polymarket_us</t>
        </is>
      </c>
      <c r="L396" s="26" t="n">
        <v>-174</v>
      </c>
      <c r="M396" s="27" t="n">
        <v>1.574713</v>
      </c>
      <c r="N396" s="28" t="n">
        <v>0.635036</v>
      </c>
      <c r="O396" s="28" t="n">
        <v>0.600312</v>
      </c>
      <c r="P396" s="28" t="n"/>
      <c r="Q396" s="28" t="n">
        <v>-0.034724</v>
      </c>
      <c r="R396" s="26" t="n">
        <v>4</v>
      </c>
      <c r="S396" s="29" t="n">
        <v>0</v>
      </c>
      <c r="T396" s="24" t="inlineStr">
        <is>
          <t>mlb-elo-trend-lr-v8</t>
        </is>
      </c>
      <c r="U396" s="24" t="inlineStr">
        <is>
          <t>settled</t>
        </is>
      </c>
      <c r="V396" s="24" t="inlineStr">
        <is>
          <t>win</t>
        </is>
      </c>
      <c r="W396" s="26" t="n">
        <v>12</v>
      </c>
      <c r="X396" s="26" t="n">
        <v>4</v>
      </c>
      <c r="Y396" s="25" t="n"/>
      <c r="Z396" s="26" t="n">
        <v>-174</v>
      </c>
      <c r="AA396" s="28" t="n">
        <v>0.635</v>
      </c>
      <c r="AB396" s="28" t="n">
        <v>-3.6e-05</v>
      </c>
      <c r="AC396" s="30" t="n">
        <v>0</v>
      </c>
      <c r="AD396" s="24" t="inlineStr">
        <is>
          <t>2026-08-12T05:11:28.141414Z</t>
        </is>
      </c>
      <c r="AE396" s="31" t="inlineStr">
        <is>
          <t>Learned LR call at threshold 0.6197; executable ask 0.6350 (aec-mlb-tb-ath-2026-08-11); model edge vs ask -0.0347.</t>
        </is>
      </c>
      <c r="AF396" s="31" t="inlineStr">
        <is>
          <t>Learned model; shadow-qualified via operator override.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research_observation</t>
        </is>
      </c>
      <c r="AL396" s="26" t="n">
        <v>3</v>
      </c>
      <c r="AM396" s="24" t="inlineStr">
        <is>
          <t>RESEARCH_OBSERVATION</t>
        </is>
      </c>
      <c r="AN396" s="24" t="inlineStr">
        <is>
          <t>NO_CALL</t>
        </is>
      </c>
      <c r="AO396" s="24" t="inlineStr">
        <is>
          <t>NO_CALL_BELOW_LEARNED_CONFIDENCE</t>
        </is>
      </c>
      <c r="AP396" s="24" t="inlineStr">
        <is>
          <t>mlb-tb</t>
        </is>
      </c>
      <c r="AQ396" s="24" t="inlineStr">
        <is>
          <t>Tampa Bay Rays</t>
        </is>
      </c>
      <c r="AR396" s="24" t="inlineStr">
        <is>
          <t>Tampa Bay Rays</t>
        </is>
      </c>
      <c r="AS396" s="24" t="inlineStr">
        <is>
          <t>mlb-ath</t>
        </is>
      </c>
      <c r="AT396" s="24" t="inlineStr">
        <is>
          <t>Athletics</t>
        </is>
      </c>
      <c r="AU396" s="24" t="inlineStr">
        <is>
          <t>Athletics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3b345499bd6bad9bcf65367a07fe0c668fb5817d4f016a0a865c01d9212fdeb8</t>
        </is>
      </c>
      <c r="BB396" s="24" t="inlineStr">
        <is>
          <t>learned_lr</t>
        </is>
      </c>
      <c r="BC396" s="24" t="inlineStr">
        <is>
          <t>mlb-elo-trend-lr-v8</t>
        </is>
      </c>
      <c r="BD396" s="24" t="inlineStr">
        <is>
          <t>3b345499bd6bad9bcf65367a07fe0c668fb5817d4f016a0a865c01d9212fdeb8</t>
        </is>
      </c>
      <c r="BE396" s="24" t="inlineStr">
        <is>
          <t>2560dd3208a01747</t>
        </is>
      </c>
      <c r="BF396" s="24" t="inlineStr">
        <is>
          <t>1</t>
        </is>
      </c>
      <c r="BG396" s="24" t="inlineStr">
        <is>
          <t>mlb-elo-trend-lr-v8</t>
        </is>
      </c>
      <c r="BH396" s="24" t="inlineStr">
        <is>
          <t>2026-08-11T23:01:19.491178Z</t>
        </is>
      </c>
      <c r="BI396" s="24" t="inlineStr">
        <is>
          <t>["same_event","same_team_same_day","same_league_same_day"]</t>
        </is>
      </c>
      <c r="BJ396" s="25" t="n"/>
      <c r="BK396" s="26" t="n">
        <v>-174</v>
      </c>
      <c r="BL396" s="27" t="n">
        <v>1.574713</v>
      </c>
      <c r="BM396" s="28" t="n">
        <v>0.635036</v>
      </c>
      <c r="BN396" s="28" t="n">
        <v>0.631841</v>
      </c>
      <c r="BO396" s="28" t="n"/>
      <c r="BP396" s="25" t="n"/>
      <c r="BQ396" s="27" t="n">
        <v>1.574713</v>
      </c>
      <c r="BR396" s="28" t="n">
        <v>0.635</v>
      </c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inlineStr">
        <is>
          <t>0.4040738317</t>
        </is>
      </c>
      <c r="CD396" s="24" t="inlineStr">
        <is>
          <t>-0.37439</t>
        </is>
      </c>
      <c r="CE396" s="24" t="inlineStr">
        <is>
          <t>1.153</t>
        </is>
      </c>
      <c r="CF396" s="24" t="inlineStr">
        <is>
          <t>1.0145</t>
        </is>
      </c>
      <c r="CG396" s="24" t="n"/>
      <c r="CH396" s="24" t="n"/>
      <c r="CI396" s="24" t="n"/>
      <c r="CJ396" s="24" t="inlineStr">
        <is>
          <t>-0.435269</t>
        </is>
      </c>
      <c r="CK396" s="24" t="n"/>
      <c r="CL396" s="24" t="inlineStr">
        <is>
          <t>0.435024</t>
        </is>
      </c>
      <c r="CM396" s="24" t="inlineStr">
        <is>
          <t>4.5</t>
        </is>
      </c>
      <c r="CN396" s="24" t="n"/>
      <c r="CO396" s="24" t="n"/>
      <c r="CP396" s="24" t="n"/>
      <c r="CQ396" s="24" t="n"/>
      <c r="CR396" s="24" t="inlineStr">
        <is>
          <t>0.600312</t>
        </is>
      </c>
      <c r="CS396" s="24" t="inlineStr">
        <is>
          <t>False</t>
        </is>
      </c>
    </row>
    <row r="397" ht="36" customHeight="1">
      <c r="A397" s="24" t="inlineStr">
        <is>
          <t>3113e0da7076499b</t>
        </is>
      </c>
      <c r="B397" s="24" t="inlineStr">
        <is>
          <t>2026-08-11T23:02:00.677208Z</t>
        </is>
      </c>
      <c r="C397" s="24" t="inlineStr">
        <is>
          <t>2026-08-11T21:45:00-0400</t>
        </is>
      </c>
      <c r="D397" s="24" t="inlineStr">
        <is>
          <t>401816489</t>
        </is>
      </c>
      <c r="E397" s="24" t="inlineStr">
        <is>
          <t>MLB</t>
        </is>
      </c>
      <c r="F397" s="24" t="inlineStr">
        <is>
          <t>Houston Astros</t>
        </is>
      </c>
      <c r="G397" s="24" t="inlineStr">
        <is>
          <t>San Francisco Giants</t>
        </is>
      </c>
      <c r="H397" s="24" t="inlineStr">
        <is>
          <t>moneyline</t>
        </is>
      </c>
      <c r="I397" s="24" t="inlineStr">
        <is>
          <t>home</t>
        </is>
      </c>
      <c r="J397" s="25" t="n"/>
      <c r="K397" s="24" t="inlineStr">
        <is>
          <t>polymarket_us</t>
        </is>
      </c>
      <c r="L397" s="26" t="n">
        <v>167</v>
      </c>
      <c r="M397" s="27" t="n">
        <v>2.67</v>
      </c>
      <c r="N397" s="28" t="n">
        <v>0.374532</v>
      </c>
      <c r="O397" s="28" t="n">
        <v>0.534448</v>
      </c>
      <c r="P397" s="28" t="n"/>
      <c r="Q397" s="28" t="n">
        <v>0.159916</v>
      </c>
      <c r="R397" s="26" t="n">
        <v>100</v>
      </c>
      <c r="S397" s="29" t="n">
        <v>0</v>
      </c>
      <c r="T397" s="24" t="inlineStr">
        <is>
          <t>mlb-elo-trend-lr-v8</t>
        </is>
      </c>
      <c r="U397" s="24" t="inlineStr">
        <is>
          <t>settled</t>
        </is>
      </c>
      <c r="V397" s="24" t="inlineStr">
        <is>
          <t>win</t>
        </is>
      </c>
      <c r="W397" s="26" t="n">
        <v>1</v>
      </c>
      <c r="X397" s="26" t="n">
        <v>4</v>
      </c>
      <c r="Y397" s="25" t="n"/>
      <c r="Z397" s="26" t="n">
        <v>167</v>
      </c>
      <c r="AA397" s="28" t="n">
        <v>0.375</v>
      </c>
      <c r="AB397" s="28" t="n">
        <v>0.000468</v>
      </c>
      <c r="AC397" s="30" t="n">
        <v>0</v>
      </c>
      <c r="AD397" s="24" t="inlineStr">
        <is>
          <t>2026-08-12T05:11:29.834953Z</t>
        </is>
      </c>
      <c r="AE397" s="31" t="inlineStr">
        <is>
          <t>Learned LR call at threshold 0.6197; executable ask 0.3750 (aec-mlb-hou-sf-2026-08-11); model edge vs ask +0.1594.</t>
        </is>
      </c>
      <c r="AF397" s="31" t="inlineStr">
        <is>
          <t>Learned model; shadow-qualified via operator override.</t>
        </is>
      </c>
      <c r="AG397" s="24" t="inlineStr">
        <is>
          <t>not_applicable</t>
        </is>
      </c>
      <c r="AH397" s="24" t="n"/>
      <c r="AI397" s="31" t="n"/>
      <c r="AJ397" s="31" t="n"/>
      <c r="AK397" s="24" t="inlineStr">
        <is>
          <t>research_observation</t>
        </is>
      </c>
      <c r="AL397" s="26" t="n">
        <v>3</v>
      </c>
      <c r="AM397" s="24" t="inlineStr">
        <is>
          <t>RESEARCH_OBSERVATION</t>
        </is>
      </c>
      <c r="AN397" s="24" t="inlineStr">
        <is>
          <t>NO_CALL</t>
        </is>
      </c>
      <c r="AO397" s="24" t="inlineStr">
        <is>
          <t>NO_CALL_BELOW_LEARNED_CONFIDENCE</t>
        </is>
      </c>
      <c r="AP397" s="24" t="inlineStr">
        <is>
          <t>mlb-hou</t>
        </is>
      </c>
      <c r="AQ397" s="24" t="inlineStr">
        <is>
          <t>Houston Astros</t>
        </is>
      </c>
      <c r="AR397" s="24" t="inlineStr">
        <is>
          <t>Houston Astros</t>
        </is>
      </c>
      <c r="AS397" s="24" t="inlineStr">
        <is>
          <t>mlb-sf</t>
        </is>
      </c>
      <c r="AT397" s="24" t="inlineStr">
        <is>
          <t>San Francisco Giants</t>
        </is>
      </c>
      <c r="AU397" s="24" t="inlineStr">
        <is>
          <t>San Francisco Giants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3b345499bd6bad9bcf65367a07fe0c668fb5817d4f016a0a865c01d9212fdeb8</t>
        </is>
      </c>
      <c r="BB397" s="24" t="inlineStr">
        <is>
          <t>learned_lr</t>
        </is>
      </c>
      <c r="BC397" s="24" t="inlineStr">
        <is>
          <t>mlb-elo-trend-lr-v8</t>
        </is>
      </c>
      <c r="BD397" s="24" t="inlineStr">
        <is>
          <t>3b345499bd6bad9bcf65367a07fe0c668fb5817d4f016a0a865c01d9212fdeb8</t>
        </is>
      </c>
      <c r="BE397" s="24" t="inlineStr">
        <is>
          <t>d5dc2e7cc6ae102c</t>
        </is>
      </c>
      <c r="BF397" s="24" t="inlineStr">
        <is>
          <t>1</t>
        </is>
      </c>
      <c r="BG397" s="24" t="inlineStr">
        <is>
          <t>mlb-elo-trend-lr-v8</t>
        </is>
      </c>
      <c r="BH397" s="24" t="inlineStr">
        <is>
          <t>2026-08-11T23:01:20.421965Z</t>
        </is>
      </c>
      <c r="BI397" s="24" t="inlineStr">
        <is>
          <t>["same_event","same_team_same_day","same_league_same_day"]</t>
        </is>
      </c>
      <c r="BJ397" s="25" t="n"/>
      <c r="BK397" s="26" t="n">
        <v>167</v>
      </c>
      <c r="BL397" s="27" t="n">
        <v>2.67</v>
      </c>
      <c r="BM397" s="28" t="n">
        <v>0.374532</v>
      </c>
      <c r="BN397" s="28" t="n">
        <v>0.373134</v>
      </c>
      <c r="BO397" s="28" t="n"/>
      <c r="BP397" s="25" t="n"/>
      <c r="BQ397" s="27" t="n">
        <v>2.67</v>
      </c>
      <c r="BR397" s="28" t="n">
        <v>0.375</v>
      </c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inlineStr">
        <is>
          <t>0.4880524231</t>
        </is>
      </c>
      <c r="CD397" s="24" t="inlineStr">
        <is>
          <t>-1.060427</t>
        </is>
      </c>
      <c r="CE397" s="24" t="inlineStr">
        <is>
          <t>0.98</t>
        </is>
      </c>
      <c r="CF397" s="24" t="inlineStr">
        <is>
          <t>0.9901</t>
        </is>
      </c>
      <c r="CG397" s="24" t="n"/>
      <c r="CH397" s="24" t="n"/>
      <c r="CI397" s="24" t="n"/>
      <c r="CJ397" s="24" t="inlineStr">
        <is>
          <t>-0.975594</t>
        </is>
      </c>
      <c r="CK397" s="24" t="n"/>
      <c r="CL397" s="24" t="inlineStr">
        <is>
          <t>0.46586</t>
        </is>
      </c>
      <c r="CM397" s="24" t="inlineStr">
        <is>
          <t>-0.988</t>
        </is>
      </c>
      <c r="CN397" s="24" t="n"/>
      <c r="CO397" s="24" t="n"/>
      <c r="CP397" s="24" t="n"/>
      <c r="CQ397" s="24" t="n"/>
      <c r="CR397" s="24" t="inlineStr">
        <is>
          <t>0.534448</t>
        </is>
      </c>
      <c r="CS397" s="24" t="inlineStr">
        <is>
          <t>True</t>
        </is>
      </c>
    </row>
    <row r="398" ht="36" customHeight="1">
      <c r="A398" s="24" t="inlineStr">
        <is>
          <t>3fd627ca37104a0e</t>
        </is>
      </c>
      <c r="B398" s="24" t="inlineStr">
        <is>
          <t>2026-08-11T23:02:24.981249Z</t>
        </is>
      </c>
      <c r="C398" s="24" t="inlineStr">
        <is>
          <t>2026-08-11T23:05Z</t>
        </is>
      </c>
      <c r="D398" s="24" t="inlineStr">
        <is>
          <t>401816484</t>
        </is>
      </c>
      <c r="E398" s="24" t="inlineStr">
        <is>
          <t>MLB</t>
        </is>
      </c>
      <c r="F398" s="24" t="inlineStr">
        <is>
          <t>Seattle Mariners</t>
        </is>
      </c>
      <c r="G398" s="24" t="inlineStr">
        <is>
          <t>New York Yankees</t>
        </is>
      </c>
      <c r="H398" s="24" t="inlineStr">
        <is>
          <t>spread</t>
        </is>
      </c>
      <c r="I398" s="24" t="inlineStr">
        <is>
          <t>away</t>
        </is>
      </c>
      <c r="J398" s="25" t="n">
        <v>1.5</v>
      </c>
      <c r="K398" s="24" t="inlineStr">
        <is>
          <t>polymarket_us</t>
        </is>
      </c>
      <c r="L398" s="26" t="n">
        <v>-174</v>
      </c>
      <c r="M398" s="27" t="n">
        <v>1.574713</v>
      </c>
      <c r="N398" s="28" t="n">
        <v>0.635036</v>
      </c>
      <c r="O398" s="28" t="n">
        <v>0.576249</v>
      </c>
      <c r="P398" s="28" t="n">
        <v>0.042131</v>
      </c>
      <c r="Q398" s="28" t="n">
        <v>-0.058787</v>
      </c>
      <c r="R398" s="26" t="n">
        <v>0</v>
      </c>
      <c r="S398" s="29" t="n">
        <v>1.25</v>
      </c>
      <c r="T398" s="24" t="inlineStr">
        <is>
          <t>measured-edge-margin-v3</t>
        </is>
      </c>
      <c r="U398" s="24" t="inlineStr">
        <is>
          <t>settled</t>
        </is>
      </c>
      <c r="V398" s="24" t="inlineStr">
        <is>
          <t>loss</t>
        </is>
      </c>
      <c r="W398" s="26" t="n">
        <v>1</v>
      </c>
      <c r="X398" s="26" t="n">
        <v>4</v>
      </c>
      <c r="Y398" s="25" t="n">
        <v>1.5</v>
      </c>
      <c r="Z398" s="26" t="n">
        <v>-174</v>
      </c>
      <c r="AA398" s="28" t="n">
        <v>0.635</v>
      </c>
      <c r="AB398" s="28" t="n">
        <v>-3.6e-05</v>
      </c>
      <c r="AC398" s="30" t="n">
        <v>-1.25</v>
      </c>
      <c r="AD398" s="24" t="inlineStr">
        <is>
          <t>2026-08-12T05:11:33.455325Z</t>
        </is>
      </c>
      <c r="AE398" s="31" t="inlineStr">
        <is>
          <t>Measured Edge Margin: Trend Engine projected 4.18-4.81; raw selected-side p=0.6119, calibrated p=0.5762.</t>
        </is>
      </c>
      <c r="AF398" s="31" t="inlineStr">
        <is>
          <t>Research-only; lineup, bullpen, park, weather, xFIP, and wRC+ may be neutral fallbacks; market availability and BBO depth may change before first pitch.</t>
        </is>
      </c>
      <c r="AG398" s="24" t="inlineStr">
        <is>
          <t>review_required</t>
        </is>
      </c>
      <c r="AH398" s="24" t="n"/>
      <c r="AI398" s="31" t="n"/>
      <c r="AJ398" s="31" t="n"/>
      <c r="AK398" s="24" t="inlineStr">
        <is>
          <t>model_qualified</t>
        </is>
      </c>
      <c r="AL398" s="26" t="n">
        <v>3</v>
      </c>
      <c r="AM398" s="24" t="inlineStr">
        <is>
          <t>QUALIFIED_SHADOW_CALL</t>
        </is>
      </c>
      <c r="AN398" s="24" t="inlineStr">
        <is>
          <t>CALL</t>
        </is>
      </c>
      <c r="AO398" s="24" t="inlineStr">
        <is>
          <t>QUALIFIED</t>
        </is>
      </c>
      <c r="AP398" s="24" t="inlineStr">
        <is>
          <t>mlb-sea</t>
        </is>
      </c>
      <c r="AQ398" s="24" t="inlineStr">
        <is>
          <t>Seattle Mariners</t>
        </is>
      </c>
      <c r="AR398" s="24" t="inlineStr">
        <is>
          <t>Seattle Mariners</t>
        </is>
      </c>
      <c r="AS398" s="24" t="inlineStr">
        <is>
          <t>mlb-nyy</t>
        </is>
      </c>
      <c r="AT398" s="24" t="inlineStr">
        <is>
          <t>New York Yankees</t>
        </is>
      </c>
      <c r="AU398" s="24" t="inlineStr">
        <is>
          <t>New York Yankees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research</t>
        </is>
      </c>
      <c r="BA398" s="24" t="inlineStr">
        <is>
          <t>dd339a2eed50d7d83ab2127837995ddab82e879afd27f5414bb6c1f9cd60ba4c</t>
        </is>
      </c>
      <c r="BB398" s="24" t="inlineStr">
        <is>
          <t>flat_probability_shrinkage_toward_half</t>
        </is>
      </c>
      <c r="BC398" s="24" t="inlineStr">
        <is>
          <t>measured-edge-margin-v3</t>
        </is>
      </c>
      <c r="BD398" s="24" t="inlineStr">
        <is>
          <t>dd339a2eed50d7d83ab2127837995ddab82e879afd27f5414bb6c1f9cd60ba4c</t>
        </is>
      </c>
      <c r="BE398" s="24" t="inlineStr">
        <is>
          <t>v3</t>
        </is>
      </c>
      <c r="BF398" s="24" t="inlineStr">
        <is>
          <t>1</t>
        </is>
      </c>
      <c r="BG398" s="24" t="inlineStr">
        <is>
          <t>measured-edge-paired-v1</t>
        </is>
      </c>
      <c r="BH398" s="24" t="inlineStr">
        <is>
          <t>2026-08-11T23:02:24.981249Z</t>
        </is>
      </c>
      <c r="BI398" s="24" t="inlineStr">
        <is>
          <t>["same_event","same_team_same_day","same_league_same_day"]</t>
        </is>
      </c>
      <c r="BJ398" s="25" t="n">
        <v>1.5</v>
      </c>
      <c r="BK398" s="26" t="n">
        <v>-174</v>
      </c>
      <c r="BL398" s="27" t="n">
        <v>1.574713</v>
      </c>
      <c r="BM398" s="28" t="n">
        <v>0.635036</v>
      </c>
      <c r="BN398" s="28" t="n">
        <v>0.631841</v>
      </c>
      <c r="BO398" s="28" t="n"/>
      <c r="BP398" s="25" t="n"/>
      <c r="BQ398" s="27" t="n">
        <v>1.574713</v>
      </c>
      <c r="BR398" s="28" t="n">
        <v>0.635</v>
      </c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False</t>
        </is>
      </c>
    </row>
    <row r="399" ht="36" customHeight="1">
      <c r="A399" s="24" t="inlineStr">
        <is>
          <t>36bd516f4dfb4e74</t>
        </is>
      </c>
      <c r="B399" s="24" t="inlineStr">
        <is>
          <t>2026-08-11T23:02:24.981249Z</t>
        </is>
      </c>
      <c r="C399" s="24" t="inlineStr">
        <is>
          <t>2026-08-11T23:05Z</t>
        </is>
      </c>
      <c r="D399" s="24" t="inlineStr">
        <is>
          <t>401816484</t>
        </is>
      </c>
      <c r="E399" s="24" t="inlineStr">
        <is>
          <t>MLB</t>
        </is>
      </c>
      <c r="F399" s="24" t="inlineStr">
        <is>
          <t>Seattle Mariners</t>
        </is>
      </c>
      <c r="G399" s="24" t="inlineStr">
        <is>
          <t>New York Yankees</t>
        </is>
      </c>
      <c r="H399" s="24" t="inlineStr">
        <is>
          <t>total</t>
        </is>
      </c>
      <c r="I399" s="24" t="inlineStr">
        <is>
          <t>over</t>
        </is>
      </c>
      <c r="J399" s="25" t="n">
        <v>7.5</v>
      </c>
      <c r="K399" s="24" t="inlineStr">
        <is>
          <t>polymarket_us</t>
        </is>
      </c>
      <c r="L399" s="26" t="n">
        <v>-120</v>
      </c>
      <c r="M399" s="27" t="n">
        <v>1.833333</v>
      </c>
      <c r="N399" s="28" t="n">
        <v>0.545455</v>
      </c>
      <c r="O399" s="28" t="n">
        <v>0.526641</v>
      </c>
      <c r="P399" s="28" t="n">
        <v>0.042131</v>
      </c>
      <c r="Q399" s="28" t="n">
        <v>-0.018814</v>
      </c>
      <c r="R399" s="26" t="n">
        <v>17</v>
      </c>
      <c r="S399" s="29" t="n">
        <v>1</v>
      </c>
      <c r="T399" s="24" t="inlineStr">
        <is>
          <t>measured-edge-totals-v3</t>
        </is>
      </c>
      <c r="U399" s="24" t="inlineStr">
        <is>
          <t>settled</t>
        </is>
      </c>
      <c r="V399" s="24" t="inlineStr">
        <is>
          <t>loss</t>
        </is>
      </c>
      <c r="W399" s="26" t="n">
        <v>1</v>
      </c>
      <c r="X399" s="26" t="n">
        <v>4</v>
      </c>
      <c r="Y399" s="25" t="n">
        <v>7.5</v>
      </c>
      <c r="Z399" s="26" t="n">
        <v>-120</v>
      </c>
      <c r="AA399" s="28" t="n">
        <v>0.545</v>
      </c>
      <c r="AB399" s="28" t="n">
        <v>-0.000455</v>
      </c>
      <c r="AC399" s="30" t="n">
        <v>-1</v>
      </c>
      <c r="AD399" s="24" t="inlineStr">
        <is>
          <t>2026-08-12T05:11:35.021825Z</t>
        </is>
      </c>
      <c r="AE399" s="31" t="inlineStr">
        <is>
          <t>Measured Edge Totals: Trend Engine projected 4.18-4.81; raw selected-side p=0.5839, calibrated p=0.5266.</t>
        </is>
      </c>
      <c r="AF399" s="31" t="inlineStr">
        <is>
          <t>Research-only; lineup, bullpen, park, weather, xFIP, and wRC+ may be neutral fallbacks; market availability and BBO depth may change before first pitch.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3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mlb-sea</t>
        </is>
      </c>
      <c r="AQ399" s="24" t="inlineStr">
        <is>
          <t>Seattle Mariners</t>
        </is>
      </c>
      <c r="AR399" s="24" t="inlineStr">
        <is>
          <t>Seattle Mariners</t>
        </is>
      </c>
      <c r="AS399" s="24" t="inlineStr">
        <is>
          <t>mlb-nyy</t>
        </is>
      </c>
      <c r="AT399" s="24" t="inlineStr">
        <is>
          <t>New York Yankees</t>
        </is>
      </c>
      <c r="AU399" s="24" t="inlineStr">
        <is>
          <t>New York Yankees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research</t>
        </is>
      </c>
      <c r="BA399" s="24" t="inlineStr">
        <is>
          <t>95b84332c75d2ce54036eb8de6ada9c78d0f80228c50825c0347281a8b9b49c7</t>
        </is>
      </c>
      <c r="BB399" s="24" t="inlineStr">
        <is>
          <t>flat_probability_shrinkage_toward_half</t>
        </is>
      </c>
      <c r="BC399" s="24" t="inlineStr">
        <is>
          <t>measured-edge-totals-v3</t>
        </is>
      </c>
      <c r="BD399" s="24" t="inlineStr">
        <is>
          <t>95b84332c75d2ce54036eb8de6ada9c78d0f80228c50825c0347281a8b9b49c7</t>
        </is>
      </c>
      <c r="BE399" s="24" t="inlineStr">
        <is>
          <t>v3</t>
        </is>
      </c>
      <c r="BF399" s="24" t="inlineStr">
        <is>
          <t>1</t>
        </is>
      </c>
      <c r="BG399" s="24" t="inlineStr">
        <is>
          <t>measured-edge-paired-v1</t>
        </is>
      </c>
      <c r="BH399" s="24" t="inlineStr">
        <is>
          <t>2026-08-11T23:02:24.981249Z</t>
        </is>
      </c>
      <c r="BI399" s="24" t="inlineStr">
        <is>
          <t>["same_event","same_team_same_day","same_league_same_day"]</t>
        </is>
      </c>
      <c r="BJ399" s="25" t="n">
        <v>7.5</v>
      </c>
      <c r="BK399" s="26" t="n">
        <v>-120</v>
      </c>
      <c r="BL399" s="27" t="n">
        <v>1.833333</v>
      </c>
      <c r="BM399" s="28" t="n">
        <v>0.545455</v>
      </c>
      <c r="BN399" s="28" t="n">
        <v>0.542289</v>
      </c>
      <c r="BO399" s="28" t="n"/>
      <c r="BP399" s="25" t="n"/>
      <c r="BQ399" s="27" t="n">
        <v>1.833333</v>
      </c>
      <c r="BR399" s="28" t="n">
        <v>0.545</v>
      </c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False</t>
        </is>
      </c>
    </row>
    <row r="400" ht="36" customHeight="1">
      <c r="A400" s="24" t="inlineStr">
        <is>
          <t>7d83aecf3af54369</t>
        </is>
      </c>
      <c r="B400" s="24" t="inlineStr">
        <is>
          <t>2026-08-11T23:02:24.981249Z</t>
        </is>
      </c>
      <c r="C400" s="24" t="inlineStr">
        <is>
          <t>2026-08-11T23:07Z</t>
        </is>
      </c>
      <c r="D400" s="24" t="inlineStr">
        <is>
          <t>401816479</t>
        </is>
      </c>
      <c r="E400" s="24" t="inlineStr">
        <is>
          <t>MLB</t>
        </is>
      </c>
      <c r="F400" s="24" t="inlineStr">
        <is>
          <t>Boston Red Sox</t>
        </is>
      </c>
      <c r="G400" s="24" t="inlineStr">
        <is>
          <t>Toronto Blue Jays</t>
        </is>
      </c>
      <c r="H400" s="24" t="inlineStr">
        <is>
          <t>spread</t>
        </is>
      </c>
      <c r="I400" s="24" t="inlineStr">
        <is>
          <t>away</t>
        </is>
      </c>
      <c r="J400" s="25" t="n">
        <v>1.5</v>
      </c>
      <c r="K400" s="24" t="inlineStr">
        <is>
          <t>polymarket_us</t>
        </is>
      </c>
      <c r="L400" s="26" t="n">
        <v>-174</v>
      </c>
      <c r="M400" s="27" t="n">
        <v>1.574713</v>
      </c>
      <c r="N400" s="28" t="n">
        <v>0.635036</v>
      </c>
      <c r="O400" s="28" t="n">
        <v>0.58003</v>
      </c>
      <c r="P400" s="28" t="n">
        <v>0.05172</v>
      </c>
      <c r="Q400" s="28" t="n">
        <v>-0.055006</v>
      </c>
      <c r="R400" s="26" t="n">
        <v>0</v>
      </c>
      <c r="S400" s="29" t="n">
        <v>1.25</v>
      </c>
      <c r="T400" s="24" t="inlineStr">
        <is>
          <t>measured-edge-margin-v3</t>
        </is>
      </c>
      <c r="U400" s="24" t="inlineStr">
        <is>
          <t>settled</t>
        </is>
      </c>
      <c r="V400" s="24" t="inlineStr">
        <is>
          <t>loss</t>
        </is>
      </c>
      <c r="W400" s="26" t="n">
        <v>3</v>
      </c>
      <c r="X400" s="26" t="n">
        <v>5</v>
      </c>
      <c r="Y400" s="25" t="n">
        <v>1.5</v>
      </c>
      <c r="Z400" s="26" t="n">
        <v>-174</v>
      </c>
      <c r="AA400" s="28" t="n">
        <v>0.635</v>
      </c>
      <c r="AB400" s="28" t="n">
        <v>-3.6e-05</v>
      </c>
      <c r="AC400" s="30" t="n">
        <v>-1.25</v>
      </c>
      <c r="AD400" s="24" t="inlineStr">
        <is>
          <t>2026-08-12T02:05:36.005167Z</t>
        </is>
      </c>
      <c r="AE400" s="31" t="inlineStr">
        <is>
          <t>Measured Edge Margin: Trend Engine projected 3.78-4.46; raw selected-side p=0.6175, calibrated p=0.5800.</t>
        </is>
      </c>
      <c r="AF400" s="31" t="inlineStr">
        <is>
          <t>Research-only; lineup, bullpen, park, weather, xFIP, and wRC+ may be neutral fallbacks; market availability and BBO depth may change before first pitch.</t>
        </is>
      </c>
      <c r="AG400" s="24" t="inlineStr">
        <is>
          <t>review_required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3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mlb-bos</t>
        </is>
      </c>
      <c r="AQ400" s="24" t="inlineStr">
        <is>
          <t>Boston Red Sox</t>
        </is>
      </c>
      <c r="AR400" s="24" t="inlineStr">
        <is>
          <t>Boston Red Sox</t>
        </is>
      </c>
      <c r="AS400" s="24" t="inlineStr">
        <is>
          <t>mlb-tor</t>
        </is>
      </c>
      <c r="AT400" s="24" t="inlineStr">
        <is>
          <t>Toronto Blue Jays</t>
        </is>
      </c>
      <c r="AU400" s="24" t="inlineStr">
        <is>
          <t>Toronto Blue Jays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research</t>
        </is>
      </c>
      <c r="BA400" s="24" t="inlineStr">
        <is>
          <t>dd339a2eed50d7d83ab2127837995ddab82e879afd27f5414bb6c1f9cd60ba4c</t>
        </is>
      </c>
      <c r="BB400" s="24" t="inlineStr">
        <is>
          <t>flat_probability_shrinkage_toward_half</t>
        </is>
      </c>
      <c r="BC400" s="24" t="inlineStr">
        <is>
          <t>measured-edge-margin-v3</t>
        </is>
      </c>
      <c r="BD400" s="24" t="inlineStr">
        <is>
          <t>dd339a2eed50d7d83ab2127837995ddab82e879afd27f5414bb6c1f9cd60ba4c</t>
        </is>
      </c>
      <c r="BE400" s="24" t="inlineStr">
        <is>
          <t>v3</t>
        </is>
      </c>
      <c r="BF400" s="24" t="inlineStr">
        <is>
          <t>1</t>
        </is>
      </c>
      <c r="BG400" s="24" t="inlineStr">
        <is>
          <t>measured-edge-paired-v1</t>
        </is>
      </c>
      <c r="BH400" s="24" t="inlineStr">
        <is>
          <t>2026-08-11T23:02:24.981249Z</t>
        </is>
      </c>
      <c r="BI400" s="24" t="inlineStr">
        <is>
          <t>["same_event","same_team_same_day","same_league_same_day"]</t>
        </is>
      </c>
      <c r="BJ400" s="25" t="n">
        <v>1.5</v>
      </c>
      <c r="BK400" s="26" t="n">
        <v>-174</v>
      </c>
      <c r="BL400" s="27" t="n">
        <v>1.574713</v>
      </c>
      <c r="BM400" s="28" t="n">
        <v>0.635036</v>
      </c>
      <c r="BN400" s="28" t="n">
        <v>0.631841</v>
      </c>
      <c r="BO400" s="28" t="n"/>
      <c r="BP400" s="25" t="n"/>
      <c r="BQ400" s="27" t="n">
        <v>1.574713</v>
      </c>
      <c r="BR400" s="28" t="n">
        <v>0.635</v>
      </c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False</t>
        </is>
      </c>
    </row>
    <row r="401" ht="36" customHeight="1">
      <c r="A401" s="24" t="inlineStr">
        <is>
          <t>aeeb7a19a86a4c9b</t>
        </is>
      </c>
      <c r="B401" s="24" t="inlineStr">
        <is>
          <t>2026-08-11T23:02:24.981249Z</t>
        </is>
      </c>
      <c r="C401" s="24" t="inlineStr">
        <is>
          <t>2026-08-11T23:07Z</t>
        </is>
      </c>
      <c r="D401" s="24" t="inlineStr">
        <is>
          <t>401816479</t>
        </is>
      </c>
      <c r="E401" s="24" t="inlineStr">
        <is>
          <t>MLB</t>
        </is>
      </c>
      <c r="F401" s="24" t="inlineStr">
        <is>
          <t>Boston Red Sox</t>
        </is>
      </c>
      <c r="G401" s="24" t="inlineStr">
        <is>
          <t>Toronto Blue Jays</t>
        </is>
      </c>
      <c r="H401" s="24" t="inlineStr">
        <is>
          <t>total</t>
        </is>
      </c>
      <c r="I401" s="24" t="inlineStr">
        <is>
          <t>over</t>
        </is>
      </c>
      <c r="J401" s="25" t="n">
        <v>6.5</v>
      </c>
      <c r="K401" s="24" t="inlineStr">
        <is>
          <t>polymarket_us</t>
        </is>
      </c>
      <c r="L401" s="26" t="n">
        <v>-122</v>
      </c>
      <c r="M401" s="27" t="n">
        <v>1.819672</v>
      </c>
      <c r="N401" s="28" t="n">
        <v>0.54955</v>
      </c>
      <c r="O401" s="28" t="n">
        <v>0.546165</v>
      </c>
      <c r="P401" s="28" t="n">
        <v>0.05172</v>
      </c>
      <c r="Q401" s="28" t="n">
        <v>-0.003385</v>
      </c>
      <c r="R401" s="26" t="n">
        <v>18</v>
      </c>
      <c r="S401" s="29" t="n">
        <v>1</v>
      </c>
      <c r="T401" s="24" t="inlineStr">
        <is>
          <t>measured-edge-totals-v3</t>
        </is>
      </c>
      <c r="U401" s="24" t="inlineStr">
        <is>
          <t>settled</t>
        </is>
      </c>
      <c r="V401" s="24" t="inlineStr">
        <is>
          <t>win</t>
        </is>
      </c>
      <c r="W401" s="26" t="n">
        <v>3</v>
      </c>
      <c r="X401" s="26" t="n">
        <v>5</v>
      </c>
      <c r="Y401" s="25" t="n">
        <v>6.5</v>
      </c>
      <c r="Z401" s="26" t="n">
        <v>-122</v>
      </c>
      <c r="AA401" s="28" t="n">
        <v>0.55</v>
      </c>
      <c r="AB401" s="28" t="n">
        <v>0.00045</v>
      </c>
      <c r="AC401" s="30" t="n">
        <v>0.8197</v>
      </c>
      <c r="AD401" s="24" t="inlineStr">
        <is>
          <t>2026-08-12T02:05:37.585784Z</t>
        </is>
      </c>
      <c r="AE401" s="31" t="inlineStr">
        <is>
          <t>Measured Edge Totals: Trend Engine projected 3.78-4.46; raw selected-side p=0.6625, calibrated p=0.5462.</t>
        </is>
      </c>
      <c r="AF401" s="31" t="inlineStr">
        <is>
          <t>Research-only; lineup, bullpen, park, weather, xFIP, and wRC+ may be neutral fallbacks; market availability and BBO depth may change before first pitch.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3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mlb-bos</t>
        </is>
      </c>
      <c r="AQ401" s="24" t="inlineStr">
        <is>
          <t>Boston Red Sox</t>
        </is>
      </c>
      <c r="AR401" s="24" t="inlineStr">
        <is>
          <t>Boston Red Sox</t>
        </is>
      </c>
      <c r="AS401" s="24" t="inlineStr">
        <is>
          <t>mlb-tor</t>
        </is>
      </c>
      <c r="AT401" s="24" t="inlineStr">
        <is>
          <t>Toronto Blue Jays</t>
        </is>
      </c>
      <c r="AU401" s="24" t="inlineStr">
        <is>
          <t>Toronto Blue Jays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research</t>
        </is>
      </c>
      <c r="BA401" s="24" t="inlineStr">
        <is>
          <t>95b84332c75d2ce54036eb8de6ada9c78d0f80228c50825c0347281a8b9b49c7</t>
        </is>
      </c>
      <c r="BB401" s="24" t="inlineStr">
        <is>
          <t>flat_probability_shrinkage_toward_half</t>
        </is>
      </c>
      <c r="BC401" s="24" t="inlineStr">
        <is>
          <t>measured-edge-totals-v3</t>
        </is>
      </c>
      <c r="BD401" s="24" t="inlineStr">
        <is>
          <t>95b84332c75d2ce54036eb8de6ada9c78d0f80228c50825c0347281a8b9b49c7</t>
        </is>
      </c>
      <c r="BE401" s="24" t="inlineStr">
        <is>
          <t>v3</t>
        </is>
      </c>
      <c r="BF401" s="24" t="inlineStr">
        <is>
          <t>1</t>
        </is>
      </c>
      <c r="BG401" s="24" t="inlineStr">
        <is>
          <t>measured-edge-paired-v1</t>
        </is>
      </c>
      <c r="BH401" s="24" t="inlineStr">
        <is>
          <t>2026-08-11T23:02:24.981249Z</t>
        </is>
      </c>
      <c r="BI401" s="24" t="inlineStr">
        <is>
          <t>["same_event","same_team_same_day","same_league_same_day"]</t>
        </is>
      </c>
      <c r="BJ401" s="25" t="n">
        <v>6.5</v>
      </c>
      <c r="BK401" s="26" t="n">
        <v>-122</v>
      </c>
      <c r="BL401" s="27" t="n">
        <v>1.819672</v>
      </c>
      <c r="BM401" s="28" t="n">
        <v>0.54955</v>
      </c>
      <c r="BN401" s="28" t="n">
        <v>0.547264</v>
      </c>
      <c r="BO401" s="28" t="n"/>
      <c r="BP401" s="25" t="n"/>
      <c r="BQ401" s="27" t="n">
        <v>1.819672</v>
      </c>
      <c r="BR401" s="28" t="n">
        <v>0.55</v>
      </c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</row>
    <row r="402" ht="36" customHeight="1">
      <c r="A402" s="24" t="inlineStr">
        <is>
          <t>bbfa6a041fdb4bd6</t>
        </is>
      </c>
      <c r="B402" s="24" t="inlineStr">
        <is>
          <t>2026-08-11T23:02:24.981249Z</t>
        </is>
      </c>
      <c r="C402" s="24" t="inlineStr">
        <is>
          <t>2026-08-11T23:15Z</t>
        </is>
      </c>
      <c r="D402" s="24" t="inlineStr">
        <is>
          <t>401816482</t>
        </is>
      </c>
      <c r="E402" s="24" t="inlineStr">
        <is>
          <t>MLB</t>
        </is>
      </c>
      <c r="F402" s="24" t="inlineStr">
        <is>
          <t>New York Mets</t>
        </is>
      </c>
      <c r="G402" s="24" t="inlineStr">
        <is>
          <t>Atlanta Braves</t>
        </is>
      </c>
      <c r="H402" s="24" t="inlineStr">
        <is>
          <t>spread</t>
        </is>
      </c>
      <c r="I402" s="24" t="inlineStr">
        <is>
          <t>away</t>
        </is>
      </c>
      <c r="J402" s="25" t="n">
        <v>1.5</v>
      </c>
      <c r="K402" s="24" t="inlineStr">
        <is>
          <t>polymarket_us</t>
        </is>
      </c>
      <c r="L402" s="26" t="n">
        <v>-170</v>
      </c>
      <c r="M402" s="27" t="n">
        <v>1.588235</v>
      </c>
      <c r="N402" s="28" t="n">
        <v>0.62963</v>
      </c>
      <c r="O402" s="28" t="n">
        <v>0.613283</v>
      </c>
      <c r="P402" s="28" t="n">
        <v>0.042131</v>
      </c>
      <c r="Q402" s="28" t="n">
        <v>-0.016347</v>
      </c>
      <c r="R402" s="26" t="n">
        <v>19</v>
      </c>
      <c r="S402" s="29" t="n">
        <v>1.5</v>
      </c>
      <c r="T402" s="24" t="inlineStr">
        <is>
          <t>measured-edge-margin-v3</t>
        </is>
      </c>
      <c r="U402" s="24" t="inlineStr">
        <is>
          <t>settled</t>
        </is>
      </c>
      <c r="V402" s="24" t="inlineStr">
        <is>
          <t>loss</t>
        </is>
      </c>
      <c r="W402" s="26" t="n">
        <v>0</v>
      </c>
      <c r="X402" s="26" t="n">
        <v>4</v>
      </c>
      <c r="Y402" s="25" t="n">
        <v>1.5</v>
      </c>
      <c r="Z402" s="26" t="n">
        <v>-170</v>
      </c>
      <c r="AA402" s="28" t="n">
        <v>0.63</v>
      </c>
      <c r="AB402" s="28" t="n">
        <v>0.00037</v>
      </c>
      <c r="AC402" s="30" t="n">
        <v>-1.5</v>
      </c>
      <c r="AD402" s="24" t="inlineStr">
        <is>
          <t>2026-08-12T02:05:39.211103Z</t>
        </is>
      </c>
      <c r="AE402" s="31" t="inlineStr">
        <is>
          <t>Measured Edge Margin: Trend Engine projected 4.17-4.27; raw selected-side p=0.6663, calibrated p=0.6133.</t>
        </is>
      </c>
      <c r="AF402" s="31" t="inlineStr">
        <is>
          <t>Research-only; lineup, bullpen, park, weather, xFIP, and wRC+ may be neutral fallbacks; market availability and BBO depth may change before first pitch.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3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mlb-nym</t>
        </is>
      </c>
      <c r="AQ402" s="24" t="inlineStr">
        <is>
          <t>New York Mets</t>
        </is>
      </c>
      <c r="AR402" s="24" t="inlineStr">
        <is>
          <t>New York Mets</t>
        </is>
      </c>
      <c r="AS402" s="24" t="inlineStr">
        <is>
          <t>mlb-atl</t>
        </is>
      </c>
      <c r="AT402" s="24" t="inlineStr">
        <is>
          <t>Atlanta Braves</t>
        </is>
      </c>
      <c r="AU402" s="24" t="inlineStr">
        <is>
          <t>Atlanta Braves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research</t>
        </is>
      </c>
      <c r="BA402" s="24" t="inlineStr">
        <is>
          <t>dd339a2eed50d7d83ab2127837995ddab82e879afd27f5414bb6c1f9cd60ba4c</t>
        </is>
      </c>
      <c r="BB402" s="24" t="inlineStr">
        <is>
          <t>flat_probability_shrinkage_toward_half</t>
        </is>
      </c>
      <c r="BC402" s="24" t="inlineStr">
        <is>
          <t>measured-edge-margin-v3</t>
        </is>
      </c>
      <c r="BD402" s="24" t="inlineStr">
        <is>
          <t>dd339a2eed50d7d83ab2127837995ddab82e879afd27f5414bb6c1f9cd60ba4c</t>
        </is>
      </c>
      <c r="BE402" s="24" t="inlineStr">
        <is>
          <t>v3</t>
        </is>
      </c>
      <c r="BF402" s="24" t="inlineStr">
        <is>
          <t>1</t>
        </is>
      </c>
      <c r="BG402" s="24" t="inlineStr">
        <is>
          <t>measured-edge-paired-v1</t>
        </is>
      </c>
      <c r="BH402" s="24" t="inlineStr">
        <is>
          <t>2026-08-11T23:02:24.981249Z</t>
        </is>
      </c>
      <c r="BI402" s="24" t="inlineStr">
        <is>
          <t>["same_event","same_team_same_day","same_league_same_day"]</t>
        </is>
      </c>
      <c r="BJ402" s="25" t="n">
        <v>1.5</v>
      </c>
      <c r="BK402" s="26" t="n">
        <v>-170</v>
      </c>
      <c r="BL402" s="27" t="n">
        <v>1.588235</v>
      </c>
      <c r="BM402" s="28" t="n">
        <v>0.62963</v>
      </c>
      <c r="BN402" s="28" t="n">
        <v>0.623762</v>
      </c>
      <c r="BO402" s="28" t="n"/>
      <c r="BP402" s="25" t="n"/>
      <c r="BQ402" s="27" t="n">
        <v>1.588235</v>
      </c>
      <c r="BR402" s="28" t="n">
        <v>0.63</v>
      </c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False</t>
        </is>
      </c>
    </row>
    <row r="403" ht="36" customHeight="1">
      <c r="A403" s="24" t="inlineStr">
        <is>
          <t>6fc6bef0581c49ae</t>
        </is>
      </c>
      <c r="B403" s="24" t="inlineStr">
        <is>
          <t>2026-08-11T23:02:24.981249Z</t>
        </is>
      </c>
      <c r="C403" s="24" t="inlineStr">
        <is>
          <t>2026-08-11T23:15Z</t>
        </is>
      </c>
      <c r="D403" s="24" t="inlineStr">
        <is>
          <t>401816482</t>
        </is>
      </c>
      <c r="E403" s="24" t="inlineStr">
        <is>
          <t>MLB</t>
        </is>
      </c>
      <c r="F403" s="24" t="inlineStr">
        <is>
          <t>New York Mets</t>
        </is>
      </c>
      <c r="G403" s="24" t="inlineStr">
        <is>
          <t>Atlanta Braves</t>
        </is>
      </c>
      <c r="H403" s="24" t="inlineStr">
        <is>
          <t>total</t>
        </is>
      </c>
      <c r="I403" s="24" t="inlineStr">
        <is>
          <t>under</t>
        </is>
      </c>
      <c r="J403" s="25" t="n">
        <v>8.5</v>
      </c>
      <c r="K403" s="24" t="inlineStr">
        <is>
          <t>polymarket_us</t>
        </is>
      </c>
      <c r="L403" s="26" t="n">
        <v>100</v>
      </c>
      <c r="M403" s="27" t="n">
        <v>2</v>
      </c>
      <c r="N403" s="28" t="n">
        <v>0.5</v>
      </c>
      <c r="O403" s="28" t="n">
        <v>0.515413</v>
      </c>
      <c r="P403" s="28" t="n">
        <v>0.042131</v>
      </c>
      <c r="Q403" s="28" t="n">
        <v>0.015413</v>
      </c>
      <c r="R403" s="26" t="n">
        <v>34</v>
      </c>
      <c r="S403" s="29" t="n">
        <v>1</v>
      </c>
      <c r="T403" s="24" t="inlineStr">
        <is>
          <t>measured-edge-totals-v3</t>
        </is>
      </c>
      <c r="U403" s="24" t="inlineStr">
        <is>
          <t>settled</t>
        </is>
      </c>
      <c r="V403" s="24" t="inlineStr">
        <is>
          <t>win</t>
        </is>
      </c>
      <c r="W403" s="26" t="n">
        <v>0</v>
      </c>
      <c r="X403" s="26" t="n">
        <v>4</v>
      </c>
      <c r="Y403" s="25" t="n">
        <v>8.5</v>
      </c>
      <c r="Z403" s="26" t="n">
        <v>100</v>
      </c>
      <c r="AA403" s="28" t="n">
        <v>0.5</v>
      </c>
      <c r="AB403" s="28" t="n">
        <v>0</v>
      </c>
      <c r="AC403" s="30" t="n">
        <v>1</v>
      </c>
      <c r="AD403" s="24" t="inlineStr">
        <is>
          <t>2026-08-12T02:05:40.838075Z</t>
        </is>
      </c>
      <c r="AE403" s="31" t="inlineStr">
        <is>
          <t>Measured Edge Totals: Trend Engine projected 4.17-4.27; raw selected-side p=0.5387, calibrated p=0.5154.</t>
        </is>
      </c>
      <c r="AF403" s="31" t="inlineStr">
        <is>
          <t>Research-only; lineup, bullpen, park, weather, xFIP, and wRC+ may be neutral fallbacks; market availability and BBO depth may change before first pitch.</t>
        </is>
      </c>
      <c r="AG403" s="24" t="inlineStr">
        <is>
          <t>not_applicable</t>
        </is>
      </c>
      <c r="AH403" s="24" t="n"/>
      <c r="AI403" s="31" t="n"/>
      <c r="AJ403" s="31" t="n"/>
      <c r="AK403" s="24" t="inlineStr">
        <is>
          <t>model_qualified</t>
        </is>
      </c>
      <c r="AL403" s="26" t="n">
        <v>3</v>
      </c>
      <c r="AM403" s="24" t="inlineStr">
        <is>
          <t>QUALIFIED_SHADOW_CALL</t>
        </is>
      </c>
      <c r="AN403" s="24" t="inlineStr">
        <is>
          <t>CALL</t>
        </is>
      </c>
      <c r="AO403" s="24" t="inlineStr">
        <is>
          <t>QUALIFIED</t>
        </is>
      </c>
      <c r="AP403" s="24" t="inlineStr">
        <is>
          <t>mlb-nym</t>
        </is>
      </c>
      <c r="AQ403" s="24" t="inlineStr">
        <is>
          <t>New York Mets</t>
        </is>
      </c>
      <c r="AR403" s="24" t="inlineStr">
        <is>
          <t>New York Mets</t>
        </is>
      </c>
      <c r="AS403" s="24" t="inlineStr">
        <is>
          <t>mlb-atl</t>
        </is>
      </c>
      <c r="AT403" s="24" t="inlineStr">
        <is>
          <t>Atlanta Braves</t>
        </is>
      </c>
      <c r="AU403" s="24" t="inlineStr">
        <is>
          <t>Atlanta Braves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research</t>
        </is>
      </c>
      <c r="BA403" s="24" t="inlineStr">
        <is>
          <t>95b84332c75d2ce54036eb8de6ada9c78d0f80228c50825c0347281a8b9b49c7</t>
        </is>
      </c>
      <c r="BB403" s="24" t="inlineStr">
        <is>
          <t>flat_probability_shrinkage_toward_half</t>
        </is>
      </c>
      <c r="BC403" s="24" t="inlineStr">
        <is>
          <t>measured-edge-totals-v3</t>
        </is>
      </c>
      <c r="BD403" s="24" t="inlineStr">
        <is>
          <t>95b84332c75d2ce54036eb8de6ada9c78d0f80228c50825c0347281a8b9b49c7</t>
        </is>
      </c>
      <c r="BE403" s="24" t="inlineStr">
        <is>
          <t>v3</t>
        </is>
      </c>
      <c r="BF403" s="24" t="inlineStr">
        <is>
          <t>1</t>
        </is>
      </c>
      <c r="BG403" s="24" t="inlineStr">
        <is>
          <t>measured-edge-paired-v1</t>
        </is>
      </c>
      <c r="BH403" s="24" t="inlineStr">
        <is>
          <t>2026-08-11T23:02:24.981249Z</t>
        </is>
      </c>
      <c r="BI403" s="24" t="inlineStr">
        <is>
          <t>["same_event","same_team_same_day","same_league_same_day"]</t>
        </is>
      </c>
      <c r="BJ403" s="25" t="n">
        <v>8.5</v>
      </c>
      <c r="BK403" s="26" t="n">
        <v>100</v>
      </c>
      <c r="BL403" s="27" t="n">
        <v>2</v>
      </c>
      <c r="BM403" s="28" t="n">
        <v>0.5</v>
      </c>
      <c r="BN403" s="28" t="n">
        <v>0.497512</v>
      </c>
      <c r="BO403" s="28" t="n"/>
      <c r="BP403" s="25" t="n"/>
      <c r="BQ403" s="27" t="n">
        <v>2</v>
      </c>
      <c r="BR403" s="28" t="n">
        <v>0.5</v>
      </c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</row>
    <row r="404" ht="36" customHeight="1">
      <c r="A404" s="24" t="inlineStr">
        <is>
          <t>fc9bf4dd583e447f</t>
        </is>
      </c>
      <c r="B404" s="24" t="inlineStr">
        <is>
          <t>2026-08-11T23:02:24.981249Z</t>
        </is>
      </c>
      <c r="C404" s="24" t="inlineStr">
        <is>
          <t>2026-08-11T23:40Z</t>
        </is>
      </c>
      <c r="D404" s="24" t="inlineStr">
        <is>
          <t>401816485</t>
        </is>
      </c>
      <c r="E404" s="24" t="inlineStr">
        <is>
          <t>MLB</t>
        </is>
      </c>
      <c r="F404" s="24" t="inlineStr">
        <is>
          <t>Baltimore Orioles</t>
        </is>
      </c>
      <c r="G404" s="24" t="inlineStr">
        <is>
          <t>Minnesota Twins</t>
        </is>
      </c>
      <c r="H404" s="24" t="inlineStr">
        <is>
          <t>spread</t>
        </is>
      </c>
      <c r="I404" s="24" t="inlineStr">
        <is>
          <t>home</t>
        </is>
      </c>
      <c r="J404" s="25" t="n">
        <v>1.5</v>
      </c>
      <c r="K404" s="24" t="inlineStr">
        <is>
          <t>polymarket_us</t>
        </is>
      </c>
      <c r="L404" s="26" t="n">
        <v>-174</v>
      </c>
      <c r="M404" s="27" t="n">
        <v>1.574713</v>
      </c>
      <c r="N404" s="28" t="n">
        <v>0.635036</v>
      </c>
      <c r="O404" s="28" t="n">
        <v>0.621187</v>
      </c>
      <c r="P404" s="28" t="n">
        <v>0.042131</v>
      </c>
      <c r="Q404" s="28" t="n">
        <v>-0.013849</v>
      </c>
      <c r="R404" s="26" t="n">
        <v>19</v>
      </c>
      <c r="S404" s="29" t="n">
        <v>1.5</v>
      </c>
      <c r="T404" s="24" t="inlineStr">
        <is>
          <t>measured-edge-margin-v3</t>
        </is>
      </c>
      <c r="U404" s="24" t="inlineStr">
        <is>
          <t>settled</t>
        </is>
      </c>
      <c r="V404" s="24" t="inlineStr">
        <is>
          <t>loss</t>
        </is>
      </c>
      <c r="W404" s="26" t="n">
        <v>5</v>
      </c>
      <c r="X404" s="26" t="n">
        <v>2</v>
      </c>
      <c r="Y404" s="25" t="n">
        <v>1.5</v>
      </c>
      <c r="Z404" s="26" t="n">
        <v>-174</v>
      </c>
      <c r="AA404" s="28" t="n">
        <v>0.635</v>
      </c>
      <c r="AB404" s="28" t="n">
        <v>-3.6e-05</v>
      </c>
      <c r="AC404" s="30" t="n">
        <v>-1.5</v>
      </c>
      <c r="AD404" s="24" t="inlineStr">
        <is>
          <t>2026-08-12T05:11:36.643461Z</t>
        </is>
      </c>
      <c r="AE404" s="31" t="inlineStr">
        <is>
          <t>Measured Edge Margin: Trend Engine projected 4.57-4.68; raw selected-side p=0.6778, calibrated p=0.6212.</t>
        </is>
      </c>
      <c r="AF404" s="31" t="inlineStr">
        <is>
          <t>Research-only; lineup, bullpen, park, weather, xFIP, and wRC+ may be neutral fallbacks; market availability and BBO depth may change before first pitch.</t>
        </is>
      </c>
      <c r="AG404" s="24" t="inlineStr">
        <is>
          <t>review_required</t>
        </is>
      </c>
      <c r="AH404" s="24" t="n"/>
      <c r="AI404" s="31" t="n"/>
      <c r="AJ404" s="31" t="n"/>
      <c r="AK404" s="24" t="inlineStr">
        <is>
          <t>model_qualified</t>
        </is>
      </c>
      <c r="AL404" s="26" t="n">
        <v>3</v>
      </c>
      <c r="AM404" s="24" t="inlineStr">
        <is>
          <t>QUALIFIED_SHADOW_CALL</t>
        </is>
      </c>
      <c r="AN404" s="24" t="inlineStr">
        <is>
          <t>CALL</t>
        </is>
      </c>
      <c r="AO404" s="24" t="inlineStr">
        <is>
          <t>QUALIFIED</t>
        </is>
      </c>
      <c r="AP404" s="24" t="inlineStr">
        <is>
          <t>mlb-bal</t>
        </is>
      </c>
      <c r="AQ404" s="24" t="inlineStr">
        <is>
          <t>Baltimore Orioles</t>
        </is>
      </c>
      <c r="AR404" s="24" t="inlineStr">
        <is>
          <t>Baltimore Orioles</t>
        </is>
      </c>
      <c r="AS404" s="24" t="inlineStr">
        <is>
          <t>mlb-min</t>
        </is>
      </c>
      <c r="AT404" s="24" t="inlineStr">
        <is>
          <t>Minnesota Twins</t>
        </is>
      </c>
      <c r="AU404" s="24" t="inlineStr">
        <is>
          <t>Minnesota Twins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research</t>
        </is>
      </c>
      <c r="BA404" s="24" t="inlineStr">
        <is>
          <t>dd339a2eed50d7d83ab2127837995ddab82e879afd27f5414bb6c1f9cd60ba4c</t>
        </is>
      </c>
      <c r="BB404" s="24" t="inlineStr">
        <is>
          <t>flat_probability_shrinkage_toward_half</t>
        </is>
      </c>
      <c r="BC404" s="24" t="inlineStr">
        <is>
          <t>measured-edge-margin-v3</t>
        </is>
      </c>
      <c r="BD404" s="24" t="inlineStr">
        <is>
          <t>dd339a2eed50d7d83ab2127837995ddab82e879afd27f5414bb6c1f9cd60ba4c</t>
        </is>
      </c>
      <c r="BE404" s="24" t="inlineStr">
        <is>
          <t>v3</t>
        </is>
      </c>
      <c r="BF404" s="24" t="inlineStr">
        <is>
          <t>1</t>
        </is>
      </c>
      <c r="BG404" s="24" t="inlineStr">
        <is>
          <t>measured-edge-paired-v1</t>
        </is>
      </c>
      <c r="BH404" s="24" t="inlineStr">
        <is>
          <t>2026-08-11T23:02:24.981249Z</t>
        </is>
      </c>
      <c r="BI404" s="24" t="inlineStr">
        <is>
          <t>["same_event","same_team_same_day","same_league_same_day"]</t>
        </is>
      </c>
      <c r="BJ404" s="25" t="n">
        <v>1.5</v>
      </c>
      <c r="BK404" s="26" t="n">
        <v>-174</v>
      </c>
      <c r="BL404" s="27" t="n">
        <v>1.574713</v>
      </c>
      <c r="BM404" s="28" t="n">
        <v>0.635036</v>
      </c>
      <c r="BN404" s="28" t="n">
        <v>0.631841</v>
      </c>
      <c r="BO404" s="28" t="n"/>
      <c r="BP404" s="25" t="n"/>
      <c r="BQ404" s="27" t="n">
        <v>1.574713</v>
      </c>
      <c r="BR404" s="28" t="n">
        <v>0.635</v>
      </c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</row>
    <row r="405" ht="36" customHeight="1">
      <c r="A405" s="24" t="inlineStr">
        <is>
          <t>34fb774a87864332</t>
        </is>
      </c>
      <c r="B405" s="24" t="inlineStr">
        <is>
          <t>2026-08-11T23:02:24.981249Z</t>
        </is>
      </c>
      <c r="C405" s="24" t="inlineStr">
        <is>
          <t>2026-08-11T23:40Z</t>
        </is>
      </c>
      <c r="D405" s="24" t="inlineStr">
        <is>
          <t>401816485</t>
        </is>
      </c>
      <c r="E405" s="24" t="inlineStr">
        <is>
          <t>MLB</t>
        </is>
      </c>
      <c r="F405" s="24" t="inlineStr">
        <is>
          <t>Baltimore Orioles</t>
        </is>
      </c>
      <c r="G405" s="24" t="inlineStr">
        <is>
          <t>Minnesota Twins</t>
        </is>
      </c>
      <c r="H405" s="24" t="inlineStr">
        <is>
          <t>total</t>
        </is>
      </c>
      <c r="I405" s="24" t="inlineStr">
        <is>
          <t>under</t>
        </is>
      </c>
      <c r="J405" s="25" t="n">
        <v>9.5</v>
      </c>
      <c r="K405" s="24" t="inlineStr">
        <is>
          <t>polymarket_us</t>
        </is>
      </c>
      <c r="L405" s="26" t="n">
        <v>-122</v>
      </c>
      <c r="M405" s="27" t="n">
        <v>1.819672</v>
      </c>
      <c r="N405" s="28" t="n">
        <v>0.54955</v>
      </c>
      <c r="O405" s="28" t="n">
        <v>0.524442</v>
      </c>
      <c r="P405" s="28" t="n">
        <v>0.042131</v>
      </c>
      <c r="Q405" s="28" t="n">
        <v>-0.025108</v>
      </c>
      <c r="R405" s="26" t="n">
        <v>13</v>
      </c>
      <c r="S405" s="29" t="n">
        <v>1</v>
      </c>
      <c r="T405" s="24" t="inlineStr">
        <is>
          <t>measured-edge-totals-v3</t>
        </is>
      </c>
      <c r="U405" s="24" t="inlineStr">
        <is>
          <t>settled</t>
        </is>
      </c>
      <c r="V405" s="24" t="inlineStr">
        <is>
          <t>win</t>
        </is>
      </c>
      <c r="W405" s="26" t="n">
        <v>5</v>
      </c>
      <c r="X405" s="26" t="n">
        <v>2</v>
      </c>
      <c r="Y405" s="25" t="n">
        <v>9.5</v>
      </c>
      <c r="Z405" s="26" t="n">
        <v>-122</v>
      </c>
      <c r="AA405" s="28" t="n">
        <v>0.55</v>
      </c>
      <c r="AB405" s="28" t="n">
        <v>0.00045</v>
      </c>
      <c r="AC405" s="30" t="n">
        <v>0.8197</v>
      </c>
      <c r="AD405" s="24" t="inlineStr">
        <is>
          <t>2026-08-12T05:11:38.269953Z</t>
        </is>
      </c>
      <c r="AE405" s="31" t="inlineStr">
        <is>
          <t>Measured Edge Totals: Trend Engine projected 4.57-4.68; raw selected-side p=0.5750, calibrated p=0.5244.</t>
        </is>
      </c>
      <c r="AF405" s="31" t="inlineStr">
        <is>
          <t>Research-only; lineup, bullpen, park, weather, xFIP, and wRC+ may be neutral fallbacks; market availability and BBO depth may change before first pitch.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model_qualified</t>
        </is>
      </c>
      <c r="AL405" s="26" t="n">
        <v>3</v>
      </c>
      <c r="AM405" s="24" t="inlineStr">
        <is>
          <t>QUALIFIED_SHADOW_CALL</t>
        </is>
      </c>
      <c r="AN405" s="24" t="inlineStr">
        <is>
          <t>CALL</t>
        </is>
      </c>
      <c r="AO405" s="24" t="inlineStr">
        <is>
          <t>QUALIFIED</t>
        </is>
      </c>
      <c r="AP405" s="24" t="inlineStr">
        <is>
          <t>mlb-bal</t>
        </is>
      </c>
      <c r="AQ405" s="24" t="inlineStr">
        <is>
          <t>Baltimore Orioles</t>
        </is>
      </c>
      <c r="AR405" s="24" t="inlineStr">
        <is>
          <t>Baltimore Orioles</t>
        </is>
      </c>
      <c r="AS405" s="24" t="inlineStr">
        <is>
          <t>mlb-min</t>
        </is>
      </c>
      <c r="AT405" s="24" t="inlineStr">
        <is>
          <t>Minnesota Twins</t>
        </is>
      </c>
      <c r="AU405" s="24" t="inlineStr">
        <is>
          <t>Minnesota Twins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research</t>
        </is>
      </c>
      <c r="BA405" s="24" t="inlineStr">
        <is>
          <t>95b84332c75d2ce54036eb8de6ada9c78d0f80228c50825c0347281a8b9b49c7</t>
        </is>
      </c>
      <c r="BB405" s="24" t="inlineStr">
        <is>
          <t>flat_probability_shrinkage_toward_half</t>
        </is>
      </c>
      <c r="BC405" s="24" t="inlineStr">
        <is>
          <t>measured-edge-totals-v3</t>
        </is>
      </c>
      <c r="BD405" s="24" t="inlineStr">
        <is>
          <t>95b84332c75d2ce54036eb8de6ada9c78d0f80228c50825c0347281a8b9b49c7</t>
        </is>
      </c>
      <c r="BE405" s="24" t="inlineStr">
        <is>
          <t>v3</t>
        </is>
      </c>
      <c r="BF405" s="24" t="inlineStr">
        <is>
          <t>1</t>
        </is>
      </c>
      <c r="BG405" s="24" t="inlineStr">
        <is>
          <t>measured-edge-paired-v1</t>
        </is>
      </c>
      <c r="BH405" s="24" t="inlineStr">
        <is>
          <t>2026-08-11T23:02:24.981249Z</t>
        </is>
      </c>
      <c r="BI405" s="24" t="inlineStr">
        <is>
          <t>["same_event","same_team_same_day","same_league_same_day"]</t>
        </is>
      </c>
      <c r="BJ405" s="25" t="n">
        <v>9.5</v>
      </c>
      <c r="BK405" s="26" t="n">
        <v>-122</v>
      </c>
      <c r="BL405" s="27" t="n">
        <v>1.819672</v>
      </c>
      <c r="BM405" s="28" t="n">
        <v>0.54955</v>
      </c>
      <c r="BN405" s="28" t="n">
        <v>0.547264</v>
      </c>
      <c r="BO405" s="28" t="n"/>
      <c r="BP405" s="25" t="n"/>
      <c r="BQ405" s="27" t="n">
        <v>1.819672</v>
      </c>
      <c r="BR405" s="28" t="n">
        <v>0.55</v>
      </c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</row>
    <row r="406" ht="36" customHeight="1">
      <c r="A406" s="24" t="inlineStr">
        <is>
          <t>e8b646d45bb540e1</t>
        </is>
      </c>
      <c r="B406" s="24" t="inlineStr">
        <is>
          <t>2026-08-11T23:02:24.981249Z</t>
        </is>
      </c>
      <c r="C406" s="24" t="inlineStr">
        <is>
          <t>2026-08-11T23:40Z</t>
        </is>
      </c>
      <c r="D406" s="24" t="inlineStr">
        <is>
          <t>401816486</t>
        </is>
      </c>
      <c r="E406" s="24" t="inlineStr">
        <is>
          <t>MLB</t>
        </is>
      </c>
      <c r="F406" s="24" t="inlineStr">
        <is>
          <t>Cincinnati Reds</t>
        </is>
      </c>
      <c r="G406" s="24" t="inlineStr">
        <is>
          <t>Chicago White Sox</t>
        </is>
      </c>
      <c r="H406" s="24" t="inlineStr">
        <is>
          <t>spread</t>
        </is>
      </c>
      <c r="I406" s="24" t="inlineStr">
        <is>
          <t>away</t>
        </is>
      </c>
      <c r="J406" s="25" t="n">
        <v>1.5</v>
      </c>
      <c r="K406" s="24" t="inlineStr">
        <is>
          <t>polymarket_us</t>
        </is>
      </c>
      <c r="L406" s="26" t="n">
        <v>-147</v>
      </c>
      <c r="M406" s="27" t="n">
        <v>1.680272</v>
      </c>
      <c r="N406" s="28" t="n">
        <v>0.5951419999999999</v>
      </c>
      <c r="O406" s="28" t="n">
        <v>0.563643</v>
      </c>
      <c r="P406" s="28" t="n">
        <v>0.042131</v>
      </c>
      <c r="Q406" s="28" t="n">
        <v>-0.031499</v>
      </c>
      <c r="R406" s="26" t="n">
        <v>11</v>
      </c>
      <c r="S406" s="29" t="n">
        <v>1.25</v>
      </c>
      <c r="T406" s="24" t="inlineStr">
        <is>
          <t>measured-edge-margin-v3</t>
        </is>
      </c>
      <c r="U406" s="24" t="inlineStr">
        <is>
          <t>settled</t>
        </is>
      </c>
      <c r="V406" s="24" t="inlineStr">
        <is>
          <t>win</t>
        </is>
      </c>
      <c r="W406" s="26" t="n">
        <v>5</v>
      </c>
      <c r="X406" s="26" t="n">
        <v>4</v>
      </c>
      <c r="Y406" s="25" t="n">
        <v>1.5</v>
      </c>
      <c r="Z406" s="26" t="n">
        <v>-147</v>
      </c>
      <c r="AA406" s="28" t="n">
        <v>0.595</v>
      </c>
      <c r="AB406" s="28" t="n">
        <v>-0.000142</v>
      </c>
      <c r="AC406" s="30" t="n">
        <v>0.8502999999999999</v>
      </c>
      <c r="AD406" s="24" t="inlineStr">
        <is>
          <t>2026-08-12T05:11:39.895032Z</t>
        </is>
      </c>
      <c r="AE406" s="31" t="inlineStr">
        <is>
          <t>Measured Edge Margin: Trend Engine projected 3.83-4.66; raw selected-side p=0.5934, calibrated p=0.5636.</t>
        </is>
      </c>
      <c r="AF406" s="31" t="inlineStr">
        <is>
          <t>Research-only; lineup, bullpen, park, weather, xFIP, and wRC+ may be neutral fallbacks; market availability and BBO depth may change before first pitch.</t>
        </is>
      </c>
      <c r="AG406" s="24" t="inlineStr">
        <is>
          <t>not_applicable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3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mlb-cin</t>
        </is>
      </c>
      <c r="AQ406" s="24" t="inlineStr">
        <is>
          <t>Cincinnati Reds</t>
        </is>
      </c>
      <c r="AR406" s="24" t="inlineStr">
        <is>
          <t>Cincinnati Reds</t>
        </is>
      </c>
      <c r="AS406" s="24" t="inlineStr">
        <is>
          <t>mlb-cws</t>
        </is>
      </c>
      <c r="AT406" s="24" t="inlineStr">
        <is>
          <t>Chicago White Sox</t>
        </is>
      </c>
      <c r="AU406" s="24" t="inlineStr">
        <is>
          <t>Chicago White Sox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research</t>
        </is>
      </c>
      <c r="BA406" s="24" t="inlineStr">
        <is>
          <t>dd339a2eed50d7d83ab2127837995ddab82e879afd27f5414bb6c1f9cd60ba4c</t>
        </is>
      </c>
      <c r="BB406" s="24" t="inlineStr">
        <is>
          <t>flat_probability_shrinkage_toward_half</t>
        </is>
      </c>
      <c r="BC406" s="24" t="inlineStr">
        <is>
          <t>measured-edge-margin-v3</t>
        </is>
      </c>
      <c r="BD406" s="24" t="inlineStr">
        <is>
          <t>dd339a2eed50d7d83ab2127837995ddab82e879afd27f5414bb6c1f9cd60ba4c</t>
        </is>
      </c>
      <c r="BE406" s="24" t="inlineStr">
        <is>
          <t>v3</t>
        </is>
      </c>
      <c r="BF406" s="24" t="inlineStr">
        <is>
          <t>1</t>
        </is>
      </c>
      <c r="BG406" s="24" t="inlineStr">
        <is>
          <t>measured-edge-paired-v1</t>
        </is>
      </c>
      <c r="BH406" s="24" t="inlineStr">
        <is>
          <t>2026-08-11T23:02:24.981249Z</t>
        </is>
      </c>
      <c r="BI406" s="24" t="inlineStr">
        <is>
          <t>["same_event","same_team_same_day","same_league_same_day"]</t>
        </is>
      </c>
      <c r="BJ406" s="25" t="n">
        <v>1.5</v>
      </c>
      <c r="BK406" s="26" t="n">
        <v>-147</v>
      </c>
      <c r="BL406" s="27" t="n">
        <v>1.680272</v>
      </c>
      <c r="BM406" s="28" t="n">
        <v>0.5951419999999999</v>
      </c>
      <c r="BN406" s="28" t="n">
        <v>0.59204</v>
      </c>
      <c r="BO406" s="28" t="n"/>
      <c r="BP406" s="25" t="n"/>
      <c r="BQ406" s="27" t="n">
        <v>1.680272</v>
      </c>
      <c r="BR406" s="28" t="n">
        <v>0.595</v>
      </c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False</t>
        </is>
      </c>
    </row>
    <row r="407" ht="36" customHeight="1">
      <c r="A407" s="24" t="inlineStr">
        <is>
          <t>5f12233ff66b450e</t>
        </is>
      </c>
      <c r="B407" s="24" t="inlineStr">
        <is>
          <t>2026-08-11T23:02:24.981249Z</t>
        </is>
      </c>
      <c r="C407" s="24" t="inlineStr">
        <is>
          <t>2026-08-11T23:40Z</t>
        </is>
      </c>
      <c r="D407" s="24" t="inlineStr">
        <is>
          <t>401816486</t>
        </is>
      </c>
      <c r="E407" s="24" t="inlineStr">
        <is>
          <t>MLB</t>
        </is>
      </c>
      <c r="F407" s="24" t="inlineStr">
        <is>
          <t>Cincinnati Reds</t>
        </is>
      </c>
      <c r="G407" s="24" t="inlineStr">
        <is>
          <t>Chicago White Sox</t>
        </is>
      </c>
      <c r="H407" s="24" t="inlineStr">
        <is>
          <t>total</t>
        </is>
      </c>
      <c r="I407" s="24" t="inlineStr">
        <is>
          <t>over</t>
        </is>
      </c>
      <c r="J407" s="25" t="n">
        <v>7.5</v>
      </c>
      <c r="K407" s="24" t="inlineStr">
        <is>
          <t>polymarket_us</t>
        </is>
      </c>
      <c r="L407" s="26" t="n">
        <v>-108</v>
      </c>
      <c r="M407" s="27" t="n">
        <v>1.925926</v>
      </c>
      <c r="N407" s="28" t="n">
        <v>0.519231</v>
      </c>
      <c r="O407" s="28" t="n">
        <v>0.51745</v>
      </c>
      <c r="P407" s="28" t="n">
        <v>0.042131</v>
      </c>
      <c r="Q407" s="28" t="n">
        <v>-0.001781</v>
      </c>
      <c r="R407" s="26" t="n">
        <v>25</v>
      </c>
      <c r="S407" s="29" t="n">
        <v>1</v>
      </c>
      <c r="T407" s="24" t="inlineStr">
        <is>
          <t>measured-edge-totals-v3</t>
        </is>
      </c>
      <c r="U407" s="24" t="inlineStr">
        <is>
          <t>settled</t>
        </is>
      </c>
      <c r="V407" s="24" t="inlineStr">
        <is>
          <t>win</t>
        </is>
      </c>
      <c r="W407" s="26" t="n">
        <v>5</v>
      </c>
      <c r="X407" s="26" t="n">
        <v>4</v>
      </c>
      <c r="Y407" s="25" t="n">
        <v>7.5</v>
      </c>
      <c r="Z407" s="26" t="n">
        <v>-108</v>
      </c>
      <c r="AA407" s="28" t="n">
        <v>0.52</v>
      </c>
      <c r="AB407" s="28" t="n">
        <v>0.000769</v>
      </c>
      <c r="AC407" s="30" t="n">
        <v>0.9258999999999999</v>
      </c>
      <c r="AD407" s="24" t="inlineStr">
        <is>
          <t>2026-08-12T05:11:41.487922Z</t>
        </is>
      </c>
      <c r="AE407" s="31" t="inlineStr">
        <is>
          <t>Measured Edge Totals: Trend Engine projected 3.83-4.66; raw selected-side p=0.5469, calibrated p=0.5174.</t>
        </is>
      </c>
      <c r="AF407" s="31" t="inlineStr">
        <is>
          <t>Research-only; lineup, bullpen, park, weather, xFIP, and wRC+ may be neutral fallbacks; market availability and BBO depth may change before first pitch.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model_qualified</t>
        </is>
      </c>
      <c r="AL407" s="26" t="n">
        <v>3</v>
      </c>
      <c r="AM407" s="24" t="inlineStr">
        <is>
          <t>QUALIFIED_SHADOW_CALL</t>
        </is>
      </c>
      <c r="AN407" s="24" t="inlineStr">
        <is>
          <t>CALL</t>
        </is>
      </c>
      <c r="AO407" s="24" t="inlineStr">
        <is>
          <t>QUALIFIED</t>
        </is>
      </c>
      <c r="AP407" s="24" t="inlineStr">
        <is>
          <t>mlb-cin</t>
        </is>
      </c>
      <c r="AQ407" s="24" t="inlineStr">
        <is>
          <t>Cincinnati Reds</t>
        </is>
      </c>
      <c r="AR407" s="24" t="inlineStr">
        <is>
          <t>Cincinnati Reds</t>
        </is>
      </c>
      <c r="AS407" s="24" t="inlineStr">
        <is>
          <t>mlb-cws</t>
        </is>
      </c>
      <c r="AT407" s="24" t="inlineStr">
        <is>
          <t>Chicago White Sox</t>
        </is>
      </c>
      <c r="AU407" s="24" t="inlineStr">
        <is>
          <t>Chicago White Sox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research</t>
        </is>
      </c>
      <c r="BA407" s="24" t="inlineStr">
        <is>
          <t>95b84332c75d2ce54036eb8de6ada9c78d0f80228c50825c0347281a8b9b49c7</t>
        </is>
      </c>
      <c r="BB407" s="24" t="inlineStr">
        <is>
          <t>flat_probability_shrinkage_toward_half</t>
        </is>
      </c>
      <c r="BC407" s="24" t="inlineStr">
        <is>
          <t>measured-edge-totals-v3</t>
        </is>
      </c>
      <c r="BD407" s="24" t="inlineStr">
        <is>
          <t>95b84332c75d2ce54036eb8de6ada9c78d0f80228c50825c0347281a8b9b49c7</t>
        </is>
      </c>
      <c r="BE407" s="24" t="inlineStr">
        <is>
          <t>v3</t>
        </is>
      </c>
      <c r="BF407" s="24" t="inlineStr">
        <is>
          <t>1</t>
        </is>
      </c>
      <c r="BG407" s="24" t="inlineStr">
        <is>
          <t>measured-edge-paired-v1</t>
        </is>
      </c>
      <c r="BH407" s="24" t="inlineStr">
        <is>
          <t>2026-08-11T23:02:24.981249Z</t>
        </is>
      </c>
      <c r="BI407" s="24" t="inlineStr">
        <is>
          <t>["same_event","same_team_same_day","same_league_same_day"]</t>
        </is>
      </c>
      <c r="BJ407" s="25" t="n">
        <v>7.5</v>
      </c>
      <c r="BK407" s="26" t="n">
        <v>-108</v>
      </c>
      <c r="BL407" s="27" t="n">
        <v>1.925926</v>
      </c>
      <c r="BM407" s="28" t="n">
        <v>0.519231</v>
      </c>
      <c r="BN407" s="28" t="n">
        <v>0.517413</v>
      </c>
      <c r="BO407" s="28" t="n"/>
      <c r="BP407" s="25" t="n"/>
      <c r="BQ407" s="27" t="n">
        <v>1.925926</v>
      </c>
      <c r="BR407" s="28" t="n">
        <v>0.52</v>
      </c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</row>
    <row r="408" ht="36" customHeight="1">
      <c r="A408" s="24" t="inlineStr">
        <is>
          <t>a2eca695a5674b08</t>
        </is>
      </c>
      <c r="B408" s="24" t="inlineStr">
        <is>
          <t>2026-08-11T23:02:24.981249Z</t>
        </is>
      </c>
      <c r="C408" s="24" t="inlineStr">
        <is>
          <t>2026-08-11T23:45Z</t>
        </is>
      </c>
      <c r="D408" s="24" t="inlineStr">
        <is>
          <t>401816487</t>
        </is>
      </c>
      <c r="E408" s="24" t="inlineStr">
        <is>
          <t>MLB</t>
        </is>
      </c>
      <c r="F408" s="24" t="inlineStr">
        <is>
          <t>Philadelphia Phillies</t>
        </is>
      </c>
      <c r="G408" s="24" t="inlineStr">
        <is>
          <t>St. Louis Cardinals</t>
        </is>
      </c>
      <c r="H408" s="24" t="inlineStr">
        <is>
          <t>spread</t>
        </is>
      </c>
      <c r="I408" s="24" t="inlineStr">
        <is>
          <t>home</t>
        </is>
      </c>
      <c r="J408" s="25" t="n">
        <v>1.5</v>
      </c>
      <c r="K408" s="24" t="inlineStr">
        <is>
          <t>polymarket_us</t>
        </is>
      </c>
      <c r="L408" s="26" t="n">
        <v>-117</v>
      </c>
      <c r="M408" s="27" t="n">
        <v>1.854701</v>
      </c>
      <c r="N408" s="28" t="n">
        <v>0.539171</v>
      </c>
      <c r="O408" s="28" t="n">
        <v>0.61468</v>
      </c>
      <c r="P408" s="28" t="n">
        <v>0.042131</v>
      </c>
      <c r="Q408" s="28" t="n">
        <v>0.07550900000000001</v>
      </c>
      <c r="R408" s="26" t="n">
        <v>63</v>
      </c>
      <c r="S408" s="29" t="n">
        <v>1.5</v>
      </c>
      <c r="T408" s="24" t="inlineStr">
        <is>
          <t>measured-edge-margin-v3</t>
        </is>
      </c>
      <c r="U408" s="24" t="inlineStr">
        <is>
          <t>settled</t>
        </is>
      </c>
      <c r="V408" s="24" t="inlineStr">
        <is>
          <t>win</t>
        </is>
      </c>
      <c r="W408" s="26" t="n">
        <v>0</v>
      </c>
      <c r="X408" s="26" t="n">
        <v>2</v>
      </c>
      <c r="Y408" s="25" t="n">
        <v>1.5</v>
      </c>
      <c r="Z408" s="26" t="n">
        <v>-117</v>
      </c>
      <c r="AA408" s="28" t="n">
        <v>0.54</v>
      </c>
      <c r="AB408" s="28" t="n">
        <v>0.000829</v>
      </c>
      <c r="AC408" s="30" t="n">
        <v>1.2821</v>
      </c>
      <c r="AD408" s="24" t="inlineStr">
        <is>
          <t>2026-08-12T05:11:43.109994Z</t>
        </is>
      </c>
      <c r="AE408" s="31" t="inlineStr">
        <is>
          <t>Measured Edge Margin: Trend Engine projected 4.42-4.39; raw selected-side p=0.6683, calibrated p=0.6147.</t>
        </is>
      </c>
      <c r="AF408" s="31" t="inlineStr">
        <is>
          <t>Research-only; lineup, bullpen, park, weather, xFIP, and wRC+ may be neutral fallbacks; market availability and BBO depth may change before first pitch.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model_qualified</t>
        </is>
      </c>
      <c r="AL408" s="26" t="n">
        <v>3</v>
      </c>
      <c r="AM408" s="24" t="inlineStr">
        <is>
          <t>QUALIFIED_SHADOW_CALL</t>
        </is>
      </c>
      <c r="AN408" s="24" t="inlineStr">
        <is>
          <t>CALL</t>
        </is>
      </c>
      <c r="AO408" s="24" t="inlineStr">
        <is>
          <t>QUALIFIED</t>
        </is>
      </c>
      <c r="AP408" s="24" t="inlineStr">
        <is>
          <t>mlb-phi</t>
        </is>
      </c>
      <c r="AQ408" s="24" t="inlineStr">
        <is>
          <t>Philadelphia Phillies</t>
        </is>
      </c>
      <c r="AR408" s="24" t="inlineStr">
        <is>
          <t>Philadelphia Phillies</t>
        </is>
      </c>
      <c r="AS408" s="24" t="inlineStr">
        <is>
          <t>mlb-stl</t>
        </is>
      </c>
      <c r="AT408" s="24" t="inlineStr">
        <is>
          <t>St. Louis Cardinals</t>
        </is>
      </c>
      <c r="AU408" s="24" t="inlineStr">
        <is>
          <t>St. Louis Cardinals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research</t>
        </is>
      </c>
      <c r="BA408" s="24" t="inlineStr">
        <is>
          <t>dd339a2eed50d7d83ab2127837995ddab82e879afd27f5414bb6c1f9cd60ba4c</t>
        </is>
      </c>
      <c r="BB408" s="24" t="inlineStr">
        <is>
          <t>flat_probability_shrinkage_toward_half</t>
        </is>
      </c>
      <c r="BC408" s="24" t="inlineStr">
        <is>
          <t>measured-edge-margin-v3</t>
        </is>
      </c>
      <c r="BD408" s="24" t="inlineStr">
        <is>
          <t>dd339a2eed50d7d83ab2127837995ddab82e879afd27f5414bb6c1f9cd60ba4c</t>
        </is>
      </c>
      <c r="BE408" s="24" t="inlineStr">
        <is>
          <t>v3</t>
        </is>
      </c>
      <c r="BF408" s="24" t="inlineStr">
        <is>
          <t>1</t>
        </is>
      </c>
      <c r="BG408" s="24" t="inlineStr">
        <is>
          <t>measured-edge-paired-v1</t>
        </is>
      </c>
      <c r="BH408" s="24" t="inlineStr">
        <is>
          <t>2026-08-11T23:02:24.981249Z</t>
        </is>
      </c>
      <c r="BI408" s="24" t="inlineStr">
        <is>
          <t>["same_event","same_team_same_day","same_league_same_day"]</t>
        </is>
      </c>
      <c r="BJ408" s="25" t="n">
        <v>1.5</v>
      </c>
      <c r="BK408" s="26" t="n">
        <v>-117</v>
      </c>
      <c r="BL408" s="27" t="n">
        <v>1.854701</v>
      </c>
      <c r="BM408" s="28" t="n">
        <v>0.539171</v>
      </c>
      <c r="BN408" s="28" t="n">
        <v>0.537313</v>
      </c>
      <c r="BO408" s="28" t="n"/>
      <c r="BP408" s="25" t="n"/>
      <c r="BQ408" s="27" t="n">
        <v>1.854701</v>
      </c>
      <c r="BR408" s="28" t="n">
        <v>0.54</v>
      </c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</row>
    <row r="409" ht="36" customHeight="1">
      <c r="A409" s="24" t="inlineStr">
        <is>
          <t>4c614d27d84e477e</t>
        </is>
      </c>
      <c r="B409" s="24" t="inlineStr">
        <is>
          <t>2026-08-11T23:02:24.981249Z</t>
        </is>
      </c>
      <c r="C409" s="24" t="inlineStr">
        <is>
          <t>2026-08-11T23:45Z</t>
        </is>
      </c>
      <c r="D409" s="24" t="inlineStr">
        <is>
          <t>401816487</t>
        </is>
      </c>
      <c r="E409" s="24" t="inlineStr">
        <is>
          <t>MLB</t>
        </is>
      </c>
      <c r="F409" s="24" t="inlineStr">
        <is>
          <t>Philadelphia Phillies</t>
        </is>
      </c>
      <c r="G409" s="24" t="inlineStr">
        <is>
          <t>St. Louis Cardinals</t>
        </is>
      </c>
      <c r="H409" s="24" t="inlineStr">
        <is>
          <t>total</t>
        </is>
      </c>
      <c r="I409" s="24" t="inlineStr">
        <is>
          <t>over</t>
        </is>
      </c>
      <c r="J409" s="25" t="n">
        <v>7.5</v>
      </c>
      <c r="K409" s="24" t="inlineStr">
        <is>
          <t>polymarket_us</t>
        </is>
      </c>
      <c r="L409" s="26" t="n">
        <v>-106</v>
      </c>
      <c r="M409" s="27" t="n">
        <v>1.943396</v>
      </c>
      <c r="N409" s="28" t="n">
        <v>0.514563</v>
      </c>
      <c r="O409" s="28" t="n">
        <v>0.524827</v>
      </c>
      <c r="P409" s="28" t="n">
        <v>0.042131</v>
      </c>
      <c r="Q409" s="28" t="n">
        <v>0.010264</v>
      </c>
      <c r="R409" s="26" t="n">
        <v>31</v>
      </c>
      <c r="S409" s="29" t="n">
        <v>1</v>
      </c>
      <c r="T409" s="24" t="inlineStr">
        <is>
          <t>measured-edge-totals-v3</t>
        </is>
      </c>
      <c r="U409" s="24" t="inlineStr">
        <is>
          <t>settled</t>
        </is>
      </c>
      <c r="V409" s="24" t="inlineStr">
        <is>
          <t>loss</t>
        </is>
      </c>
      <c r="W409" s="26" t="n">
        <v>0</v>
      </c>
      <c r="X409" s="26" t="n">
        <v>2</v>
      </c>
      <c r="Y409" s="25" t="n">
        <v>7.5</v>
      </c>
      <c r="Z409" s="26" t="n">
        <v>-106</v>
      </c>
      <c r="AA409" s="28" t="n">
        <v>0.515</v>
      </c>
      <c r="AB409" s="28" t="n">
        <v>0.000437</v>
      </c>
      <c r="AC409" s="30" t="n">
        <v>-1</v>
      </c>
      <c r="AD409" s="24" t="inlineStr">
        <is>
          <t>2026-08-12T05:11:44.762525Z</t>
        </is>
      </c>
      <c r="AE409" s="31" t="inlineStr">
        <is>
          <t>Measured Edge Totals: Trend Engine projected 4.42-4.39; raw selected-side p=0.5766, calibrated p=0.5248.</t>
        </is>
      </c>
      <c r="AF409" s="31" t="inlineStr">
        <is>
          <t>Research-only; lineup, bullpen, park, weather, xFIP, and wRC+ may be neutral fallbacks; market availability and BBO depth may change before first pitch.</t>
        </is>
      </c>
      <c r="AG409" s="24" t="inlineStr">
        <is>
          <t>review_required</t>
        </is>
      </c>
      <c r="AH409" s="24" t="n"/>
      <c r="AI409" s="31" t="n"/>
      <c r="AJ409" s="31" t="n"/>
      <c r="AK409" s="24" t="inlineStr">
        <is>
          <t>model_qualified</t>
        </is>
      </c>
      <c r="AL409" s="26" t="n">
        <v>3</v>
      </c>
      <c r="AM409" s="24" t="inlineStr">
        <is>
          <t>QUALIFIED_SHADOW_CALL</t>
        </is>
      </c>
      <c r="AN409" s="24" t="inlineStr">
        <is>
          <t>CALL</t>
        </is>
      </c>
      <c r="AO409" s="24" t="inlineStr">
        <is>
          <t>QUALIFIED</t>
        </is>
      </c>
      <c r="AP409" s="24" t="inlineStr">
        <is>
          <t>mlb-phi</t>
        </is>
      </c>
      <c r="AQ409" s="24" t="inlineStr">
        <is>
          <t>Philadelphia Phillies</t>
        </is>
      </c>
      <c r="AR409" s="24" t="inlineStr">
        <is>
          <t>Philadelphia Phillies</t>
        </is>
      </c>
      <c r="AS409" s="24" t="inlineStr">
        <is>
          <t>mlb-stl</t>
        </is>
      </c>
      <c r="AT409" s="24" t="inlineStr">
        <is>
          <t>St. Louis Cardinals</t>
        </is>
      </c>
      <c r="AU409" s="24" t="inlineStr">
        <is>
          <t>St. Louis Cardinals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research</t>
        </is>
      </c>
      <c r="BA409" s="24" t="inlineStr">
        <is>
          <t>95b84332c75d2ce54036eb8de6ada9c78d0f80228c50825c0347281a8b9b49c7</t>
        </is>
      </c>
      <c r="BB409" s="24" t="inlineStr">
        <is>
          <t>flat_probability_shrinkage_toward_half</t>
        </is>
      </c>
      <c r="BC409" s="24" t="inlineStr">
        <is>
          <t>measured-edge-totals-v3</t>
        </is>
      </c>
      <c r="BD409" s="24" t="inlineStr">
        <is>
          <t>95b84332c75d2ce54036eb8de6ada9c78d0f80228c50825c0347281a8b9b49c7</t>
        </is>
      </c>
      <c r="BE409" s="24" t="inlineStr">
        <is>
          <t>v3</t>
        </is>
      </c>
      <c r="BF409" s="24" t="inlineStr">
        <is>
          <t>1</t>
        </is>
      </c>
      <c r="BG409" s="24" t="inlineStr">
        <is>
          <t>measured-edge-paired-v1</t>
        </is>
      </c>
      <c r="BH409" s="24" t="inlineStr">
        <is>
          <t>2026-08-11T23:02:24.981249Z</t>
        </is>
      </c>
      <c r="BI409" s="24" t="inlineStr">
        <is>
          <t>["same_event","same_team_same_day","same_league_same_day"]</t>
        </is>
      </c>
      <c r="BJ409" s="25" t="n">
        <v>7.5</v>
      </c>
      <c r="BK409" s="26" t="n">
        <v>-106</v>
      </c>
      <c r="BL409" s="27" t="n">
        <v>1.943396</v>
      </c>
      <c r="BM409" s="28" t="n">
        <v>0.514563</v>
      </c>
      <c r="BN409" s="28" t="n">
        <v>0.5124379999999999</v>
      </c>
      <c r="BO409" s="28" t="n"/>
      <c r="BP409" s="25" t="n"/>
      <c r="BQ409" s="27" t="n">
        <v>1.943396</v>
      </c>
      <c r="BR409" s="28" t="n">
        <v>0.515</v>
      </c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True</t>
        </is>
      </c>
    </row>
    <row r="410" ht="36" customHeight="1">
      <c r="A410" s="24" t="inlineStr">
        <is>
          <t>74eb010c13e14592</t>
        </is>
      </c>
      <c r="B410" s="24" t="inlineStr">
        <is>
          <t>2026-08-11T23:02:24.981249Z</t>
        </is>
      </c>
      <c r="C410" s="24" t="inlineStr">
        <is>
          <t>2026-08-12T01:38Z</t>
        </is>
      </c>
      <c r="D410" s="24" t="inlineStr">
        <is>
          <t>401816493</t>
        </is>
      </c>
      <c r="E410" s="24" t="inlineStr">
        <is>
          <t>MLB</t>
        </is>
      </c>
      <c r="F410" s="24" t="inlineStr">
        <is>
          <t>Texas Rangers</t>
        </is>
      </c>
      <c r="G410" s="24" t="inlineStr">
        <is>
          <t>Los Angeles Angels</t>
        </is>
      </c>
      <c r="H410" s="24" t="inlineStr">
        <is>
          <t>spread</t>
        </is>
      </c>
      <c r="I410" s="24" t="inlineStr">
        <is>
          <t>home</t>
        </is>
      </c>
      <c r="J410" s="25" t="n">
        <v>1.5</v>
      </c>
      <c r="K410" s="24" t="inlineStr">
        <is>
          <t>polymarket_us</t>
        </is>
      </c>
      <c r="L410" s="26" t="n">
        <v>-113</v>
      </c>
      <c r="M410" s="27" t="n">
        <v>1.884956</v>
      </c>
      <c r="N410" s="28" t="n">
        <v>0.530516</v>
      </c>
      <c r="O410" s="28" t="n">
        <v>0.559146</v>
      </c>
      <c r="P410" s="28" t="n">
        <v>0.05172</v>
      </c>
      <c r="Q410" s="28" t="n">
        <v>0.02863</v>
      </c>
      <c r="R410" s="26" t="n">
        <v>35</v>
      </c>
      <c r="S410" s="29" t="n">
        <v>1</v>
      </c>
      <c r="T410" s="24" t="inlineStr">
        <is>
          <t>measured-edge-margin-v3</t>
        </is>
      </c>
      <c r="U410" s="24" t="inlineStr">
        <is>
          <t>settled</t>
        </is>
      </c>
      <c r="V410" s="24" t="inlineStr">
        <is>
          <t>win</t>
        </is>
      </c>
      <c r="W410" s="26" t="n">
        <v>2</v>
      </c>
      <c r="X410" s="26" t="n">
        <v>3</v>
      </c>
      <c r="Y410" s="25" t="n">
        <v>1.5</v>
      </c>
      <c r="Z410" s="26" t="n">
        <v>-113</v>
      </c>
      <c r="AA410" s="28" t="n">
        <v>0.53</v>
      </c>
      <c r="AB410" s="28" t="n">
        <v>-0.000516</v>
      </c>
      <c r="AC410" s="30" t="n">
        <v>0.885</v>
      </c>
      <c r="AD410" s="24" t="inlineStr">
        <is>
          <t>2026-08-12T05:11:46.416359Z</t>
        </is>
      </c>
      <c r="AE410" s="31" t="inlineStr">
        <is>
          <t>Measured Edge Margin: Trend Engine projected 5.13-4.32; raw selected-side p=0.5868, calibrated p=0.5591.</t>
        </is>
      </c>
      <c r="AF410" s="31" t="inlineStr">
        <is>
          <t>Research-only; lineup, bullpen, park, weather, xFIP, and wRC+ may be neutral fallbacks; market availability and BBO depth may change before first pitch.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3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mlb-tex</t>
        </is>
      </c>
      <c r="AQ410" s="24" t="inlineStr">
        <is>
          <t>Texas Rangers</t>
        </is>
      </c>
      <c r="AR410" s="24" t="inlineStr">
        <is>
          <t>Texas Rangers</t>
        </is>
      </c>
      <c r="AS410" s="24" t="inlineStr">
        <is>
          <t>mlb-laa</t>
        </is>
      </c>
      <c r="AT410" s="24" t="inlineStr">
        <is>
          <t>Los Angeles Angels</t>
        </is>
      </c>
      <c r="AU410" s="24" t="inlineStr">
        <is>
          <t>Los Angeles Angels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research</t>
        </is>
      </c>
      <c r="BA410" s="24" t="inlineStr">
        <is>
          <t>dd339a2eed50d7d83ab2127837995ddab82e879afd27f5414bb6c1f9cd60ba4c</t>
        </is>
      </c>
      <c r="BB410" s="24" t="inlineStr">
        <is>
          <t>flat_probability_shrinkage_toward_half</t>
        </is>
      </c>
      <c r="BC410" s="24" t="inlineStr">
        <is>
          <t>measured-edge-margin-v3</t>
        </is>
      </c>
      <c r="BD410" s="24" t="inlineStr">
        <is>
          <t>dd339a2eed50d7d83ab2127837995ddab82e879afd27f5414bb6c1f9cd60ba4c</t>
        </is>
      </c>
      <c r="BE410" s="24" t="inlineStr">
        <is>
          <t>v3</t>
        </is>
      </c>
      <c r="BF410" s="24" t="inlineStr">
        <is>
          <t>1</t>
        </is>
      </c>
      <c r="BG410" s="24" t="inlineStr">
        <is>
          <t>measured-edge-paired-v1</t>
        </is>
      </c>
      <c r="BH410" s="24" t="inlineStr">
        <is>
          <t>2026-08-11T23:02:24.981249Z</t>
        </is>
      </c>
      <c r="BI410" s="24" t="inlineStr">
        <is>
          <t>["same_event","same_team_same_day","same_league_same_day"]</t>
        </is>
      </c>
      <c r="BJ410" s="25" t="n">
        <v>1.5</v>
      </c>
      <c r="BK410" s="26" t="n">
        <v>-113</v>
      </c>
      <c r="BL410" s="27" t="n">
        <v>1.884956</v>
      </c>
      <c r="BM410" s="28" t="n">
        <v>0.530516</v>
      </c>
      <c r="BN410" s="28" t="n">
        <v>0.527363</v>
      </c>
      <c r="BO410" s="28" t="n"/>
      <c r="BP410" s="25" t="n"/>
      <c r="BQ410" s="27" t="n">
        <v>1.884956</v>
      </c>
      <c r="BR410" s="28" t="n">
        <v>0.53</v>
      </c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</row>
    <row r="411" ht="36" customHeight="1">
      <c r="A411" s="24" t="inlineStr">
        <is>
          <t>268c91e024bd4322</t>
        </is>
      </c>
      <c r="B411" s="24" t="inlineStr">
        <is>
          <t>2026-08-11T23:02:24.981249Z</t>
        </is>
      </c>
      <c r="C411" s="24" t="inlineStr">
        <is>
          <t>2026-08-12T01:38Z</t>
        </is>
      </c>
      <c r="D411" s="24" t="inlineStr">
        <is>
          <t>401816493</t>
        </is>
      </c>
      <c r="E411" s="24" t="inlineStr">
        <is>
          <t>MLB</t>
        </is>
      </c>
      <c r="F411" s="24" t="inlineStr">
        <is>
          <t>Texas Rangers</t>
        </is>
      </c>
      <c r="G411" s="24" t="inlineStr">
        <is>
          <t>Los Angeles Angels</t>
        </is>
      </c>
      <c r="H411" s="24" t="inlineStr">
        <is>
          <t>total</t>
        </is>
      </c>
      <c r="I411" s="24" t="inlineStr">
        <is>
          <t>under</t>
        </is>
      </c>
      <c r="J411" s="25" t="n">
        <v>9.5</v>
      </c>
      <c r="K411" s="24" t="inlineStr">
        <is>
          <t>polymarket_us</t>
        </is>
      </c>
      <c r="L411" s="26" t="n">
        <v>-122</v>
      </c>
      <c r="M411" s="27" t="n">
        <v>1.819672</v>
      </c>
      <c r="N411" s="28" t="n">
        <v>0.54955</v>
      </c>
      <c r="O411" s="28" t="n">
        <v>0.517984</v>
      </c>
      <c r="P411" s="28" t="n">
        <v>0.05172</v>
      </c>
      <c r="Q411" s="28" t="n">
        <v>-0.031566</v>
      </c>
      <c r="R411" s="26" t="n">
        <v>4</v>
      </c>
      <c r="S411" s="29" t="n">
        <v>1</v>
      </c>
      <c r="T411" s="24" t="inlineStr">
        <is>
          <t>measured-edge-totals-v3</t>
        </is>
      </c>
      <c r="U411" s="24" t="inlineStr">
        <is>
          <t>settled</t>
        </is>
      </c>
      <c r="V411" s="24" t="inlineStr">
        <is>
          <t>win</t>
        </is>
      </c>
      <c r="W411" s="26" t="n">
        <v>2</v>
      </c>
      <c r="X411" s="26" t="n">
        <v>3</v>
      </c>
      <c r="Y411" s="25" t="n">
        <v>9.5</v>
      </c>
      <c r="Z411" s="26" t="n">
        <v>-122</v>
      </c>
      <c r="AA411" s="28" t="n">
        <v>0.55</v>
      </c>
      <c r="AB411" s="28" t="n">
        <v>0.00045</v>
      </c>
      <c r="AC411" s="30" t="n">
        <v>0.8197</v>
      </c>
      <c r="AD411" s="24" t="inlineStr">
        <is>
          <t>2026-08-12T05:11:48.002435Z</t>
        </is>
      </c>
      <c r="AE411" s="31" t="inlineStr">
        <is>
          <t>Measured Edge Totals: Trend Engine projected 5.13-4.32; raw selected-side p=0.5491, calibrated p=0.5180.</t>
        </is>
      </c>
      <c r="AF411" s="31" t="inlineStr">
        <is>
          <t>Research-only; lineup, bullpen, park, weather, xFIP, and wRC+ may be neutral fallbacks; market availability and BBO depth may change before first pitch.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model_qualified</t>
        </is>
      </c>
      <c r="AL411" s="26" t="n">
        <v>3</v>
      </c>
      <c r="AM411" s="24" t="inlineStr">
        <is>
          <t>QUALIFIED_SHADOW_CALL</t>
        </is>
      </c>
      <c r="AN411" s="24" t="inlineStr">
        <is>
          <t>CALL</t>
        </is>
      </c>
      <c r="AO411" s="24" t="inlineStr">
        <is>
          <t>QUALIFIED</t>
        </is>
      </c>
      <c r="AP411" s="24" t="inlineStr">
        <is>
          <t>mlb-tex</t>
        </is>
      </c>
      <c r="AQ411" s="24" t="inlineStr">
        <is>
          <t>Texas Rangers</t>
        </is>
      </c>
      <c r="AR411" s="24" t="inlineStr">
        <is>
          <t>Texas Rangers</t>
        </is>
      </c>
      <c r="AS411" s="24" t="inlineStr">
        <is>
          <t>mlb-laa</t>
        </is>
      </c>
      <c r="AT411" s="24" t="inlineStr">
        <is>
          <t>Los Angeles Angels</t>
        </is>
      </c>
      <c r="AU411" s="24" t="inlineStr">
        <is>
          <t>Los Angeles Angels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research</t>
        </is>
      </c>
      <c r="BA411" s="24" t="inlineStr">
        <is>
          <t>95b84332c75d2ce54036eb8de6ada9c78d0f80228c50825c0347281a8b9b49c7</t>
        </is>
      </c>
      <c r="BB411" s="24" t="inlineStr">
        <is>
          <t>flat_probability_shrinkage_toward_half</t>
        </is>
      </c>
      <c r="BC411" s="24" t="inlineStr">
        <is>
          <t>measured-edge-totals-v3</t>
        </is>
      </c>
      <c r="BD411" s="24" t="inlineStr">
        <is>
          <t>95b84332c75d2ce54036eb8de6ada9c78d0f80228c50825c0347281a8b9b49c7</t>
        </is>
      </c>
      <c r="BE411" s="24" t="inlineStr">
        <is>
          <t>v3</t>
        </is>
      </c>
      <c r="BF411" s="24" t="inlineStr">
        <is>
          <t>1</t>
        </is>
      </c>
      <c r="BG411" s="24" t="inlineStr">
        <is>
          <t>measured-edge-paired-v1</t>
        </is>
      </c>
      <c r="BH411" s="24" t="inlineStr">
        <is>
          <t>2026-08-11T23:02:24.981249Z</t>
        </is>
      </c>
      <c r="BI411" s="24" t="inlineStr">
        <is>
          <t>["same_event","same_team_same_day","same_league_same_day"]</t>
        </is>
      </c>
      <c r="BJ411" s="25" t="n">
        <v>9.5</v>
      </c>
      <c r="BK411" s="26" t="n">
        <v>-122</v>
      </c>
      <c r="BL411" s="27" t="n">
        <v>1.819672</v>
      </c>
      <c r="BM411" s="28" t="n">
        <v>0.54955</v>
      </c>
      <c r="BN411" s="28" t="n">
        <v>0.547264</v>
      </c>
      <c r="BO411" s="28" t="n"/>
      <c r="BP411" s="25" t="n"/>
      <c r="BQ411" s="27" t="n">
        <v>1.819672</v>
      </c>
      <c r="BR411" s="28" t="n">
        <v>0.55</v>
      </c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False</t>
        </is>
      </c>
    </row>
    <row r="412" ht="36" customHeight="1">
      <c r="A412" s="24" t="inlineStr">
        <is>
          <t>e49d9124a69b4966</t>
        </is>
      </c>
      <c r="B412" s="24" t="inlineStr">
        <is>
          <t>2026-08-11T23:02:24.981249Z</t>
        </is>
      </c>
      <c r="C412" s="24" t="inlineStr">
        <is>
          <t>2026-08-12T01:40Z</t>
        </is>
      </c>
      <c r="D412" s="24" t="inlineStr">
        <is>
          <t>401816488</t>
        </is>
      </c>
      <c r="E412" s="24" t="inlineStr">
        <is>
          <t>MLB</t>
        </is>
      </c>
      <c r="F412" s="24" t="inlineStr">
        <is>
          <t>Colorado Rockies</t>
        </is>
      </c>
      <c r="G412" s="24" t="inlineStr">
        <is>
          <t>Arizona Diamondbacks</t>
        </is>
      </c>
      <c r="H412" s="24" t="inlineStr">
        <is>
          <t>spread</t>
        </is>
      </c>
      <c r="I412" s="24" t="inlineStr">
        <is>
          <t>away</t>
        </is>
      </c>
      <c r="J412" s="25" t="n">
        <v>1.5</v>
      </c>
      <c r="K412" s="24" t="inlineStr">
        <is>
          <t>polymarket_us</t>
        </is>
      </c>
      <c r="L412" s="26" t="n">
        <v>-127</v>
      </c>
      <c r="M412" s="27" t="n">
        <v>1.787402</v>
      </c>
      <c r="N412" s="28" t="n">
        <v>0.5594710000000001</v>
      </c>
      <c r="O412" s="28" t="n">
        <v>0.586947</v>
      </c>
      <c r="P412" s="28" t="n">
        <v>0.05172</v>
      </c>
      <c r="Q412" s="28" t="n">
        <v>0.027476</v>
      </c>
      <c r="R412" s="26" t="n">
        <v>35</v>
      </c>
      <c r="S412" s="29" t="n">
        <v>1.25</v>
      </c>
      <c r="T412" s="24" t="inlineStr">
        <is>
          <t>measured-edge-margin-v3</t>
        </is>
      </c>
      <c r="U412" s="24" t="inlineStr">
        <is>
          <t>settled</t>
        </is>
      </c>
      <c r="V412" s="24" t="inlineStr">
        <is>
          <t>win</t>
        </is>
      </c>
      <c r="W412" s="26" t="n">
        <v>3</v>
      </c>
      <c r="X412" s="26" t="n">
        <v>2</v>
      </c>
      <c r="Y412" s="25" t="n">
        <v>1.5</v>
      </c>
      <c r="Z412" s="26" t="n">
        <v>-127</v>
      </c>
      <c r="AA412" s="28" t="n">
        <v>0.5600000000000001</v>
      </c>
      <c r="AB412" s="28" t="n">
        <v>0.000529</v>
      </c>
      <c r="AC412" s="30" t="n">
        <v>0.9843</v>
      </c>
      <c r="AD412" s="24" t="inlineStr">
        <is>
          <t>2026-08-12T05:11:49.641545Z</t>
        </is>
      </c>
      <c r="AE412" s="31" t="inlineStr">
        <is>
          <t>Measured Edge Margin: Trend Engine projected 4.66-5.04; raw selected-side p=0.6276, calibrated p=0.5869.</t>
        </is>
      </c>
      <c r="AF412" s="31" t="inlineStr">
        <is>
          <t>Research-only; lineup, bullpen, park, weather, xFIP, and wRC+ may be neutral fallbacks; market availability and BBO depth may change before first pitch.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3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mlb-col</t>
        </is>
      </c>
      <c r="AQ412" s="24" t="inlineStr">
        <is>
          <t>Colorado Rockies</t>
        </is>
      </c>
      <c r="AR412" s="24" t="inlineStr">
        <is>
          <t>Colorado Rockies</t>
        </is>
      </c>
      <c r="AS412" s="24" t="inlineStr">
        <is>
          <t>mlb-ari</t>
        </is>
      </c>
      <c r="AT412" s="24" t="inlineStr">
        <is>
          <t>Arizona Diamondbacks</t>
        </is>
      </c>
      <c r="AU412" s="24" t="inlineStr">
        <is>
          <t>Arizona Diamondbacks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research</t>
        </is>
      </c>
      <c r="BA412" s="24" t="inlineStr">
        <is>
          <t>dd339a2eed50d7d83ab2127837995ddab82e879afd27f5414bb6c1f9cd60ba4c</t>
        </is>
      </c>
      <c r="BB412" s="24" t="inlineStr">
        <is>
          <t>flat_probability_shrinkage_toward_half</t>
        </is>
      </c>
      <c r="BC412" s="24" t="inlineStr">
        <is>
          <t>measured-edge-margin-v3</t>
        </is>
      </c>
      <c r="BD412" s="24" t="inlineStr">
        <is>
          <t>dd339a2eed50d7d83ab2127837995ddab82e879afd27f5414bb6c1f9cd60ba4c</t>
        </is>
      </c>
      <c r="BE412" s="24" t="inlineStr">
        <is>
          <t>v3</t>
        </is>
      </c>
      <c r="BF412" s="24" t="inlineStr">
        <is>
          <t>1</t>
        </is>
      </c>
      <c r="BG412" s="24" t="inlineStr">
        <is>
          <t>measured-edge-paired-v1</t>
        </is>
      </c>
      <c r="BH412" s="24" t="inlineStr">
        <is>
          <t>2026-08-11T23:02:24.981249Z</t>
        </is>
      </c>
      <c r="BI412" s="24" t="inlineStr">
        <is>
          <t>["same_event","same_team_same_day","same_league_same_day"]</t>
        </is>
      </c>
      <c r="BJ412" s="25" t="n">
        <v>1.5</v>
      </c>
      <c r="BK412" s="26" t="n">
        <v>-127</v>
      </c>
      <c r="BL412" s="27" t="n">
        <v>1.787402</v>
      </c>
      <c r="BM412" s="28" t="n">
        <v>0.5594710000000001</v>
      </c>
      <c r="BN412" s="28" t="n">
        <v>0.554455</v>
      </c>
      <c r="BO412" s="28" t="n"/>
      <c r="BP412" s="25" t="n"/>
      <c r="BQ412" s="27" t="n">
        <v>1.787402</v>
      </c>
      <c r="BR412" s="28" t="n">
        <v>0.5600000000000001</v>
      </c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</row>
    <row r="413" ht="36" customHeight="1">
      <c r="A413" s="24" t="inlineStr">
        <is>
          <t>08d014cff01e4222</t>
        </is>
      </c>
      <c r="B413" s="24" t="inlineStr">
        <is>
          <t>2026-08-11T23:02:24.981249Z</t>
        </is>
      </c>
      <c r="C413" s="24" t="inlineStr">
        <is>
          <t>2026-08-12T01:40Z</t>
        </is>
      </c>
      <c r="D413" s="24" t="inlineStr">
        <is>
          <t>401816488</t>
        </is>
      </c>
      <c r="E413" s="24" t="inlineStr">
        <is>
          <t>MLB</t>
        </is>
      </c>
      <c r="F413" s="24" t="inlineStr">
        <is>
          <t>Colorado Rockies</t>
        </is>
      </c>
      <c r="G413" s="24" t="inlineStr">
        <is>
          <t>Arizona Diamondbacks</t>
        </is>
      </c>
      <c r="H413" s="24" t="inlineStr">
        <is>
          <t>total</t>
        </is>
      </c>
      <c r="I413" s="24" t="inlineStr">
        <is>
          <t>under</t>
        </is>
      </c>
      <c r="J413" s="25" t="n">
        <v>9.5</v>
      </c>
      <c r="K413" s="24" t="inlineStr">
        <is>
          <t>polymarket_us</t>
        </is>
      </c>
      <c r="L413" s="26" t="n">
        <v>-117</v>
      </c>
      <c r="M413" s="27" t="n">
        <v>1.854701</v>
      </c>
      <c r="N413" s="28" t="n">
        <v>0.539171</v>
      </c>
      <c r="O413" s="28" t="n">
        <v>0.515028</v>
      </c>
      <c r="P413" s="28" t="n">
        <v>0.05172</v>
      </c>
      <c r="Q413" s="28" t="n">
        <v>-0.024143</v>
      </c>
      <c r="R413" s="26" t="n">
        <v>8</v>
      </c>
      <c r="S413" s="29" t="n">
        <v>1</v>
      </c>
      <c r="T413" s="24" t="inlineStr">
        <is>
          <t>measured-edge-totals-v3</t>
        </is>
      </c>
      <c r="U413" s="24" t="inlineStr">
        <is>
          <t>settled</t>
        </is>
      </c>
      <c r="V413" s="24" t="inlineStr">
        <is>
          <t>win</t>
        </is>
      </c>
      <c r="W413" s="26" t="n">
        <v>3</v>
      </c>
      <c r="X413" s="26" t="n">
        <v>2</v>
      </c>
      <c r="Y413" s="25" t="n">
        <v>9.5</v>
      </c>
      <c r="Z413" s="26" t="n">
        <v>-117</v>
      </c>
      <c r="AA413" s="28" t="n">
        <v>0.54</v>
      </c>
      <c r="AB413" s="28" t="n">
        <v>0.000829</v>
      </c>
      <c r="AC413" s="30" t="n">
        <v>0.8547</v>
      </c>
      <c r="AD413" s="24" t="inlineStr">
        <is>
          <t>2026-08-12T05:11:51.282825Z</t>
        </is>
      </c>
      <c r="AE413" s="31" t="inlineStr">
        <is>
          <t>Measured Edge Totals: Trend Engine projected 4.66-5.04; raw selected-side p=0.5372, calibrated p=0.5150.</t>
        </is>
      </c>
      <c r="AF413" s="31" t="inlineStr">
        <is>
          <t>Research-only; lineup, bullpen, park, weather, xFIP, and wRC+ may be neutral fallbacks; market availability and BBO depth may change before first pitch.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model_qualified</t>
        </is>
      </c>
      <c r="AL413" s="26" t="n">
        <v>3</v>
      </c>
      <c r="AM413" s="24" t="inlineStr">
        <is>
          <t>QUALIFIED_SHADOW_CALL</t>
        </is>
      </c>
      <c r="AN413" s="24" t="inlineStr">
        <is>
          <t>CALL</t>
        </is>
      </c>
      <c r="AO413" s="24" t="inlineStr">
        <is>
          <t>QUALIFIED</t>
        </is>
      </c>
      <c r="AP413" s="24" t="inlineStr">
        <is>
          <t>mlb-col</t>
        </is>
      </c>
      <c r="AQ413" s="24" t="inlineStr">
        <is>
          <t>Colorado Rockies</t>
        </is>
      </c>
      <c r="AR413" s="24" t="inlineStr">
        <is>
          <t>Colorado Rockies</t>
        </is>
      </c>
      <c r="AS413" s="24" t="inlineStr">
        <is>
          <t>mlb-ari</t>
        </is>
      </c>
      <c r="AT413" s="24" t="inlineStr">
        <is>
          <t>Arizona Diamondbacks</t>
        </is>
      </c>
      <c r="AU413" s="24" t="inlineStr">
        <is>
          <t>Arizona Diamondbacks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research</t>
        </is>
      </c>
      <c r="BA413" s="24" t="inlineStr">
        <is>
          <t>95b84332c75d2ce54036eb8de6ada9c78d0f80228c50825c0347281a8b9b49c7</t>
        </is>
      </c>
      <c r="BB413" s="24" t="inlineStr">
        <is>
          <t>flat_probability_shrinkage_toward_half</t>
        </is>
      </c>
      <c r="BC413" s="24" t="inlineStr">
        <is>
          <t>measured-edge-totals-v3</t>
        </is>
      </c>
      <c r="BD413" s="24" t="inlineStr">
        <is>
          <t>95b84332c75d2ce54036eb8de6ada9c78d0f80228c50825c0347281a8b9b49c7</t>
        </is>
      </c>
      <c r="BE413" s="24" t="inlineStr">
        <is>
          <t>v3</t>
        </is>
      </c>
      <c r="BF413" s="24" t="inlineStr">
        <is>
          <t>1</t>
        </is>
      </c>
      <c r="BG413" s="24" t="inlineStr">
        <is>
          <t>measured-edge-paired-v1</t>
        </is>
      </c>
      <c r="BH413" s="24" t="inlineStr">
        <is>
          <t>2026-08-11T23:02:24.981249Z</t>
        </is>
      </c>
      <c r="BI413" s="24" t="inlineStr">
        <is>
          <t>["same_event","same_team_same_day","same_league_same_day"]</t>
        </is>
      </c>
      <c r="BJ413" s="25" t="n">
        <v>9.5</v>
      </c>
      <c r="BK413" s="26" t="n">
        <v>-117</v>
      </c>
      <c r="BL413" s="27" t="n">
        <v>1.854701</v>
      </c>
      <c r="BM413" s="28" t="n">
        <v>0.539171</v>
      </c>
      <c r="BN413" s="28" t="n">
        <v>0.537313</v>
      </c>
      <c r="BO413" s="28" t="n"/>
      <c r="BP413" s="25" t="n"/>
      <c r="BQ413" s="27" t="n">
        <v>1.854701</v>
      </c>
      <c r="BR413" s="28" t="n">
        <v>0.54</v>
      </c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</row>
    <row r="414" ht="36" customHeight="1">
      <c r="A414" s="24" t="inlineStr">
        <is>
          <t>b97cf919ca8a45b1</t>
        </is>
      </c>
      <c r="B414" s="24" t="inlineStr">
        <is>
          <t>2026-08-11T23:02:24.981249Z</t>
        </is>
      </c>
      <c r="C414" s="24" t="inlineStr">
        <is>
          <t>2026-08-12T01:40Z</t>
        </is>
      </c>
      <c r="D414" s="24" t="inlineStr">
        <is>
          <t>401816491</t>
        </is>
      </c>
      <c r="E414" s="24" t="inlineStr">
        <is>
          <t>MLB</t>
        </is>
      </c>
      <c r="F414" s="24" t="inlineStr">
        <is>
          <t>Milwaukee Brewers</t>
        </is>
      </c>
      <c r="G414" s="24" t="inlineStr">
        <is>
          <t>San Diego Padres</t>
        </is>
      </c>
      <c r="H414" s="24" t="inlineStr">
        <is>
          <t>spread</t>
        </is>
      </c>
      <c r="I414" s="24" t="inlineStr">
        <is>
          <t>home</t>
        </is>
      </c>
      <c r="J414" s="25" t="n">
        <v>1.5</v>
      </c>
      <c r="K414" s="24" t="inlineStr">
        <is>
          <t>polymarket_us</t>
        </is>
      </c>
      <c r="L414" s="26" t="n">
        <v>-150</v>
      </c>
      <c r="M414" s="27" t="n">
        <v>1.666667</v>
      </c>
      <c r="N414" s="28" t="n">
        <v>0.6</v>
      </c>
      <c r="O414" s="28" t="n">
        <v>0.591035</v>
      </c>
      <c r="P414" s="28" t="n">
        <v>0.042131</v>
      </c>
      <c r="Q414" s="28" t="n">
        <v>-0.008965000000000001</v>
      </c>
      <c r="R414" s="26" t="n">
        <v>22</v>
      </c>
      <c r="S414" s="29" t="n">
        <v>1.25</v>
      </c>
      <c r="T414" s="24" t="inlineStr">
        <is>
          <t>measured-edge-margin-v3</t>
        </is>
      </c>
      <c r="U414" s="24" t="inlineStr">
        <is>
          <t>settled</t>
        </is>
      </c>
      <c r="V414" s="24" t="inlineStr">
        <is>
          <t>win</t>
        </is>
      </c>
      <c r="W414" s="26" t="n">
        <v>2</v>
      </c>
      <c r="X414" s="26" t="n">
        <v>11</v>
      </c>
      <c r="Y414" s="25" t="n">
        <v>1.5</v>
      </c>
      <c r="Z414" s="26" t="n">
        <v>-150</v>
      </c>
      <c r="AA414" s="28" t="n">
        <v>0.6</v>
      </c>
      <c r="AB414" s="28" t="n">
        <v>0</v>
      </c>
      <c r="AC414" s="30" t="n">
        <v>0.8333</v>
      </c>
      <c r="AD414" s="24" t="inlineStr">
        <is>
          <t>2026-08-12T05:11:52.931878Z</t>
        </is>
      </c>
      <c r="AE414" s="31" t="inlineStr">
        <is>
          <t>Measured Edge Margin: Trend Engine projected 4.65-4.28; raw selected-side p=0.6336, calibrated p=0.5910.</t>
        </is>
      </c>
      <c r="AF414" s="31" t="inlineStr">
        <is>
          <t>Research-only; lineup, bullpen, park, weather, xFIP, and wRC+ may be neutral fallbacks; market availability and BBO depth may change before first pitch.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3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mlb-mil</t>
        </is>
      </c>
      <c r="AQ414" s="24" t="inlineStr">
        <is>
          <t>Milwaukee Brewers</t>
        </is>
      </c>
      <c r="AR414" s="24" t="inlineStr">
        <is>
          <t>Milwaukee Brewers</t>
        </is>
      </c>
      <c r="AS414" s="24" t="inlineStr">
        <is>
          <t>mlb-sd</t>
        </is>
      </c>
      <c r="AT414" s="24" t="inlineStr">
        <is>
          <t>San Diego Padres</t>
        </is>
      </c>
      <c r="AU414" s="24" t="inlineStr">
        <is>
          <t>San Diego Padres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research</t>
        </is>
      </c>
      <c r="BA414" s="24" t="inlineStr">
        <is>
          <t>dd339a2eed50d7d83ab2127837995ddab82e879afd27f5414bb6c1f9cd60ba4c</t>
        </is>
      </c>
      <c r="BB414" s="24" t="inlineStr">
        <is>
          <t>flat_probability_shrinkage_toward_half</t>
        </is>
      </c>
      <c r="BC414" s="24" t="inlineStr">
        <is>
          <t>measured-edge-margin-v3</t>
        </is>
      </c>
      <c r="BD414" s="24" t="inlineStr">
        <is>
          <t>dd339a2eed50d7d83ab2127837995ddab82e879afd27f5414bb6c1f9cd60ba4c</t>
        </is>
      </c>
      <c r="BE414" s="24" t="inlineStr">
        <is>
          <t>v3</t>
        </is>
      </c>
      <c r="BF414" s="24" t="inlineStr">
        <is>
          <t>1</t>
        </is>
      </c>
      <c r="BG414" s="24" t="inlineStr">
        <is>
          <t>measured-edge-paired-v1</t>
        </is>
      </c>
      <c r="BH414" s="24" t="inlineStr">
        <is>
          <t>2026-08-11T23:02:24.981249Z</t>
        </is>
      </c>
      <c r="BI414" s="24" t="inlineStr">
        <is>
          <t>["same_event","same_team_same_day","same_league_same_day"]</t>
        </is>
      </c>
      <c r="BJ414" s="25" t="n">
        <v>1.5</v>
      </c>
      <c r="BK414" s="26" t="n">
        <v>-150</v>
      </c>
      <c r="BL414" s="27" t="n">
        <v>1.666667</v>
      </c>
      <c r="BM414" s="28" t="n">
        <v>0.6</v>
      </c>
      <c r="BN414" s="28" t="n">
        <v>0.597015</v>
      </c>
      <c r="BO414" s="28" t="n"/>
      <c r="BP414" s="25" t="n"/>
      <c r="BQ414" s="27" t="n">
        <v>1.666667</v>
      </c>
      <c r="BR414" s="28" t="n">
        <v>0.6</v>
      </c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</row>
    <row r="415" ht="36" customHeight="1">
      <c r="A415" s="24" t="inlineStr">
        <is>
          <t>3ce411dcdb954c10</t>
        </is>
      </c>
      <c r="B415" s="24" t="inlineStr">
        <is>
          <t>2026-08-11T23:02:24.981249Z</t>
        </is>
      </c>
      <c r="C415" s="24" t="inlineStr">
        <is>
          <t>2026-08-12T01:40Z</t>
        </is>
      </c>
      <c r="D415" s="24" t="inlineStr">
        <is>
          <t>401816491</t>
        </is>
      </c>
      <c r="E415" s="24" t="inlineStr">
        <is>
          <t>MLB</t>
        </is>
      </c>
      <c r="F415" s="24" t="inlineStr">
        <is>
          <t>Milwaukee Brewers</t>
        </is>
      </c>
      <c r="G415" s="24" t="inlineStr">
        <is>
          <t>San Diego Padres</t>
        </is>
      </c>
      <c r="H415" s="24" t="inlineStr">
        <is>
          <t>total</t>
        </is>
      </c>
      <c r="I415" s="24" t="inlineStr">
        <is>
          <t>over</t>
        </is>
      </c>
      <c r="J415" s="25" t="n">
        <v>7.5</v>
      </c>
      <c r="K415" s="24" t="inlineStr">
        <is>
          <t>polymarket_us</t>
        </is>
      </c>
      <c r="L415" s="26" t="n">
        <v>104</v>
      </c>
      <c r="M415" s="27" t="n">
        <v>2.04</v>
      </c>
      <c r="N415" s="28" t="n">
        <v>0.490196</v>
      </c>
      <c r="O415" s="28" t="n">
        <v>0.527051</v>
      </c>
      <c r="P415" s="28" t="n">
        <v>0.042131</v>
      </c>
      <c r="Q415" s="28" t="n">
        <v>0.036855</v>
      </c>
      <c r="R415" s="26" t="n">
        <v>44</v>
      </c>
      <c r="S415" s="29" t="n">
        <v>1</v>
      </c>
      <c r="T415" s="24" t="inlineStr">
        <is>
          <t>measured-edge-totals-v3</t>
        </is>
      </c>
      <c r="U415" s="24" t="inlineStr">
        <is>
          <t>settled</t>
        </is>
      </c>
      <c r="V415" s="24" t="inlineStr">
        <is>
          <t>win</t>
        </is>
      </c>
      <c r="W415" s="26" t="n">
        <v>2</v>
      </c>
      <c r="X415" s="26" t="n">
        <v>11</v>
      </c>
      <c r="Y415" s="25" t="n">
        <v>7.5</v>
      </c>
      <c r="Z415" s="26" t="n">
        <v>104</v>
      </c>
      <c r="AA415" s="28" t="n">
        <v>0.49</v>
      </c>
      <c r="AB415" s="28" t="n">
        <v>-0.000196</v>
      </c>
      <c r="AC415" s="30" t="n">
        <v>1.04</v>
      </c>
      <c r="AD415" s="24" t="inlineStr">
        <is>
          <t>2026-08-12T05:11:54.521029Z</t>
        </is>
      </c>
      <c r="AE415" s="31" t="inlineStr">
        <is>
          <t>Measured Edge Totals: Trend Engine projected 4.65-4.28; raw selected-side p=0.5856, calibrated p=0.5271.</t>
        </is>
      </c>
      <c r="AF415" s="31" t="inlineStr">
        <is>
          <t>Research-only; lineup, bullpen, park, weather, xFIP, and wRC+ may be neutral fallbacks; market availability and BBO depth may change before first pitch.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model_qualified</t>
        </is>
      </c>
      <c r="AL415" s="26" t="n">
        <v>3</v>
      </c>
      <c r="AM415" s="24" t="inlineStr">
        <is>
          <t>QUALIFIED_SHADOW_CALL</t>
        </is>
      </c>
      <c r="AN415" s="24" t="inlineStr">
        <is>
          <t>CALL</t>
        </is>
      </c>
      <c r="AO415" s="24" t="inlineStr">
        <is>
          <t>QUALIFIED</t>
        </is>
      </c>
      <c r="AP415" s="24" t="inlineStr">
        <is>
          <t>mlb-mil</t>
        </is>
      </c>
      <c r="AQ415" s="24" t="inlineStr">
        <is>
          <t>Milwaukee Brewers</t>
        </is>
      </c>
      <c r="AR415" s="24" t="inlineStr">
        <is>
          <t>Milwaukee Brewers</t>
        </is>
      </c>
      <c r="AS415" s="24" t="inlineStr">
        <is>
          <t>mlb-sd</t>
        </is>
      </c>
      <c r="AT415" s="24" t="inlineStr">
        <is>
          <t>San Diego Padres</t>
        </is>
      </c>
      <c r="AU415" s="24" t="inlineStr">
        <is>
          <t>San Diego Padres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research</t>
        </is>
      </c>
      <c r="BA415" s="24" t="inlineStr">
        <is>
          <t>95b84332c75d2ce54036eb8de6ada9c78d0f80228c50825c0347281a8b9b49c7</t>
        </is>
      </c>
      <c r="BB415" s="24" t="inlineStr">
        <is>
          <t>flat_probability_shrinkage_toward_half</t>
        </is>
      </c>
      <c r="BC415" s="24" t="inlineStr">
        <is>
          <t>measured-edge-totals-v3</t>
        </is>
      </c>
      <c r="BD415" s="24" t="inlineStr">
        <is>
          <t>95b84332c75d2ce54036eb8de6ada9c78d0f80228c50825c0347281a8b9b49c7</t>
        </is>
      </c>
      <c r="BE415" s="24" t="inlineStr">
        <is>
          <t>v3</t>
        </is>
      </c>
      <c r="BF415" s="24" t="inlineStr">
        <is>
          <t>1</t>
        </is>
      </c>
      <c r="BG415" s="24" t="inlineStr">
        <is>
          <t>measured-edge-paired-v1</t>
        </is>
      </c>
      <c r="BH415" s="24" t="inlineStr">
        <is>
          <t>2026-08-11T23:02:24.981249Z</t>
        </is>
      </c>
      <c r="BI415" s="24" t="inlineStr">
        <is>
          <t>["same_event","same_team_same_day","same_league_same_day"]</t>
        </is>
      </c>
      <c r="BJ415" s="25" t="n">
        <v>7.5</v>
      </c>
      <c r="BK415" s="26" t="n">
        <v>104</v>
      </c>
      <c r="BL415" s="27" t="n">
        <v>2.04</v>
      </c>
      <c r="BM415" s="28" t="n">
        <v>0.490196</v>
      </c>
      <c r="BN415" s="28" t="n">
        <v>0.487562</v>
      </c>
      <c r="BO415" s="28" t="n"/>
      <c r="BP415" s="25" t="n"/>
      <c r="BQ415" s="27" t="n">
        <v>2.04</v>
      </c>
      <c r="BR415" s="28" t="n">
        <v>0.49</v>
      </c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</row>
    <row r="416" ht="36" customHeight="1">
      <c r="A416" s="24" t="inlineStr">
        <is>
          <t>791a9fe347344df0</t>
        </is>
      </c>
      <c r="B416" s="24" t="inlineStr">
        <is>
          <t>2026-08-11T23:02:24.981249Z</t>
        </is>
      </c>
      <c r="C416" s="24" t="inlineStr">
        <is>
          <t>2026-08-12T01:40Z</t>
        </is>
      </c>
      <c r="D416" s="24" t="inlineStr">
        <is>
          <t>401816492</t>
        </is>
      </c>
      <c r="E416" s="24" t="inlineStr">
        <is>
          <t>MLB</t>
        </is>
      </c>
      <c r="F416" s="24" t="inlineStr">
        <is>
          <t>Tampa Bay Rays</t>
        </is>
      </c>
      <c r="G416" s="24" t="inlineStr">
        <is>
          <t>Athletics</t>
        </is>
      </c>
      <c r="H416" s="24" t="inlineStr">
        <is>
          <t>spread</t>
        </is>
      </c>
      <c r="I416" s="24" t="inlineStr">
        <is>
          <t>home</t>
        </is>
      </c>
      <c r="J416" s="25" t="n">
        <v>1.5</v>
      </c>
      <c r="K416" s="24" t="inlineStr">
        <is>
          <t>polymarket_us</t>
        </is>
      </c>
      <c r="L416" s="26" t="n">
        <v>108</v>
      </c>
      <c r="M416" s="27" t="n">
        <v>2.08</v>
      </c>
      <c r="N416" s="28" t="n">
        <v>0.480769</v>
      </c>
      <c r="O416" s="28" t="n">
        <v>0.547391</v>
      </c>
      <c r="P416" s="28" t="n">
        <v>0.042131</v>
      </c>
      <c r="Q416" s="28" t="n">
        <v>0.066622</v>
      </c>
      <c r="R416" s="26" t="n">
        <v>60</v>
      </c>
      <c r="S416" s="29" t="n">
        <v>1</v>
      </c>
      <c r="T416" s="24" t="inlineStr">
        <is>
          <t>measured-edge-margin-v3</t>
        </is>
      </c>
      <c r="U416" s="24" t="inlineStr">
        <is>
          <t>settled</t>
        </is>
      </c>
      <c r="V416" s="24" t="inlineStr">
        <is>
          <t>loss</t>
        </is>
      </c>
      <c r="W416" s="26" t="n">
        <v>12</v>
      </c>
      <c r="X416" s="26" t="n">
        <v>4</v>
      </c>
      <c r="Y416" s="25" t="n">
        <v>1.5</v>
      </c>
      <c r="Z416" s="26" t="n">
        <v>108</v>
      </c>
      <c r="AA416" s="28" t="n">
        <v>0.48</v>
      </c>
      <c r="AB416" s="28" t="n">
        <v>-0.000769</v>
      </c>
      <c r="AC416" s="30" t="n">
        <v>-1</v>
      </c>
      <c r="AD416" s="24" t="inlineStr">
        <is>
          <t>2026-08-12T05:11:56.165767Z</t>
        </is>
      </c>
      <c r="AE416" s="31" t="inlineStr">
        <is>
          <t>Measured Edge Margin: Trend Engine projected 5.32-4.37; raw selected-side p=0.5696, calibrated p=0.5474.</t>
        </is>
      </c>
      <c r="AF416" s="31" t="inlineStr">
        <is>
          <t>Research-only; lineup, bullpen, park, weather, xFIP, and wRC+ may be neutral fallbacks; market availability and BBO depth may change before first pitch.</t>
        </is>
      </c>
      <c r="AG416" s="24" t="inlineStr">
        <is>
          <t>review_required</t>
        </is>
      </c>
      <c r="AH416" s="24" t="n"/>
      <c r="AI416" s="31" t="n"/>
      <c r="AJ416" s="31" t="n"/>
      <c r="AK416" s="24" t="inlineStr">
        <is>
          <t>model_qualified</t>
        </is>
      </c>
      <c r="AL416" s="26" t="n">
        <v>3</v>
      </c>
      <c r="AM416" s="24" t="inlineStr">
        <is>
          <t>QUALIFIED_SHADOW_CALL</t>
        </is>
      </c>
      <c r="AN416" s="24" t="inlineStr">
        <is>
          <t>CALL</t>
        </is>
      </c>
      <c r="AO416" s="24" t="inlineStr">
        <is>
          <t>QUALIFIED</t>
        </is>
      </c>
      <c r="AP416" s="24" t="inlineStr">
        <is>
          <t>mlb-tb</t>
        </is>
      </c>
      <c r="AQ416" s="24" t="inlineStr">
        <is>
          <t>Tampa Bay Rays</t>
        </is>
      </c>
      <c r="AR416" s="24" t="inlineStr">
        <is>
          <t>Tampa Bay Rays</t>
        </is>
      </c>
      <c r="AS416" s="24" t="inlineStr">
        <is>
          <t>mlb-ath</t>
        </is>
      </c>
      <c r="AT416" s="24" t="inlineStr">
        <is>
          <t>Athletics</t>
        </is>
      </c>
      <c r="AU416" s="24" t="inlineStr">
        <is>
          <t>Athletics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research</t>
        </is>
      </c>
      <c r="BA416" s="24" t="inlineStr">
        <is>
          <t>dd339a2eed50d7d83ab2127837995ddab82e879afd27f5414bb6c1f9cd60ba4c</t>
        </is>
      </c>
      <c r="BB416" s="24" t="inlineStr">
        <is>
          <t>flat_probability_shrinkage_toward_half</t>
        </is>
      </c>
      <c r="BC416" s="24" t="inlineStr">
        <is>
          <t>measured-edge-margin-v3</t>
        </is>
      </c>
      <c r="BD416" s="24" t="inlineStr">
        <is>
          <t>dd339a2eed50d7d83ab2127837995ddab82e879afd27f5414bb6c1f9cd60ba4c</t>
        </is>
      </c>
      <c r="BE416" s="24" t="inlineStr">
        <is>
          <t>v3</t>
        </is>
      </c>
      <c r="BF416" s="24" t="inlineStr">
        <is>
          <t>1</t>
        </is>
      </c>
      <c r="BG416" s="24" t="inlineStr">
        <is>
          <t>measured-edge-paired-v1</t>
        </is>
      </c>
      <c r="BH416" s="24" t="inlineStr">
        <is>
          <t>2026-08-11T23:02:24.981249Z</t>
        </is>
      </c>
      <c r="BI416" s="24" t="inlineStr">
        <is>
          <t>["same_event","same_team_same_day","same_league_same_day"]</t>
        </is>
      </c>
      <c r="BJ416" s="25" t="n">
        <v>1.5</v>
      </c>
      <c r="BK416" s="26" t="n">
        <v>108</v>
      </c>
      <c r="BL416" s="27" t="n">
        <v>2.08</v>
      </c>
      <c r="BM416" s="28" t="n">
        <v>0.480769</v>
      </c>
      <c r="BN416" s="28" t="n">
        <v>0.477612</v>
      </c>
      <c r="BO416" s="28" t="n"/>
      <c r="BP416" s="25" t="n"/>
      <c r="BQ416" s="27" t="n">
        <v>2.08</v>
      </c>
      <c r="BR416" s="28" t="n">
        <v>0.48</v>
      </c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</row>
    <row r="417" ht="36" customHeight="1">
      <c r="A417" s="24" t="inlineStr">
        <is>
          <t>2ec9e8bfcd544244</t>
        </is>
      </c>
      <c r="B417" s="24" t="inlineStr">
        <is>
          <t>2026-08-11T23:02:24.981249Z</t>
        </is>
      </c>
      <c r="C417" s="24" t="inlineStr">
        <is>
          <t>2026-08-12T01:40Z</t>
        </is>
      </c>
      <c r="D417" s="24" t="inlineStr">
        <is>
          <t>401816492</t>
        </is>
      </c>
      <c r="E417" s="24" t="inlineStr">
        <is>
          <t>MLB</t>
        </is>
      </c>
      <c r="F417" s="24" t="inlineStr">
        <is>
          <t>Tampa Bay Rays</t>
        </is>
      </c>
      <c r="G417" s="24" t="inlineStr">
        <is>
          <t>Athletics</t>
        </is>
      </c>
      <c r="H417" s="24" t="inlineStr">
        <is>
          <t>total</t>
        </is>
      </c>
      <c r="I417" s="24" t="inlineStr">
        <is>
          <t>under</t>
        </is>
      </c>
      <c r="J417" s="25" t="n">
        <v>10.5</v>
      </c>
      <c r="K417" s="24" t="inlineStr">
        <is>
          <t>polymarket_us</t>
        </is>
      </c>
      <c r="L417" s="26" t="n">
        <v>-106</v>
      </c>
      <c r="M417" s="27" t="n">
        <v>1.943396</v>
      </c>
      <c r="N417" s="28" t="n">
        <v>0.514563</v>
      </c>
      <c r="O417" s="28" t="n">
        <v>0.531683</v>
      </c>
      <c r="P417" s="28" t="n">
        <v>0.042131</v>
      </c>
      <c r="Q417" s="28" t="n">
        <v>0.01712</v>
      </c>
      <c r="R417" s="26" t="n">
        <v>34</v>
      </c>
      <c r="S417" s="29" t="n">
        <v>1</v>
      </c>
      <c r="T417" s="24" t="inlineStr">
        <is>
          <t>measured-edge-totals-v3</t>
        </is>
      </c>
      <c r="U417" s="24" t="inlineStr">
        <is>
          <t>settled</t>
        </is>
      </c>
      <c r="V417" s="24" t="inlineStr">
        <is>
          <t>loss</t>
        </is>
      </c>
      <c r="W417" s="26" t="n">
        <v>12</v>
      </c>
      <c r="X417" s="26" t="n">
        <v>4</v>
      </c>
      <c r="Y417" s="25" t="n">
        <v>10.5</v>
      </c>
      <c r="Z417" s="26" t="n">
        <v>-106</v>
      </c>
      <c r="AA417" s="28" t="n">
        <v>0.515</v>
      </c>
      <c r="AB417" s="28" t="n">
        <v>0.000437</v>
      </c>
      <c r="AC417" s="30" t="n">
        <v>-1</v>
      </c>
      <c r="AD417" s="24" t="inlineStr">
        <is>
          <t>2026-08-12T05:11:57.804750Z</t>
        </is>
      </c>
      <c r="AE417" s="31" t="inlineStr">
        <is>
          <t>Measured Edge Totals: Trend Engine projected 5.32-4.37; raw selected-side p=0.6042, calibrated p=0.5317.</t>
        </is>
      </c>
      <c r="AF417" s="31" t="inlineStr">
        <is>
          <t>Research-only; lineup, bullpen, park, weather, xFIP, and wRC+ may be neutral fallbacks; market availability and BBO depth may change before first pitch.</t>
        </is>
      </c>
      <c r="AG417" s="24" t="inlineStr">
        <is>
          <t>review_required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3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mlb-tb</t>
        </is>
      </c>
      <c r="AQ417" s="24" t="inlineStr">
        <is>
          <t>Tampa Bay Rays</t>
        </is>
      </c>
      <c r="AR417" s="24" t="inlineStr">
        <is>
          <t>Tampa Bay Rays</t>
        </is>
      </c>
      <c r="AS417" s="24" t="inlineStr">
        <is>
          <t>mlb-ath</t>
        </is>
      </c>
      <c r="AT417" s="24" t="inlineStr">
        <is>
          <t>Athletics</t>
        </is>
      </c>
      <c r="AU417" s="24" t="inlineStr">
        <is>
          <t>Athletics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research</t>
        </is>
      </c>
      <c r="BA417" s="24" t="inlineStr">
        <is>
          <t>95b84332c75d2ce54036eb8de6ada9c78d0f80228c50825c0347281a8b9b49c7</t>
        </is>
      </c>
      <c r="BB417" s="24" t="inlineStr">
        <is>
          <t>flat_probability_shrinkage_toward_half</t>
        </is>
      </c>
      <c r="BC417" s="24" t="inlineStr">
        <is>
          <t>measured-edge-totals-v3</t>
        </is>
      </c>
      <c r="BD417" s="24" t="inlineStr">
        <is>
          <t>95b84332c75d2ce54036eb8de6ada9c78d0f80228c50825c0347281a8b9b49c7</t>
        </is>
      </c>
      <c r="BE417" s="24" t="inlineStr">
        <is>
          <t>v3</t>
        </is>
      </c>
      <c r="BF417" s="24" t="inlineStr">
        <is>
          <t>1</t>
        </is>
      </c>
      <c r="BG417" s="24" t="inlineStr">
        <is>
          <t>measured-edge-paired-v1</t>
        </is>
      </c>
      <c r="BH417" s="24" t="inlineStr">
        <is>
          <t>2026-08-11T23:02:24.981249Z</t>
        </is>
      </c>
      <c r="BI417" s="24" t="inlineStr">
        <is>
          <t>["same_event","same_team_same_day","same_league_same_day"]</t>
        </is>
      </c>
      <c r="BJ417" s="25" t="n">
        <v>10.5</v>
      </c>
      <c r="BK417" s="26" t="n">
        <v>-106</v>
      </c>
      <c r="BL417" s="27" t="n">
        <v>1.943396</v>
      </c>
      <c r="BM417" s="28" t="n">
        <v>0.514563</v>
      </c>
      <c r="BN417" s="28" t="n">
        <v>0.5124379999999999</v>
      </c>
      <c r="BO417" s="28" t="n"/>
      <c r="BP417" s="25" t="n"/>
      <c r="BQ417" s="27" t="n">
        <v>1.943396</v>
      </c>
      <c r="BR417" s="28" t="n">
        <v>0.515</v>
      </c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</row>
    <row r="418" ht="36" customHeight="1">
      <c r="A418" s="24" t="inlineStr">
        <is>
          <t>4c9aa8524df74d69</t>
        </is>
      </c>
      <c r="B418" s="24" t="inlineStr">
        <is>
          <t>2026-08-11T23:02:24.981249Z</t>
        </is>
      </c>
      <c r="C418" s="24" t="inlineStr">
        <is>
          <t>2026-08-12T01:45Z</t>
        </is>
      </c>
      <c r="D418" s="24" t="inlineStr">
        <is>
          <t>401816489</t>
        </is>
      </c>
      <c r="E418" s="24" t="inlineStr">
        <is>
          <t>MLB</t>
        </is>
      </c>
      <c r="F418" s="24" t="inlineStr">
        <is>
          <t>Houston Astros</t>
        </is>
      </c>
      <c r="G418" s="24" t="inlineStr">
        <is>
          <t>San Francisco Giants</t>
        </is>
      </c>
      <c r="H418" s="24" t="inlineStr">
        <is>
          <t>spread</t>
        </is>
      </c>
      <c r="I418" s="24" t="inlineStr">
        <is>
          <t>home</t>
        </is>
      </c>
      <c r="J418" s="25" t="n">
        <v>1.5</v>
      </c>
      <c r="K418" s="24" t="inlineStr">
        <is>
          <t>polymarket_us</t>
        </is>
      </c>
      <c r="L418" s="26" t="n">
        <v>104</v>
      </c>
      <c r="M418" s="27" t="n">
        <v>2.04</v>
      </c>
      <c r="N418" s="28" t="n">
        <v>0.490196</v>
      </c>
      <c r="O418" s="28" t="n">
        <v>0.566879</v>
      </c>
      <c r="P418" s="28" t="n">
        <v>0.05172</v>
      </c>
      <c r="Q418" s="28" t="n">
        <v>0.076683</v>
      </c>
      <c r="R418" s="26" t="n">
        <v>59</v>
      </c>
      <c r="S418" s="29" t="n">
        <v>1</v>
      </c>
      <c r="T418" s="24" t="inlineStr">
        <is>
          <t>measured-edge-margin-v3</t>
        </is>
      </c>
      <c r="U418" s="24" t="inlineStr">
        <is>
          <t>settled</t>
        </is>
      </c>
      <c r="V418" s="24" t="inlineStr">
        <is>
          <t>win</t>
        </is>
      </c>
      <c r="W418" s="26" t="n">
        <v>1</v>
      </c>
      <c r="X418" s="26" t="n">
        <v>4</v>
      </c>
      <c r="Y418" s="25" t="n">
        <v>1.5</v>
      </c>
      <c r="Z418" s="26" t="n">
        <v>104</v>
      </c>
      <c r="AA418" s="28" t="n">
        <v>0.49</v>
      </c>
      <c r="AB418" s="28" t="n">
        <v>-0.000196</v>
      </c>
      <c r="AC418" s="30" t="n">
        <v>1.04</v>
      </c>
      <c r="AD418" s="24" t="inlineStr">
        <is>
          <t>2026-08-12T05:11:59.402997Z</t>
        </is>
      </c>
      <c r="AE418" s="31" t="inlineStr">
        <is>
          <t>Measured Edge Margin: Trend Engine projected 5.08-4.36; raw selected-side p=0.5981, calibrated p=0.5669.</t>
        </is>
      </c>
      <c r="AF418" s="31" t="inlineStr">
        <is>
          <t>Research-only; lineup, bullpen, park, weather, xFIP, and wRC+ may be neutral fallbacks; market availability and BBO depth may change before first pitch.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3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mlb-hou</t>
        </is>
      </c>
      <c r="AQ418" s="24" t="inlineStr">
        <is>
          <t>Houston Astros</t>
        </is>
      </c>
      <c r="AR418" s="24" t="inlineStr">
        <is>
          <t>Houston Astros</t>
        </is>
      </c>
      <c r="AS418" s="24" t="inlineStr">
        <is>
          <t>mlb-sf</t>
        </is>
      </c>
      <c r="AT418" s="24" t="inlineStr">
        <is>
          <t>San Francisco Giants</t>
        </is>
      </c>
      <c r="AU418" s="24" t="inlineStr">
        <is>
          <t>San Francisco Giants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research</t>
        </is>
      </c>
      <c r="BA418" s="24" t="inlineStr">
        <is>
          <t>dd339a2eed50d7d83ab2127837995ddab82e879afd27f5414bb6c1f9cd60ba4c</t>
        </is>
      </c>
      <c r="BB418" s="24" t="inlineStr">
        <is>
          <t>flat_probability_shrinkage_toward_half</t>
        </is>
      </c>
      <c r="BC418" s="24" t="inlineStr">
        <is>
          <t>measured-edge-margin-v3</t>
        </is>
      </c>
      <c r="BD418" s="24" t="inlineStr">
        <is>
          <t>dd339a2eed50d7d83ab2127837995ddab82e879afd27f5414bb6c1f9cd60ba4c</t>
        </is>
      </c>
      <c r="BE418" s="24" t="inlineStr">
        <is>
          <t>v3</t>
        </is>
      </c>
      <c r="BF418" s="24" t="inlineStr">
        <is>
          <t>1</t>
        </is>
      </c>
      <c r="BG418" s="24" t="inlineStr">
        <is>
          <t>measured-edge-paired-v1</t>
        </is>
      </c>
      <c r="BH418" s="24" t="inlineStr">
        <is>
          <t>2026-08-11T23:02:24.981249Z</t>
        </is>
      </c>
      <c r="BI418" s="24" t="inlineStr">
        <is>
          <t>["same_event","same_team_same_day","same_league_same_day"]</t>
        </is>
      </c>
      <c r="BJ418" s="25" t="n">
        <v>1.5</v>
      </c>
      <c r="BK418" s="26" t="n">
        <v>104</v>
      </c>
      <c r="BL418" s="27" t="n">
        <v>2.04</v>
      </c>
      <c r="BM418" s="28" t="n">
        <v>0.490196</v>
      </c>
      <c r="BN418" s="28" t="n">
        <v>0.487562</v>
      </c>
      <c r="BO418" s="28" t="n"/>
      <c r="BP418" s="25" t="n"/>
      <c r="BQ418" s="27" t="n">
        <v>2.04</v>
      </c>
      <c r="BR418" s="28" t="n">
        <v>0.49</v>
      </c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</row>
    <row r="419" ht="36" customHeight="1">
      <c r="A419" s="24" t="inlineStr">
        <is>
          <t>de64a07710a9497e</t>
        </is>
      </c>
      <c r="B419" s="24" t="inlineStr">
        <is>
          <t>2026-08-11T23:02:24.981249Z</t>
        </is>
      </c>
      <c r="C419" s="24" t="inlineStr">
        <is>
          <t>2026-08-12T01:45Z</t>
        </is>
      </c>
      <c r="D419" s="24" t="inlineStr">
        <is>
          <t>401816489</t>
        </is>
      </c>
      <c r="E419" s="24" t="inlineStr">
        <is>
          <t>MLB</t>
        </is>
      </c>
      <c r="F419" s="24" t="inlineStr">
        <is>
          <t>Houston Astros</t>
        </is>
      </c>
      <c r="G419" s="24" t="inlineStr">
        <is>
          <t>San Francisco Giants</t>
        </is>
      </c>
      <c r="H419" s="24" t="inlineStr">
        <is>
          <t>total</t>
        </is>
      </c>
      <c r="I419" s="24" t="inlineStr">
        <is>
          <t>over</t>
        </is>
      </c>
      <c r="J419" s="25" t="n">
        <v>8.5</v>
      </c>
      <c r="K419" s="24" t="inlineStr">
        <is>
          <t>polymarket_us</t>
        </is>
      </c>
      <c r="L419" s="26" t="n">
        <v>117</v>
      </c>
      <c r="M419" s="27" t="n">
        <v>2.17</v>
      </c>
      <c r="N419" s="28" t="n">
        <v>0.460829</v>
      </c>
      <c r="O419" s="28" t="n">
        <v>0.5180090000000001</v>
      </c>
      <c r="P419" s="28" t="n">
        <v>0.05172</v>
      </c>
      <c r="Q419" s="28" t="n">
        <v>0.05718</v>
      </c>
      <c r="R419" s="26" t="n">
        <v>49</v>
      </c>
      <c r="S419" s="29" t="n">
        <v>1</v>
      </c>
      <c r="T419" s="24" t="inlineStr">
        <is>
          <t>measured-edge-totals-v3</t>
        </is>
      </c>
      <c r="U419" s="24" t="inlineStr">
        <is>
          <t>settled</t>
        </is>
      </c>
      <c r="V419" s="24" t="inlineStr">
        <is>
          <t>loss</t>
        </is>
      </c>
      <c r="W419" s="26" t="n">
        <v>1</v>
      </c>
      <c r="X419" s="26" t="n">
        <v>4</v>
      </c>
      <c r="Y419" s="25" t="n">
        <v>8.5</v>
      </c>
      <c r="Z419" s="26" t="n">
        <v>117</v>
      </c>
      <c r="AA419" s="28" t="n">
        <v>0.46</v>
      </c>
      <c r="AB419" s="28" t="n">
        <v>-0.000829</v>
      </c>
      <c r="AC419" s="30" t="n">
        <v>-1</v>
      </c>
      <c r="AD419" s="24" t="inlineStr">
        <is>
          <t>2026-08-12T05:12:01.095656Z</t>
        </is>
      </c>
      <c r="AE419" s="31" t="inlineStr">
        <is>
          <t>Measured Edge Totals: Trend Engine projected 5.08-4.36; raw selected-side p=0.5492, calibrated p=0.5180.</t>
        </is>
      </c>
      <c r="AF419" s="31" t="inlineStr">
        <is>
          <t>Research-only; lineup, bullpen, park, weather, xFIP, and wRC+ may be neutral fallbacks; market availability and BBO depth may change before first pitch.</t>
        </is>
      </c>
      <c r="AG419" s="24" t="inlineStr">
        <is>
          <t>review_required</t>
        </is>
      </c>
      <c r="AH419" s="24" t="n"/>
      <c r="AI419" s="31" t="n"/>
      <c r="AJ419" s="31" t="n"/>
      <c r="AK419" s="24" t="inlineStr">
        <is>
          <t>model_qualified</t>
        </is>
      </c>
      <c r="AL419" s="26" t="n">
        <v>3</v>
      </c>
      <c r="AM419" s="24" t="inlineStr">
        <is>
          <t>QUALIFIED_SHADOW_CALL</t>
        </is>
      </c>
      <c r="AN419" s="24" t="inlineStr">
        <is>
          <t>CALL</t>
        </is>
      </c>
      <c r="AO419" s="24" t="inlineStr">
        <is>
          <t>QUALIFIED</t>
        </is>
      </c>
      <c r="AP419" s="24" t="inlineStr">
        <is>
          <t>mlb-hou</t>
        </is>
      </c>
      <c r="AQ419" s="24" t="inlineStr">
        <is>
          <t>Houston Astros</t>
        </is>
      </c>
      <c r="AR419" s="24" t="inlineStr">
        <is>
          <t>Houston Astros</t>
        </is>
      </c>
      <c r="AS419" s="24" t="inlineStr">
        <is>
          <t>mlb-sf</t>
        </is>
      </c>
      <c r="AT419" s="24" t="inlineStr">
        <is>
          <t>San Francisco Giants</t>
        </is>
      </c>
      <c r="AU419" s="24" t="inlineStr">
        <is>
          <t>San Francisco Giants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research</t>
        </is>
      </c>
      <c r="BA419" s="24" t="inlineStr">
        <is>
          <t>95b84332c75d2ce54036eb8de6ada9c78d0f80228c50825c0347281a8b9b49c7</t>
        </is>
      </c>
      <c r="BB419" s="24" t="inlineStr">
        <is>
          <t>flat_probability_shrinkage_toward_half</t>
        </is>
      </c>
      <c r="BC419" s="24" t="inlineStr">
        <is>
          <t>measured-edge-totals-v3</t>
        </is>
      </c>
      <c r="BD419" s="24" t="inlineStr">
        <is>
          <t>95b84332c75d2ce54036eb8de6ada9c78d0f80228c50825c0347281a8b9b49c7</t>
        </is>
      </c>
      <c r="BE419" s="24" t="inlineStr">
        <is>
          <t>v3</t>
        </is>
      </c>
      <c r="BF419" s="24" t="inlineStr">
        <is>
          <t>1</t>
        </is>
      </c>
      <c r="BG419" s="24" t="inlineStr">
        <is>
          <t>measured-edge-paired-v1</t>
        </is>
      </c>
      <c r="BH419" s="24" t="inlineStr">
        <is>
          <t>2026-08-11T23:02:24.981249Z</t>
        </is>
      </c>
      <c r="BI419" s="24" t="inlineStr">
        <is>
          <t>["same_event","same_team_same_day","same_league_same_day"]</t>
        </is>
      </c>
      <c r="BJ419" s="25" t="n">
        <v>8.5</v>
      </c>
      <c r="BK419" s="26" t="n">
        <v>117</v>
      </c>
      <c r="BL419" s="27" t="n">
        <v>2.17</v>
      </c>
      <c r="BM419" s="28" t="n">
        <v>0.460829</v>
      </c>
      <c r="BN419" s="28" t="n">
        <v>0.457711</v>
      </c>
      <c r="BO419" s="28" t="n"/>
      <c r="BP419" s="25" t="n"/>
      <c r="BQ419" s="27" t="n">
        <v>2.17</v>
      </c>
      <c r="BR419" s="28" t="n">
        <v>0.46</v>
      </c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True</t>
        </is>
      </c>
    </row>
    <row r="420" ht="36" customHeight="1">
      <c r="A420" s="24" t="inlineStr">
        <is>
          <t>0eec0516273b4706</t>
        </is>
      </c>
      <c r="B420" s="24" t="inlineStr">
        <is>
          <t>2026-08-12T02:07:28.896569Z</t>
        </is>
      </c>
      <c r="C420" s="24" t="inlineStr">
        <is>
          <t>2026-08-11T22:10:00-0400</t>
        </is>
      </c>
      <c r="D420" s="24" t="inlineStr">
        <is>
          <t>401816490</t>
        </is>
      </c>
      <c r="E420" s="24" t="inlineStr">
        <is>
          <t>MLB</t>
        </is>
      </c>
      <c r="F420" s="24" t="inlineStr">
        <is>
          <t>Kansas City Royals</t>
        </is>
      </c>
      <c r="G420" s="24" t="inlineStr">
        <is>
          <t>Los Angeles Dodgers</t>
        </is>
      </c>
      <c r="H420" s="24" t="inlineStr">
        <is>
          <t>moneyline</t>
        </is>
      </c>
      <c r="I420" s="24" t="inlineStr">
        <is>
          <t>home</t>
        </is>
      </c>
      <c r="J420" s="25" t="n"/>
      <c r="K420" s="24" t="inlineStr">
        <is>
          <t>polymarket_us</t>
        </is>
      </c>
      <c r="L420" s="26" t="n">
        <v>-251</v>
      </c>
      <c r="M420" s="27" t="n">
        <v>1.398406</v>
      </c>
      <c r="N420" s="28" t="n">
        <v>0.7151</v>
      </c>
      <c r="O420" s="28" t="n">
        <v>0.613657</v>
      </c>
      <c r="P420" s="28" t="n"/>
      <c r="Q420" s="28" t="n">
        <v>-0.101443</v>
      </c>
      <c r="R420" s="26" t="n">
        <v>0</v>
      </c>
      <c r="S420" s="29" t="n">
        <v>0</v>
      </c>
      <c r="T420" s="24" t="inlineStr">
        <is>
          <t>mlb-elo-trend-lr-v8</t>
        </is>
      </c>
      <c r="U420" s="24" t="inlineStr">
        <is>
          <t>settled</t>
        </is>
      </c>
      <c r="V420" s="24" t="inlineStr">
        <is>
          <t>win</t>
        </is>
      </c>
      <c r="W420" s="26" t="n">
        <v>4</v>
      </c>
      <c r="X420" s="26" t="n">
        <v>5</v>
      </c>
      <c r="Y420" s="25" t="n"/>
      <c r="Z420" s="26" t="n">
        <v>-251</v>
      </c>
      <c r="AA420" s="28" t="n">
        <v>0.715</v>
      </c>
      <c r="AB420" s="28" t="n">
        <v>-0.0001</v>
      </c>
      <c r="AC420" s="30" t="n">
        <v>0</v>
      </c>
      <c r="AD420" s="24" t="inlineStr">
        <is>
          <t>2026-08-12T05:12:02.787652Z</t>
        </is>
      </c>
      <c r="AE420" s="31" t="inlineStr">
        <is>
          <t>Learned LR call at threshold 0.6197; executable ask 0.7150 (aec-mlb-kc-lad-2026-08-11); model edge vs ask -0.1013.</t>
        </is>
      </c>
      <c r="AF420" s="31" t="inlineStr">
        <is>
          <t>Learned model; shadow-qualified via operator override.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research_observation</t>
        </is>
      </c>
      <c r="AL420" s="26" t="n">
        <v>3</v>
      </c>
      <c r="AM420" s="24" t="inlineStr">
        <is>
          <t>RESEARCH_OBSERVATION</t>
        </is>
      </c>
      <c r="AN420" s="24" t="inlineStr">
        <is>
          <t>NO_CALL</t>
        </is>
      </c>
      <c r="AO420" s="24" t="inlineStr">
        <is>
          <t>NO_CALL_BELOW_LEARNED_CONFIDENCE</t>
        </is>
      </c>
      <c r="AP420" s="24" t="inlineStr">
        <is>
          <t>mlb-kc</t>
        </is>
      </c>
      <c r="AQ420" s="24" t="inlineStr">
        <is>
          <t>Kansas City Royals</t>
        </is>
      </c>
      <c r="AR420" s="24" t="inlineStr">
        <is>
          <t>Kansas City Royals</t>
        </is>
      </c>
      <c r="AS420" s="24" t="inlineStr">
        <is>
          <t>mlb-lad</t>
        </is>
      </c>
      <c r="AT420" s="24" t="inlineStr">
        <is>
          <t>Los Angeles Dodgers</t>
        </is>
      </c>
      <c r="AU420" s="24" t="inlineStr">
        <is>
          <t>Los Angeles Dodgers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3b345499bd6bad9bcf65367a07fe0c668fb5817d4f016a0a865c01d9212fdeb8</t>
        </is>
      </c>
      <c r="BB420" s="24" t="inlineStr">
        <is>
          <t>learned_lr</t>
        </is>
      </c>
      <c r="BC420" s="24" t="inlineStr">
        <is>
          <t>mlb-elo-trend-lr-v8</t>
        </is>
      </c>
      <c r="BD420" s="24" t="inlineStr">
        <is>
          <t>3b345499bd6bad9bcf65367a07fe0c668fb5817d4f016a0a865c01d9212fdeb8</t>
        </is>
      </c>
      <c r="BE420" s="24" t="inlineStr">
        <is>
          <t>a76bef181fdf80b9</t>
        </is>
      </c>
      <c r="BF420" s="24" t="inlineStr">
        <is>
          <t>1</t>
        </is>
      </c>
      <c r="BG420" s="24" t="inlineStr">
        <is>
          <t>mlb-elo-trend-lr-v8</t>
        </is>
      </c>
      <c r="BH420" s="24" t="inlineStr">
        <is>
          <t>2026-08-12T02:07:06.714710Z</t>
        </is>
      </c>
      <c r="BI420" s="24" t="inlineStr">
        <is>
          <t>["same_event","same_team_same_day","same_league_same_day"]</t>
        </is>
      </c>
      <c r="BJ420" s="25" t="n"/>
      <c r="BK420" s="26" t="n">
        <v>-251</v>
      </c>
      <c r="BL420" s="27" t="n">
        <v>1.398406</v>
      </c>
      <c r="BM420" s="28" t="n">
        <v>0.7151</v>
      </c>
      <c r="BN420" s="28" t="n">
        <v>0.711443</v>
      </c>
      <c r="BO420" s="28" t="n"/>
      <c r="BP420" s="25" t="n"/>
      <c r="BQ420" s="27" t="n">
        <v>1.398406</v>
      </c>
      <c r="BR420" s="28" t="n">
        <v>0.715</v>
      </c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inlineStr">
        <is>
          <t>0.6712001023</t>
        </is>
      </c>
      <c r="CD420" s="24" t="inlineStr">
        <is>
          <t>-0.436243</t>
        </is>
      </c>
      <c r="CE420" s="24" t="inlineStr">
        <is>
          <t>1.026</t>
        </is>
      </c>
      <c r="CF420" s="24" t="inlineStr">
        <is>
          <t>1.006</t>
        </is>
      </c>
      <c r="CG420" s="24" t="n"/>
      <c r="CH420" s="24" t="n"/>
      <c r="CI420" s="24" t="n"/>
      <c r="CJ420" s="24" t="inlineStr">
        <is>
          <t>-0.519805</t>
        </is>
      </c>
      <c r="CK420" s="24" t="n"/>
      <c r="CL420" s="24" t="inlineStr">
        <is>
          <t>-0.586871</t>
        </is>
      </c>
      <c r="CM420" s="24" t="inlineStr">
        <is>
          <t>-0.4409</t>
        </is>
      </c>
      <c r="CN420" s="24" t="n"/>
      <c r="CO420" s="24" t="n"/>
      <c r="CP420" s="24" t="n"/>
      <c r="CQ420" s="24" t="n"/>
      <c r="CR420" s="24" t="inlineStr">
        <is>
          <t>0.613657</t>
        </is>
      </c>
      <c r="CS420" s="24" t="inlineStr">
        <is>
          <t>False</t>
        </is>
      </c>
    </row>
    <row r="421" ht="36" customHeight="1">
      <c r="A421" s="24" t="inlineStr">
        <is>
          <t>ba2d0c30a4324512</t>
        </is>
      </c>
      <c r="B421" s="24" t="inlineStr">
        <is>
          <t>2026-08-12T02:07:38.001696Z</t>
        </is>
      </c>
      <c r="C421" s="24" t="inlineStr">
        <is>
          <t>2026-08-12T02:10Z</t>
        </is>
      </c>
      <c r="D421" s="24" t="inlineStr">
        <is>
          <t>401816490</t>
        </is>
      </c>
      <c r="E421" s="24" t="inlineStr">
        <is>
          <t>MLB</t>
        </is>
      </c>
      <c r="F421" s="24" t="inlineStr">
        <is>
          <t>Kansas City Royals</t>
        </is>
      </c>
      <c r="G421" s="24" t="inlineStr">
        <is>
          <t>Los Angeles Dodgers</t>
        </is>
      </c>
      <c r="H421" s="24" t="inlineStr">
        <is>
          <t>spread</t>
        </is>
      </c>
      <c r="I421" s="24" t="inlineStr">
        <is>
          <t>away</t>
        </is>
      </c>
      <c r="J421" s="25" t="n">
        <v>1.5</v>
      </c>
      <c r="K421" s="24" t="inlineStr">
        <is>
          <t>polymarket_us</t>
        </is>
      </c>
      <c r="L421" s="26" t="n">
        <v>117</v>
      </c>
      <c r="M421" s="27" t="n">
        <v>2.17</v>
      </c>
      <c r="N421" s="28" t="n">
        <v>0.460829</v>
      </c>
      <c r="O421" s="28" t="n">
        <v>0.644184</v>
      </c>
      <c r="P421" s="28" t="n">
        <v>0.05172</v>
      </c>
      <c r="Q421" s="28" t="n">
        <v>0.183355</v>
      </c>
      <c r="R421" s="26" t="n">
        <v>100</v>
      </c>
      <c r="S421" s="29" t="n">
        <v>1.5</v>
      </c>
      <c r="T421" s="24" t="inlineStr">
        <is>
          <t>measured-edge-margin-v3</t>
        </is>
      </c>
      <c r="U421" s="24" t="inlineStr">
        <is>
          <t>settled</t>
        </is>
      </c>
      <c r="V421" s="24" t="inlineStr">
        <is>
          <t>win</t>
        </is>
      </c>
      <c r="W421" s="26" t="n">
        <v>4</v>
      </c>
      <c r="X421" s="26" t="n">
        <v>5</v>
      </c>
      <c r="Y421" s="25" t="n">
        <v>1.5</v>
      </c>
      <c r="Z421" s="26" t="n">
        <v>117</v>
      </c>
      <c r="AA421" s="28" t="n">
        <v>0.46</v>
      </c>
      <c r="AB421" s="28" t="n">
        <v>-0.000829</v>
      </c>
      <c r="AC421" s="30" t="n">
        <v>1.755</v>
      </c>
      <c r="AD421" s="24" t="inlineStr">
        <is>
          <t>2026-08-12T05:12:04.471592Z</t>
        </is>
      </c>
      <c r="AE421" s="31" t="inlineStr">
        <is>
          <t>Measured Edge Margin: Trend Engine projected 4.86-4.36; raw selected-side p=0.7116, calibrated p=0.6442.</t>
        </is>
      </c>
      <c r="AF421" s="31" t="inlineStr">
        <is>
          <t>Research-only; lineup, bullpen, park, weather, xFIP, and wRC+ may be neutral fallbacks; market availability and BBO depth may change before first pitch.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3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mlb-kc</t>
        </is>
      </c>
      <c r="AQ421" s="24" t="inlineStr">
        <is>
          <t>Kansas City Royals</t>
        </is>
      </c>
      <c r="AR421" s="24" t="inlineStr">
        <is>
          <t>Kansas City Royals</t>
        </is>
      </c>
      <c r="AS421" s="24" t="inlineStr">
        <is>
          <t>mlb-lad</t>
        </is>
      </c>
      <c r="AT421" s="24" t="inlineStr">
        <is>
          <t>Los Angeles Dodgers</t>
        </is>
      </c>
      <c r="AU421" s="24" t="inlineStr">
        <is>
          <t>Los Angeles Dodgers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research</t>
        </is>
      </c>
      <c r="BA421" s="24" t="inlineStr">
        <is>
          <t>dd339a2eed50d7d83ab2127837995ddab82e879afd27f5414bb6c1f9cd60ba4c</t>
        </is>
      </c>
      <c r="BB421" s="24" t="inlineStr">
        <is>
          <t>flat_probability_shrinkage_toward_half</t>
        </is>
      </c>
      <c r="BC421" s="24" t="inlineStr">
        <is>
          <t>measured-edge-margin-v3</t>
        </is>
      </c>
      <c r="BD421" s="24" t="inlineStr">
        <is>
          <t>dd339a2eed50d7d83ab2127837995ddab82e879afd27f5414bb6c1f9cd60ba4c</t>
        </is>
      </c>
      <c r="BE421" s="24" t="inlineStr">
        <is>
          <t>v3</t>
        </is>
      </c>
      <c r="BF421" s="24" t="inlineStr">
        <is>
          <t>1</t>
        </is>
      </c>
      <c r="BG421" s="24" t="inlineStr">
        <is>
          <t>measured-edge-paired-v1</t>
        </is>
      </c>
      <c r="BH421" s="24" t="inlineStr">
        <is>
          <t>2026-08-12T02:07:38.001696Z</t>
        </is>
      </c>
      <c r="BI421" s="24" t="inlineStr">
        <is>
          <t>["same_event","same_team_same_day","same_league_same_day"]</t>
        </is>
      </c>
      <c r="BJ421" s="25" t="n">
        <v>1.5</v>
      </c>
      <c r="BK421" s="26" t="n">
        <v>117</v>
      </c>
      <c r="BL421" s="27" t="n">
        <v>2.17</v>
      </c>
      <c r="BM421" s="28" t="n">
        <v>0.460829</v>
      </c>
      <c r="BN421" s="28" t="n">
        <v>0.457711</v>
      </c>
      <c r="BO421" s="28" t="n"/>
      <c r="BP421" s="25" t="n"/>
      <c r="BQ421" s="27" t="n">
        <v>2.17</v>
      </c>
      <c r="BR421" s="28" t="n">
        <v>0.46</v>
      </c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</row>
    <row r="422" ht="36" customHeight="1">
      <c r="A422" s="24" t="inlineStr">
        <is>
          <t>9077c2c067394c17</t>
        </is>
      </c>
      <c r="B422" s="24" t="inlineStr">
        <is>
          <t>2026-08-12T02:07:38.001696Z</t>
        </is>
      </c>
      <c r="C422" s="24" t="inlineStr">
        <is>
          <t>2026-08-12T02:10Z</t>
        </is>
      </c>
      <c r="D422" s="24" t="inlineStr">
        <is>
          <t>401816490</t>
        </is>
      </c>
      <c r="E422" s="24" t="inlineStr">
        <is>
          <t>MLB</t>
        </is>
      </c>
      <c r="F422" s="24" t="inlineStr">
        <is>
          <t>Kansas City Royals</t>
        </is>
      </c>
      <c r="G422" s="24" t="inlineStr">
        <is>
          <t>Los Angeles Dodgers</t>
        </is>
      </c>
      <c r="H422" s="24" t="inlineStr">
        <is>
          <t>total</t>
        </is>
      </c>
      <c r="I422" s="24" t="inlineStr">
        <is>
          <t>over</t>
        </is>
      </c>
      <c r="J422" s="25" t="n">
        <v>8.5</v>
      </c>
      <c r="K422" s="24" t="inlineStr">
        <is>
          <t>polymarket_us</t>
        </is>
      </c>
      <c r="L422" s="26" t="n">
        <v>108</v>
      </c>
      <c r="M422" s="27" t="n">
        <v>2.08</v>
      </c>
      <c r="N422" s="28" t="n">
        <v>0.480769</v>
      </c>
      <c r="O422" s="28" t="n">
        <v>0.51437</v>
      </c>
      <c r="P422" s="28" t="n">
        <v>0.05172</v>
      </c>
      <c r="Q422" s="28" t="n">
        <v>0.033601</v>
      </c>
      <c r="R422" s="26" t="n">
        <v>37</v>
      </c>
      <c r="S422" s="29" t="n">
        <v>1</v>
      </c>
      <c r="T422" s="24" t="inlineStr">
        <is>
          <t>measured-edge-totals-v3</t>
        </is>
      </c>
      <c r="U422" s="24" t="inlineStr">
        <is>
          <t>settled</t>
        </is>
      </c>
      <c r="V422" s="24" t="inlineStr">
        <is>
          <t>win</t>
        </is>
      </c>
      <c r="W422" s="26" t="n">
        <v>4</v>
      </c>
      <c r="X422" s="26" t="n">
        <v>5</v>
      </c>
      <c r="Y422" s="25" t="n">
        <v>8.5</v>
      </c>
      <c r="Z422" s="26" t="n">
        <v>108</v>
      </c>
      <c r="AA422" s="28" t="n">
        <v>0.48</v>
      </c>
      <c r="AB422" s="28" t="n">
        <v>-0.000769</v>
      </c>
      <c r="AC422" s="30" t="n">
        <v>1.08</v>
      </c>
      <c r="AD422" s="24" t="inlineStr">
        <is>
          <t>2026-08-12T05:12:06.071128Z</t>
        </is>
      </c>
      <c r="AE422" s="31" t="inlineStr">
        <is>
          <t>Measured Edge Totals: Trend Engine projected 4.86-4.36; raw selected-side p=0.5345, calibrated p=0.5144.</t>
        </is>
      </c>
      <c r="AF422" s="31" t="inlineStr">
        <is>
          <t>Research-only; lineup, bullpen, park, weather, xFIP, and wRC+ may be neutral fallbacks; market availability and BBO depth may change before first pitch.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3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mlb-kc</t>
        </is>
      </c>
      <c r="AQ422" s="24" t="inlineStr">
        <is>
          <t>Kansas City Royals</t>
        </is>
      </c>
      <c r="AR422" s="24" t="inlineStr">
        <is>
          <t>Kansas City Royals</t>
        </is>
      </c>
      <c r="AS422" s="24" t="inlineStr">
        <is>
          <t>mlb-lad</t>
        </is>
      </c>
      <c r="AT422" s="24" t="inlineStr">
        <is>
          <t>Los Angeles Dodgers</t>
        </is>
      </c>
      <c r="AU422" s="24" t="inlineStr">
        <is>
          <t>Los Angeles Dodgers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research</t>
        </is>
      </c>
      <c r="BA422" s="24" t="inlineStr">
        <is>
          <t>95b84332c75d2ce54036eb8de6ada9c78d0f80228c50825c0347281a8b9b49c7</t>
        </is>
      </c>
      <c r="BB422" s="24" t="inlineStr">
        <is>
          <t>flat_probability_shrinkage_toward_half</t>
        </is>
      </c>
      <c r="BC422" s="24" t="inlineStr">
        <is>
          <t>measured-edge-totals-v3</t>
        </is>
      </c>
      <c r="BD422" s="24" t="inlineStr">
        <is>
          <t>95b84332c75d2ce54036eb8de6ada9c78d0f80228c50825c0347281a8b9b49c7</t>
        </is>
      </c>
      <c r="BE422" s="24" t="inlineStr">
        <is>
          <t>v3</t>
        </is>
      </c>
      <c r="BF422" s="24" t="inlineStr">
        <is>
          <t>1</t>
        </is>
      </c>
      <c r="BG422" s="24" t="inlineStr">
        <is>
          <t>measured-edge-paired-v1</t>
        </is>
      </c>
      <c r="BH422" s="24" t="inlineStr">
        <is>
          <t>2026-08-12T02:07:38.001696Z</t>
        </is>
      </c>
      <c r="BI422" s="24" t="inlineStr">
        <is>
          <t>["same_event","same_team_same_day","same_league_same_day"]</t>
        </is>
      </c>
      <c r="BJ422" s="25" t="n">
        <v>8.5</v>
      </c>
      <c r="BK422" s="26" t="n">
        <v>108</v>
      </c>
      <c r="BL422" s="27" t="n">
        <v>2.08</v>
      </c>
      <c r="BM422" s="28" t="n">
        <v>0.480769</v>
      </c>
      <c r="BN422" s="28" t="n">
        <v>0.477612</v>
      </c>
      <c r="BO422" s="28" t="n"/>
      <c r="BP422" s="25" t="n"/>
      <c r="BQ422" s="27" t="n">
        <v>2.08</v>
      </c>
      <c r="BR422" s="28" t="n">
        <v>0.48</v>
      </c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</row>
    <row r="423" ht="36" customHeight="1">
      <c r="A423" s="24" t="inlineStr">
        <is>
          <t>6647aa140b854225</t>
        </is>
      </c>
      <c r="B423" s="24" t="inlineStr">
        <is>
          <t>2026-08-12T16:42:54.442145Z</t>
        </is>
      </c>
      <c r="C423" s="24" t="inlineStr">
        <is>
          <t>2026-08-12T13:40:00-0400</t>
        </is>
      </c>
      <c r="D423" s="24" t="inlineStr">
        <is>
          <t>401816500</t>
        </is>
      </c>
      <c r="E423" s="24" t="inlineStr">
        <is>
          <t>MLB</t>
        </is>
      </c>
      <c r="F423" s="24" t="inlineStr">
        <is>
          <t>Baltimore Orioles</t>
        </is>
      </c>
      <c r="G423" s="24" t="inlineStr">
        <is>
          <t>Minnesota Twins</t>
        </is>
      </c>
      <c r="H423" s="24" t="inlineStr">
        <is>
          <t>moneyline</t>
        </is>
      </c>
      <c r="I423" s="24" t="inlineStr">
        <is>
          <t>away</t>
        </is>
      </c>
      <c r="J423" s="25" t="n"/>
      <c r="K423" s="24" t="inlineStr">
        <is>
          <t>polymarket_us</t>
        </is>
      </c>
      <c r="L423" s="26" t="n">
        <v>100</v>
      </c>
      <c r="M423" s="27" t="n">
        <v>2</v>
      </c>
      <c r="N423" s="28" t="n">
        <v>0.5</v>
      </c>
      <c r="O423" s="28" t="n">
        <v>0.525494</v>
      </c>
      <c r="P423" s="28" t="n"/>
      <c r="Q423" s="28" t="n">
        <v>0.025494</v>
      </c>
      <c r="R423" s="26" t="n">
        <v>34</v>
      </c>
      <c r="S423" s="29" t="n">
        <v>0</v>
      </c>
      <c r="T423" s="24" t="inlineStr">
        <is>
          <t>mlb-elo-trend-lr-v8</t>
        </is>
      </c>
      <c r="U423" s="24" t="inlineStr">
        <is>
          <t>open</t>
        </is>
      </c>
      <c r="V423" s="24" t="n"/>
      <c r="W423" s="26" t="n"/>
      <c r="X423" s="26" t="n"/>
      <c r="Y423" s="25" t="n"/>
      <c r="Z423" s="26" t="n"/>
      <c r="AA423" s="28" t="n"/>
      <c r="AB423" s="28" t="n"/>
      <c r="AC423" s="30" t="n"/>
      <c r="AD423" s="24" t="n"/>
      <c r="AE423" s="31" t="inlineStr">
        <is>
          <t>Learned LR call at threshold 0.6197; executable ask 0.5000 (aec-mlb-bal-min-2026-08-12); model edge vs ask +0.0255.</t>
        </is>
      </c>
      <c r="AF423" s="31" t="inlineStr">
        <is>
          <t>Learned model; shadow-qualified via operator override.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research_observation</t>
        </is>
      </c>
      <c r="AL423" s="26" t="n">
        <v>3</v>
      </c>
      <c r="AM423" s="24" t="inlineStr">
        <is>
          <t>RESEARCH_OBSERVATION</t>
        </is>
      </c>
      <c r="AN423" s="24" t="inlineStr">
        <is>
          <t>NO_CALL</t>
        </is>
      </c>
      <c r="AO423" s="24" t="inlineStr">
        <is>
          <t>NO_CALL_BELOW_LEARNED_CONFIDENCE</t>
        </is>
      </c>
      <c r="AP423" s="24" t="inlineStr">
        <is>
          <t>mlb-bal</t>
        </is>
      </c>
      <c r="AQ423" s="24" t="inlineStr">
        <is>
          <t>Baltimore Orioles</t>
        </is>
      </c>
      <c r="AR423" s="24" t="inlineStr">
        <is>
          <t>Baltimore Orioles</t>
        </is>
      </c>
      <c r="AS423" s="24" t="inlineStr">
        <is>
          <t>mlb-min</t>
        </is>
      </c>
      <c r="AT423" s="24" t="inlineStr">
        <is>
          <t>Minnesota Twins</t>
        </is>
      </c>
      <c r="AU423" s="24" t="inlineStr">
        <is>
          <t>Minnesota Twins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3b345499bd6bad9bcf65367a07fe0c668fb5817d4f016a0a865c01d9212fdeb8</t>
        </is>
      </c>
      <c r="BB423" s="24" t="inlineStr">
        <is>
          <t>learned_lr</t>
        </is>
      </c>
      <c r="BC423" s="24" t="inlineStr">
        <is>
          <t>mlb-elo-trend-lr-v8</t>
        </is>
      </c>
      <c r="BD423" s="24" t="inlineStr">
        <is>
          <t>3b345499bd6bad9bcf65367a07fe0c668fb5817d4f016a0a865c01d9212fdeb8</t>
        </is>
      </c>
      <c r="BE423" s="24" t="inlineStr">
        <is>
          <t>0756c5f463f28089</t>
        </is>
      </c>
      <c r="BF423" s="24" t="inlineStr">
        <is>
          <t>1</t>
        </is>
      </c>
      <c r="BG423" s="24" t="inlineStr">
        <is>
          <t>mlb-elo-trend-lr-v8</t>
        </is>
      </c>
      <c r="BH423" s="24" t="inlineStr">
        <is>
          <t>2026-08-12T16:41:43.794310Z</t>
        </is>
      </c>
      <c r="BI423" s="24" t="inlineStr">
        <is>
          <t>["same_event","same_team_same_day","same_league_same_day"]</t>
        </is>
      </c>
      <c r="BJ423" s="25" t="n"/>
      <c r="BK423" s="26" t="n">
        <v>100</v>
      </c>
      <c r="BL423" s="27" t="n">
        <v>2</v>
      </c>
      <c r="BM423" s="28" t="n">
        <v>0.5</v>
      </c>
      <c r="BN423" s="28" t="n">
        <v>0.497512</v>
      </c>
      <c r="BO423" s="28" t="n"/>
      <c r="BP423" s="25" t="n"/>
      <c r="BQ423" s="27" t="n"/>
      <c r="BR423" s="28" t="n"/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inlineStr">
        <is>
          <t>0.5089709945</t>
        </is>
      </c>
      <c r="CD423" s="24" t="inlineStr">
        <is>
          <t>0.005816</t>
        </is>
      </c>
      <c r="CE423" s="24" t="inlineStr">
        <is>
          <t>1.037</t>
        </is>
      </c>
      <c r="CF423" s="24" t="inlineStr">
        <is>
          <t>1.0184</t>
        </is>
      </c>
      <c r="CG423" s="24" t="n"/>
      <c r="CH423" s="24" t="n"/>
      <c r="CI423" s="24" t="n"/>
      <c r="CJ423" s="24" t="inlineStr">
        <is>
          <t>0.517459</t>
        </is>
      </c>
      <c r="CK423" s="24" t="n"/>
      <c r="CL423" s="24" t="inlineStr">
        <is>
          <t>-0.314404</t>
        </is>
      </c>
      <c r="CM423" s="24" t="inlineStr">
        <is>
          <t>4.2005</t>
        </is>
      </c>
      <c r="CN423" s="24" t="n"/>
      <c r="CO423" s="24" t="n"/>
      <c r="CP423" s="24" t="n"/>
      <c r="CQ423" s="24" t="n"/>
      <c r="CR423" s="24" t="inlineStr">
        <is>
          <t>0.525494</t>
        </is>
      </c>
      <c r="CS423" s="24" t="inlineStr">
        <is>
          <t>True</t>
        </is>
      </c>
    </row>
    <row r="424" ht="36" customHeight="1">
      <c r="A424" s="24" t="inlineStr">
        <is>
          <t>edb981899ad74865</t>
        </is>
      </c>
      <c r="B424" s="24" t="inlineStr">
        <is>
          <t>2026-08-12T16:43:28.471896Z</t>
        </is>
      </c>
      <c r="C424" s="24" t="inlineStr">
        <is>
          <t>2026-08-12T17:40Z</t>
        </is>
      </c>
      <c r="D424" s="24" t="inlineStr">
        <is>
          <t>401816500</t>
        </is>
      </c>
      <c r="E424" s="24" t="inlineStr">
        <is>
          <t>MLB</t>
        </is>
      </c>
      <c r="F424" s="24" t="inlineStr">
        <is>
          <t>Baltimore Orioles</t>
        </is>
      </c>
      <c r="G424" s="24" t="inlineStr">
        <is>
          <t>Minnesota Twins</t>
        </is>
      </c>
      <c r="H424" s="24" t="inlineStr">
        <is>
          <t>spread</t>
        </is>
      </c>
      <c r="I424" s="24" t="inlineStr">
        <is>
          <t>home</t>
        </is>
      </c>
      <c r="J424" s="25" t="n">
        <v>1.5</v>
      </c>
      <c r="K424" s="24" t="inlineStr">
        <is>
          <t>polymarket_us</t>
        </is>
      </c>
      <c r="L424" s="26" t="n">
        <v>-170</v>
      </c>
      <c r="M424" s="27" t="n">
        <v>1.588235</v>
      </c>
      <c r="N424" s="28" t="n">
        <v>0.62963</v>
      </c>
      <c r="O424" s="28" t="n">
        <v>0.577475</v>
      </c>
      <c r="P424" s="28" t="n">
        <v>0.042131</v>
      </c>
      <c r="Q424" s="28" t="n">
        <v>-0.052155</v>
      </c>
      <c r="R424" s="26" t="n">
        <v>0</v>
      </c>
      <c r="S424" s="29" t="n">
        <v>1.25</v>
      </c>
      <c r="T424" s="24" t="inlineStr">
        <is>
          <t>measured-edge-margin-v3</t>
        </is>
      </c>
      <c r="U424" s="24" t="inlineStr">
        <is>
          <t>open</t>
        </is>
      </c>
      <c r="V424" s="24" t="n"/>
      <c r="W424" s="26" t="n"/>
      <c r="X424" s="26" t="n"/>
      <c r="Y424" s="25" t="n"/>
      <c r="Z424" s="26" t="n"/>
      <c r="AA424" s="28" t="n"/>
      <c r="AB424" s="28" t="n"/>
      <c r="AC424" s="30" t="n"/>
      <c r="AD424" s="24" t="n"/>
      <c r="AE424" s="31" t="inlineStr">
        <is>
          <t>Measured Edge Margin: Trend Engine projected 4.99-4.47; raw selected-side p=0.6137, calibrated p=0.5775.</t>
        </is>
      </c>
      <c r="AF424" s="31" t="inlineStr">
        <is>
          <t>Research-only; lineup, bullpen, park, weather, xFIP, and wRC+ may be neutral fallbacks; market availability and BBO depth may change before first pitch.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3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mlb-bal</t>
        </is>
      </c>
      <c r="AQ424" s="24" t="inlineStr">
        <is>
          <t>Baltimore Orioles</t>
        </is>
      </c>
      <c r="AR424" s="24" t="inlineStr">
        <is>
          <t>Baltimore Orioles</t>
        </is>
      </c>
      <c r="AS424" s="24" t="inlineStr">
        <is>
          <t>mlb-min</t>
        </is>
      </c>
      <c r="AT424" s="24" t="inlineStr">
        <is>
          <t>Minnesota Twins</t>
        </is>
      </c>
      <c r="AU424" s="24" t="inlineStr">
        <is>
          <t>Minnesota Twins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research</t>
        </is>
      </c>
      <c r="BA424" s="24" t="inlineStr">
        <is>
          <t>dd339a2eed50d7d83ab2127837995ddab82e879afd27f5414bb6c1f9cd60ba4c</t>
        </is>
      </c>
      <c r="BB424" s="24" t="inlineStr">
        <is>
          <t>flat_probability_shrinkage_toward_half</t>
        </is>
      </c>
      <c r="BC424" s="24" t="inlineStr">
        <is>
          <t>measured-edge-margin-v3</t>
        </is>
      </c>
      <c r="BD424" s="24" t="inlineStr">
        <is>
          <t>dd339a2eed50d7d83ab2127837995ddab82e879afd27f5414bb6c1f9cd60ba4c</t>
        </is>
      </c>
      <c r="BE424" s="24" t="inlineStr">
        <is>
          <t>v3</t>
        </is>
      </c>
      <c r="BF424" s="24" t="inlineStr">
        <is>
          <t>1</t>
        </is>
      </c>
      <c r="BG424" s="24" t="inlineStr">
        <is>
          <t>measured-edge-paired-v1</t>
        </is>
      </c>
      <c r="BH424" s="24" t="inlineStr">
        <is>
          <t>2026-08-12T16:43:28.471896Z</t>
        </is>
      </c>
      <c r="BI424" s="24" t="inlineStr">
        <is>
          <t>["same_event","same_team_same_day","same_league_same_day"]</t>
        </is>
      </c>
      <c r="BJ424" s="25" t="n">
        <v>1.5</v>
      </c>
      <c r="BK424" s="26" t="n">
        <v>-170</v>
      </c>
      <c r="BL424" s="27" t="n">
        <v>1.588235</v>
      </c>
      <c r="BM424" s="28" t="n">
        <v>0.62963</v>
      </c>
      <c r="BN424" s="28" t="n">
        <v>0.626866</v>
      </c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False</t>
        </is>
      </c>
    </row>
    <row r="425" ht="36" customHeight="1">
      <c r="A425" s="24" t="inlineStr">
        <is>
          <t>c41b04cb8fc146ea</t>
        </is>
      </c>
      <c r="B425" s="24" t="inlineStr">
        <is>
          <t>2026-08-12T16:43:28.471896Z</t>
        </is>
      </c>
      <c r="C425" s="24" t="inlineStr">
        <is>
          <t>2026-08-12T17:40Z</t>
        </is>
      </c>
      <c r="D425" s="24" t="inlineStr">
        <is>
          <t>401816500</t>
        </is>
      </c>
      <c r="E425" s="24" t="inlineStr">
        <is>
          <t>MLB</t>
        </is>
      </c>
      <c r="F425" s="24" t="inlineStr">
        <is>
          <t>Baltimore Orioles</t>
        </is>
      </c>
      <c r="G425" s="24" t="inlineStr">
        <is>
          <t>Minnesota Twins</t>
        </is>
      </c>
      <c r="H425" s="24" t="inlineStr">
        <is>
          <t>total</t>
        </is>
      </c>
      <c r="I425" s="24" t="inlineStr">
        <is>
          <t>over</t>
        </is>
      </c>
      <c r="J425" s="25" t="n">
        <v>8.5</v>
      </c>
      <c r="K425" s="24" t="inlineStr">
        <is>
          <t>polymarket_us</t>
        </is>
      </c>
      <c r="L425" s="26" t="n">
        <v>-113</v>
      </c>
      <c r="M425" s="27" t="n">
        <v>1.884956</v>
      </c>
      <c r="N425" s="28" t="n">
        <v>0.530516</v>
      </c>
      <c r="O425" s="28" t="n">
        <v>0.521064</v>
      </c>
      <c r="P425" s="28" t="n">
        <v>0.042131</v>
      </c>
      <c r="Q425" s="28" t="n">
        <v>-0.009452</v>
      </c>
      <c r="R425" s="26" t="n">
        <v>22</v>
      </c>
      <c r="S425" s="29" t="n">
        <v>1</v>
      </c>
      <c r="T425" s="24" t="inlineStr">
        <is>
          <t>measured-edge-totals-v3</t>
        </is>
      </c>
      <c r="U425" s="24" t="inlineStr">
        <is>
          <t>open</t>
        </is>
      </c>
      <c r="V425" s="24" t="n"/>
      <c r="W425" s="26" t="n"/>
      <c r="X425" s="26" t="n"/>
      <c r="Y425" s="25" t="n"/>
      <c r="Z425" s="26" t="n"/>
      <c r="AA425" s="28" t="n"/>
      <c r="AB425" s="28" t="n"/>
      <c r="AC425" s="30" t="n"/>
      <c r="AD425" s="24" t="n"/>
      <c r="AE425" s="31" t="inlineStr">
        <is>
          <t>Measured Edge Totals: Trend Engine projected 4.99-4.47; raw selected-side p=0.5615, calibrated p=0.5211.</t>
        </is>
      </c>
      <c r="AF425" s="31" t="inlineStr">
        <is>
          <t>Research-only; lineup, bullpen, park, weather, xFIP, and wRC+ may be neutral fallbacks; market availability and BBO depth may change before first pitch.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3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mlb-bal</t>
        </is>
      </c>
      <c r="AQ425" s="24" t="inlineStr">
        <is>
          <t>Baltimore Orioles</t>
        </is>
      </c>
      <c r="AR425" s="24" t="inlineStr">
        <is>
          <t>Baltimore Orioles</t>
        </is>
      </c>
      <c r="AS425" s="24" t="inlineStr">
        <is>
          <t>mlb-min</t>
        </is>
      </c>
      <c r="AT425" s="24" t="inlineStr">
        <is>
          <t>Minnesota Twins</t>
        </is>
      </c>
      <c r="AU425" s="24" t="inlineStr">
        <is>
          <t>Minnesota Twins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research</t>
        </is>
      </c>
      <c r="BA425" s="24" t="inlineStr">
        <is>
          <t>95b84332c75d2ce54036eb8de6ada9c78d0f80228c50825c0347281a8b9b49c7</t>
        </is>
      </c>
      <c r="BB425" s="24" t="inlineStr">
        <is>
          <t>flat_probability_shrinkage_toward_half</t>
        </is>
      </c>
      <c r="BC425" s="24" t="inlineStr">
        <is>
          <t>measured-edge-totals-v3</t>
        </is>
      </c>
      <c r="BD425" s="24" t="inlineStr">
        <is>
          <t>95b84332c75d2ce54036eb8de6ada9c78d0f80228c50825c0347281a8b9b49c7</t>
        </is>
      </c>
      <c r="BE425" s="24" t="inlineStr">
        <is>
          <t>v3</t>
        </is>
      </c>
      <c r="BF425" s="24" t="inlineStr">
        <is>
          <t>1</t>
        </is>
      </c>
      <c r="BG425" s="24" t="inlineStr">
        <is>
          <t>measured-edge-paired-v1</t>
        </is>
      </c>
      <c r="BH425" s="24" t="inlineStr">
        <is>
          <t>2026-08-12T16:43:28.471896Z</t>
        </is>
      </c>
      <c r="BI425" s="24" t="inlineStr">
        <is>
          <t>["same_event","same_team_same_day","same_league_same_day"]</t>
        </is>
      </c>
      <c r="BJ425" s="25" t="n">
        <v>8.5</v>
      </c>
      <c r="BK425" s="26" t="n">
        <v>-113</v>
      </c>
      <c r="BL425" s="27" t="n">
        <v>1.884956</v>
      </c>
      <c r="BM425" s="28" t="n">
        <v>0.530516</v>
      </c>
      <c r="BN425" s="28" t="n">
        <v>0.527363</v>
      </c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</row>
    <row r="426" ht="36" customHeight="1">
      <c r="A426" s="24" t="inlineStr">
        <is>
          <t>43e0b06d6f684242</t>
        </is>
      </c>
      <c r="B426" s="24" t="inlineStr">
        <is>
          <t>2026-08-12T17:42:37.205703Z</t>
        </is>
      </c>
      <c r="C426" s="24" t="inlineStr">
        <is>
          <t>2026-08-12T14:15:00-0400</t>
        </is>
      </c>
      <c r="D426" s="24" t="inlineStr">
        <is>
          <t>401816502</t>
        </is>
      </c>
      <c r="E426" s="24" t="inlineStr">
        <is>
          <t>MLB</t>
        </is>
      </c>
      <c r="F426" s="24" t="inlineStr">
        <is>
          <t>Philadelphia Phillies</t>
        </is>
      </c>
      <c r="G426" s="24" t="inlineStr">
        <is>
          <t>St. Louis Cardinals</t>
        </is>
      </c>
      <c r="H426" s="24" t="inlineStr">
        <is>
          <t>moneyline</t>
        </is>
      </c>
      <c r="I426" s="24" t="inlineStr">
        <is>
          <t>home</t>
        </is>
      </c>
      <c r="J426" s="25" t="n"/>
      <c r="K426" s="24" t="inlineStr">
        <is>
          <t>polymarket_us</t>
        </is>
      </c>
      <c r="L426" s="26" t="n">
        <v>150</v>
      </c>
      <c r="M426" s="27" t="n">
        <v>2.5</v>
      </c>
      <c r="N426" s="28" t="n">
        <v>0.4</v>
      </c>
      <c r="O426" s="28" t="n">
        <v>0.50182</v>
      </c>
      <c r="P426" s="28" t="n"/>
      <c r="Q426" s="28" t="n">
        <v>0.10182</v>
      </c>
      <c r="R426" s="26" t="n">
        <v>72</v>
      </c>
      <c r="S426" s="29" t="n">
        <v>0</v>
      </c>
      <c r="T426" s="24" t="inlineStr">
        <is>
          <t>mlb-elo-trend-lr-v8</t>
        </is>
      </c>
      <c r="U426" s="24" t="inlineStr">
        <is>
          <t>open</t>
        </is>
      </c>
      <c r="V426" s="24" t="n"/>
      <c r="W426" s="26" t="n"/>
      <c r="X426" s="26" t="n"/>
      <c r="Y426" s="25" t="n"/>
      <c r="Z426" s="26" t="n"/>
      <c r="AA426" s="28" t="n"/>
      <c r="AB426" s="28" t="n"/>
      <c r="AC426" s="30" t="n"/>
      <c r="AD426" s="24" t="n"/>
      <c r="AE426" s="31" t="inlineStr">
        <is>
          <t>Learned LR call at threshold 0.6197; executable ask 0.4000 (aec-mlb-phi-stl-2026-08-12); model edge vs ask +0.1018.</t>
        </is>
      </c>
      <c r="AF426" s="31" t="inlineStr">
        <is>
          <t>Learned model; shadow-qualified via operator override.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research_observation</t>
        </is>
      </c>
      <c r="AL426" s="26" t="n">
        <v>3</v>
      </c>
      <c r="AM426" s="24" t="inlineStr">
        <is>
          <t>RESEARCH_OBSERVATION</t>
        </is>
      </c>
      <c r="AN426" s="24" t="inlineStr">
        <is>
          <t>NO_CALL</t>
        </is>
      </c>
      <c r="AO426" s="24" t="inlineStr">
        <is>
          <t>NO_CALL_BELOW_LEARNED_CONFIDENCE</t>
        </is>
      </c>
      <c r="AP426" s="24" t="inlineStr">
        <is>
          <t>mlb-phi</t>
        </is>
      </c>
      <c r="AQ426" s="24" t="inlineStr">
        <is>
          <t>Philadelphia Phillies</t>
        </is>
      </c>
      <c r="AR426" s="24" t="inlineStr">
        <is>
          <t>Philadelphia Phillies</t>
        </is>
      </c>
      <c r="AS426" s="24" t="inlineStr">
        <is>
          <t>mlb-stl</t>
        </is>
      </c>
      <c r="AT426" s="24" t="inlineStr">
        <is>
          <t>St. Louis Cardinals</t>
        </is>
      </c>
      <c r="AU426" s="24" t="inlineStr">
        <is>
          <t>St. Louis Cardinals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3b345499bd6bad9bcf65367a07fe0c668fb5817d4f016a0a865c01d9212fdeb8</t>
        </is>
      </c>
      <c r="BB426" s="24" t="inlineStr">
        <is>
          <t>learned_lr</t>
        </is>
      </c>
      <c r="BC426" s="24" t="inlineStr">
        <is>
          <t>mlb-elo-trend-lr-v8</t>
        </is>
      </c>
      <c r="BD426" s="24" t="inlineStr">
        <is>
          <t>3b345499bd6bad9bcf65367a07fe0c668fb5817d4f016a0a865c01d9212fdeb8</t>
        </is>
      </c>
      <c r="BE426" s="24" t="inlineStr">
        <is>
          <t>db5a54eab75b0113</t>
        </is>
      </c>
      <c r="BF426" s="24" t="inlineStr">
        <is>
          <t>1</t>
        </is>
      </c>
      <c r="BG426" s="24" t="inlineStr">
        <is>
          <t>mlb-elo-trend-lr-v8</t>
        </is>
      </c>
      <c r="BH426" s="24" t="inlineStr">
        <is>
          <t>2026-08-12T17:41:21.016518Z</t>
        </is>
      </c>
      <c r="BI426" s="24" t="inlineStr">
        <is>
          <t>["same_event","same_team_same_day","same_league_same_day"]</t>
        </is>
      </c>
      <c r="BJ426" s="25" t="n"/>
      <c r="BK426" s="26" t="n">
        <v>150</v>
      </c>
      <c r="BL426" s="27" t="n">
        <v>2.5</v>
      </c>
      <c r="BM426" s="28" t="n">
        <v>0.4</v>
      </c>
      <c r="BN426" s="28" t="n">
        <v>0.39801</v>
      </c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inlineStr">
        <is>
          <t>0.4681207534</t>
        </is>
      </c>
      <c r="CD426" s="24" t="inlineStr">
        <is>
          <t>0.161551</t>
        </is>
      </c>
      <c r="CE426" s="24" t="inlineStr">
        <is>
          <t>0.946</t>
        </is>
      </c>
      <c r="CF426" s="24" t="inlineStr">
        <is>
          <t>1.0258</t>
        </is>
      </c>
      <c r="CG426" s="24" t="n"/>
      <c r="CH426" s="24" t="n"/>
      <c r="CI426" s="24" t="n"/>
      <c r="CJ426" s="24" t="inlineStr">
        <is>
          <t>0.610709</t>
        </is>
      </c>
      <c r="CK426" s="24" t="n"/>
      <c r="CL426" s="24" t="inlineStr">
        <is>
          <t>-0.070209</t>
        </is>
      </c>
      <c r="CM426" s="24" t="inlineStr">
        <is>
          <t>-2.1304</t>
        </is>
      </c>
      <c r="CN426" s="24" t="n"/>
      <c r="CO426" s="24" t="n"/>
      <c r="CP426" s="24" t="n"/>
      <c r="CQ426" s="24" t="n"/>
      <c r="CR426" s="24" t="inlineStr">
        <is>
          <t>0.50182</t>
        </is>
      </c>
      <c r="CS426" s="24" t="inlineStr">
        <is>
          <t>True</t>
        </is>
      </c>
    </row>
    <row r="427" ht="36" customHeight="1">
      <c r="A427" s="24" t="inlineStr">
        <is>
          <t>c9c7546b15684e73</t>
        </is>
      </c>
      <c r="B427" s="24" t="inlineStr">
        <is>
          <t>2026-08-12T17:42:37.205703Z</t>
        </is>
      </c>
      <c r="C427" s="24" t="inlineStr">
        <is>
          <t>2026-08-12T15:05:00-0400</t>
        </is>
      </c>
      <c r="D427" s="24" t="inlineStr">
        <is>
          <t>401816507</t>
        </is>
      </c>
      <c r="E427" s="24" t="inlineStr">
        <is>
          <t>MLB</t>
        </is>
      </c>
      <c r="F427" s="24" t="inlineStr">
        <is>
          <t>Tampa Bay Rays</t>
        </is>
      </c>
      <c r="G427" s="24" t="inlineStr">
        <is>
          <t>Athletics</t>
        </is>
      </c>
      <c r="H427" s="24" t="inlineStr">
        <is>
          <t>moneyline</t>
        </is>
      </c>
      <c r="I427" s="24" t="inlineStr">
        <is>
          <t>away</t>
        </is>
      </c>
      <c r="J427" s="25" t="n"/>
      <c r="K427" s="24" t="inlineStr">
        <is>
          <t>polymarket_us</t>
        </is>
      </c>
      <c r="L427" s="26" t="n">
        <v>-213</v>
      </c>
      <c r="M427" s="27" t="n">
        <v>1.469484</v>
      </c>
      <c r="N427" s="28" t="n">
        <v>0.680511</v>
      </c>
      <c r="O427" s="28" t="n">
        <v>0.607359</v>
      </c>
      <c r="P427" s="28" t="n"/>
      <c r="Q427" s="28" t="n">
        <v>-0.07315199999999999</v>
      </c>
      <c r="R427" s="26" t="n">
        <v>0</v>
      </c>
      <c r="S427" s="29" t="n">
        <v>0</v>
      </c>
      <c r="T427" s="24" t="inlineStr">
        <is>
          <t>mlb-elo-trend-lr-v8</t>
        </is>
      </c>
      <c r="U427" s="24" t="inlineStr">
        <is>
          <t>open</t>
        </is>
      </c>
      <c r="V427" s="24" t="n"/>
      <c r="W427" s="26" t="n"/>
      <c r="X427" s="26" t="n"/>
      <c r="Y427" s="25" t="n"/>
      <c r="Z427" s="26" t="n"/>
      <c r="AA427" s="28" t="n"/>
      <c r="AB427" s="28" t="n"/>
      <c r="AC427" s="30" t="n"/>
      <c r="AD427" s="24" t="n"/>
      <c r="AE427" s="31" t="inlineStr">
        <is>
          <t>Learned LR call at threshold 0.6197; executable ask 0.6800 (aec-mlb-tb-ath-2026-08-12); model edge vs ask -0.0726.</t>
        </is>
      </c>
      <c r="AF427" s="31" t="inlineStr">
        <is>
          <t>Learned model; shadow-qualified via operator override.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research_observation</t>
        </is>
      </c>
      <c r="AL427" s="26" t="n">
        <v>3</v>
      </c>
      <c r="AM427" s="24" t="inlineStr">
        <is>
          <t>RESEARCH_OBSERVATION</t>
        </is>
      </c>
      <c r="AN427" s="24" t="inlineStr">
        <is>
          <t>NO_CALL</t>
        </is>
      </c>
      <c r="AO427" s="24" t="inlineStr">
        <is>
          <t>NO_CALL_BELOW_LEARNED_CONFIDENCE</t>
        </is>
      </c>
      <c r="AP427" s="24" t="inlineStr">
        <is>
          <t>mlb-tb</t>
        </is>
      </c>
      <c r="AQ427" s="24" t="inlineStr">
        <is>
          <t>Tampa Bay Rays</t>
        </is>
      </c>
      <c r="AR427" s="24" t="inlineStr">
        <is>
          <t>Tampa Bay Rays</t>
        </is>
      </c>
      <c r="AS427" s="24" t="inlineStr">
        <is>
          <t>mlb-ath</t>
        </is>
      </c>
      <c r="AT427" s="24" t="inlineStr">
        <is>
          <t>Athletics</t>
        </is>
      </c>
      <c r="AU427" s="24" t="inlineStr">
        <is>
          <t>Athletics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3b345499bd6bad9bcf65367a07fe0c668fb5817d4f016a0a865c01d9212fdeb8</t>
        </is>
      </c>
      <c r="BB427" s="24" t="inlineStr">
        <is>
          <t>learned_lr</t>
        </is>
      </c>
      <c r="BC427" s="24" t="inlineStr">
        <is>
          <t>mlb-elo-trend-lr-v8</t>
        </is>
      </c>
      <c r="BD427" s="24" t="inlineStr">
        <is>
          <t>3b345499bd6bad9bcf65367a07fe0c668fb5817d4f016a0a865c01d9212fdeb8</t>
        </is>
      </c>
      <c r="BE427" s="24" t="inlineStr">
        <is>
          <t>9bf6fe3e8fe19417</t>
        </is>
      </c>
      <c r="BF427" s="24" t="inlineStr">
        <is>
          <t>1</t>
        </is>
      </c>
      <c r="BG427" s="24" t="inlineStr">
        <is>
          <t>mlb-elo-trend-lr-v8</t>
        </is>
      </c>
      <c r="BH427" s="24" t="inlineStr">
        <is>
          <t>2026-08-12T17:41:21.657124Z</t>
        </is>
      </c>
      <c r="BI427" s="24" t="inlineStr">
        <is>
          <t>["same_event","same_team_same_day","same_league_same_day"]</t>
        </is>
      </c>
      <c r="BJ427" s="25" t="n"/>
      <c r="BK427" s="26" t="n">
        <v>-213</v>
      </c>
      <c r="BL427" s="27" t="n">
        <v>1.469484</v>
      </c>
      <c r="BM427" s="28" t="n">
        <v>0.680511</v>
      </c>
      <c r="BN427" s="28" t="n">
        <v>0.676617</v>
      </c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inlineStr">
        <is>
          <t>0.3945589238</t>
        </is>
      </c>
      <c r="CD427" s="24" t="inlineStr">
        <is>
          <t>-1.232973</t>
        </is>
      </c>
      <c r="CE427" s="24" t="inlineStr">
        <is>
          <t>1.153</t>
        </is>
      </c>
      <c r="CF427" s="24" t="inlineStr">
        <is>
          <t>1.0131</t>
        </is>
      </c>
      <c r="CG427" s="24" t="n"/>
      <c r="CH427" s="24" t="n"/>
      <c r="CI427" s="24" t="n"/>
      <c r="CJ427" s="24" t="inlineStr">
        <is>
          <t>-1.433949</t>
        </is>
      </c>
      <c r="CK427" s="24" t="n"/>
      <c r="CL427" s="24" t="inlineStr">
        <is>
          <t>0.483387</t>
        </is>
      </c>
      <c r="CM427" s="24" t="inlineStr">
        <is>
          <t>6.0587</t>
        </is>
      </c>
      <c r="CN427" s="24" t="n"/>
      <c r="CO427" s="24" t="n"/>
      <c r="CP427" s="24" t="n"/>
      <c r="CQ427" s="24" t="n"/>
      <c r="CR427" s="24" t="inlineStr">
        <is>
          <t>0.607359</t>
        </is>
      </c>
      <c r="CS427" s="24" t="inlineStr">
        <is>
          <t>False</t>
        </is>
      </c>
    </row>
    <row r="428" ht="36" customHeight="1">
      <c r="A428" s="24" t="inlineStr">
        <is>
          <t>6f2cf58569f74939</t>
        </is>
      </c>
      <c r="B428" s="24" t="inlineStr">
        <is>
          <t>2026-08-12T17:42:37.205703Z</t>
        </is>
      </c>
      <c r="C428" s="24" t="inlineStr">
        <is>
          <t>2026-08-12T15:40:00-0400</t>
        </is>
      </c>
      <c r="D428" s="24" t="inlineStr">
        <is>
          <t>401816503</t>
        </is>
      </c>
      <c r="E428" s="24" t="inlineStr">
        <is>
          <t>MLB</t>
        </is>
      </c>
      <c r="F428" s="24" t="inlineStr">
        <is>
          <t>Colorado Rockies</t>
        </is>
      </c>
      <c r="G428" s="24" t="inlineStr">
        <is>
          <t>Arizona Diamondbacks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polymarket_us</t>
        </is>
      </c>
      <c r="L428" s="26" t="n">
        <v>-160</v>
      </c>
      <c r="M428" s="27" t="n">
        <v>1.625</v>
      </c>
      <c r="N428" s="28" t="n">
        <v>0.615385</v>
      </c>
      <c r="O428" s="28" t="n">
        <v>0.644989</v>
      </c>
      <c r="P428" s="28" t="n"/>
      <c r="Q428" s="28" t="n">
        <v>0.029604</v>
      </c>
      <c r="R428" s="26" t="n">
        <v>37</v>
      </c>
      <c r="S428" s="29" t="n">
        <v>1.75</v>
      </c>
      <c r="T428" s="24" t="inlineStr">
        <is>
          <t>mlb-elo-trend-lr-v8</t>
        </is>
      </c>
      <c r="U428" s="24" t="inlineStr">
        <is>
          <t>open</t>
        </is>
      </c>
      <c r="V428" s="24" t="n"/>
      <c r="W428" s="26" t="n"/>
      <c r="X428" s="26" t="n"/>
      <c r="Y428" s="25" t="n"/>
      <c r="Z428" s="26" t="n"/>
      <c r="AA428" s="28" t="n"/>
      <c r="AB428" s="28" t="n"/>
      <c r="AC428" s="30" t="n"/>
      <c r="AD428" s="24" t="n"/>
      <c r="AE428" s="31" t="inlineStr">
        <is>
          <t>Learned LR call at threshold 0.6197; executable ask 0.6150 (aec-mlb-col-az-2026-08-12); model edge vs ask +0.0300.</t>
        </is>
      </c>
      <c r="AF428" s="31" t="inlineStr">
        <is>
          <t>Learned model; shadow-qualified via operator override.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3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mlb-col</t>
        </is>
      </c>
      <c r="AQ428" s="24" t="inlineStr">
        <is>
          <t>Colorado Rockies</t>
        </is>
      </c>
      <c r="AR428" s="24" t="inlineStr">
        <is>
          <t>Colorado Rockies</t>
        </is>
      </c>
      <c r="AS428" s="24" t="inlineStr">
        <is>
          <t>mlb-ari</t>
        </is>
      </c>
      <c r="AT428" s="24" t="inlineStr">
        <is>
          <t>Arizona Diamondbacks</t>
        </is>
      </c>
      <c r="AU428" s="24" t="inlineStr">
        <is>
          <t>Arizona Diamondbacks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3b345499bd6bad9bcf65367a07fe0c668fb5817d4f016a0a865c01d9212fdeb8</t>
        </is>
      </c>
      <c r="BB428" s="24" t="inlineStr">
        <is>
          <t>learned_lr</t>
        </is>
      </c>
      <c r="BC428" s="24" t="inlineStr">
        <is>
          <t>mlb-elo-trend-lr-v8</t>
        </is>
      </c>
      <c r="BD428" s="24" t="inlineStr">
        <is>
          <t>3b345499bd6bad9bcf65367a07fe0c668fb5817d4f016a0a865c01d9212fdeb8</t>
        </is>
      </c>
      <c r="BE428" s="24" t="inlineStr">
        <is>
          <t>02d0a106d2db5aa1</t>
        </is>
      </c>
      <c r="BF428" s="24" t="inlineStr">
        <is>
          <t>1</t>
        </is>
      </c>
      <c r="BG428" s="24" t="inlineStr">
        <is>
          <t>mlb-elo-trend-lr-v8</t>
        </is>
      </c>
      <c r="BH428" s="24" t="inlineStr">
        <is>
          <t>2026-08-12T17:41:22.389910Z</t>
        </is>
      </c>
      <c r="BI428" s="24" t="inlineStr">
        <is>
          <t>["same_event","same_team_same_day","same_league_same_day"]</t>
        </is>
      </c>
      <c r="BJ428" s="25" t="n"/>
      <c r="BK428" s="26" t="n">
        <v>-160</v>
      </c>
      <c r="BL428" s="27" t="n">
        <v>1.625</v>
      </c>
      <c r="BM428" s="28" t="n">
        <v>0.615385</v>
      </c>
      <c r="BN428" s="28" t="n">
        <v>0.61194</v>
      </c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inlineStr">
        <is>
          <t>0.6955480628</t>
        </is>
      </c>
      <c r="CD428" s="24" t="inlineStr">
        <is>
          <t>0.591178</t>
        </is>
      </c>
      <c r="CE428" s="24" t="inlineStr">
        <is>
          <t>1.097</t>
        </is>
      </c>
      <c r="CF428" s="24" t="inlineStr">
        <is>
          <t>1.0</t>
        </is>
      </c>
      <c r="CG428" s="24" t="n"/>
      <c r="CH428" s="24" t="n"/>
      <c r="CI428" s="24" t="n"/>
      <c r="CJ428" s="24" t="inlineStr">
        <is>
          <t>1.07916</t>
        </is>
      </c>
      <c r="CK428" s="24" t="n"/>
      <c r="CL428" s="24" t="inlineStr">
        <is>
          <t>-0.135632</t>
        </is>
      </c>
      <c r="CM428" s="24" t="inlineStr">
        <is>
          <t>-4.622</t>
        </is>
      </c>
      <c r="CN428" s="24" t="n"/>
      <c r="CO428" s="24" t="n"/>
      <c r="CP428" s="24" t="n"/>
      <c r="CQ428" s="24" t="n"/>
      <c r="CR428" s="24" t="inlineStr">
        <is>
          <t>0.644989</t>
        </is>
      </c>
      <c r="CS428" s="24" t="inlineStr">
        <is>
          <t>True</t>
        </is>
      </c>
    </row>
    <row r="429" ht="36" customHeight="1">
      <c r="A429" s="24" t="inlineStr">
        <is>
          <t>5e4ad8fd40924c37</t>
        </is>
      </c>
      <c r="B429" s="24" t="inlineStr">
        <is>
          <t>2026-08-12T17:42:37.205703Z</t>
        </is>
      </c>
      <c r="C429" s="24" t="inlineStr">
        <is>
          <t>2026-08-12T15:45:00-0400</t>
        </is>
      </c>
      <c r="D429" s="24" t="inlineStr">
        <is>
          <t>401816504</t>
        </is>
      </c>
      <c r="E429" s="24" t="inlineStr">
        <is>
          <t>MLB</t>
        </is>
      </c>
      <c r="F429" s="24" t="inlineStr">
        <is>
          <t>Houston Astros</t>
        </is>
      </c>
      <c r="G429" s="24" t="inlineStr">
        <is>
          <t>San Francisco Giants</t>
        </is>
      </c>
      <c r="H429" s="24" t="inlineStr">
        <is>
          <t>moneyline</t>
        </is>
      </c>
      <c r="I429" s="24" t="inlineStr">
        <is>
          <t>home</t>
        </is>
      </c>
      <c r="J429" s="25" t="n"/>
      <c r="K429" s="24" t="inlineStr">
        <is>
          <t>polymarket_us</t>
        </is>
      </c>
      <c r="L429" s="26" t="n">
        <v>135</v>
      </c>
      <c r="M429" s="27" t="n">
        <v>2.35</v>
      </c>
      <c r="N429" s="28" t="n">
        <v>0.425532</v>
      </c>
      <c r="O429" s="28" t="n">
        <v>0.525509</v>
      </c>
      <c r="P429" s="28" t="n"/>
      <c r="Q429" s="28" t="n">
        <v>0.099977</v>
      </c>
      <c r="R429" s="26" t="n">
        <v>71</v>
      </c>
      <c r="S429" s="29" t="n">
        <v>0</v>
      </c>
      <c r="T429" s="24" t="inlineStr">
        <is>
          <t>mlb-elo-trend-lr-v8</t>
        </is>
      </c>
      <c r="U429" s="24" t="inlineStr">
        <is>
          <t>open</t>
        </is>
      </c>
      <c r="V429" s="24" t="n"/>
      <c r="W429" s="26" t="n"/>
      <c r="X429" s="26" t="n"/>
      <c r="Y429" s="25" t="n"/>
      <c r="Z429" s="26" t="n"/>
      <c r="AA429" s="28" t="n"/>
      <c r="AB429" s="28" t="n"/>
      <c r="AC429" s="30" t="n"/>
      <c r="AD429" s="24" t="n"/>
      <c r="AE429" s="31" t="inlineStr">
        <is>
          <t>Learned LR call at threshold 0.6197; executable ask 0.4250 (aec-mlb-hou-sf-2026-08-12); model edge vs ask +0.1005. NOTE: NO_CALL_STARTER_ERA_GAP_INSUFFICIENT_HISTORY unavailable for this game — defaulted to neutral, other features used normally.</t>
        </is>
      </c>
      <c r="AF429" s="31" t="inlineStr">
        <is>
          <t>Learned model; shadow-qualified via operator override.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research_observation</t>
        </is>
      </c>
      <c r="AL429" s="26" t="n">
        <v>3</v>
      </c>
      <c r="AM429" s="24" t="inlineStr">
        <is>
          <t>RESEARCH_OBSERVATION</t>
        </is>
      </c>
      <c r="AN429" s="24" t="inlineStr">
        <is>
          <t>NO_CALL</t>
        </is>
      </c>
      <c r="AO429" s="24" t="inlineStr">
        <is>
          <t>NO_CALL_BELOW_LEARNED_CONFIDENCE</t>
        </is>
      </c>
      <c r="AP429" s="24" t="inlineStr">
        <is>
          <t>mlb-hou</t>
        </is>
      </c>
      <c r="AQ429" s="24" t="inlineStr">
        <is>
          <t>Houston Astros</t>
        </is>
      </c>
      <c r="AR429" s="24" t="inlineStr">
        <is>
          <t>Houston Astros</t>
        </is>
      </c>
      <c r="AS429" s="24" t="inlineStr">
        <is>
          <t>mlb-sf</t>
        </is>
      </c>
      <c r="AT429" s="24" t="inlineStr">
        <is>
          <t>San Francisco Giants</t>
        </is>
      </c>
      <c r="AU429" s="24" t="inlineStr">
        <is>
          <t>San Francisco Giants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3b345499bd6bad9bcf65367a07fe0c668fb5817d4f016a0a865c01d9212fdeb8</t>
        </is>
      </c>
      <c r="BB429" s="24" t="inlineStr">
        <is>
          <t>learned_lr</t>
        </is>
      </c>
      <c r="BC429" s="24" t="inlineStr">
        <is>
          <t>mlb-elo-trend-lr-v8</t>
        </is>
      </c>
      <c r="BD429" s="24" t="inlineStr">
        <is>
          <t>3b345499bd6bad9bcf65367a07fe0c668fb5817d4f016a0a865c01d9212fdeb8</t>
        </is>
      </c>
      <c r="BE429" s="24" t="inlineStr">
        <is>
          <t>f3b5bc0c735555de</t>
        </is>
      </c>
      <c r="BF429" s="24" t="inlineStr">
        <is>
          <t>1</t>
        </is>
      </c>
      <c r="BG429" s="24" t="inlineStr">
        <is>
          <t>mlb-elo-trend-lr-v8</t>
        </is>
      </c>
      <c r="BH429" s="24" t="inlineStr">
        <is>
          <t>2026-08-12T17:41:22.980434Z</t>
        </is>
      </c>
      <c r="BI429" s="24" t="inlineStr">
        <is>
          <t>["same_event","same_team_same_day","same_league_same_day"]</t>
        </is>
      </c>
      <c r="BJ429" s="25" t="n"/>
      <c r="BK429" s="26" t="n">
        <v>135</v>
      </c>
      <c r="BL429" s="27" t="n">
        <v>2.35</v>
      </c>
      <c r="BM429" s="28" t="n">
        <v>0.425532</v>
      </c>
      <c r="BN429" s="28" t="n">
        <v>0.422886</v>
      </c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inlineStr">
        <is>
          <t>0.496252014</t>
        </is>
      </c>
      <c r="CD429" s="24" t="inlineStr">
        <is>
          <t>-0.190173</t>
        </is>
      </c>
      <c r="CE429" s="24" t="inlineStr">
        <is>
          <t>0.98</t>
        </is>
      </c>
      <c r="CF429" s="24" t="inlineStr">
        <is>
          <t>1.0076</t>
        </is>
      </c>
      <c r="CG429" s="24" t="n"/>
      <c r="CH429" s="24" t="n"/>
      <c r="CI429" s="24" t="inlineStr">
        <is>
          <t>NO_CALL_STARTER_ERA_GAP_INSUFFICIENT_HISTORY</t>
        </is>
      </c>
      <c r="CJ429" s="24" t="inlineStr">
        <is>
          <t>-0.214994</t>
        </is>
      </c>
      <c r="CK429" s="24" t="n"/>
      <c r="CL429" s="24" t="inlineStr">
        <is>
          <t>0.36618</t>
        </is>
      </c>
      <c r="CM429" s="24" t="inlineStr">
        <is>
          <t>0.0</t>
        </is>
      </c>
      <c r="CN429" s="24" t="n"/>
      <c r="CO429" s="24" t="n"/>
      <c r="CP429" s="24" t="n"/>
      <c r="CQ429" s="24" t="n"/>
      <c r="CR429" s="24" t="inlineStr">
        <is>
          <t>0.525509</t>
        </is>
      </c>
      <c r="CS429" s="24" t="inlineStr">
        <is>
          <t>True</t>
        </is>
      </c>
    </row>
    <row r="430" ht="36" customHeight="1">
      <c r="A430" s="24" t="inlineStr">
        <is>
          <t>8c11ec61d5954460</t>
        </is>
      </c>
      <c r="B430" s="24" t="inlineStr">
        <is>
          <t>2026-08-12T17:42:37.205703Z</t>
        </is>
      </c>
      <c r="C430" s="24" t="inlineStr">
        <is>
          <t>2026-08-12T16:10:00-0400</t>
        </is>
      </c>
      <c r="D430" s="24" t="inlineStr">
        <is>
          <t>401816506</t>
        </is>
      </c>
      <c r="E430" s="24" t="inlineStr">
        <is>
          <t>MLB</t>
        </is>
      </c>
      <c r="F430" s="24" t="inlineStr">
        <is>
          <t>Milwaukee Brewers</t>
        </is>
      </c>
      <c r="G430" s="24" t="inlineStr">
        <is>
          <t>San Diego Padres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polymarket_us</t>
        </is>
      </c>
      <c r="L430" s="26" t="n">
        <v>106</v>
      </c>
      <c r="M430" s="27" t="n">
        <v>2.06</v>
      </c>
      <c r="N430" s="28" t="n">
        <v>0.485437</v>
      </c>
      <c r="O430" s="28" t="n">
        <v>0.511292</v>
      </c>
      <c r="P430" s="28" t="n"/>
      <c r="Q430" s="28" t="n">
        <v>0.025855</v>
      </c>
      <c r="R430" s="26" t="n">
        <v>34</v>
      </c>
      <c r="S430" s="29" t="n">
        <v>0</v>
      </c>
      <c r="T430" s="24" t="inlineStr">
        <is>
          <t>mlb-elo-trend-lr-v8</t>
        </is>
      </c>
      <c r="U430" s="24" t="inlineStr">
        <is>
          <t>open</t>
        </is>
      </c>
      <c r="V430" s="24" t="n"/>
      <c r="W430" s="26" t="n"/>
      <c r="X430" s="26" t="n"/>
      <c r="Y430" s="25" t="n"/>
      <c r="Z430" s="26" t="n"/>
      <c r="AA430" s="28" t="n"/>
      <c r="AB430" s="28" t="n"/>
      <c r="AC430" s="30" t="n"/>
      <c r="AD430" s="24" t="n"/>
      <c r="AE430" s="31" t="inlineStr">
        <is>
          <t>Learned LR call at threshold 0.6197; executable ask 0.4850 (aec-mlb-mil-sd-2026-08-12); model edge vs ask +0.0263.</t>
        </is>
      </c>
      <c r="AF430" s="31" t="inlineStr">
        <is>
          <t>Learned model; shadow-qualified via operator override.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research_observation</t>
        </is>
      </c>
      <c r="AL430" s="26" t="n">
        <v>3</v>
      </c>
      <c r="AM430" s="24" t="inlineStr">
        <is>
          <t>RESEARCH_OBSERVATION</t>
        </is>
      </c>
      <c r="AN430" s="24" t="inlineStr">
        <is>
          <t>NO_CALL</t>
        </is>
      </c>
      <c r="AO430" s="24" t="inlineStr">
        <is>
          <t>NO_CALL_BELOW_LEARNED_CONFIDENCE</t>
        </is>
      </c>
      <c r="AP430" s="24" t="inlineStr">
        <is>
          <t>mlb-mil</t>
        </is>
      </c>
      <c r="AQ430" s="24" t="inlineStr">
        <is>
          <t>Milwaukee Brewers</t>
        </is>
      </c>
      <c r="AR430" s="24" t="inlineStr">
        <is>
          <t>Milwaukee Brewers</t>
        </is>
      </c>
      <c r="AS430" s="24" t="inlineStr">
        <is>
          <t>mlb-sd</t>
        </is>
      </c>
      <c r="AT430" s="24" t="inlineStr">
        <is>
          <t>San Diego Padres</t>
        </is>
      </c>
      <c r="AU430" s="24" t="inlineStr">
        <is>
          <t>San Diego Padres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3b345499bd6bad9bcf65367a07fe0c668fb5817d4f016a0a865c01d9212fdeb8</t>
        </is>
      </c>
      <c r="BB430" s="24" t="inlineStr">
        <is>
          <t>learned_lr</t>
        </is>
      </c>
      <c r="BC430" s="24" t="inlineStr">
        <is>
          <t>mlb-elo-trend-lr-v8</t>
        </is>
      </c>
      <c r="BD430" s="24" t="inlineStr">
        <is>
          <t>3b345499bd6bad9bcf65367a07fe0c668fb5817d4f016a0a865c01d9212fdeb8</t>
        </is>
      </c>
      <c r="BE430" s="24" t="inlineStr">
        <is>
          <t>3ad6aaf840f26cc4</t>
        </is>
      </c>
      <c r="BF430" s="24" t="inlineStr">
        <is>
          <t>1</t>
        </is>
      </c>
      <c r="BG430" s="24" t="inlineStr">
        <is>
          <t>mlb-elo-trend-lr-v8</t>
        </is>
      </c>
      <c r="BH430" s="24" t="inlineStr">
        <is>
          <t>2026-08-12T17:41:23.571530Z</t>
        </is>
      </c>
      <c r="BI430" s="24" t="inlineStr">
        <is>
          <t>["same_event","same_team_same_day","same_league_same_day"]</t>
        </is>
      </c>
      <c r="BJ430" s="25" t="n"/>
      <c r="BK430" s="26" t="n">
        <v>106</v>
      </c>
      <c r="BL430" s="27" t="n">
        <v>2.06</v>
      </c>
      <c r="BM430" s="28" t="n">
        <v>0.485437</v>
      </c>
      <c r="BN430" s="28" t="n">
        <v>0.482587</v>
      </c>
      <c r="BO430" s="28" t="n"/>
      <c r="BP430" s="25" t="n"/>
      <c r="BQ430" s="27" t="n"/>
      <c r="BR430" s="28" t="n"/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inlineStr">
        <is>
          <t>0.4763520342</t>
        </is>
      </c>
      <c r="CD430" s="24" t="inlineStr">
        <is>
          <t>2.483159</t>
        </is>
      </c>
      <c r="CE430" s="24" t="inlineStr">
        <is>
          <t>0.945</t>
        </is>
      </c>
      <c r="CF430" s="24" t="inlineStr">
        <is>
          <t>1.0104</t>
        </is>
      </c>
      <c r="CG430" s="24" t="n"/>
      <c r="CH430" s="24" t="n"/>
      <c r="CI430" s="24" t="n"/>
      <c r="CJ430" s="24" t="inlineStr">
        <is>
          <t>2.336664</t>
        </is>
      </c>
      <c r="CK430" s="24" t="n"/>
      <c r="CL430" s="24" t="inlineStr">
        <is>
          <t>0.211479</t>
        </is>
      </c>
      <c r="CM430" s="24" t="inlineStr">
        <is>
          <t>-3.3038</t>
        </is>
      </c>
      <c r="CN430" s="24" t="n"/>
      <c r="CO430" s="24" t="n"/>
      <c r="CP430" s="24" t="n"/>
      <c r="CQ430" s="24" t="n"/>
      <c r="CR430" s="24" t="inlineStr">
        <is>
          <t>0.511292</t>
        </is>
      </c>
      <c r="CS430" s="24" t="inlineStr">
        <is>
          <t>True</t>
        </is>
      </c>
    </row>
    <row r="431" ht="36" customHeight="1">
      <c r="A431" s="24" t="inlineStr">
        <is>
          <t>e3d39d9737ec491b</t>
        </is>
      </c>
      <c r="B431" s="24" t="inlineStr">
        <is>
          <t>2026-08-12T17:42:37.205703Z</t>
        </is>
      </c>
      <c r="C431" s="24" t="inlineStr">
        <is>
          <t>2026-08-12T18:40:00-0400</t>
        </is>
      </c>
      <c r="D431" s="24" t="inlineStr">
        <is>
          <t>401816496</t>
        </is>
      </c>
      <c r="E431" s="24" t="inlineStr">
        <is>
          <t>MLB</t>
        </is>
      </c>
      <c r="F431" s="24" t="inlineStr">
        <is>
          <t>Cleveland Guardians</t>
        </is>
      </c>
      <c r="G431" s="24" t="inlineStr">
        <is>
          <t>Detroit Tigers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polymarket_us</t>
        </is>
      </c>
      <c r="L431" s="26" t="n">
        <v>-120</v>
      </c>
      <c r="M431" s="27" t="n">
        <v>1.833333</v>
      </c>
      <c r="N431" s="28" t="n">
        <v>0.545455</v>
      </c>
      <c r="O431" s="28" t="n">
        <v>0.55952</v>
      </c>
      <c r="P431" s="28" t="n"/>
      <c r="Q431" s="28" t="n">
        <v>0.014065</v>
      </c>
      <c r="R431" s="26" t="n">
        <v>29</v>
      </c>
      <c r="S431" s="29" t="n">
        <v>0</v>
      </c>
      <c r="T431" s="24" t="inlineStr">
        <is>
          <t>mlb-elo-trend-lr-v8</t>
        </is>
      </c>
      <c r="U431" s="24" t="inlineStr">
        <is>
          <t>open</t>
        </is>
      </c>
      <c r="V431" s="24" t="n"/>
      <c r="W431" s="26" t="n"/>
      <c r="X431" s="26" t="n"/>
      <c r="Y431" s="25" t="n"/>
      <c r="Z431" s="26" t="n"/>
      <c r="AA431" s="28" t="n"/>
      <c r="AB431" s="28" t="n"/>
      <c r="AC431" s="30" t="n"/>
      <c r="AD431" s="24" t="n"/>
      <c r="AE431" s="31" t="inlineStr">
        <is>
          <t>Learned LR call at threshold 0.6197; executable ask 0.5450 (aec-mlb-cle-det-2026-08-12); model edge vs ask +0.0145.</t>
        </is>
      </c>
      <c r="AF431" s="31" t="inlineStr">
        <is>
          <t>Learned model; shadow-qualified via operator override.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research_observation</t>
        </is>
      </c>
      <c r="AL431" s="26" t="n">
        <v>3</v>
      </c>
      <c r="AM431" s="24" t="inlineStr">
        <is>
          <t>RESEARCH_OBSERVATION</t>
        </is>
      </c>
      <c r="AN431" s="24" t="inlineStr">
        <is>
          <t>NO_CALL</t>
        </is>
      </c>
      <c r="AO431" s="24" t="inlineStr">
        <is>
          <t>NO_CALL_BELOW_LEARNED_CONFIDENCE</t>
        </is>
      </c>
      <c r="AP431" s="24" t="inlineStr">
        <is>
          <t>mlb-cle</t>
        </is>
      </c>
      <c r="AQ431" s="24" t="inlineStr">
        <is>
          <t>Cleveland Guardians</t>
        </is>
      </c>
      <c r="AR431" s="24" t="inlineStr">
        <is>
          <t>Cleveland Guardians</t>
        </is>
      </c>
      <c r="AS431" s="24" t="inlineStr">
        <is>
          <t>mlb-det</t>
        </is>
      </c>
      <c r="AT431" s="24" t="inlineStr">
        <is>
          <t>Detroit Tigers</t>
        </is>
      </c>
      <c r="AU431" s="24" t="inlineStr">
        <is>
          <t>Detroit Tigers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3b345499bd6bad9bcf65367a07fe0c668fb5817d4f016a0a865c01d9212fdeb8</t>
        </is>
      </c>
      <c r="BB431" s="24" t="inlineStr">
        <is>
          <t>learned_lr</t>
        </is>
      </c>
      <c r="BC431" s="24" t="inlineStr">
        <is>
          <t>mlb-elo-trend-lr-v8</t>
        </is>
      </c>
      <c r="BD431" s="24" t="inlineStr">
        <is>
          <t>3b345499bd6bad9bcf65367a07fe0c668fb5817d4f016a0a865c01d9212fdeb8</t>
        </is>
      </c>
      <c r="BE431" s="24" t="inlineStr">
        <is>
          <t>308642caad8b802a</t>
        </is>
      </c>
      <c r="BF431" s="24" t="inlineStr">
        <is>
          <t>1</t>
        </is>
      </c>
      <c r="BG431" s="24" t="inlineStr">
        <is>
          <t>mlb-elo-trend-lr-v8</t>
        </is>
      </c>
      <c r="BH431" s="24" t="inlineStr">
        <is>
          <t>2026-08-12T17:41:24.392658Z</t>
        </is>
      </c>
      <c r="BI431" s="24" t="inlineStr">
        <is>
          <t>["same_event","same_team_same_day","same_league_same_day"]</t>
        </is>
      </c>
      <c r="BJ431" s="25" t="n"/>
      <c r="BK431" s="26" t="n">
        <v>-120</v>
      </c>
      <c r="BL431" s="27" t="n">
        <v>1.833333</v>
      </c>
      <c r="BM431" s="28" t="n">
        <v>0.545455</v>
      </c>
      <c r="BN431" s="28" t="n">
        <v>0.542289</v>
      </c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inlineStr">
        <is>
          <t>0.5985896857</t>
        </is>
      </c>
      <c r="CD431" s="24" t="inlineStr">
        <is>
          <t>1.26049</t>
        </is>
      </c>
      <c r="CE431" s="24" t="inlineStr">
        <is>
          <t>0.963</t>
        </is>
      </c>
      <c r="CF431" s="24" t="inlineStr">
        <is>
          <t>1.0109</t>
        </is>
      </c>
      <c r="CG431" s="24" t="n"/>
      <c r="CH431" s="24" t="n"/>
      <c r="CI431" s="24" t="n"/>
      <c r="CJ431" s="24" t="inlineStr">
        <is>
          <t>2.259087</t>
        </is>
      </c>
      <c r="CK431" s="24" t="n"/>
      <c r="CL431" s="24" t="inlineStr">
        <is>
          <t>-0.513898</t>
        </is>
      </c>
      <c r="CM431" s="24" t="inlineStr">
        <is>
          <t>0.975</t>
        </is>
      </c>
      <c r="CN431" s="24" t="n"/>
      <c r="CO431" s="24" t="n"/>
      <c r="CP431" s="24" t="n"/>
      <c r="CQ431" s="24" t="n"/>
      <c r="CR431" s="24" t="inlineStr">
        <is>
          <t>0.55952</t>
        </is>
      </c>
      <c r="CS431" s="24" t="inlineStr">
        <is>
          <t>True</t>
        </is>
      </c>
    </row>
    <row r="432" ht="36" customHeight="1">
      <c r="A432" s="24" t="inlineStr">
        <is>
          <t>26a1f6243816490b</t>
        </is>
      </c>
      <c r="B432" s="24" t="inlineStr">
        <is>
          <t>2026-08-12T17:42:37.205703Z</t>
        </is>
      </c>
      <c r="C432" s="24" t="inlineStr">
        <is>
          <t>2026-08-12T18:40:00-0400</t>
        </is>
      </c>
      <c r="D432" s="24" t="inlineStr">
        <is>
          <t>401816498</t>
        </is>
      </c>
      <c r="E432" s="24" t="inlineStr">
        <is>
          <t>MLB</t>
        </is>
      </c>
      <c r="F432" s="24" t="inlineStr">
        <is>
          <t>Pittsburgh Pirates</t>
        </is>
      </c>
      <c r="G432" s="24" t="inlineStr">
        <is>
          <t>Miami Marlins</t>
        </is>
      </c>
      <c r="H432" s="24" t="inlineStr">
        <is>
          <t>moneyline</t>
        </is>
      </c>
      <c r="I432" s="24" t="inlineStr">
        <is>
          <t>home</t>
        </is>
      </c>
      <c r="J432" s="25" t="n"/>
      <c r="K432" s="24" t="inlineStr">
        <is>
          <t>polymarket_us</t>
        </is>
      </c>
      <c r="L432" s="26" t="n">
        <v>-106</v>
      </c>
      <c r="M432" s="27" t="n">
        <v>1.943396</v>
      </c>
      <c r="N432" s="28" t="n">
        <v>0.514563</v>
      </c>
      <c r="O432" s="28" t="n">
        <v>0.525438</v>
      </c>
      <c r="P432" s="28" t="n"/>
      <c r="Q432" s="28" t="n">
        <v>0.010875</v>
      </c>
      <c r="R432" s="26" t="n">
        <v>27</v>
      </c>
      <c r="S432" s="29" t="n">
        <v>0</v>
      </c>
      <c r="T432" s="24" t="inlineStr">
        <is>
          <t>mlb-elo-trend-lr-v8</t>
        </is>
      </c>
      <c r="U432" s="24" t="inlineStr">
        <is>
          <t>open</t>
        </is>
      </c>
      <c r="V432" s="24" t="n"/>
      <c r="W432" s="26" t="n"/>
      <c r="X432" s="26" t="n"/>
      <c r="Y432" s="25" t="n"/>
      <c r="Z432" s="26" t="n"/>
      <c r="AA432" s="28" t="n"/>
      <c r="AB432" s="28" t="n"/>
      <c r="AC432" s="30" t="n"/>
      <c r="AD432" s="24" t="n"/>
      <c r="AE432" s="31" t="inlineStr">
        <is>
          <t>Learned LR call at threshold 0.6197; executable ask 0.5150 (aec-mlb-pit-mia-2026-08-12); model edge vs ask +0.0104.</t>
        </is>
      </c>
      <c r="AF432" s="31" t="inlineStr">
        <is>
          <t>Learned model; shadow-qualified via operator override.</t>
        </is>
      </c>
      <c r="AG432" s="24" t="inlineStr">
        <is>
          <t>not_applicable</t>
        </is>
      </c>
      <c r="AH432" s="24" t="n"/>
      <c r="AI432" s="31" t="n"/>
      <c r="AJ432" s="31" t="n"/>
      <c r="AK432" s="24" t="inlineStr">
        <is>
          <t>research_observation</t>
        </is>
      </c>
      <c r="AL432" s="26" t="n">
        <v>3</v>
      </c>
      <c r="AM432" s="24" t="inlineStr">
        <is>
          <t>RESEARCH_OBSERVATION</t>
        </is>
      </c>
      <c r="AN432" s="24" t="inlineStr">
        <is>
          <t>NO_CALL</t>
        </is>
      </c>
      <c r="AO432" s="24" t="inlineStr">
        <is>
          <t>NO_CALL_BELOW_LEARNED_CONFIDENCE</t>
        </is>
      </c>
      <c r="AP432" s="24" t="inlineStr">
        <is>
          <t>mlb-pit</t>
        </is>
      </c>
      <c r="AQ432" s="24" t="inlineStr">
        <is>
          <t>Pittsburgh Pirates</t>
        </is>
      </c>
      <c r="AR432" s="24" t="inlineStr">
        <is>
          <t>Pittsburgh Pirates</t>
        </is>
      </c>
      <c r="AS432" s="24" t="inlineStr">
        <is>
          <t>mlb-mia</t>
        </is>
      </c>
      <c r="AT432" s="24" t="inlineStr">
        <is>
          <t>Miami Marlins</t>
        </is>
      </c>
      <c r="AU432" s="24" t="inlineStr">
        <is>
          <t>Miami Marlins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3b345499bd6bad9bcf65367a07fe0c668fb5817d4f016a0a865c01d9212fdeb8</t>
        </is>
      </c>
      <c r="BB432" s="24" t="inlineStr">
        <is>
          <t>learned_lr</t>
        </is>
      </c>
      <c r="BC432" s="24" t="inlineStr">
        <is>
          <t>mlb-elo-trend-lr-v8</t>
        </is>
      </c>
      <c r="BD432" s="24" t="inlineStr">
        <is>
          <t>3b345499bd6bad9bcf65367a07fe0c668fb5817d4f016a0a865c01d9212fdeb8</t>
        </is>
      </c>
      <c r="BE432" s="24" t="inlineStr">
        <is>
          <t>8304a0923855d242</t>
        </is>
      </c>
      <c r="BF432" s="24" t="inlineStr">
        <is>
          <t>1</t>
        </is>
      </c>
      <c r="BG432" s="24" t="inlineStr">
        <is>
          <t>mlb-elo-trend-lr-v8</t>
        </is>
      </c>
      <c r="BH432" s="24" t="inlineStr">
        <is>
          <t>2026-08-12T17:41:24.809557Z</t>
        </is>
      </c>
      <c r="BI432" s="24" t="inlineStr">
        <is>
          <t>["same_event","same_team_same_day","same_league_same_day"]</t>
        </is>
      </c>
      <c r="BJ432" s="25" t="n"/>
      <c r="BK432" s="26" t="n">
        <v>-106</v>
      </c>
      <c r="BL432" s="27" t="n">
        <v>1.943396</v>
      </c>
      <c r="BM432" s="28" t="n">
        <v>0.514563</v>
      </c>
      <c r="BN432" s="28" t="n">
        <v>0.5124379999999999</v>
      </c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inlineStr">
        <is>
          <t>0.5446607125</t>
        </is>
      </c>
      <c r="CD432" s="24" t="inlineStr">
        <is>
          <t>1.923821</t>
        </is>
      </c>
      <c r="CE432" s="24" t="inlineStr">
        <is>
          <t>1.001</t>
        </is>
      </c>
      <c r="CF432" s="24" t="inlineStr">
        <is>
          <t>1.0</t>
        </is>
      </c>
      <c r="CG432" s="24" t="n"/>
      <c r="CH432" s="24" t="n"/>
      <c r="CI432" s="24" t="n"/>
      <c r="CJ432" s="24" t="inlineStr">
        <is>
          <t>1.011398</t>
        </is>
      </c>
      <c r="CK432" s="24" t="n"/>
      <c r="CL432" s="24" t="inlineStr">
        <is>
          <t>0.162398</t>
        </is>
      </c>
      <c r="CM432" s="24" t="inlineStr">
        <is>
          <t>2.4822</t>
        </is>
      </c>
      <c r="CN432" s="24" t="n"/>
      <c r="CO432" s="24" t="n"/>
      <c r="CP432" s="24" t="n"/>
      <c r="CQ432" s="24" t="n"/>
      <c r="CR432" s="24" t="inlineStr">
        <is>
          <t>0.525438</t>
        </is>
      </c>
      <c r="CS432" s="24" t="inlineStr">
        <is>
          <t>True</t>
        </is>
      </c>
    </row>
    <row r="433" ht="36" customHeight="1">
      <c r="A433" s="24" t="inlineStr">
        <is>
          <t>e9d22a1937b14c89</t>
        </is>
      </c>
      <c r="B433" s="24" t="inlineStr">
        <is>
          <t>2026-08-12T17:42:37.205703Z</t>
        </is>
      </c>
      <c r="C433" s="24" t="inlineStr">
        <is>
          <t>2026-08-12T18:45:00-0400</t>
        </is>
      </c>
      <c r="D433" s="24" t="inlineStr">
        <is>
          <t>401816495</t>
        </is>
      </c>
      <c r="E433" s="24" t="inlineStr">
        <is>
          <t>MLB</t>
        </is>
      </c>
      <c r="F433" s="24" t="inlineStr">
        <is>
          <t>Chicago Cubs</t>
        </is>
      </c>
      <c r="G433" s="24" t="inlineStr">
        <is>
          <t>Washington Nationals</t>
        </is>
      </c>
      <c r="H433" s="24" t="inlineStr">
        <is>
          <t>moneyline</t>
        </is>
      </c>
      <c r="I433" s="24" t="inlineStr">
        <is>
          <t>away</t>
        </is>
      </c>
      <c r="J433" s="25" t="n"/>
      <c r="K433" s="24" t="inlineStr">
        <is>
          <t>polymarket_us</t>
        </is>
      </c>
      <c r="L433" s="26" t="n">
        <v>-153</v>
      </c>
      <c r="M433" s="27" t="n">
        <v>1.653595</v>
      </c>
      <c r="N433" s="28" t="n">
        <v>0.604743</v>
      </c>
      <c r="O433" s="28" t="n">
        <v>0.565934</v>
      </c>
      <c r="P433" s="28" t="n"/>
      <c r="Q433" s="28" t="n">
        <v>-0.038809</v>
      </c>
      <c r="R433" s="26" t="n">
        <v>2</v>
      </c>
      <c r="S433" s="29" t="n">
        <v>0</v>
      </c>
      <c r="T433" s="24" t="inlineStr">
        <is>
          <t>mlb-elo-trend-lr-v8</t>
        </is>
      </c>
      <c r="U433" s="24" t="inlineStr">
        <is>
          <t>open</t>
        </is>
      </c>
      <c r="V433" s="24" t="n"/>
      <c r="W433" s="26" t="n"/>
      <c r="X433" s="26" t="n"/>
      <c r="Y433" s="25" t="n"/>
      <c r="Z433" s="26" t="n"/>
      <c r="AA433" s="28" t="n"/>
      <c r="AB433" s="28" t="n"/>
      <c r="AC433" s="30" t="n"/>
      <c r="AD433" s="24" t="n"/>
      <c r="AE433" s="31" t="inlineStr">
        <is>
          <t>Learned LR call at threshold 0.6197; executable ask 0.6050 (aec-mlb-chc-wsh-2026-08-12); model edge vs ask -0.0391. NOTE: NO_CALL_STARTER_ERA_GAP_INSUFFICIENT_HISTORY unavailable for this game — defaulted to neutral, other features used normally.</t>
        </is>
      </c>
      <c r="AF433" s="31" t="inlineStr">
        <is>
          <t>Learned model; shadow-qualified via operator override.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research_observation</t>
        </is>
      </c>
      <c r="AL433" s="26" t="n">
        <v>3</v>
      </c>
      <c r="AM433" s="24" t="inlineStr">
        <is>
          <t>RESEARCH_OBSERVATION</t>
        </is>
      </c>
      <c r="AN433" s="24" t="inlineStr">
        <is>
          <t>NO_CALL</t>
        </is>
      </c>
      <c r="AO433" s="24" t="inlineStr">
        <is>
          <t>NO_CALL_BELOW_LEARNED_CONFIDENCE</t>
        </is>
      </c>
      <c r="AP433" s="24" t="inlineStr">
        <is>
          <t>mlb-chc</t>
        </is>
      </c>
      <c r="AQ433" s="24" t="inlineStr">
        <is>
          <t>Chicago Cubs</t>
        </is>
      </c>
      <c r="AR433" s="24" t="inlineStr">
        <is>
          <t>Chicago Cubs</t>
        </is>
      </c>
      <c r="AS433" s="24" t="inlineStr">
        <is>
          <t>mlb-wsh</t>
        </is>
      </c>
      <c r="AT433" s="24" t="inlineStr">
        <is>
          <t>Washington Nationals</t>
        </is>
      </c>
      <c r="AU433" s="24" t="inlineStr">
        <is>
          <t>Washington Nationals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3b345499bd6bad9bcf65367a07fe0c668fb5817d4f016a0a865c01d9212fdeb8</t>
        </is>
      </c>
      <c r="BB433" s="24" t="inlineStr">
        <is>
          <t>learned_lr</t>
        </is>
      </c>
      <c r="BC433" s="24" t="inlineStr">
        <is>
          <t>mlb-elo-trend-lr-v8</t>
        </is>
      </c>
      <c r="BD433" s="24" t="inlineStr">
        <is>
          <t>3b345499bd6bad9bcf65367a07fe0c668fb5817d4f016a0a865c01d9212fdeb8</t>
        </is>
      </c>
      <c r="BE433" s="24" t="inlineStr">
        <is>
          <t>1aa2da00b5f18645</t>
        </is>
      </c>
      <c r="BF433" s="24" t="inlineStr">
        <is>
          <t>1</t>
        </is>
      </c>
      <c r="BG433" s="24" t="inlineStr">
        <is>
          <t>mlb-elo-trend-lr-v8</t>
        </is>
      </c>
      <c r="BH433" s="24" t="inlineStr">
        <is>
          <t>2026-08-12T17:41:25.389140Z</t>
        </is>
      </c>
      <c r="BI433" s="24" t="inlineStr">
        <is>
          <t>["same_event","same_team_same_day","same_league_same_day"]</t>
        </is>
      </c>
      <c r="BJ433" s="25" t="n"/>
      <c r="BK433" s="26" t="n">
        <v>-153</v>
      </c>
      <c r="BL433" s="27" t="n">
        <v>1.653595</v>
      </c>
      <c r="BM433" s="28" t="n">
        <v>0.604743</v>
      </c>
      <c r="BN433" s="28" t="n">
        <v>0.60199</v>
      </c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inlineStr">
        <is>
          <t>0.4130251984</t>
        </is>
      </c>
      <c r="CD433" s="24" t="inlineStr">
        <is>
          <t>-0.367941</t>
        </is>
      </c>
      <c r="CE433" s="24" t="inlineStr">
        <is>
          <t>1.042</t>
        </is>
      </c>
      <c r="CF433" s="24" t="inlineStr">
        <is>
          <t>1.0189</t>
        </is>
      </c>
      <c r="CG433" s="24" t="n"/>
      <c r="CH433" s="24" t="n"/>
      <c r="CI433" s="24" t="inlineStr">
        <is>
          <t>NO_CALL_STARTER_ERA_GAP_INSUFFICIENT_HISTORY</t>
        </is>
      </c>
      <c r="CJ433" s="24" t="inlineStr">
        <is>
          <t>0.397972</t>
        </is>
      </c>
      <c r="CK433" s="24" t="n"/>
      <c r="CL433" s="24" t="inlineStr">
        <is>
          <t>-0.025322</t>
        </is>
      </c>
      <c r="CM433" s="24" t="inlineStr">
        <is>
          <t>0.0</t>
        </is>
      </c>
      <c r="CN433" s="24" t="n"/>
      <c r="CO433" s="24" t="n"/>
      <c r="CP433" s="24" t="n"/>
      <c r="CQ433" s="24" t="n"/>
      <c r="CR433" s="24" t="inlineStr">
        <is>
          <t>0.565934</t>
        </is>
      </c>
      <c r="CS433" s="24" t="inlineStr">
        <is>
          <t>False</t>
        </is>
      </c>
    </row>
    <row r="434" ht="36" customHeight="1">
      <c r="A434" s="24" t="inlineStr">
        <is>
          <t>7f63ea0bdba64e0a</t>
        </is>
      </c>
      <c r="B434" s="24" t="inlineStr">
        <is>
          <t>2026-08-12T17:42:37.205703Z</t>
        </is>
      </c>
      <c r="C434" s="24" t="inlineStr">
        <is>
          <t>2026-08-12T19:00:00-0400</t>
        </is>
      </c>
      <c r="D434" s="24" t="inlineStr">
        <is>
          <t>401816499</t>
        </is>
      </c>
      <c r="E434" s="24" t="inlineStr">
        <is>
          <t>MLB</t>
        </is>
      </c>
      <c r="F434" s="24" t="inlineStr">
        <is>
          <t>Seattle Mariners</t>
        </is>
      </c>
      <c r="G434" s="24" t="inlineStr">
        <is>
          <t>New York Yankees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polymarket_us</t>
        </is>
      </c>
      <c r="L434" s="26" t="n">
        <v>-120</v>
      </c>
      <c r="M434" s="27" t="n">
        <v>1.833333</v>
      </c>
      <c r="N434" s="28" t="n">
        <v>0.545455</v>
      </c>
      <c r="O434" s="28" t="n">
        <v>0.54598</v>
      </c>
      <c r="P434" s="28" t="n"/>
      <c r="Q434" s="28" t="n">
        <v>0.000525</v>
      </c>
      <c r="R434" s="26" t="n">
        <v>22</v>
      </c>
      <c r="S434" s="29" t="n">
        <v>0</v>
      </c>
      <c r="T434" s="24" t="inlineStr">
        <is>
          <t>mlb-elo-trend-lr-v8</t>
        </is>
      </c>
      <c r="U434" s="24" t="inlineStr">
        <is>
          <t>open</t>
        </is>
      </c>
      <c r="V434" s="24" t="n"/>
      <c r="W434" s="26" t="n"/>
      <c r="X434" s="26" t="n"/>
      <c r="Y434" s="25" t="n"/>
      <c r="Z434" s="26" t="n"/>
      <c r="AA434" s="28" t="n"/>
      <c r="AB434" s="28" t="n"/>
      <c r="AC434" s="30" t="n"/>
      <c r="AD434" s="24" t="n"/>
      <c r="AE434" s="31" t="inlineStr">
        <is>
          <t>Learned LR call at threshold 0.6197; executable ask 0.5450 (aec-mlb-sea-nyy-2026-08-12); model edge vs ask +0.0010.</t>
        </is>
      </c>
      <c r="AF434" s="31" t="inlineStr">
        <is>
          <t>Learned model; shadow-qualified via operator override.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research_observation</t>
        </is>
      </c>
      <c r="AL434" s="26" t="n">
        <v>3</v>
      </c>
      <c r="AM434" s="24" t="inlineStr">
        <is>
          <t>RESEARCH_OBSERVATION</t>
        </is>
      </c>
      <c r="AN434" s="24" t="inlineStr">
        <is>
          <t>NO_CALL</t>
        </is>
      </c>
      <c r="AO434" s="24" t="inlineStr">
        <is>
          <t>NO_CALL_BELOW_LEARNED_CONFIDENCE</t>
        </is>
      </c>
      <c r="AP434" s="24" t="inlineStr">
        <is>
          <t>mlb-sea</t>
        </is>
      </c>
      <c r="AQ434" s="24" t="inlineStr">
        <is>
          <t>Seattle Mariners</t>
        </is>
      </c>
      <c r="AR434" s="24" t="inlineStr">
        <is>
          <t>Seattle Mariners</t>
        </is>
      </c>
      <c r="AS434" s="24" t="inlineStr">
        <is>
          <t>mlb-nyy</t>
        </is>
      </c>
      <c r="AT434" s="24" t="inlineStr">
        <is>
          <t>New York Yankees</t>
        </is>
      </c>
      <c r="AU434" s="24" t="inlineStr">
        <is>
          <t>New York Yankees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3b345499bd6bad9bcf65367a07fe0c668fb5817d4f016a0a865c01d9212fdeb8</t>
        </is>
      </c>
      <c r="BB434" s="24" t="inlineStr">
        <is>
          <t>learned_lr</t>
        </is>
      </c>
      <c r="BC434" s="24" t="inlineStr">
        <is>
          <t>mlb-elo-trend-lr-v8</t>
        </is>
      </c>
      <c r="BD434" s="24" t="inlineStr">
        <is>
          <t>3b345499bd6bad9bcf65367a07fe0c668fb5817d4f016a0a865c01d9212fdeb8</t>
        </is>
      </c>
      <c r="BE434" s="24" t="inlineStr">
        <is>
          <t>469e4d3e18e02d8a</t>
        </is>
      </c>
      <c r="BF434" s="24" t="inlineStr">
        <is>
          <t>1</t>
        </is>
      </c>
      <c r="BG434" s="24" t="inlineStr">
        <is>
          <t>mlb-elo-trend-lr-v8</t>
        </is>
      </c>
      <c r="BH434" s="24" t="inlineStr">
        <is>
          <t>2026-08-12T17:41:26.218863Z</t>
        </is>
      </c>
      <c r="BI434" s="24" t="inlineStr">
        <is>
          <t>["same_event","same_team_same_day","same_league_same_day"]</t>
        </is>
      </c>
      <c r="BJ434" s="25" t="n"/>
      <c r="BK434" s="26" t="n">
        <v>-120</v>
      </c>
      <c r="BL434" s="27" t="n">
        <v>1.833333</v>
      </c>
      <c r="BM434" s="28" t="n">
        <v>0.545455</v>
      </c>
      <c r="BN434" s="28" t="n">
        <v>0.542289</v>
      </c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inlineStr">
        <is>
          <t>0.5867876</t>
        </is>
      </c>
      <c r="CD434" s="24" t="inlineStr">
        <is>
          <t>0.693511</t>
        </is>
      </c>
      <c r="CE434" s="24" t="inlineStr">
        <is>
          <t>1.012</t>
        </is>
      </c>
      <c r="CF434" s="24" t="inlineStr">
        <is>
          <t>1.0156</t>
        </is>
      </c>
      <c r="CG434" s="24" t="n"/>
      <c r="CH434" s="24" t="n"/>
      <c r="CI434" s="24" t="n"/>
      <c r="CJ434" s="24" t="inlineStr">
        <is>
          <t>1.43269</t>
        </is>
      </c>
      <c r="CK434" s="24" t="n"/>
      <c r="CL434" s="24" t="inlineStr">
        <is>
          <t>-0.314034</t>
        </is>
      </c>
      <c r="CM434" s="24" t="inlineStr">
        <is>
          <t>1.9101</t>
        </is>
      </c>
      <c r="CN434" s="24" t="n"/>
      <c r="CO434" s="24" t="n"/>
      <c r="CP434" s="24" t="n"/>
      <c r="CQ434" s="24" t="n"/>
      <c r="CR434" s="24" t="inlineStr">
        <is>
          <t>0.54598</t>
        </is>
      </c>
      <c r="CS434" s="24" t="inlineStr">
        <is>
          <t>True</t>
        </is>
      </c>
    </row>
    <row r="435" ht="36" customHeight="1">
      <c r="A435" s="24" t="inlineStr">
        <is>
          <t>bf717319f2d94bde</t>
        </is>
      </c>
      <c r="B435" s="24" t="inlineStr">
        <is>
          <t>2026-08-12T17:42:37.205703Z</t>
        </is>
      </c>
      <c r="C435" s="24" t="inlineStr">
        <is>
          <t>2026-08-12T19:07:00-0400</t>
        </is>
      </c>
      <c r="D435" s="24" t="inlineStr">
        <is>
          <t>401816494</t>
        </is>
      </c>
      <c r="E435" s="24" t="inlineStr">
        <is>
          <t>MLB</t>
        </is>
      </c>
      <c r="F435" s="24" t="inlineStr">
        <is>
          <t>Boston Red Sox</t>
        </is>
      </c>
      <c r="G435" s="24" t="inlineStr">
        <is>
          <t>Toronto Blue Jays</t>
        </is>
      </c>
      <c r="H435" s="24" t="inlineStr">
        <is>
          <t>moneyline</t>
        </is>
      </c>
      <c r="I435" s="24" t="inlineStr">
        <is>
          <t>away</t>
        </is>
      </c>
      <c r="J435" s="25" t="n"/>
      <c r="K435" s="24" t="inlineStr">
        <is>
          <t>polymarket_us</t>
        </is>
      </c>
      <c r="L435" s="26" t="n">
        <v>-117</v>
      </c>
      <c r="M435" s="27" t="n">
        <v>1.854701</v>
      </c>
      <c r="N435" s="28" t="n">
        <v>0.539171</v>
      </c>
      <c r="O435" s="28" t="n">
        <v>0.535728</v>
      </c>
      <c r="P435" s="28" t="n"/>
      <c r="Q435" s="28" t="n">
        <v>-0.003443</v>
      </c>
      <c r="R435" s="26" t="n">
        <v>19</v>
      </c>
      <c r="S435" s="29" t="n">
        <v>0</v>
      </c>
      <c r="T435" s="24" t="inlineStr">
        <is>
          <t>mlb-elo-trend-lr-v8</t>
        </is>
      </c>
      <c r="U435" s="24" t="inlineStr">
        <is>
          <t>open</t>
        </is>
      </c>
      <c r="V435" s="24" t="n"/>
      <c r="W435" s="26" t="n"/>
      <c r="X435" s="26" t="n"/>
      <c r="Y435" s="25" t="n"/>
      <c r="Z435" s="26" t="n"/>
      <c r="AA435" s="28" t="n"/>
      <c r="AB435" s="28" t="n"/>
      <c r="AC435" s="30" t="n"/>
      <c r="AD435" s="24" t="n"/>
      <c r="AE435" s="31" t="inlineStr">
        <is>
          <t>Learned LR call at threshold 0.6197; executable ask 0.5400 (aec-mlb-bos-tor-2026-08-12); model edge vs ask -0.0043. NOTE: NO_CALL_STARTER_ERA_GAP_INSUFFICIENT_HISTORY unavailable for this game — defaulted to neutral, other features used normally.</t>
        </is>
      </c>
      <c r="AF435" s="31" t="inlineStr">
        <is>
          <t>Learned model; shadow-qualified via operator override.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research_observation</t>
        </is>
      </c>
      <c r="AL435" s="26" t="n">
        <v>3</v>
      </c>
      <c r="AM435" s="24" t="inlineStr">
        <is>
          <t>RESEARCH_OBSERVATION</t>
        </is>
      </c>
      <c r="AN435" s="24" t="inlineStr">
        <is>
          <t>NO_CALL</t>
        </is>
      </c>
      <c r="AO435" s="24" t="inlineStr">
        <is>
          <t>NO_CALL_BELOW_LEARNED_CONFIDENCE</t>
        </is>
      </c>
      <c r="AP435" s="24" t="inlineStr">
        <is>
          <t>mlb-bos</t>
        </is>
      </c>
      <c r="AQ435" s="24" t="inlineStr">
        <is>
          <t>Boston Red Sox</t>
        </is>
      </c>
      <c r="AR435" s="24" t="inlineStr">
        <is>
          <t>Boston Red Sox</t>
        </is>
      </c>
      <c r="AS435" s="24" t="inlineStr">
        <is>
          <t>mlb-tor</t>
        </is>
      </c>
      <c r="AT435" s="24" t="inlineStr">
        <is>
          <t>Toronto Blue Jays</t>
        </is>
      </c>
      <c r="AU435" s="24" t="inlineStr">
        <is>
          <t>Toronto Blue Jays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3b345499bd6bad9bcf65367a07fe0c668fb5817d4f016a0a865c01d9212fdeb8</t>
        </is>
      </c>
      <c r="BB435" s="24" t="inlineStr">
        <is>
          <t>learned_lr</t>
        </is>
      </c>
      <c r="BC435" s="24" t="inlineStr">
        <is>
          <t>mlb-elo-trend-lr-v8</t>
        </is>
      </c>
      <c r="BD435" s="24" t="inlineStr">
        <is>
          <t>3b345499bd6bad9bcf65367a07fe0c668fb5817d4f016a0a865c01d9212fdeb8</t>
        </is>
      </c>
      <c r="BE435" s="24" t="inlineStr">
        <is>
          <t>b8545ee8b9dc3d15</t>
        </is>
      </c>
      <c r="BF435" s="24" t="inlineStr">
        <is>
          <t>1</t>
        </is>
      </c>
      <c r="BG435" s="24" t="inlineStr">
        <is>
          <t>mlb-elo-trend-lr-v8</t>
        </is>
      </c>
      <c r="BH435" s="24" t="inlineStr">
        <is>
          <t>2026-08-12T17:41:26.611550Z</t>
        </is>
      </c>
      <c r="BI435" s="24" t="inlineStr">
        <is>
          <t>["same_event","same_team_same_day","same_league_same_day"]</t>
        </is>
      </c>
      <c r="BJ435" s="25" t="n"/>
      <c r="BK435" s="26" t="n">
        <v>-117</v>
      </c>
      <c r="BL435" s="27" t="n">
        <v>1.854701</v>
      </c>
      <c r="BM435" s="28" t="n">
        <v>0.539171</v>
      </c>
      <c r="BN435" s="28" t="n">
        <v>0.537313</v>
      </c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inlineStr">
        <is>
          <t>0.4493789273</t>
        </is>
      </c>
      <c r="CD435" s="24" t="inlineStr">
        <is>
          <t>0.828557</t>
        </is>
      </c>
      <c r="CE435" s="24" t="inlineStr">
        <is>
          <t>1.019</t>
        </is>
      </c>
      <c r="CF435" s="24" t="inlineStr">
        <is>
          <t>1.0</t>
        </is>
      </c>
      <c r="CG435" s="24" t="n"/>
      <c r="CH435" s="24" t="n"/>
      <c r="CI435" s="24" t="inlineStr">
        <is>
          <t>NO_CALL_STARTER_ERA_GAP_INSUFFICIENT_HISTORY</t>
        </is>
      </c>
      <c r="CJ435" s="24" t="inlineStr">
        <is>
          <t>1.262558</t>
        </is>
      </c>
      <c r="CK435" s="24" t="n"/>
      <c r="CL435" s="24" t="inlineStr">
        <is>
          <t>0.073299</t>
        </is>
      </c>
      <c r="CM435" s="24" t="inlineStr">
        <is>
          <t>0.0</t>
        </is>
      </c>
      <c r="CN435" s="24" t="n"/>
      <c r="CO435" s="24" t="n"/>
      <c r="CP435" s="24" t="n"/>
      <c r="CQ435" s="24" t="n"/>
      <c r="CR435" s="24" t="inlineStr">
        <is>
          <t>0.535728</t>
        </is>
      </c>
      <c r="CS435" s="24" t="inlineStr">
        <is>
          <t>False</t>
        </is>
      </c>
    </row>
    <row r="436" ht="36" customHeight="1">
      <c r="A436" s="24" t="inlineStr">
        <is>
          <t>f98e7e8a19d84337</t>
        </is>
      </c>
      <c r="B436" s="24" t="inlineStr">
        <is>
          <t>2026-08-12T17:42:37.205703Z</t>
        </is>
      </c>
      <c r="C436" s="24" t="inlineStr">
        <is>
          <t>2026-08-12T19:15:00-0400</t>
        </is>
      </c>
      <c r="D436" s="24" t="inlineStr">
        <is>
          <t>401816497</t>
        </is>
      </c>
      <c r="E436" s="24" t="inlineStr">
        <is>
          <t>MLB</t>
        </is>
      </c>
      <c r="F436" s="24" t="inlineStr">
        <is>
          <t>New York Mets</t>
        </is>
      </c>
      <c r="G436" s="24" t="inlineStr">
        <is>
          <t>Atlanta Braves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polymarket_us</t>
        </is>
      </c>
      <c r="L436" s="26" t="n">
        <v>-170</v>
      </c>
      <c r="M436" s="27" t="n">
        <v>1.588235</v>
      </c>
      <c r="N436" s="28" t="n">
        <v>0.62963</v>
      </c>
      <c r="O436" s="28" t="n">
        <v>0.6142069999999999</v>
      </c>
      <c r="P436" s="28" t="n"/>
      <c r="Q436" s="28" t="n">
        <v>-0.015423</v>
      </c>
      <c r="R436" s="26" t="n">
        <v>14</v>
      </c>
      <c r="S436" s="29" t="n">
        <v>0</v>
      </c>
      <c r="T436" s="24" t="inlineStr">
        <is>
          <t>mlb-elo-trend-lr-v8</t>
        </is>
      </c>
      <c r="U436" s="24" t="inlineStr">
        <is>
          <t>open</t>
        </is>
      </c>
      <c r="V436" s="24" t="n"/>
      <c r="W436" s="26" t="n"/>
      <c r="X436" s="26" t="n"/>
      <c r="Y436" s="25" t="n"/>
      <c r="Z436" s="26" t="n"/>
      <c r="AA436" s="28" t="n"/>
      <c r="AB436" s="28" t="n"/>
      <c r="AC436" s="30" t="n"/>
      <c r="AD436" s="24" t="n"/>
      <c r="AE436" s="31" t="inlineStr">
        <is>
          <t>Learned LR call at threshold 0.6197; executable ask 0.6300 (aec-mlb-nym-atl-2026-08-12); model edge vs ask -0.0158.</t>
        </is>
      </c>
      <c r="AF436" s="31" t="inlineStr">
        <is>
          <t>Learned model; shadow-qualified via operator override.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research_observation</t>
        </is>
      </c>
      <c r="AL436" s="26" t="n">
        <v>3</v>
      </c>
      <c r="AM436" s="24" t="inlineStr">
        <is>
          <t>RESEARCH_OBSERVATION</t>
        </is>
      </c>
      <c r="AN436" s="24" t="inlineStr">
        <is>
          <t>NO_CALL</t>
        </is>
      </c>
      <c r="AO436" s="24" t="inlineStr">
        <is>
          <t>NO_CALL_BELOW_LEARNED_CONFIDENCE</t>
        </is>
      </c>
      <c r="AP436" s="24" t="inlineStr">
        <is>
          <t>mlb-nym</t>
        </is>
      </c>
      <c r="AQ436" s="24" t="inlineStr">
        <is>
          <t>New York Mets</t>
        </is>
      </c>
      <c r="AR436" s="24" t="inlineStr">
        <is>
          <t>New York Mets</t>
        </is>
      </c>
      <c r="AS436" s="24" t="inlineStr">
        <is>
          <t>mlb-atl</t>
        </is>
      </c>
      <c r="AT436" s="24" t="inlineStr">
        <is>
          <t>Atlanta Braves</t>
        </is>
      </c>
      <c r="AU436" s="24" t="inlineStr">
        <is>
          <t>Atlanta Braves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3b345499bd6bad9bcf65367a07fe0c668fb5817d4f016a0a865c01d9212fdeb8</t>
        </is>
      </c>
      <c r="BB436" s="24" t="inlineStr">
        <is>
          <t>learned_lr</t>
        </is>
      </c>
      <c r="BC436" s="24" t="inlineStr">
        <is>
          <t>mlb-elo-trend-lr-v8</t>
        </is>
      </c>
      <c r="BD436" s="24" t="inlineStr">
        <is>
          <t>3b345499bd6bad9bcf65367a07fe0c668fb5817d4f016a0a865c01d9212fdeb8</t>
        </is>
      </c>
      <c r="BE436" s="24" t="inlineStr">
        <is>
          <t>93b58186f754efc7</t>
        </is>
      </c>
      <c r="BF436" s="24" t="inlineStr">
        <is>
          <t>1</t>
        </is>
      </c>
      <c r="BG436" s="24" t="inlineStr">
        <is>
          <t>mlb-elo-trend-lr-v8</t>
        </is>
      </c>
      <c r="BH436" s="24" t="inlineStr">
        <is>
          <t>2026-08-12T17:41:27.364128Z</t>
        </is>
      </c>
      <c r="BI436" s="24" t="inlineStr">
        <is>
          <t>["same_event","same_team_same_day","same_league_same_day"]</t>
        </is>
      </c>
      <c r="BJ436" s="25" t="n"/>
      <c r="BK436" s="26" t="n">
        <v>-170</v>
      </c>
      <c r="BL436" s="27" t="n">
        <v>1.588235</v>
      </c>
      <c r="BM436" s="28" t="n">
        <v>0.62963</v>
      </c>
      <c r="BN436" s="28" t="n">
        <v>0.626866</v>
      </c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inlineStr">
        <is>
          <t>0.6196001645</t>
        </is>
      </c>
      <c r="CD436" s="24" t="inlineStr">
        <is>
          <t>-0.875585</t>
        </is>
      </c>
      <c r="CE436" s="24" t="inlineStr">
        <is>
          <t>0.929</t>
        </is>
      </c>
      <c r="CF436" s="24" t="inlineStr">
        <is>
          <t>1.0205</t>
        </is>
      </c>
      <c r="CG436" s="24" t="n"/>
      <c r="CH436" s="24" t="n"/>
      <c r="CI436" s="24" t="n"/>
      <c r="CJ436" s="24" t="inlineStr">
        <is>
          <t>0.802724</t>
        </is>
      </c>
      <c r="CK436" s="24" t="n"/>
      <c r="CL436" s="24" t="inlineStr">
        <is>
          <t>0.083095</t>
        </is>
      </c>
      <c r="CM436" s="24" t="inlineStr">
        <is>
          <t>1.4874</t>
        </is>
      </c>
      <c r="CN436" s="24" t="n"/>
      <c r="CO436" s="24" t="n"/>
      <c r="CP436" s="24" t="n"/>
      <c r="CQ436" s="24" t="n"/>
      <c r="CR436" s="24" t="inlineStr">
        <is>
          <t>0.614207</t>
        </is>
      </c>
      <c r="CS436" s="24" t="inlineStr">
        <is>
          <t>False</t>
        </is>
      </c>
    </row>
    <row r="437" ht="36" customHeight="1">
      <c r="A437" s="24" t="inlineStr">
        <is>
          <t>cb306b3c78954d66</t>
        </is>
      </c>
      <c r="B437" s="24" t="inlineStr">
        <is>
          <t>2026-08-12T17:42:37.205703Z</t>
        </is>
      </c>
      <c r="C437" s="24" t="inlineStr">
        <is>
          <t>2026-08-12T19:40:00-0400</t>
        </is>
      </c>
      <c r="D437" s="24" t="inlineStr">
        <is>
          <t>401816501</t>
        </is>
      </c>
      <c r="E437" s="24" t="inlineStr">
        <is>
          <t>MLB</t>
        </is>
      </c>
      <c r="F437" s="24" t="inlineStr">
        <is>
          <t>Cincinnati Reds</t>
        </is>
      </c>
      <c r="G437" s="24" t="inlineStr">
        <is>
          <t>Chicago White Sox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polymarket_us</t>
        </is>
      </c>
      <c r="L437" s="26" t="n">
        <v>-138</v>
      </c>
      <c r="M437" s="27" t="n">
        <v>1.724638</v>
      </c>
      <c r="N437" s="28" t="n">
        <v>0.579832</v>
      </c>
      <c r="O437" s="28" t="n">
        <v>0.587986</v>
      </c>
      <c r="P437" s="28" t="n"/>
      <c r="Q437" s="28" t="n">
        <v>0.008154</v>
      </c>
      <c r="R437" s="26" t="n">
        <v>25</v>
      </c>
      <c r="S437" s="29" t="n">
        <v>0</v>
      </c>
      <c r="T437" s="24" t="inlineStr">
        <is>
          <t>mlb-elo-trend-lr-v8</t>
        </is>
      </c>
      <c r="U437" s="24" t="inlineStr">
        <is>
          <t>open</t>
        </is>
      </c>
      <c r="V437" s="24" t="n"/>
      <c r="W437" s="26" t="n"/>
      <c r="X437" s="26" t="n"/>
      <c r="Y437" s="25" t="n"/>
      <c r="Z437" s="26" t="n"/>
      <c r="AA437" s="28" t="n"/>
      <c r="AB437" s="28" t="n"/>
      <c r="AC437" s="30" t="n"/>
      <c r="AD437" s="24" t="n"/>
      <c r="AE437" s="31" t="inlineStr">
        <is>
          <t>Learned LR call at threshold 0.6197; executable ask 0.5800 (aec-mlb-cin-cws-2026-08-12); model edge vs ask +0.0080.</t>
        </is>
      </c>
      <c r="AF437" s="31" t="inlineStr">
        <is>
          <t>Learned model; shadow-qualified via operator override.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research_observation</t>
        </is>
      </c>
      <c r="AL437" s="26" t="n">
        <v>3</v>
      </c>
      <c r="AM437" s="24" t="inlineStr">
        <is>
          <t>RESEARCH_OBSERVATION</t>
        </is>
      </c>
      <c r="AN437" s="24" t="inlineStr">
        <is>
          <t>NO_CALL</t>
        </is>
      </c>
      <c r="AO437" s="24" t="inlineStr">
        <is>
          <t>NO_CALL_BELOW_LEARNED_CONFIDENCE</t>
        </is>
      </c>
      <c r="AP437" s="24" t="inlineStr">
        <is>
          <t>mlb-cin</t>
        </is>
      </c>
      <c r="AQ437" s="24" t="inlineStr">
        <is>
          <t>Cincinnati Reds</t>
        </is>
      </c>
      <c r="AR437" s="24" t="inlineStr">
        <is>
          <t>Cincinnati Reds</t>
        </is>
      </c>
      <c r="AS437" s="24" t="inlineStr">
        <is>
          <t>mlb-cws</t>
        </is>
      </c>
      <c r="AT437" s="24" t="inlineStr">
        <is>
          <t>Chicago White Sox</t>
        </is>
      </c>
      <c r="AU437" s="24" t="inlineStr">
        <is>
          <t>Chicago White Sox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3b345499bd6bad9bcf65367a07fe0c668fb5817d4f016a0a865c01d9212fdeb8</t>
        </is>
      </c>
      <c r="BB437" s="24" t="inlineStr">
        <is>
          <t>learned_lr</t>
        </is>
      </c>
      <c r="BC437" s="24" t="inlineStr">
        <is>
          <t>mlb-elo-trend-lr-v8</t>
        </is>
      </c>
      <c r="BD437" s="24" t="inlineStr">
        <is>
          <t>3b345499bd6bad9bcf65367a07fe0c668fb5817d4f016a0a865c01d9212fdeb8</t>
        </is>
      </c>
      <c r="BE437" s="24" t="inlineStr">
        <is>
          <t>1b81a0285da10939</t>
        </is>
      </c>
      <c r="BF437" s="24" t="inlineStr">
        <is>
          <t>1</t>
        </is>
      </c>
      <c r="BG437" s="24" t="inlineStr">
        <is>
          <t>mlb-elo-trend-lr-v8</t>
        </is>
      </c>
      <c r="BH437" s="24" t="inlineStr">
        <is>
          <t>2026-08-12T17:41:27.821061Z</t>
        </is>
      </c>
      <c r="BI437" s="24" t="inlineStr">
        <is>
          <t>["same_event","same_team_same_day","same_league_same_day"]</t>
        </is>
      </c>
      <c r="BJ437" s="25" t="n"/>
      <c r="BK437" s="26" t="n">
        <v>-138</v>
      </c>
      <c r="BL437" s="27" t="n">
        <v>1.724638</v>
      </c>
      <c r="BM437" s="28" t="n">
        <v>0.579832</v>
      </c>
      <c r="BN437" s="28" t="n">
        <v>0.577114</v>
      </c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inlineStr">
        <is>
          <t>0.5687363156</t>
        </is>
      </c>
      <c r="CD437" s="24" t="inlineStr">
        <is>
          <t>0.5306</t>
        </is>
      </c>
      <c r="CE437" s="24" t="inlineStr">
        <is>
          <t>0.937</t>
        </is>
      </c>
      <c r="CF437" s="24" t="inlineStr">
        <is>
          <t>1.0076</t>
        </is>
      </c>
      <c r="CG437" s="24" t="n"/>
      <c r="CH437" s="24" t="n"/>
      <c r="CI437" s="24" t="n"/>
      <c r="CJ437" s="24" t="inlineStr">
        <is>
          <t>-0.453217</t>
        </is>
      </c>
      <c r="CK437" s="24" t="n"/>
      <c r="CL437" s="24" t="inlineStr">
        <is>
          <t>-0.041154</t>
        </is>
      </c>
      <c r="CM437" s="24" t="inlineStr">
        <is>
          <t>-3.9</t>
        </is>
      </c>
      <c r="CN437" s="24" t="n"/>
      <c r="CO437" s="24" t="n"/>
      <c r="CP437" s="24" t="n"/>
      <c r="CQ437" s="24" t="n"/>
      <c r="CR437" s="24" t="inlineStr">
        <is>
          <t>0.587986</t>
        </is>
      </c>
      <c r="CS437" s="24" t="inlineStr">
        <is>
          <t>True</t>
        </is>
      </c>
    </row>
    <row r="438" ht="36" customHeight="1">
      <c r="A438" s="24" t="inlineStr">
        <is>
          <t>b75b72c0fa08495c</t>
        </is>
      </c>
      <c r="B438" s="24" t="inlineStr">
        <is>
          <t>2026-08-12T17:42:37.205703Z</t>
        </is>
      </c>
      <c r="C438" s="24" t="inlineStr">
        <is>
          <t>2026-08-12T22:00:00-0400</t>
        </is>
      </c>
      <c r="D438" s="24" t="inlineStr">
        <is>
          <t>401816508</t>
        </is>
      </c>
      <c r="E438" s="24" t="inlineStr">
        <is>
          <t>MLB</t>
        </is>
      </c>
      <c r="F438" s="24" t="inlineStr">
        <is>
          <t>Texas Rangers</t>
        </is>
      </c>
      <c r="G438" s="24" t="inlineStr">
        <is>
          <t>Los Angeles Angels</t>
        </is>
      </c>
      <c r="H438" s="24" t="inlineStr">
        <is>
          <t>moneyline</t>
        </is>
      </c>
      <c r="I438" s="24" t="inlineStr">
        <is>
          <t>away</t>
        </is>
      </c>
      <c r="J438" s="25" t="n"/>
      <c r="K438" s="24" t="inlineStr">
        <is>
          <t>polymarket_us</t>
        </is>
      </c>
      <c r="L438" s="26" t="n">
        <v>-127</v>
      </c>
      <c r="M438" s="27" t="n">
        <v>1.787402</v>
      </c>
      <c r="N438" s="28" t="n">
        <v>0.5594710000000001</v>
      </c>
      <c r="O438" s="28" t="n">
        <v>0.534196</v>
      </c>
      <c r="P438" s="28" t="n"/>
      <c r="Q438" s="28" t="n">
        <v>-0.025275</v>
      </c>
      <c r="R438" s="26" t="n">
        <v>8</v>
      </c>
      <c r="S438" s="29" t="n">
        <v>0</v>
      </c>
      <c r="T438" s="24" t="inlineStr">
        <is>
          <t>mlb-elo-trend-lr-v8</t>
        </is>
      </c>
      <c r="U438" s="24" t="inlineStr">
        <is>
          <t>open</t>
        </is>
      </c>
      <c r="V438" s="24" t="n"/>
      <c r="W438" s="26" t="n"/>
      <c r="X438" s="26" t="n"/>
      <c r="Y438" s="25" t="n"/>
      <c r="Z438" s="26" t="n"/>
      <c r="AA438" s="28" t="n"/>
      <c r="AB438" s="28" t="n"/>
      <c r="AC438" s="30" t="n"/>
      <c r="AD438" s="24" t="n"/>
      <c r="AE438" s="31" t="inlineStr">
        <is>
          <t>Learned LR call at threshold 0.6197; executable ask 0.5600 (aec-mlb-tex-laa-2026-08-12); model edge vs ask -0.0258.</t>
        </is>
      </c>
      <c r="AF438" s="31" t="inlineStr">
        <is>
          <t>Learned model; shadow-qualified via operator override.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research_observation</t>
        </is>
      </c>
      <c r="AL438" s="26" t="n">
        <v>3</v>
      </c>
      <c r="AM438" s="24" t="inlineStr">
        <is>
          <t>RESEARCH_OBSERVATION</t>
        </is>
      </c>
      <c r="AN438" s="24" t="inlineStr">
        <is>
          <t>NO_CALL</t>
        </is>
      </c>
      <c r="AO438" s="24" t="inlineStr">
        <is>
          <t>NO_CALL_BELOW_LEARNED_CONFIDENCE</t>
        </is>
      </c>
      <c r="AP438" s="24" t="inlineStr">
        <is>
          <t>mlb-tex</t>
        </is>
      </c>
      <c r="AQ438" s="24" t="inlineStr">
        <is>
          <t>Texas Rangers</t>
        </is>
      </c>
      <c r="AR438" s="24" t="inlineStr">
        <is>
          <t>Texas Rangers</t>
        </is>
      </c>
      <c r="AS438" s="24" t="inlineStr">
        <is>
          <t>mlb-laa</t>
        </is>
      </c>
      <c r="AT438" s="24" t="inlineStr">
        <is>
          <t>Los Angeles Angels</t>
        </is>
      </c>
      <c r="AU438" s="24" t="inlineStr">
        <is>
          <t>Los Angeles Angels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3b345499bd6bad9bcf65367a07fe0c668fb5817d4f016a0a865c01d9212fdeb8</t>
        </is>
      </c>
      <c r="BB438" s="24" t="inlineStr">
        <is>
          <t>learned_lr</t>
        </is>
      </c>
      <c r="BC438" s="24" t="inlineStr">
        <is>
          <t>mlb-elo-trend-lr-v8</t>
        </is>
      </c>
      <c r="BD438" s="24" t="inlineStr">
        <is>
          <t>3b345499bd6bad9bcf65367a07fe0c668fb5817d4f016a0a865c01d9212fdeb8</t>
        </is>
      </c>
      <c r="BE438" s="24" t="inlineStr">
        <is>
          <t>115dce3ca7d66c62</t>
        </is>
      </c>
      <c r="BF438" s="24" t="inlineStr">
        <is>
          <t>1</t>
        </is>
      </c>
      <c r="BG438" s="24" t="inlineStr">
        <is>
          <t>mlb-elo-trend-lr-v8</t>
        </is>
      </c>
      <c r="BH438" s="24" t="inlineStr">
        <is>
          <t>2026-08-12T17:41:28.387512Z</t>
        </is>
      </c>
      <c r="BI438" s="24" t="inlineStr">
        <is>
          <t>["same_event","same_team_same_day","same_league_same_day"]</t>
        </is>
      </c>
      <c r="BJ438" s="25" t="n"/>
      <c r="BK438" s="26" t="n">
        <v>-127</v>
      </c>
      <c r="BL438" s="27" t="n">
        <v>1.787402</v>
      </c>
      <c r="BM438" s="28" t="n">
        <v>0.5594710000000001</v>
      </c>
      <c r="BN438" s="28" t="n">
        <v>0.557214</v>
      </c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inlineStr">
        <is>
          <t>0.4554813041</t>
        </is>
      </c>
      <c r="CD438" s="24" t="inlineStr">
        <is>
          <t>-0.532553</t>
        </is>
      </c>
      <c r="CE438" s="24" t="inlineStr">
        <is>
          <t>1.01</t>
        </is>
      </c>
      <c r="CF438" s="24" t="inlineStr">
        <is>
          <t>1.0026</t>
        </is>
      </c>
      <c r="CG438" s="24" t="n"/>
      <c r="CH438" s="24" t="n"/>
      <c r="CI438" s="24" t="n"/>
      <c r="CJ438" s="24" t="inlineStr">
        <is>
          <t>-1.256034</t>
        </is>
      </c>
      <c r="CK438" s="24" t="n"/>
      <c r="CL438" s="24" t="inlineStr">
        <is>
          <t>0.17997</t>
        </is>
      </c>
      <c r="CM438" s="24" t="inlineStr">
        <is>
          <t>3.6692</t>
        </is>
      </c>
      <c r="CN438" s="24" t="n"/>
      <c r="CO438" s="24" t="n"/>
      <c r="CP438" s="24" t="n"/>
      <c r="CQ438" s="24" t="n"/>
      <c r="CR438" s="24" t="inlineStr">
        <is>
          <t>0.534196</t>
        </is>
      </c>
      <c r="CS438" s="24" t="inlineStr">
        <is>
          <t>False</t>
        </is>
      </c>
    </row>
    <row r="439" ht="36" customHeight="1">
      <c r="A439" s="24" t="inlineStr">
        <is>
          <t>163928f527bd4d60</t>
        </is>
      </c>
      <c r="B439" s="24" t="inlineStr">
        <is>
          <t>2026-08-12T17:42:37.205703Z</t>
        </is>
      </c>
      <c r="C439" s="24" t="inlineStr">
        <is>
          <t>2026-08-12T22:10:00-0400</t>
        </is>
      </c>
      <c r="D439" s="24" t="inlineStr">
        <is>
          <t>401816505</t>
        </is>
      </c>
      <c r="E439" s="24" t="inlineStr">
        <is>
          <t>MLB</t>
        </is>
      </c>
      <c r="F439" s="24" t="inlineStr">
        <is>
          <t>Kansas City Royals</t>
        </is>
      </c>
      <c r="G439" s="24" t="inlineStr">
        <is>
          <t>Los Angeles Dodgers</t>
        </is>
      </c>
      <c r="H439" s="24" t="inlineStr">
        <is>
          <t>moneyline</t>
        </is>
      </c>
      <c r="I439" s="24" t="inlineStr">
        <is>
          <t>home</t>
        </is>
      </c>
      <c r="J439" s="25" t="n"/>
      <c r="K439" s="24" t="inlineStr">
        <is>
          <t>polymarket_us</t>
        </is>
      </c>
      <c r="L439" s="26" t="n">
        <v>-199</v>
      </c>
      <c r="M439" s="27" t="n">
        <v>1.502513</v>
      </c>
      <c r="N439" s="28" t="n">
        <v>0.665552</v>
      </c>
      <c r="O439" s="28" t="n">
        <v>0.636517</v>
      </c>
      <c r="P439" s="28" t="n"/>
      <c r="Q439" s="28" t="n">
        <v>-0.029035</v>
      </c>
      <c r="R439" s="26" t="n">
        <v>7</v>
      </c>
      <c r="S439" s="29" t="n">
        <v>1.5</v>
      </c>
      <c r="T439" s="24" t="inlineStr">
        <is>
          <t>mlb-elo-trend-lr-v8</t>
        </is>
      </c>
      <c r="U439" s="24" t="inlineStr">
        <is>
          <t>open</t>
        </is>
      </c>
      <c r="V439" s="24" t="n"/>
      <c r="W439" s="26" t="n"/>
      <c r="X439" s="26" t="n"/>
      <c r="Y439" s="25" t="n"/>
      <c r="Z439" s="26" t="n"/>
      <c r="AA439" s="28" t="n"/>
      <c r="AB439" s="28" t="n"/>
      <c r="AC439" s="30" t="n"/>
      <c r="AD439" s="24" t="n"/>
      <c r="AE439" s="31" t="inlineStr">
        <is>
          <t>Learned LR call at threshold 0.6197; executable ask 0.6650 (aec-mlb-kc-lad-2026-08-12); model edge vs ask -0.0285.</t>
        </is>
      </c>
      <c r="AF439" s="31" t="inlineStr">
        <is>
          <t>Learned model; shadow-qualified via operator override.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model_qualified</t>
        </is>
      </c>
      <c r="AL439" s="26" t="n">
        <v>3</v>
      </c>
      <c r="AM439" s="24" t="inlineStr">
        <is>
          <t>QUALIFIED_SHADOW_CALL</t>
        </is>
      </c>
      <c r="AN439" s="24" t="inlineStr">
        <is>
          <t>CALL</t>
        </is>
      </c>
      <c r="AO439" s="24" t="inlineStr">
        <is>
          <t>QUALIFIED</t>
        </is>
      </c>
      <c r="AP439" s="24" t="inlineStr">
        <is>
          <t>mlb-kc</t>
        </is>
      </c>
      <c r="AQ439" s="24" t="inlineStr">
        <is>
          <t>Kansas City Royals</t>
        </is>
      </c>
      <c r="AR439" s="24" t="inlineStr">
        <is>
          <t>Kansas City Royals</t>
        </is>
      </c>
      <c r="AS439" s="24" t="inlineStr">
        <is>
          <t>mlb-lad</t>
        </is>
      </c>
      <c r="AT439" s="24" t="inlineStr">
        <is>
          <t>Los Angeles Dodgers</t>
        </is>
      </c>
      <c r="AU439" s="24" t="inlineStr">
        <is>
          <t>Los Angeles Dodgers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3b345499bd6bad9bcf65367a07fe0c668fb5817d4f016a0a865c01d9212fdeb8</t>
        </is>
      </c>
      <c r="BB439" s="24" t="inlineStr">
        <is>
          <t>learned_lr</t>
        </is>
      </c>
      <c r="BC439" s="24" t="inlineStr">
        <is>
          <t>mlb-elo-trend-lr-v8</t>
        </is>
      </c>
      <c r="BD439" s="24" t="inlineStr">
        <is>
          <t>3b345499bd6bad9bcf65367a07fe0c668fb5817d4f016a0a865c01d9212fdeb8</t>
        </is>
      </c>
      <c r="BE439" s="24" t="inlineStr">
        <is>
          <t>dc4da9831907af6e</t>
        </is>
      </c>
      <c r="BF439" s="24" t="inlineStr">
        <is>
          <t>1</t>
        </is>
      </c>
      <c r="BG439" s="24" t="inlineStr">
        <is>
          <t>mlb-elo-trend-lr-v8</t>
        </is>
      </c>
      <c r="BH439" s="24" t="inlineStr">
        <is>
          <t>2026-08-12T17:41:29.212213Z</t>
        </is>
      </c>
      <c r="BI439" s="24" t="inlineStr">
        <is>
          <t>["same_event","same_team_same_day","same_league_same_day"]</t>
        </is>
      </c>
      <c r="BJ439" s="25" t="n"/>
      <c r="BK439" s="26" t="n">
        <v>-199</v>
      </c>
      <c r="BL439" s="27" t="n">
        <v>1.502513</v>
      </c>
      <c r="BM439" s="28" t="n">
        <v>0.665552</v>
      </c>
      <c r="BN439" s="28" t="n">
        <v>0.6616919999999999</v>
      </c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inlineStr">
        <is>
          <t>0.6733890599</t>
        </is>
      </c>
      <c r="CD439" s="24" t="inlineStr">
        <is>
          <t>-0.257437</t>
        </is>
      </c>
      <c r="CE439" s="24" t="inlineStr">
        <is>
          <t>1.026</t>
        </is>
      </c>
      <c r="CF439" s="24" t="inlineStr">
        <is>
          <t>1.0008</t>
        </is>
      </c>
      <c r="CG439" s="24" t="n"/>
      <c r="CH439" s="24" t="n"/>
      <c r="CI439" s="24" t="n"/>
      <c r="CJ439" s="24" t="inlineStr">
        <is>
          <t>-0.554899</t>
        </is>
      </c>
      <c r="CK439" s="24" t="n"/>
      <c r="CL439" s="24" t="inlineStr">
        <is>
          <t>-0.273728</t>
        </is>
      </c>
      <c r="CM439" s="24" t="inlineStr">
        <is>
          <t>-2.8699</t>
        </is>
      </c>
      <c r="CN439" s="24" t="n"/>
      <c r="CO439" s="24" t="n"/>
      <c r="CP439" s="24" t="n"/>
      <c r="CQ439" s="24" t="n"/>
      <c r="CR439" s="24" t="inlineStr">
        <is>
          <t>0.636517</t>
        </is>
      </c>
      <c r="CS439" s="24" t="inlineStr">
        <is>
          <t>False</t>
        </is>
      </c>
    </row>
    <row r="440" ht="36" customHeight="1">
      <c r="A440" s="24" t="inlineStr">
        <is>
          <t>c3d3684fcb49403a</t>
        </is>
      </c>
      <c r="B440" s="24" t="inlineStr">
        <is>
          <t>2026-08-12T17:43:09.064761Z</t>
        </is>
      </c>
      <c r="C440" s="24" t="inlineStr">
        <is>
          <t>2026-08-12T18:15Z</t>
        </is>
      </c>
      <c r="D440" s="24" t="inlineStr">
        <is>
          <t>401816502</t>
        </is>
      </c>
      <c r="E440" s="24" t="inlineStr">
        <is>
          <t>MLB</t>
        </is>
      </c>
      <c r="F440" s="24" t="inlineStr">
        <is>
          <t>Philadelphia Phillies</t>
        </is>
      </c>
      <c r="G440" s="24" t="inlineStr">
        <is>
          <t>St. Louis Cardinals</t>
        </is>
      </c>
      <c r="H440" s="24" t="inlineStr">
        <is>
          <t>spread</t>
        </is>
      </c>
      <c r="I440" s="24" t="inlineStr">
        <is>
          <t>home</t>
        </is>
      </c>
      <c r="J440" s="25" t="n">
        <v>1.5</v>
      </c>
      <c r="K440" s="24" t="inlineStr">
        <is>
          <t>polymarket_us</t>
        </is>
      </c>
      <c r="L440" s="26" t="n">
        <v>-115</v>
      </c>
      <c r="M440" s="27" t="n">
        <v>1.869565</v>
      </c>
      <c r="N440" s="28" t="n">
        <v>0.534884</v>
      </c>
      <c r="O440" s="28" t="n">
        <v>0.639108</v>
      </c>
      <c r="P440" s="28" t="n">
        <v>0.042131</v>
      </c>
      <c r="Q440" s="28" t="n">
        <v>0.104224</v>
      </c>
      <c r="R440" s="26" t="n">
        <v>78</v>
      </c>
      <c r="S440" s="29" t="n">
        <v>1.75</v>
      </c>
      <c r="T440" s="24" t="inlineStr">
        <is>
          <t>measured-edge-margin-v3</t>
        </is>
      </c>
      <c r="U440" s="24" t="inlineStr">
        <is>
          <t>open</t>
        </is>
      </c>
      <c r="V440" s="24" t="n"/>
      <c r="W440" s="26" t="n"/>
      <c r="X440" s="26" t="n"/>
      <c r="Y440" s="25" t="n"/>
      <c r="Z440" s="26" t="n"/>
      <c r="AA440" s="28" t="n"/>
      <c r="AB440" s="28" t="n"/>
      <c r="AC440" s="30" t="n"/>
      <c r="AD440" s="24" t="n"/>
      <c r="AE440" s="31" t="inlineStr">
        <is>
          <t>Measured Edge Margin: Trend Engine projected 4.11-4.45; raw selected-side p=0.7042, calibrated p=0.6391.</t>
        </is>
      </c>
      <c r="AF440" s="31" t="inlineStr">
        <is>
          <t>Research-only; lineup, bullpen, park, weather, xFIP, and wRC+ may be neutral fallbacks; market availability and BBO depth may change before first pitch.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3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mlb-phi</t>
        </is>
      </c>
      <c r="AQ440" s="24" t="inlineStr">
        <is>
          <t>Philadelphia Phillies</t>
        </is>
      </c>
      <c r="AR440" s="24" t="inlineStr">
        <is>
          <t>Philadelphia Phillies</t>
        </is>
      </c>
      <c r="AS440" s="24" t="inlineStr">
        <is>
          <t>mlb-stl</t>
        </is>
      </c>
      <c r="AT440" s="24" t="inlineStr">
        <is>
          <t>St. Louis Cardinals</t>
        </is>
      </c>
      <c r="AU440" s="24" t="inlineStr">
        <is>
          <t>St. Louis Cardinals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research</t>
        </is>
      </c>
      <c r="BA440" s="24" t="inlineStr">
        <is>
          <t>dd339a2eed50d7d83ab2127837995ddab82e879afd27f5414bb6c1f9cd60ba4c</t>
        </is>
      </c>
      <c r="BB440" s="24" t="inlineStr">
        <is>
          <t>flat_probability_shrinkage_toward_half</t>
        </is>
      </c>
      <c r="BC440" s="24" t="inlineStr">
        <is>
          <t>measured-edge-margin-v3</t>
        </is>
      </c>
      <c r="BD440" s="24" t="inlineStr">
        <is>
          <t>dd339a2eed50d7d83ab2127837995ddab82e879afd27f5414bb6c1f9cd60ba4c</t>
        </is>
      </c>
      <c r="BE440" s="24" t="inlineStr">
        <is>
          <t>v3</t>
        </is>
      </c>
      <c r="BF440" s="24" t="inlineStr">
        <is>
          <t>1</t>
        </is>
      </c>
      <c r="BG440" s="24" t="inlineStr">
        <is>
          <t>measured-edge-paired-v1</t>
        </is>
      </c>
      <c r="BH440" s="24" t="inlineStr">
        <is>
          <t>2026-08-12T17:43:09.064761Z</t>
        </is>
      </c>
      <c r="BI440" s="24" t="inlineStr">
        <is>
          <t>["same_event","same_team_same_day","same_league_same_day"]</t>
        </is>
      </c>
      <c r="BJ440" s="25" t="n">
        <v>1.5</v>
      </c>
      <c r="BK440" s="26" t="n">
        <v>-115</v>
      </c>
      <c r="BL440" s="27" t="n">
        <v>1.869565</v>
      </c>
      <c r="BM440" s="28" t="n">
        <v>0.534884</v>
      </c>
      <c r="BN440" s="28" t="n">
        <v>0.532338</v>
      </c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</row>
    <row r="441" ht="36" customHeight="1">
      <c r="A441" s="24" t="inlineStr">
        <is>
          <t>77f00f6203ca4fba</t>
        </is>
      </c>
      <c r="B441" s="24" t="inlineStr">
        <is>
          <t>2026-08-12T17:43:09.064761Z</t>
        </is>
      </c>
      <c r="C441" s="24" t="inlineStr">
        <is>
          <t>2026-08-12T18:15Z</t>
        </is>
      </c>
      <c r="D441" s="24" t="inlineStr">
        <is>
          <t>401816502</t>
        </is>
      </c>
      <c r="E441" s="24" t="inlineStr">
        <is>
          <t>MLB</t>
        </is>
      </c>
      <c r="F441" s="24" t="inlineStr">
        <is>
          <t>Philadelphia Phillies</t>
        </is>
      </c>
      <c r="G441" s="24" t="inlineStr">
        <is>
          <t>St. Louis Cardinals</t>
        </is>
      </c>
      <c r="H441" s="24" t="inlineStr">
        <is>
          <t>total</t>
        </is>
      </c>
      <c r="I441" s="24" t="inlineStr">
        <is>
          <t>over</t>
        </is>
      </c>
      <c r="J441" s="25" t="n">
        <v>7.5</v>
      </c>
      <c r="K441" s="24" t="inlineStr">
        <is>
          <t>polymarket_us</t>
        </is>
      </c>
      <c r="L441" s="26" t="n">
        <v>-115</v>
      </c>
      <c r="M441" s="27" t="n">
        <v>1.869565</v>
      </c>
      <c r="N441" s="28" t="n">
        <v>0.534884</v>
      </c>
      <c r="O441" s="28" t="n">
        <v>0.5196229999999999</v>
      </c>
      <c r="P441" s="28" t="n">
        <v>0.042131</v>
      </c>
      <c r="Q441" s="28" t="n">
        <v>-0.015261</v>
      </c>
      <c r="R441" s="26" t="n">
        <v>18</v>
      </c>
      <c r="S441" s="29" t="n">
        <v>1</v>
      </c>
      <c r="T441" s="24" t="inlineStr">
        <is>
          <t>measured-edge-totals-v3</t>
        </is>
      </c>
      <c r="U441" s="24" t="inlineStr">
        <is>
          <t>open</t>
        </is>
      </c>
      <c r="V441" s="24" t="n"/>
      <c r="W441" s="26" t="n"/>
      <c r="X441" s="26" t="n"/>
      <c r="Y441" s="25" t="n"/>
      <c r="Z441" s="26" t="n"/>
      <c r="AA441" s="28" t="n"/>
      <c r="AB441" s="28" t="n"/>
      <c r="AC441" s="30" t="n"/>
      <c r="AD441" s="24" t="n"/>
      <c r="AE441" s="31" t="inlineStr">
        <is>
          <t>Measured Edge Totals: Trend Engine projected 4.11-4.45; raw selected-side p=0.5556, calibrated p=0.5196.</t>
        </is>
      </c>
      <c r="AF441" s="31" t="inlineStr">
        <is>
          <t>Research-only; lineup, bullpen, park, weather, xFIP, and wRC+ may be neutral fallbacks; market availability and BBO depth may change before first pitch.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3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mlb-phi</t>
        </is>
      </c>
      <c r="AQ441" s="24" t="inlineStr">
        <is>
          <t>Philadelphia Phillies</t>
        </is>
      </c>
      <c r="AR441" s="24" t="inlineStr">
        <is>
          <t>Philadelphia Phillies</t>
        </is>
      </c>
      <c r="AS441" s="24" t="inlineStr">
        <is>
          <t>mlb-stl</t>
        </is>
      </c>
      <c r="AT441" s="24" t="inlineStr">
        <is>
          <t>St. Louis Cardinals</t>
        </is>
      </c>
      <c r="AU441" s="24" t="inlineStr">
        <is>
          <t>St. Louis Cardinals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research</t>
        </is>
      </c>
      <c r="BA441" s="24" t="inlineStr">
        <is>
          <t>95b84332c75d2ce54036eb8de6ada9c78d0f80228c50825c0347281a8b9b49c7</t>
        </is>
      </c>
      <c r="BB441" s="24" t="inlineStr">
        <is>
          <t>flat_probability_shrinkage_toward_half</t>
        </is>
      </c>
      <c r="BC441" s="24" t="inlineStr">
        <is>
          <t>measured-edge-totals-v3</t>
        </is>
      </c>
      <c r="BD441" s="24" t="inlineStr">
        <is>
          <t>95b84332c75d2ce54036eb8de6ada9c78d0f80228c50825c0347281a8b9b49c7</t>
        </is>
      </c>
      <c r="BE441" s="24" t="inlineStr">
        <is>
          <t>v3</t>
        </is>
      </c>
      <c r="BF441" s="24" t="inlineStr">
        <is>
          <t>1</t>
        </is>
      </c>
      <c r="BG441" s="24" t="inlineStr">
        <is>
          <t>measured-edge-paired-v1</t>
        </is>
      </c>
      <c r="BH441" s="24" t="inlineStr">
        <is>
          <t>2026-08-12T17:43:09.064761Z</t>
        </is>
      </c>
      <c r="BI441" s="24" t="inlineStr">
        <is>
          <t>["same_event","same_team_same_day","same_league_same_day"]</t>
        </is>
      </c>
      <c r="BJ441" s="25" t="n">
        <v>7.5</v>
      </c>
      <c r="BK441" s="26" t="n">
        <v>-115</v>
      </c>
      <c r="BL441" s="27" t="n">
        <v>1.869565</v>
      </c>
      <c r="BM441" s="28" t="n">
        <v>0.534884</v>
      </c>
      <c r="BN441" s="28" t="n">
        <v>0.532338</v>
      </c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</row>
    <row r="442" ht="36" customHeight="1">
      <c r="A442" s="24" t="inlineStr">
        <is>
          <t>c48e5e0f74b74865</t>
        </is>
      </c>
      <c r="B442" s="24" t="inlineStr">
        <is>
          <t>2026-08-12T17:43:09.064761Z</t>
        </is>
      </c>
      <c r="C442" s="24" t="inlineStr">
        <is>
          <t>2026-08-12T19:05Z</t>
        </is>
      </c>
      <c r="D442" s="24" t="inlineStr">
        <is>
          <t>401816507</t>
        </is>
      </c>
      <c r="E442" s="24" t="inlineStr">
        <is>
          <t>MLB</t>
        </is>
      </c>
      <c r="F442" s="24" t="inlineStr">
        <is>
          <t>Tampa Bay Rays</t>
        </is>
      </c>
      <c r="G442" s="24" t="inlineStr">
        <is>
          <t>Athletics</t>
        </is>
      </c>
      <c r="H442" s="24" t="inlineStr">
        <is>
          <t>spread</t>
        </is>
      </c>
      <c r="I442" s="24" t="inlineStr">
        <is>
          <t>home</t>
        </is>
      </c>
      <c r="J442" s="25" t="n">
        <v>2.5</v>
      </c>
      <c r="K442" s="24" t="inlineStr">
        <is>
          <t>polymarket_us</t>
        </is>
      </c>
      <c r="L442" s="26" t="n">
        <v>-125</v>
      </c>
      <c r="M442" s="27" t="n">
        <v>1.8</v>
      </c>
      <c r="N442" s="28" t="n">
        <v>0.555556</v>
      </c>
      <c r="O442" s="28" t="n">
        <v>0.5823469999999999</v>
      </c>
      <c r="P442" s="28" t="n">
        <v>0.042131</v>
      </c>
      <c r="Q442" s="28" t="n">
        <v>0.026791</v>
      </c>
      <c r="R442" s="26" t="n">
        <v>40</v>
      </c>
      <c r="S442" s="29" t="n">
        <v>1.25</v>
      </c>
      <c r="T442" s="24" t="inlineStr">
        <is>
          <t>measured-edge-margin-v3</t>
        </is>
      </c>
      <c r="U442" s="24" t="inlineStr">
        <is>
          <t>open</t>
        </is>
      </c>
      <c r="V442" s="24" t="n"/>
      <c r="W442" s="26" t="n"/>
      <c r="X442" s="26" t="n"/>
      <c r="Y442" s="25" t="n"/>
      <c r="Z442" s="26" t="n"/>
      <c r="AA442" s="28" t="n"/>
      <c r="AB442" s="28" t="n"/>
      <c r="AC442" s="30" t="n"/>
      <c r="AD442" s="24" t="n"/>
      <c r="AE442" s="31" t="inlineStr">
        <is>
          <t>Measured Edge Margin: Trend Engine projected 5.63-4.05; raw selected-side p=0.6209, calibrated p=0.5823.</t>
        </is>
      </c>
      <c r="AF442" s="31" t="inlineStr">
        <is>
          <t>Research-only; lineup, bullpen, park, weather, xFIP, and wRC+ may be neutral fallbacks; market availability and BBO depth may change before first pitch.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3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mlb-tb</t>
        </is>
      </c>
      <c r="AQ442" s="24" t="inlineStr">
        <is>
          <t>Tampa Bay Rays</t>
        </is>
      </c>
      <c r="AR442" s="24" t="inlineStr">
        <is>
          <t>Tampa Bay Rays</t>
        </is>
      </c>
      <c r="AS442" s="24" t="inlineStr">
        <is>
          <t>mlb-ath</t>
        </is>
      </c>
      <c r="AT442" s="24" t="inlineStr">
        <is>
          <t>Athletics</t>
        </is>
      </c>
      <c r="AU442" s="24" t="inlineStr">
        <is>
          <t>Athletics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research</t>
        </is>
      </c>
      <c r="BA442" s="24" t="inlineStr">
        <is>
          <t>dd339a2eed50d7d83ab2127837995ddab82e879afd27f5414bb6c1f9cd60ba4c</t>
        </is>
      </c>
      <c r="BB442" s="24" t="inlineStr">
        <is>
          <t>flat_probability_shrinkage_toward_half</t>
        </is>
      </c>
      <c r="BC442" s="24" t="inlineStr">
        <is>
          <t>measured-edge-margin-v3</t>
        </is>
      </c>
      <c r="BD442" s="24" t="inlineStr">
        <is>
          <t>dd339a2eed50d7d83ab2127837995ddab82e879afd27f5414bb6c1f9cd60ba4c</t>
        </is>
      </c>
      <c r="BE442" s="24" t="inlineStr">
        <is>
          <t>v3</t>
        </is>
      </c>
      <c r="BF442" s="24" t="inlineStr">
        <is>
          <t>1</t>
        </is>
      </c>
      <c r="BG442" s="24" t="inlineStr">
        <is>
          <t>measured-edge-paired-v1</t>
        </is>
      </c>
      <c r="BH442" s="24" t="inlineStr">
        <is>
          <t>2026-08-12T17:43:09.064761Z</t>
        </is>
      </c>
      <c r="BI442" s="24" t="inlineStr">
        <is>
          <t>["same_event","same_team_same_day","same_league_same_day"]</t>
        </is>
      </c>
      <c r="BJ442" s="25" t="n">
        <v>2.5</v>
      </c>
      <c r="BK442" s="26" t="n">
        <v>-125</v>
      </c>
      <c r="BL442" s="27" t="n">
        <v>1.8</v>
      </c>
      <c r="BM442" s="28" t="n">
        <v>0.555556</v>
      </c>
      <c r="BN442" s="28" t="n">
        <v>0.552239</v>
      </c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</row>
    <row r="443" ht="36" customHeight="1">
      <c r="A443" s="24" t="inlineStr">
        <is>
          <t>a9f1c196ff7b4c8d</t>
        </is>
      </c>
      <c r="B443" s="24" t="inlineStr">
        <is>
          <t>2026-08-12T17:43:09.064761Z</t>
        </is>
      </c>
      <c r="C443" s="24" t="inlineStr">
        <is>
          <t>2026-08-12T19:05Z</t>
        </is>
      </c>
      <c r="D443" s="24" t="inlineStr">
        <is>
          <t>401816507</t>
        </is>
      </c>
      <c r="E443" s="24" t="inlineStr">
        <is>
          <t>MLB</t>
        </is>
      </c>
      <c r="F443" s="24" t="inlineStr">
        <is>
          <t>Tampa Bay Rays</t>
        </is>
      </c>
      <c r="G443" s="24" t="inlineStr">
        <is>
          <t>Athletics</t>
        </is>
      </c>
      <c r="H443" s="24" t="inlineStr">
        <is>
          <t>total</t>
        </is>
      </c>
      <c r="I443" s="24" t="inlineStr">
        <is>
          <t>under</t>
        </is>
      </c>
      <c r="J443" s="25" t="n">
        <v>9.5</v>
      </c>
      <c r="K443" s="24" t="inlineStr">
        <is>
          <t>polymarket_us</t>
        </is>
      </c>
      <c r="L443" s="26" t="n">
        <v>-113</v>
      </c>
      <c r="M443" s="27" t="n">
        <v>1.884956</v>
      </c>
      <c r="N443" s="28" t="n">
        <v>0.530516</v>
      </c>
      <c r="O443" s="28" t="n">
        <v>0.516891</v>
      </c>
      <c r="P443" s="28" t="n">
        <v>0.042131</v>
      </c>
      <c r="Q443" s="28" t="n">
        <v>-0.013625</v>
      </c>
      <c r="R443" s="26" t="n">
        <v>19</v>
      </c>
      <c r="S443" s="29" t="n">
        <v>1</v>
      </c>
      <c r="T443" s="24" t="inlineStr">
        <is>
          <t>measured-edge-totals-v3</t>
        </is>
      </c>
      <c r="U443" s="24" t="inlineStr">
        <is>
          <t>open</t>
        </is>
      </c>
      <c r="V443" s="24" t="n"/>
      <c r="W443" s="26" t="n"/>
      <c r="X443" s="26" t="n"/>
      <c r="Y443" s="25" t="n"/>
      <c r="Z443" s="26" t="n"/>
      <c r="AA443" s="28" t="n"/>
      <c r="AB443" s="28" t="n"/>
      <c r="AC443" s="30" t="n"/>
      <c r="AD443" s="24" t="n"/>
      <c r="AE443" s="31" t="inlineStr">
        <is>
          <t>Measured Edge Totals: Trend Engine projected 5.63-4.05; raw selected-side p=0.5446, calibrated p=0.5169.</t>
        </is>
      </c>
      <c r="AF443" s="31" t="inlineStr">
        <is>
          <t>Research-only; lineup, bullpen, park, weather, xFIP, and wRC+ may be neutral fallbacks; market availability and BBO depth may change before first pitch.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model_qualified</t>
        </is>
      </c>
      <c r="AL443" s="26" t="n">
        <v>3</v>
      </c>
      <c r="AM443" s="24" t="inlineStr">
        <is>
          <t>QUALIFIED_SHADOW_CALL</t>
        </is>
      </c>
      <c r="AN443" s="24" t="inlineStr">
        <is>
          <t>CALL</t>
        </is>
      </c>
      <c r="AO443" s="24" t="inlineStr">
        <is>
          <t>QUALIFIED</t>
        </is>
      </c>
      <c r="AP443" s="24" t="inlineStr">
        <is>
          <t>mlb-tb</t>
        </is>
      </c>
      <c r="AQ443" s="24" t="inlineStr">
        <is>
          <t>Tampa Bay Rays</t>
        </is>
      </c>
      <c r="AR443" s="24" t="inlineStr">
        <is>
          <t>Tampa Bay Rays</t>
        </is>
      </c>
      <c r="AS443" s="24" t="inlineStr">
        <is>
          <t>mlb-ath</t>
        </is>
      </c>
      <c r="AT443" s="24" t="inlineStr">
        <is>
          <t>Athletics</t>
        </is>
      </c>
      <c r="AU443" s="24" t="inlineStr">
        <is>
          <t>Athletics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research</t>
        </is>
      </c>
      <c r="BA443" s="24" t="inlineStr">
        <is>
          <t>95b84332c75d2ce54036eb8de6ada9c78d0f80228c50825c0347281a8b9b49c7</t>
        </is>
      </c>
      <c r="BB443" s="24" t="inlineStr">
        <is>
          <t>flat_probability_shrinkage_toward_half</t>
        </is>
      </c>
      <c r="BC443" s="24" t="inlineStr">
        <is>
          <t>measured-edge-totals-v3</t>
        </is>
      </c>
      <c r="BD443" s="24" t="inlineStr">
        <is>
          <t>95b84332c75d2ce54036eb8de6ada9c78d0f80228c50825c0347281a8b9b49c7</t>
        </is>
      </c>
      <c r="BE443" s="24" t="inlineStr">
        <is>
          <t>v3</t>
        </is>
      </c>
      <c r="BF443" s="24" t="inlineStr">
        <is>
          <t>1</t>
        </is>
      </c>
      <c r="BG443" s="24" t="inlineStr">
        <is>
          <t>measured-edge-paired-v1</t>
        </is>
      </c>
      <c r="BH443" s="24" t="inlineStr">
        <is>
          <t>2026-08-12T17:43:09.064761Z</t>
        </is>
      </c>
      <c r="BI443" s="24" t="inlineStr">
        <is>
          <t>["same_event","same_team_same_day","same_league_same_day"]</t>
        </is>
      </c>
      <c r="BJ443" s="25" t="n">
        <v>9.5</v>
      </c>
      <c r="BK443" s="26" t="n">
        <v>-113</v>
      </c>
      <c r="BL443" s="27" t="n">
        <v>1.884956</v>
      </c>
      <c r="BM443" s="28" t="n">
        <v>0.530516</v>
      </c>
      <c r="BN443" s="28" t="n">
        <v>0.527363</v>
      </c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</row>
    <row r="444" ht="36" customHeight="1">
      <c r="A444" s="24" t="inlineStr">
        <is>
          <t>733aec2dd05d48f6</t>
        </is>
      </c>
      <c r="B444" s="24" t="inlineStr">
        <is>
          <t>2026-08-12T17:43:09.064761Z</t>
        </is>
      </c>
      <c r="C444" s="24" t="inlineStr">
        <is>
          <t>2026-08-12T19:40Z</t>
        </is>
      </c>
      <c r="D444" s="24" t="inlineStr">
        <is>
          <t>401816503</t>
        </is>
      </c>
      <c r="E444" s="24" t="inlineStr">
        <is>
          <t>MLB</t>
        </is>
      </c>
      <c r="F444" s="24" t="inlineStr">
        <is>
          <t>Colorado Rockies</t>
        </is>
      </c>
      <c r="G444" s="24" t="inlineStr">
        <is>
          <t>Arizona Diamondbacks</t>
        </is>
      </c>
      <c r="H444" s="24" t="inlineStr">
        <is>
          <t>spread</t>
        </is>
      </c>
      <c r="I444" s="24" t="inlineStr">
        <is>
          <t>away</t>
        </is>
      </c>
      <c r="J444" s="25" t="n">
        <v>1.5</v>
      </c>
      <c r="K444" s="24" t="inlineStr">
        <is>
          <t>polymarket_us</t>
        </is>
      </c>
      <c r="L444" s="26" t="n">
        <v>-125</v>
      </c>
      <c r="M444" s="27" t="n">
        <v>1.8</v>
      </c>
      <c r="N444" s="28" t="n">
        <v>0.555556</v>
      </c>
      <c r="O444" s="28" t="n">
        <v>0.549265</v>
      </c>
      <c r="P444" s="28" t="n">
        <v>0.042131</v>
      </c>
      <c r="Q444" s="28" t="n">
        <v>-0.006291</v>
      </c>
      <c r="R444" s="26" t="n">
        <v>23</v>
      </c>
      <c r="S444" s="29" t="n">
        <v>1</v>
      </c>
      <c r="T444" s="24" t="inlineStr">
        <is>
          <t>measured-edge-margin-v3</t>
        </is>
      </c>
      <c r="U444" s="24" t="inlineStr">
        <is>
          <t>open</t>
        </is>
      </c>
      <c r="V444" s="24" t="n"/>
      <c r="W444" s="26" t="n"/>
      <c r="X444" s="26" t="n"/>
      <c r="Y444" s="25" t="n"/>
      <c r="Z444" s="26" t="n"/>
      <c r="AA444" s="28" t="n"/>
      <c r="AB444" s="28" t="n"/>
      <c r="AC444" s="30" t="n"/>
      <c r="AD444" s="24" t="n"/>
      <c r="AE444" s="31" t="inlineStr">
        <is>
          <t>Measured Edge Margin: Trend Engine projected 4.60-5.56; raw selected-side p=0.5723, calibrated p=0.5493.</t>
        </is>
      </c>
      <c r="AF444" s="31" t="inlineStr">
        <is>
          <t>Research-only; lineup, bullpen, park, weather, xFIP, and wRC+ may be neutral fallbacks; market availability and BBO depth may change before first pitch.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3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mlb-col</t>
        </is>
      </c>
      <c r="AQ444" s="24" t="inlineStr">
        <is>
          <t>Colorado Rockies</t>
        </is>
      </c>
      <c r="AR444" s="24" t="inlineStr">
        <is>
          <t>Colorado Rockies</t>
        </is>
      </c>
      <c r="AS444" s="24" t="inlineStr">
        <is>
          <t>mlb-ari</t>
        </is>
      </c>
      <c r="AT444" s="24" t="inlineStr">
        <is>
          <t>Arizona Diamondbacks</t>
        </is>
      </c>
      <c r="AU444" s="24" t="inlineStr">
        <is>
          <t>Arizona Diamondbacks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research</t>
        </is>
      </c>
      <c r="BA444" s="24" t="inlineStr">
        <is>
          <t>dd339a2eed50d7d83ab2127837995ddab82e879afd27f5414bb6c1f9cd60ba4c</t>
        </is>
      </c>
      <c r="BB444" s="24" t="inlineStr">
        <is>
          <t>flat_probability_shrinkage_toward_half</t>
        </is>
      </c>
      <c r="BC444" s="24" t="inlineStr">
        <is>
          <t>measured-edge-margin-v3</t>
        </is>
      </c>
      <c r="BD444" s="24" t="inlineStr">
        <is>
          <t>dd339a2eed50d7d83ab2127837995ddab82e879afd27f5414bb6c1f9cd60ba4c</t>
        </is>
      </c>
      <c r="BE444" s="24" t="inlineStr">
        <is>
          <t>v3</t>
        </is>
      </c>
      <c r="BF444" s="24" t="inlineStr">
        <is>
          <t>1</t>
        </is>
      </c>
      <c r="BG444" s="24" t="inlineStr">
        <is>
          <t>measured-edge-paired-v1</t>
        </is>
      </c>
      <c r="BH444" s="24" t="inlineStr">
        <is>
          <t>2026-08-12T17:43:09.064761Z</t>
        </is>
      </c>
      <c r="BI444" s="24" t="inlineStr">
        <is>
          <t>["same_event","same_team_same_day","same_league_same_day"]</t>
        </is>
      </c>
      <c r="BJ444" s="25" t="n">
        <v>1.5</v>
      </c>
      <c r="BK444" s="26" t="n">
        <v>-125</v>
      </c>
      <c r="BL444" s="27" t="n">
        <v>1.8</v>
      </c>
      <c r="BM444" s="28" t="n">
        <v>0.555556</v>
      </c>
      <c r="BN444" s="28" t="n">
        <v>0.552239</v>
      </c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</row>
    <row r="445" ht="36" customHeight="1">
      <c r="A445" s="24" t="inlineStr">
        <is>
          <t>6b71d79a88d14af8</t>
        </is>
      </c>
      <c r="B445" s="24" t="inlineStr">
        <is>
          <t>2026-08-12T17:43:09.064761Z</t>
        </is>
      </c>
      <c r="C445" s="24" t="inlineStr">
        <is>
          <t>2026-08-12T19:40Z</t>
        </is>
      </c>
      <c r="D445" s="24" t="inlineStr">
        <is>
          <t>401816503</t>
        </is>
      </c>
      <c r="E445" s="24" t="inlineStr">
        <is>
          <t>MLB</t>
        </is>
      </c>
      <c r="F445" s="24" t="inlineStr">
        <is>
          <t>Colorado Rockies</t>
        </is>
      </c>
      <c r="G445" s="24" t="inlineStr">
        <is>
          <t>Arizona Diamondbacks</t>
        </is>
      </c>
      <c r="H445" s="24" t="inlineStr">
        <is>
          <t>total</t>
        </is>
      </c>
      <c r="I445" s="24" t="inlineStr">
        <is>
          <t>under</t>
        </is>
      </c>
      <c r="J445" s="25" t="n">
        <v>9.5</v>
      </c>
      <c r="K445" s="24" t="inlineStr">
        <is>
          <t>polymarket_us</t>
        </is>
      </c>
      <c r="L445" s="26" t="n">
        <v>-117</v>
      </c>
      <c r="M445" s="27" t="n">
        <v>1.854701</v>
      </c>
      <c r="N445" s="28" t="n">
        <v>0.539171</v>
      </c>
      <c r="O445" s="28" t="n">
        <v>0.50657</v>
      </c>
      <c r="P445" s="28" t="n">
        <v>0.042131</v>
      </c>
      <c r="Q445" s="28" t="n">
        <v>-0.032601</v>
      </c>
      <c r="R445" s="26" t="n">
        <v>9</v>
      </c>
      <c r="S445" s="29" t="n">
        <v>1</v>
      </c>
      <c r="T445" s="24" t="inlineStr">
        <is>
          <t>measured-edge-totals-v3</t>
        </is>
      </c>
      <c r="U445" s="24" t="inlineStr">
        <is>
          <t>open</t>
        </is>
      </c>
      <c r="V445" s="24" t="n"/>
      <c r="W445" s="26" t="n"/>
      <c r="X445" s="26" t="n"/>
      <c r="Y445" s="25" t="n"/>
      <c r="Z445" s="26" t="n"/>
      <c r="AA445" s="28" t="n"/>
      <c r="AB445" s="28" t="n"/>
      <c r="AC445" s="30" t="n"/>
      <c r="AD445" s="24" t="n"/>
      <c r="AE445" s="31" t="inlineStr">
        <is>
          <t>Measured Edge Totals: Trend Engine projected 4.60-5.56; raw selected-side p=0.5031, calibrated p=0.5066.</t>
        </is>
      </c>
      <c r="AF445" s="31" t="inlineStr">
        <is>
          <t>Research-only; lineup, bullpen, park, weather, xFIP, and wRC+ may be neutral fallbacks; market availability and BBO depth may change before first pitch.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3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mlb-col</t>
        </is>
      </c>
      <c r="AQ445" s="24" t="inlineStr">
        <is>
          <t>Colorado Rockies</t>
        </is>
      </c>
      <c r="AR445" s="24" t="inlineStr">
        <is>
          <t>Colorado Rockies</t>
        </is>
      </c>
      <c r="AS445" s="24" t="inlineStr">
        <is>
          <t>mlb-ari</t>
        </is>
      </c>
      <c r="AT445" s="24" t="inlineStr">
        <is>
          <t>Arizona Diamondbacks</t>
        </is>
      </c>
      <c r="AU445" s="24" t="inlineStr">
        <is>
          <t>Arizona Diamondbacks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research</t>
        </is>
      </c>
      <c r="BA445" s="24" t="inlineStr">
        <is>
          <t>95b84332c75d2ce54036eb8de6ada9c78d0f80228c50825c0347281a8b9b49c7</t>
        </is>
      </c>
      <c r="BB445" s="24" t="inlineStr">
        <is>
          <t>flat_probability_shrinkage_toward_half</t>
        </is>
      </c>
      <c r="BC445" s="24" t="inlineStr">
        <is>
          <t>measured-edge-totals-v3</t>
        </is>
      </c>
      <c r="BD445" s="24" t="inlineStr">
        <is>
          <t>95b84332c75d2ce54036eb8de6ada9c78d0f80228c50825c0347281a8b9b49c7</t>
        </is>
      </c>
      <c r="BE445" s="24" t="inlineStr">
        <is>
          <t>v3</t>
        </is>
      </c>
      <c r="BF445" s="24" t="inlineStr">
        <is>
          <t>1</t>
        </is>
      </c>
      <c r="BG445" s="24" t="inlineStr">
        <is>
          <t>measured-edge-paired-v1</t>
        </is>
      </c>
      <c r="BH445" s="24" t="inlineStr">
        <is>
          <t>2026-08-12T17:43:09.064761Z</t>
        </is>
      </c>
      <c r="BI445" s="24" t="inlineStr">
        <is>
          <t>["same_event","same_team_same_day","same_league_same_day"]</t>
        </is>
      </c>
      <c r="BJ445" s="25" t="n">
        <v>9.5</v>
      </c>
      <c r="BK445" s="26" t="n">
        <v>-117</v>
      </c>
      <c r="BL445" s="27" t="n">
        <v>1.854701</v>
      </c>
      <c r="BM445" s="28" t="n">
        <v>0.539171</v>
      </c>
      <c r="BN445" s="28" t="n">
        <v>0.537313</v>
      </c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False</t>
        </is>
      </c>
    </row>
    <row r="446" ht="36" customHeight="1">
      <c r="A446" s="24" t="inlineStr">
        <is>
          <t>9f0007cc2ae9468d</t>
        </is>
      </c>
      <c r="B446" s="24" t="inlineStr">
        <is>
          <t>2026-08-12T17:43:09.064761Z</t>
        </is>
      </c>
      <c r="C446" s="24" t="inlineStr">
        <is>
          <t>2026-08-12T19:45Z</t>
        </is>
      </c>
      <c r="D446" s="24" t="inlineStr">
        <is>
          <t>401816504</t>
        </is>
      </c>
      <c r="E446" s="24" t="inlineStr">
        <is>
          <t>MLB</t>
        </is>
      </c>
      <c r="F446" s="24" t="inlineStr">
        <is>
          <t>Houston Astros</t>
        </is>
      </c>
      <c r="G446" s="24" t="inlineStr">
        <is>
          <t>San Francisco Giants</t>
        </is>
      </c>
      <c r="H446" s="24" t="inlineStr">
        <is>
          <t>spread</t>
        </is>
      </c>
      <c r="I446" s="24" t="inlineStr">
        <is>
          <t>home</t>
        </is>
      </c>
      <c r="J446" s="25" t="n">
        <v>1.5</v>
      </c>
      <c r="K446" s="24" t="inlineStr">
        <is>
          <t>polymarket_us</t>
        </is>
      </c>
      <c r="L446" s="26" t="n">
        <v>-122</v>
      </c>
      <c r="M446" s="27" t="n">
        <v>1.819672</v>
      </c>
      <c r="N446" s="28" t="n">
        <v>0.54955</v>
      </c>
      <c r="O446" s="28" t="n">
        <v>0.627354</v>
      </c>
      <c r="P446" s="28" t="n">
        <v>0.042131</v>
      </c>
      <c r="Q446" s="28" t="n">
        <v>0.077804</v>
      </c>
      <c r="R446" s="26" t="n">
        <v>65</v>
      </c>
      <c r="S446" s="29" t="n">
        <v>1.5</v>
      </c>
      <c r="T446" s="24" t="inlineStr">
        <is>
          <t>measured-edge-margin-v3</t>
        </is>
      </c>
      <c r="U446" s="24" t="inlineStr">
        <is>
          <t>open</t>
        </is>
      </c>
      <c r="V446" s="24" t="n"/>
      <c r="W446" s="26" t="n"/>
      <c r="X446" s="26" t="n"/>
      <c r="Y446" s="25" t="n"/>
      <c r="Z446" s="26" t="n"/>
      <c r="AA446" s="28" t="n"/>
      <c r="AB446" s="28" t="n"/>
      <c r="AC446" s="30" t="n"/>
      <c r="AD446" s="24" t="n"/>
      <c r="AE446" s="31" t="inlineStr">
        <is>
          <t>Measured Edge Margin: Trend Engine projected 4.43-4.63; raw selected-side p=0.6869, calibrated p=0.6274.</t>
        </is>
      </c>
      <c r="AF446" s="31" t="inlineStr">
        <is>
          <t>Research-only; lineup, bullpen, park, weather, xFIP, and wRC+ may be neutral fallbacks; market availability and BBO depth may change before first pitch.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3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mlb-hou</t>
        </is>
      </c>
      <c r="AQ446" s="24" t="inlineStr">
        <is>
          <t>Houston Astros</t>
        </is>
      </c>
      <c r="AR446" s="24" t="inlineStr">
        <is>
          <t>Houston Astros</t>
        </is>
      </c>
      <c r="AS446" s="24" t="inlineStr">
        <is>
          <t>mlb-sf</t>
        </is>
      </c>
      <c r="AT446" s="24" t="inlineStr">
        <is>
          <t>San Francisco Giants</t>
        </is>
      </c>
      <c r="AU446" s="24" t="inlineStr">
        <is>
          <t>San Francisco Giants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research</t>
        </is>
      </c>
      <c r="BA446" s="24" t="inlineStr">
        <is>
          <t>dd339a2eed50d7d83ab2127837995ddab82e879afd27f5414bb6c1f9cd60ba4c</t>
        </is>
      </c>
      <c r="BB446" s="24" t="inlineStr">
        <is>
          <t>flat_probability_shrinkage_toward_half</t>
        </is>
      </c>
      <c r="BC446" s="24" t="inlineStr">
        <is>
          <t>measured-edge-margin-v3</t>
        </is>
      </c>
      <c r="BD446" s="24" t="inlineStr">
        <is>
          <t>dd339a2eed50d7d83ab2127837995ddab82e879afd27f5414bb6c1f9cd60ba4c</t>
        </is>
      </c>
      <c r="BE446" s="24" t="inlineStr">
        <is>
          <t>v3</t>
        </is>
      </c>
      <c r="BF446" s="24" t="inlineStr">
        <is>
          <t>1</t>
        </is>
      </c>
      <c r="BG446" s="24" t="inlineStr">
        <is>
          <t>measured-edge-paired-v1</t>
        </is>
      </c>
      <c r="BH446" s="24" t="inlineStr">
        <is>
          <t>2026-08-12T17:43:09.064761Z</t>
        </is>
      </c>
      <c r="BI446" s="24" t="inlineStr">
        <is>
          <t>["same_event","same_team_same_day","same_league_same_day"]</t>
        </is>
      </c>
      <c r="BJ446" s="25" t="n">
        <v>1.5</v>
      </c>
      <c r="BK446" s="26" t="n">
        <v>-122</v>
      </c>
      <c r="BL446" s="27" t="n">
        <v>1.819672</v>
      </c>
      <c r="BM446" s="28" t="n">
        <v>0.54955</v>
      </c>
      <c r="BN446" s="28" t="n">
        <v>0.547264</v>
      </c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</row>
    <row r="447" ht="36" customHeight="1">
      <c r="A447" s="24" t="inlineStr">
        <is>
          <t>8c94257c744b4dc9</t>
        </is>
      </c>
      <c r="B447" s="24" t="inlineStr">
        <is>
          <t>2026-08-12T17:43:09.064761Z</t>
        </is>
      </c>
      <c r="C447" s="24" t="inlineStr">
        <is>
          <t>2026-08-12T19:45Z</t>
        </is>
      </c>
      <c r="D447" s="24" t="inlineStr">
        <is>
          <t>401816504</t>
        </is>
      </c>
      <c r="E447" s="24" t="inlineStr">
        <is>
          <t>MLB</t>
        </is>
      </c>
      <c r="F447" s="24" t="inlineStr">
        <is>
          <t>Houston Astros</t>
        </is>
      </c>
      <c r="G447" s="24" t="inlineStr">
        <is>
          <t>San Francisco Giants</t>
        </is>
      </c>
      <c r="H447" s="24" t="inlineStr">
        <is>
          <t>total</t>
        </is>
      </c>
      <c r="I447" s="24" t="inlineStr">
        <is>
          <t>over</t>
        </is>
      </c>
      <c r="J447" s="25" t="n">
        <v>8.5</v>
      </c>
      <c r="K447" s="24" t="inlineStr">
        <is>
          <t>polymarket_us</t>
        </is>
      </c>
      <c r="L447" s="26" t="n">
        <v>106</v>
      </c>
      <c r="M447" s="27" t="n">
        <v>2.06</v>
      </c>
      <c r="N447" s="28" t="n">
        <v>0.485437</v>
      </c>
      <c r="O447" s="28" t="n">
        <v>0.511153</v>
      </c>
      <c r="P447" s="28" t="n">
        <v>0.042131</v>
      </c>
      <c r="Q447" s="28" t="n">
        <v>0.025716</v>
      </c>
      <c r="R447" s="26" t="n">
        <v>39</v>
      </c>
      <c r="S447" s="29" t="n">
        <v>1</v>
      </c>
      <c r="T447" s="24" t="inlineStr">
        <is>
          <t>measured-edge-totals-v3</t>
        </is>
      </c>
      <c r="U447" s="24" t="inlineStr">
        <is>
          <t>open</t>
        </is>
      </c>
      <c r="V447" s="24" t="n"/>
      <c r="W447" s="26" t="n"/>
      <c r="X447" s="26" t="n"/>
      <c r="Y447" s="25" t="n"/>
      <c r="Z447" s="26" t="n"/>
      <c r="AA447" s="28" t="n"/>
      <c r="AB447" s="28" t="n"/>
      <c r="AC447" s="30" t="n"/>
      <c r="AD447" s="24" t="n"/>
      <c r="AE447" s="31" t="inlineStr">
        <is>
          <t>Measured Edge Totals: Trend Engine projected 4.43-4.63; raw selected-side p=0.5215, calibrated p=0.5112.</t>
        </is>
      </c>
      <c r="AF447" s="31" t="inlineStr">
        <is>
          <t>Research-only; lineup, bullpen, park, weather, xFIP, and wRC+ may be neutral fallbacks; market availability and BBO depth may change before first pitch.</t>
        </is>
      </c>
      <c r="AG447" s="24" t="inlineStr">
        <is>
          <t>not_applicable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3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mlb-hou</t>
        </is>
      </c>
      <c r="AQ447" s="24" t="inlineStr">
        <is>
          <t>Houston Astros</t>
        </is>
      </c>
      <c r="AR447" s="24" t="inlineStr">
        <is>
          <t>Houston Astros</t>
        </is>
      </c>
      <c r="AS447" s="24" t="inlineStr">
        <is>
          <t>mlb-sf</t>
        </is>
      </c>
      <c r="AT447" s="24" t="inlineStr">
        <is>
          <t>San Francisco Giants</t>
        </is>
      </c>
      <c r="AU447" s="24" t="inlineStr">
        <is>
          <t>San Francisco Giants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research</t>
        </is>
      </c>
      <c r="BA447" s="24" t="inlineStr">
        <is>
          <t>95b84332c75d2ce54036eb8de6ada9c78d0f80228c50825c0347281a8b9b49c7</t>
        </is>
      </c>
      <c r="BB447" s="24" t="inlineStr">
        <is>
          <t>flat_probability_shrinkage_toward_half</t>
        </is>
      </c>
      <c r="BC447" s="24" t="inlineStr">
        <is>
          <t>measured-edge-totals-v3</t>
        </is>
      </c>
      <c r="BD447" s="24" t="inlineStr">
        <is>
          <t>95b84332c75d2ce54036eb8de6ada9c78d0f80228c50825c0347281a8b9b49c7</t>
        </is>
      </c>
      <c r="BE447" s="24" t="inlineStr">
        <is>
          <t>v3</t>
        </is>
      </c>
      <c r="BF447" s="24" t="inlineStr">
        <is>
          <t>1</t>
        </is>
      </c>
      <c r="BG447" s="24" t="inlineStr">
        <is>
          <t>measured-edge-paired-v1</t>
        </is>
      </c>
      <c r="BH447" s="24" t="inlineStr">
        <is>
          <t>2026-08-12T17:43:09.064761Z</t>
        </is>
      </c>
      <c r="BI447" s="24" t="inlineStr">
        <is>
          <t>["same_event","same_team_same_day","same_league_same_day"]</t>
        </is>
      </c>
      <c r="BJ447" s="25" t="n">
        <v>8.5</v>
      </c>
      <c r="BK447" s="26" t="n">
        <v>106</v>
      </c>
      <c r="BL447" s="27" t="n">
        <v>2.06</v>
      </c>
      <c r="BM447" s="28" t="n">
        <v>0.485437</v>
      </c>
      <c r="BN447" s="28" t="n">
        <v>0.482587</v>
      </c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</row>
    <row r="448" ht="36" customHeight="1">
      <c r="A448" s="24" t="inlineStr">
        <is>
          <t>c61e1ba29bfb4bb3</t>
        </is>
      </c>
      <c r="B448" s="24" t="inlineStr">
        <is>
          <t>2026-08-12T17:43:09.064761Z</t>
        </is>
      </c>
      <c r="C448" s="24" t="inlineStr">
        <is>
          <t>2026-08-12T20:10Z</t>
        </is>
      </c>
      <c r="D448" s="24" t="inlineStr">
        <is>
          <t>401816506</t>
        </is>
      </c>
      <c r="E448" s="24" t="inlineStr">
        <is>
          <t>MLB</t>
        </is>
      </c>
      <c r="F448" s="24" t="inlineStr">
        <is>
          <t>Milwaukee Brewers</t>
        </is>
      </c>
      <c r="G448" s="24" t="inlineStr">
        <is>
          <t>San Diego Padres</t>
        </is>
      </c>
      <c r="H448" s="24" t="inlineStr">
        <is>
          <t>spread</t>
        </is>
      </c>
      <c r="I448" s="24" t="inlineStr">
        <is>
          <t>home</t>
        </is>
      </c>
      <c r="J448" s="25" t="n">
        <v>1.5</v>
      </c>
      <c r="K448" s="24" t="inlineStr">
        <is>
          <t>polymarket_us</t>
        </is>
      </c>
      <c r="L448" s="26" t="n">
        <v>-153</v>
      </c>
      <c r="M448" s="27" t="n">
        <v>1.653595</v>
      </c>
      <c r="N448" s="28" t="n">
        <v>0.604743</v>
      </c>
      <c r="O448" s="28" t="n">
        <v>0.650726</v>
      </c>
      <c r="P448" s="28" t="n">
        <v>0.042131</v>
      </c>
      <c r="Q448" s="28" t="n">
        <v>0.045983</v>
      </c>
      <c r="R448" s="26" t="n">
        <v>49</v>
      </c>
      <c r="S448" s="29" t="n">
        <v>1.75</v>
      </c>
      <c r="T448" s="24" t="inlineStr">
        <is>
          <t>measured-edge-margin-v3</t>
        </is>
      </c>
      <c r="U448" s="24" t="inlineStr">
        <is>
          <t>open</t>
        </is>
      </c>
      <c r="V448" s="24" t="n"/>
      <c r="W448" s="26" t="n"/>
      <c r="X448" s="26" t="n"/>
      <c r="Y448" s="25" t="n"/>
      <c r="Z448" s="26" t="n"/>
      <c r="AA448" s="28" t="n"/>
      <c r="AB448" s="28" t="n"/>
      <c r="AC448" s="30" t="n"/>
      <c r="AD448" s="24" t="n"/>
      <c r="AE448" s="31" t="inlineStr">
        <is>
          <t>Measured Edge Margin: Trend Engine projected 4.05-4.52; raw selected-side p=0.7212, calibrated p=0.6507.</t>
        </is>
      </c>
      <c r="AF448" s="31" t="inlineStr">
        <is>
          <t>Research-only; lineup, bullpen, park, weather, xFIP, and wRC+ may be neutral fallbacks; market availability and BBO depth may change before first pitch.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model_qualified</t>
        </is>
      </c>
      <c r="AL448" s="26" t="n">
        <v>3</v>
      </c>
      <c r="AM448" s="24" t="inlineStr">
        <is>
          <t>QUALIFIED_SHADOW_CALL</t>
        </is>
      </c>
      <c r="AN448" s="24" t="inlineStr">
        <is>
          <t>CALL</t>
        </is>
      </c>
      <c r="AO448" s="24" t="inlineStr">
        <is>
          <t>QUALIFIED</t>
        </is>
      </c>
      <c r="AP448" s="24" t="inlineStr">
        <is>
          <t>mlb-mil</t>
        </is>
      </c>
      <c r="AQ448" s="24" t="inlineStr">
        <is>
          <t>Milwaukee Brewers</t>
        </is>
      </c>
      <c r="AR448" s="24" t="inlineStr">
        <is>
          <t>Milwaukee Brewers</t>
        </is>
      </c>
      <c r="AS448" s="24" t="inlineStr">
        <is>
          <t>mlb-sd</t>
        </is>
      </c>
      <c r="AT448" s="24" t="inlineStr">
        <is>
          <t>San Diego Padres</t>
        </is>
      </c>
      <c r="AU448" s="24" t="inlineStr">
        <is>
          <t>San Diego Padres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research</t>
        </is>
      </c>
      <c r="BA448" s="24" t="inlineStr">
        <is>
          <t>dd339a2eed50d7d83ab2127837995ddab82e879afd27f5414bb6c1f9cd60ba4c</t>
        </is>
      </c>
      <c r="BB448" s="24" t="inlineStr">
        <is>
          <t>flat_probability_shrinkage_toward_half</t>
        </is>
      </c>
      <c r="BC448" s="24" t="inlineStr">
        <is>
          <t>measured-edge-margin-v3</t>
        </is>
      </c>
      <c r="BD448" s="24" t="inlineStr">
        <is>
          <t>dd339a2eed50d7d83ab2127837995ddab82e879afd27f5414bb6c1f9cd60ba4c</t>
        </is>
      </c>
      <c r="BE448" s="24" t="inlineStr">
        <is>
          <t>v3</t>
        </is>
      </c>
      <c r="BF448" s="24" t="inlineStr">
        <is>
          <t>1</t>
        </is>
      </c>
      <c r="BG448" s="24" t="inlineStr">
        <is>
          <t>measured-edge-paired-v1</t>
        </is>
      </c>
      <c r="BH448" s="24" t="inlineStr">
        <is>
          <t>2026-08-12T17:43:09.064761Z</t>
        </is>
      </c>
      <c r="BI448" s="24" t="inlineStr">
        <is>
          <t>["same_event","same_team_same_day","same_league_same_day"]</t>
        </is>
      </c>
      <c r="BJ448" s="25" t="n">
        <v>1.5</v>
      </c>
      <c r="BK448" s="26" t="n">
        <v>-153</v>
      </c>
      <c r="BL448" s="27" t="n">
        <v>1.653595</v>
      </c>
      <c r="BM448" s="28" t="n">
        <v>0.604743</v>
      </c>
      <c r="BN448" s="28" t="n">
        <v>0.60199</v>
      </c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</row>
    <row r="449" ht="36" customHeight="1">
      <c r="A449" s="24" t="inlineStr">
        <is>
          <t>489638a2b32449dd</t>
        </is>
      </c>
      <c r="B449" s="24" t="inlineStr">
        <is>
          <t>2026-08-12T17:43:09.064761Z</t>
        </is>
      </c>
      <c r="C449" s="24" t="inlineStr">
        <is>
          <t>2026-08-12T20:10Z</t>
        </is>
      </c>
      <c r="D449" s="24" t="inlineStr">
        <is>
          <t>401816506</t>
        </is>
      </c>
      <c r="E449" s="24" t="inlineStr">
        <is>
          <t>MLB</t>
        </is>
      </c>
      <c r="F449" s="24" t="inlineStr">
        <is>
          <t>Milwaukee Brewers</t>
        </is>
      </c>
      <c r="G449" s="24" t="inlineStr">
        <is>
          <t>San Diego Padres</t>
        </is>
      </c>
      <c r="H449" s="24" t="inlineStr">
        <is>
          <t>total</t>
        </is>
      </c>
      <c r="I449" s="24" t="inlineStr">
        <is>
          <t>under</t>
        </is>
      </c>
      <c r="J449" s="25" t="n">
        <v>8.5</v>
      </c>
      <c r="K449" s="24" t="inlineStr">
        <is>
          <t>polymarket_us</t>
        </is>
      </c>
      <c r="L449" s="26" t="n">
        <v>-115</v>
      </c>
      <c r="M449" s="27" t="n">
        <v>1.869565</v>
      </c>
      <c r="N449" s="28" t="n">
        <v>0.534884</v>
      </c>
      <c r="O449" s="28" t="n">
        <v>0.512643</v>
      </c>
      <c r="P449" s="28" t="n">
        <v>0.042131</v>
      </c>
      <c r="Q449" s="28" t="n">
        <v>-0.022241</v>
      </c>
      <c r="R449" s="26" t="n">
        <v>15</v>
      </c>
      <c r="S449" s="29" t="n">
        <v>1</v>
      </c>
      <c r="T449" s="24" t="inlineStr">
        <is>
          <t>measured-edge-totals-v3</t>
        </is>
      </c>
      <c r="U449" s="24" t="inlineStr">
        <is>
          <t>open</t>
        </is>
      </c>
      <c r="V449" s="24" t="n"/>
      <c r="W449" s="26" t="n"/>
      <c r="X449" s="26" t="n"/>
      <c r="Y449" s="25" t="n"/>
      <c r="Z449" s="26" t="n"/>
      <c r="AA449" s="28" t="n"/>
      <c r="AB449" s="28" t="n"/>
      <c r="AC449" s="30" t="n"/>
      <c r="AD449" s="24" t="n"/>
      <c r="AE449" s="31" t="inlineStr">
        <is>
          <t>Measured Edge Totals: Trend Engine projected 4.05-4.52; raw selected-side p=0.5275, calibrated p=0.5126.</t>
        </is>
      </c>
      <c r="AF449" s="31" t="inlineStr">
        <is>
          <t>Research-only; lineup, bullpen, park, weather, xFIP, and wRC+ may be neutral fallbacks; market availability and BBO depth may change before first pitch.</t>
        </is>
      </c>
      <c r="AG449" s="24" t="inlineStr">
        <is>
          <t>not_applicable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3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mlb-mil</t>
        </is>
      </c>
      <c r="AQ449" s="24" t="inlineStr">
        <is>
          <t>Milwaukee Brewers</t>
        </is>
      </c>
      <c r="AR449" s="24" t="inlineStr">
        <is>
          <t>Milwaukee Brewers</t>
        </is>
      </c>
      <c r="AS449" s="24" t="inlineStr">
        <is>
          <t>mlb-sd</t>
        </is>
      </c>
      <c r="AT449" s="24" t="inlineStr">
        <is>
          <t>San Diego Padres</t>
        </is>
      </c>
      <c r="AU449" s="24" t="inlineStr">
        <is>
          <t>San Diego Padres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research</t>
        </is>
      </c>
      <c r="BA449" s="24" t="inlineStr">
        <is>
          <t>95b84332c75d2ce54036eb8de6ada9c78d0f80228c50825c0347281a8b9b49c7</t>
        </is>
      </c>
      <c r="BB449" s="24" t="inlineStr">
        <is>
          <t>flat_probability_shrinkage_toward_half</t>
        </is>
      </c>
      <c r="BC449" s="24" t="inlineStr">
        <is>
          <t>measured-edge-totals-v3</t>
        </is>
      </c>
      <c r="BD449" s="24" t="inlineStr">
        <is>
          <t>95b84332c75d2ce54036eb8de6ada9c78d0f80228c50825c0347281a8b9b49c7</t>
        </is>
      </c>
      <c r="BE449" s="24" t="inlineStr">
        <is>
          <t>v3</t>
        </is>
      </c>
      <c r="BF449" s="24" t="inlineStr">
        <is>
          <t>1</t>
        </is>
      </c>
      <c r="BG449" s="24" t="inlineStr">
        <is>
          <t>measured-edge-paired-v1</t>
        </is>
      </c>
      <c r="BH449" s="24" t="inlineStr">
        <is>
          <t>2026-08-12T17:43:09.064761Z</t>
        </is>
      </c>
      <c r="BI449" s="24" t="inlineStr">
        <is>
          <t>["same_event","same_team_same_day","same_league_same_day"]</t>
        </is>
      </c>
      <c r="BJ449" s="25" t="n">
        <v>8.5</v>
      </c>
      <c r="BK449" s="26" t="n">
        <v>-115</v>
      </c>
      <c r="BL449" s="27" t="n">
        <v>1.869565</v>
      </c>
      <c r="BM449" s="28" t="n">
        <v>0.534884</v>
      </c>
      <c r="BN449" s="28" t="n">
        <v>0.532338</v>
      </c>
      <c r="BO449" s="28" t="n"/>
      <c r="BP449" s="25" t="n"/>
      <c r="BQ449" s="27" t="n"/>
      <c r="BR449" s="28" t="n"/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False</t>
        </is>
      </c>
    </row>
    <row r="450" ht="36" customHeight="1">
      <c r="A450" s="24" t="inlineStr">
        <is>
          <t>cf70ff4bb8c442d2</t>
        </is>
      </c>
      <c r="B450" s="24" t="inlineStr">
        <is>
          <t>2026-08-12T17:43:09.064761Z</t>
        </is>
      </c>
      <c r="C450" s="24" t="inlineStr">
        <is>
          <t>2026-08-12T22:40Z</t>
        </is>
      </c>
      <c r="D450" s="24" t="inlineStr">
        <is>
          <t>401816496</t>
        </is>
      </c>
      <c r="E450" s="24" t="inlineStr">
        <is>
          <t>MLB</t>
        </is>
      </c>
      <c r="F450" s="24" t="inlineStr">
        <is>
          <t>Cleveland Guardians</t>
        </is>
      </c>
      <c r="G450" s="24" t="inlineStr">
        <is>
          <t>Detroit Tigers</t>
        </is>
      </c>
      <c r="H450" s="24" t="inlineStr">
        <is>
          <t>spread</t>
        </is>
      </c>
      <c r="I450" s="24" t="inlineStr">
        <is>
          <t>away</t>
        </is>
      </c>
      <c r="J450" s="25" t="n">
        <v>1.5</v>
      </c>
      <c r="K450" s="24" t="inlineStr">
        <is>
          <t>polymarket_us</t>
        </is>
      </c>
      <c r="L450" s="26" t="n">
        <v>-182</v>
      </c>
      <c r="M450" s="27" t="n">
        <v>1.549451</v>
      </c>
      <c r="N450" s="28" t="n">
        <v>0.64539</v>
      </c>
      <c r="O450" s="28" t="n">
        <v>0.579724</v>
      </c>
      <c r="P450" s="28" t="n">
        <v>0.042131</v>
      </c>
      <c r="Q450" s="28" t="n">
        <v>-0.065666</v>
      </c>
      <c r="R450" s="26" t="n">
        <v>0</v>
      </c>
      <c r="S450" s="29" t="n">
        <v>1.25</v>
      </c>
      <c r="T450" s="24" t="inlineStr">
        <is>
          <t>measured-edge-margin-v3</t>
        </is>
      </c>
      <c r="U450" s="24" t="inlineStr">
        <is>
          <t>open</t>
        </is>
      </c>
      <c r="V450" s="24" t="n"/>
      <c r="W450" s="26" t="n"/>
      <c r="X450" s="26" t="n"/>
      <c r="Y450" s="25" t="n"/>
      <c r="Z450" s="26" t="n"/>
      <c r="AA450" s="28" t="n"/>
      <c r="AB450" s="28" t="n"/>
      <c r="AC450" s="30" t="n"/>
      <c r="AD450" s="24" t="n"/>
      <c r="AE450" s="31" t="inlineStr">
        <is>
          <t>Measured Edge Margin: Trend Engine projected 4.41-4.93; raw selected-side p=0.6170, calibrated p=0.5797.</t>
        </is>
      </c>
      <c r="AF450" s="31" t="inlineStr">
        <is>
          <t>Research-only; lineup, bullpen, park, weather, xFIP, and wRC+ may be neutral fallbacks; market availability and BBO depth may change before first pitch.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3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mlb-cle</t>
        </is>
      </c>
      <c r="AQ450" s="24" t="inlineStr">
        <is>
          <t>Cleveland Guardians</t>
        </is>
      </c>
      <c r="AR450" s="24" t="inlineStr">
        <is>
          <t>Cleveland Guardians</t>
        </is>
      </c>
      <c r="AS450" s="24" t="inlineStr">
        <is>
          <t>mlb-det</t>
        </is>
      </c>
      <c r="AT450" s="24" t="inlineStr">
        <is>
          <t>Detroit Tigers</t>
        </is>
      </c>
      <c r="AU450" s="24" t="inlineStr">
        <is>
          <t>Detroit Tigers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research</t>
        </is>
      </c>
      <c r="BA450" s="24" t="inlineStr">
        <is>
          <t>dd339a2eed50d7d83ab2127837995ddab82e879afd27f5414bb6c1f9cd60ba4c</t>
        </is>
      </c>
      <c r="BB450" s="24" t="inlineStr">
        <is>
          <t>flat_probability_shrinkage_toward_half</t>
        </is>
      </c>
      <c r="BC450" s="24" t="inlineStr">
        <is>
          <t>measured-edge-margin-v3</t>
        </is>
      </c>
      <c r="BD450" s="24" t="inlineStr">
        <is>
          <t>dd339a2eed50d7d83ab2127837995ddab82e879afd27f5414bb6c1f9cd60ba4c</t>
        </is>
      </c>
      <c r="BE450" s="24" t="inlineStr">
        <is>
          <t>v3</t>
        </is>
      </c>
      <c r="BF450" s="24" t="inlineStr">
        <is>
          <t>1</t>
        </is>
      </c>
      <c r="BG450" s="24" t="inlineStr">
        <is>
          <t>measured-edge-paired-v1</t>
        </is>
      </c>
      <c r="BH450" s="24" t="inlineStr">
        <is>
          <t>2026-08-12T17:43:09.064761Z</t>
        </is>
      </c>
      <c r="BI450" s="24" t="inlineStr">
        <is>
          <t>["same_event","same_team_same_day","same_league_same_day"]</t>
        </is>
      </c>
      <c r="BJ450" s="25" t="n">
        <v>1.5</v>
      </c>
      <c r="BK450" s="26" t="n">
        <v>-182</v>
      </c>
      <c r="BL450" s="27" t="n">
        <v>1.549451</v>
      </c>
      <c r="BM450" s="28" t="n">
        <v>0.64539</v>
      </c>
      <c r="BN450" s="28" t="n">
        <v>0.641791</v>
      </c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False</t>
        </is>
      </c>
    </row>
    <row r="451" ht="36" customHeight="1">
      <c r="A451" s="24" t="inlineStr">
        <is>
          <t>626e4c6650e2471f</t>
        </is>
      </c>
      <c r="B451" s="24" t="inlineStr">
        <is>
          <t>2026-08-12T17:43:09.064761Z</t>
        </is>
      </c>
      <c r="C451" s="24" t="inlineStr">
        <is>
          <t>2026-08-12T22:40Z</t>
        </is>
      </c>
      <c r="D451" s="24" t="inlineStr">
        <is>
          <t>401816496</t>
        </is>
      </c>
      <c r="E451" s="24" t="inlineStr">
        <is>
          <t>MLB</t>
        </is>
      </c>
      <c r="F451" s="24" t="inlineStr">
        <is>
          <t>Cleveland Guardians</t>
        </is>
      </c>
      <c r="G451" s="24" t="inlineStr">
        <is>
          <t>Detroit Tigers</t>
        </is>
      </c>
      <c r="H451" s="24" t="inlineStr">
        <is>
          <t>total</t>
        </is>
      </c>
      <c r="I451" s="24" t="inlineStr">
        <is>
          <t>over</t>
        </is>
      </c>
      <c r="J451" s="25" t="n">
        <v>8.5</v>
      </c>
      <c r="K451" s="24" t="inlineStr">
        <is>
          <t>polymarket_us</t>
        </is>
      </c>
      <c r="L451" s="26" t="n">
        <v>115</v>
      </c>
      <c r="M451" s="27" t="n">
        <v>2.15</v>
      </c>
      <c r="N451" s="28" t="n">
        <v>0.465116</v>
      </c>
      <c r="O451" s="28" t="n">
        <v>0.5161210000000001</v>
      </c>
      <c r="P451" s="28" t="n">
        <v>0.042131</v>
      </c>
      <c r="Q451" s="28" t="n">
        <v>0.051005</v>
      </c>
      <c r="R451" s="26" t="n">
        <v>51</v>
      </c>
      <c r="S451" s="29" t="n">
        <v>1</v>
      </c>
      <c r="T451" s="24" t="inlineStr">
        <is>
          <t>measured-edge-totals-v3</t>
        </is>
      </c>
      <c r="U451" s="24" t="inlineStr">
        <is>
          <t>open</t>
        </is>
      </c>
      <c r="V451" s="24" t="n"/>
      <c r="W451" s="26" t="n"/>
      <c r="X451" s="26" t="n"/>
      <c r="Y451" s="25" t="n"/>
      <c r="Z451" s="26" t="n"/>
      <c r="AA451" s="28" t="n"/>
      <c r="AB451" s="28" t="n"/>
      <c r="AC451" s="30" t="n"/>
      <c r="AD451" s="24" t="n"/>
      <c r="AE451" s="31" t="inlineStr">
        <is>
          <t>Measured Edge Totals: Trend Engine projected 4.41-4.93; raw selected-side p=0.5415, calibrated p=0.5161.</t>
        </is>
      </c>
      <c r="AF451" s="31" t="inlineStr">
        <is>
          <t>Research-only; lineup, bullpen, park, weather, xFIP, and wRC+ may be neutral fallbacks; market availability and BBO depth may change before first pitch.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model_qualified</t>
        </is>
      </c>
      <c r="AL451" s="26" t="n">
        <v>3</v>
      </c>
      <c r="AM451" s="24" t="inlineStr">
        <is>
          <t>QUALIFIED_SHADOW_CALL</t>
        </is>
      </c>
      <c r="AN451" s="24" t="inlineStr">
        <is>
          <t>CALL</t>
        </is>
      </c>
      <c r="AO451" s="24" t="inlineStr">
        <is>
          <t>QUALIFIED</t>
        </is>
      </c>
      <c r="AP451" s="24" t="inlineStr">
        <is>
          <t>mlb-cle</t>
        </is>
      </c>
      <c r="AQ451" s="24" t="inlineStr">
        <is>
          <t>Cleveland Guardians</t>
        </is>
      </c>
      <c r="AR451" s="24" t="inlineStr">
        <is>
          <t>Cleveland Guardians</t>
        </is>
      </c>
      <c r="AS451" s="24" t="inlineStr">
        <is>
          <t>mlb-det</t>
        </is>
      </c>
      <c r="AT451" s="24" t="inlineStr">
        <is>
          <t>Detroit Tigers</t>
        </is>
      </c>
      <c r="AU451" s="24" t="inlineStr">
        <is>
          <t>Detroit Tigers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research</t>
        </is>
      </c>
      <c r="BA451" s="24" t="inlineStr">
        <is>
          <t>95b84332c75d2ce54036eb8de6ada9c78d0f80228c50825c0347281a8b9b49c7</t>
        </is>
      </c>
      <c r="BB451" s="24" t="inlineStr">
        <is>
          <t>flat_probability_shrinkage_toward_half</t>
        </is>
      </c>
      <c r="BC451" s="24" t="inlineStr">
        <is>
          <t>measured-edge-totals-v3</t>
        </is>
      </c>
      <c r="BD451" s="24" t="inlineStr">
        <is>
          <t>95b84332c75d2ce54036eb8de6ada9c78d0f80228c50825c0347281a8b9b49c7</t>
        </is>
      </c>
      <c r="BE451" s="24" t="inlineStr">
        <is>
          <t>v3</t>
        </is>
      </c>
      <c r="BF451" s="24" t="inlineStr">
        <is>
          <t>1</t>
        </is>
      </c>
      <c r="BG451" s="24" t="inlineStr">
        <is>
          <t>measured-edge-paired-v1</t>
        </is>
      </c>
      <c r="BH451" s="24" t="inlineStr">
        <is>
          <t>2026-08-12T17:43:09.064761Z</t>
        </is>
      </c>
      <c r="BI451" s="24" t="inlineStr">
        <is>
          <t>["same_event","same_team_same_day","same_league_same_day"]</t>
        </is>
      </c>
      <c r="BJ451" s="25" t="n">
        <v>8.5</v>
      </c>
      <c r="BK451" s="26" t="n">
        <v>115</v>
      </c>
      <c r="BL451" s="27" t="n">
        <v>2.15</v>
      </c>
      <c r="BM451" s="28" t="n">
        <v>0.465116</v>
      </c>
      <c r="BN451" s="28" t="n">
        <v>0.462687</v>
      </c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True</t>
        </is>
      </c>
    </row>
    <row r="452" ht="36" customHeight="1">
      <c r="A452" s="24" t="inlineStr">
        <is>
          <t>89e55ab070ad4570</t>
        </is>
      </c>
      <c r="B452" s="24" t="inlineStr">
        <is>
          <t>2026-08-12T17:43:09.064761Z</t>
        </is>
      </c>
      <c r="C452" s="24" t="inlineStr">
        <is>
          <t>2026-08-12T22:40Z</t>
        </is>
      </c>
      <c r="D452" s="24" t="inlineStr">
        <is>
          <t>401816498</t>
        </is>
      </c>
      <c r="E452" s="24" t="inlineStr">
        <is>
          <t>MLB</t>
        </is>
      </c>
      <c r="F452" s="24" t="inlineStr">
        <is>
          <t>Pittsburgh Pirates</t>
        </is>
      </c>
      <c r="G452" s="24" t="inlineStr">
        <is>
          <t>Miami Marlins</t>
        </is>
      </c>
      <c r="H452" s="24" t="inlineStr">
        <is>
          <t>spread</t>
        </is>
      </c>
      <c r="I452" s="24" t="inlineStr">
        <is>
          <t>home</t>
        </is>
      </c>
      <c r="J452" s="25" t="n">
        <v>1.5</v>
      </c>
      <c r="K452" s="24" t="inlineStr">
        <is>
          <t>polymarket_us</t>
        </is>
      </c>
      <c r="L452" s="26" t="n">
        <v>-182</v>
      </c>
      <c r="M452" s="27" t="n">
        <v>1.549451</v>
      </c>
      <c r="N452" s="28" t="n">
        <v>0.64539</v>
      </c>
      <c r="O452" s="28" t="n">
        <v>0.626127</v>
      </c>
      <c r="P452" s="28" t="n">
        <v>0.042131</v>
      </c>
      <c r="Q452" s="28" t="n">
        <v>-0.019263</v>
      </c>
      <c r="R452" s="26" t="n">
        <v>17</v>
      </c>
      <c r="S452" s="29" t="n">
        <v>1.5</v>
      </c>
      <c r="T452" s="24" t="inlineStr">
        <is>
          <t>measured-edge-margin-v3</t>
        </is>
      </c>
      <c r="U452" s="24" t="inlineStr">
        <is>
          <t>open</t>
        </is>
      </c>
      <c r="V452" s="24" t="n"/>
      <c r="W452" s="26" t="n"/>
      <c r="X452" s="26" t="n"/>
      <c r="Y452" s="25" t="n"/>
      <c r="Z452" s="26" t="n"/>
      <c r="AA452" s="28" t="n"/>
      <c r="AB452" s="28" t="n"/>
      <c r="AC452" s="30" t="n"/>
      <c r="AD452" s="24" t="n"/>
      <c r="AE452" s="31" t="inlineStr">
        <is>
          <t>Measured Edge Margin: Trend Engine projected 4.50-4.68; raw selected-side p=0.6851, calibrated p=0.6261.</t>
        </is>
      </c>
      <c r="AF452" s="31" t="inlineStr">
        <is>
          <t>Research-only; lineup, bullpen, park, weather, xFIP, and wRC+ may be neutral fallbacks; market availability and BBO depth may change before first pitch.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model_qualified</t>
        </is>
      </c>
      <c r="AL452" s="26" t="n">
        <v>3</v>
      </c>
      <c r="AM452" s="24" t="inlineStr">
        <is>
          <t>QUALIFIED_SHADOW_CALL</t>
        </is>
      </c>
      <c r="AN452" s="24" t="inlineStr">
        <is>
          <t>CALL</t>
        </is>
      </c>
      <c r="AO452" s="24" t="inlineStr">
        <is>
          <t>QUALIFIED</t>
        </is>
      </c>
      <c r="AP452" s="24" t="inlineStr">
        <is>
          <t>mlb-pit</t>
        </is>
      </c>
      <c r="AQ452" s="24" t="inlineStr">
        <is>
          <t>Pittsburgh Pirates</t>
        </is>
      </c>
      <c r="AR452" s="24" t="inlineStr">
        <is>
          <t>Pittsburgh Pirates</t>
        </is>
      </c>
      <c r="AS452" s="24" t="inlineStr">
        <is>
          <t>mlb-mia</t>
        </is>
      </c>
      <c r="AT452" s="24" t="inlineStr">
        <is>
          <t>Miami Marlins</t>
        </is>
      </c>
      <c r="AU452" s="24" t="inlineStr">
        <is>
          <t>Miami Marlins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research</t>
        </is>
      </c>
      <c r="BA452" s="24" t="inlineStr">
        <is>
          <t>dd339a2eed50d7d83ab2127837995ddab82e879afd27f5414bb6c1f9cd60ba4c</t>
        </is>
      </c>
      <c r="BB452" s="24" t="inlineStr">
        <is>
          <t>flat_probability_shrinkage_toward_half</t>
        </is>
      </c>
      <c r="BC452" s="24" t="inlineStr">
        <is>
          <t>measured-edge-margin-v3</t>
        </is>
      </c>
      <c r="BD452" s="24" t="inlineStr">
        <is>
          <t>dd339a2eed50d7d83ab2127837995ddab82e879afd27f5414bb6c1f9cd60ba4c</t>
        </is>
      </c>
      <c r="BE452" s="24" t="inlineStr">
        <is>
          <t>v3</t>
        </is>
      </c>
      <c r="BF452" s="24" t="inlineStr">
        <is>
          <t>1</t>
        </is>
      </c>
      <c r="BG452" s="24" t="inlineStr">
        <is>
          <t>measured-edge-paired-v1</t>
        </is>
      </c>
      <c r="BH452" s="24" t="inlineStr">
        <is>
          <t>2026-08-12T17:43:09.064761Z</t>
        </is>
      </c>
      <c r="BI452" s="24" t="inlineStr">
        <is>
          <t>["same_event","same_team_same_day","same_league_same_day"]</t>
        </is>
      </c>
      <c r="BJ452" s="25" t="n">
        <v>1.5</v>
      </c>
      <c r="BK452" s="26" t="n">
        <v>-182</v>
      </c>
      <c r="BL452" s="27" t="n">
        <v>1.549451</v>
      </c>
      <c r="BM452" s="28" t="n">
        <v>0.64539</v>
      </c>
      <c r="BN452" s="28" t="n">
        <v>0.641791</v>
      </c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False</t>
        </is>
      </c>
    </row>
    <row r="453" ht="36" customHeight="1">
      <c r="A453" s="24" t="inlineStr">
        <is>
          <t>81de2101183e4636</t>
        </is>
      </c>
      <c r="B453" s="24" t="inlineStr">
        <is>
          <t>2026-08-12T17:43:09.064761Z</t>
        </is>
      </c>
      <c r="C453" s="24" t="inlineStr">
        <is>
          <t>2026-08-12T22:40Z</t>
        </is>
      </c>
      <c r="D453" s="24" t="inlineStr">
        <is>
          <t>401816498</t>
        </is>
      </c>
      <c r="E453" s="24" t="inlineStr">
        <is>
          <t>MLB</t>
        </is>
      </c>
      <c r="F453" s="24" t="inlineStr">
        <is>
          <t>Pittsburgh Pirates</t>
        </is>
      </c>
      <c r="G453" s="24" t="inlineStr">
        <is>
          <t>Miami Marlins</t>
        </is>
      </c>
      <c r="H453" s="24" t="inlineStr">
        <is>
          <t>total</t>
        </is>
      </c>
      <c r="I453" s="24" t="inlineStr">
        <is>
          <t>over</t>
        </is>
      </c>
      <c r="J453" s="25" t="n">
        <v>8.5</v>
      </c>
      <c r="K453" s="24" t="inlineStr">
        <is>
          <t>polymarket_us</t>
        </is>
      </c>
      <c r="L453" s="26" t="n">
        <v>113</v>
      </c>
      <c r="M453" s="27" t="n">
        <v>2.13</v>
      </c>
      <c r="N453" s="28" t="n">
        <v>0.469484</v>
      </c>
      <c r="O453" s="28" t="n">
        <v>0.513339</v>
      </c>
      <c r="P453" s="28" t="n">
        <v>0.042131</v>
      </c>
      <c r="Q453" s="28" t="n">
        <v>0.043855</v>
      </c>
      <c r="R453" s="26" t="n">
        <v>48</v>
      </c>
      <c r="S453" s="29" t="n">
        <v>1</v>
      </c>
      <c r="T453" s="24" t="inlineStr">
        <is>
          <t>measured-edge-totals-v3</t>
        </is>
      </c>
      <c r="U453" s="24" t="inlineStr">
        <is>
          <t>open</t>
        </is>
      </c>
      <c r="V453" s="24" t="n"/>
      <c r="W453" s="26" t="n"/>
      <c r="X453" s="26" t="n"/>
      <c r="Y453" s="25" t="n"/>
      <c r="Z453" s="26" t="n"/>
      <c r="AA453" s="28" t="n"/>
      <c r="AB453" s="28" t="n"/>
      <c r="AC453" s="30" t="n"/>
      <c r="AD453" s="24" t="n"/>
      <c r="AE453" s="31" t="inlineStr">
        <is>
          <t>Measured Edge Totals: Trend Engine projected 4.50-4.68; raw selected-side p=0.5303, calibrated p=0.5133.</t>
        </is>
      </c>
      <c r="AF453" s="31" t="inlineStr">
        <is>
          <t>Research-only; lineup, bullpen, park, weather, xFIP, and wRC+ may be neutral fallbacks; market availability and BBO depth may change before first pitch.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model_qualified</t>
        </is>
      </c>
      <c r="AL453" s="26" t="n">
        <v>3</v>
      </c>
      <c r="AM453" s="24" t="inlineStr">
        <is>
          <t>QUALIFIED_SHADOW_CALL</t>
        </is>
      </c>
      <c r="AN453" s="24" t="inlineStr">
        <is>
          <t>CALL</t>
        </is>
      </c>
      <c r="AO453" s="24" t="inlineStr">
        <is>
          <t>QUALIFIED</t>
        </is>
      </c>
      <c r="AP453" s="24" t="inlineStr">
        <is>
          <t>mlb-pit</t>
        </is>
      </c>
      <c r="AQ453" s="24" t="inlineStr">
        <is>
          <t>Pittsburgh Pirates</t>
        </is>
      </c>
      <c r="AR453" s="24" t="inlineStr">
        <is>
          <t>Pittsburgh Pirates</t>
        </is>
      </c>
      <c r="AS453" s="24" t="inlineStr">
        <is>
          <t>mlb-mia</t>
        </is>
      </c>
      <c r="AT453" s="24" t="inlineStr">
        <is>
          <t>Miami Marlins</t>
        </is>
      </c>
      <c r="AU453" s="24" t="inlineStr">
        <is>
          <t>Miami Marlins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research</t>
        </is>
      </c>
      <c r="BA453" s="24" t="inlineStr">
        <is>
          <t>95b84332c75d2ce54036eb8de6ada9c78d0f80228c50825c0347281a8b9b49c7</t>
        </is>
      </c>
      <c r="BB453" s="24" t="inlineStr">
        <is>
          <t>flat_probability_shrinkage_toward_half</t>
        </is>
      </c>
      <c r="BC453" s="24" t="inlineStr">
        <is>
          <t>measured-edge-totals-v3</t>
        </is>
      </c>
      <c r="BD453" s="24" t="inlineStr">
        <is>
          <t>95b84332c75d2ce54036eb8de6ada9c78d0f80228c50825c0347281a8b9b49c7</t>
        </is>
      </c>
      <c r="BE453" s="24" t="inlineStr">
        <is>
          <t>v3</t>
        </is>
      </c>
      <c r="BF453" s="24" t="inlineStr">
        <is>
          <t>1</t>
        </is>
      </c>
      <c r="BG453" s="24" t="inlineStr">
        <is>
          <t>measured-edge-paired-v1</t>
        </is>
      </c>
      <c r="BH453" s="24" t="inlineStr">
        <is>
          <t>2026-08-12T17:43:09.064761Z</t>
        </is>
      </c>
      <c r="BI453" s="24" t="inlineStr">
        <is>
          <t>["same_event","same_team_same_day","same_league_same_day"]</t>
        </is>
      </c>
      <c r="BJ453" s="25" t="n">
        <v>8.5</v>
      </c>
      <c r="BK453" s="26" t="n">
        <v>113</v>
      </c>
      <c r="BL453" s="27" t="n">
        <v>2.13</v>
      </c>
      <c r="BM453" s="28" t="n">
        <v>0.469484</v>
      </c>
      <c r="BN453" s="28" t="n">
        <v>0.467662</v>
      </c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</row>
    <row r="454" ht="36" customHeight="1">
      <c r="A454" s="24" t="inlineStr">
        <is>
          <t>2e3bada74cef41f8</t>
        </is>
      </c>
      <c r="B454" s="24" t="inlineStr">
        <is>
          <t>2026-08-12T17:43:09.064761Z</t>
        </is>
      </c>
      <c r="C454" s="24" t="inlineStr">
        <is>
          <t>2026-08-12T22:45Z</t>
        </is>
      </c>
      <c r="D454" s="24" t="inlineStr">
        <is>
          <t>401816495</t>
        </is>
      </c>
      <c r="E454" s="24" t="inlineStr">
        <is>
          <t>MLB</t>
        </is>
      </c>
      <c r="F454" s="24" t="inlineStr">
        <is>
          <t>Chicago Cubs</t>
        </is>
      </c>
      <c r="G454" s="24" t="inlineStr">
        <is>
          <t>Washington Nationals</t>
        </is>
      </c>
      <c r="H454" s="24" t="inlineStr">
        <is>
          <t>spread</t>
        </is>
      </c>
      <c r="I454" s="24" t="inlineStr">
        <is>
          <t>home</t>
        </is>
      </c>
      <c r="J454" s="25" t="n">
        <v>1.5</v>
      </c>
      <c r="K454" s="24" t="inlineStr">
        <is>
          <t>polymarket_us</t>
        </is>
      </c>
      <c r="L454" s="26" t="n">
        <v>-108</v>
      </c>
      <c r="M454" s="27" t="n">
        <v>1.925926</v>
      </c>
      <c r="N454" s="28" t="n">
        <v>0.519231</v>
      </c>
      <c r="O454" s="28" t="n">
        <v>0.616622</v>
      </c>
      <c r="P454" s="28" t="n">
        <v>0.05172</v>
      </c>
      <c r="Q454" s="28" t="n">
        <v>0.09739100000000001</v>
      </c>
      <c r="R454" s="26" t="n">
        <v>69</v>
      </c>
      <c r="S454" s="29" t="n">
        <v>1.5</v>
      </c>
      <c r="T454" s="24" t="inlineStr">
        <is>
          <t>measured-edge-margin-v3</t>
        </is>
      </c>
      <c r="U454" s="24" t="inlineStr">
        <is>
          <t>open</t>
        </is>
      </c>
      <c r="V454" s="24" t="n"/>
      <c r="W454" s="26" t="n"/>
      <c r="X454" s="26" t="n"/>
      <c r="Y454" s="25" t="n"/>
      <c r="Z454" s="26" t="n"/>
      <c r="AA454" s="28" t="n"/>
      <c r="AB454" s="28" t="n"/>
      <c r="AC454" s="30" t="n"/>
      <c r="AD454" s="24" t="n"/>
      <c r="AE454" s="31" t="inlineStr">
        <is>
          <t>Measured Edge Margin: Trend Engine projected 4.61-4.57; raw selected-side p=0.6712, calibrated p=0.6166.</t>
        </is>
      </c>
      <c r="AF454" s="31" t="inlineStr">
        <is>
          <t>Research-only; lineup, bullpen, park, weather, xFIP, and wRC+ may be neutral fallbacks; market availability and BBO depth may change before first pitch.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3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mlb-chc</t>
        </is>
      </c>
      <c r="AQ454" s="24" t="inlineStr">
        <is>
          <t>Chicago Cubs</t>
        </is>
      </c>
      <c r="AR454" s="24" t="inlineStr">
        <is>
          <t>Chicago Cubs</t>
        </is>
      </c>
      <c r="AS454" s="24" t="inlineStr">
        <is>
          <t>mlb-wsh</t>
        </is>
      </c>
      <c r="AT454" s="24" t="inlineStr">
        <is>
          <t>Washington Nationals</t>
        </is>
      </c>
      <c r="AU454" s="24" t="inlineStr">
        <is>
          <t>Washington Nationals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research</t>
        </is>
      </c>
      <c r="BA454" s="24" t="inlineStr">
        <is>
          <t>dd339a2eed50d7d83ab2127837995ddab82e879afd27f5414bb6c1f9cd60ba4c</t>
        </is>
      </c>
      <c r="BB454" s="24" t="inlineStr">
        <is>
          <t>flat_probability_shrinkage_toward_half</t>
        </is>
      </c>
      <c r="BC454" s="24" t="inlineStr">
        <is>
          <t>measured-edge-margin-v3</t>
        </is>
      </c>
      <c r="BD454" s="24" t="inlineStr">
        <is>
          <t>dd339a2eed50d7d83ab2127837995ddab82e879afd27f5414bb6c1f9cd60ba4c</t>
        </is>
      </c>
      <c r="BE454" s="24" t="inlineStr">
        <is>
          <t>v3</t>
        </is>
      </c>
      <c r="BF454" s="24" t="inlineStr">
        <is>
          <t>1</t>
        </is>
      </c>
      <c r="BG454" s="24" t="inlineStr">
        <is>
          <t>measured-edge-paired-v1</t>
        </is>
      </c>
      <c r="BH454" s="24" t="inlineStr">
        <is>
          <t>2026-08-12T17:43:09.064761Z</t>
        </is>
      </c>
      <c r="BI454" s="24" t="inlineStr">
        <is>
          <t>["same_event","same_team_same_day","same_league_same_day"]</t>
        </is>
      </c>
      <c r="BJ454" s="25" t="n">
        <v>1.5</v>
      </c>
      <c r="BK454" s="26" t="n">
        <v>-108</v>
      </c>
      <c r="BL454" s="27" t="n">
        <v>1.925926</v>
      </c>
      <c r="BM454" s="28" t="n">
        <v>0.519231</v>
      </c>
      <c r="BN454" s="28" t="n">
        <v>0.517413</v>
      </c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</row>
    <row r="455" ht="36" customHeight="1">
      <c r="A455" s="24" t="inlineStr">
        <is>
          <t>1a5e4b5608094ddc</t>
        </is>
      </c>
      <c r="B455" s="24" t="inlineStr">
        <is>
          <t>2026-08-12T17:43:09.064761Z</t>
        </is>
      </c>
      <c r="C455" s="24" t="inlineStr">
        <is>
          <t>2026-08-12T22:45Z</t>
        </is>
      </c>
      <c r="D455" s="24" t="inlineStr">
        <is>
          <t>401816495</t>
        </is>
      </c>
      <c r="E455" s="24" t="inlineStr">
        <is>
          <t>MLB</t>
        </is>
      </c>
      <c r="F455" s="24" t="inlineStr">
        <is>
          <t>Chicago Cubs</t>
        </is>
      </c>
      <c r="G455" s="24" t="inlineStr">
        <is>
          <t>Washington Nationals</t>
        </is>
      </c>
      <c r="H455" s="24" t="inlineStr">
        <is>
          <t>total</t>
        </is>
      </c>
      <c r="I455" s="24" t="inlineStr">
        <is>
          <t>under</t>
        </is>
      </c>
      <c r="J455" s="25" t="n">
        <v>9.5</v>
      </c>
      <c r="K455" s="24" t="inlineStr">
        <is>
          <t>polymarket_us</t>
        </is>
      </c>
      <c r="L455" s="26" t="n">
        <v>-102</v>
      </c>
      <c r="M455" s="27" t="n">
        <v>1.980392</v>
      </c>
      <c r="N455" s="28" t="n">
        <v>0.50495</v>
      </c>
      <c r="O455" s="28" t="n">
        <v>0.525585</v>
      </c>
      <c r="P455" s="28" t="n">
        <v>0.05172</v>
      </c>
      <c r="Q455" s="28" t="n">
        <v>0.020635</v>
      </c>
      <c r="R455" s="26" t="n">
        <v>31</v>
      </c>
      <c r="S455" s="29" t="n">
        <v>1</v>
      </c>
      <c r="T455" s="24" t="inlineStr">
        <is>
          <t>measured-edge-totals-v3</t>
        </is>
      </c>
      <c r="U455" s="24" t="inlineStr">
        <is>
          <t>open</t>
        </is>
      </c>
      <c r="V455" s="24" t="n"/>
      <c r="W455" s="26" t="n"/>
      <c r="X455" s="26" t="n"/>
      <c r="Y455" s="25" t="n"/>
      <c r="Z455" s="26" t="n"/>
      <c r="AA455" s="28" t="n"/>
      <c r="AB455" s="28" t="n"/>
      <c r="AC455" s="30" t="n"/>
      <c r="AD455" s="24" t="n"/>
      <c r="AE455" s="31" t="inlineStr">
        <is>
          <t>Measured Edge Totals: Trend Engine projected 4.61-4.57; raw selected-side p=0.5796, calibrated p=0.5256.</t>
        </is>
      </c>
      <c r="AF455" s="31" t="inlineStr">
        <is>
          <t>Research-only; lineup, bullpen, park, weather, xFIP, and wRC+ may be neutral fallbacks; market availability and BBO depth may change before first pitch.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3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mlb-chc</t>
        </is>
      </c>
      <c r="AQ455" s="24" t="inlineStr">
        <is>
          <t>Chicago Cubs</t>
        </is>
      </c>
      <c r="AR455" s="24" t="inlineStr">
        <is>
          <t>Chicago Cubs</t>
        </is>
      </c>
      <c r="AS455" s="24" t="inlineStr">
        <is>
          <t>mlb-wsh</t>
        </is>
      </c>
      <c r="AT455" s="24" t="inlineStr">
        <is>
          <t>Washington Nationals</t>
        </is>
      </c>
      <c r="AU455" s="24" t="inlineStr">
        <is>
          <t>Washington Nationals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research</t>
        </is>
      </c>
      <c r="BA455" s="24" t="inlineStr">
        <is>
          <t>95b84332c75d2ce54036eb8de6ada9c78d0f80228c50825c0347281a8b9b49c7</t>
        </is>
      </c>
      <c r="BB455" s="24" t="inlineStr">
        <is>
          <t>flat_probability_shrinkage_toward_half</t>
        </is>
      </c>
      <c r="BC455" s="24" t="inlineStr">
        <is>
          <t>measured-edge-totals-v3</t>
        </is>
      </c>
      <c r="BD455" s="24" t="inlineStr">
        <is>
          <t>95b84332c75d2ce54036eb8de6ada9c78d0f80228c50825c0347281a8b9b49c7</t>
        </is>
      </c>
      <c r="BE455" s="24" t="inlineStr">
        <is>
          <t>v3</t>
        </is>
      </c>
      <c r="BF455" s="24" t="inlineStr">
        <is>
          <t>1</t>
        </is>
      </c>
      <c r="BG455" s="24" t="inlineStr">
        <is>
          <t>measured-edge-paired-v1</t>
        </is>
      </c>
      <c r="BH455" s="24" t="inlineStr">
        <is>
          <t>2026-08-12T17:43:09.064761Z</t>
        </is>
      </c>
      <c r="BI455" s="24" t="inlineStr">
        <is>
          <t>["same_event","same_team_same_day","same_league_same_day"]</t>
        </is>
      </c>
      <c r="BJ455" s="25" t="n">
        <v>9.5</v>
      </c>
      <c r="BK455" s="26" t="n">
        <v>-102</v>
      </c>
      <c r="BL455" s="27" t="n">
        <v>1.980392</v>
      </c>
      <c r="BM455" s="28" t="n">
        <v>0.50495</v>
      </c>
      <c r="BN455" s="28" t="n">
        <v>0.502488</v>
      </c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</row>
    <row r="456" ht="36" customHeight="1">
      <c r="A456" s="24" t="inlineStr">
        <is>
          <t>34e5f0bb5a854279</t>
        </is>
      </c>
      <c r="B456" s="24" t="inlineStr">
        <is>
          <t>2026-08-12T17:43:09.064761Z</t>
        </is>
      </c>
      <c r="C456" s="24" t="inlineStr">
        <is>
          <t>2026-08-12T23:00Z</t>
        </is>
      </c>
      <c r="D456" s="24" t="inlineStr">
        <is>
          <t>401816499</t>
        </is>
      </c>
      <c r="E456" s="24" t="inlineStr">
        <is>
          <t>MLB</t>
        </is>
      </c>
      <c r="F456" s="24" t="inlineStr">
        <is>
          <t>Seattle Mariners</t>
        </is>
      </c>
      <c r="G456" s="24" t="inlineStr">
        <is>
          <t>New York Yankees</t>
        </is>
      </c>
      <c r="H456" s="24" t="inlineStr">
        <is>
          <t>spread</t>
        </is>
      </c>
      <c r="I456" s="24" t="inlineStr">
        <is>
          <t>away</t>
        </is>
      </c>
      <c r="J456" s="25" t="n">
        <v>1.5</v>
      </c>
      <c r="K456" s="24" t="inlineStr">
        <is>
          <t>polymarket_us</t>
        </is>
      </c>
      <c r="L456" s="26" t="n">
        <v>-174</v>
      </c>
      <c r="M456" s="27" t="n">
        <v>1.574713</v>
      </c>
      <c r="N456" s="28" t="n">
        <v>0.635036</v>
      </c>
      <c r="O456" s="28" t="n">
        <v>0.590592</v>
      </c>
      <c r="P456" s="28" t="n">
        <v>0.042131</v>
      </c>
      <c r="Q456" s="28" t="n">
        <v>-0.044444</v>
      </c>
      <c r="R456" s="26" t="n">
        <v>4</v>
      </c>
      <c r="S456" s="29" t="n">
        <v>1.25</v>
      </c>
      <c r="T456" s="24" t="inlineStr">
        <is>
          <t>measured-edge-margin-v3</t>
        </is>
      </c>
      <c r="U456" s="24" t="inlineStr">
        <is>
          <t>open</t>
        </is>
      </c>
      <c r="V456" s="24" t="n"/>
      <c r="W456" s="26" t="n"/>
      <c r="X456" s="26" t="n"/>
      <c r="Y456" s="25" t="n"/>
      <c r="Z456" s="26" t="n"/>
      <c r="AA456" s="28" t="n"/>
      <c r="AB456" s="28" t="n"/>
      <c r="AC456" s="30" t="n"/>
      <c r="AD456" s="24" t="n"/>
      <c r="AE456" s="31" t="inlineStr">
        <is>
          <t>Measured Edge Margin: Trend Engine projected 4.48-4.85; raw selected-side p=0.6330, calibrated p=0.5906.</t>
        </is>
      </c>
      <c r="AF456" s="31" t="inlineStr">
        <is>
          <t>Research-only; lineup, bullpen, park, weather, xFIP, and wRC+ may be neutral fallbacks; market availability and BBO depth may change before first pitch.</t>
        </is>
      </c>
      <c r="AG456" s="24" t="inlineStr">
        <is>
          <t>not_applicable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3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mlb-sea</t>
        </is>
      </c>
      <c r="AQ456" s="24" t="inlineStr">
        <is>
          <t>Seattle Mariners</t>
        </is>
      </c>
      <c r="AR456" s="24" t="inlineStr">
        <is>
          <t>Seattle Mariners</t>
        </is>
      </c>
      <c r="AS456" s="24" t="inlineStr">
        <is>
          <t>mlb-nyy</t>
        </is>
      </c>
      <c r="AT456" s="24" t="inlineStr">
        <is>
          <t>New York Yankees</t>
        </is>
      </c>
      <c r="AU456" s="24" t="inlineStr">
        <is>
          <t>New York Yankees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research</t>
        </is>
      </c>
      <c r="BA456" s="24" t="inlineStr">
        <is>
          <t>dd339a2eed50d7d83ab2127837995ddab82e879afd27f5414bb6c1f9cd60ba4c</t>
        </is>
      </c>
      <c r="BB456" s="24" t="inlineStr">
        <is>
          <t>flat_probability_shrinkage_toward_half</t>
        </is>
      </c>
      <c r="BC456" s="24" t="inlineStr">
        <is>
          <t>measured-edge-margin-v3</t>
        </is>
      </c>
      <c r="BD456" s="24" t="inlineStr">
        <is>
          <t>dd339a2eed50d7d83ab2127837995ddab82e879afd27f5414bb6c1f9cd60ba4c</t>
        </is>
      </c>
      <c r="BE456" s="24" t="inlineStr">
        <is>
          <t>v3</t>
        </is>
      </c>
      <c r="BF456" s="24" t="inlineStr">
        <is>
          <t>1</t>
        </is>
      </c>
      <c r="BG456" s="24" t="inlineStr">
        <is>
          <t>measured-edge-paired-v1</t>
        </is>
      </c>
      <c r="BH456" s="24" t="inlineStr">
        <is>
          <t>2026-08-12T17:43:09.064761Z</t>
        </is>
      </c>
      <c r="BI456" s="24" t="inlineStr">
        <is>
          <t>["same_event","same_team_same_day","same_league_same_day"]</t>
        </is>
      </c>
      <c r="BJ456" s="25" t="n">
        <v>1.5</v>
      </c>
      <c r="BK456" s="26" t="n">
        <v>-174</v>
      </c>
      <c r="BL456" s="27" t="n">
        <v>1.574713</v>
      </c>
      <c r="BM456" s="28" t="n">
        <v>0.635036</v>
      </c>
      <c r="BN456" s="28" t="n">
        <v>0.631841</v>
      </c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False</t>
        </is>
      </c>
    </row>
    <row r="457" ht="36" customHeight="1">
      <c r="A457" s="24" t="inlineStr">
        <is>
          <t>9611495007294536</t>
        </is>
      </c>
      <c r="B457" s="24" t="inlineStr">
        <is>
          <t>2026-08-12T17:43:09.064761Z</t>
        </is>
      </c>
      <c r="C457" s="24" t="inlineStr">
        <is>
          <t>2026-08-12T23:00Z</t>
        </is>
      </c>
      <c r="D457" s="24" t="inlineStr">
        <is>
          <t>401816499</t>
        </is>
      </c>
      <c r="E457" s="24" t="inlineStr">
        <is>
          <t>MLB</t>
        </is>
      </c>
      <c r="F457" s="24" t="inlineStr">
        <is>
          <t>Seattle Mariners</t>
        </is>
      </c>
      <c r="G457" s="24" t="inlineStr">
        <is>
          <t>New York Yankees</t>
        </is>
      </c>
      <c r="H457" s="24" t="inlineStr">
        <is>
          <t>total</t>
        </is>
      </c>
      <c r="I457" s="24" t="inlineStr">
        <is>
          <t>over</t>
        </is>
      </c>
      <c r="J457" s="25" t="n">
        <v>8.5</v>
      </c>
      <c r="K457" s="24" t="inlineStr">
        <is>
          <t>polymarket_us</t>
        </is>
      </c>
      <c r="L457" s="26" t="n">
        <v>-106</v>
      </c>
      <c r="M457" s="27" t="n">
        <v>1.943396</v>
      </c>
      <c r="N457" s="28" t="n">
        <v>0.514563</v>
      </c>
      <c r="O457" s="28" t="n">
        <v>0.51673</v>
      </c>
      <c r="P457" s="28" t="n">
        <v>0.042131</v>
      </c>
      <c r="Q457" s="28" t="n">
        <v>0.002167</v>
      </c>
      <c r="R457" s="26" t="n">
        <v>27</v>
      </c>
      <c r="S457" s="29" t="n">
        <v>1</v>
      </c>
      <c r="T457" s="24" t="inlineStr">
        <is>
          <t>measured-edge-totals-v3</t>
        </is>
      </c>
      <c r="U457" s="24" t="inlineStr">
        <is>
          <t>open</t>
        </is>
      </c>
      <c r="V457" s="24" t="n"/>
      <c r="W457" s="26" t="n"/>
      <c r="X457" s="26" t="n"/>
      <c r="Y457" s="25" t="n"/>
      <c r="Z457" s="26" t="n"/>
      <c r="AA457" s="28" t="n"/>
      <c r="AB457" s="28" t="n"/>
      <c r="AC457" s="30" t="n"/>
      <c r="AD457" s="24" t="n"/>
      <c r="AE457" s="31" t="inlineStr">
        <is>
          <t>Measured Edge Totals: Trend Engine projected 4.48-4.85; raw selected-side p=0.5440, calibrated p=0.5167.</t>
        </is>
      </c>
      <c r="AF457" s="31" t="inlineStr">
        <is>
          <t>Research-only; lineup, bullpen, park, weather, xFIP, and wRC+ may be neutral fallbacks; market availability and BBO depth may change before first pitch.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3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mlb-sea</t>
        </is>
      </c>
      <c r="AQ457" s="24" t="inlineStr">
        <is>
          <t>Seattle Mariners</t>
        </is>
      </c>
      <c r="AR457" s="24" t="inlineStr">
        <is>
          <t>Seattle Mariners</t>
        </is>
      </c>
      <c r="AS457" s="24" t="inlineStr">
        <is>
          <t>mlb-nyy</t>
        </is>
      </c>
      <c r="AT457" s="24" t="inlineStr">
        <is>
          <t>New York Yankees</t>
        </is>
      </c>
      <c r="AU457" s="24" t="inlineStr">
        <is>
          <t>New York Yankees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research</t>
        </is>
      </c>
      <c r="BA457" s="24" t="inlineStr">
        <is>
          <t>95b84332c75d2ce54036eb8de6ada9c78d0f80228c50825c0347281a8b9b49c7</t>
        </is>
      </c>
      <c r="BB457" s="24" t="inlineStr">
        <is>
          <t>flat_probability_shrinkage_toward_half</t>
        </is>
      </c>
      <c r="BC457" s="24" t="inlineStr">
        <is>
          <t>measured-edge-totals-v3</t>
        </is>
      </c>
      <c r="BD457" s="24" t="inlineStr">
        <is>
          <t>95b84332c75d2ce54036eb8de6ada9c78d0f80228c50825c0347281a8b9b49c7</t>
        </is>
      </c>
      <c r="BE457" s="24" t="inlineStr">
        <is>
          <t>v3</t>
        </is>
      </c>
      <c r="BF457" s="24" t="inlineStr">
        <is>
          <t>1</t>
        </is>
      </c>
      <c r="BG457" s="24" t="inlineStr">
        <is>
          <t>measured-edge-paired-v1</t>
        </is>
      </c>
      <c r="BH457" s="24" t="inlineStr">
        <is>
          <t>2026-08-12T17:43:09.064761Z</t>
        </is>
      </c>
      <c r="BI457" s="24" t="inlineStr">
        <is>
          <t>["same_event","same_team_same_day","same_league_same_day"]</t>
        </is>
      </c>
      <c r="BJ457" s="25" t="n">
        <v>8.5</v>
      </c>
      <c r="BK457" s="26" t="n">
        <v>-106</v>
      </c>
      <c r="BL457" s="27" t="n">
        <v>1.943396</v>
      </c>
      <c r="BM457" s="28" t="n">
        <v>0.514563</v>
      </c>
      <c r="BN457" s="28" t="n">
        <v>0.5124379999999999</v>
      </c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</row>
    <row r="458" ht="36" customHeight="1">
      <c r="A458" s="24" t="inlineStr">
        <is>
          <t>a667caa6323c49d4</t>
        </is>
      </c>
      <c r="B458" s="24" t="inlineStr">
        <is>
          <t>2026-08-12T17:43:09.064761Z</t>
        </is>
      </c>
      <c r="C458" s="24" t="inlineStr">
        <is>
          <t>2026-08-12T23:07Z</t>
        </is>
      </c>
      <c r="D458" s="24" t="inlineStr">
        <is>
          <t>401816494</t>
        </is>
      </c>
      <c r="E458" s="24" t="inlineStr">
        <is>
          <t>MLB</t>
        </is>
      </c>
      <c r="F458" s="24" t="inlineStr">
        <is>
          <t>Boston Red Sox</t>
        </is>
      </c>
      <c r="G458" s="24" t="inlineStr">
        <is>
          <t>Toronto Blue Jays</t>
        </is>
      </c>
      <c r="H458" s="24" t="inlineStr">
        <is>
          <t>spread</t>
        </is>
      </c>
      <c r="I458" s="24" t="inlineStr">
        <is>
          <t>home</t>
        </is>
      </c>
      <c r="J458" s="25" t="n">
        <v>1.5</v>
      </c>
      <c r="K458" s="24" t="inlineStr">
        <is>
          <t>polymarket_us</t>
        </is>
      </c>
      <c r="L458" s="26" t="n">
        <v>-156</v>
      </c>
      <c r="M458" s="27" t="n">
        <v>1.641026</v>
      </c>
      <c r="N458" s="28" t="n">
        <v>0.609375</v>
      </c>
      <c r="O458" s="28" t="n">
        <v>0.643741</v>
      </c>
      <c r="P458" s="28" t="n">
        <v>0.042131</v>
      </c>
      <c r="Q458" s="28" t="n">
        <v>0.034366</v>
      </c>
      <c r="R458" s="26" t="n">
        <v>43</v>
      </c>
      <c r="S458" s="29" t="n">
        <v>1.75</v>
      </c>
      <c r="T458" s="24" t="inlineStr">
        <is>
          <t>measured-edge-margin-v3</t>
        </is>
      </c>
      <c r="U458" s="24" t="inlineStr">
        <is>
          <t>open</t>
        </is>
      </c>
      <c r="V458" s="24" t="n"/>
      <c r="W458" s="26" t="n"/>
      <c r="X458" s="26" t="n"/>
      <c r="Y458" s="25" t="n"/>
      <c r="Z458" s="26" t="n"/>
      <c r="AA458" s="28" t="n"/>
      <c r="AB458" s="28" t="n"/>
      <c r="AC458" s="30" t="n"/>
      <c r="AD458" s="24" t="n"/>
      <c r="AE458" s="31" t="inlineStr">
        <is>
          <t>Measured Edge Margin: Trend Engine projected 4.21-4.63; raw selected-side p=0.7109, calibrated p=0.6437.</t>
        </is>
      </c>
      <c r="AF458" s="31" t="inlineStr">
        <is>
          <t>Research-only; lineup, bullpen, park, weather, xFIP, and wRC+ may be neutral fallbacks; market availability and BBO depth may change before first pitch.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3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mlb-bos</t>
        </is>
      </c>
      <c r="AQ458" s="24" t="inlineStr">
        <is>
          <t>Boston Red Sox</t>
        </is>
      </c>
      <c r="AR458" s="24" t="inlineStr">
        <is>
          <t>Boston Red Sox</t>
        </is>
      </c>
      <c r="AS458" s="24" t="inlineStr">
        <is>
          <t>mlb-tor</t>
        </is>
      </c>
      <c r="AT458" s="24" t="inlineStr">
        <is>
          <t>Toronto Blue Jays</t>
        </is>
      </c>
      <c r="AU458" s="24" t="inlineStr">
        <is>
          <t>Toronto Blue Jays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research</t>
        </is>
      </c>
      <c r="BA458" s="24" t="inlineStr">
        <is>
          <t>dd339a2eed50d7d83ab2127837995ddab82e879afd27f5414bb6c1f9cd60ba4c</t>
        </is>
      </c>
      <c r="BB458" s="24" t="inlineStr">
        <is>
          <t>flat_probability_shrinkage_toward_half</t>
        </is>
      </c>
      <c r="BC458" s="24" t="inlineStr">
        <is>
          <t>measured-edge-margin-v3</t>
        </is>
      </c>
      <c r="BD458" s="24" t="inlineStr">
        <is>
          <t>dd339a2eed50d7d83ab2127837995ddab82e879afd27f5414bb6c1f9cd60ba4c</t>
        </is>
      </c>
      <c r="BE458" s="24" t="inlineStr">
        <is>
          <t>v3</t>
        </is>
      </c>
      <c r="BF458" s="24" t="inlineStr">
        <is>
          <t>1</t>
        </is>
      </c>
      <c r="BG458" s="24" t="inlineStr">
        <is>
          <t>measured-edge-paired-v1</t>
        </is>
      </c>
      <c r="BH458" s="24" t="inlineStr">
        <is>
          <t>2026-08-12T17:43:09.064761Z</t>
        </is>
      </c>
      <c r="BI458" s="24" t="inlineStr">
        <is>
          <t>["same_event","same_team_same_day","same_league_same_day"]</t>
        </is>
      </c>
      <c r="BJ458" s="25" t="n">
        <v>1.5</v>
      </c>
      <c r="BK458" s="26" t="n">
        <v>-156</v>
      </c>
      <c r="BL458" s="27" t="n">
        <v>1.641026</v>
      </c>
      <c r="BM458" s="28" t="n">
        <v>0.609375</v>
      </c>
      <c r="BN458" s="28" t="n">
        <v>0.606965</v>
      </c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</row>
    <row r="459" ht="36" customHeight="1">
      <c r="A459" s="24" t="inlineStr">
        <is>
          <t>d4f3d0b4dac84c84</t>
        </is>
      </c>
      <c r="B459" s="24" t="inlineStr">
        <is>
          <t>2026-08-12T17:43:09.064761Z</t>
        </is>
      </c>
      <c r="C459" s="24" t="inlineStr">
        <is>
          <t>2026-08-12T23:07Z</t>
        </is>
      </c>
      <c r="D459" s="24" t="inlineStr">
        <is>
          <t>401816494</t>
        </is>
      </c>
      <c r="E459" s="24" t="inlineStr">
        <is>
          <t>MLB</t>
        </is>
      </c>
      <c r="F459" s="24" t="inlineStr">
        <is>
          <t>Boston Red Sox</t>
        </is>
      </c>
      <c r="G459" s="24" t="inlineStr">
        <is>
          <t>Toronto Blue Jays</t>
        </is>
      </c>
      <c r="H459" s="24" t="inlineStr">
        <is>
          <t>total</t>
        </is>
      </c>
      <c r="I459" s="24" t="inlineStr">
        <is>
          <t>over</t>
        </is>
      </c>
      <c r="J459" s="25" t="n">
        <v>7.5</v>
      </c>
      <c r="K459" s="24" t="inlineStr">
        <is>
          <t>polymarket_us</t>
        </is>
      </c>
      <c r="L459" s="26" t="n">
        <v>117</v>
      </c>
      <c r="M459" s="27" t="n">
        <v>2.17</v>
      </c>
      <c r="N459" s="28" t="n">
        <v>0.460829</v>
      </c>
      <c r="O459" s="28" t="n">
        <v>0.523672</v>
      </c>
      <c r="P459" s="28" t="n">
        <v>0.042131</v>
      </c>
      <c r="Q459" s="28" t="n">
        <v>0.062843</v>
      </c>
      <c r="R459" s="26" t="n">
        <v>58</v>
      </c>
      <c r="S459" s="29" t="n">
        <v>1</v>
      </c>
      <c r="T459" s="24" t="inlineStr">
        <is>
          <t>measured-edge-totals-v3</t>
        </is>
      </c>
      <c r="U459" s="24" t="inlineStr">
        <is>
          <t>open</t>
        </is>
      </c>
      <c r="V459" s="24" t="n"/>
      <c r="W459" s="26" t="n"/>
      <c r="X459" s="26" t="n"/>
      <c r="Y459" s="25" t="n"/>
      <c r="Z459" s="26" t="n"/>
      <c r="AA459" s="28" t="n"/>
      <c r="AB459" s="28" t="n"/>
      <c r="AC459" s="30" t="n"/>
      <c r="AD459" s="24" t="n"/>
      <c r="AE459" s="31" t="inlineStr">
        <is>
          <t>Measured Edge Totals: Trend Engine projected 4.21-4.63; raw selected-side p=0.5719, calibrated p=0.5237.</t>
        </is>
      </c>
      <c r="AF459" s="31" t="inlineStr">
        <is>
          <t>Research-only; lineup, bullpen, park, weather, xFIP, and wRC+ may be neutral fallbacks; market availability and BBO depth may change before first pitch.</t>
        </is>
      </c>
      <c r="AG459" s="24" t="inlineStr">
        <is>
          <t>not_applicable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3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mlb-bos</t>
        </is>
      </c>
      <c r="AQ459" s="24" t="inlineStr">
        <is>
          <t>Boston Red Sox</t>
        </is>
      </c>
      <c r="AR459" s="24" t="inlineStr">
        <is>
          <t>Boston Red Sox</t>
        </is>
      </c>
      <c r="AS459" s="24" t="inlineStr">
        <is>
          <t>mlb-tor</t>
        </is>
      </c>
      <c r="AT459" s="24" t="inlineStr">
        <is>
          <t>Toronto Blue Jays</t>
        </is>
      </c>
      <c r="AU459" s="24" t="inlineStr">
        <is>
          <t>Toronto Blue Jays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research</t>
        </is>
      </c>
      <c r="BA459" s="24" t="inlineStr">
        <is>
          <t>95b84332c75d2ce54036eb8de6ada9c78d0f80228c50825c0347281a8b9b49c7</t>
        </is>
      </c>
      <c r="BB459" s="24" t="inlineStr">
        <is>
          <t>flat_probability_shrinkage_toward_half</t>
        </is>
      </c>
      <c r="BC459" s="24" t="inlineStr">
        <is>
          <t>measured-edge-totals-v3</t>
        </is>
      </c>
      <c r="BD459" s="24" t="inlineStr">
        <is>
          <t>95b84332c75d2ce54036eb8de6ada9c78d0f80228c50825c0347281a8b9b49c7</t>
        </is>
      </c>
      <c r="BE459" s="24" t="inlineStr">
        <is>
          <t>v3</t>
        </is>
      </c>
      <c r="BF459" s="24" t="inlineStr">
        <is>
          <t>1</t>
        </is>
      </c>
      <c r="BG459" s="24" t="inlineStr">
        <is>
          <t>measured-edge-paired-v1</t>
        </is>
      </c>
      <c r="BH459" s="24" t="inlineStr">
        <is>
          <t>2026-08-12T17:43:09.064761Z</t>
        </is>
      </c>
      <c r="BI459" s="24" t="inlineStr">
        <is>
          <t>["same_event","same_team_same_day","same_league_same_day"]</t>
        </is>
      </c>
      <c r="BJ459" s="25" t="n">
        <v>7.5</v>
      </c>
      <c r="BK459" s="26" t="n">
        <v>117</v>
      </c>
      <c r="BL459" s="27" t="n">
        <v>2.17</v>
      </c>
      <c r="BM459" s="28" t="n">
        <v>0.460829</v>
      </c>
      <c r="BN459" s="28" t="n">
        <v>0.457711</v>
      </c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</row>
    <row r="460" ht="36" customHeight="1">
      <c r="A460" s="24" t="inlineStr">
        <is>
          <t>487f9b3c7cd24679</t>
        </is>
      </c>
      <c r="B460" s="24" t="inlineStr">
        <is>
          <t>2026-08-12T17:43:09.064761Z</t>
        </is>
      </c>
      <c r="C460" s="24" t="inlineStr">
        <is>
          <t>2026-08-12T23:15Z</t>
        </is>
      </c>
      <c r="D460" s="24" t="inlineStr">
        <is>
          <t>401816497</t>
        </is>
      </c>
      <c r="E460" s="24" t="inlineStr">
        <is>
          <t>MLB</t>
        </is>
      </c>
      <c r="F460" s="24" t="inlineStr">
        <is>
          <t>New York Mets</t>
        </is>
      </c>
      <c r="G460" s="24" t="inlineStr">
        <is>
          <t>Atlanta Braves</t>
        </is>
      </c>
      <c r="H460" s="24" t="inlineStr">
        <is>
          <t>spread</t>
        </is>
      </c>
      <c r="I460" s="24" t="inlineStr">
        <is>
          <t>away</t>
        </is>
      </c>
      <c r="J460" s="25" t="n">
        <v>1.5</v>
      </c>
      <c r="K460" s="24" t="inlineStr">
        <is>
          <t>polymarket_us</t>
        </is>
      </c>
      <c r="L460" s="26" t="n">
        <v>-130</v>
      </c>
      <c r="M460" s="27" t="n">
        <v>1.769231</v>
      </c>
      <c r="N460" s="28" t="n">
        <v>0.565217</v>
      </c>
      <c r="O460" s="28" t="n">
        <v>0.641288</v>
      </c>
      <c r="P460" s="28" t="n">
        <v>0.05172</v>
      </c>
      <c r="Q460" s="28" t="n">
        <v>0.076071</v>
      </c>
      <c r="R460" s="26" t="n">
        <v>59</v>
      </c>
      <c r="S460" s="29" t="n">
        <v>1.5</v>
      </c>
      <c r="T460" s="24" t="inlineStr">
        <is>
          <t>measured-edge-margin-v3</t>
        </is>
      </c>
      <c r="U460" s="24" t="inlineStr">
        <is>
          <t>open</t>
        </is>
      </c>
      <c r="V460" s="24" t="n"/>
      <c r="W460" s="26" t="n"/>
      <c r="X460" s="26" t="n"/>
      <c r="Y460" s="25" t="n"/>
      <c r="Z460" s="26" t="n"/>
      <c r="AA460" s="28" t="n"/>
      <c r="AB460" s="28" t="n"/>
      <c r="AC460" s="30" t="n"/>
      <c r="AD460" s="24" t="n"/>
      <c r="AE460" s="31" t="inlineStr">
        <is>
          <t>Measured Edge Margin: Trend Engine projected 4.37-4.09; raw selected-side p=0.7074, calibrated p=0.6413.</t>
        </is>
      </c>
      <c r="AF460" s="31" t="inlineStr">
        <is>
          <t>Research-only; lineup, bullpen, park, weather, xFIP, and wRC+ may be neutral fallbacks; market availability and BBO depth may change before first pitch.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3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mlb-nym</t>
        </is>
      </c>
      <c r="AQ460" s="24" t="inlineStr">
        <is>
          <t>New York Mets</t>
        </is>
      </c>
      <c r="AR460" s="24" t="inlineStr">
        <is>
          <t>New York Mets</t>
        </is>
      </c>
      <c r="AS460" s="24" t="inlineStr">
        <is>
          <t>mlb-atl</t>
        </is>
      </c>
      <c r="AT460" s="24" t="inlineStr">
        <is>
          <t>Atlanta Braves</t>
        </is>
      </c>
      <c r="AU460" s="24" t="inlineStr">
        <is>
          <t>Atlanta Braves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research</t>
        </is>
      </c>
      <c r="BA460" s="24" t="inlineStr">
        <is>
          <t>dd339a2eed50d7d83ab2127837995ddab82e879afd27f5414bb6c1f9cd60ba4c</t>
        </is>
      </c>
      <c r="BB460" s="24" t="inlineStr">
        <is>
          <t>flat_probability_shrinkage_toward_half</t>
        </is>
      </c>
      <c r="BC460" s="24" t="inlineStr">
        <is>
          <t>measured-edge-margin-v3</t>
        </is>
      </c>
      <c r="BD460" s="24" t="inlineStr">
        <is>
          <t>dd339a2eed50d7d83ab2127837995ddab82e879afd27f5414bb6c1f9cd60ba4c</t>
        </is>
      </c>
      <c r="BE460" s="24" t="inlineStr">
        <is>
          <t>v3</t>
        </is>
      </c>
      <c r="BF460" s="24" t="inlineStr">
        <is>
          <t>1</t>
        </is>
      </c>
      <c r="BG460" s="24" t="inlineStr">
        <is>
          <t>measured-edge-paired-v1</t>
        </is>
      </c>
      <c r="BH460" s="24" t="inlineStr">
        <is>
          <t>2026-08-12T17:43:09.064761Z</t>
        </is>
      </c>
      <c r="BI460" s="24" t="inlineStr">
        <is>
          <t>["same_event","same_team_same_day","same_league_same_day"]</t>
        </is>
      </c>
      <c r="BJ460" s="25" t="n">
        <v>1.5</v>
      </c>
      <c r="BK460" s="26" t="n">
        <v>-130</v>
      </c>
      <c r="BL460" s="27" t="n">
        <v>1.769231</v>
      </c>
      <c r="BM460" s="28" t="n">
        <v>0.565217</v>
      </c>
      <c r="BN460" s="28" t="n">
        <v>0.562189</v>
      </c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</row>
    <row r="461" ht="36" customHeight="1">
      <c r="A461" s="24" t="inlineStr">
        <is>
          <t>1fa20ca7056040e7</t>
        </is>
      </c>
      <c r="B461" s="24" t="inlineStr">
        <is>
          <t>2026-08-12T17:43:09.064761Z</t>
        </is>
      </c>
      <c r="C461" s="24" t="inlineStr">
        <is>
          <t>2026-08-12T23:15Z</t>
        </is>
      </c>
      <c r="D461" s="24" t="inlineStr">
        <is>
          <t>401816497</t>
        </is>
      </c>
      <c r="E461" s="24" t="inlineStr">
        <is>
          <t>MLB</t>
        </is>
      </c>
      <c r="F461" s="24" t="inlineStr">
        <is>
          <t>New York Mets</t>
        </is>
      </c>
      <c r="G461" s="24" t="inlineStr">
        <is>
          <t>Atlanta Braves</t>
        </is>
      </c>
      <c r="H461" s="24" t="inlineStr">
        <is>
          <t>total</t>
        </is>
      </c>
      <c r="I461" s="24" t="inlineStr">
        <is>
          <t>under</t>
        </is>
      </c>
      <c r="J461" s="25" t="n">
        <v>8.5</v>
      </c>
      <c r="K461" s="24" t="inlineStr">
        <is>
          <t>polymarket_us</t>
        </is>
      </c>
      <c r="L461" s="26" t="n">
        <v>111</v>
      </c>
      <c r="M461" s="27" t="n">
        <v>2.11</v>
      </c>
      <c r="N461" s="28" t="n">
        <v>0.473934</v>
      </c>
      <c r="O461" s="28" t="n">
        <v>0.514146</v>
      </c>
      <c r="P461" s="28" t="n">
        <v>0.05172</v>
      </c>
      <c r="Q461" s="28" t="n">
        <v>0.040212</v>
      </c>
      <c r="R461" s="26" t="n">
        <v>40</v>
      </c>
      <c r="S461" s="29" t="n">
        <v>1</v>
      </c>
      <c r="T461" s="24" t="inlineStr">
        <is>
          <t>measured-edge-totals-v3</t>
        </is>
      </c>
      <c r="U461" s="24" t="inlineStr">
        <is>
          <t>open</t>
        </is>
      </c>
      <c r="V461" s="24" t="n"/>
      <c r="W461" s="26" t="n"/>
      <c r="X461" s="26" t="n"/>
      <c r="Y461" s="25" t="n"/>
      <c r="Z461" s="26" t="n"/>
      <c r="AA461" s="28" t="n"/>
      <c r="AB461" s="28" t="n"/>
      <c r="AC461" s="30" t="n"/>
      <c r="AD461" s="24" t="n"/>
      <c r="AE461" s="31" t="inlineStr">
        <is>
          <t>Measured Edge Totals: Trend Engine projected 4.37-4.09; raw selected-side p=0.5336, calibrated p=0.5141.</t>
        </is>
      </c>
      <c r="AF461" s="31" t="inlineStr">
        <is>
          <t>Research-only; lineup, bullpen, park, weather, xFIP, and wRC+ may be neutral fallbacks; market availability and BBO depth may change before first pitch.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3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mlb-nym</t>
        </is>
      </c>
      <c r="AQ461" s="24" t="inlineStr">
        <is>
          <t>New York Mets</t>
        </is>
      </c>
      <c r="AR461" s="24" t="inlineStr">
        <is>
          <t>New York Mets</t>
        </is>
      </c>
      <c r="AS461" s="24" t="inlineStr">
        <is>
          <t>mlb-atl</t>
        </is>
      </c>
      <c r="AT461" s="24" t="inlineStr">
        <is>
          <t>Atlanta Braves</t>
        </is>
      </c>
      <c r="AU461" s="24" t="inlineStr">
        <is>
          <t>Atlanta Braves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research</t>
        </is>
      </c>
      <c r="BA461" s="24" t="inlineStr">
        <is>
          <t>95b84332c75d2ce54036eb8de6ada9c78d0f80228c50825c0347281a8b9b49c7</t>
        </is>
      </c>
      <c r="BB461" s="24" t="inlineStr">
        <is>
          <t>flat_probability_shrinkage_toward_half</t>
        </is>
      </c>
      <c r="BC461" s="24" t="inlineStr">
        <is>
          <t>measured-edge-totals-v3</t>
        </is>
      </c>
      <c r="BD461" s="24" t="inlineStr">
        <is>
          <t>95b84332c75d2ce54036eb8de6ada9c78d0f80228c50825c0347281a8b9b49c7</t>
        </is>
      </c>
      <c r="BE461" s="24" t="inlineStr">
        <is>
          <t>v3</t>
        </is>
      </c>
      <c r="BF461" s="24" t="inlineStr">
        <is>
          <t>1</t>
        </is>
      </c>
      <c r="BG461" s="24" t="inlineStr">
        <is>
          <t>measured-edge-paired-v1</t>
        </is>
      </c>
      <c r="BH461" s="24" t="inlineStr">
        <is>
          <t>2026-08-12T17:43:09.064761Z</t>
        </is>
      </c>
      <c r="BI461" s="24" t="inlineStr">
        <is>
          <t>["same_event","same_team_same_day","same_league_same_day"]</t>
        </is>
      </c>
      <c r="BJ461" s="25" t="n">
        <v>8.5</v>
      </c>
      <c r="BK461" s="26" t="n">
        <v>111</v>
      </c>
      <c r="BL461" s="27" t="n">
        <v>2.11</v>
      </c>
      <c r="BM461" s="28" t="n">
        <v>0.473934</v>
      </c>
      <c r="BN461" s="28" t="n">
        <v>0.472637</v>
      </c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</row>
    <row r="462" ht="36" customHeight="1">
      <c r="A462" s="24" t="inlineStr">
        <is>
          <t>5c816c7d60f64881</t>
        </is>
      </c>
      <c r="B462" s="24" t="inlineStr">
        <is>
          <t>2026-08-12T17:43:09.064761Z</t>
        </is>
      </c>
      <c r="C462" s="24" t="inlineStr">
        <is>
          <t>2026-08-12T23:40Z</t>
        </is>
      </c>
      <c r="D462" s="24" t="inlineStr">
        <is>
          <t>401816501</t>
        </is>
      </c>
      <c r="E462" s="24" t="inlineStr">
        <is>
          <t>MLB</t>
        </is>
      </c>
      <c r="F462" s="24" t="inlineStr">
        <is>
          <t>Cincinnati Reds</t>
        </is>
      </c>
      <c r="G462" s="24" t="inlineStr">
        <is>
          <t>Chicago White Sox</t>
        </is>
      </c>
      <c r="H462" s="24" t="inlineStr">
        <is>
          <t>spread</t>
        </is>
      </c>
      <c r="I462" s="24" t="inlineStr">
        <is>
          <t>away</t>
        </is>
      </c>
      <c r="J462" s="25" t="n">
        <v>1.5</v>
      </c>
      <c r="K462" s="24" t="inlineStr">
        <is>
          <t>polymarket_us</t>
        </is>
      </c>
      <c r="L462" s="26" t="n">
        <v>-153</v>
      </c>
      <c r="M462" s="27" t="n">
        <v>1.653595</v>
      </c>
      <c r="N462" s="28" t="n">
        <v>0.604743</v>
      </c>
      <c r="O462" s="28" t="n">
        <v>0.59819</v>
      </c>
      <c r="P462" s="28" t="n">
        <v>0.042131</v>
      </c>
      <c r="Q462" s="28" t="n">
        <v>-0.006553</v>
      </c>
      <c r="R462" s="26" t="n">
        <v>23</v>
      </c>
      <c r="S462" s="29" t="n">
        <v>1.25</v>
      </c>
      <c r="T462" s="24" t="inlineStr">
        <is>
          <t>measured-edge-margin-v3</t>
        </is>
      </c>
      <c r="U462" s="24" t="inlineStr">
        <is>
          <t>open</t>
        </is>
      </c>
      <c r="V462" s="24" t="n"/>
      <c r="W462" s="26" t="n"/>
      <c r="X462" s="26" t="n"/>
      <c r="Y462" s="25" t="n"/>
      <c r="Z462" s="26" t="n"/>
      <c r="AA462" s="28" t="n"/>
      <c r="AB462" s="28" t="n"/>
      <c r="AC462" s="30" t="n"/>
      <c r="AD462" s="24" t="n"/>
      <c r="AE462" s="31" t="inlineStr">
        <is>
          <t>Measured Edge Margin: Trend Engine projected 4.81-4.97; raw selected-side p=0.6441, calibrated p=0.5982.</t>
        </is>
      </c>
      <c r="AF462" s="31" t="inlineStr">
        <is>
          <t>Research-only; lineup, bullpen, park, weather, xFIP, and wRC+ may be neutral fallbacks; market availability and BBO depth may change before first pitch.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model_qualified</t>
        </is>
      </c>
      <c r="AL462" s="26" t="n">
        <v>3</v>
      </c>
      <c r="AM462" s="24" t="inlineStr">
        <is>
          <t>QUALIFIED_SHADOW_CALL</t>
        </is>
      </c>
      <c r="AN462" s="24" t="inlineStr">
        <is>
          <t>CALL</t>
        </is>
      </c>
      <c r="AO462" s="24" t="inlineStr">
        <is>
          <t>QUALIFIED</t>
        </is>
      </c>
      <c r="AP462" s="24" t="inlineStr">
        <is>
          <t>mlb-cin</t>
        </is>
      </c>
      <c r="AQ462" s="24" t="inlineStr">
        <is>
          <t>Cincinnati Reds</t>
        </is>
      </c>
      <c r="AR462" s="24" t="inlineStr">
        <is>
          <t>Cincinnati Reds</t>
        </is>
      </c>
      <c r="AS462" s="24" t="inlineStr">
        <is>
          <t>mlb-cws</t>
        </is>
      </c>
      <c r="AT462" s="24" t="inlineStr">
        <is>
          <t>Chicago White Sox</t>
        </is>
      </c>
      <c r="AU462" s="24" t="inlineStr">
        <is>
          <t>Chicago White Sox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research</t>
        </is>
      </c>
      <c r="BA462" s="24" t="inlineStr">
        <is>
          <t>dd339a2eed50d7d83ab2127837995ddab82e879afd27f5414bb6c1f9cd60ba4c</t>
        </is>
      </c>
      <c r="BB462" s="24" t="inlineStr">
        <is>
          <t>flat_probability_shrinkage_toward_half</t>
        </is>
      </c>
      <c r="BC462" s="24" t="inlineStr">
        <is>
          <t>measured-edge-margin-v3</t>
        </is>
      </c>
      <c r="BD462" s="24" t="inlineStr">
        <is>
          <t>dd339a2eed50d7d83ab2127837995ddab82e879afd27f5414bb6c1f9cd60ba4c</t>
        </is>
      </c>
      <c r="BE462" s="24" t="inlineStr">
        <is>
          <t>v3</t>
        </is>
      </c>
      <c r="BF462" s="24" t="inlineStr">
        <is>
          <t>1</t>
        </is>
      </c>
      <c r="BG462" s="24" t="inlineStr">
        <is>
          <t>measured-edge-paired-v1</t>
        </is>
      </c>
      <c r="BH462" s="24" t="inlineStr">
        <is>
          <t>2026-08-12T17:43:09.064761Z</t>
        </is>
      </c>
      <c r="BI462" s="24" t="inlineStr">
        <is>
          <t>["same_event","same_team_same_day","same_league_same_day"]</t>
        </is>
      </c>
      <c r="BJ462" s="25" t="n">
        <v>1.5</v>
      </c>
      <c r="BK462" s="26" t="n">
        <v>-153</v>
      </c>
      <c r="BL462" s="27" t="n">
        <v>1.653595</v>
      </c>
      <c r="BM462" s="28" t="n">
        <v>0.604743</v>
      </c>
      <c r="BN462" s="28" t="n">
        <v>0.60199</v>
      </c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</row>
    <row r="463" ht="36" customHeight="1">
      <c r="A463" s="24" t="inlineStr">
        <is>
          <t>29746a69331b485b</t>
        </is>
      </c>
      <c r="B463" s="24" t="inlineStr">
        <is>
          <t>2026-08-12T17:43:09.064761Z</t>
        </is>
      </c>
      <c r="C463" s="24" t="inlineStr">
        <is>
          <t>2026-08-12T23:40Z</t>
        </is>
      </c>
      <c r="D463" s="24" t="inlineStr">
        <is>
          <t>401816501</t>
        </is>
      </c>
      <c r="E463" s="24" t="inlineStr">
        <is>
          <t>MLB</t>
        </is>
      </c>
      <c r="F463" s="24" t="inlineStr">
        <is>
          <t>Cincinnati Reds</t>
        </is>
      </c>
      <c r="G463" s="24" t="inlineStr">
        <is>
          <t>Chicago White Sox</t>
        </is>
      </c>
      <c r="H463" s="24" t="inlineStr">
        <is>
          <t>total</t>
        </is>
      </c>
      <c r="I463" s="24" t="inlineStr">
        <is>
          <t>over</t>
        </is>
      </c>
      <c r="J463" s="25" t="n">
        <v>8.5</v>
      </c>
      <c r="K463" s="24" t="inlineStr">
        <is>
          <t>polymarket_us</t>
        </is>
      </c>
      <c r="L463" s="26" t="n">
        <v>-113</v>
      </c>
      <c r="M463" s="27" t="n">
        <v>1.884956</v>
      </c>
      <c r="N463" s="28" t="n">
        <v>0.530516</v>
      </c>
      <c r="O463" s="28" t="n">
        <v>0.527523</v>
      </c>
      <c r="P463" s="28" t="n">
        <v>0.042131</v>
      </c>
      <c r="Q463" s="28" t="n">
        <v>-0.002993</v>
      </c>
      <c r="R463" s="26" t="n">
        <v>25</v>
      </c>
      <c r="S463" s="29" t="n">
        <v>1</v>
      </c>
      <c r="T463" s="24" t="inlineStr">
        <is>
          <t>measured-edge-totals-v3</t>
        </is>
      </c>
      <c r="U463" s="24" t="inlineStr">
        <is>
          <t>open</t>
        </is>
      </c>
      <c r="V463" s="24" t="n"/>
      <c r="W463" s="26" t="n"/>
      <c r="X463" s="26" t="n"/>
      <c r="Y463" s="25" t="n"/>
      <c r="Z463" s="26" t="n"/>
      <c r="AA463" s="28" t="n"/>
      <c r="AB463" s="28" t="n"/>
      <c r="AC463" s="30" t="n"/>
      <c r="AD463" s="24" t="n"/>
      <c r="AE463" s="31" t="inlineStr">
        <is>
          <t>Measured Edge Totals: Trend Engine projected 4.81-4.97; raw selected-side p=0.5875, calibrated p=0.5275.</t>
        </is>
      </c>
      <c r="AF463" s="31" t="inlineStr">
        <is>
          <t>Research-only; lineup, bullpen, park, weather, xFIP, and wRC+ may be neutral fallbacks; market availability and BBO depth may change before first pitch.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3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mlb-cin</t>
        </is>
      </c>
      <c r="AQ463" s="24" t="inlineStr">
        <is>
          <t>Cincinnati Reds</t>
        </is>
      </c>
      <c r="AR463" s="24" t="inlineStr">
        <is>
          <t>Cincinnati Reds</t>
        </is>
      </c>
      <c r="AS463" s="24" t="inlineStr">
        <is>
          <t>mlb-cws</t>
        </is>
      </c>
      <c r="AT463" s="24" t="inlineStr">
        <is>
          <t>Chicago White Sox</t>
        </is>
      </c>
      <c r="AU463" s="24" t="inlineStr">
        <is>
          <t>Chicago White Sox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research</t>
        </is>
      </c>
      <c r="BA463" s="24" t="inlineStr">
        <is>
          <t>95b84332c75d2ce54036eb8de6ada9c78d0f80228c50825c0347281a8b9b49c7</t>
        </is>
      </c>
      <c r="BB463" s="24" t="inlineStr">
        <is>
          <t>flat_probability_shrinkage_toward_half</t>
        </is>
      </c>
      <c r="BC463" s="24" t="inlineStr">
        <is>
          <t>measured-edge-totals-v3</t>
        </is>
      </c>
      <c r="BD463" s="24" t="inlineStr">
        <is>
          <t>95b84332c75d2ce54036eb8de6ada9c78d0f80228c50825c0347281a8b9b49c7</t>
        </is>
      </c>
      <c r="BE463" s="24" t="inlineStr">
        <is>
          <t>v3</t>
        </is>
      </c>
      <c r="BF463" s="24" t="inlineStr">
        <is>
          <t>1</t>
        </is>
      </c>
      <c r="BG463" s="24" t="inlineStr">
        <is>
          <t>measured-edge-paired-v1</t>
        </is>
      </c>
      <c r="BH463" s="24" t="inlineStr">
        <is>
          <t>2026-08-12T17:43:09.064761Z</t>
        </is>
      </c>
      <c r="BI463" s="24" t="inlineStr">
        <is>
          <t>["same_event","same_team_same_day","same_league_same_day"]</t>
        </is>
      </c>
      <c r="BJ463" s="25" t="n">
        <v>8.5</v>
      </c>
      <c r="BK463" s="26" t="n">
        <v>-113</v>
      </c>
      <c r="BL463" s="27" t="n">
        <v>1.884956</v>
      </c>
      <c r="BM463" s="28" t="n">
        <v>0.530516</v>
      </c>
      <c r="BN463" s="28" t="n">
        <v>0.527363</v>
      </c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</row>
    <row r="464" ht="36" customHeight="1">
      <c r="A464" s="24" t="inlineStr">
        <is>
          <t>9a976bc4b9f24673</t>
        </is>
      </c>
      <c r="B464" s="24" t="inlineStr">
        <is>
          <t>2026-08-12T17:43:09.064761Z</t>
        </is>
      </c>
      <c r="C464" s="24" t="inlineStr">
        <is>
          <t>2026-08-13T02:00Z</t>
        </is>
      </c>
      <c r="D464" s="24" t="inlineStr">
        <is>
          <t>401816508</t>
        </is>
      </c>
      <c r="E464" s="24" t="inlineStr">
        <is>
          <t>MLB</t>
        </is>
      </c>
      <c r="F464" s="24" t="inlineStr">
        <is>
          <t>Texas Rangers</t>
        </is>
      </c>
      <c r="G464" s="24" t="inlineStr">
        <is>
          <t>Los Angeles Angels</t>
        </is>
      </c>
      <c r="H464" s="24" t="inlineStr">
        <is>
          <t>spread</t>
        </is>
      </c>
      <c r="I464" s="24" t="inlineStr">
        <is>
          <t>home</t>
        </is>
      </c>
      <c r="J464" s="25" t="n">
        <v>1.5</v>
      </c>
      <c r="K464" s="24" t="inlineStr">
        <is>
          <t>polymarket_us</t>
        </is>
      </c>
      <c r="L464" s="26" t="n">
        <v>-130</v>
      </c>
      <c r="M464" s="27" t="n">
        <v>1.769231</v>
      </c>
      <c r="N464" s="28" t="n">
        <v>0.565217</v>
      </c>
      <c r="O464" s="28" t="n">
        <v>0.591648</v>
      </c>
      <c r="P464" s="28" t="n">
        <v>0.05172</v>
      </c>
      <c r="Q464" s="28" t="n">
        <v>0.026431</v>
      </c>
      <c r="R464" s="26" t="n">
        <v>34</v>
      </c>
      <c r="S464" s="29" t="n">
        <v>1.25</v>
      </c>
      <c r="T464" s="24" t="inlineStr">
        <is>
          <t>measured-edge-margin-v3</t>
        </is>
      </c>
      <c r="U464" s="24" t="inlineStr">
        <is>
          <t>open</t>
        </is>
      </c>
      <c r="V464" s="24" t="n"/>
      <c r="W464" s="26" t="n"/>
      <c r="X464" s="26" t="n"/>
      <c r="Y464" s="25" t="n"/>
      <c r="Z464" s="26" t="n"/>
      <c r="AA464" s="28" t="n"/>
      <c r="AB464" s="28" t="n"/>
      <c r="AC464" s="30" t="n"/>
      <c r="AD464" s="24" t="n"/>
      <c r="AE464" s="31" t="inlineStr">
        <is>
          <t>Measured Edge Margin: Trend Engine projected 4.86-4.56; raw selected-side p=0.6345, calibrated p=0.5916.</t>
        </is>
      </c>
      <c r="AF464" s="31" t="inlineStr">
        <is>
          <t>Research-only; lineup, bullpen, park, weather, xFIP, and wRC+ may be neutral fallbacks; market availability and BBO depth may change before first pitch.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3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mlb-tex</t>
        </is>
      </c>
      <c r="AQ464" s="24" t="inlineStr">
        <is>
          <t>Texas Rangers</t>
        </is>
      </c>
      <c r="AR464" s="24" t="inlineStr">
        <is>
          <t>Texas Rangers</t>
        </is>
      </c>
      <c r="AS464" s="24" t="inlineStr">
        <is>
          <t>mlb-laa</t>
        </is>
      </c>
      <c r="AT464" s="24" t="inlineStr">
        <is>
          <t>Los Angeles Angels</t>
        </is>
      </c>
      <c r="AU464" s="24" t="inlineStr">
        <is>
          <t>Los Angeles Angels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research</t>
        </is>
      </c>
      <c r="BA464" s="24" t="inlineStr">
        <is>
          <t>dd339a2eed50d7d83ab2127837995ddab82e879afd27f5414bb6c1f9cd60ba4c</t>
        </is>
      </c>
      <c r="BB464" s="24" t="inlineStr">
        <is>
          <t>flat_probability_shrinkage_toward_half</t>
        </is>
      </c>
      <c r="BC464" s="24" t="inlineStr">
        <is>
          <t>measured-edge-margin-v3</t>
        </is>
      </c>
      <c r="BD464" s="24" t="inlineStr">
        <is>
          <t>dd339a2eed50d7d83ab2127837995ddab82e879afd27f5414bb6c1f9cd60ba4c</t>
        </is>
      </c>
      <c r="BE464" s="24" t="inlineStr">
        <is>
          <t>v3</t>
        </is>
      </c>
      <c r="BF464" s="24" t="inlineStr">
        <is>
          <t>1</t>
        </is>
      </c>
      <c r="BG464" s="24" t="inlineStr">
        <is>
          <t>measured-edge-paired-v1</t>
        </is>
      </c>
      <c r="BH464" s="24" t="inlineStr">
        <is>
          <t>2026-08-12T17:43:09.064761Z</t>
        </is>
      </c>
      <c r="BI464" s="24" t="inlineStr">
        <is>
          <t>["same_event","same_team_same_day","same_league_same_day"]</t>
        </is>
      </c>
      <c r="BJ464" s="25" t="n">
        <v>1.5</v>
      </c>
      <c r="BK464" s="26" t="n">
        <v>-130</v>
      </c>
      <c r="BL464" s="27" t="n">
        <v>1.769231</v>
      </c>
      <c r="BM464" s="28" t="n">
        <v>0.565217</v>
      </c>
      <c r="BN464" s="28" t="n">
        <v>0.562189</v>
      </c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</row>
    <row r="465" ht="36" customHeight="1">
      <c r="A465" s="24" t="inlineStr">
        <is>
          <t>4bbfba7191254898</t>
        </is>
      </c>
      <c r="B465" s="24" t="inlineStr">
        <is>
          <t>2026-08-12T17:43:09.064761Z</t>
        </is>
      </c>
      <c r="C465" s="24" t="inlineStr">
        <is>
          <t>2026-08-13T02:00Z</t>
        </is>
      </c>
      <c r="D465" s="24" t="inlineStr">
        <is>
          <t>401816508</t>
        </is>
      </c>
      <c r="E465" s="24" t="inlineStr">
        <is>
          <t>MLB</t>
        </is>
      </c>
      <c r="F465" s="24" t="inlineStr">
        <is>
          <t>Texas Rangers</t>
        </is>
      </c>
      <c r="G465" s="24" t="inlineStr">
        <is>
          <t>Los Angeles Angels</t>
        </is>
      </c>
      <c r="H465" s="24" t="inlineStr">
        <is>
          <t>total</t>
        </is>
      </c>
      <c r="I465" s="24" t="inlineStr">
        <is>
          <t>over</t>
        </is>
      </c>
      <c r="J465" s="25" t="n">
        <v>8.5</v>
      </c>
      <c r="K465" s="24" t="inlineStr">
        <is>
          <t>polymarket_us</t>
        </is>
      </c>
      <c r="L465" s="26" t="n">
        <v>-115</v>
      </c>
      <c r="M465" s="27" t="n">
        <v>1.869565</v>
      </c>
      <c r="N465" s="28" t="n">
        <v>0.534884</v>
      </c>
      <c r="O465" s="28" t="n">
        <v>0.517338</v>
      </c>
      <c r="P465" s="28" t="n">
        <v>0.05172</v>
      </c>
      <c r="Q465" s="28" t="n">
        <v>-0.017546</v>
      </c>
      <c r="R465" s="26" t="n">
        <v>11</v>
      </c>
      <c r="S465" s="29" t="n">
        <v>1</v>
      </c>
      <c r="T465" s="24" t="inlineStr">
        <is>
          <t>measured-edge-totals-v3</t>
        </is>
      </c>
      <c r="U465" s="24" t="inlineStr">
        <is>
          <t>open</t>
        </is>
      </c>
      <c r="V465" s="24" t="n"/>
      <c r="W465" s="26" t="n"/>
      <c r="X465" s="26" t="n"/>
      <c r="Y465" s="25" t="n"/>
      <c r="Z465" s="26" t="n"/>
      <c r="AA465" s="28" t="n"/>
      <c r="AB465" s="28" t="n"/>
      <c r="AC465" s="30" t="n"/>
      <c r="AD465" s="24" t="n"/>
      <c r="AE465" s="31" t="inlineStr">
        <is>
          <t>Measured Edge Totals: Trend Engine projected 4.86-4.56; raw selected-side p=0.5464, calibrated p=0.5173.</t>
        </is>
      </c>
      <c r="AF465" s="31" t="inlineStr">
        <is>
          <t>Research-only; lineup, bullpen, park, weather, xFIP, and wRC+ may be neutral fallbacks; market availability and BBO depth may change before first pitch.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model_qualified</t>
        </is>
      </c>
      <c r="AL465" s="26" t="n">
        <v>3</v>
      </c>
      <c r="AM465" s="24" t="inlineStr">
        <is>
          <t>QUALIFIED_SHADOW_CALL</t>
        </is>
      </c>
      <c r="AN465" s="24" t="inlineStr">
        <is>
          <t>CALL</t>
        </is>
      </c>
      <c r="AO465" s="24" t="inlineStr">
        <is>
          <t>QUALIFIED</t>
        </is>
      </c>
      <c r="AP465" s="24" t="inlineStr">
        <is>
          <t>mlb-tex</t>
        </is>
      </c>
      <c r="AQ465" s="24" t="inlineStr">
        <is>
          <t>Texas Rangers</t>
        </is>
      </c>
      <c r="AR465" s="24" t="inlineStr">
        <is>
          <t>Texas Rangers</t>
        </is>
      </c>
      <c r="AS465" s="24" t="inlineStr">
        <is>
          <t>mlb-laa</t>
        </is>
      </c>
      <c r="AT465" s="24" t="inlineStr">
        <is>
          <t>Los Angeles Angels</t>
        </is>
      </c>
      <c r="AU465" s="24" t="inlineStr">
        <is>
          <t>Los Angeles Angels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research</t>
        </is>
      </c>
      <c r="BA465" s="24" t="inlineStr">
        <is>
          <t>95b84332c75d2ce54036eb8de6ada9c78d0f80228c50825c0347281a8b9b49c7</t>
        </is>
      </c>
      <c r="BB465" s="24" t="inlineStr">
        <is>
          <t>flat_probability_shrinkage_toward_half</t>
        </is>
      </c>
      <c r="BC465" s="24" t="inlineStr">
        <is>
          <t>measured-edge-totals-v3</t>
        </is>
      </c>
      <c r="BD465" s="24" t="inlineStr">
        <is>
          <t>95b84332c75d2ce54036eb8de6ada9c78d0f80228c50825c0347281a8b9b49c7</t>
        </is>
      </c>
      <c r="BE465" s="24" t="inlineStr">
        <is>
          <t>v3</t>
        </is>
      </c>
      <c r="BF465" s="24" t="inlineStr">
        <is>
          <t>1</t>
        </is>
      </c>
      <c r="BG465" s="24" t="inlineStr">
        <is>
          <t>measured-edge-paired-v1</t>
        </is>
      </c>
      <c r="BH465" s="24" t="inlineStr">
        <is>
          <t>2026-08-12T17:43:09.064761Z</t>
        </is>
      </c>
      <c r="BI465" s="24" t="inlineStr">
        <is>
          <t>["same_event","same_team_same_day","same_league_same_day"]</t>
        </is>
      </c>
      <c r="BJ465" s="25" t="n">
        <v>8.5</v>
      </c>
      <c r="BK465" s="26" t="n">
        <v>-115</v>
      </c>
      <c r="BL465" s="27" t="n">
        <v>1.869565</v>
      </c>
      <c r="BM465" s="28" t="n">
        <v>0.534884</v>
      </c>
      <c r="BN465" s="28" t="n">
        <v>0.532338</v>
      </c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</row>
    <row r="466" ht="36" customHeight="1">
      <c r="A466" s="24" t="inlineStr">
        <is>
          <t>63b9b7c4aa5b4a6c</t>
        </is>
      </c>
      <c r="B466" s="24" t="inlineStr">
        <is>
          <t>2026-08-12T17:43:09.064761Z</t>
        </is>
      </c>
      <c r="C466" s="24" t="inlineStr">
        <is>
          <t>2026-08-13T02:10Z</t>
        </is>
      </c>
      <c r="D466" s="24" t="inlineStr">
        <is>
          <t>401816505</t>
        </is>
      </c>
      <c r="E466" s="24" t="inlineStr">
        <is>
          <t>MLB</t>
        </is>
      </c>
      <c r="F466" s="24" t="inlineStr">
        <is>
          <t>Kansas City Royals</t>
        </is>
      </c>
      <c r="G466" s="24" t="inlineStr">
        <is>
          <t>Los Angeles Dodgers</t>
        </is>
      </c>
      <c r="H466" s="24" t="inlineStr">
        <is>
          <t>spread</t>
        </is>
      </c>
      <c r="I466" s="24" t="inlineStr">
        <is>
          <t>away</t>
        </is>
      </c>
      <c r="J466" s="25" t="n">
        <v>1.5</v>
      </c>
      <c r="K466" s="24" t="inlineStr">
        <is>
          <t>polymarket_us</t>
        </is>
      </c>
      <c r="L466" s="26" t="n">
        <v>-106</v>
      </c>
      <c r="M466" s="27" t="n">
        <v>1.943396</v>
      </c>
      <c r="N466" s="28" t="n">
        <v>0.514563</v>
      </c>
      <c r="O466" s="28" t="n">
        <v>0.628308</v>
      </c>
      <c r="P466" s="28" t="n">
        <v>0.042131</v>
      </c>
      <c r="Q466" s="28" t="n">
        <v>0.113745</v>
      </c>
      <c r="R466" s="26" t="n">
        <v>83</v>
      </c>
      <c r="S466" s="29" t="n">
        <v>1.5</v>
      </c>
      <c r="T466" s="24" t="inlineStr">
        <is>
          <t>measured-edge-margin-v3</t>
        </is>
      </c>
      <c r="U466" s="24" t="inlineStr">
        <is>
          <t>open</t>
        </is>
      </c>
      <c r="V466" s="24" t="n"/>
      <c r="W466" s="26" t="n"/>
      <c r="X466" s="26" t="n"/>
      <c r="Y466" s="25" t="n"/>
      <c r="Z466" s="26" t="n"/>
      <c r="AA466" s="28" t="n"/>
      <c r="AB466" s="28" t="n"/>
      <c r="AC466" s="30" t="n"/>
      <c r="AD466" s="24" t="n"/>
      <c r="AE466" s="31" t="inlineStr">
        <is>
          <t>Measured Edge Margin: Trend Engine projected 4.74-4.57; raw selected-side p=0.6883, calibrated p=0.6283.</t>
        </is>
      </c>
      <c r="AF466" s="31" t="inlineStr">
        <is>
          <t>Research-only; lineup, bullpen, park, weather, xFIP, and wRC+ may be neutral fallbacks; market availability and BBO depth may change before first pitch.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model_qualified</t>
        </is>
      </c>
      <c r="AL466" s="26" t="n">
        <v>3</v>
      </c>
      <c r="AM466" s="24" t="inlineStr">
        <is>
          <t>QUALIFIED_SHADOW_CALL</t>
        </is>
      </c>
      <c r="AN466" s="24" t="inlineStr">
        <is>
          <t>CALL</t>
        </is>
      </c>
      <c r="AO466" s="24" t="inlineStr">
        <is>
          <t>QUALIFIED</t>
        </is>
      </c>
      <c r="AP466" s="24" t="inlineStr">
        <is>
          <t>mlb-kc</t>
        </is>
      </c>
      <c r="AQ466" s="24" t="inlineStr">
        <is>
          <t>Kansas City Royals</t>
        </is>
      </c>
      <c r="AR466" s="24" t="inlineStr">
        <is>
          <t>Kansas City Royals</t>
        </is>
      </c>
      <c r="AS466" s="24" t="inlineStr">
        <is>
          <t>mlb-lad</t>
        </is>
      </c>
      <c r="AT466" s="24" t="inlineStr">
        <is>
          <t>Los Angeles Dodgers</t>
        </is>
      </c>
      <c r="AU466" s="24" t="inlineStr">
        <is>
          <t>Los Angeles Dodgers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research</t>
        </is>
      </c>
      <c r="BA466" s="24" t="inlineStr">
        <is>
          <t>dd339a2eed50d7d83ab2127837995ddab82e879afd27f5414bb6c1f9cd60ba4c</t>
        </is>
      </c>
      <c r="BB466" s="24" t="inlineStr">
        <is>
          <t>flat_probability_shrinkage_toward_half</t>
        </is>
      </c>
      <c r="BC466" s="24" t="inlineStr">
        <is>
          <t>measured-edge-margin-v3</t>
        </is>
      </c>
      <c r="BD466" s="24" t="inlineStr">
        <is>
          <t>dd339a2eed50d7d83ab2127837995ddab82e879afd27f5414bb6c1f9cd60ba4c</t>
        </is>
      </c>
      <c r="BE466" s="24" t="inlineStr">
        <is>
          <t>v3</t>
        </is>
      </c>
      <c r="BF466" s="24" t="inlineStr">
        <is>
          <t>1</t>
        </is>
      </c>
      <c r="BG466" s="24" t="inlineStr">
        <is>
          <t>measured-edge-paired-v1</t>
        </is>
      </c>
      <c r="BH466" s="24" t="inlineStr">
        <is>
          <t>2026-08-12T17:43:09.064761Z</t>
        </is>
      </c>
      <c r="BI466" s="24" t="inlineStr">
        <is>
          <t>["same_event","same_team_same_day","same_league_same_day"]</t>
        </is>
      </c>
      <c r="BJ466" s="25" t="n">
        <v>1.5</v>
      </c>
      <c r="BK466" s="26" t="n">
        <v>-106</v>
      </c>
      <c r="BL466" s="27" t="n">
        <v>1.943396</v>
      </c>
      <c r="BM466" s="28" t="n">
        <v>0.514563</v>
      </c>
      <c r="BN466" s="28" t="n">
        <v>0.5124379999999999</v>
      </c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True</t>
        </is>
      </c>
    </row>
    <row r="467" ht="36" customHeight="1">
      <c r="A467" s="24" t="inlineStr">
        <is>
          <t>35536687946e4fa1</t>
        </is>
      </c>
      <c r="B467" s="24" t="inlineStr">
        <is>
          <t>2026-08-12T17:43:09.064761Z</t>
        </is>
      </c>
      <c r="C467" s="24" t="inlineStr">
        <is>
          <t>2026-08-13T02:10Z</t>
        </is>
      </c>
      <c r="D467" s="24" t="inlineStr">
        <is>
          <t>401816505</t>
        </is>
      </c>
      <c r="E467" s="24" t="inlineStr">
        <is>
          <t>MLB</t>
        </is>
      </c>
      <c r="F467" s="24" t="inlineStr">
        <is>
          <t>Kansas City Royals</t>
        </is>
      </c>
      <c r="G467" s="24" t="inlineStr">
        <is>
          <t>Los Angeles Dodgers</t>
        </is>
      </c>
      <c r="H467" s="24" t="inlineStr">
        <is>
          <t>total</t>
        </is>
      </c>
      <c r="I467" s="24" t="inlineStr">
        <is>
          <t>over</t>
        </is>
      </c>
      <c r="J467" s="25" t="n">
        <v>8.5</v>
      </c>
      <c r="K467" s="24" t="inlineStr">
        <is>
          <t>polymarket_us</t>
        </is>
      </c>
      <c r="L467" s="26" t="n">
        <v>-122</v>
      </c>
      <c r="M467" s="27" t="n">
        <v>1.819672</v>
      </c>
      <c r="N467" s="28" t="n">
        <v>0.54955</v>
      </c>
      <c r="O467" s="28" t="n">
        <v>0.5153759999999999</v>
      </c>
      <c r="P467" s="28" t="n">
        <v>0.042131</v>
      </c>
      <c r="Q467" s="28" t="n">
        <v>-0.034174</v>
      </c>
      <c r="R467" s="26" t="n">
        <v>9</v>
      </c>
      <c r="S467" s="29" t="n">
        <v>1</v>
      </c>
      <c r="T467" s="24" t="inlineStr">
        <is>
          <t>measured-edge-totals-v3</t>
        </is>
      </c>
      <c r="U467" s="24" t="inlineStr">
        <is>
          <t>open</t>
        </is>
      </c>
      <c r="V467" s="24" t="n"/>
      <c r="W467" s="26" t="n"/>
      <c r="X467" s="26" t="n"/>
      <c r="Y467" s="25" t="n"/>
      <c r="Z467" s="26" t="n"/>
      <c r="AA467" s="28" t="n"/>
      <c r="AB467" s="28" t="n"/>
      <c r="AC467" s="30" t="n"/>
      <c r="AD467" s="24" t="n"/>
      <c r="AE467" s="31" t="inlineStr">
        <is>
          <t>Measured Edge Totals: Trend Engine projected 4.74-4.57; raw selected-side p=0.5385, calibrated p=0.5154.</t>
        </is>
      </c>
      <c r="AF467" s="31" t="inlineStr">
        <is>
          <t>Research-only; lineup, bullpen, park, weather, xFIP, and wRC+ may be neutral fallbacks; market availability and BBO depth may change before first pitch.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model_qualified</t>
        </is>
      </c>
      <c r="AL467" s="26" t="n">
        <v>3</v>
      </c>
      <c r="AM467" s="24" t="inlineStr">
        <is>
          <t>QUALIFIED_SHADOW_CALL</t>
        </is>
      </c>
      <c r="AN467" s="24" t="inlineStr">
        <is>
          <t>CALL</t>
        </is>
      </c>
      <c r="AO467" s="24" t="inlineStr">
        <is>
          <t>QUALIFIED</t>
        </is>
      </c>
      <c r="AP467" s="24" t="inlineStr">
        <is>
          <t>mlb-kc</t>
        </is>
      </c>
      <c r="AQ467" s="24" t="inlineStr">
        <is>
          <t>Kansas City Royals</t>
        </is>
      </c>
      <c r="AR467" s="24" t="inlineStr">
        <is>
          <t>Kansas City Royals</t>
        </is>
      </c>
      <c r="AS467" s="24" t="inlineStr">
        <is>
          <t>mlb-lad</t>
        </is>
      </c>
      <c r="AT467" s="24" t="inlineStr">
        <is>
          <t>Los Angeles Dodgers</t>
        </is>
      </c>
      <c r="AU467" s="24" t="inlineStr">
        <is>
          <t>Los Angeles Dodgers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research</t>
        </is>
      </c>
      <c r="BA467" s="24" t="inlineStr">
        <is>
          <t>95b84332c75d2ce54036eb8de6ada9c78d0f80228c50825c0347281a8b9b49c7</t>
        </is>
      </c>
      <c r="BB467" s="24" t="inlineStr">
        <is>
          <t>flat_probability_shrinkage_toward_half</t>
        </is>
      </c>
      <c r="BC467" s="24" t="inlineStr">
        <is>
          <t>measured-edge-totals-v3</t>
        </is>
      </c>
      <c r="BD467" s="24" t="inlineStr">
        <is>
          <t>95b84332c75d2ce54036eb8de6ada9c78d0f80228c50825c0347281a8b9b49c7</t>
        </is>
      </c>
      <c r="BE467" s="24" t="inlineStr">
        <is>
          <t>v3</t>
        </is>
      </c>
      <c r="BF467" s="24" t="inlineStr">
        <is>
          <t>1</t>
        </is>
      </c>
      <c r="BG467" s="24" t="inlineStr">
        <is>
          <t>measured-edge-paired-v1</t>
        </is>
      </c>
      <c r="BH467" s="24" t="inlineStr">
        <is>
          <t>2026-08-12T17:43:09.064761Z</t>
        </is>
      </c>
      <c r="BI467" s="24" t="inlineStr">
        <is>
          <t>["same_event","same_team_same_day","same_league_same_day"]</t>
        </is>
      </c>
      <c r="BJ467" s="25" t="n">
        <v>8.5</v>
      </c>
      <c r="BK467" s="26" t="n">
        <v>-122</v>
      </c>
      <c r="BL467" s="27" t="n">
        <v>1.819672</v>
      </c>
      <c r="BM467" s="28" t="n">
        <v>0.54955</v>
      </c>
      <c r="BN467" s="28" t="n">
        <v>0.547264</v>
      </c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2026-08-12T17:46:02Z</dcterms:created>
  <dcterms:modified xmlns:dcterms="http://purl.org/dc/terms/" xmlns:xsi="http://www.w3.org/2001/XMLSchema-instance" xsi:type="dcterms:W3CDTF">2026-08-12T17:46:03Z</dcterms:modified>
</cp:coreProperties>
</file>