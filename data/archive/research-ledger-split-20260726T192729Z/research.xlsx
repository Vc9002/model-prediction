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139" headerRowCount="1">
  <autoFilter ref="A1:CO139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COUNTA('Picks'!$A$2:$A$139)</f>
        <v/>
      </c>
      <c r="C4" s="6">
        <f>COUNTIF('Picks'!$U$2:$U$139,"open")</f>
        <v/>
      </c>
      <c r="E4" s="6">
        <f>COUNTIF('Picks'!$U$2:$U$139,"settled")</f>
        <v/>
      </c>
      <c r="G4" s="6">
        <f>IF(COUNTIFS('Picks'!$U$2:$U$139,"settled",'Picks'!$V$2:$V$139,"win")+COUNTIFS('Picks'!$U$2:$U$139,"settled",'Picks'!$V$2:$V$139,"loss")&gt;=$L$2,"Ready","Insufficient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COUNTIF('Picks'!$BX$2:$BX$139,"&gt;0")</f>
        <v/>
      </c>
      <c r="C7" s="6">
        <f>COUNTIFS('Picks'!$BX$2:$BX$139,"&gt;0",'Picks'!$V$2:$V$139,"win")&amp;"-"&amp;COUNTIFS('Picks'!$BX$2:$BX$139,"&gt;0",'Picks'!$V$2:$V$139,"loss")</f>
        <v/>
      </c>
      <c r="E7" s="7">
        <f>IFERROR(COUNTIFS('Picks'!$BX$2:$BX$139,"&gt;0",'Picks'!$V$2:$V$139,"win")/(COUNTIFS('Picks'!$BX$2:$BX$139,"&gt;0",'Picks'!$V$2:$V$139,"win")+COUNTIFS('Picks'!$BX$2:$BX$139,"&gt;0",'Picks'!$V$2:$V$139,"loss")),0)</f>
        <v/>
      </c>
      <c r="G7" s="7">
        <f>IFERROR(SUM('Picks'!$BY$2:$BY$139)/SUM('Picks'!$BX$2:$BX$139),0)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SUM('Picks'!$BY$2:$BY$139)</f>
        <v/>
      </c>
      <c r="C10" s="9">
        <f>IFERROR(AVERAGEIF('Picks'!$AB$2:$AB$139,"&lt;&gt;",'Picks'!$AB$2:$AB$139),0)</f>
        <v/>
      </c>
      <c r="E10" s="6">
        <f>COUNTIFS('Picks'!$AM$2:$AM$139,"QUALIFIED_SHADOW_CALL",'Picks'!$U$2:$U$139,"settled")</f>
        <v/>
      </c>
      <c r="G10" s="8">
        <f>SUMIFS('Picks'!$AC$2:$AC$139,'Picks'!$AM$2:$AM$139,"QUALIFIED_SHADOW_CALL")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COUNTIFS('Picks'!$H$2:$H$139,$A14,'Picks'!$U$2:$U$139,"settled")</f>
        <v/>
      </c>
      <c r="C14" s="13">
        <f>COUNTIFS('Picks'!$H$2:$H$139,$A14,'Picks'!$U$2:$U$139,"settled",'Picks'!$V$2:$V$139,"win")</f>
        <v/>
      </c>
      <c r="D14" s="13">
        <f>COUNTIFS('Picks'!$H$2:$H$139,$A14,'Picks'!$U$2:$U$139,"settled",'Picks'!$V$2:$V$139,"loss")</f>
        <v/>
      </c>
      <c r="E14" s="14">
        <f>IFERROR(C14/(C14+D14),0)</f>
        <v/>
      </c>
      <c r="F14" s="15">
        <f>SUMIFS('Picks'!$BY$2:$BY$139,'Picks'!$H$2:$H$139,$A14)</f>
        <v/>
      </c>
      <c r="G14" s="16">
        <f>IFERROR(AVERAGEIFS('Picks'!$AB$2:$AB$139,'Picks'!$H$2:$H$139,$A14,'Picks'!$U$2:$U$139,"settled"),0)</f>
        <v/>
      </c>
    </row>
    <row r="15">
      <c r="A15" s="17" t="inlineStr">
        <is>
          <t>spread</t>
        </is>
      </c>
      <c r="B15" s="18">
        <f>COUNTIFS('Picks'!$H$2:$H$139,$A15,'Picks'!$U$2:$U$139,"settled")</f>
        <v/>
      </c>
      <c r="C15" s="18">
        <f>COUNTIFS('Picks'!$H$2:$H$139,$A15,'Picks'!$U$2:$U$139,"settled",'Picks'!$V$2:$V$139,"win")</f>
        <v/>
      </c>
      <c r="D15" s="18">
        <f>COUNTIFS('Picks'!$H$2:$H$139,$A15,'Picks'!$U$2:$U$139,"settled",'Picks'!$V$2:$V$139,"loss")</f>
        <v/>
      </c>
      <c r="E15" s="19">
        <f>IFERROR(C15/(C15+D15),0)</f>
        <v/>
      </c>
      <c r="F15" s="20">
        <f>SUMIFS('Picks'!$BY$2:$BY$139,'Picks'!$H$2:$H$139,$A15)</f>
        <v/>
      </c>
      <c r="G15" s="21">
        <f>IFERROR(AVERAGEIFS('Picks'!$AB$2:$AB$139,'Picks'!$H$2:$H$139,$A15,'Picks'!$U$2:$U$139,"settled"),0)</f>
        <v/>
      </c>
    </row>
    <row r="16">
      <c r="A16" s="12" t="inlineStr">
        <is>
          <t>total</t>
        </is>
      </c>
      <c r="B16" s="13">
        <f>COUNTIFS('Picks'!$H$2:$H$139,$A16,'Picks'!$U$2:$U$139,"settled")</f>
        <v/>
      </c>
      <c r="C16" s="13">
        <f>COUNTIFS('Picks'!$H$2:$H$139,$A16,'Picks'!$U$2:$U$139,"settled",'Picks'!$V$2:$V$139,"win")</f>
        <v/>
      </c>
      <c r="D16" s="13">
        <f>COUNTIFS('Picks'!$H$2:$H$139,$A16,'Picks'!$U$2:$U$139,"settled",'Picks'!$V$2:$V$139,"loss")</f>
        <v/>
      </c>
      <c r="E16" s="14">
        <f>IFERROR(C16/(C16+D16),0)</f>
        <v/>
      </c>
      <c r="F16" s="15">
        <f>SUMIFS('Picks'!$BY$2:$BY$139,'Picks'!$H$2:$H$139,$A16)</f>
        <v/>
      </c>
      <c r="G16" s="16">
        <f>IFERROR(AVERAGEIFS('Picks'!$AB$2:$AB$139,'Picks'!$H$2:$H$139,$A16,'Picks'!$U$2:$U$139,"settled"),0)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81a328b8d84a4505</t>
        </is>
      </c>
      <c r="B2" s="24" t="inlineStr">
        <is>
          <t>2026-07-23T07:20:39.530092Z</t>
        </is>
      </c>
      <c r="C2" s="24" t="inlineStr">
        <is>
          <t>2026-07-24T08:00:00Z</t>
        </is>
      </c>
      <c r="D2" s="24" t="inlineStr">
        <is>
          <t>59681</t>
        </is>
      </c>
      <c r="E2" s="24" t="inlineStr">
        <is>
          <t>CS2</t>
        </is>
      </c>
      <c r="F2" s="24" t="inlineStr">
        <is>
          <t>ex-RUSTEC</t>
        </is>
      </c>
      <c r="G2" s="24" t="inlineStr">
        <is>
          <t>INOX Division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-178</v>
      </c>
      <c r="M2" s="27" t="n">
        <v>1.561798</v>
      </c>
      <c r="N2" s="28" t="n">
        <v>0.640288</v>
      </c>
      <c r="O2" s="28" t="n">
        <v>0.73354</v>
      </c>
      <c r="P2" s="28" t="n">
        <v>0.05</v>
      </c>
      <c r="Q2" s="28" t="n">
        <v>0.093252</v>
      </c>
      <c r="R2" s="26" t="n">
        <v>39</v>
      </c>
      <c r="S2" s="29" t="n">
        <v>2</v>
      </c>
      <c r="T2" s="24" t="inlineStr">
        <is>
          <t>cs2-tiered-elo-v4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/>
      <c r="AA2" s="28" t="n"/>
      <c r="AB2" s="28" t="n"/>
      <c r="AC2" s="30" t="n">
        <v>1.1236</v>
      </c>
      <c r="AD2" s="24" t="inlineStr">
        <is>
          <t>2026-07-24T10:48:29.597485Z</t>
        </is>
      </c>
      <c r="AE2" s="31" t="inlineStr">
        <is>
          <t>Neutral Elo baseline; executable ask 0.6400 (market_slug=aec-cs2-inox-erx-2026-07-24).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ex-RUSTEC</t>
        </is>
      </c>
      <c r="AQ2" s="24" t="inlineStr">
        <is>
          <t>ex-RUSTEC</t>
        </is>
      </c>
      <c r="AR2" s="24" t="inlineStr">
        <is>
          <t>ex-RUSTEC</t>
        </is>
      </c>
      <c r="AS2" s="24" t="inlineStr">
        <is>
          <t>INOX Division</t>
        </is>
      </c>
      <c r="AT2" s="24" t="inlineStr">
        <is>
          <t>INOX Division</t>
        </is>
      </c>
      <c r="AU2" s="24" t="inlineStr">
        <is>
          <t>INOX Division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e9c327ce15d79aaa8ed5032a6fb86929aaa479e14a8bc9a35686411400dd6b91</t>
        </is>
      </c>
      <c r="BB2" s="24" t="inlineStr">
        <is>
          <t>neutral_elo</t>
        </is>
      </c>
      <c r="BC2" s="24" t="inlineStr">
        <is>
          <t>cs2-tiered-elo-v3</t>
        </is>
      </c>
      <c r="BD2" s="24" t="inlineStr">
        <is>
          <t>48424b79d75fc1173c9c465d95feb6fc041a2ccfbc64455058b3f74905ce28d5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cs2-tiered-elo-v3</t>
        </is>
      </c>
      <c r="BH2" s="24" t="inlineStr">
        <is>
          <t>2026-07-23T07:20:27.867010Z</t>
        </is>
      </c>
      <c r="BI2" s="24" t="inlineStr">
        <is>
          <t>["same_event","same_team_same_day","same_league_same_day"]</t>
        </is>
      </c>
      <c r="BJ2" s="25" t="n"/>
      <c r="BK2" s="26" t="n">
        <v>-178</v>
      </c>
      <c r="BL2" s="27" t="n">
        <v>1.561798</v>
      </c>
      <c r="BM2" s="28" t="n">
        <v>0.640288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a232e14d96984007</t>
        </is>
      </c>
      <c r="B3" s="24" t="inlineStr">
        <is>
          <t>2026-07-23T07:20:39.530092Z</t>
        </is>
      </c>
      <c r="C3" s="24" t="inlineStr">
        <is>
          <t>2026-07-24T08:00:00Z</t>
        </is>
      </c>
      <c r="D3" s="24" t="inlineStr">
        <is>
          <t>59323</t>
        </is>
      </c>
      <c r="E3" s="24" t="inlineStr">
        <is>
          <t>CS2</t>
        </is>
      </c>
      <c r="F3" s="24" t="inlineStr">
        <is>
          <t>Eternal Fire</t>
        </is>
      </c>
      <c r="G3" s="24" t="inlineStr">
        <is>
          <t>1WIN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117</v>
      </c>
      <c r="M3" s="27" t="n">
        <v>2.17</v>
      </c>
      <c r="N3" s="28" t="n">
        <v>0.460829</v>
      </c>
      <c r="O3" s="28" t="n">
        <v>0.647405</v>
      </c>
      <c r="P3" s="28" t="n">
        <v>0.05</v>
      </c>
      <c r="Q3" s="28" t="n">
        <v>0.186576</v>
      </c>
      <c r="R3" s="26" t="n">
        <v>100</v>
      </c>
      <c r="S3" s="29" t="n">
        <v>2</v>
      </c>
      <c r="T3" s="24" t="inlineStr">
        <is>
          <t>cs2-tiered-elo-v4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/>
      <c r="AA3" s="28" t="n"/>
      <c r="AB3" s="28" t="n"/>
      <c r="AC3" s="30" t="n">
        <v>-2</v>
      </c>
      <c r="AD3" s="24" t="inlineStr">
        <is>
          <t>2026-07-24T14:50:24.549046Z</t>
        </is>
      </c>
      <c r="AE3" s="31" t="inlineStr">
        <is>
          <t>Neutral Elo baseline; executable ask 0.4600 (market_slug=aec-cs2-1win-ef-2026-07-24).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NO_CALL_LARGE_DISAGREEMENT_REVIEW</t>
        </is>
      </c>
      <c r="AP3" s="24" t="inlineStr">
        <is>
          <t>Eternal Fire</t>
        </is>
      </c>
      <c r="AQ3" s="24" t="inlineStr">
        <is>
          <t>Eternal Fire</t>
        </is>
      </c>
      <c r="AR3" s="24" t="inlineStr">
        <is>
          <t>Eternal Fire</t>
        </is>
      </c>
      <c r="AS3" s="24" t="inlineStr">
        <is>
          <t>1WIN</t>
        </is>
      </c>
      <c r="AT3" s="24" t="inlineStr">
        <is>
          <t>1WIN</t>
        </is>
      </c>
      <c r="AU3" s="24" t="inlineStr">
        <is>
          <t>1WIN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e9c327ce15d79aaa8ed5032a6fb86929aaa479e14a8bc9a35686411400dd6b91</t>
        </is>
      </c>
      <c r="BB3" s="24" t="inlineStr">
        <is>
          <t>neutral_elo</t>
        </is>
      </c>
      <c r="BC3" s="24" t="inlineStr">
        <is>
          <t>cs2-tiered-elo-v3</t>
        </is>
      </c>
      <c r="BD3" s="24" t="inlineStr">
        <is>
          <t>48424b79d75fc1173c9c465d95feb6fc041a2ccfbc64455058b3f74905ce28d5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cs2-tiered-elo-v3</t>
        </is>
      </c>
      <c r="BH3" s="24" t="inlineStr">
        <is>
          <t>2026-07-23T07:20:28.828828Z</t>
        </is>
      </c>
      <c r="BI3" s="24" t="inlineStr">
        <is>
          <t>["same_event","same_team_same_day","same_league_same_day"]</t>
        </is>
      </c>
      <c r="BJ3" s="25" t="n"/>
      <c r="BK3" s="26" t="n">
        <v>117</v>
      </c>
      <c r="BL3" s="27" t="n">
        <v>2.17</v>
      </c>
      <c r="BM3" s="28" t="n">
        <v>0.460829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d90d48e1a8cc4623</t>
        </is>
      </c>
      <c r="B4" s="24" t="inlineStr">
        <is>
          <t>2026-07-23T07:20:39.530092Z</t>
        </is>
      </c>
      <c r="C4" s="24" t="inlineStr">
        <is>
          <t>2026-07-24T10:00:00Z</t>
        </is>
      </c>
      <c r="D4" s="24" t="inlineStr">
        <is>
          <t>58248</t>
        </is>
      </c>
      <c r="E4" s="24" t="inlineStr">
        <is>
          <t>CS2</t>
        </is>
      </c>
      <c r="F4" s="24" t="inlineStr">
        <is>
          <t>3DMAX</t>
        </is>
      </c>
      <c r="G4" s="24" t="inlineStr">
        <is>
          <t>magic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-138</v>
      </c>
      <c r="M4" s="27" t="n">
        <v>1.724638</v>
      </c>
      <c r="N4" s="28" t="n">
        <v>0.579832</v>
      </c>
      <c r="O4" s="28" t="n">
        <v>0.676064</v>
      </c>
      <c r="P4" s="28" t="n">
        <v>0.05</v>
      </c>
      <c r="Q4" s="28" t="n">
        <v>0.096232</v>
      </c>
      <c r="R4" s="26" t="n">
        <v>43</v>
      </c>
      <c r="S4" s="29" t="n">
        <v>2</v>
      </c>
      <c r="T4" s="24" t="inlineStr">
        <is>
          <t>cs2-tiered-elo-v4</t>
        </is>
      </c>
      <c r="U4" s="24" t="inlineStr">
        <is>
          <t>settled</t>
        </is>
      </c>
      <c r="V4" s="24" t="inlineStr">
        <is>
          <t>loss</t>
        </is>
      </c>
      <c r="W4" s="26" t="n">
        <v>1</v>
      </c>
      <c r="X4" s="26" t="n">
        <v>0</v>
      </c>
      <c r="Y4" s="25" t="n"/>
      <c r="Z4" s="26" t="n"/>
      <c r="AA4" s="28" t="n"/>
      <c r="AB4" s="28" t="n"/>
      <c r="AC4" s="30" t="n">
        <v>-2</v>
      </c>
      <c r="AD4" s="24" t="inlineStr">
        <is>
          <t>2026-07-24T14:50:26.406843Z</t>
        </is>
      </c>
      <c r="AE4" s="31" t="inlineStr">
        <is>
          <t>Neutral Elo baseline; executable ask 0.5800 (market_slug=aec-cs2-mgc-3dmax-2026-07-24).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3DMAX</t>
        </is>
      </c>
      <c r="AQ4" s="24" t="inlineStr">
        <is>
          <t>3DMAX</t>
        </is>
      </c>
      <c r="AR4" s="24" t="inlineStr">
        <is>
          <t>3DMAX</t>
        </is>
      </c>
      <c r="AS4" s="24" t="inlineStr">
        <is>
          <t>magic</t>
        </is>
      </c>
      <c r="AT4" s="24" t="inlineStr">
        <is>
          <t>magic</t>
        </is>
      </c>
      <c r="AU4" s="24" t="inlineStr">
        <is>
          <t>magic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e9c327ce15d79aaa8ed5032a6fb86929aaa479e14a8bc9a35686411400dd6b91</t>
        </is>
      </c>
      <c r="BB4" s="24" t="inlineStr">
        <is>
          <t>neutral_elo</t>
        </is>
      </c>
      <c r="BC4" s="24" t="inlineStr">
        <is>
          <t>cs2-tiered-elo-v3</t>
        </is>
      </c>
      <c r="BD4" s="24" t="inlineStr">
        <is>
          <t>48424b79d75fc1173c9c465d95feb6fc041a2ccfbc64455058b3f74905ce28d5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cs2-tiered-elo-v3</t>
        </is>
      </c>
      <c r="BH4" s="24" t="inlineStr">
        <is>
          <t>2026-07-23T07:20:31.167816Z</t>
        </is>
      </c>
      <c r="BI4" s="24" t="inlineStr">
        <is>
          <t>["same_event","same_team_same_day","same_league_same_day"]</t>
        </is>
      </c>
      <c r="BJ4" s="25" t="n"/>
      <c r="BK4" s="26" t="n">
        <v>-138</v>
      </c>
      <c r="BL4" s="27" t="n">
        <v>1.724638</v>
      </c>
      <c r="BM4" s="28" t="n">
        <v>0.579832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3b498ded64774a56</t>
        </is>
      </c>
      <c r="B5" s="24" t="inlineStr">
        <is>
          <t>2026-07-23T07:20:39.530092Z</t>
        </is>
      </c>
      <c r="C5" s="24" t="inlineStr">
        <is>
          <t>2026-07-24T12:30:00Z</t>
        </is>
      </c>
      <c r="D5" s="24" t="inlineStr">
        <is>
          <t>58309</t>
        </is>
      </c>
      <c r="E5" s="24" t="inlineStr">
        <is>
          <t>CS2</t>
        </is>
      </c>
      <c r="F5" s="24" t="inlineStr">
        <is>
          <t>TheMongolz</t>
        </is>
      </c>
      <c r="G5" s="24" t="inlineStr">
        <is>
          <t>Heroic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144</v>
      </c>
      <c r="M5" s="27" t="n">
        <v>2.44</v>
      </c>
      <c r="N5" s="28" t="n">
        <v>0.409836</v>
      </c>
      <c r="O5" s="28" t="n">
        <v>0.6112069999999999</v>
      </c>
      <c r="P5" s="28" t="n">
        <v>0.05</v>
      </c>
      <c r="Q5" s="28" t="n">
        <v>0.201371</v>
      </c>
      <c r="R5" s="26" t="n">
        <v>100</v>
      </c>
      <c r="S5" s="29" t="n">
        <v>1.5</v>
      </c>
      <c r="T5" s="24" t="inlineStr">
        <is>
          <t>cs2-tiered-elo-v4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/>
      <c r="AA5" s="28" t="n"/>
      <c r="AB5" s="28" t="n"/>
      <c r="AC5" s="30" t="n">
        <v>2.16</v>
      </c>
      <c r="AD5" s="24" t="inlineStr">
        <is>
          <t>2026-07-24T15:42:47.899948Z</t>
        </is>
      </c>
      <c r="AE5" s="31" t="inlineStr">
        <is>
          <t>Neutral Elo baseline; executable ask 0.4100 (market_slug=aec-cs2-hero-mglz-2026-07-24).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NO_CALL_LARGE_DISAGREEMENT_REVIEW</t>
        </is>
      </c>
      <c r="AP5" s="24" t="inlineStr">
        <is>
          <t>TheMongolz</t>
        </is>
      </c>
      <c r="AQ5" s="24" t="inlineStr">
        <is>
          <t>TheMongolz</t>
        </is>
      </c>
      <c r="AR5" s="24" t="inlineStr">
        <is>
          <t>TheMongolz</t>
        </is>
      </c>
      <c r="AS5" s="24" t="inlineStr">
        <is>
          <t>Heroic</t>
        </is>
      </c>
      <c r="AT5" s="24" t="inlineStr">
        <is>
          <t>Heroic</t>
        </is>
      </c>
      <c r="AU5" s="24" t="inlineStr">
        <is>
          <t>Heroic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e9c327ce15d79aaa8ed5032a6fb86929aaa479e14a8bc9a35686411400dd6b91</t>
        </is>
      </c>
      <c r="BB5" s="24" t="inlineStr">
        <is>
          <t>neutral_elo</t>
        </is>
      </c>
      <c r="BC5" s="24" t="inlineStr">
        <is>
          <t>cs2-tiered-elo-v3</t>
        </is>
      </c>
      <c r="BD5" s="24" t="inlineStr">
        <is>
          <t>48424b79d75fc1173c9c465d95feb6fc041a2ccfbc64455058b3f74905ce28d5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cs2-tiered-elo-v3</t>
        </is>
      </c>
      <c r="BH5" s="24" t="inlineStr">
        <is>
          <t>2026-07-23T07:20:34.856171Z</t>
        </is>
      </c>
      <c r="BI5" s="24" t="inlineStr">
        <is>
          <t>["same_event","same_team_same_day","same_league_same_day"]</t>
        </is>
      </c>
      <c r="BJ5" s="25" t="n"/>
      <c r="BK5" s="26" t="n">
        <v>144</v>
      </c>
      <c r="BL5" s="27" t="n">
        <v>2.44</v>
      </c>
      <c r="BM5" s="28" t="n">
        <v>0.409836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ed8294a6bbd4411f</t>
        </is>
      </c>
      <c r="B6" s="24" t="inlineStr">
        <is>
          <t>2026-07-23T07:21:34.143456Z</t>
        </is>
      </c>
      <c r="C6" s="24" t="inlineStr">
        <is>
          <t>2026-07-24T09:00:00Z</t>
        </is>
      </c>
      <c r="D6" s="24" t="inlineStr">
        <is>
          <t>58553</t>
        </is>
      </c>
      <c r="E6" s="24" t="inlineStr">
        <is>
          <t>VALORANT</t>
        </is>
      </c>
      <c r="F6" s="24" t="inlineStr">
        <is>
          <t>TEC Esports</t>
        </is>
      </c>
      <c r="G6" s="24" t="inlineStr">
        <is>
          <t>Trace Esports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117</v>
      </c>
      <c r="M6" s="27" t="n">
        <v>2.17</v>
      </c>
      <c r="N6" s="28" t="n">
        <v>0.460829</v>
      </c>
      <c r="O6" s="28" t="n">
        <v>0.5</v>
      </c>
      <c r="P6" s="28" t="n">
        <v>0.05</v>
      </c>
      <c r="Q6" s="28" t="n">
        <v>0.039171</v>
      </c>
      <c r="R6" s="26" t="n">
        <v>40</v>
      </c>
      <c r="S6" s="29" t="n">
        <v>0.5</v>
      </c>
      <c r="T6" s="24" t="inlineStr">
        <is>
          <t>valorant-tiered-elo-v4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/>
      <c r="AA6" s="28" t="n"/>
      <c r="AB6" s="28" t="n"/>
      <c r="AC6" s="30" t="n">
        <v>0.585</v>
      </c>
      <c r="AD6" s="24" t="inlineStr">
        <is>
          <t>2026-07-24T14:50:30.910763Z</t>
        </is>
      </c>
      <c r="AE6" s="31" t="inlineStr">
        <is>
          <t>Neutral Elo baseline; executable ask 0.4600 (market_slug=aec-valorant-te-tec-2026-07-24).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NO_CALL_LOW_EDGE</t>
        </is>
      </c>
      <c r="AP6" s="24" t="inlineStr">
        <is>
          <t>TEC Esports</t>
        </is>
      </c>
      <c r="AQ6" s="24" t="inlineStr">
        <is>
          <t>TEC Esports</t>
        </is>
      </c>
      <c r="AR6" s="24" t="inlineStr">
        <is>
          <t>TEC Esports</t>
        </is>
      </c>
      <c r="AS6" s="24" t="inlineStr">
        <is>
          <t>Trace Esports</t>
        </is>
      </c>
      <c r="AT6" s="24" t="inlineStr">
        <is>
          <t>Trace Esports</t>
        </is>
      </c>
      <c r="AU6" s="24" t="inlineStr">
        <is>
          <t>Trace Esports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153b0db03af0303675f7eb2520b56d0fd86008f1bb62095f9881ea43a0124bb2</t>
        </is>
      </c>
      <c r="BB6" s="24" t="inlineStr">
        <is>
          <t>neutral_elo</t>
        </is>
      </c>
      <c r="BC6" s="24" t="inlineStr">
        <is>
          <t>valorant-tiered-elo-v3</t>
        </is>
      </c>
      <c r="BD6" s="24" t="inlineStr">
        <is>
          <t>df5a226c64918a54c70b8af3e0cd4abb6c4f42b67acb5547da319458502b0ed4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valorant-tiered-elo-v3</t>
        </is>
      </c>
      <c r="BH6" s="24" t="inlineStr">
        <is>
          <t>2026-07-23T07:21:28.500430Z</t>
        </is>
      </c>
      <c r="BI6" s="24" t="inlineStr">
        <is>
          <t>["same_event","same_team_same_day","same_league_same_day"]</t>
        </is>
      </c>
      <c r="BJ6" s="25" t="n"/>
      <c r="BK6" s="26" t="n">
        <v>117</v>
      </c>
      <c r="BL6" s="27" t="n">
        <v>2.17</v>
      </c>
      <c r="BM6" s="28" t="n">
        <v>0.460829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536cf218b26447d6</t>
        </is>
      </c>
      <c r="B7" s="24" t="inlineStr">
        <is>
          <t>2026-07-23T07:21:34.143456Z</t>
        </is>
      </c>
      <c r="C7" s="24" t="inlineStr">
        <is>
          <t>2026-07-24T15:00:00Z</t>
        </is>
      </c>
      <c r="D7" s="24" t="inlineStr">
        <is>
          <t>58399</t>
        </is>
      </c>
      <c r="E7" s="24" t="inlineStr">
        <is>
          <t>VALORANT</t>
        </is>
      </c>
      <c r="F7" s="24" t="inlineStr">
        <is>
          <t>BBL Esports</t>
        </is>
      </c>
      <c r="G7" s="24" t="inlineStr">
        <is>
          <t>FUT Esports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144</v>
      </c>
      <c r="M7" s="27" t="n">
        <v>2.44</v>
      </c>
      <c r="N7" s="28" t="n">
        <v>0.409836</v>
      </c>
      <c r="O7" s="28" t="n">
        <v>0.5</v>
      </c>
      <c r="P7" s="28" t="n">
        <v>0.05</v>
      </c>
      <c r="Q7" s="28" t="n">
        <v>0.09016399999999999</v>
      </c>
      <c r="R7" s="26" t="n">
        <v>65</v>
      </c>
      <c r="S7" s="29" t="n">
        <v>0.5</v>
      </c>
      <c r="T7" s="24" t="inlineStr">
        <is>
          <t>valorant-tiered-elo-v4</t>
        </is>
      </c>
      <c r="U7" s="24" t="inlineStr">
        <is>
          <t>settled</t>
        </is>
      </c>
      <c r="V7" s="24" t="inlineStr">
        <is>
          <t>win</t>
        </is>
      </c>
      <c r="W7" s="26" t="n">
        <v>0</v>
      </c>
      <c r="X7" s="26" t="n">
        <v>1</v>
      </c>
      <c r="Y7" s="25" t="n"/>
      <c r="Z7" s="26" t="n"/>
      <c r="AA7" s="28" t="n"/>
      <c r="AB7" s="28" t="n"/>
      <c r="AC7" s="30" t="n">
        <v>0.72</v>
      </c>
      <c r="AD7" s="24" t="inlineStr">
        <is>
          <t>2026-07-24T18:12:07.516289Z</t>
        </is>
      </c>
      <c r="AE7" s="31" t="inlineStr">
        <is>
          <t>Neutral Elo baseline; executable ask 0.4100 (market_slug=aec-valorant-fut-bbl-2026-07-24).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BBL Esports</t>
        </is>
      </c>
      <c r="AQ7" s="24" t="inlineStr">
        <is>
          <t>BBL Esports</t>
        </is>
      </c>
      <c r="AR7" s="24" t="inlineStr">
        <is>
          <t>BBL Esports</t>
        </is>
      </c>
      <c r="AS7" s="24" t="inlineStr">
        <is>
          <t>FUT Esports</t>
        </is>
      </c>
      <c r="AT7" s="24" t="inlineStr">
        <is>
          <t>FUT Esports</t>
        </is>
      </c>
      <c r="AU7" s="24" t="inlineStr">
        <is>
          <t>FUT Esports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153b0db03af0303675f7eb2520b56d0fd86008f1bb62095f9881ea43a0124bb2</t>
        </is>
      </c>
      <c r="BB7" s="24" t="inlineStr">
        <is>
          <t>neutral_elo</t>
        </is>
      </c>
      <c r="BC7" s="24" t="inlineStr">
        <is>
          <t>valorant-tiered-elo-v3</t>
        </is>
      </c>
      <c r="BD7" s="24" t="inlineStr">
        <is>
          <t>df5a226c64918a54c70b8af3e0cd4abb6c4f42b67acb5547da319458502b0ed4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valorant-tiered-elo-v3</t>
        </is>
      </c>
      <c r="BH7" s="24" t="inlineStr">
        <is>
          <t>2026-07-23T07:21:30.221057Z</t>
        </is>
      </c>
      <c r="BI7" s="24" t="inlineStr">
        <is>
          <t>["same_event","same_team_same_day","same_league_same_day"]</t>
        </is>
      </c>
      <c r="BJ7" s="25" t="n"/>
      <c r="BK7" s="26" t="n">
        <v>144</v>
      </c>
      <c r="BL7" s="27" t="n">
        <v>2.44</v>
      </c>
      <c r="BM7" s="28" t="n">
        <v>0.409836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e1960e2ad8944a67</t>
        </is>
      </c>
      <c r="B8" s="24" t="inlineStr">
        <is>
          <t>2026-07-23T07:21:34.143456Z</t>
        </is>
      </c>
      <c r="C8" s="24" t="inlineStr">
        <is>
          <t>2026-07-24T18:00:00Z</t>
        </is>
      </c>
      <c r="D8" s="24" t="inlineStr">
        <is>
          <t>58554</t>
        </is>
      </c>
      <c r="E8" s="24" t="inlineStr">
        <is>
          <t>VALORANT</t>
        </is>
      </c>
      <c r="F8" s="24" t="inlineStr">
        <is>
          <t>Fnatic</t>
        </is>
      </c>
      <c r="G8" s="24" t="inlineStr">
        <is>
          <t>Team Liquid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138</v>
      </c>
      <c r="M8" s="27" t="n">
        <v>2.38</v>
      </c>
      <c r="N8" s="28" t="n">
        <v>0.420168</v>
      </c>
      <c r="O8" s="28" t="n">
        <v>0.860897</v>
      </c>
      <c r="P8" s="28" t="n">
        <v>0.05</v>
      </c>
      <c r="Q8" s="28" t="n">
        <v>0.440729</v>
      </c>
      <c r="R8" s="26" t="n">
        <v>100</v>
      </c>
      <c r="S8" s="29" t="n">
        <v>2</v>
      </c>
      <c r="T8" s="24" t="inlineStr">
        <is>
          <t>valorant-tiered-elo-v4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1</v>
      </c>
      <c r="Y8" s="25" t="n"/>
      <c r="Z8" s="26" t="n"/>
      <c r="AA8" s="28" t="n"/>
      <c r="AB8" s="28" t="n"/>
      <c r="AC8" s="30" t="n">
        <v>2.76</v>
      </c>
      <c r="AD8" s="24" t="inlineStr">
        <is>
          <t>2026-07-24T21:16:22.304549Z</t>
        </is>
      </c>
      <c r="AE8" s="31" t="inlineStr">
        <is>
          <t>Neutral Elo baseline; executable ask 0.4200 (market_slug=aec-valorant-tl-fnc-2026-07-24).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NO_CALL_LARGE_DISAGREEMENT_REVIEW</t>
        </is>
      </c>
      <c r="AP8" s="24" t="inlineStr">
        <is>
          <t>Fnatic</t>
        </is>
      </c>
      <c r="AQ8" s="24" t="inlineStr">
        <is>
          <t>Fnatic</t>
        </is>
      </c>
      <c r="AR8" s="24" t="inlineStr">
        <is>
          <t>Fnatic</t>
        </is>
      </c>
      <c r="AS8" s="24" t="inlineStr">
        <is>
          <t>Team Liquid</t>
        </is>
      </c>
      <c r="AT8" s="24" t="inlineStr">
        <is>
          <t>Team Liquid</t>
        </is>
      </c>
      <c r="AU8" s="24" t="inlineStr">
        <is>
          <t>Team Liquid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153b0db03af0303675f7eb2520b56d0fd86008f1bb62095f9881ea43a0124bb2</t>
        </is>
      </c>
      <c r="BB8" s="24" t="inlineStr">
        <is>
          <t>neutral_elo</t>
        </is>
      </c>
      <c r="BC8" s="24" t="inlineStr">
        <is>
          <t>valorant-tiered-elo-v3</t>
        </is>
      </c>
      <c r="BD8" s="24" t="inlineStr">
        <is>
          <t>df5a226c64918a54c70b8af3e0cd4abb6c4f42b67acb5547da319458502b0ed4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valorant-tiered-elo-v3</t>
        </is>
      </c>
      <c r="BH8" s="24" t="inlineStr">
        <is>
          <t>2026-07-23T07:21:31.220238Z</t>
        </is>
      </c>
      <c r="BI8" s="24" t="inlineStr">
        <is>
          <t>["same_event","same_team_same_day","same_league_same_day"]</t>
        </is>
      </c>
      <c r="BJ8" s="25" t="n"/>
      <c r="BK8" s="26" t="n">
        <v>138</v>
      </c>
      <c r="BL8" s="27" t="n">
        <v>2.38</v>
      </c>
      <c r="BM8" s="28" t="n">
        <v>0.420168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4fdd43d0ca324413</t>
        </is>
      </c>
      <c r="B9" s="24" t="inlineStr">
        <is>
          <t>2026-07-23T04:42:58.125023Z</t>
        </is>
      </c>
      <c r="C9" s="24" t="inlineStr">
        <is>
          <t>2026-07-24T15:00:00Z</t>
        </is>
      </c>
      <c r="D9" s="24" t="inlineStr">
        <is>
          <t>58399</t>
        </is>
      </c>
      <c r="E9" s="24" t="inlineStr">
        <is>
          <t>VALORANT</t>
        </is>
      </c>
      <c r="F9" s="24" t="inlineStr">
        <is>
          <t>BBL Esports</t>
        </is>
      </c>
      <c r="G9" s="24" t="inlineStr">
        <is>
          <t>FUT Esports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144</v>
      </c>
      <c r="M9" s="27" t="n">
        <v>2.44</v>
      </c>
      <c r="N9" s="28" t="n">
        <v>0.409836</v>
      </c>
      <c r="O9" s="28" t="n">
        <v>0.5</v>
      </c>
      <c r="P9" s="28" t="n">
        <v>0.05</v>
      </c>
      <c r="Q9" s="28" t="n">
        <v>0.09016399999999999</v>
      </c>
      <c r="R9" s="26" t="n">
        <v>65</v>
      </c>
      <c r="S9" s="29" t="n">
        <v>0.5</v>
      </c>
      <c r="T9" s="24" t="inlineStr">
        <is>
          <t>valorant-tiered-elo-v4</t>
        </is>
      </c>
      <c r="U9" s="24" t="inlineStr">
        <is>
          <t>settled</t>
        </is>
      </c>
      <c r="V9" s="24" t="inlineStr">
        <is>
          <t>win</t>
        </is>
      </c>
      <c r="W9" s="26" t="n">
        <v>0</v>
      </c>
      <c r="X9" s="26" t="n">
        <v>1</v>
      </c>
      <c r="Y9" s="25" t="n"/>
      <c r="Z9" s="26" t="n"/>
      <c r="AA9" s="28" t="n"/>
      <c r="AB9" s="28" t="n"/>
      <c r="AC9" s="30" t="n">
        <v>0.72</v>
      </c>
      <c r="AD9" s="24" t="inlineStr">
        <is>
          <t>2026-07-24T18:12:10.427117Z</t>
        </is>
      </c>
      <c r="AE9" s="31" t="inlineStr">
        <is>
          <t>Neutral Elo baseline; executable ask 0.4100 (market_slug=aec-valorant-fut-bbl-2026-07-24).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BBL Esports</t>
        </is>
      </c>
      <c r="AQ9" s="24" t="inlineStr">
        <is>
          <t>BBL Esports</t>
        </is>
      </c>
      <c r="AR9" s="24" t="inlineStr">
        <is>
          <t>BBL Esports</t>
        </is>
      </c>
      <c r="AS9" s="24" t="inlineStr">
        <is>
          <t>FUT Esports</t>
        </is>
      </c>
      <c r="AT9" s="24" t="inlineStr">
        <is>
          <t>FUT Esports</t>
        </is>
      </c>
      <c r="AU9" s="24" t="inlineStr">
        <is>
          <t>FUT Esports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153b0db03af0303675f7eb2520b56d0fd86008f1bb62095f9881ea43a0124bb2</t>
        </is>
      </c>
      <c r="BB9" s="24" t="inlineStr">
        <is>
          <t>neutral_elo</t>
        </is>
      </c>
      <c r="BC9" s="24" t="inlineStr">
        <is>
          <t>valorant-tiered-elo-v3</t>
        </is>
      </c>
      <c r="BD9" s="24" t="inlineStr">
        <is>
          <t>df5a226c64918a54c70b8af3e0cd4abb6c4f42b67acb5547da319458502b0ed4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valorant-tiered-elo-v3</t>
        </is>
      </c>
      <c r="BH9" s="24" t="inlineStr">
        <is>
          <t>2026-07-23T04:42:52.160851Z</t>
        </is>
      </c>
      <c r="BI9" s="24" t="inlineStr">
        <is>
          <t>["same_event","same_team_same_day","same_league_same_day"]</t>
        </is>
      </c>
      <c r="BJ9" s="25" t="n"/>
      <c r="BK9" s="26" t="n">
        <v>144</v>
      </c>
      <c r="BL9" s="27" t="n">
        <v>2.44</v>
      </c>
      <c r="BM9" s="28" t="n">
        <v>0.409836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39626d9d58e943ed</t>
        </is>
      </c>
      <c r="B10" s="24" t="inlineStr">
        <is>
          <t>2026-07-23T07:19:42.077429Z</t>
        </is>
      </c>
      <c r="C10" s="24" t="inlineStr">
        <is>
          <t>2026-07-24T14:00:00Z</t>
        </is>
      </c>
      <c r="D10" s="24" t="inlineStr">
        <is>
          <t>58364</t>
        </is>
      </c>
      <c r="E10" s="24" t="inlineStr">
        <is>
          <t>LOL</t>
        </is>
      </c>
      <c r="F10" s="24" t="inlineStr">
        <is>
          <t>Movistar KOI</t>
        </is>
      </c>
      <c r="G10" s="24" t="inlineStr">
        <is>
          <t>G2 Esports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-223</v>
      </c>
      <c r="M10" s="27" t="n">
        <v>1.44843</v>
      </c>
      <c r="N10" s="28" t="n">
        <v>0.690402</v>
      </c>
      <c r="O10" s="28" t="n">
        <v>0.633408</v>
      </c>
      <c r="P10" s="28" t="n">
        <v>0.05</v>
      </c>
      <c r="Q10" s="28" t="n">
        <v>-0.056994</v>
      </c>
      <c r="R10" s="26" t="n">
        <v>0</v>
      </c>
      <c r="S10" s="29" t="n">
        <v>1.75</v>
      </c>
      <c r="T10" s="24" t="inlineStr">
        <is>
          <t>lol-tiered-elo-v4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1</v>
      </c>
      <c r="Y10" s="25" t="n"/>
      <c r="Z10" s="26" t="n"/>
      <c r="AA10" s="28" t="n"/>
      <c r="AB10" s="28" t="n"/>
      <c r="AC10" s="30" t="n">
        <v>0.7848000000000001</v>
      </c>
      <c r="AD10" s="24" t="inlineStr">
        <is>
          <t>2026-07-24T18:12:12.063845Z</t>
        </is>
      </c>
      <c r="AE10" s="31" t="inlineStr">
        <is>
          <t>Neutral Elo baseline; executable ask 0.6900 (market_slug=aec-lol-g2-mkoi-2026-07-24).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Movistar KOI</t>
        </is>
      </c>
      <c r="AQ10" s="24" t="inlineStr">
        <is>
          <t>Movistar KOI</t>
        </is>
      </c>
      <c r="AR10" s="24" t="inlineStr">
        <is>
          <t>Movistar KOI</t>
        </is>
      </c>
      <c r="AS10" s="24" t="inlineStr">
        <is>
          <t>G2 Esports</t>
        </is>
      </c>
      <c r="AT10" s="24" t="inlineStr">
        <is>
          <t>G2 Esports</t>
        </is>
      </c>
      <c r="AU10" s="24" t="inlineStr">
        <is>
          <t>G2 Esports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35087e828a0053011a97024de693e2ee7eb80eb03024c91d28d254de09d93778</t>
        </is>
      </c>
      <c r="BB10" s="24" t="inlineStr">
        <is>
          <t>neutral_elo</t>
        </is>
      </c>
      <c r="BC10" s="24" t="inlineStr">
        <is>
          <t>lol-tiered-elo-v3</t>
        </is>
      </c>
      <c r="BD10" s="24" t="inlineStr">
        <is>
          <t>dbc38ecdb090b63690db810d40eb29d0a69435c83dfbf24eb00d22aa42c177ae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lol-tiered-elo-v3</t>
        </is>
      </c>
      <c r="BH10" s="24" t="inlineStr">
        <is>
          <t>2026-07-23T07:19:36.355707Z</t>
        </is>
      </c>
      <c r="BI10" s="24" t="inlineStr">
        <is>
          <t>["same_event","same_team_same_day","same_league_same_day"]</t>
        </is>
      </c>
      <c r="BJ10" s="25" t="n"/>
      <c r="BK10" s="26" t="n">
        <v>-223</v>
      </c>
      <c r="BL10" s="27" t="n">
        <v>1.44843</v>
      </c>
      <c r="BM10" s="28" t="n">
        <v>0.690402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d4b5fb122195468c</t>
        </is>
      </c>
      <c r="B11" s="24" t="inlineStr">
        <is>
          <t>2026-07-23T07:20:44.252809Z</t>
        </is>
      </c>
      <c r="C11" s="24" t="inlineStr">
        <is>
          <t>2026-07-24T08:00:00Z</t>
        </is>
      </c>
      <c r="D11" s="24" t="inlineStr">
        <is>
          <t>59681</t>
        </is>
      </c>
      <c r="E11" s="24" t="inlineStr">
        <is>
          <t>CS2</t>
        </is>
      </c>
      <c r="F11" s="24" t="inlineStr">
        <is>
          <t>ex-RUSTEC</t>
        </is>
      </c>
      <c r="G11" s="24" t="inlineStr">
        <is>
          <t>INOX Division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-178</v>
      </c>
      <c r="M11" s="27" t="n">
        <v>1.561798</v>
      </c>
      <c r="N11" s="28" t="n">
        <v>0.640288</v>
      </c>
      <c r="O11" s="28" t="n">
        <v>0.73354</v>
      </c>
      <c r="P11" s="28" t="n">
        <v>0.05</v>
      </c>
      <c r="Q11" s="28" t="n">
        <v>0.093252</v>
      </c>
      <c r="R11" s="26" t="n">
        <v>39</v>
      </c>
      <c r="S11" s="29" t="n">
        <v>2</v>
      </c>
      <c r="T11" s="24" t="inlineStr">
        <is>
          <t>cs2-tiered-elo-v4</t>
        </is>
      </c>
      <c r="U11" s="24" t="inlineStr">
        <is>
          <t>settled</t>
        </is>
      </c>
      <c r="V11" s="24" t="inlineStr">
        <is>
          <t>win</t>
        </is>
      </c>
      <c r="W11" s="26" t="n">
        <v>0</v>
      </c>
      <c r="X11" s="26" t="n">
        <v>1</v>
      </c>
      <c r="Y11" s="25" t="n"/>
      <c r="Z11" s="26" t="n"/>
      <c r="AA11" s="28" t="n"/>
      <c r="AB11" s="28" t="n"/>
      <c r="AC11" s="30" t="n">
        <v>1.1236</v>
      </c>
      <c r="AD11" s="24" t="inlineStr">
        <is>
          <t>2026-07-24T10:49:01.929520Z</t>
        </is>
      </c>
      <c r="AE11" s="31" t="inlineStr">
        <is>
          <t>Neutral Elo baseline; executable ask 0.6400 (market_slug=aec-cs2-inox-erx-2026-07-24).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NO_CALL_LOW_EDGE</t>
        </is>
      </c>
      <c r="AP11" s="24" t="inlineStr">
        <is>
          <t>ex-RUSTEC</t>
        </is>
      </c>
      <c r="AQ11" s="24" t="inlineStr">
        <is>
          <t>ex-RUSTEC</t>
        </is>
      </c>
      <c r="AR11" s="24" t="inlineStr">
        <is>
          <t>ex-RUSTEC</t>
        </is>
      </c>
      <c r="AS11" s="24" t="inlineStr">
        <is>
          <t>INOX Division</t>
        </is>
      </c>
      <c r="AT11" s="24" t="inlineStr">
        <is>
          <t>INOX Division</t>
        </is>
      </c>
      <c r="AU11" s="24" t="inlineStr">
        <is>
          <t>INOX Division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e9c327ce15d79aaa8ed5032a6fb86929aaa479e14a8bc9a35686411400dd6b91</t>
        </is>
      </c>
      <c r="BB11" s="24" t="inlineStr">
        <is>
          <t>neutral_elo</t>
        </is>
      </c>
      <c r="BC11" s="24" t="inlineStr">
        <is>
          <t>cs2-tiered-elo-v3</t>
        </is>
      </c>
      <c r="BD11" s="24" t="inlineStr">
        <is>
          <t>48424b79d75fc1173c9c465d95feb6fc041a2ccfbc64455058b3f74905ce28d5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cs2-tiered-elo-v3</t>
        </is>
      </c>
      <c r="BH11" s="24" t="inlineStr">
        <is>
          <t>2026-07-23T07:20:27.867010Z</t>
        </is>
      </c>
      <c r="BI11" s="24" t="inlineStr">
        <is>
          <t>["same_event","same_team_same_day","same_league_same_day"]</t>
        </is>
      </c>
      <c r="BJ11" s="25" t="n"/>
      <c r="BK11" s="26" t="n">
        <v>-178</v>
      </c>
      <c r="BL11" s="27" t="n">
        <v>1.561798</v>
      </c>
      <c r="BM11" s="28" t="n">
        <v>0.640288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63741d63a6744f52</t>
        </is>
      </c>
      <c r="B12" s="24" t="inlineStr">
        <is>
          <t>2026-07-23T07:20:44.252809Z</t>
        </is>
      </c>
      <c r="C12" s="24" t="inlineStr">
        <is>
          <t>2026-07-24T08:00:00Z</t>
        </is>
      </c>
      <c r="D12" s="24" t="inlineStr">
        <is>
          <t>59323</t>
        </is>
      </c>
      <c r="E12" s="24" t="inlineStr">
        <is>
          <t>CS2</t>
        </is>
      </c>
      <c r="F12" s="24" t="inlineStr">
        <is>
          <t>Eternal Fire</t>
        </is>
      </c>
      <c r="G12" s="24" t="inlineStr">
        <is>
          <t>1WIN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117</v>
      </c>
      <c r="M12" s="27" t="n">
        <v>2.17</v>
      </c>
      <c r="N12" s="28" t="n">
        <v>0.460829</v>
      </c>
      <c r="O12" s="28" t="n">
        <v>0.647405</v>
      </c>
      <c r="P12" s="28" t="n">
        <v>0.05</v>
      </c>
      <c r="Q12" s="28" t="n">
        <v>0.186576</v>
      </c>
      <c r="R12" s="26" t="n">
        <v>100</v>
      </c>
      <c r="S12" s="29" t="n">
        <v>2</v>
      </c>
      <c r="T12" s="24" t="inlineStr">
        <is>
          <t>cs2-tiered-elo-v4</t>
        </is>
      </c>
      <c r="U12" s="24" t="inlineStr">
        <is>
          <t>settled</t>
        </is>
      </c>
      <c r="V12" s="24" t="inlineStr">
        <is>
          <t>loss</t>
        </is>
      </c>
      <c r="W12" s="26" t="n">
        <v>1</v>
      </c>
      <c r="X12" s="26" t="n">
        <v>0</v>
      </c>
      <c r="Y12" s="25" t="n"/>
      <c r="Z12" s="26" t="n"/>
      <c r="AA12" s="28" t="n"/>
      <c r="AB12" s="28" t="n"/>
      <c r="AC12" s="30" t="n">
        <v>-2</v>
      </c>
      <c r="AD12" s="24" t="inlineStr">
        <is>
          <t>2026-07-24T14:50:34.089902Z</t>
        </is>
      </c>
      <c r="AE12" s="31" t="inlineStr">
        <is>
          <t>Neutral Elo baseline; executable ask 0.4600 (market_slug=aec-cs2-1win-ef-2026-07-24).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NO_CALL_LARGE_DISAGREEMENT_REVIEW</t>
        </is>
      </c>
      <c r="AP12" s="24" t="inlineStr">
        <is>
          <t>Eternal Fire</t>
        </is>
      </c>
      <c r="AQ12" s="24" t="inlineStr">
        <is>
          <t>Eternal Fire</t>
        </is>
      </c>
      <c r="AR12" s="24" t="inlineStr">
        <is>
          <t>Eternal Fire</t>
        </is>
      </c>
      <c r="AS12" s="24" t="inlineStr">
        <is>
          <t>1WIN</t>
        </is>
      </c>
      <c r="AT12" s="24" t="inlineStr">
        <is>
          <t>1WIN</t>
        </is>
      </c>
      <c r="AU12" s="24" t="inlineStr">
        <is>
          <t>1WIN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e9c327ce15d79aaa8ed5032a6fb86929aaa479e14a8bc9a35686411400dd6b91</t>
        </is>
      </c>
      <c r="BB12" s="24" t="inlineStr">
        <is>
          <t>neutral_elo</t>
        </is>
      </c>
      <c r="BC12" s="24" t="inlineStr">
        <is>
          <t>cs2-tiered-elo-v3</t>
        </is>
      </c>
      <c r="BD12" s="24" t="inlineStr">
        <is>
          <t>48424b79d75fc1173c9c465d95feb6fc041a2ccfbc64455058b3f74905ce28d5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cs2-tiered-elo-v3</t>
        </is>
      </c>
      <c r="BH12" s="24" t="inlineStr">
        <is>
          <t>2026-07-23T07:20:28.828828Z</t>
        </is>
      </c>
      <c r="BI12" s="24" t="inlineStr">
        <is>
          <t>["same_event","same_team_same_day","same_league_same_day"]</t>
        </is>
      </c>
      <c r="BJ12" s="25" t="n"/>
      <c r="BK12" s="26" t="n">
        <v>117</v>
      </c>
      <c r="BL12" s="27" t="n">
        <v>2.17</v>
      </c>
      <c r="BM12" s="28" t="n">
        <v>0.460829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adcd4bd2a83e43ab</t>
        </is>
      </c>
      <c r="B13" s="24" t="inlineStr">
        <is>
          <t>2026-07-23T07:20:44.252809Z</t>
        </is>
      </c>
      <c r="C13" s="24" t="inlineStr">
        <is>
          <t>2026-07-24T10:00:00Z</t>
        </is>
      </c>
      <c r="D13" s="24" t="inlineStr">
        <is>
          <t>58248</t>
        </is>
      </c>
      <c r="E13" s="24" t="inlineStr">
        <is>
          <t>CS2</t>
        </is>
      </c>
      <c r="F13" s="24" t="inlineStr">
        <is>
          <t>3DMAX</t>
        </is>
      </c>
      <c r="G13" s="24" t="inlineStr">
        <is>
          <t>magic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-138</v>
      </c>
      <c r="M13" s="27" t="n">
        <v>1.724638</v>
      </c>
      <c r="N13" s="28" t="n">
        <v>0.579832</v>
      </c>
      <c r="O13" s="28" t="n">
        <v>0.676064</v>
      </c>
      <c r="P13" s="28" t="n">
        <v>0.05</v>
      </c>
      <c r="Q13" s="28" t="n">
        <v>0.096232</v>
      </c>
      <c r="R13" s="26" t="n">
        <v>43</v>
      </c>
      <c r="S13" s="29" t="n">
        <v>2</v>
      </c>
      <c r="T13" s="24" t="inlineStr">
        <is>
          <t>cs2-tiered-elo-v4</t>
        </is>
      </c>
      <c r="U13" s="24" t="inlineStr">
        <is>
          <t>settled</t>
        </is>
      </c>
      <c r="V13" s="24" t="inlineStr">
        <is>
          <t>loss</t>
        </is>
      </c>
      <c r="W13" s="26" t="n">
        <v>1</v>
      </c>
      <c r="X13" s="26" t="n">
        <v>0</v>
      </c>
      <c r="Y13" s="25" t="n"/>
      <c r="Z13" s="26" t="n"/>
      <c r="AA13" s="28" t="n"/>
      <c r="AB13" s="28" t="n"/>
      <c r="AC13" s="30" t="n">
        <v>-2</v>
      </c>
      <c r="AD13" s="24" t="inlineStr">
        <is>
          <t>2026-07-24T14:50:36.017509Z</t>
        </is>
      </c>
      <c r="AE13" s="31" t="inlineStr">
        <is>
          <t>Neutral Elo baseline; executable ask 0.5800 (market_slug=aec-cs2-mgc-3dmax-2026-07-24).</t>
        </is>
      </c>
      <c r="AF13" s="31" t="inlineStr">
        <is>
          <t>Config-promoted esports baseline; gates enforced at log time.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NO_CALL_LOW_EDGE</t>
        </is>
      </c>
      <c r="AP13" s="24" t="inlineStr">
        <is>
          <t>3DMAX</t>
        </is>
      </c>
      <c r="AQ13" s="24" t="inlineStr">
        <is>
          <t>3DMAX</t>
        </is>
      </c>
      <c r="AR13" s="24" t="inlineStr">
        <is>
          <t>3DMAX</t>
        </is>
      </c>
      <c r="AS13" s="24" t="inlineStr">
        <is>
          <t>magic</t>
        </is>
      </c>
      <c r="AT13" s="24" t="inlineStr">
        <is>
          <t>magic</t>
        </is>
      </c>
      <c r="AU13" s="24" t="inlineStr">
        <is>
          <t>magic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e9c327ce15d79aaa8ed5032a6fb86929aaa479e14a8bc9a35686411400dd6b91</t>
        </is>
      </c>
      <c r="BB13" s="24" t="inlineStr">
        <is>
          <t>neutral_elo</t>
        </is>
      </c>
      <c r="BC13" s="24" t="inlineStr">
        <is>
          <t>cs2-tiered-elo-v3</t>
        </is>
      </c>
      <c r="BD13" s="24" t="inlineStr">
        <is>
          <t>48424b79d75fc1173c9c465d95feb6fc041a2ccfbc64455058b3f74905ce28d5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cs2-tiered-elo-v3</t>
        </is>
      </c>
      <c r="BH13" s="24" t="inlineStr">
        <is>
          <t>2026-07-23T07:20:31.167816Z</t>
        </is>
      </c>
      <c r="BI13" s="24" t="inlineStr">
        <is>
          <t>["same_event","same_team_same_day","same_league_same_day"]</t>
        </is>
      </c>
      <c r="BJ13" s="25" t="n"/>
      <c r="BK13" s="26" t="n">
        <v>-138</v>
      </c>
      <c r="BL13" s="27" t="n">
        <v>1.724638</v>
      </c>
      <c r="BM13" s="28" t="n">
        <v>0.579832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8d55c6bb844b4c40</t>
        </is>
      </c>
      <c r="B14" s="24" t="inlineStr">
        <is>
          <t>2026-07-23T07:20:44.252809Z</t>
        </is>
      </c>
      <c r="C14" s="24" t="inlineStr">
        <is>
          <t>2026-07-24T11:00:00Z</t>
        </is>
      </c>
      <c r="D14" s="24" t="inlineStr">
        <is>
          <t>59041</t>
        </is>
      </c>
      <c r="E14" s="24" t="inlineStr">
        <is>
          <t>CS2</t>
        </is>
      </c>
      <c r="F14" s="24" t="inlineStr">
        <is>
          <t>G2 Ares</t>
        </is>
      </c>
      <c r="G14" s="24" t="inlineStr">
        <is>
          <t>Phantom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-223</v>
      </c>
      <c r="M14" s="27" t="n">
        <v>1.44843</v>
      </c>
      <c r="N14" s="28" t="n">
        <v>0.690402</v>
      </c>
      <c r="O14" s="28" t="n">
        <v>0.715098</v>
      </c>
      <c r="P14" s="28" t="n">
        <v>0.05</v>
      </c>
      <c r="Q14" s="28" t="n">
        <v>0.024696</v>
      </c>
      <c r="R14" s="26" t="n">
        <v>16</v>
      </c>
      <c r="S14" s="29" t="n">
        <v>2</v>
      </c>
      <c r="T14" s="24" t="inlineStr">
        <is>
          <t>cs2-tiered-elo-v4</t>
        </is>
      </c>
      <c r="U14" s="24" t="inlineStr">
        <is>
          <t>settled</t>
        </is>
      </c>
      <c r="V14" s="24" t="inlineStr">
        <is>
          <t>win</t>
        </is>
      </c>
      <c r="W14" s="26" t="n">
        <v>0</v>
      </c>
      <c r="X14" s="26" t="n">
        <v>1</v>
      </c>
      <c r="Y14" s="25" t="n"/>
      <c r="Z14" s="26" t="n"/>
      <c r="AA14" s="28" t="n"/>
      <c r="AB14" s="28" t="n"/>
      <c r="AC14" s="30" t="n">
        <v>0.8969</v>
      </c>
      <c r="AD14" s="24" t="inlineStr">
        <is>
          <t>2026-07-24T14:50:37.971521Z</t>
        </is>
      </c>
      <c r="AE14" s="31" t="inlineStr">
        <is>
          <t>Neutral Elo baseline; executable ask 0.6900 (market_slug=aec-cs2-pha-g2a-2026-07-24).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NO_CALL_LOW_EDGE</t>
        </is>
      </c>
      <c r="AP14" s="24" t="inlineStr">
        <is>
          <t>G2 Ares</t>
        </is>
      </c>
      <c r="AQ14" s="24" t="inlineStr">
        <is>
          <t>G2 Ares</t>
        </is>
      </c>
      <c r="AR14" s="24" t="inlineStr">
        <is>
          <t>G2 Ares</t>
        </is>
      </c>
      <c r="AS14" s="24" t="inlineStr">
        <is>
          <t>Phantom</t>
        </is>
      </c>
      <c r="AT14" s="24" t="inlineStr">
        <is>
          <t>Phantom</t>
        </is>
      </c>
      <c r="AU14" s="24" t="inlineStr">
        <is>
          <t>Phantom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e9c327ce15d79aaa8ed5032a6fb86929aaa479e14a8bc9a35686411400dd6b91</t>
        </is>
      </c>
      <c r="BB14" s="24" t="inlineStr">
        <is>
          <t>neutral_elo</t>
        </is>
      </c>
      <c r="BC14" s="24" t="inlineStr">
        <is>
          <t>cs2-tiered-elo-v3</t>
        </is>
      </c>
      <c r="BD14" s="24" t="inlineStr">
        <is>
          <t>48424b79d75fc1173c9c465d95feb6fc041a2ccfbc64455058b3f74905ce28d5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cs2-tiered-elo-v3</t>
        </is>
      </c>
      <c r="BH14" s="24" t="inlineStr">
        <is>
          <t>2026-07-23T07:20:32.036205Z</t>
        </is>
      </c>
      <c r="BI14" s="24" t="inlineStr">
        <is>
          <t>["same_event","same_team_same_day","same_league_same_day"]</t>
        </is>
      </c>
      <c r="BJ14" s="25" t="n"/>
      <c r="BK14" s="26" t="n">
        <v>-223</v>
      </c>
      <c r="BL14" s="27" t="n">
        <v>1.44843</v>
      </c>
      <c r="BM14" s="28" t="n">
        <v>0.690402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ad66e5d4a4d84176</t>
        </is>
      </c>
      <c r="B15" s="24" t="inlineStr">
        <is>
          <t>2026-07-23T07:20:44.252809Z</t>
        </is>
      </c>
      <c r="C15" s="24" t="inlineStr">
        <is>
          <t>2026-07-24T11:00:00Z</t>
        </is>
      </c>
      <c r="D15" s="24" t="inlineStr">
        <is>
          <t>59687</t>
        </is>
      </c>
      <c r="E15" s="24" t="inlineStr">
        <is>
          <t>CS2</t>
        </is>
      </c>
      <c r="F15" s="24" t="inlineStr">
        <is>
          <t>Atreides</t>
        </is>
      </c>
      <c r="G15" s="24" t="inlineStr">
        <is>
          <t>SPARTA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-138</v>
      </c>
      <c r="M15" s="27" t="n">
        <v>1.724638</v>
      </c>
      <c r="N15" s="28" t="n">
        <v>0.579832</v>
      </c>
      <c r="O15" s="28" t="n">
        <v>0.518471</v>
      </c>
      <c r="P15" s="28" t="n">
        <v>0.05</v>
      </c>
      <c r="Q15" s="28" t="n">
        <v>-0.061361</v>
      </c>
      <c r="R15" s="26" t="n">
        <v>0</v>
      </c>
      <c r="S15" s="29" t="n">
        <v>0.75</v>
      </c>
      <c r="T15" s="24" t="inlineStr">
        <is>
          <t>cs2-tiered-elo-v4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/>
      <c r="AA15" s="28" t="n"/>
      <c r="AB15" s="28" t="n"/>
      <c r="AC15" s="30" t="n">
        <v>-0.75</v>
      </c>
      <c r="AD15" s="24" t="inlineStr">
        <is>
          <t>2026-07-24T14:50:39.955601Z</t>
        </is>
      </c>
      <c r="AE15" s="31" t="inlineStr">
        <is>
          <t>Neutral Elo baseline; executable ask 0.5800 (market_slug=aec-cs2-sparta-atr-2026-07-24).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NO_CALL_LOW_EDGE</t>
        </is>
      </c>
      <c r="AP15" s="24" t="inlineStr">
        <is>
          <t>Atreides</t>
        </is>
      </c>
      <c r="AQ15" s="24" t="inlineStr">
        <is>
          <t>Atreides</t>
        </is>
      </c>
      <c r="AR15" s="24" t="inlineStr">
        <is>
          <t>Atreides</t>
        </is>
      </c>
      <c r="AS15" s="24" t="inlineStr">
        <is>
          <t>SPARTA</t>
        </is>
      </c>
      <c r="AT15" s="24" t="inlineStr">
        <is>
          <t>SPARTA</t>
        </is>
      </c>
      <c r="AU15" s="24" t="inlineStr">
        <is>
          <t>SPARTA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e9c327ce15d79aaa8ed5032a6fb86929aaa479e14a8bc9a35686411400dd6b91</t>
        </is>
      </c>
      <c r="BB15" s="24" t="inlineStr">
        <is>
          <t>neutral_elo</t>
        </is>
      </c>
      <c r="BC15" s="24" t="inlineStr">
        <is>
          <t>cs2-tiered-elo-v3</t>
        </is>
      </c>
      <c r="BD15" s="24" t="inlineStr">
        <is>
          <t>48424b79d75fc1173c9c465d95feb6fc041a2ccfbc64455058b3f74905ce28d5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cs2-tiered-elo-v3</t>
        </is>
      </c>
      <c r="BH15" s="24" t="inlineStr">
        <is>
          <t>2026-07-23T07:20:32.900033Z</t>
        </is>
      </c>
      <c r="BI15" s="24" t="inlineStr">
        <is>
          <t>["same_event","same_team_same_day","same_league_same_day"]</t>
        </is>
      </c>
      <c r="BJ15" s="25" t="n"/>
      <c r="BK15" s="26" t="n">
        <v>-138</v>
      </c>
      <c r="BL15" s="27" t="n">
        <v>1.724638</v>
      </c>
      <c r="BM15" s="28" t="n">
        <v>0.579832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b4f1cdd6e52f4510</t>
        </is>
      </c>
      <c r="B16" s="24" t="inlineStr">
        <is>
          <t>2026-07-23T07:20:44.252809Z</t>
        </is>
      </c>
      <c r="C16" s="24" t="inlineStr">
        <is>
          <t>2026-07-24T12:30:00Z</t>
        </is>
      </c>
      <c r="D16" s="24" t="inlineStr">
        <is>
          <t>58309</t>
        </is>
      </c>
      <c r="E16" s="24" t="inlineStr">
        <is>
          <t>CS2</t>
        </is>
      </c>
      <c r="F16" s="24" t="inlineStr">
        <is>
          <t>TheMongolz</t>
        </is>
      </c>
      <c r="G16" s="24" t="inlineStr">
        <is>
          <t>Heroic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144</v>
      </c>
      <c r="M16" s="27" t="n">
        <v>2.44</v>
      </c>
      <c r="N16" s="28" t="n">
        <v>0.409836</v>
      </c>
      <c r="O16" s="28" t="n">
        <v>0.6112069999999999</v>
      </c>
      <c r="P16" s="28" t="n">
        <v>0.05</v>
      </c>
      <c r="Q16" s="28" t="n">
        <v>0.201371</v>
      </c>
      <c r="R16" s="26" t="n">
        <v>100</v>
      </c>
      <c r="S16" s="29" t="n">
        <v>1.5</v>
      </c>
      <c r="T16" s="24" t="inlineStr">
        <is>
          <t>cs2-tiered-elo-v4</t>
        </is>
      </c>
      <c r="U16" s="24" t="inlineStr">
        <is>
          <t>settled</t>
        </is>
      </c>
      <c r="V16" s="24" t="inlineStr">
        <is>
          <t>win</t>
        </is>
      </c>
      <c r="W16" s="26" t="n">
        <v>1</v>
      </c>
      <c r="X16" s="26" t="n">
        <v>0</v>
      </c>
      <c r="Y16" s="25" t="n"/>
      <c r="Z16" s="26" t="n"/>
      <c r="AA16" s="28" t="n"/>
      <c r="AB16" s="28" t="n"/>
      <c r="AC16" s="30" t="n">
        <v>2.16</v>
      </c>
      <c r="AD16" s="24" t="inlineStr">
        <is>
          <t>2026-07-24T15:42:55.300788Z</t>
        </is>
      </c>
      <c r="AE16" s="31" t="inlineStr">
        <is>
          <t>Neutral Elo baseline; executable ask 0.4100 (market_slug=aec-cs2-hero-mglz-2026-07-24).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NO_CALL_LARGE_DISAGREEMENT_REVIEW</t>
        </is>
      </c>
      <c r="AP16" s="24" t="inlineStr">
        <is>
          <t>TheMongolz</t>
        </is>
      </c>
      <c r="AQ16" s="24" t="inlineStr">
        <is>
          <t>TheMongolz</t>
        </is>
      </c>
      <c r="AR16" s="24" t="inlineStr">
        <is>
          <t>TheMongolz</t>
        </is>
      </c>
      <c r="AS16" s="24" t="inlineStr">
        <is>
          <t>Heroic</t>
        </is>
      </c>
      <c r="AT16" s="24" t="inlineStr">
        <is>
          <t>Heroic</t>
        </is>
      </c>
      <c r="AU16" s="24" t="inlineStr">
        <is>
          <t>Heroic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e9c327ce15d79aaa8ed5032a6fb86929aaa479e14a8bc9a35686411400dd6b91</t>
        </is>
      </c>
      <c r="BB16" s="24" t="inlineStr">
        <is>
          <t>neutral_elo</t>
        </is>
      </c>
      <c r="BC16" s="24" t="inlineStr">
        <is>
          <t>cs2-tiered-elo-v3</t>
        </is>
      </c>
      <c r="BD16" s="24" t="inlineStr">
        <is>
          <t>48424b79d75fc1173c9c465d95feb6fc041a2ccfbc64455058b3f74905ce28d5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cs2-tiered-elo-v3</t>
        </is>
      </c>
      <c r="BH16" s="24" t="inlineStr">
        <is>
          <t>2026-07-23T07:20:34.856171Z</t>
        </is>
      </c>
      <c r="BI16" s="24" t="inlineStr">
        <is>
          <t>["same_event","same_team_same_day","same_league_same_day"]</t>
        </is>
      </c>
      <c r="BJ16" s="25" t="n"/>
      <c r="BK16" s="26" t="n">
        <v>144</v>
      </c>
      <c r="BL16" s="27" t="n">
        <v>2.44</v>
      </c>
      <c r="BM16" s="28" t="n">
        <v>0.409836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9f4fbbffaf4f4ab1</t>
        </is>
      </c>
      <c r="B17" s="24" t="inlineStr">
        <is>
          <t>2026-07-23T07:21:36.945370Z</t>
        </is>
      </c>
      <c r="C17" s="24" t="inlineStr">
        <is>
          <t>2026-07-24T09:00:00Z</t>
        </is>
      </c>
      <c r="D17" s="24" t="inlineStr">
        <is>
          <t>58553</t>
        </is>
      </c>
      <c r="E17" s="24" t="inlineStr">
        <is>
          <t>VALORANT</t>
        </is>
      </c>
      <c r="F17" s="24" t="inlineStr">
        <is>
          <t>TEC Esports</t>
        </is>
      </c>
      <c r="G17" s="24" t="inlineStr">
        <is>
          <t>Trace Esports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117</v>
      </c>
      <c r="M17" s="27" t="n">
        <v>2.17</v>
      </c>
      <c r="N17" s="28" t="n">
        <v>0.460829</v>
      </c>
      <c r="O17" s="28" t="n">
        <v>0.5</v>
      </c>
      <c r="P17" s="28" t="n">
        <v>0.05</v>
      </c>
      <c r="Q17" s="28" t="n">
        <v>0.039171</v>
      </c>
      <c r="R17" s="26" t="n">
        <v>40</v>
      </c>
      <c r="S17" s="29" t="n">
        <v>0.5</v>
      </c>
      <c r="T17" s="24" t="inlineStr">
        <is>
          <t>valorant-tiered-elo-v4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/>
      <c r="AA17" s="28" t="n"/>
      <c r="AB17" s="28" t="n"/>
      <c r="AC17" s="30" t="n">
        <v>0.585</v>
      </c>
      <c r="AD17" s="24" t="inlineStr">
        <is>
          <t>2026-07-24T14:50:44.574837Z</t>
        </is>
      </c>
      <c r="AE17" s="31" t="inlineStr">
        <is>
          <t>Neutral Elo baseline; executable ask 0.4600 (market_slug=aec-valorant-te-tec-2026-07-24).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NO_CALL_LOW_EDGE</t>
        </is>
      </c>
      <c r="AP17" s="24" t="inlineStr">
        <is>
          <t>TEC Esports</t>
        </is>
      </c>
      <c r="AQ17" s="24" t="inlineStr">
        <is>
          <t>TEC Esports</t>
        </is>
      </c>
      <c r="AR17" s="24" t="inlineStr">
        <is>
          <t>TEC Esports</t>
        </is>
      </c>
      <c r="AS17" s="24" t="inlineStr">
        <is>
          <t>Trace Esports</t>
        </is>
      </c>
      <c r="AT17" s="24" t="inlineStr">
        <is>
          <t>Trace Esports</t>
        </is>
      </c>
      <c r="AU17" s="24" t="inlineStr">
        <is>
          <t>Trace Esports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153b0db03af0303675f7eb2520b56d0fd86008f1bb62095f9881ea43a0124bb2</t>
        </is>
      </c>
      <c r="BB17" s="24" t="inlineStr">
        <is>
          <t>neutral_elo</t>
        </is>
      </c>
      <c r="BC17" s="24" t="inlineStr">
        <is>
          <t>valorant-tiered-elo-v3</t>
        </is>
      </c>
      <c r="BD17" s="24" t="inlineStr">
        <is>
          <t>df5a226c64918a54c70b8af3e0cd4abb6c4f42b67acb5547da319458502b0ed4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valorant-tiered-elo-v3</t>
        </is>
      </c>
      <c r="BH17" s="24" t="inlineStr">
        <is>
          <t>2026-07-23T07:21:28.500430Z</t>
        </is>
      </c>
      <c r="BI17" s="24" t="inlineStr">
        <is>
          <t>["same_event","same_team_same_day","same_league_same_day"]</t>
        </is>
      </c>
      <c r="BJ17" s="25" t="n"/>
      <c r="BK17" s="26" t="n">
        <v>117</v>
      </c>
      <c r="BL17" s="27" t="n">
        <v>2.17</v>
      </c>
      <c r="BM17" s="28" t="n">
        <v>0.460829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61cf5d2603504bda</t>
        </is>
      </c>
      <c r="B18" s="24" t="inlineStr">
        <is>
          <t>2026-07-23T07:21:36.945370Z</t>
        </is>
      </c>
      <c r="C18" s="24" t="inlineStr">
        <is>
          <t>2026-07-24T18:00:00Z</t>
        </is>
      </c>
      <c r="D18" s="24" t="inlineStr">
        <is>
          <t>58554</t>
        </is>
      </c>
      <c r="E18" s="24" t="inlineStr">
        <is>
          <t>VALORANT</t>
        </is>
      </c>
      <c r="F18" s="24" t="inlineStr">
        <is>
          <t>Fnatic</t>
        </is>
      </c>
      <c r="G18" s="24" t="inlineStr">
        <is>
          <t>Team Liquid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138</v>
      </c>
      <c r="M18" s="27" t="n">
        <v>2.38</v>
      </c>
      <c r="N18" s="28" t="n">
        <v>0.420168</v>
      </c>
      <c r="O18" s="28" t="n">
        <v>0.860897</v>
      </c>
      <c r="P18" s="28" t="n">
        <v>0.05</v>
      </c>
      <c r="Q18" s="28" t="n">
        <v>0.440729</v>
      </c>
      <c r="R18" s="26" t="n">
        <v>100</v>
      </c>
      <c r="S18" s="29" t="n">
        <v>2</v>
      </c>
      <c r="T18" s="24" t="inlineStr">
        <is>
          <t>valorant-tiered-elo-v4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/>
      <c r="AA18" s="28" t="n"/>
      <c r="AB18" s="28" t="n"/>
      <c r="AC18" s="30" t="n">
        <v>2.76</v>
      </c>
      <c r="AD18" s="24" t="inlineStr">
        <is>
          <t>2026-07-24T21:16:25.148464Z</t>
        </is>
      </c>
      <c r="AE18" s="31" t="inlineStr">
        <is>
          <t>Neutral Elo baseline; executable ask 0.4200 (market_slug=aec-valorant-tl-fnc-2026-07-24).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NO_CALL_LARGE_DISAGREEMENT_REVIEW</t>
        </is>
      </c>
      <c r="AP18" s="24" t="inlineStr">
        <is>
          <t>Fnatic</t>
        </is>
      </c>
      <c r="AQ18" s="24" t="inlineStr">
        <is>
          <t>Fnatic</t>
        </is>
      </c>
      <c r="AR18" s="24" t="inlineStr">
        <is>
          <t>Fnatic</t>
        </is>
      </c>
      <c r="AS18" s="24" t="inlineStr">
        <is>
          <t>Team Liquid</t>
        </is>
      </c>
      <c r="AT18" s="24" t="inlineStr">
        <is>
          <t>Team Liquid</t>
        </is>
      </c>
      <c r="AU18" s="24" t="inlineStr">
        <is>
          <t>Team Liquid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153b0db03af0303675f7eb2520b56d0fd86008f1bb62095f9881ea43a0124bb2</t>
        </is>
      </c>
      <c r="BB18" s="24" t="inlineStr">
        <is>
          <t>neutral_elo</t>
        </is>
      </c>
      <c r="BC18" s="24" t="inlineStr">
        <is>
          <t>valorant-tiered-elo-v3</t>
        </is>
      </c>
      <c r="BD18" s="24" t="inlineStr">
        <is>
          <t>df5a226c64918a54c70b8af3e0cd4abb6c4f42b67acb5547da319458502b0ed4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valorant-tiered-elo-v3</t>
        </is>
      </c>
      <c r="BH18" s="24" t="inlineStr">
        <is>
          <t>2026-07-23T07:21:31.220238Z</t>
        </is>
      </c>
      <c r="BI18" s="24" t="inlineStr">
        <is>
          <t>["same_event","same_team_same_day","same_league_same_day"]</t>
        </is>
      </c>
      <c r="BJ18" s="25" t="n"/>
      <c r="BK18" s="26" t="n">
        <v>138</v>
      </c>
      <c r="BL18" s="27" t="n">
        <v>2.38</v>
      </c>
      <c r="BM18" s="28" t="n">
        <v>0.420168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b64037d71c394cbb</t>
        </is>
      </c>
      <c r="B19" s="24" t="inlineStr">
        <is>
          <t>2026-07-23T07:21:36.945370Z</t>
        </is>
      </c>
      <c r="C19" s="24" t="inlineStr">
        <is>
          <t>2026-07-25T00:00:00Z</t>
        </is>
      </c>
      <c r="D19" s="24" t="inlineStr">
        <is>
          <t>59138</t>
        </is>
      </c>
      <c r="E19" s="24" t="inlineStr">
        <is>
          <t>VALORANT</t>
        </is>
      </c>
      <c r="F19" s="24" t="inlineStr">
        <is>
          <t>KRÜ Esports</t>
        </is>
      </c>
      <c r="G19" s="24" t="inlineStr">
        <is>
          <t>100 Thieves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-213</v>
      </c>
      <c r="M19" s="27" t="n">
        <v>1.469484</v>
      </c>
      <c r="N19" s="28" t="n">
        <v>0.680511</v>
      </c>
      <c r="O19" s="28" t="n">
        <v>0.5</v>
      </c>
      <c r="P19" s="28" t="n">
        <v>0.05</v>
      </c>
      <c r="Q19" s="28" t="n">
        <v>-0.180511</v>
      </c>
      <c r="R19" s="26" t="n">
        <v>0</v>
      </c>
      <c r="S19" s="29" t="n">
        <v>0.5</v>
      </c>
      <c r="T19" s="24" t="inlineStr">
        <is>
          <t>valorant-tiered-elo-v4</t>
        </is>
      </c>
      <c r="U19" s="24" t="inlineStr">
        <is>
          <t>settled</t>
        </is>
      </c>
      <c r="V19" s="24" t="inlineStr">
        <is>
          <t>win</t>
        </is>
      </c>
      <c r="W19" s="26" t="n">
        <v>0</v>
      </c>
      <c r="X19" s="26" t="n">
        <v>1</v>
      </c>
      <c r="Y19" s="25" t="n"/>
      <c r="Z19" s="26" t="n"/>
      <c r="AA19" s="28" t="n"/>
      <c r="AB19" s="28" t="n"/>
      <c r="AC19" s="30" t="n">
        <v>0.2347</v>
      </c>
      <c r="AD19" s="24" t="inlineStr">
        <is>
          <t>2026-07-25T02:30:23.142792Z</t>
        </is>
      </c>
      <c r="AE19" s="31" t="inlineStr">
        <is>
          <t>Neutral Elo baseline; executable ask 0.6800 (market_slug=aec-valorant-100t-kr-2026-07-25).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NO_CALL_LARGE_DISAGREEMENT_REVIEW</t>
        </is>
      </c>
      <c r="AP19" s="24" t="inlineStr">
        <is>
          <t>KRÜ Esports</t>
        </is>
      </c>
      <c r="AQ19" s="24" t="inlineStr">
        <is>
          <t>KRÜ Esports</t>
        </is>
      </c>
      <c r="AR19" s="24" t="inlineStr">
        <is>
          <t>KRÜ Esports</t>
        </is>
      </c>
      <c r="AS19" s="24" t="inlineStr">
        <is>
          <t>100 Thieves</t>
        </is>
      </c>
      <c r="AT19" s="24" t="inlineStr">
        <is>
          <t>100 Thieves</t>
        </is>
      </c>
      <c r="AU19" s="24" t="inlineStr">
        <is>
          <t>100 Thieves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153b0db03af0303675f7eb2520b56d0fd86008f1bb62095f9881ea43a0124bb2</t>
        </is>
      </c>
      <c r="BB19" s="24" t="inlineStr">
        <is>
          <t>neutral_elo</t>
        </is>
      </c>
      <c r="BC19" s="24" t="inlineStr">
        <is>
          <t>valorant-tiered-elo-v3</t>
        </is>
      </c>
      <c r="BD19" s="24" t="inlineStr">
        <is>
          <t>df5a226c64918a54c70b8af3e0cd4abb6c4f42b67acb5547da319458502b0ed4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valorant-tiered-elo-v3</t>
        </is>
      </c>
      <c r="BH19" s="24" t="inlineStr">
        <is>
          <t>2026-07-23T07:21:33.005166Z</t>
        </is>
      </c>
      <c r="BI19" s="24" t="inlineStr">
        <is>
          <t>["same_event","same_team_same_day","same_league_same_day"]</t>
        </is>
      </c>
      <c r="BJ19" s="25" t="n"/>
      <c r="BK19" s="26" t="n">
        <v>-213</v>
      </c>
      <c r="BL19" s="27" t="n">
        <v>1.469484</v>
      </c>
      <c r="BM19" s="28" t="n">
        <v>0.680511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275051808b7f4b14</t>
        </is>
      </c>
      <c r="B20" s="24" t="inlineStr">
        <is>
          <t>2026-07-23T15:37:34.811979Z</t>
        </is>
      </c>
      <c r="C20" s="24" t="inlineStr">
        <is>
          <t>2026-07-24T17:00:00Z</t>
        </is>
      </c>
      <c r="D20" s="24" t="inlineStr">
        <is>
          <t>59683</t>
        </is>
      </c>
      <c r="E20" s="24" t="inlineStr">
        <is>
          <t>CS2</t>
        </is>
      </c>
      <c r="F20" s="24" t="inlineStr">
        <is>
          <t>G2 Ares</t>
        </is>
      </c>
      <c r="G20" s="24" t="inlineStr">
        <is>
          <t>Butterfly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-104</v>
      </c>
      <c r="M20" s="27" t="n">
        <v>1.961538</v>
      </c>
      <c r="N20" s="28" t="n">
        <v>0.509804</v>
      </c>
      <c r="O20" s="28" t="n">
        <v>0.5</v>
      </c>
      <c r="P20" s="28" t="n"/>
      <c r="Q20" s="28" t="n">
        <v>0.118159</v>
      </c>
      <c r="R20" s="26" t="n">
        <v>100</v>
      </c>
      <c r="S20" s="29" t="n">
        <v>0.5</v>
      </c>
      <c r="T20" s="24" t="inlineStr">
        <is>
          <t>cs2-tiered-elo-v4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0</v>
      </c>
      <c r="Y20" s="25" t="n"/>
      <c r="Z20" s="26" t="n"/>
      <c r="AA20" s="28" t="n"/>
      <c r="AB20" s="28" t="n"/>
      <c r="AC20" s="30" t="n">
        <v>0.4808</v>
      </c>
      <c r="AD20" s="24" t="inlineStr">
        <is>
          <t>2026-07-24T21:16:29.601956Z</t>
        </is>
      </c>
      <c r="AE20" s="31" t="inlineStr">
        <is>
          <t>Neutral Elo baseline; executable ask 0.5100 (market_slug=aec-cs2-btf-g2a-2026-07-24).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NO_CALL_LARGE_DISAGREEMENT_REVIEW</t>
        </is>
      </c>
      <c r="AP20" s="24" t="inlineStr">
        <is>
          <t>G2 Ares</t>
        </is>
      </c>
      <c r="AQ20" s="24" t="inlineStr">
        <is>
          <t>G2 Ares</t>
        </is>
      </c>
      <c r="AR20" s="24" t="inlineStr">
        <is>
          <t>G2 Ares</t>
        </is>
      </c>
      <c r="AS20" s="24" t="inlineStr">
        <is>
          <t>Butterfly</t>
        </is>
      </c>
      <c r="AT20" s="24" t="inlineStr">
        <is>
          <t>Butterfly</t>
        </is>
      </c>
      <c r="AU20" s="24" t="inlineStr">
        <is>
          <t>Butterfly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e9c327ce15d79aaa8ed5032a6fb86929aaa479e14a8bc9a35686411400dd6b91</t>
        </is>
      </c>
      <c r="BB20" s="24" t="inlineStr">
        <is>
          <t>neutral_elo</t>
        </is>
      </c>
      <c r="BC20" s="24" t="inlineStr">
        <is>
          <t>cs2-tiered-elo-v3</t>
        </is>
      </c>
      <c r="BD20" s="24" t="inlineStr">
        <is>
          <t>48424b79d75fc1173c9c465d95feb6fc041a2ccfbc64455058b3f74905ce28d5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cs2-tiered-elo-v3</t>
        </is>
      </c>
      <c r="BH20" s="24" t="inlineStr">
        <is>
          <t>2026-07-23T15:37:30.350274Z</t>
        </is>
      </c>
      <c r="BI20" s="24" t="inlineStr">
        <is>
          <t>["same_event","same_team_same_day","same_league_same_day"]</t>
        </is>
      </c>
      <c r="BJ20" s="25" t="n"/>
      <c r="BK20" s="26" t="n">
        <v>-104</v>
      </c>
      <c r="BL20" s="27" t="n">
        <v>1.961538</v>
      </c>
      <c r="BM20" s="28" t="n">
        <v>0.509804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fbfa8685a306416e</t>
        </is>
      </c>
      <c r="B21" s="24" t="inlineStr">
        <is>
          <t>2026-07-23T16:35:50.881798Z</t>
        </is>
      </c>
      <c r="C21" s="24" t="inlineStr">
        <is>
          <t>2026-07-24T16:00:00Z</t>
        </is>
      </c>
      <c r="D21" s="24" t="inlineStr">
        <is>
          <t>58454</t>
        </is>
      </c>
      <c r="E21" s="24" t="inlineStr">
        <is>
          <t>LOL</t>
        </is>
      </c>
      <c r="F21" s="24" t="inlineStr">
        <is>
          <t>GMBLERS ESPORTS</t>
        </is>
      </c>
      <c r="G21" s="24" t="inlineStr">
        <is>
          <t>P11 Esports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133</v>
      </c>
      <c r="M21" s="27" t="n">
        <v>2.33</v>
      </c>
      <c r="N21" s="28" t="n">
        <v>0.429185</v>
      </c>
      <c r="O21" s="28" t="n">
        <v>0.737069</v>
      </c>
      <c r="P21" s="28" t="n"/>
      <c r="Q21" s="28" t="n">
        <v>0.307884</v>
      </c>
      <c r="R21" s="26" t="n">
        <v>100</v>
      </c>
      <c r="S21" s="29" t="n">
        <v>2</v>
      </c>
      <c r="T21" s="24" t="inlineStr">
        <is>
          <t>lol-tiered-elo-v4</t>
        </is>
      </c>
      <c r="U21" s="24" t="inlineStr">
        <is>
          <t>settled</t>
        </is>
      </c>
      <c r="V21" s="24" t="inlineStr">
        <is>
          <t>win</t>
        </is>
      </c>
      <c r="W21" s="26" t="n">
        <v>1</v>
      </c>
      <c r="X21" s="26" t="n">
        <v>0</v>
      </c>
      <c r="Y21" s="25" t="n"/>
      <c r="Z21" s="26" t="n"/>
      <c r="AA21" s="28" t="n"/>
      <c r="AB21" s="28" t="n"/>
      <c r="AC21" s="30" t="n">
        <v>2.66</v>
      </c>
      <c r="AD21" s="24" t="inlineStr">
        <is>
          <t>2026-07-24T18:12:20.792235Z</t>
        </is>
      </c>
      <c r="AE21" s="31" t="inlineStr">
        <is>
          <t>Neutral Elo baseline; executable ask 0.4300 (market_slug=aec-lol-p11-gmb-2026-07-24).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NO_CALL_LARGE_DISAGREEMENT_REVIEW</t>
        </is>
      </c>
      <c r="AP21" s="24" t="inlineStr">
        <is>
          <t>GMBLERS ESPORTS</t>
        </is>
      </c>
      <c r="AQ21" s="24" t="inlineStr">
        <is>
          <t>GMBLERS ESPORTS</t>
        </is>
      </c>
      <c r="AR21" s="24" t="inlineStr">
        <is>
          <t>GMBLERS ESPORTS</t>
        </is>
      </c>
      <c r="AS21" s="24" t="inlineStr">
        <is>
          <t>P11 Esports</t>
        </is>
      </c>
      <c r="AT21" s="24" t="inlineStr">
        <is>
          <t>P11 Esports</t>
        </is>
      </c>
      <c r="AU21" s="24" t="inlineStr">
        <is>
          <t>P11 Esports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35087e828a0053011a97024de693e2ee7eb80eb03024c91d28d254de09d93778</t>
        </is>
      </c>
      <c r="BB21" s="24" t="inlineStr">
        <is>
          <t>neutral_elo</t>
        </is>
      </c>
      <c r="BC21" s="24" t="inlineStr">
        <is>
          <t>lol-tiered-elo-v3</t>
        </is>
      </c>
      <c r="BD21" s="24" t="inlineStr">
        <is>
          <t>dbc38ecdb090b63690db810d40eb29d0a69435c83dfbf24eb00d22aa42c177ae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lol-tiered-elo-v3</t>
        </is>
      </c>
      <c r="BH21" s="24" t="inlineStr">
        <is>
          <t>2026-07-23T16:35:47.586016Z</t>
        </is>
      </c>
      <c r="BI21" s="24" t="inlineStr">
        <is>
          <t>["same_event","same_team_same_day","same_league_same_day"]</t>
        </is>
      </c>
      <c r="BJ21" s="25" t="n"/>
      <c r="BK21" s="26" t="n">
        <v>133</v>
      </c>
      <c r="BL21" s="27" t="n">
        <v>2.33</v>
      </c>
      <c r="BM21" s="28" t="n">
        <v>0.429185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b948ea8c0be54c58</t>
        </is>
      </c>
      <c r="B22" s="24" t="inlineStr">
        <is>
          <t>2026-07-23T16:36:27.605488Z</t>
        </is>
      </c>
      <c r="C22" s="24" t="inlineStr">
        <is>
          <t>2026-07-24T16:00:00Z</t>
        </is>
      </c>
      <c r="D22" s="24" t="inlineStr">
        <is>
          <t>60130</t>
        </is>
      </c>
      <c r="E22" s="24" t="inlineStr">
        <is>
          <t>CS2</t>
        </is>
      </c>
      <c r="F22" s="24" t="inlineStr">
        <is>
          <t>Walczaki</t>
        </is>
      </c>
      <c r="G22" s="24" t="inlineStr">
        <is>
          <t>Gentle Mates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-203</v>
      </c>
      <c r="M22" s="27" t="n">
        <v>1.492611</v>
      </c>
      <c r="N22" s="28" t="n">
        <v>0.669967</v>
      </c>
      <c r="O22" s="28" t="n">
        <v>0.525608</v>
      </c>
      <c r="P22" s="28" t="n"/>
      <c r="Q22" s="28" t="n">
        <v>-0.144359</v>
      </c>
      <c r="R22" s="26" t="n">
        <v>0</v>
      </c>
      <c r="S22" s="29" t="n">
        <v>0.75</v>
      </c>
      <c r="T22" s="24" t="inlineStr">
        <is>
          <t>cs2-tiered-elo-v4</t>
        </is>
      </c>
      <c r="U22" s="24" t="inlineStr">
        <is>
          <t>settled</t>
        </is>
      </c>
      <c r="V22" s="24" t="inlineStr">
        <is>
          <t>win</t>
        </is>
      </c>
      <c r="W22" s="26" t="n">
        <v>0</v>
      </c>
      <c r="X22" s="26" t="n">
        <v>1</v>
      </c>
      <c r="Y22" s="25" t="n"/>
      <c r="Z22" s="26" t="n"/>
      <c r="AA22" s="28" t="n"/>
      <c r="AB22" s="28" t="n"/>
      <c r="AC22" s="30" t="n">
        <v>0.3695</v>
      </c>
      <c r="AD22" s="24" t="inlineStr">
        <is>
          <t>2026-07-24T18:12:22.408418Z</t>
        </is>
      </c>
      <c r="AE22" s="31" t="inlineStr">
        <is>
          <t>Neutral Elo baseline; executable ask 0.6700 (market_slug=aec-cs2-m8-wal-2026-07-24).</t>
        </is>
      </c>
      <c r="AF22" s="31" t="inlineStr">
        <is>
          <t>Config-promoted esports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NO_CALL_LARGE_DISAGREEMENT_REVIEW</t>
        </is>
      </c>
      <c r="AP22" s="24" t="inlineStr">
        <is>
          <t>Walczaki</t>
        </is>
      </c>
      <c r="AQ22" s="24" t="inlineStr">
        <is>
          <t>Walczaki</t>
        </is>
      </c>
      <c r="AR22" s="24" t="inlineStr">
        <is>
          <t>Walczaki</t>
        </is>
      </c>
      <c r="AS22" s="24" t="inlineStr">
        <is>
          <t>Gentle Mates</t>
        </is>
      </c>
      <c r="AT22" s="24" t="inlineStr">
        <is>
          <t>Gentle Mates</t>
        </is>
      </c>
      <c r="AU22" s="24" t="inlineStr">
        <is>
          <t>Gentle Mates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e9c327ce15d79aaa8ed5032a6fb86929aaa479e14a8bc9a35686411400dd6b91</t>
        </is>
      </c>
      <c r="BB22" s="24" t="inlineStr">
        <is>
          <t>neutral_elo</t>
        </is>
      </c>
      <c r="BC22" s="24" t="inlineStr">
        <is>
          <t>cs2-tiered-elo-v3</t>
        </is>
      </c>
      <c r="BD22" s="24" t="inlineStr">
        <is>
          <t>48424b79d75fc1173c9c465d95feb6fc041a2ccfbc64455058b3f74905ce28d5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cs2-tiered-elo-v3</t>
        </is>
      </c>
      <c r="BH22" s="24" t="inlineStr">
        <is>
          <t>2026-07-23T16:36:22.454543Z</t>
        </is>
      </c>
      <c r="BI22" s="24" t="inlineStr">
        <is>
          <t>["same_event","same_team_same_day","same_league_same_day"]</t>
        </is>
      </c>
      <c r="BJ22" s="25" t="n"/>
      <c r="BK22" s="26" t="n">
        <v>-203</v>
      </c>
      <c r="BL22" s="27" t="n">
        <v>1.492611</v>
      </c>
      <c r="BM22" s="28" t="n">
        <v>0.669967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ec5f8d7b7b024e96</t>
        </is>
      </c>
      <c r="B23" s="24" t="inlineStr">
        <is>
          <t>2026-07-23T16:36:27.605488Z</t>
        </is>
      </c>
      <c r="C23" s="24" t="inlineStr">
        <is>
          <t>2026-07-24T17:00:00Z</t>
        </is>
      </c>
      <c r="D23" s="24" t="inlineStr">
        <is>
          <t>59043</t>
        </is>
      </c>
      <c r="E23" s="24" t="inlineStr">
        <is>
          <t>CS2</t>
        </is>
      </c>
      <c r="F23" s="24" t="inlineStr">
        <is>
          <t>Atreides</t>
        </is>
      </c>
      <c r="G23" s="24" t="inlineStr">
        <is>
          <t>GenOne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-203</v>
      </c>
      <c r="M23" s="27" t="n">
        <v>1.492611</v>
      </c>
      <c r="N23" s="28" t="n">
        <v>0.669967</v>
      </c>
      <c r="O23" s="28" t="n">
        <v>0.604255</v>
      </c>
      <c r="P23" s="28" t="n"/>
      <c r="Q23" s="28" t="n">
        <v>-0.06571200000000001</v>
      </c>
      <c r="R23" s="26" t="n">
        <v>0</v>
      </c>
      <c r="S23" s="29" t="n">
        <v>1.5</v>
      </c>
      <c r="T23" s="24" t="inlineStr">
        <is>
          <t>cs2-tiered-elo-v4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/>
      <c r="AA23" s="28" t="n"/>
      <c r="AB23" s="28" t="n"/>
      <c r="AC23" s="30" t="n">
        <v>-1.5</v>
      </c>
      <c r="AD23" s="24" t="inlineStr">
        <is>
          <t>2026-07-24T21:16:31.152610Z</t>
        </is>
      </c>
      <c r="AE23" s="31" t="inlineStr">
        <is>
          <t>Neutral Elo baseline; executable ask 0.6700 (market_slug=aec-cs2-g1-atr-2026-07-24).</t>
        </is>
      </c>
      <c r="AF23" s="31" t="inlineStr">
        <is>
          <t>Config-promoted esports baseline; gates enforced at log time.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research_observation</t>
        </is>
      </c>
      <c r="AL23" s="26" t="n">
        <v>3</v>
      </c>
      <c r="AM23" s="24" t="inlineStr">
        <is>
          <t>RESEARCH_OBSERVATION</t>
        </is>
      </c>
      <c r="AN23" s="24" t="inlineStr">
        <is>
          <t>NO_CALL</t>
        </is>
      </c>
      <c r="AO23" s="24" t="inlineStr">
        <is>
          <t>NO_CALL_LOW_EDGE</t>
        </is>
      </c>
      <c r="AP23" s="24" t="inlineStr">
        <is>
          <t>Atreides</t>
        </is>
      </c>
      <c r="AQ23" s="24" t="inlineStr">
        <is>
          <t>Atreides</t>
        </is>
      </c>
      <c r="AR23" s="24" t="inlineStr">
        <is>
          <t>Atreides</t>
        </is>
      </c>
      <c r="AS23" s="24" t="inlineStr">
        <is>
          <t>GenOne</t>
        </is>
      </c>
      <c r="AT23" s="24" t="inlineStr">
        <is>
          <t>GenOne</t>
        </is>
      </c>
      <c r="AU23" s="24" t="inlineStr">
        <is>
          <t>GenOne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e9c327ce15d79aaa8ed5032a6fb86929aaa479e14a8bc9a35686411400dd6b91</t>
        </is>
      </c>
      <c r="BB23" s="24" t="inlineStr">
        <is>
          <t>neutral_elo</t>
        </is>
      </c>
      <c r="BC23" s="24" t="inlineStr">
        <is>
          <t>cs2-tiered-elo-v3</t>
        </is>
      </c>
      <c r="BD23" s="24" t="inlineStr">
        <is>
          <t>48424b79d75fc1173c9c465d95feb6fc041a2ccfbc64455058b3f74905ce28d5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cs2-tiered-elo-v3</t>
        </is>
      </c>
      <c r="BH23" s="24" t="inlineStr">
        <is>
          <t>2026-07-23T16:36:23.372169Z</t>
        </is>
      </c>
      <c r="BI23" s="24" t="inlineStr">
        <is>
          <t>["same_event","same_team_same_day","same_league_same_day"]</t>
        </is>
      </c>
      <c r="BJ23" s="25" t="n"/>
      <c r="BK23" s="26" t="n">
        <v>-203</v>
      </c>
      <c r="BL23" s="27" t="n">
        <v>1.492611</v>
      </c>
      <c r="BM23" s="28" t="n">
        <v>0.669967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0290b65f79474bcb</t>
        </is>
      </c>
      <c r="B24" s="24" t="inlineStr">
        <is>
          <t>2026-07-23T16:36:27.605488Z</t>
        </is>
      </c>
      <c r="C24" s="24" t="inlineStr">
        <is>
          <t>2026-07-24T19:00:00Z</t>
        </is>
      </c>
      <c r="D24" s="24" t="inlineStr">
        <is>
          <t>59967</t>
        </is>
      </c>
      <c r="E24" s="24" t="inlineStr">
        <is>
          <t>CS2</t>
        </is>
      </c>
      <c r="F24" s="24" t="inlineStr">
        <is>
          <t>ALKA GAMING</t>
        </is>
      </c>
      <c r="G24" s="24" t="inlineStr">
        <is>
          <t>Keyd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-156</v>
      </c>
      <c r="M24" s="27" t="n">
        <v>1.641026</v>
      </c>
      <c r="N24" s="28" t="n">
        <v>0.609375</v>
      </c>
      <c r="O24" s="28" t="n">
        <v>0.597785</v>
      </c>
      <c r="P24" s="28" t="n"/>
      <c r="Q24" s="28" t="n">
        <v>-0.01159</v>
      </c>
      <c r="R24" s="26" t="n">
        <v>0</v>
      </c>
      <c r="S24" s="29" t="n">
        <v>1.5</v>
      </c>
      <c r="T24" s="24" t="inlineStr">
        <is>
          <t>cs2-tiered-elo-v4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1</v>
      </c>
      <c r="Y24" s="25" t="n"/>
      <c r="Z24" s="26" t="n"/>
      <c r="AA24" s="28" t="n"/>
      <c r="AB24" s="28" t="n"/>
      <c r="AC24" s="30" t="n">
        <v>0.9615</v>
      </c>
      <c r="AD24" s="24" t="inlineStr">
        <is>
          <t>2026-07-24T21:16:33.092419Z</t>
        </is>
      </c>
      <c r="AE24" s="31" t="inlineStr">
        <is>
          <t>Neutral Elo baseline; executable ask 0.6100 (market_slug=aec-cs2-keyd-alka-2026-07-24).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NO_CALL_LOW_EDGE</t>
        </is>
      </c>
      <c r="AP24" s="24" t="inlineStr">
        <is>
          <t>ALKA GAMING</t>
        </is>
      </c>
      <c r="AQ24" s="24" t="inlineStr">
        <is>
          <t>ALKA GAMING</t>
        </is>
      </c>
      <c r="AR24" s="24" t="inlineStr">
        <is>
          <t>ALKA GAMING</t>
        </is>
      </c>
      <c r="AS24" s="24" t="inlineStr">
        <is>
          <t>Keyd</t>
        </is>
      </c>
      <c r="AT24" s="24" t="inlineStr">
        <is>
          <t>Keyd</t>
        </is>
      </c>
      <c r="AU24" s="24" t="inlineStr">
        <is>
          <t>Keyd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e9c327ce15d79aaa8ed5032a6fb86929aaa479e14a8bc9a35686411400dd6b91</t>
        </is>
      </c>
      <c r="BB24" s="24" t="inlineStr">
        <is>
          <t>neutral_elo</t>
        </is>
      </c>
      <c r="BC24" s="24" t="inlineStr">
        <is>
          <t>cs2-tiered-elo-v3</t>
        </is>
      </c>
      <c r="BD24" s="24" t="inlineStr">
        <is>
          <t>48424b79d75fc1173c9c465d95feb6fc041a2ccfbc64455058b3f74905ce28d5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cs2-tiered-elo-v3</t>
        </is>
      </c>
      <c r="BH24" s="24" t="inlineStr">
        <is>
          <t>2026-07-23T16:36:26.758550Z</t>
        </is>
      </c>
      <c r="BI24" s="24" t="inlineStr">
        <is>
          <t>["same_event","same_team_same_day","same_league_same_day"]</t>
        </is>
      </c>
      <c r="BJ24" s="25" t="n"/>
      <c r="BK24" s="26" t="n">
        <v>-156</v>
      </c>
      <c r="BL24" s="27" t="n">
        <v>1.641026</v>
      </c>
      <c r="BM24" s="28" t="n">
        <v>0.609375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1a50600b5543482c</t>
        </is>
      </c>
      <c r="B25" s="24" t="inlineStr">
        <is>
          <t>2026-07-23T23:20:53.673463Z</t>
        </is>
      </c>
      <c r="C25" s="24" t="inlineStr">
        <is>
          <t>2026-07-24T08:00:00Z</t>
        </is>
      </c>
      <c r="D25" s="24" t="inlineStr">
        <is>
          <t>58178</t>
        </is>
      </c>
      <c r="E25" s="24" t="inlineStr">
        <is>
          <t>LOL</t>
        </is>
      </c>
      <c r="F25" s="24" t="inlineStr">
        <is>
          <t>Arneb</t>
        </is>
      </c>
      <c r="G25" s="24" t="inlineStr">
        <is>
          <t>RAYN Clocks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-223</v>
      </c>
      <c r="M25" s="27" t="n">
        <v>1.44843</v>
      </c>
      <c r="N25" s="28" t="n">
        <v>0.690402</v>
      </c>
      <c r="O25" s="28" t="n">
        <v>0.585561</v>
      </c>
      <c r="P25" s="28" t="n"/>
      <c r="Q25" s="28" t="n">
        <v>-0.104841</v>
      </c>
      <c r="R25" s="26" t="n">
        <v>0</v>
      </c>
      <c r="S25" s="29" t="n">
        <v>1.25</v>
      </c>
      <c r="T25" s="24" t="inlineStr">
        <is>
          <t>lol-tiered-elo-v4</t>
        </is>
      </c>
      <c r="U25" s="24" t="inlineStr">
        <is>
          <t>settled</t>
        </is>
      </c>
      <c r="V25" s="24" t="inlineStr">
        <is>
          <t>win</t>
        </is>
      </c>
      <c r="W25" s="26" t="n">
        <v>1</v>
      </c>
      <c r="X25" s="26" t="n">
        <v>0</v>
      </c>
      <c r="Y25" s="25" t="n"/>
      <c r="Z25" s="26" t="n"/>
      <c r="AA25" s="28" t="n"/>
      <c r="AB25" s="28" t="n"/>
      <c r="AC25" s="30" t="n">
        <v>0.5605</v>
      </c>
      <c r="AD25" s="24" t="inlineStr">
        <is>
          <t>2026-07-24T14:50:49.139458Z</t>
        </is>
      </c>
      <c r="AE25" s="31" t="inlineStr">
        <is>
          <t>Neutral Elo baseline; executable ask 0.6900 (market_slug=aec-lol-rck-arb-2026-07-24).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NO_CALL_LARGE_DISAGREEMENT_REVIEW</t>
        </is>
      </c>
      <c r="AP25" s="24" t="inlineStr">
        <is>
          <t>Arneb</t>
        </is>
      </c>
      <c r="AQ25" s="24" t="inlineStr">
        <is>
          <t>Arneb</t>
        </is>
      </c>
      <c r="AR25" s="24" t="inlineStr">
        <is>
          <t>Arneb</t>
        </is>
      </c>
      <c r="AS25" s="24" t="inlineStr">
        <is>
          <t>RAYN Clocks</t>
        </is>
      </c>
      <c r="AT25" s="24" t="inlineStr">
        <is>
          <t>RAYN Clocks</t>
        </is>
      </c>
      <c r="AU25" s="24" t="inlineStr">
        <is>
          <t>RAYN Clocks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35087e828a0053011a97024de693e2ee7eb80eb03024c91d28d254de09d93778</t>
        </is>
      </c>
      <c r="BB25" s="24" t="inlineStr">
        <is>
          <t>neutral_elo</t>
        </is>
      </c>
      <c r="BC25" s="24" t="inlineStr">
        <is>
          <t>lol-tiered-elo-v3</t>
        </is>
      </c>
      <c r="BD25" s="24" t="inlineStr">
        <is>
          <t>dbc38ecdb090b63690db810d40eb29d0a69435c83dfbf24eb00d22aa42c177ae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lol-tiered-elo-v3</t>
        </is>
      </c>
      <c r="BH25" s="24" t="inlineStr">
        <is>
          <t>2026-07-23T23:20:47.147081Z</t>
        </is>
      </c>
      <c r="BI25" s="24" t="inlineStr">
        <is>
          <t>["same_event","same_team_same_day","same_league_same_day"]</t>
        </is>
      </c>
      <c r="BJ25" s="25" t="n"/>
      <c r="BK25" s="26" t="n">
        <v>-223</v>
      </c>
      <c r="BL25" s="27" t="n">
        <v>1.44843</v>
      </c>
      <c r="BM25" s="28" t="n">
        <v>0.690402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583e71a3fd5c44e5</t>
        </is>
      </c>
      <c r="B26" s="24" t="inlineStr">
        <is>
          <t>2026-07-23T23:21:21.169678Z</t>
        </is>
      </c>
      <c r="C26" s="24" t="inlineStr">
        <is>
          <t>2026-07-24T08:00:00Z</t>
        </is>
      </c>
      <c r="D26" s="24" t="inlineStr">
        <is>
          <t>60127</t>
        </is>
      </c>
      <c r="E26" s="24" t="inlineStr">
        <is>
          <t>CS2</t>
        </is>
      </c>
      <c r="F26" s="24" t="inlineStr">
        <is>
          <t>Benched gods</t>
        </is>
      </c>
      <c r="G26" s="24" t="inlineStr">
        <is>
          <t>Subtop De France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-144</v>
      </c>
      <c r="M26" s="27" t="n">
        <v>1.694444</v>
      </c>
      <c r="N26" s="28" t="n">
        <v>0.590164</v>
      </c>
      <c r="O26" s="28" t="n">
        <v>0.719068</v>
      </c>
      <c r="P26" s="28" t="n"/>
      <c r="Q26" s="28" t="n">
        <v>0.128904</v>
      </c>
      <c r="R26" s="26" t="n">
        <v>100</v>
      </c>
      <c r="S26" s="29" t="n">
        <v>2</v>
      </c>
      <c r="T26" s="24" t="inlineStr">
        <is>
          <t>cs2-tiered-elo-v4</t>
        </is>
      </c>
      <c r="U26" s="24" t="inlineStr">
        <is>
          <t>settled</t>
        </is>
      </c>
      <c r="V26" s="24" t="inlineStr">
        <is>
          <t>push</t>
        </is>
      </c>
      <c r="W26" s="26" t="n"/>
      <c r="X26" s="26" t="n"/>
      <c r="Y26" s="25" t="n"/>
      <c r="Z26" s="26" t="n"/>
      <c r="AA26" s="28" t="n"/>
      <c r="AB26" s="28" t="n"/>
      <c r="AC26" s="30" t="n">
        <v>0</v>
      </c>
      <c r="AD26" s="24" t="inlineStr">
        <is>
          <t>2026-07-26T06:54:47.210021Z</t>
        </is>
      </c>
      <c r="AE26" s="31" t="inlineStr">
        <is>
          <t>Neutral Elo baseline; executable ask 0.5900 (market_slug=aec-cs2-sdf-bge-2026-07-24).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NO_CALL_LARGE_DISAGREEMENT_REVIEW</t>
        </is>
      </c>
      <c r="AP26" s="24" t="inlineStr">
        <is>
          <t>Benched gods</t>
        </is>
      </c>
      <c r="AQ26" s="24" t="inlineStr">
        <is>
          <t>Benched gods</t>
        </is>
      </c>
      <c r="AR26" s="24" t="inlineStr">
        <is>
          <t>Benched gods</t>
        </is>
      </c>
      <c r="AS26" s="24" t="inlineStr">
        <is>
          <t>Subtop De France</t>
        </is>
      </c>
      <c r="AT26" s="24" t="inlineStr">
        <is>
          <t>Subtop De France</t>
        </is>
      </c>
      <c r="AU26" s="24" t="inlineStr">
        <is>
          <t>Subtop De France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e9c327ce15d79aaa8ed5032a6fb86929aaa479e14a8bc9a35686411400dd6b91</t>
        </is>
      </c>
      <c r="BB26" s="24" t="inlineStr">
        <is>
          <t>neutral_elo</t>
        </is>
      </c>
      <c r="BC26" s="24" t="inlineStr">
        <is>
          <t>cs2-tiered-elo-v3</t>
        </is>
      </c>
      <c r="BD26" s="24" t="inlineStr">
        <is>
          <t>48424b79d75fc1173c9c465d95feb6fc041a2ccfbc64455058b3f74905ce28d5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cs2-tiered-elo-v3</t>
        </is>
      </c>
      <c r="BH26" s="24" t="inlineStr">
        <is>
          <t>2026-07-23T23:20:59.660320Z</t>
        </is>
      </c>
      <c r="BI26" s="24" t="inlineStr">
        <is>
          <t>["same_event","same_team_same_day","same_league_same_day"]</t>
        </is>
      </c>
      <c r="BJ26" s="25" t="n"/>
      <c r="BK26" s="26" t="n">
        <v>-144</v>
      </c>
      <c r="BL26" s="27" t="n">
        <v>1.694444</v>
      </c>
      <c r="BM26" s="28" t="n">
        <v>0.590164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inlineStr">
        <is>
          <t>esports market settled to a non-binary price (forfeit/postponement per market rules)</t>
        </is>
      </c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4df0b0c4ddf348eb</t>
        </is>
      </c>
      <c r="B27" s="24" t="inlineStr">
        <is>
          <t>2026-07-23T23:21:21.169678Z</t>
        </is>
      </c>
      <c r="C27" s="24" t="inlineStr">
        <is>
          <t>2026-07-24T08:00:00Z</t>
        </is>
      </c>
      <c r="D27" s="24" t="inlineStr">
        <is>
          <t>59040</t>
        </is>
      </c>
      <c r="E27" s="24" t="inlineStr">
        <is>
          <t>CS2</t>
        </is>
      </c>
      <c r="F27" s="24" t="inlineStr">
        <is>
          <t>Honvéd</t>
        </is>
      </c>
      <c r="G27" s="24" t="inlineStr">
        <is>
          <t>CYBERSHOKE Prospects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-233</v>
      </c>
      <c r="M27" s="27" t="n">
        <v>1.429185</v>
      </c>
      <c r="N27" s="28" t="n">
        <v>0.6997</v>
      </c>
      <c r="O27" s="28" t="n">
        <v>0.721979</v>
      </c>
      <c r="P27" s="28" t="n"/>
      <c r="Q27" s="28" t="n">
        <v>0.022279</v>
      </c>
      <c r="R27" s="26" t="n">
        <v>8</v>
      </c>
      <c r="S27" s="29" t="n">
        <v>2</v>
      </c>
      <c r="T27" s="24" t="inlineStr">
        <is>
          <t>cs2-tiered-elo-v4</t>
        </is>
      </c>
      <c r="U27" s="24" t="inlineStr">
        <is>
          <t>settled</t>
        </is>
      </c>
      <c r="V27" s="24" t="inlineStr">
        <is>
          <t>win</t>
        </is>
      </c>
      <c r="W27" s="26" t="n">
        <v>0</v>
      </c>
      <c r="X27" s="26" t="n">
        <v>1</v>
      </c>
      <c r="Y27" s="25" t="n"/>
      <c r="Z27" s="26" t="n"/>
      <c r="AA27" s="28" t="n"/>
      <c r="AB27" s="28" t="n"/>
      <c r="AC27" s="30" t="n">
        <v>0.8584000000000001</v>
      </c>
      <c r="AD27" s="24" t="inlineStr">
        <is>
          <t>2026-07-24T10:49:18.487161Z</t>
        </is>
      </c>
      <c r="AE27" s="31" t="inlineStr">
        <is>
          <t>Neutral Elo baseline; executable ask 0.7000 (market_slug=aec-cs2-cshp-hon-2026-07-24).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NO_CALL_LOW_EDGE</t>
        </is>
      </c>
      <c r="AP27" s="24" t="inlineStr">
        <is>
          <t>Honvéd</t>
        </is>
      </c>
      <c r="AQ27" s="24" t="inlineStr">
        <is>
          <t>Honvéd</t>
        </is>
      </c>
      <c r="AR27" s="24" t="inlineStr">
        <is>
          <t>Honvéd</t>
        </is>
      </c>
      <c r="AS27" s="24" t="inlineStr">
        <is>
          <t>CYBERSHOKE Prospects</t>
        </is>
      </c>
      <c r="AT27" s="24" t="inlineStr">
        <is>
          <t>CYBERSHOKE Prospects</t>
        </is>
      </c>
      <c r="AU27" s="24" t="inlineStr">
        <is>
          <t>CYBERSHOKE Prospects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e9c327ce15d79aaa8ed5032a6fb86929aaa479e14a8bc9a35686411400dd6b91</t>
        </is>
      </c>
      <c r="BB27" s="24" t="inlineStr">
        <is>
          <t>neutral_elo</t>
        </is>
      </c>
      <c r="BC27" s="24" t="inlineStr">
        <is>
          <t>cs2-tiered-elo-v3</t>
        </is>
      </c>
      <c r="BD27" s="24" t="inlineStr">
        <is>
          <t>48424b79d75fc1173c9c465d95feb6fc041a2ccfbc64455058b3f74905ce28d5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cs2-tiered-elo-v3</t>
        </is>
      </c>
      <c r="BH27" s="24" t="inlineStr">
        <is>
          <t>2026-07-23T23:21:00.464189Z</t>
        </is>
      </c>
      <c r="BI27" s="24" t="inlineStr">
        <is>
          <t>["same_event","same_team_same_day","same_league_same_day"]</t>
        </is>
      </c>
      <c r="BJ27" s="25" t="n"/>
      <c r="BK27" s="26" t="n">
        <v>-233</v>
      </c>
      <c r="BL27" s="27" t="n">
        <v>1.429185</v>
      </c>
      <c r="BM27" s="28" t="n">
        <v>0.6997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</row>
    <row r="28" ht="36" customHeight="1">
      <c r="A28" s="24" t="inlineStr">
        <is>
          <t>421de4f055644ebd</t>
        </is>
      </c>
      <c r="B28" s="24" t="inlineStr">
        <is>
          <t>2026-07-23T23:21:21.169678Z</t>
        </is>
      </c>
      <c r="C28" s="24" t="inlineStr">
        <is>
          <t>2026-07-24T13:00:00Z</t>
        </is>
      </c>
      <c r="D28" s="24" t="inlineStr">
        <is>
          <t>60177</t>
        </is>
      </c>
      <c r="E28" s="24" t="inlineStr">
        <is>
          <t>CS2</t>
        </is>
      </c>
      <c r="F28" s="24" t="inlineStr">
        <is>
          <t>ECHO</t>
        </is>
      </c>
      <c r="G28" s="24" t="inlineStr">
        <is>
          <t>Nuclear TigeRES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-113</v>
      </c>
      <c r="M28" s="27" t="n">
        <v>1.884956</v>
      </c>
      <c r="N28" s="28" t="n">
        <v>0.530516</v>
      </c>
      <c r="O28" s="28" t="n">
        <v>0.65207</v>
      </c>
      <c r="P28" s="28" t="n"/>
      <c r="Q28" s="28" t="n">
        <v>0.121554</v>
      </c>
      <c r="R28" s="26" t="n">
        <v>67</v>
      </c>
      <c r="S28" s="29" t="n">
        <v>2</v>
      </c>
      <c r="T28" s="24" t="inlineStr">
        <is>
          <t>cs2-tiered-elo-v4</t>
        </is>
      </c>
      <c r="U28" s="24" t="inlineStr">
        <is>
          <t>settled</t>
        </is>
      </c>
      <c r="V28" s="24" t="inlineStr">
        <is>
          <t>loss</t>
        </is>
      </c>
      <c r="W28" s="26" t="n">
        <v>1</v>
      </c>
      <c r="X28" s="26" t="n">
        <v>0</v>
      </c>
      <c r="Y28" s="25" t="n"/>
      <c r="Z28" s="26" t="n"/>
      <c r="AA28" s="28" t="n"/>
      <c r="AB28" s="28" t="n"/>
      <c r="AC28" s="30" t="n">
        <v>-2</v>
      </c>
      <c r="AD28" s="24" t="inlineStr">
        <is>
          <t>2026-07-24T15:43:03.260348Z</t>
        </is>
      </c>
      <c r="AE28" s="31" t="inlineStr">
        <is>
          <t>Neutral Elo baseline; executable ask 0.5300 (market_slug=aec-cs2-ntr-echo-2026-07-24).</t>
        </is>
      </c>
      <c r="AF28" s="31" t="inlineStr">
        <is>
          <t>Config-promoted esports baseline; gates enforced at log time.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NO_CALL_EXPOSURE_LIMIT</t>
        </is>
      </c>
      <c r="AP28" s="24" t="inlineStr">
        <is>
          <t>ECHO</t>
        </is>
      </c>
      <c r="AQ28" s="24" t="inlineStr">
        <is>
          <t>ECHO</t>
        </is>
      </c>
      <c r="AR28" s="24" t="inlineStr">
        <is>
          <t>ECHO</t>
        </is>
      </c>
      <c r="AS28" s="24" t="inlineStr">
        <is>
          <t>Nuclear TigeRES</t>
        </is>
      </c>
      <c r="AT28" s="24" t="inlineStr">
        <is>
          <t>Nuclear TigeRES</t>
        </is>
      </c>
      <c r="AU28" s="24" t="inlineStr">
        <is>
          <t>Nuclear TigeRES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e9c327ce15d79aaa8ed5032a6fb86929aaa479e14a8bc9a35686411400dd6b91</t>
        </is>
      </c>
      <c r="BB28" s="24" t="inlineStr">
        <is>
          <t>neutral_elo</t>
        </is>
      </c>
      <c r="BC28" s="24" t="inlineStr">
        <is>
          <t>cs2-tiered-elo-v3</t>
        </is>
      </c>
      <c r="BD28" s="24" t="inlineStr">
        <is>
          <t>48424b79d75fc1173c9c465d95feb6fc041a2ccfbc64455058b3f74905ce28d5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cs2-tiered-elo-v3</t>
        </is>
      </c>
      <c r="BH28" s="24" t="inlineStr">
        <is>
          <t>2026-07-23T23:21:05.334551Z</t>
        </is>
      </c>
      <c r="BI28" s="24" t="inlineStr">
        <is>
          <t>["same_event","same_team_same_day","same_league_same_day"]</t>
        </is>
      </c>
      <c r="BJ28" s="25" t="n"/>
      <c r="BK28" s="26" t="n">
        <v>-113</v>
      </c>
      <c r="BL28" s="27" t="n">
        <v>1.884956</v>
      </c>
      <c r="BM28" s="28" t="n">
        <v>0.530516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</row>
    <row r="29" ht="36" customHeight="1">
      <c r="A29" s="24" t="inlineStr">
        <is>
          <t>3e032d97e18147f7</t>
        </is>
      </c>
      <c r="B29" s="24" t="inlineStr">
        <is>
          <t>2026-07-23T23:21:21.169678Z</t>
        </is>
      </c>
      <c r="C29" s="24" t="inlineStr">
        <is>
          <t>2026-07-24T14:00:00Z</t>
        </is>
      </c>
      <c r="D29" s="24" t="inlineStr">
        <is>
          <t>60128</t>
        </is>
      </c>
      <c r="E29" s="24" t="inlineStr">
        <is>
          <t>CS2</t>
        </is>
      </c>
      <c r="F29" s="24" t="inlineStr">
        <is>
          <t>NEW VISION</t>
        </is>
      </c>
      <c r="G29" s="24" t="inlineStr">
        <is>
          <t>Entropy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-233</v>
      </c>
      <c r="M29" s="27" t="n">
        <v>1.429185</v>
      </c>
      <c r="N29" s="28" t="n">
        <v>0.6997</v>
      </c>
      <c r="O29" s="28" t="n">
        <v>0.7056559999999999</v>
      </c>
      <c r="P29" s="28" t="n"/>
      <c r="Q29" s="28" t="n">
        <v>0.005956</v>
      </c>
      <c r="R29" s="26" t="n">
        <v>4</v>
      </c>
      <c r="S29" s="29" t="n">
        <v>2</v>
      </c>
      <c r="T29" s="24" t="inlineStr">
        <is>
          <t>cs2-tiered-elo-v4</t>
        </is>
      </c>
      <c r="U29" s="24" t="inlineStr">
        <is>
          <t>settled</t>
        </is>
      </c>
      <c r="V29" s="24" t="inlineStr">
        <is>
          <t>win</t>
        </is>
      </c>
      <c r="W29" s="26" t="n">
        <v>0</v>
      </c>
      <c r="X29" s="26" t="n">
        <v>1</v>
      </c>
      <c r="Y29" s="25" t="n"/>
      <c r="Z29" s="26" t="n"/>
      <c r="AA29" s="28" t="n"/>
      <c r="AB29" s="28" t="n"/>
      <c r="AC29" s="30" t="n">
        <v>0.8584000000000001</v>
      </c>
      <c r="AD29" s="24" t="inlineStr">
        <is>
          <t>2026-07-24T16:24:58.276484Z</t>
        </is>
      </c>
      <c r="AE29" s="31" t="inlineStr">
        <is>
          <t>Neutral Elo baseline; executable ask 0.7000 (market_slug=aec-cs2-ent-nve-2026-07-24).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NO_CALL_LOW_EDGE</t>
        </is>
      </c>
      <c r="AP29" s="24" t="inlineStr">
        <is>
          <t>NEW VISION</t>
        </is>
      </c>
      <c r="AQ29" s="24" t="inlineStr">
        <is>
          <t>NEW VISION</t>
        </is>
      </c>
      <c r="AR29" s="24" t="inlineStr">
        <is>
          <t>NEW VISION</t>
        </is>
      </c>
      <c r="AS29" s="24" t="inlineStr">
        <is>
          <t>Entropy</t>
        </is>
      </c>
      <c r="AT29" s="24" t="inlineStr">
        <is>
          <t>Entropy</t>
        </is>
      </c>
      <c r="AU29" s="24" t="inlineStr">
        <is>
          <t>Entropy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e9c327ce15d79aaa8ed5032a6fb86929aaa479e14a8bc9a35686411400dd6b91</t>
        </is>
      </c>
      <c r="BB29" s="24" t="inlineStr">
        <is>
          <t>neutral_elo</t>
        </is>
      </c>
      <c r="BC29" s="24" t="inlineStr">
        <is>
          <t>cs2-tiered-elo-v3</t>
        </is>
      </c>
      <c r="BD29" s="24" t="inlineStr">
        <is>
          <t>48424b79d75fc1173c9c465d95feb6fc041a2ccfbc64455058b3f74905ce28d5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cs2-tiered-elo-v3</t>
        </is>
      </c>
      <c r="BH29" s="24" t="inlineStr">
        <is>
          <t>2026-07-23T23:21:07.883757Z</t>
        </is>
      </c>
      <c r="BI29" s="24" t="inlineStr">
        <is>
          <t>["same_event","same_team_same_day","same_league_same_day"]</t>
        </is>
      </c>
      <c r="BJ29" s="25" t="n"/>
      <c r="BK29" s="26" t="n">
        <v>-233</v>
      </c>
      <c r="BL29" s="27" t="n">
        <v>1.429185</v>
      </c>
      <c r="BM29" s="28" t="n">
        <v>0.6997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</row>
    <row r="30" ht="36" customHeight="1">
      <c r="A30" s="24" t="inlineStr">
        <is>
          <t>b0f18f4df91e4e67</t>
        </is>
      </c>
      <c r="B30" s="24" t="inlineStr">
        <is>
          <t>2026-07-23T23:21:21.169678Z</t>
        </is>
      </c>
      <c r="C30" s="24" t="inlineStr">
        <is>
          <t>2026-07-24T14:00:00Z</t>
        </is>
      </c>
      <c r="D30" s="24" t="inlineStr">
        <is>
          <t>59674</t>
        </is>
      </c>
      <c r="E30" s="24" t="inlineStr">
        <is>
          <t>CS2</t>
        </is>
      </c>
      <c r="F30" s="24" t="inlineStr">
        <is>
          <t>Black Phoenix</t>
        </is>
      </c>
      <c r="G30" s="24" t="inlineStr">
        <is>
          <t>Esport Academy Copenhagen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117</v>
      </c>
      <c r="M30" s="27" t="n">
        <v>2.17</v>
      </c>
      <c r="N30" s="28" t="n">
        <v>0.460829</v>
      </c>
      <c r="O30" s="28" t="n">
        <v>0.5</v>
      </c>
      <c r="P30" s="28" t="n"/>
      <c r="Q30" s="28" t="n">
        <v>0.200688</v>
      </c>
      <c r="R30" s="26" t="n">
        <v>100</v>
      </c>
      <c r="S30" s="29" t="n">
        <v>0.5</v>
      </c>
      <c r="T30" s="24" t="inlineStr">
        <is>
          <t>cs2-tiered-elo-v4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1</v>
      </c>
      <c r="Y30" s="25" t="n"/>
      <c r="Z30" s="26" t="n"/>
      <c r="AA30" s="28" t="n"/>
      <c r="AB30" s="28" t="n"/>
      <c r="AC30" s="30" t="n">
        <v>0.585</v>
      </c>
      <c r="AD30" s="24" t="inlineStr">
        <is>
          <t>2026-07-24T16:25:00.160387Z</t>
        </is>
      </c>
      <c r="AE30" s="31" t="inlineStr">
        <is>
          <t>Neutral Elo baseline; executable ask 0.4600 (market_slug=aec-cs2-eac-bpl-2026-07-24).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NO_CALL_LARGE_DISAGREEMENT_REVIEW</t>
        </is>
      </c>
      <c r="AP30" s="24" t="inlineStr">
        <is>
          <t>Black Phoenix</t>
        </is>
      </c>
      <c r="AQ30" s="24" t="inlineStr">
        <is>
          <t>Black Phoenix</t>
        </is>
      </c>
      <c r="AR30" s="24" t="inlineStr">
        <is>
          <t>Black Phoenix</t>
        </is>
      </c>
      <c r="AS30" s="24" t="inlineStr">
        <is>
          <t>Esport Academy Copenhagen</t>
        </is>
      </c>
      <c r="AT30" s="24" t="inlineStr">
        <is>
          <t>Esport Academy Copenhagen</t>
        </is>
      </c>
      <c r="AU30" s="24" t="inlineStr">
        <is>
          <t>Esport Academy Copenhagen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e9c327ce15d79aaa8ed5032a6fb86929aaa479e14a8bc9a35686411400dd6b91</t>
        </is>
      </c>
      <c r="BB30" s="24" t="inlineStr">
        <is>
          <t>neutral_elo</t>
        </is>
      </c>
      <c r="BC30" s="24" t="inlineStr">
        <is>
          <t>cs2-tiered-elo-v3</t>
        </is>
      </c>
      <c r="BD30" s="24" t="inlineStr">
        <is>
          <t>48424b79d75fc1173c9c465d95feb6fc041a2ccfbc64455058b3f74905ce28d5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cs2-tiered-elo-v3</t>
        </is>
      </c>
      <c r="BH30" s="24" t="inlineStr">
        <is>
          <t>2026-07-23T23:21:08.706912Z</t>
        </is>
      </c>
      <c r="BI30" s="24" t="inlineStr">
        <is>
          <t>["same_event","same_team_same_day","same_league_same_day"]</t>
        </is>
      </c>
      <c r="BJ30" s="25" t="n"/>
      <c r="BK30" s="26" t="n">
        <v>117</v>
      </c>
      <c r="BL30" s="27" t="n">
        <v>2.17</v>
      </c>
      <c r="BM30" s="28" t="n">
        <v>0.460829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</row>
    <row r="31" ht="36" customHeight="1">
      <c r="A31" s="24" t="inlineStr">
        <is>
          <t>45c18e4ae35c4950</t>
        </is>
      </c>
      <c r="B31" s="24" t="inlineStr">
        <is>
          <t>2026-07-23T23:21:21.169678Z</t>
        </is>
      </c>
      <c r="C31" s="24" t="inlineStr">
        <is>
          <t>2026-07-24T16:00:00Z</t>
        </is>
      </c>
      <c r="D31" s="24" t="inlineStr">
        <is>
          <t>60415</t>
        </is>
      </c>
      <c r="E31" s="24" t="inlineStr">
        <is>
          <t>CS2</t>
        </is>
      </c>
      <c r="F31" s="24" t="inlineStr">
        <is>
          <t>Heroic</t>
        </is>
      </c>
      <c r="G31" s="24" t="inlineStr">
        <is>
          <t>Astralis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-108</v>
      </c>
      <c r="M31" s="27" t="n">
        <v>1.925926</v>
      </c>
      <c r="N31" s="28" t="n">
        <v>0.519231</v>
      </c>
      <c r="O31" s="28" t="n">
        <v>0.5143259999999999</v>
      </c>
      <c r="P31" s="28" t="n"/>
      <c r="Q31" s="28" t="n">
        <v>-0.004905</v>
      </c>
      <c r="R31" s="26" t="n">
        <v>24</v>
      </c>
      <c r="S31" s="29" t="n">
        <v>0.75</v>
      </c>
      <c r="T31" s="24" t="inlineStr">
        <is>
          <t>cs2-tiered-elo-v4</t>
        </is>
      </c>
      <c r="U31" s="24" t="inlineStr">
        <is>
          <t>settled</t>
        </is>
      </c>
      <c r="V31" s="24" t="inlineStr">
        <is>
          <t>loss</t>
        </is>
      </c>
      <c r="W31" s="26" t="n">
        <v>1</v>
      </c>
      <c r="X31" s="26" t="n">
        <v>0</v>
      </c>
      <c r="Y31" s="25" t="n"/>
      <c r="Z31" s="26" t="n"/>
      <c r="AA31" s="28" t="n"/>
      <c r="AB31" s="28" t="n"/>
      <c r="AC31" s="30" t="n">
        <v>-0.75</v>
      </c>
      <c r="AD31" s="24" t="inlineStr">
        <is>
          <t>2026-07-24T21:16:36.211236Z</t>
        </is>
      </c>
      <c r="AE31" s="31" t="inlineStr">
        <is>
          <t>Neutral Elo baseline; executable ask 0.5200 (market_slug=aec-cs2-ast-hero-2026-07-24).</t>
        </is>
      </c>
      <c r="AF31" s="31" t="inlineStr">
        <is>
          <t>Config-promoted esports baseline; gates enforced at log time.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NO_CALL_LOW_EDGE</t>
        </is>
      </c>
      <c r="AP31" s="24" t="inlineStr">
        <is>
          <t>Heroic</t>
        </is>
      </c>
      <c r="AQ31" s="24" t="inlineStr">
        <is>
          <t>Heroic</t>
        </is>
      </c>
      <c r="AR31" s="24" t="inlineStr">
        <is>
          <t>Heroic</t>
        </is>
      </c>
      <c r="AS31" s="24" t="inlineStr">
        <is>
          <t>Astralis</t>
        </is>
      </c>
      <c r="AT31" s="24" t="inlineStr">
        <is>
          <t>Astralis</t>
        </is>
      </c>
      <c r="AU31" s="24" t="inlineStr">
        <is>
          <t>Astralis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e9c327ce15d79aaa8ed5032a6fb86929aaa479e14a8bc9a35686411400dd6b91</t>
        </is>
      </c>
      <c r="BB31" s="24" t="inlineStr">
        <is>
          <t>neutral_elo</t>
        </is>
      </c>
      <c r="BC31" s="24" t="inlineStr">
        <is>
          <t>cs2-tiered-elo-v3</t>
        </is>
      </c>
      <c r="BD31" s="24" t="inlineStr">
        <is>
          <t>48424b79d75fc1173c9c465d95feb6fc041a2ccfbc64455058b3f74905ce28d5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cs2-tiered-elo-v3</t>
        </is>
      </c>
      <c r="BH31" s="24" t="inlineStr">
        <is>
          <t>2026-07-23T23:21:12.928537Z</t>
        </is>
      </c>
      <c r="BI31" s="24" t="inlineStr">
        <is>
          <t>["same_event","same_team_same_day","same_league_same_day"]</t>
        </is>
      </c>
      <c r="BJ31" s="25" t="n"/>
      <c r="BK31" s="26" t="n">
        <v>-108</v>
      </c>
      <c r="BL31" s="27" t="n">
        <v>1.925926</v>
      </c>
      <c r="BM31" s="28" t="n">
        <v>0.519231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</row>
    <row r="32" ht="36" customHeight="1">
      <c r="A32" s="24" t="inlineStr">
        <is>
          <t>087e2fcbcae64a96</t>
        </is>
      </c>
      <c r="B32" s="24" t="inlineStr">
        <is>
          <t>2026-07-23T23:21:21.169678Z</t>
        </is>
      </c>
      <c r="C32" s="24" t="inlineStr">
        <is>
          <t>2026-07-24T16:00:00Z</t>
        </is>
      </c>
      <c r="D32" s="24" t="inlineStr">
        <is>
          <t>60413</t>
        </is>
      </c>
      <c r="E32" s="24" t="inlineStr">
        <is>
          <t>CS2</t>
        </is>
      </c>
      <c r="F32" s="24" t="inlineStr">
        <is>
          <t>ODDIK</t>
        </is>
      </c>
      <c r="G32" s="24" t="inlineStr">
        <is>
          <t>Bounty Hunters Esports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163</v>
      </c>
      <c r="M32" s="27" t="n">
        <v>2.63</v>
      </c>
      <c r="N32" s="28" t="n">
        <v>0.380228</v>
      </c>
      <c r="O32" s="28" t="n">
        <v>0.468798</v>
      </c>
      <c r="P32" s="28" t="n"/>
      <c r="Q32" s="28" t="n">
        <v>0.08857</v>
      </c>
      <c r="R32" s="26" t="n">
        <v>100</v>
      </c>
      <c r="S32" s="29" t="n">
        <v>0.75</v>
      </c>
      <c r="T32" s="24" t="inlineStr">
        <is>
          <t>cs2-tiered-elo-v4</t>
        </is>
      </c>
      <c r="U32" s="24" t="inlineStr">
        <is>
          <t>settled</t>
        </is>
      </c>
      <c r="V32" s="24" t="inlineStr">
        <is>
          <t>win</t>
        </is>
      </c>
      <c r="W32" s="26" t="n">
        <v>1</v>
      </c>
      <c r="X32" s="26" t="n">
        <v>0</v>
      </c>
      <c r="Y32" s="25" t="n"/>
      <c r="Z32" s="26" t="n"/>
      <c r="AA32" s="28" t="n"/>
      <c r="AB32" s="28" t="n"/>
      <c r="AC32" s="30" t="n">
        <v>1.2225</v>
      </c>
      <c r="AD32" s="24" t="inlineStr">
        <is>
          <t>2026-07-24T21:16:37.793939Z</t>
        </is>
      </c>
      <c r="AE32" s="31" t="inlineStr">
        <is>
          <t>Neutral Elo baseline; executable ask 0.3800 (market_slug=aec-cs2-bhe-odk-2026-07-24).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NO_CALL_LARGE_DISAGREEMENT_REVIEW</t>
        </is>
      </c>
      <c r="AP32" s="24" t="inlineStr">
        <is>
          <t>ODDIK</t>
        </is>
      </c>
      <c r="AQ32" s="24" t="inlineStr">
        <is>
          <t>ODDIK</t>
        </is>
      </c>
      <c r="AR32" s="24" t="inlineStr">
        <is>
          <t>ODDIK</t>
        </is>
      </c>
      <c r="AS32" s="24" t="inlineStr">
        <is>
          <t>Bounty Hunters Esports</t>
        </is>
      </c>
      <c r="AT32" s="24" t="inlineStr">
        <is>
          <t>Bounty Hunters Esports</t>
        </is>
      </c>
      <c r="AU32" s="24" t="inlineStr">
        <is>
          <t>Bounty Hunters Esports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e9c327ce15d79aaa8ed5032a6fb86929aaa479e14a8bc9a35686411400dd6b91</t>
        </is>
      </c>
      <c r="BB32" s="24" t="inlineStr">
        <is>
          <t>neutral_elo</t>
        </is>
      </c>
      <c r="BC32" s="24" t="inlineStr">
        <is>
          <t>cs2-tiered-elo-v3</t>
        </is>
      </c>
      <c r="BD32" s="24" t="inlineStr">
        <is>
          <t>48424b79d75fc1173c9c465d95feb6fc041a2ccfbc64455058b3f74905ce28d5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cs2-tiered-elo-v3</t>
        </is>
      </c>
      <c r="BH32" s="24" t="inlineStr">
        <is>
          <t>2026-07-23T23:21:13.737142Z</t>
        </is>
      </c>
      <c r="BI32" s="24" t="inlineStr">
        <is>
          <t>["same_event","same_team_same_day","same_league_same_day"]</t>
        </is>
      </c>
      <c r="BJ32" s="25" t="n"/>
      <c r="BK32" s="26" t="n">
        <v>163</v>
      </c>
      <c r="BL32" s="27" t="n">
        <v>2.63</v>
      </c>
      <c r="BM32" s="28" t="n">
        <v>0.380228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</row>
    <row r="33" ht="36" customHeight="1">
      <c r="A33" s="24" t="inlineStr">
        <is>
          <t>9bee23623285455c</t>
        </is>
      </c>
      <c r="B33" s="24" t="inlineStr">
        <is>
          <t>2026-07-23T23:21:21.169678Z</t>
        </is>
      </c>
      <c r="C33" s="24" t="inlineStr">
        <is>
          <t>2026-07-24T17:00:00Z</t>
        </is>
      </c>
      <c r="D33" s="24" t="inlineStr">
        <is>
          <t>60436</t>
        </is>
      </c>
      <c r="E33" s="24" t="inlineStr">
        <is>
          <t>CS2</t>
        </is>
      </c>
      <c r="F33" s="24" t="inlineStr">
        <is>
          <t>Misa Esports</t>
        </is>
      </c>
      <c r="G33" s="24" t="inlineStr">
        <is>
          <t>Privateer Gaming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-122</v>
      </c>
      <c r="M33" s="27" t="n">
        <v>1.819672</v>
      </c>
      <c r="N33" s="28" t="n">
        <v>0.54955</v>
      </c>
      <c r="O33" s="28" t="n">
        <v>0.5</v>
      </c>
      <c r="P33" s="28" t="n"/>
      <c r="Q33" s="28" t="n">
        <v>0.062802</v>
      </c>
      <c r="R33" s="26" t="n">
        <v>31</v>
      </c>
      <c r="S33" s="29" t="n">
        <v>0.5</v>
      </c>
      <c r="T33" s="24" t="inlineStr">
        <is>
          <t>cs2-tiered-elo-v4</t>
        </is>
      </c>
      <c r="U33" s="24" t="inlineStr">
        <is>
          <t>settled</t>
        </is>
      </c>
      <c r="V33" s="24" t="inlineStr">
        <is>
          <t>win</t>
        </is>
      </c>
      <c r="W33" s="26" t="n">
        <v>1</v>
      </c>
      <c r="X33" s="26" t="n">
        <v>0</v>
      </c>
      <c r="Y33" s="25" t="n"/>
      <c r="Z33" s="26" t="n"/>
      <c r="AA33" s="28" t="n"/>
      <c r="AB33" s="28" t="n"/>
      <c r="AC33" s="30" t="n">
        <v>0.4098</v>
      </c>
      <c r="AD33" s="24" t="inlineStr">
        <is>
          <t>2026-07-24T21:16:39.625401Z</t>
        </is>
      </c>
      <c r="AE33" s="31" t="inlineStr">
        <is>
          <t>Neutral Elo baseline; executable ask 0.5500 (market_slug=aec-cs2-pg-misa-2026-07-24).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NO_CALL_LOW_EDGE</t>
        </is>
      </c>
      <c r="AP33" s="24" t="inlineStr">
        <is>
          <t>Misa Esports</t>
        </is>
      </c>
      <c r="AQ33" s="24" t="inlineStr">
        <is>
          <t>Misa Esports</t>
        </is>
      </c>
      <c r="AR33" s="24" t="inlineStr">
        <is>
          <t>Misa Esports</t>
        </is>
      </c>
      <c r="AS33" s="24" t="inlineStr">
        <is>
          <t>Privateer Gaming</t>
        </is>
      </c>
      <c r="AT33" s="24" t="inlineStr">
        <is>
          <t>Privateer Gaming</t>
        </is>
      </c>
      <c r="AU33" s="24" t="inlineStr">
        <is>
          <t>Privateer Gaming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e9c327ce15d79aaa8ed5032a6fb86929aaa479e14a8bc9a35686411400dd6b91</t>
        </is>
      </c>
      <c r="BB33" s="24" t="inlineStr">
        <is>
          <t>neutral_elo</t>
        </is>
      </c>
      <c r="BC33" s="24" t="inlineStr">
        <is>
          <t>cs2-tiered-elo-v3</t>
        </is>
      </c>
      <c r="BD33" s="24" t="inlineStr">
        <is>
          <t>48424b79d75fc1173c9c465d95feb6fc041a2ccfbc64455058b3f74905ce28d5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cs2-tiered-elo-v3</t>
        </is>
      </c>
      <c r="BH33" s="24" t="inlineStr">
        <is>
          <t>2026-07-23T23:21:17.052932Z</t>
        </is>
      </c>
      <c r="BI33" s="24" t="inlineStr">
        <is>
          <t>["same_event","same_team_same_day","same_league_same_day"]</t>
        </is>
      </c>
      <c r="BJ33" s="25" t="n"/>
      <c r="BK33" s="26" t="n">
        <v>-122</v>
      </c>
      <c r="BL33" s="27" t="n">
        <v>1.819672</v>
      </c>
      <c r="BM33" s="28" t="n">
        <v>0.54955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</row>
    <row r="34" ht="36" customHeight="1">
      <c r="A34" s="24" t="inlineStr">
        <is>
          <t>5dafc4f3fa5149d0</t>
        </is>
      </c>
      <c r="B34" s="24" t="inlineStr">
        <is>
          <t>2026-07-23T23:21:34.040405Z</t>
        </is>
      </c>
      <c r="C34" s="24" t="inlineStr">
        <is>
          <t>2026-07-24T07:00:00Z</t>
        </is>
      </c>
      <c r="D34" s="24" t="inlineStr">
        <is>
          <t>58176</t>
        </is>
      </c>
      <c r="E34" s="24" t="inlineStr">
        <is>
          <t>DOTA2</t>
        </is>
      </c>
      <c r="F34" s="24" t="inlineStr">
        <is>
          <t>Dandelions</t>
        </is>
      </c>
      <c r="G34" s="24" t="inlineStr">
        <is>
          <t>Team AION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156</v>
      </c>
      <c r="M34" s="27" t="n">
        <v>2.56</v>
      </c>
      <c r="N34" s="28" t="n">
        <v>0.390625</v>
      </c>
      <c r="O34" s="28" t="n">
        <v>0.5</v>
      </c>
      <c r="P34" s="28" t="n"/>
      <c r="Q34" s="28" t="n">
        <v>0.109375</v>
      </c>
      <c r="R34" s="26" t="n">
        <v>100</v>
      </c>
      <c r="S34" s="29" t="n">
        <v>0.5</v>
      </c>
      <c r="T34" s="24" t="inlineStr">
        <is>
          <t>dota2-tiered-elo-v4</t>
        </is>
      </c>
      <c r="U34" s="24" t="inlineStr">
        <is>
          <t>settled</t>
        </is>
      </c>
      <c r="V34" s="24" t="inlineStr">
        <is>
          <t>win</t>
        </is>
      </c>
      <c r="W34" s="26" t="n">
        <v>0</v>
      </c>
      <c r="X34" s="26" t="n">
        <v>1</v>
      </c>
      <c r="Y34" s="25" t="n"/>
      <c r="Z34" s="26" t="n"/>
      <c r="AA34" s="28" t="n"/>
      <c r="AB34" s="28" t="n"/>
      <c r="AC34" s="30" t="n">
        <v>0.78</v>
      </c>
      <c r="AD34" s="24" t="inlineStr">
        <is>
          <t>2026-07-24T14:50:56.489353Z</t>
        </is>
      </c>
      <c r="AE34" s="31" t="inlineStr">
        <is>
          <t>Neutral Elo baseline; executable ask 0.3900 (market_slug=aec-dota2-tae-dan-2026-07-24).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NO_CALL_LARGE_DISAGREEMENT_REVIEW</t>
        </is>
      </c>
      <c r="AP34" s="24" t="inlineStr">
        <is>
          <t>Dandelions</t>
        </is>
      </c>
      <c r="AQ34" s="24" t="inlineStr">
        <is>
          <t>Dandelions</t>
        </is>
      </c>
      <c r="AR34" s="24" t="inlineStr">
        <is>
          <t>Dandelions</t>
        </is>
      </c>
      <c r="AS34" s="24" t="inlineStr">
        <is>
          <t>Team AION</t>
        </is>
      </c>
      <c r="AT34" s="24" t="inlineStr">
        <is>
          <t>Team AION</t>
        </is>
      </c>
      <c r="AU34" s="24" t="inlineStr">
        <is>
          <t>Team AION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d08d23d003cdc05b1cc5be7d2e52d9f477153e66ad3c7ec5e0f446618fcfe82f</t>
        </is>
      </c>
      <c r="BB34" s="24" t="inlineStr">
        <is>
          <t>neutral_elo</t>
        </is>
      </c>
      <c r="BC34" s="24" t="inlineStr">
        <is>
          <t>dota2-tiered-elo-v3</t>
        </is>
      </c>
      <c r="BD34" s="24" t="inlineStr">
        <is>
          <t>a799fd6b531f6a50433d392237bace95036714f80bb3516384271ef275ed7763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dota2-tiered-elo-v3</t>
        </is>
      </c>
      <c r="BH34" s="24" t="inlineStr">
        <is>
          <t>2026-07-23T23:21:30.698277Z</t>
        </is>
      </c>
      <c r="BI34" s="24" t="inlineStr">
        <is>
          <t>["same_event","same_team_same_day","same_league_same_day"]</t>
        </is>
      </c>
      <c r="BJ34" s="25" t="n"/>
      <c r="BK34" s="26" t="n">
        <v>156</v>
      </c>
      <c r="BL34" s="27" t="n">
        <v>2.56</v>
      </c>
      <c r="BM34" s="28" t="n">
        <v>0.390625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</row>
    <row r="35" ht="36" customHeight="1">
      <c r="A35" s="24" t="inlineStr">
        <is>
          <t>156758151bad4e5d</t>
        </is>
      </c>
      <c r="B35" s="24" t="inlineStr">
        <is>
          <t>2026-07-23T23:21:34.040405Z</t>
        </is>
      </c>
      <c r="C35" s="24" t="inlineStr">
        <is>
          <t>2026-07-24T16:00:00Z</t>
        </is>
      </c>
      <c r="D35" s="24" t="inlineStr">
        <is>
          <t>58461</t>
        </is>
      </c>
      <c r="E35" s="24" t="inlineStr">
        <is>
          <t>DOTA2</t>
        </is>
      </c>
      <c r="F35" s="24" t="inlineStr">
        <is>
          <t>Ilbirs eSports</t>
        </is>
      </c>
      <c r="G35" s="24" t="inlineStr">
        <is>
          <t>Zero Tenacity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-233</v>
      </c>
      <c r="M35" s="27" t="n">
        <v>1.429185</v>
      </c>
      <c r="N35" s="28" t="n">
        <v>0.6997</v>
      </c>
      <c r="O35" s="28" t="n">
        <v>0.5</v>
      </c>
      <c r="P35" s="28" t="n"/>
      <c r="Q35" s="28" t="n">
        <v>-0.154651</v>
      </c>
      <c r="R35" s="26" t="n">
        <v>0</v>
      </c>
      <c r="S35" s="29" t="n">
        <v>0.5</v>
      </c>
      <c r="T35" s="24" t="inlineStr">
        <is>
          <t>dota2-tiered-elo-v4</t>
        </is>
      </c>
      <c r="U35" s="24" t="inlineStr">
        <is>
          <t>settled</t>
        </is>
      </c>
      <c r="V35" s="24" t="inlineStr">
        <is>
          <t>loss</t>
        </is>
      </c>
      <c r="W35" s="26" t="n">
        <v>1</v>
      </c>
      <c r="X35" s="26" t="n">
        <v>0</v>
      </c>
      <c r="Y35" s="25" t="n"/>
      <c r="Z35" s="26" t="n"/>
      <c r="AA35" s="28" t="n"/>
      <c r="AB35" s="28" t="n"/>
      <c r="AC35" s="30" t="n">
        <v>-0.5</v>
      </c>
      <c r="AD35" s="24" t="inlineStr">
        <is>
          <t>2026-07-24T21:16:41.362702Z</t>
        </is>
      </c>
      <c r="AE35" s="31" t="inlineStr">
        <is>
          <t>Neutral Elo baseline; executable ask 0.7000 (market_slug=aec-dota2-z10-ill-2026-07-24).</t>
        </is>
      </c>
      <c r="AF35" s="31" t="inlineStr">
        <is>
          <t>Config-promoted esports baseline; gates enforced at log time.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NO_CALL_LARGE_DISAGREEMENT_REVIEW</t>
        </is>
      </c>
      <c r="AP35" s="24" t="inlineStr">
        <is>
          <t>Ilbirs eSports</t>
        </is>
      </c>
      <c r="AQ35" s="24" t="inlineStr">
        <is>
          <t>Ilbirs eSports</t>
        </is>
      </c>
      <c r="AR35" s="24" t="inlineStr">
        <is>
          <t>Ilbirs eSports</t>
        </is>
      </c>
      <c r="AS35" s="24" t="inlineStr">
        <is>
          <t>Zero Tenacity</t>
        </is>
      </c>
      <c r="AT35" s="24" t="inlineStr">
        <is>
          <t>Zero Tenacity</t>
        </is>
      </c>
      <c r="AU35" s="24" t="inlineStr">
        <is>
          <t>Zero Tenacity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d08d23d003cdc05b1cc5be7d2e52d9f477153e66ad3c7ec5e0f446618fcfe82f</t>
        </is>
      </c>
      <c r="BB35" s="24" t="inlineStr">
        <is>
          <t>neutral_elo</t>
        </is>
      </c>
      <c r="BC35" s="24" t="inlineStr">
        <is>
          <t>dota2-tiered-elo-v3</t>
        </is>
      </c>
      <c r="BD35" s="24" t="inlineStr">
        <is>
          <t>a799fd6b531f6a50433d392237bace95036714f80bb3516384271ef275ed7763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dota2-tiered-elo-v3</t>
        </is>
      </c>
      <c r="BH35" s="24" t="inlineStr">
        <is>
          <t>2026-07-23T23:21:33.185125Z</t>
        </is>
      </c>
      <c r="BI35" s="24" t="inlineStr">
        <is>
          <t>["same_event","same_team_same_day","same_league_same_day"]</t>
        </is>
      </c>
      <c r="BJ35" s="25" t="n"/>
      <c r="BK35" s="26" t="n">
        <v>-233</v>
      </c>
      <c r="BL35" s="27" t="n">
        <v>1.429185</v>
      </c>
      <c r="BM35" s="28" t="n">
        <v>0.6997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</row>
    <row r="36" ht="36" customHeight="1">
      <c r="A36" s="24" t="inlineStr">
        <is>
          <t>7e0858b912374088</t>
        </is>
      </c>
      <c r="B36" s="24" t="inlineStr">
        <is>
          <t>2026-07-23T23:21:34.040405Z</t>
        </is>
      </c>
      <c r="C36" s="24" t="inlineStr">
        <is>
          <t>2026-07-24T19:00:00Z</t>
        </is>
      </c>
      <c r="D36" s="24" t="inlineStr">
        <is>
          <t>58793</t>
        </is>
      </c>
      <c r="E36" s="24" t="inlineStr">
        <is>
          <t>DOTA2</t>
        </is>
      </c>
      <c r="F36" s="24" t="inlineStr">
        <is>
          <t>Level UP</t>
        </is>
      </c>
      <c r="G36" s="24" t="inlineStr">
        <is>
          <t>Nemiga Gaming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223</v>
      </c>
      <c r="M36" s="27" t="n">
        <v>3.23</v>
      </c>
      <c r="N36" s="28" t="n">
        <v>0.309598</v>
      </c>
      <c r="O36" s="28" t="n">
        <v>0.5</v>
      </c>
      <c r="P36" s="28" t="n"/>
      <c r="Q36" s="28" t="n">
        <v>0.190402</v>
      </c>
      <c r="R36" s="26" t="n">
        <v>100</v>
      </c>
      <c r="S36" s="29" t="n">
        <v>0.5</v>
      </c>
      <c r="T36" s="24" t="inlineStr">
        <is>
          <t>dota2-tiered-elo-v4</t>
        </is>
      </c>
      <c r="U36" s="24" t="inlineStr">
        <is>
          <t>settled</t>
        </is>
      </c>
      <c r="V36" s="24" t="inlineStr">
        <is>
          <t>loss</t>
        </is>
      </c>
      <c r="W36" s="26" t="n">
        <v>1</v>
      </c>
      <c r="X36" s="26" t="n">
        <v>0</v>
      </c>
      <c r="Y36" s="25" t="n"/>
      <c r="Z36" s="26" t="n"/>
      <c r="AA36" s="28" t="n"/>
      <c r="AB36" s="28" t="n"/>
      <c r="AC36" s="30" t="n">
        <v>-0.5</v>
      </c>
      <c r="AD36" s="24" t="inlineStr">
        <is>
          <t>2026-07-24T23:39:40.996874Z</t>
        </is>
      </c>
      <c r="AE36" s="31" t="inlineStr">
        <is>
          <t>Neutral Elo baseline; executable ask 0.3100 (market_slug=aec-dota2-nemiga-lvlup-2026-07-24).</t>
        </is>
      </c>
      <c r="AF36" s="31" t="inlineStr">
        <is>
          <t>Config-promoted esports baseline; gates enforced at log time.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NO_CALL_LARGE_DISAGREEMENT_REVIEW</t>
        </is>
      </c>
      <c r="AP36" s="24" t="inlineStr">
        <is>
          <t>Level UP</t>
        </is>
      </c>
      <c r="AQ36" s="24" t="inlineStr">
        <is>
          <t>Level UP</t>
        </is>
      </c>
      <c r="AR36" s="24" t="inlineStr">
        <is>
          <t>Level UP</t>
        </is>
      </c>
      <c r="AS36" s="24" t="inlineStr">
        <is>
          <t>Nemiga Gaming</t>
        </is>
      </c>
      <c r="AT36" s="24" t="inlineStr">
        <is>
          <t>Nemiga Gaming</t>
        </is>
      </c>
      <c r="AU36" s="24" t="inlineStr">
        <is>
          <t>Nemiga Gaming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d08d23d003cdc05b1cc5be7d2e52d9f477153e66ad3c7ec5e0f446618fcfe82f</t>
        </is>
      </c>
      <c r="BB36" s="24" t="inlineStr">
        <is>
          <t>neutral_elo</t>
        </is>
      </c>
      <c r="BC36" s="24" t="inlineStr">
        <is>
          <t>dota2-tiered-elo-v3</t>
        </is>
      </c>
      <c r="BD36" s="24" t="inlineStr">
        <is>
          <t>a799fd6b531f6a50433d392237bace95036714f80bb3516384271ef275ed7763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dota2-tiered-elo-v3</t>
        </is>
      </c>
      <c r="BH36" s="24" t="inlineStr">
        <is>
          <t>2026-07-23T23:21:34.038652Z</t>
        </is>
      </c>
      <c r="BI36" s="24" t="inlineStr">
        <is>
          <t>["same_event","same_team_same_day","same_league_same_day"]</t>
        </is>
      </c>
      <c r="BJ36" s="25" t="n"/>
      <c r="BK36" s="26" t="n">
        <v>223</v>
      </c>
      <c r="BL36" s="27" t="n">
        <v>3.23</v>
      </c>
      <c r="BM36" s="28" t="n">
        <v>0.309598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</row>
    <row r="37" ht="36" customHeight="1">
      <c r="A37" s="24" t="inlineStr">
        <is>
          <t>78bfc4914bcf4e96</t>
        </is>
      </c>
      <c r="B37" s="24" t="inlineStr">
        <is>
          <t>2026-07-23T23:21:46.124044Z</t>
        </is>
      </c>
      <c r="C37" s="24" t="inlineStr">
        <is>
          <t>2026-07-24T11:00:00Z</t>
        </is>
      </c>
      <c r="D37" s="24" t="inlineStr">
        <is>
          <t>60143</t>
        </is>
      </c>
      <c r="E37" s="24" t="inlineStr">
        <is>
          <t>VALORANT</t>
        </is>
      </c>
      <c r="F37" s="24" t="inlineStr">
        <is>
          <t>All Gamers</t>
        </is>
      </c>
      <c r="G37" s="24" t="inlineStr">
        <is>
          <t>EDward Gaming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-186</v>
      </c>
      <c r="M37" s="27" t="n">
        <v>1.537634</v>
      </c>
      <c r="N37" s="28" t="n">
        <v>0.65035</v>
      </c>
      <c r="O37" s="28" t="n">
        <v>0.5</v>
      </c>
      <c r="P37" s="28" t="n"/>
      <c r="Q37" s="28" t="n">
        <v>-0.15035</v>
      </c>
      <c r="R37" s="26" t="n">
        <v>0</v>
      </c>
      <c r="S37" s="29" t="n">
        <v>0.5</v>
      </c>
      <c r="T37" s="24" t="inlineStr">
        <is>
          <t>valorant-tiered-elo-v4</t>
        </is>
      </c>
      <c r="U37" s="24" t="inlineStr">
        <is>
          <t>settled</t>
        </is>
      </c>
      <c r="V37" s="24" t="inlineStr">
        <is>
          <t>win</t>
        </is>
      </c>
      <c r="W37" s="26" t="n">
        <v>0</v>
      </c>
      <c r="X37" s="26" t="n">
        <v>1</v>
      </c>
      <c r="Y37" s="25" t="n"/>
      <c r="Z37" s="26" t="n"/>
      <c r="AA37" s="28" t="n"/>
      <c r="AB37" s="28" t="n"/>
      <c r="AC37" s="30" t="n">
        <v>0.2688</v>
      </c>
      <c r="AD37" s="24" t="inlineStr">
        <is>
          <t>2026-07-24T14:50:58.428098Z</t>
        </is>
      </c>
      <c r="AE37" s="31" t="inlineStr">
        <is>
          <t>Neutral Elo baseline; executable ask 0.6500 (market_slug=aec-valorant-edg-ag-2026-07-24).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NO_CALL_LARGE_DISAGREEMENT_REVIEW</t>
        </is>
      </c>
      <c r="AP37" s="24" t="inlineStr">
        <is>
          <t>All Gamers</t>
        </is>
      </c>
      <c r="AQ37" s="24" t="inlineStr">
        <is>
          <t>All Gamers</t>
        </is>
      </c>
      <c r="AR37" s="24" t="inlineStr">
        <is>
          <t>All Gamers</t>
        </is>
      </c>
      <c r="AS37" s="24" t="inlineStr">
        <is>
          <t>EDward Gaming</t>
        </is>
      </c>
      <c r="AT37" s="24" t="inlineStr">
        <is>
          <t>EDward Gaming</t>
        </is>
      </c>
      <c r="AU37" s="24" t="inlineStr">
        <is>
          <t>EDward Gaming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153b0db03af0303675f7eb2520b56d0fd86008f1bb62095f9881ea43a0124bb2</t>
        </is>
      </c>
      <c r="BB37" s="24" t="inlineStr">
        <is>
          <t>neutral_elo</t>
        </is>
      </c>
      <c r="BC37" s="24" t="inlineStr">
        <is>
          <t>valorant-tiered-elo-v3</t>
        </is>
      </c>
      <c r="BD37" s="24" t="inlineStr">
        <is>
          <t>df5a226c64918a54c70b8af3e0cd4abb6c4f42b67acb5547da319458502b0ed4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valorant-tiered-elo-v3</t>
        </is>
      </c>
      <c r="BH37" s="24" t="inlineStr">
        <is>
          <t>2026-07-23T23:21:41.936467Z</t>
        </is>
      </c>
      <c r="BI37" s="24" t="inlineStr">
        <is>
          <t>["same_event","same_team_same_day","same_league_same_day"]</t>
        </is>
      </c>
      <c r="BJ37" s="25" t="n"/>
      <c r="BK37" s="26" t="n">
        <v>-186</v>
      </c>
      <c r="BL37" s="27" t="n">
        <v>1.537634</v>
      </c>
      <c r="BM37" s="28" t="n">
        <v>0.65035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</row>
    <row r="38" ht="36" customHeight="1">
      <c r="A38" s="24" t="inlineStr">
        <is>
          <t>a662a96bd5fc4d38</t>
        </is>
      </c>
      <c r="B38" s="24" t="inlineStr">
        <is>
          <t>2026-07-24T10:52:00.691444Z</t>
        </is>
      </c>
      <c r="C38" s="24" t="inlineStr">
        <is>
          <t>2026-07-25T07:00:00Z</t>
        </is>
      </c>
      <c r="D38" s="24" t="inlineStr">
        <is>
          <t>59230</t>
        </is>
      </c>
      <c r="E38" s="24" t="inlineStr">
        <is>
          <t>LOL</t>
        </is>
      </c>
      <c r="F38" s="24" t="inlineStr">
        <is>
          <t>Team WE</t>
        </is>
      </c>
      <c r="G38" s="24" t="inlineStr">
        <is>
          <t>LGD Gaming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144</v>
      </c>
      <c r="M38" s="27" t="n">
        <v>2.44</v>
      </c>
      <c r="N38" s="28" t="n">
        <v>0.409836</v>
      </c>
      <c r="O38" s="28" t="n">
        <v>0.437668</v>
      </c>
      <c r="P38" s="28" t="n"/>
      <c r="Q38" s="28" t="n">
        <v>0.027832</v>
      </c>
      <c r="R38" s="26" t="n">
        <v>68</v>
      </c>
      <c r="S38" s="29" t="n">
        <v>0</v>
      </c>
      <c r="T38" s="24" t="inlineStr">
        <is>
          <t>lol-tiered-elo-v4</t>
        </is>
      </c>
      <c r="U38" s="24" t="inlineStr">
        <is>
          <t>settled</t>
        </is>
      </c>
      <c r="V38" s="24" t="inlineStr">
        <is>
          <t>push</t>
        </is>
      </c>
      <c r="W38" s="26" t="n">
        <v>1</v>
      </c>
      <c r="X38" s="26" t="n">
        <v>0</v>
      </c>
      <c r="Y38" s="25" t="n"/>
      <c r="Z38" s="26" t="n"/>
      <c r="AA38" s="28" t="n"/>
      <c r="AB38" s="28" t="n"/>
      <c r="AC38" s="30" t="n">
        <v>0</v>
      </c>
      <c r="AD38" s="24" t="inlineStr">
        <is>
          <t>2026-07-25T23:18:34.088984Z</t>
        </is>
      </c>
      <c r="AE38" s="31" t="inlineStr">
        <is>
          <t>Neutral Elo baseline; executable ask 0.4100 (market_slug=aec-lol-lgd-we-2026-07-25).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NO_CALL_MODEL_INELIGIBLE</t>
        </is>
      </c>
      <c r="AP38" s="24" t="inlineStr">
        <is>
          <t>Team WE</t>
        </is>
      </c>
      <c r="AQ38" s="24" t="inlineStr">
        <is>
          <t>Team WE</t>
        </is>
      </c>
      <c r="AR38" s="24" t="inlineStr">
        <is>
          <t>Team WE</t>
        </is>
      </c>
      <c r="AS38" s="24" t="inlineStr">
        <is>
          <t>LGD Gaming</t>
        </is>
      </c>
      <c r="AT38" s="24" t="inlineStr">
        <is>
          <t>LGD Gaming</t>
        </is>
      </c>
      <c r="AU38" s="24" t="inlineStr">
        <is>
          <t>LGD Gaming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35087e828a0053011a97024de693e2ee7eb80eb03024c91d28d254de09d93778</t>
        </is>
      </c>
      <c r="BB38" s="24" t="inlineStr">
        <is>
          <t>neutral_elo</t>
        </is>
      </c>
      <c r="BC38" s="24" t="inlineStr">
        <is>
          <t>lol-tiered-elo-v3</t>
        </is>
      </c>
      <c r="BD38" s="24" t="inlineStr">
        <is>
          <t>dbc38ecdb090b63690db810d40eb29d0a69435c83dfbf24eb00d22aa42c177ae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lol-tiered-elo-v3</t>
        </is>
      </c>
      <c r="BH38" s="24" t="inlineStr">
        <is>
          <t>2026-07-24T10:51:37.604493Z</t>
        </is>
      </c>
      <c r="BI38" s="24" t="inlineStr">
        <is>
          <t>["same_event","same_team_same_day","same_league_same_day"]</t>
        </is>
      </c>
      <c r="BJ38" s="25" t="n"/>
      <c r="BK38" s="26" t="n">
        <v>144</v>
      </c>
      <c r="BL38" s="27" t="n">
        <v>2.44</v>
      </c>
      <c r="BM38" s="28" t="n">
        <v>0.409836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inlineStr">
        <is>
          <t>model_prob_below_0.5_bug: selected side was never actually favored by the model (pre-fix esports logging bug in _log_esports_forecast, fixed 2026-07-25 with model_prob&lt;0.5 guard)</t>
        </is>
      </c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</row>
    <row r="39" ht="36" customHeight="1">
      <c r="A39" s="24" t="inlineStr">
        <is>
          <t>5fee95548f264016</t>
        </is>
      </c>
      <c r="B39" s="24" t="inlineStr">
        <is>
          <t>2026-07-24T10:52:00.691444Z</t>
        </is>
      </c>
      <c r="C39" s="24" t="inlineStr">
        <is>
          <t>2026-07-25T09:00:00Z</t>
        </is>
      </c>
      <c r="D39" s="24" t="inlineStr">
        <is>
          <t>59238</t>
        </is>
      </c>
      <c r="E39" s="24" t="inlineStr">
        <is>
          <t>LOL</t>
        </is>
      </c>
      <c r="F39" s="24" t="inlineStr">
        <is>
          <t>MVK Esports</t>
        </is>
      </c>
      <c r="G39" s="24" t="inlineStr">
        <is>
          <t>Ground Zero Gaming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-150</v>
      </c>
      <c r="M39" s="27" t="n">
        <v>1.666667</v>
      </c>
      <c r="N39" s="28" t="n">
        <v>0.6</v>
      </c>
      <c r="O39" s="28" t="n">
        <v>0.724469</v>
      </c>
      <c r="P39" s="28" t="n"/>
      <c r="Q39" s="28" t="n">
        <v>0.124469</v>
      </c>
      <c r="R39" s="26" t="n">
        <v>21</v>
      </c>
      <c r="S39" s="29" t="n">
        <v>2</v>
      </c>
      <c r="T39" s="24" t="inlineStr">
        <is>
          <t>lol-tiered-elo-v4</t>
        </is>
      </c>
      <c r="U39" s="24" t="inlineStr">
        <is>
          <t>settled</t>
        </is>
      </c>
      <c r="V39" s="24" t="inlineStr">
        <is>
          <t>win</t>
        </is>
      </c>
      <c r="W39" s="26" t="n">
        <v>1</v>
      </c>
      <c r="X39" s="26" t="n">
        <v>0</v>
      </c>
      <c r="Y39" s="25" t="n"/>
      <c r="Z39" s="26" t="n"/>
      <c r="AA39" s="28" t="n"/>
      <c r="AB39" s="28" t="n"/>
      <c r="AC39" s="30" t="n">
        <v>1.3333</v>
      </c>
      <c r="AD39" s="24" t="inlineStr">
        <is>
          <t>2026-07-25T15:25:45.402353Z</t>
        </is>
      </c>
      <c r="AE39" s="31" t="inlineStr">
        <is>
          <t>Neutral Elo baseline; executable ask 0.6000 (market_slug=aec-lol-gz-mvk-2026-07-25).</t>
        </is>
      </c>
      <c r="AF39" s="31" t="inlineStr">
        <is>
          <t>Config-promoted esports baseline; gates enforced at log time.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research_observation</t>
        </is>
      </c>
      <c r="AL39" s="26" t="n">
        <v>3</v>
      </c>
      <c r="AM39" s="24" t="inlineStr">
        <is>
          <t>RESEARCH_OBSERVATION</t>
        </is>
      </c>
      <c r="AN39" s="24" t="inlineStr">
        <is>
          <t>NO_CALL</t>
        </is>
      </c>
      <c r="AO39" s="24" t="inlineStr">
        <is>
          <t>NO_CALL_LOW_EDGE</t>
        </is>
      </c>
      <c r="AP39" s="24" t="inlineStr">
        <is>
          <t>MVK Esports</t>
        </is>
      </c>
      <c r="AQ39" s="24" t="inlineStr">
        <is>
          <t>MVK Esports</t>
        </is>
      </c>
      <c r="AR39" s="24" t="inlineStr">
        <is>
          <t>MVK Esports</t>
        </is>
      </c>
      <c r="AS39" s="24" t="inlineStr">
        <is>
          <t>Ground Zero Gaming</t>
        </is>
      </c>
      <c r="AT39" s="24" t="inlineStr">
        <is>
          <t>Ground Zero Gaming</t>
        </is>
      </c>
      <c r="AU39" s="24" t="inlineStr">
        <is>
          <t>Ground Zero Gaming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35087e828a0053011a97024de693e2ee7eb80eb03024c91d28d254de09d93778</t>
        </is>
      </c>
      <c r="BB39" s="24" t="inlineStr">
        <is>
          <t>neutral_elo</t>
        </is>
      </c>
      <c r="BC39" s="24" t="inlineStr">
        <is>
          <t>lol-tiered-elo-v3</t>
        </is>
      </c>
      <c r="BD39" s="24" t="inlineStr">
        <is>
          <t>dbc38ecdb090b63690db810d40eb29d0a69435c83dfbf24eb00d22aa42c177ae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lol-tiered-elo-v3</t>
        </is>
      </c>
      <c r="BH39" s="24" t="inlineStr">
        <is>
          <t>2026-07-24T10:51:39.852430Z</t>
        </is>
      </c>
      <c r="BI39" s="24" t="inlineStr">
        <is>
          <t>["same_event","same_team_same_day","same_league_same_day"]</t>
        </is>
      </c>
      <c r="BJ39" s="25" t="n"/>
      <c r="BK39" s="26" t="n">
        <v>-150</v>
      </c>
      <c r="BL39" s="27" t="n">
        <v>1.666667</v>
      </c>
      <c r="BM39" s="28" t="n">
        <v>0.6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</row>
    <row r="40" ht="36" customHeight="1">
      <c r="A40" s="24" t="inlineStr">
        <is>
          <t>5bf5f2c775254446</t>
        </is>
      </c>
      <c r="B40" s="24" t="inlineStr">
        <is>
          <t>2026-07-24T10:52:00.691444Z</t>
        </is>
      </c>
      <c r="C40" s="24" t="inlineStr">
        <is>
          <t>2026-07-25T09:00:00Z</t>
        </is>
      </c>
      <c r="D40" s="24" t="inlineStr">
        <is>
          <t>59239</t>
        </is>
      </c>
      <c r="E40" s="24" t="inlineStr">
        <is>
          <t>LOL</t>
        </is>
      </c>
      <c r="F40" s="24" t="inlineStr">
        <is>
          <t>Weibo Gaming</t>
        </is>
      </c>
      <c r="G40" s="24" t="inlineStr">
        <is>
          <t>Invictus Gaming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113</v>
      </c>
      <c r="M40" s="27" t="n">
        <v>2.13</v>
      </c>
      <c r="N40" s="28" t="n">
        <v>0.469484</v>
      </c>
      <c r="O40" s="28" t="n">
        <v>0.638612</v>
      </c>
      <c r="P40" s="28" t="n"/>
      <c r="Q40" s="28" t="n">
        <v>0.169128</v>
      </c>
      <c r="R40" s="26" t="n">
        <v>64</v>
      </c>
      <c r="S40" s="29" t="n">
        <v>1</v>
      </c>
      <c r="T40" s="24" t="inlineStr">
        <is>
          <t>lol-tiered-elo-v4</t>
        </is>
      </c>
      <c r="U40" s="24" t="inlineStr">
        <is>
          <t>settled</t>
        </is>
      </c>
      <c r="V40" s="24" t="inlineStr">
        <is>
          <t>loss</t>
        </is>
      </c>
      <c r="W40" s="26" t="n">
        <v>0</v>
      </c>
      <c r="X40" s="26" t="n">
        <v>1</v>
      </c>
      <c r="Y40" s="25" t="n"/>
      <c r="Z40" s="26" t="n"/>
      <c r="AA40" s="28" t="n"/>
      <c r="AB40" s="28" t="n"/>
      <c r="AC40" s="30" t="n">
        <v>-1</v>
      </c>
      <c r="AD40" s="24" t="inlineStr">
        <is>
          <t>2026-07-25T15:25:48.117699Z</t>
        </is>
      </c>
      <c r="AE40" s="31" t="inlineStr">
        <is>
          <t>Neutral Elo baseline; executable ask 0.4700 (market_slug=aec-lol-ig-wb-2026-07-25).</t>
        </is>
      </c>
      <c r="AF40" s="31" t="inlineStr">
        <is>
          <t>Config-promoted esports baseline; gates enforced at log time.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Weibo Gaming</t>
        </is>
      </c>
      <c r="AQ40" s="24" t="inlineStr">
        <is>
          <t>Weibo Gaming</t>
        </is>
      </c>
      <c r="AR40" s="24" t="inlineStr">
        <is>
          <t>Weibo Gaming</t>
        </is>
      </c>
      <c r="AS40" s="24" t="inlineStr">
        <is>
          <t>Invictus Gaming</t>
        </is>
      </c>
      <c r="AT40" s="24" t="inlineStr">
        <is>
          <t>Invictus Gaming</t>
        </is>
      </c>
      <c r="AU40" s="24" t="inlineStr">
        <is>
          <t>Invictus Gaming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35087e828a0053011a97024de693e2ee7eb80eb03024c91d28d254de09d93778</t>
        </is>
      </c>
      <c r="BB40" s="24" t="inlineStr">
        <is>
          <t>neutral_elo</t>
        </is>
      </c>
      <c r="BC40" s="24" t="inlineStr">
        <is>
          <t>lol-tiered-elo-v3</t>
        </is>
      </c>
      <c r="BD40" s="24" t="inlineStr">
        <is>
          <t>dbc38ecdb090b63690db810d40eb29d0a69435c83dfbf24eb00d22aa42c177ae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lol-tiered-elo-v3</t>
        </is>
      </c>
      <c r="BH40" s="24" t="inlineStr">
        <is>
          <t>2026-07-24T10:51:41.784002Z</t>
        </is>
      </c>
      <c r="BI40" s="24" t="inlineStr">
        <is>
          <t>["same_event","same_team_same_day","same_league_same_day"]</t>
        </is>
      </c>
      <c r="BJ40" s="25" t="n"/>
      <c r="BK40" s="26" t="n">
        <v>113</v>
      </c>
      <c r="BL40" s="27" t="n">
        <v>2.13</v>
      </c>
      <c r="BM40" s="28" t="n">
        <v>0.469484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</row>
    <row r="41" ht="36" customHeight="1">
      <c r="A41" s="24" t="inlineStr">
        <is>
          <t>ccd360f2013e40ba</t>
        </is>
      </c>
      <c r="B41" s="24" t="inlineStr">
        <is>
          <t>2026-07-24T10:52:55.851714Z</t>
        </is>
      </c>
      <c r="C41" s="24" t="inlineStr">
        <is>
          <t>2026-07-24T11:00:00Z</t>
        </is>
      </c>
      <c r="D41" s="24" t="inlineStr">
        <is>
          <t>60433</t>
        </is>
      </c>
      <c r="E41" s="24" t="inlineStr">
        <is>
          <t>CS2</t>
        </is>
      </c>
      <c r="F41" s="24" t="inlineStr">
        <is>
          <t>ROUNDS</t>
        </is>
      </c>
      <c r="G41" s="24" t="inlineStr">
        <is>
          <t>megoshort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127</v>
      </c>
      <c r="M41" s="27" t="n">
        <v>2.27</v>
      </c>
      <c r="N41" s="28" t="n">
        <v>0.440529</v>
      </c>
      <c r="O41" s="28" t="n">
        <v>0.48672</v>
      </c>
      <c r="P41" s="28" t="n"/>
      <c r="Q41" s="28" t="n">
        <v>0.046191</v>
      </c>
      <c r="R41" s="26" t="n">
        <v>57</v>
      </c>
      <c r="S41" s="29" t="n">
        <v>0</v>
      </c>
      <c r="T41" s="24" t="inlineStr">
        <is>
          <t>cs2-tiered-elo-v4</t>
        </is>
      </c>
      <c r="U41" s="24" t="inlineStr">
        <is>
          <t>settled</t>
        </is>
      </c>
      <c r="V41" s="24" t="inlineStr">
        <is>
          <t>push</t>
        </is>
      </c>
      <c r="W41" s="26" t="n">
        <v>1</v>
      </c>
      <c r="X41" s="26" t="n">
        <v>0</v>
      </c>
      <c r="Y41" s="25" t="n"/>
      <c r="Z41" s="26" t="n"/>
      <c r="AA41" s="28" t="n"/>
      <c r="AB41" s="28" t="n"/>
      <c r="AC41" s="30" t="n">
        <v>0</v>
      </c>
      <c r="AD41" s="24" t="inlineStr">
        <is>
          <t>2026-07-25T23:18:34.088996Z</t>
        </is>
      </c>
      <c r="AE41" s="31" t="inlineStr">
        <is>
          <t>Neutral Elo baseline; executable ask 0.4400 (market_slug=aec-cs2-mego-rgg-2026-07-24).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NO_CALL_MODEL_INELIGIBLE</t>
        </is>
      </c>
      <c r="AP41" s="24" t="inlineStr">
        <is>
          <t>ROUNDS</t>
        </is>
      </c>
      <c r="AQ41" s="24" t="inlineStr">
        <is>
          <t>ROUNDS</t>
        </is>
      </c>
      <c r="AR41" s="24" t="inlineStr">
        <is>
          <t>ROUNDS</t>
        </is>
      </c>
      <c r="AS41" s="24" t="inlineStr">
        <is>
          <t>megoshort</t>
        </is>
      </c>
      <c r="AT41" s="24" t="inlineStr">
        <is>
          <t>megoshort</t>
        </is>
      </c>
      <c r="AU41" s="24" t="inlineStr">
        <is>
          <t>megoshort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e9c327ce15d79aaa8ed5032a6fb86929aaa479e14a8bc9a35686411400dd6b91</t>
        </is>
      </c>
      <c r="BB41" s="24" t="inlineStr">
        <is>
          <t>neutral_elo</t>
        </is>
      </c>
      <c r="BC41" s="24" t="inlineStr">
        <is>
          <t>cs2-tiered-elo-v3</t>
        </is>
      </c>
      <c r="BD41" s="24" t="inlineStr">
        <is>
          <t>48424b79d75fc1173c9c465d95feb6fc041a2ccfbc64455058b3f74905ce28d5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cs2-tiered-elo-v3</t>
        </is>
      </c>
      <c r="BH41" s="24" t="inlineStr">
        <is>
          <t>2026-07-24T10:52:08.897862Z</t>
        </is>
      </c>
      <c r="BI41" s="24" t="inlineStr">
        <is>
          <t>["same_event","same_team_same_day","same_league_same_day"]</t>
        </is>
      </c>
      <c r="BJ41" s="25" t="n"/>
      <c r="BK41" s="26" t="n">
        <v>127</v>
      </c>
      <c r="BL41" s="27" t="n">
        <v>2.27</v>
      </c>
      <c r="BM41" s="28" t="n">
        <v>0.440529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inlineStr">
        <is>
          <t>model_prob_below_0.5_bug: selected side was never actually favored by the model (pre-fix esports logging bug in _log_esports_forecast, fixed 2026-07-25 with model_prob&lt;0.5 guard)</t>
        </is>
      </c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</row>
    <row r="42" ht="36" customHeight="1">
      <c r="A42" s="24" t="inlineStr">
        <is>
          <t>e15c744b4efb4626</t>
        </is>
      </c>
      <c r="B42" s="24" t="inlineStr">
        <is>
          <t>2026-07-24T10:52:55.851714Z</t>
        </is>
      </c>
      <c r="C42" s="24" t="inlineStr">
        <is>
          <t>2026-07-24T13:00:00Z</t>
        </is>
      </c>
      <c r="D42" s="24" t="inlineStr">
        <is>
          <t>60435</t>
        </is>
      </c>
      <c r="E42" s="24" t="inlineStr">
        <is>
          <t>CS2</t>
        </is>
      </c>
      <c r="F42" s="24" t="inlineStr">
        <is>
          <t>Infinite</t>
        </is>
      </c>
      <c r="G42" s="24" t="inlineStr">
        <is>
          <t>Team Nemesis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-213</v>
      </c>
      <c r="M42" s="27" t="n">
        <v>1.469484</v>
      </c>
      <c r="N42" s="28" t="n">
        <v>0.680511</v>
      </c>
      <c r="O42" s="28" t="n">
        <v>0.73712</v>
      </c>
      <c r="P42" s="28" t="n"/>
      <c r="Q42" s="28" t="n">
        <v>0.056609</v>
      </c>
      <c r="R42" s="26" t="n">
        <v>20</v>
      </c>
      <c r="S42" s="29" t="n">
        <v>2</v>
      </c>
      <c r="T42" s="24" t="inlineStr">
        <is>
          <t>cs2-tiered-elo-v4</t>
        </is>
      </c>
      <c r="U42" s="24" t="inlineStr">
        <is>
          <t>settled</t>
        </is>
      </c>
      <c r="V42" s="24" t="inlineStr">
        <is>
          <t>loss</t>
        </is>
      </c>
      <c r="W42" s="26" t="n">
        <v>1</v>
      </c>
      <c r="X42" s="26" t="n">
        <v>0</v>
      </c>
      <c r="Y42" s="25" t="n"/>
      <c r="Z42" s="26" t="n"/>
      <c r="AA42" s="28" t="n"/>
      <c r="AB42" s="28" t="n"/>
      <c r="AC42" s="30" t="n">
        <v>-2</v>
      </c>
      <c r="AD42" s="24" t="inlineStr">
        <is>
          <t>2026-07-24T16:25:05.778687Z</t>
        </is>
      </c>
      <c r="AE42" s="31" t="inlineStr">
        <is>
          <t>Neutral Elo baseline; executable ask 0.6800 (market_slug=aec-cs2-nem-inf-2026-07-24).</t>
        </is>
      </c>
      <c r="AF42" s="31" t="inlineStr">
        <is>
          <t>Config-promoted esports baseline; gates enforced at log time.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NO_CALL_LOW_EDGE</t>
        </is>
      </c>
      <c r="AP42" s="24" t="inlineStr">
        <is>
          <t>Infinite</t>
        </is>
      </c>
      <c r="AQ42" s="24" t="inlineStr">
        <is>
          <t>Infinite</t>
        </is>
      </c>
      <c r="AR42" s="24" t="inlineStr">
        <is>
          <t>Infinite</t>
        </is>
      </c>
      <c r="AS42" s="24" t="inlineStr">
        <is>
          <t>Team Nemesis</t>
        </is>
      </c>
      <c r="AT42" s="24" t="inlineStr">
        <is>
          <t>Team Nemesis</t>
        </is>
      </c>
      <c r="AU42" s="24" t="inlineStr">
        <is>
          <t>Team Nemesis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e9c327ce15d79aaa8ed5032a6fb86929aaa479e14a8bc9a35686411400dd6b91</t>
        </is>
      </c>
      <c r="BB42" s="24" t="inlineStr">
        <is>
          <t>neutral_elo</t>
        </is>
      </c>
      <c r="BC42" s="24" t="inlineStr">
        <is>
          <t>cs2-tiered-elo-v3</t>
        </is>
      </c>
      <c r="BD42" s="24" t="inlineStr">
        <is>
          <t>48424b79d75fc1173c9c465d95feb6fc041a2ccfbc64455058b3f74905ce28d5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cs2-tiered-elo-v3</t>
        </is>
      </c>
      <c r="BH42" s="24" t="inlineStr">
        <is>
          <t>2026-07-24T10:52:12.055122Z</t>
        </is>
      </c>
      <c r="BI42" s="24" t="inlineStr">
        <is>
          <t>["same_event","same_team_same_day","same_league_same_day"]</t>
        </is>
      </c>
      <c r="BJ42" s="25" t="n"/>
      <c r="BK42" s="26" t="n">
        <v>-213</v>
      </c>
      <c r="BL42" s="27" t="n">
        <v>1.469484</v>
      </c>
      <c r="BM42" s="28" t="n">
        <v>0.680511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</row>
    <row r="43" ht="36" customHeight="1">
      <c r="A43" s="24" t="inlineStr">
        <is>
          <t>6d6afdeb246e4a8f</t>
        </is>
      </c>
      <c r="B43" s="24" t="inlineStr">
        <is>
          <t>2026-07-24T10:52:55.851714Z</t>
        </is>
      </c>
      <c r="C43" s="24" t="inlineStr">
        <is>
          <t>2026-07-25T08:00:00Z</t>
        </is>
      </c>
      <c r="D43" s="24" t="inlineStr">
        <is>
          <t>59334</t>
        </is>
      </c>
      <c r="E43" s="24" t="inlineStr">
        <is>
          <t>CS2</t>
        </is>
      </c>
      <c r="F43" s="24" t="inlineStr">
        <is>
          <t>Mai Tai</t>
        </is>
      </c>
      <c r="G43" s="24" t="inlineStr">
        <is>
          <t>eternal premium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144</v>
      </c>
      <c r="M43" s="27" t="n">
        <v>2.44</v>
      </c>
      <c r="N43" s="28" t="n">
        <v>0.409836</v>
      </c>
      <c r="O43" s="28" t="n">
        <v>0.5901690000000001</v>
      </c>
      <c r="P43" s="28" t="n"/>
      <c r="Q43" s="28" t="n">
        <v>0.180333</v>
      </c>
      <c r="R43" s="26" t="n">
        <v>100</v>
      </c>
      <c r="S43" s="29" t="n">
        <v>1.5</v>
      </c>
      <c r="T43" s="24" t="inlineStr">
        <is>
          <t>cs2-tiered-elo-v4</t>
        </is>
      </c>
      <c r="U43" s="24" t="inlineStr">
        <is>
          <t>settled</t>
        </is>
      </c>
      <c r="V43" s="24" t="inlineStr">
        <is>
          <t>push</t>
        </is>
      </c>
      <c r="W43" s="26" t="n"/>
      <c r="X43" s="26" t="n"/>
      <c r="Y43" s="25" t="n"/>
      <c r="Z43" s="26" t="n"/>
      <c r="AA43" s="28" t="n"/>
      <c r="AB43" s="28" t="n"/>
      <c r="AC43" s="30" t="n">
        <v>0</v>
      </c>
      <c r="AD43" s="24" t="inlineStr">
        <is>
          <t>2026-07-26T06:54:53.570867Z</t>
        </is>
      </c>
      <c r="AE43" s="31" t="inlineStr">
        <is>
          <t>Neutral Elo baseline; executable ask 0.4100 (market_slug=aec-cs2-ep-mta-2026-07-25).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NO_CALL_LARGE_DISAGREEMENT_REVIEW</t>
        </is>
      </c>
      <c r="AP43" s="24" t="inlineStr">
        <is>
          <t>Mai Tai</t>
        </is>
      </c>
      <c r="AQ43" s="24" t="inlineStr">
        <is>
          <t>Mai Tai</t>
        </is>
      </c>
      <c r="AR43" s="24" t="inlineStr">
        <is>
          <t>Mai Tai</t>
        </is>
      </c>
      <c r="AS43" s="24" t="inlineStr">
        <is>
          <t>eternal premium</t>
        </is>
      </c>
      <c r="AT43" s="24" t="inlineStr">
        <is>
          <t>eternal premium</t>
        </is>
      </c>
      <c r="AU43" s="24" t="inlineStr">
        <is>
          <t>eternal premium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e9c327ce15d79aaa8ed5032a6fb86929aaa479e14a8bc9a35686411400dd6b91</t>
        </is>
      </c>
      <c r="BB43" s="24" t="inlineStr">
        <is>
          <t>neutral_elo</t>
        </is>
      </c>
      <c r="BC43" s="24" t="inlineStr">
        <is>
          <t>cs2-tiered-elo-v3</t>
        </is>
      </c>
      <c r="BD43" s="24" t="inlineStr">
        <is>
          <t>48424b79d75fc1173c9c465d95feb6fc041a2ccfbc64455058b3f74905ce28d5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cs2-tiered-elo-v3</t>
        </is>
      </c>
      <c r="BH43" s="24" t="inlineStr">
        <is>
          <t>2026-07-24T10:52:37.699075Z</t>
        </is>
      </c>
      <c r="BI43" s="24" t="inlineStr">
        <is>
          <t>["same_event","same_team_same_day","same_league_same_day"]</t>
        </is>
      </c>
      <c r="BJ43" s="25" t="n"/>
      <c r="BK43" s="26" t="n">
        <v>144</v>
      </c>
      <c r="BL43" s="27" t="n">
        <v>2.44</v>
      </c>
      <c r="BM43" s="28" t="n">
        <v>0.409836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inlineStr">
        <is>
          <t>esports market settled to a non-binary price (forfeit/postponement per market rules)</t>
        </is>
      </c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</row>
    <row r="44" ht="36" customHeight="1">
      <c r="A44" s="24" t="inlineStr">
        <is>
          <t>8fbb1b4b8ad24307</t>
        </is>
      </c>
      <c r="B44" s="24" t="inlineStr">
        <is>
          <t>2026-07-24T10:52:55.851714Z</t>
        </is>
      </c>
      <c r="C44" s="24" t="inlineStr">
        <is>
          <t>2026-07-25T11:00:00Z</t>
        </is>
      </c>
      <c r="D44" s="24" t="inlineStr">
        <is>
          <t>59432</t>
        </is>
      </c>
      <c r="E44" s="24" t="inlineStr">
        <is>
          <t>CS2</t>
        </is>
      </c>
      <c r="F44" s="24" t="inlineStr">
        <is>
          <t>Inner Circle Academy</t>
        </is>
      </c>
      <c r="G44" s="24" t="inlineStr">
        <is>
          <t>Lazer Cats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-156</v>
      </c>
      <c r="M44" s="27" t="n">
        <v>1.641026</v>
      </c>
      <c r="N44" s="28" t="n">
        <v>0.609375</v>
      </c>
      <c r="O44" s="28" t="n">
        <v>0.676076</v>
      </c>
      <c r="P44" s="28" t="n"/>
      <c r="Q44" s="28" t="n">
        <v>0.066701</v>
      </c>
      <c r="R44" s="26" t="n">
        <v>50</v>
      </c>
      <c r="S44" s="29" t="n">
        <v>2</v>
      </c>
      <c r="T44" s="24" t="inlineStr">
        <is>
          <t>cs2-tiered-elo-v4</t>
        </is>
      </c>
      <c r="U44" s="24" t="inlineStr">
        <is>
          <t>settled</t>
        </is>
      </c>
      <c r="V44" s="24" t="inlineStr">
        <is>
          <t>push</t>
        </is>
      </c>
      <c r="W44" s="26" t="n"/>
      <c r="X44" s="26" t="n"/>
      <c r="Y44" s="25" t="n"/>
      <c r="Z44" s="26" t="n"/>
      <c r="AA44" s="28" t="n"/>
      <c r="AB44" s="28" t="n"/>
      <c r="AC44" s="30" t="n">
        <v>0</v>
      </c>
      <c r="AD44" s="24" t="inlineStr">
        <is>
          <t>2026-07-26T06:54:59.017484Z</t>
        </is>
      </c>
      <c r="AE44" s="31" t="inlineStr">
        <is>
          <t>Neutral Elo baseline; executable ask 0.6100 (market_slug=aec-cs2-lc-ica-2026-07-25).</t>
        </is>
      </c>
      <c r="AF44" s="31" t="inlineStr">
        <is>
          <t>Config-promoted esports baseline; gates enforced at log time.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NO_CALL_LOW_EDGE</t>
        </is>
      </c>
      <c r="AP44" s="24" t="inlineStr">
        <is>
          <t>Inner Circle Academy</t>
        </is>
      </c>
      <c r="AQ44" s="24" t="inlineStr">
        <is>
          <t>Inner Circle Academy</t>
        </is>
      </c>
      <c r="AR44" s="24" t="inlineStr">
        <is>
          <t>Inner Circle Academy</t>
        </is>
      </c>
      <c r="AS44" s="24" t="inlineStr">
        <is>
          <t>Lazer Cats</t>
        </is>
      </c>
      <c r="AT44" s="24" t="inlineStr">
        <is>
          <t>Lazer Cats</t>
        </is>
      </c>
      <c r="AU44" s="24" t="inlineStr">
        <is>
          <t>Lazer Cats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e9c327ce15d79aaa8ed5032a6fb86929aaa479e14a8bc9a35686411400dd6b91</t>
        </is>
      </c>
      <c r="BB44" s="24" t="inlineStr">
        <is>
          <t>neutral_elo</t>
        </is>
      </c>
      <c r="BC44" s="24" t="inlineStr">
        <is>
          <t>cs2-tiered-elo-v3</t>
        </is>
      </c>
      <c r="BD44" s="24" t="inlineStr">
        <is>
          <t>48424b79d75fc1173c9c465d95feb6fc041a2ccfbc64455058b3f74905ce28d5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cs2-tiered-elo-v3</t>
        </is>
      </c>
      <c r="BH44" s="24" t="inlineStr">
        <is>
          <t>2026-07-24T10:52:44.595322Z</t>
        </is>
      </c>
      <c r="BI44" s="24" t="inlineStr">
        <is>
          <t>["same_event","same_team_same_day","same_league_same_day"]</t>
        </is>
      </c>
      <c r="BJ44" s="25" t="n"/>
      <c r="BK44" s="26" t="n">
        <v>-156</v>
      </c>
      <c r="BL44" s="27" t="n">
        <v>1.641026</v>
      </c>
      <c r="BM44" s="28" t="n">
        <v>0.609375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inlineStr">
        <is>
          <t>esports market settled to a non-binary price (forfeit/postponement per market rules)</t>
        </is>
      </c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</row>
    <row r="45" ht="36" customHeight="1">
      <c r="A45" s="24" t="inlineStr">
        <is>
          <t>35f6498a4c1d46b5</t>
        </is>
      </c>
      <c r="B45" s="24" t="inlineStr">
        <is>
          <t>2026-07-24T10:52:55.851714Z</t>
        </is>
      </c>
      <c r="C45" s="24" t="inlineStr">
        <is>
          <t>2026-07-25T11:00:00Z</t>
        </is>
      </c>
      <c r="D45" s="24" t="inlineStr">
        <is>
          <t>59705</t>
        </is>
      </c>
      <c r="E45" s="24" t="inlineStr">
        <is>
          <t>CS2</t>
        </is>
      </c>
      <c r="F45" s="24" t="inlineStr">
        <is>
          <t>SAW Youngsters</t>
        </is>
      </c>
      <c r="G45" s="24" t="inlineStr">
        <is>
          <t>ENJOY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-133</v>
      </c>
      <c r="M45" s="27" t="n">
        <v>1.75188</v>
      </c>
      <c r="N45" s="28" t="n">
        <v>0.570815</v>
      </c>
      <c r="O45" s="28" t="n">
        <v>0.62487</v>
      </c>
      <c r="P45" s="28" t="n"/>
      <c r="Q45" s="28" t="n">
        <v>0.054055</v>
      </c>
      <c r="R45" s="26" t="n">
        <v>24</v>
      </c>
      <c r="S45" s="29" t="n">
        <v>1.75</v>
      </c>
      <c r="T45" s="24" t="inlineStr">
        <is>
          <t>cs2-tiered-elo-v4</t>
        </is>
      </c>
      <c r="U45" s="24" t="inlineStr">
        <is>
          <t>settled</t>
        </is>
      </c>
      <c r="V45" s="24" t="inlineStr">
        <is>
          <t>win</t>
        </is>
      </c>
      <c r="W45" s="26" t="n">
        <v>0</v>
      </c>
      <c r="X45" s="26" t="n">
        <v>1</v>
      </c>
      <c r="Y45" s="25" t="n"/>
      <c r="Z45" s="26" t="n"/>
      <c r="AA45" s="28" t="n"/>
      <c r="AB45" s="28" t="n"/>
      <c r="AC45" s="30" t="n">
        <v>1.3158</v>
      </c>
      <c r="AD45" s="24" t="inlineStr">
        <is>
          <t>2026-07-25T19:17:53.975853Z</t>
        </is>
      </c>
      <c r="AE45" s="31" t="inlineStr">
        <is>
          <t>Neutral Elo baseline; executable ask 0.5700 (market_slug=aec-cs2-enjoy-sawy-2026-07-25).</t>
        </is>
      </c>
      <c r="AF45" s="31" t="inlineStr">
        <is>
          <t>Config-promoted esports baseline; gates enforced at log time.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NO_CALL_LOW_EDGE</t>
        </is>
      </c>
      <c r="AP45" s="24" t="inlineStr">
        <is>
          <t>SAW Youngsters</t>
        </is>
      </c>
      <c r="AQ45" s="24" t="inlineStr">
        <is>
          <t>SAW Youngsters</t>
        </is>
      </c>
      <c r="AR45" s="24" t="inlineStr">
        <is>
          <t>SAW Youngsters</t>
        </is>
      </c>
      <c r="AS45" s="24" t="inlineStr">
        <is>
          <t>ENJOY</t>
        </is>
      </c>
      <c r="AT45" s="24" t="inlineStr">
        <is>
          <t>ENJOY</t>
        </is>
      </c>
      <c r="AU45" s="24" t="inlineStr">
        <is>
          <t>ENJOY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e9c327ce15d79aaa8ed5032a6fb86929aaa479e14a8bc9a35686411400dd6b91</t>
        </is>
      </c>
      <c r="BB45" s="24" t="inlineStr">
        <is>
          <t>neutral_elo</t>
        </is>
      </c>
      <c r="BC45" s="24" t="inlineStr">
        <is>
          <t>cs2-tiered-elo-v3</t>
        </is>
      </c>
      <c r="BD45" s="24" t="inlineStr">
        <is>
          <t>48424b79d75fc1173c9c465d95feb6fc041a2ccfbc64455058b3f74905ce28d5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cs2-tiered-elo-v3</t>
        </is>
      </c>
      <c r="BH45" s="24" t="inlineStr">
        <is>
          <t>2026-07-24T10:52:47.555220Z</t>
        </is>
      </c>
      <c r="BI45" s="24" t="inlineStr">
        <is>
          <t>["same_event","same_team_same_day","same_league_same_day"]</t>
        </is>
      </c>
      <c r="BJ45" s="25" t="n"/>
      <c r="BK45" s="26" t="n">
        <v>-133</v>
      </c>
      <c r="BL45" s="27" t="n">
        <v>1.75188</v>
      </c>
      <c r="BM45" s="28" t="n">
        <v>0.570815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</row>
    <row r="46" ht="36" customHeight="1">
      <c r="A46" s="24" t="inlineStr">
        <is>
          <t>dcf31876749d448f</t>
        </is>
      </c>
      <c r="B46" s="24" t="inlineStr">
        <is>
          <t>2026-07-24T10:53:25.103911Z</t>
        </is>
      </c>
      <c r="C46" s="24" t="inlineStr">
        <is>
          <t>2026-07-24T13:00:00Z</t>
        </is>
      </c>
      <c r="D46" s="24" t="inlineStr">
        <is>
          <t>60139</t>
        </is>
      </c>
      <c r="E46" s="24" t="inlineStr">
        <is>
          <t>DOTA2</t>
        </is>
      </c>
      <c r="F46" s="24" t="inlineStr">
        <is>
          <t>Spirit Academy</t>
        </is>
      </c>
      <c r="G46" s="24" t="inlineStr">
        <is>
          <t>KW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203</v>
      </c>
      <c r="M46" s="27" t="n">
        <v>3.03</v>
      </c>
      <c r="N46" s="28" t="n">
        <v>0.330033</v>
      </c>
      <c r="O46" s="28" t="n">
        <v>0.5</v>
      </c>
      <c r="P46" s="28" t="n"/>
      <c r="Q46" s="28" t="n">
        <v>0.195945</v>
      </c>
      <c r="R46" s="26" t="n">
        <v>100</v>
      </c>
      <c r="S46" s="29" t="n">
        <v>0.5</v>
      </c>
      <c r="T46" s="24" t="inlineStr">
        <is>
          <t>dota2-tiered-elo-v4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/>
      <c r="AA46" s="28" t="n"/>
      <c r="AB46" s="28" t="n"/>
      <c r="AC46" s="30" t="n">
        <v>1.015</v>
      </c>
      <c r="AD46" s="24" t="inlineStr">
        <is>
          <t>2026-07-24T18:12:33.041841Z</t>
        </is>
      </c>
      <c r="AE46" s="31" t="inlineStr">
        <is>
          <t>Neutral Elo baseline; executable ask 0.3300 (market_slug=aec-dota2-kw-tsa-2026-07-24).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research_observation</t>
        </is>
      </c>
      <c r="AL46" s="26" t="n">
        <v>3</v>
      </c>
      <c r="AM46" s="24" t="inlineStr">
        <is>
          <t>RESEARCH_OBSERVATION</t>
        </is>
      </c>
      <c r="AN46" s="24" t="inlineStr">
        <is>
          <t>NO_CALL</t>
        </is>
      </c>
      <c r="AO46" s="24" t="inlineStr">
        <is>
          <t>NO_CALL_LARGE_DISAGREEMENT_REVIEW</t>
        </is>
      </c>
      <c r="AP46" s="24" t="inlineStr">
        <is>
          <t>Spirit Academy</t>
        </is>
      </c>
      <c r="AQ46" s="24" t="inlineStr">
        <is>
          <t>Spirit Academy</t>
        </is>
      </c>
      <c r="AR46" s="24" t="inlineStr">
        <is>
          <t>Spirit Academy</t>
        </is>
      </c>
      <c r="AS46" s="24" t="inlineStr">
        <is>
          <t>KW</t>
        </is>
      </c>
      <c r="AT46" s="24" t="inlineStr">
        <is>
          <t>KW</t>
        </is>
      </c>
      <c r="AU46" s="24" t="inlineStr">
        <is>
          <t>KW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d08d23d003cdc05b1cc5be7d2e52d9f477153e66ad3c7ec5e0f446618fcfe82f</t>
        </is>
      </c>
      <c r="BB46" s="24" t="inlineStr">
        <is>
          <t>neutral_elo</t>
        </is>
      </c>
      <c r="BC46" s="24" t="inlineStr">
        <is>
          <t>dota2-tiered-elo-v3</t>
        </is>
      </c>
      <c r="BD46" s="24" t="inlineStr">
        <is>
          <t>a799fd6b531f6a50433d392237bace95036714f80bb3516384271ef275ed7763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dota2-tiered-elo-v3</t>
        </is>
      </c>
      <c r="BH46" s="24" t="inlineStr">
        <is>
          <t>2026-07-24T10:53:13.546970Z</t>
        </is>
      </c>
      <c r="BI46" s="24" t="inlineStr">
        <is>
          <t>["same_event","same_team_same_day","same_league_same_day"]</t>
        </is>
      </c>
      <c r="BJ46" s="25" t="n"/>
      <c r="BK46" s="26" t="n">
        <v>203</v>
      </c>
      <c r="BL46" s="27" t="n">
        <v>3.03</v>
      </c>
      <c r="BM46" s="28" t="n">
        <v>0.330033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</row>
    <row r="47" ht="36" customHeight="1">
      <c r="A47" s="24" t="inlineStr">
        <is>
          <t>b5a127b1bcba47d9</t>
        </is>
      </c>
      <c r="B47" s="24" t="inlineStr">
        <is>
          <t>2026-07-24T10:56:03.962497Z</t>
        </is>
      </c>
      <c r="C47" s="24" t="inlineStr">
        <is>
          <t>2026-07-25T07:30:00Z</t>
        </is>
      </c>
      <c r="D47" s="24" t="inlineStr">
        <is>
          <t>59232</t>
        </is>
      </c>
      <c r="E47" s="24" t="inlineStr">
        <is>
          <t>VALORANT</t>
        </is>
      </c>
      <c r="F47" s="24" t="inlineStr">
        <is>
          <t>Fennel</t>
        </is>
      </c>
      <c r="G47" s="24" t="inlineStr">
        <is>
          <t>QT DIG∞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108</v>
      </c>
      <c r="M47" s="27" t="n">
        <v>2.08</v>
      </c>
      <c r="N47" s="28" t="n">
        <v>0.480769</v>
      </c>
      <c r="O47" s="28" t="n">
        <v>0.5</v>
      </c>
      <c r="P47" s="28" t="n"/>
      <c r="Q47" s="28" t="n">
        <v>0.019231</v>
      </c>
      <c r="R47" s="26" t="n">
        <v>30</v>
      </c>
      <c r="S47" s="29" t="n">
        <v>0.5</v>
      </c>
      <c r="T47" s="24" t="inlineStr">
        <is>
          <t>valorant-tiered-elo-v4</t>
        </is>
      </c>
      <c r="U47" s="24" t="inlineStr">
        <is>
          <t>settled</t>
        </is>
      </c>
      <c r="V47" s="24" t="inlineStr">
        <is>
          <t>win</t>
        </is>
      </c>
      <c r="W47" s="26" t="n">
        <v>0</v>
      </c>
      <c r="X47" s="26" t="n">
        <v>1</v>
      </c>
      <c r="Y47" s="25" t="n"/>
      <c r="Z47" s="26" t="n"/>
      <c r="AA47" s="28" t="n"/>
      <c r="AB47" s="28" t="n"/>
      <c r="AC47" s="30" t="n">
        <v>0.54</v>
      </c>
      <c r="AD47" s="24" t="inlineStr">
        <is>
          <t>2026-07-25T15:25:58.121509Z</t>
        </is>
      </c>
      <c r="AE47" s="31" t="inlineStr">
        <is>
          <t>Neutral Elo baseline; executable ask 0.4800 (market_slug=aec-valorant-qtd-fl-2026-07-25).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NO_CALL_LOW_EDGE</t>
        </is>
      </c>
      <c r="AP47" s="24" t="inlineStr">
        <is>
          <t>Fennel</t>
        </is>
      </c>
      <c r="AQ47" s="24" t="inlineStr">
        <is>
          <t>Fennel</t>
        </is>
      </c>
      <c r="AR47" s="24" t="inlineStr">
        <is>
          <t>Fennel</t>
        </is>
      </c>
      <c r="AS47" s="24" t="inlineStr">
        <is>
          <t>QT DIG∞</t>
        </is>
      </c>
      <c r="AT47" s="24" t="inlineStr">
        <is>
          <t>QT DIG∞</t>
        </is>
      </c>
      <c r="AU47" s="24" t="inlineStr">
        <is>
          <t>QT DIG∞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153b0db03af0303675f7eb2520b56d0fd86008f1bb62095f9881ea43a0124bb2</t>
        </is>
      </c>
      <c r="BB47" s="24" t="inlineStr">
        <is>
          <t>neutral_elo</t>
        </is>
      </c>
      <c r="BC47" s="24" t="inlineStr">
        <is>
          <t>valorant-tiered-elo-v3</t>
        </is>
      </c>
      <c r="BD47" s="24" t="inlineStr">
        <is>
          <t>df5a226c64918a54c70b8af3e0cd4abb6c4f42b67acb5547da319458502b0ed4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valorant-tiered-elo-v3</t>
        </is>
      </c>
      <c r="BH47" s="24" t="inlineStr">
        <is>
          <t>2026-07-24T10:55:56.873611Z</t>
        </is>
      </c>
      <c r="BI47" s="24" t="inlineStr">
        <is>
          <t>["same_event","same_team_same_day","same_league_same_day"]</t>
        </is>
      </c>
      <c r="BJ47" s="25" t="n"/>
      <c r="BK47" s="26" t="n">
        <v>108</v>
      </c>
      <c r="BL47" s="27" t="n">
        <v>2.08</v>
      </c>
      <c r="BM47" s="28" t="n">
        <v>0.480769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</row>
    <row r="48" ht="36" customHeight="1">
      <c r="A48" s="24" t="inlineStr">
        <is>
          <t>c96b3111c9c64a5d</t>
        </is>
      </c>
      <c r="B48" s="24" t="inlineStr">
        <is>
          <t>2026-07-24T10:56:03.962497Z</t>
        </is>
      </c>
      <c r="C48" s="24" t="inlineStr">
        <is>
          <t>2026-07-25T09:00:00Z</t>
        </is>
      </c>
      <c r="D48" s="24" t="inlineStr">
        <is>
          <t>59865</t>
        </is>
      </c>
      <c r="E48" s="24" t="inlineStr">
        <is>
          <t>VALORANT</t>
        </is>
      </c>
      <c r="F48" s="24" t="inlineStr">
        <is>
          <t>Dragon Ranger Gaming</t>
        </is>
      </c>
      <c r="G48" s="24" t="inlineStr">
        <is>
          <t>JD Gaming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156</v>
      </c>
      <c r="M48" s="27" t="n">
        <v>2.56</v>
      </c>
      <c r="N48" s="28" t="n">
        <v>0.390625</v>
      </c>
      <c r="O48" s="28" t="n">
        <v>0.5200050000000001</v>
      </c>
      <c r="P48" s="28" t="n"/>
      <c r="Q48" s="28" t="n">
        <v>0.12938</v>
      </c>
      <c r="R48" s="26" t="n">
        <v>100</v>
      </c>
      <c r="S48" s="29" t="n">
        <v>0.75</v>
      </c>
      <c r="T48" s="24" t="inlineStr">
        <is>
          <t>valorant-tiered-elo-v4</t>
        </is>
      </c>
      <c r="U48" s="24" t="inlineStr">
        <is>
          <t>settled</t>
        </is>
      </c>
      <c r="V48" s="24" t="inlineStr">
        <is>
          <t>loss</t>
        </is>
      </c>
      <c r="W48" s="26" t="n">
        <v>1</v>
      </c>
      <c r="X48" s="26" t="n">
        <v>0</v>
      </c>
      <c r="Y48" s="25" t="n"/>
      <c r="Z48" s="26" t="n"/>
      <c r="AA48" s="28" t="n"/>
      <c r="AB48" s="28" t="n"/>
      <c r="AC48" s="30" t="n">
        <v>-0.75</v>
      </c>
      <c r="AD48" s="24" t="inlineStr">
        <is>
          <t>2026-07-25T15:26:01.634088Z</t>
        </is>
      </c>
      <c r="AE48" s="31" t="inlineStr">
        <is>
          <t>Neutral Elo baseline; executable ask 0.3900 (market_slug=aec-valorant-jdg-drg-2026-07-25).</t>
        </is>
      </c>
      <c r="AF48" s="31" t="inlineStr">
        <is>
          <t>Config-promoted esports baseline; gates enforced at log time.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NO_CALL_LARGE_DISAGREEMENT_REVIEW</t>
        </is>
      </c>
      <c r="AP48" s="24" t="inlineStr">
        <is>
          <t>Dragon Ranger Gaming</t>
        </is>
      </c>
      <c r="AQ48" s="24" t="inlineStr">
        <is>
          <t>Dragon Ranger Gaming</t>
        </is>
      </c>
      <c r="AR48" s="24" t="inlineStr">
        <is>
          <t>Dragon Ranger Gaming</t>
        </is>
      </c>
      <c r="AS48" s="24" t="inlineStr">
        <is>
          <t>JD Gaming</t>
        </is>
      </c>
      <c r="AT48" s="24" t="inlineStr">
        <is>
          <t>JD Gaming</t>
        </is>
      </c>
      <c r="AU48" s="24" t="inlineStr">
        <is>
          <t>JD Gaming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153b0db03af0303675f7eb2520b56d0fd86008f1bb62095f9881ea43a0124bb2</t>
        </is>
      </c>
      <c r="BB48" s="24" t="inlineStr">
        <is>
          <t>neutral_elo</t>
        </is>
      </c>
      <c r="BC48" s="24" t="inlineStr">
        <is>
          <t>valorant-tiered-elo-v3</t>
        </is>
      </c>
      <c r="BD48" s="24" t="inlineStr">
        <is>
          <t>df5a226c64918a54c70b8af3e0cd4abb6c4f42b67acb5547da319458502b0ed4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valorant-tiered-elo-v3</t>
        </is>
      </c>
      <c r="BH48" s="24" t="inlineStr">
        <is>
          <t>2026-07-24T10:55:58.571334Z</t>
        </is>
      </c>
      <c r="BI48" s="24" t="inlineStr">
        <is>
          <t>["same_event","same_team_same_day","same_league_same_day"]</t>
        </is>
      </c>
      <c r="BJ48" s="25" t="n"/>
      <c r="BK48" s="26" t="n">
        <v>156</v>
      </c>
      <c r="BL48" s="27" t="n">
        <v>2.56</v>
      </c>
      <c r="BM48" s="28" t="n">
        <v>0.390625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</row>
    <row r="49" ht="36" customHeight="1">
      <c r="A49" s="24" t="inlineStr">
        <is>
          <t>d3ebe98f1e2b495b</t>
        </is>
      </c>
      <c r="B49" s="24" t="inlineStr">
        <is>
          <t>2026-07-24T10:56:03.962497Z</t>
        </is>
      </c>
      <c r="C49" s="24" t="inlineStr">
        <is>
          <t>2026-07-25T11:00:00Z</t>
        </is>
      </c>
      <c r="D49" s="24" t="inlineStr">
        <is>
          <t>60144</t>
        </is>
      </c>
      <c r="E49" s="24" t="inlineStr">
        <is>
          <t>VALORANT</t>
        </is>
      </c>
      <c r="F49" s="24" t="inlineStr">
        <is>
          <t>XLG Gaming</t>
        </is>
      </c>
      <c r="G49" s="24" t="inlineStr">
        <is>
          <t>TYLOO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144</v>
      </c>
      <c r="M49" s="27" t="n">
        <v>2.44</v>
      </c>
      <c r="N49" s="28" t="n">
        <v>0.409836</v>
      </c>
      <c r="O49" s="28" t="n">
        <v>0.5</v>
      </c>
      <c r="P49" s="28" t="n"/>
      <c r="Q49" s="28" t="n">
        <v>0.09016399999999999</v>
      </c>
      <c r="R49" s="26" t="n">
        <v>65</v>
      </c>
      <c r="S49" s="29" t="n">
        <v>0.5</v>
      </c>
      <c r="T49" s="24" t="inlineStr">
        <is>
          <t>valorant-tiered-elo-v4</t>
        </is>
      </c>
      <c r="U49" s="24" t="inlineStr">
        <is>
          <t>settled</t>
        </is>
      </c>
      <c r="V49" s="24" t="inlineStr">
        <is>
          <t>loss</t>
        </is>
      </c>
      <c r="W49" s="26" t="n">
        <v>1</v>
      </c>
      <c r="X49" s="26" t="n">
        <v>0</v>
      </c>
      <c r="Y49" s="25" t="n"/>
      <c r="Z49" s="26" t="n"/>
      <c r="AA49" s="28" t="n"/>
      <c r="AB49" s="28" t="n"/>
      <c r="AC49" s="30" t="n">
        <v>-0.5</v>
      </c>
      <c r="AD49" s="24" t="inlineStr">
        <is>
          <t>2026-07-25T15:26:05.185778Z</t>
        </is>
      </c>
      <c r="AE49" s="31" t="inlineStr">
        <is>
          <t>Neutral Elo baseline; executable ask 0.4100 (market_slug=aec-valorant-tyloo-xlg-2026-07-25).</t>
        </is>
      </c>
      <c r="AF49" s="31" t="inlineStr">
        <is>
          <t>Config-promoted esports baseline; gates enforced at log time.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XLG Gaming</t>
        </is>
      </c>
      <c r="AQ49" s="24" t="inlineStr">
        <is>
          <t>XLG Gaming</t>
        </is>
      </c>
      <c r="AR49" s="24" t="inlineStr">
        <is>
          <t>XLG Gaming</t>
        </is>
      </c>
      <c r="AS49" s="24" t="inlineStr">
        <is>
          <t>TYLOO</t>
        </is>
      </c>
      <c r="AT49" s="24" t="inlineStr">
        <is>
          <t>TYLOO</t>
        </is>
      </c>
      <c r="AU49" s="24" t="inlineStr">
        <is>
          <t>TYLOO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153b0db03af0303675f7eb2520b56d0fd86008f1bb62095f9881ea43a0124bb2</t>
        </is>
      </c>
      <c r="BB49" s="24" t="inlineStr">
        <is>
          <t>neutral_elo</t>
        </is>
      </c>
      <c r="BC49" s="24" t="inlineStr">
        <is>
          <t>valorant-tiered-elo-v3</t>
        </is>
      </c>
      <c r="BD49" s="24" t="inlineStr">
        <is>
          <t>df5a226c64918a54c70b8af3e0cd4abb6c4f42b67acb5547da319458502b0ed4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valorant-tiered-elo-v3</t>
        </is>
      </c>
      <c r="BH49" s="24" t="inlineStr">
        <is>
          <t>2026-07-24T10:56:00.271676Z</t>
        </is>
      </c>
      <c r="BI49" s="24" t="inlineStr">
        <is>
          <t>["same_event","same_team_same_day","same_league_same_day"]</t>
        </is>
      </c>
      <c r="BJ49" s="25" t="n"/>
      <c r="BK49" s="26" t="n">
        <v>144</v>
      </c>
      <c r="BL49" s="27" t="n">
        <v>2.44</v>
      </c>
      <c r="BM49" s="28" t="n">
        <v>0.409836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</row>
    <row r="50" ht="36" customHeight="1">
      <c r="A50" s="24" t="inlineStr">
        <is>
          <t>9800a4298e0e485c</t>
        </is>
      </c>
      <c r="B50" s="24" t="inlineStr">
        <is>
          <t>2026-07-24T10:57:16.417845Z</t>
        </is>
      </c>
      <c r="C50" s="24" t="inlineStr">
        <is>
          <t>2026-07-24T16:00:00Z</t>
        </is>
      </c>
      <c r="D50" s="24" t="inlineStr">
        <is>
          <t>60581</t>
        </is>
      </c>
      <c r="E50" s="24" t="inlineStr">
        <is>
          <t>CS2</t>
        </is>
      </c>
      <c r="F50" s="24" t="inlineStr">
        <is>
          <t>Fire Flux Esports</t>
        </is>
      </c>
      <c r="G50" s="24" t="inlineStr">
        <is>
          <t>Hermine Esports Club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144</v>
      </c>
      <c r="M50" s="27" t="n">
        <v>2.44</v>
      </c>
      <c r="N50" s="28" t="n">
        <v>0.409836</v>
      </c>
      <c r="O50" s="28" t="n">
        <v>0.5</v>
      </c>
      <c r="P50" s="28" t="n"/>
      <c r="Q50" s="28" t="n">
        <v>0.006894</v>
      </c>
      <c r="R50" s="26" t="n">
        <v>100</v>
      </c>
      <c r="S50" s="29" t="n">
        <v>0.5</v>
      </c>
      <c r="T50" s="24" t="inlineStr">
        <is>
          <t>cs2-tiered-elo-v4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1</v>
      </c>
      <c r="Y50" s="25" t="n"/>
      <c r="Z50" s="26" t="n"/>
      <c r="AA50" s="28" t="n"/>
      <c r="AB50" s="28" t="n"/>
      <c r="AC50" s="30" t="n">
        <v>0.72</v>
      </c>
      <c r="AD50" s="24" t="inlineStr">
        <is>
          <t>2026-07-24T18:12:34.662824Z</t>
        </is>
      </c>
      <c r="AE50" s="31" t="inlineStr">
        <is>
          <t>Neutral Elo baseline; executable ask 0.4100 (market_slug=aec-cs2-hec-ff-2026-07-24).</t>
        </is>
      </c>
      <c r="AF50" s="31" t="inlineStr">
        <is>
          <t>Config-promoted esports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NO_CALL_LARGE_DISAGREEMENT_REVIEW</t>
        </is>
      </c>
      <c r="AP50" s="24" t="inlineStr">
        <is>
          <t>Fire Flux Esports</t>
        </is>
      </c>
      <c r="AQ50" s="24" t="inlineStr">
        <is>
          <t>Fire Flux Esports</t>
        </is>
      </c>
      <c r="AR50" s="24" t="inlineStr">
        <is>
          <t>Fire Flux Esports</t>
        </is>
      </c>
      <c r="AS50" s="24" t="inlineStr">
        <is>
          <t>Hermine Esports Club</t>
        </is>
      </c>
      <c r="AT50" s="24" t="inlineStr">
        <is>
          <t>Hermine Esports Club</t>
        </is>
      </c>
      <c r="AU50" s="24" t="inlineStr">
        <is>
          <t>Hermine Esports Club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e9c327ce15d79aaa8ed5032a6fb86929aaa479e14a8bc9a35686411400dd6b91</t>
        </is>
      </c>
      <c r="BB50" s="24" t="inlineStr">
        <is>
          <t>neutral_elo</t>
        </is>
      </c>
      <c r="BC50" s="24" t="inlineStr">
        <is>
          <t>cs2-tiered-elo-v3</t>
        </is>
      </c>
      <c r="BD50" s="24" t="inlineStr">
        <is>
          <t>48424b79d75fc1173c9c465d95feb6fc041a2ccfbc64455058b3f74905ce28d5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cs2-tiered-elo-v3</t>
        </is>
      </c>
      <c r="BH50" s="24" t="inlineStr">
        <is>
          <t>2026-07-24T10:56:56.894549Z</t>
        </is>
      </c>
      <c r="BI50" s="24" t="inlineStr">
        <is>
          <t>["same_event","same_team_same_day","same_league_same_day"]</t>
        </is>
      </c>
      <c r="BJ50" s="25" t="n"/>
      <c r="BK50" s="26" t="n">
        <v>144</v>
      </c>
      <c r="BL50" s="27" t="n">
        <v>2.44</v>
      </c>
      <c r="BM50" s="28" t="n">
        <v>0.409836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</row>
    <row r="51" ht="36" customHeight="1">
      <c r="A51" s="24" t="inlineStr">
        <is>
          <t>1d0a8428b2da49c1</t>
        </is>
      </c>
      <c r="B51" s="24" t="inlineStr">
        <is>
          <t>2026-07-24T14:53:09.220186Z</t>
        </is>
      </c>
      <c r="C51" s="24" t="inlineStr">
        <is>
          <t>2026-07-24T18:00:00Z</t>
        </is>
      </c>
      <c r="D51" s="24" t="inlineStr">
        <is>
          <t>58552</t>
        </is>
      </c>
      <c r="E51" s="24" t="inlineStr">
        <is>
          <t>LOL</t>
        </is>
      </c>
      <c r="F51" s="24" t="inlineStr">
        <is>
          <t>HMBLE</t>
        </is>
      </c>
      <c r="G51" s="24" t="inlineStr">
        <is>
          <t>Zena Esports</t>
        </is>
      </c>
      <c r="H51" s="24" t="inlineStr">
        <is>
          <t>moneyline</t>
        </is>
      </c>
      <c r="I51" s="24" t="inlineStr">
        <is>
          <t>away</t>
        </is>
      </c>
      <c r="J51" s="25" t="n"/>
      <c r="K51" s="24" t="inlineStr">
        <is>
          <t>polymarket_us</t>
        </is>
      </c>
      <c r="L51" s="26" t="n">
        <v>-163</v>
      </c>
      <c r="M51" s="27" t="n">
        <v>1.613497</v>
      </c>
      <c r="N51" s="28" t="n">
        <v>0.619772</v>
      </c>
      <c r="O51" s="28" t="n">
        <v>0.7181999999999999</v>
      </c>
      <c r="P51" s="28" t="n"/>
      <c r="Q51" s="28" t="n">
        <v>0.098428</v>
      </c>
      <c r="R51" s="26" t="n">
        <v>23</v>
      </c>
      <c r="S51" s="29" t="n">
        <v>2</v>
      </c>
      <c r="T51" s="24" t="inlineStr">
        <is>
          <t>lol-tiered-elo-v4</t>
        </is>
      </c>
      <c r="U51" s="24" t="inlineStr">
        <is>
          <t>settled</t>
        </is>
      </c>
      <c r="V51" s="24" t="inlineStr">
        <is>
          <t>win</t>
        </is>
      </c>
      <c r="W51" s="26" t="n">
        <v>1</v>
      </c>
      <c r="X51" s="26" t="n">
        <v>0</v>
      </c>
      <c r="Y51" s="25" t="n"/>
      <c r="Z51" s="26" t="n"/>
      <c r="AA51" s="28" t="n"/>
      <c r="AB51" s="28" t="n"/>
      <c r="AC51" s="30" t="n">
        <v>1.227</v>
      </c>
      <c r="AD51" s="24" t="inlineStr">
        <is>
          <t>2026-07-24T21:16:44.270137Z</t>
        </is>
      </c>
      <c r="AE51" s="31" t="inlineStr">
        <is>
          <t>Neutral Elo baseline; executable ask 0.6200 (market_slug=aec-lol-zena-hmble-2026-07-24).</t>
        </is>
      </c>
      <c r="AF51" s="31" t="inlineStr">
        <is>
          <t>Config-promoted esports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NO_CALL_LOW_EDGE</t>
        </is>
      </c>
      <c r="AP51" s="24" t="inlineStr">
        <is>
          <t>HMBLE</t>
        </is>
      </c>
      <c r="AQ51" s="24" t="inlineStr">
        <is>
          <t>HMBLE</t>
        </is>
      </c>
      <c r="AR51" s="24" t="inlineStr">
        <is>
          <t>HMBLE</t>
        </is>
      </c>
      <c r="AS51" s="24" t="inlineStr">
        <is>
          <t>Zena Esports</t>
        </is>
      </c>
      <c r="AT51" s="24" t="inlineStr">
        <is>
          <t>Zena Esports</t>
        </is>
      </c>
      <c r="AU51" s="24" t="inlineStr">
        <is>
          <t>Zena Esports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35087e828a0053011a97024de693e2ee7eb80eb03024c91d28d254de09d93778</t>
        </is>
      </c>
      <c r="BB51" s="24" t="inlineStr">
        <is>
          <t>neutral_elo</t>
        </is>
      </c>
      <c r="BC51" s="24" t="inlineStr">
        <is>
          <t>lol-tiered-elo-v3</t>
        </is>
      </c>
      <c r="BD51" s="24" t="inlineStr">
        <is>
          <t>dbc38ecdb090b63690db810d40eb29d0a69435c83dfbf24eb00d22aa42c177ae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lol-tiered-elo-v3</t>
        </is>
      </c>
      <c r="BH51" s="24" t="inlineStr">
        <is>
          <t>2026-07-24T14:52:59.258637Z</t>
        </is>
      </c>
      <c r="BI51" s="24" t="inlineStr">
        <is>
          <t>["same_event","same_team_same_day","same_league_same_day"]</t>
        </is>
      </c>
      <c r="BJ51" s="25" t="n"/>
      <c r="BK51" s="26" t="n">
        <v>-163</v>
      </c>
      <c r="BL51" s="27" t="n">
        <v>1.613497</v>
      </c>
      <c r="BM51" s="28" t="n">
        <v>0.619772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</row>
    <row r="52" ht="36" customHeight="1">
      <c r="A52" s="24" t="inlineStr">
        <is>
          <t>2900b22a279a470d</t>
        </is>
      </c>
      <c r="B52" s="24" t="inlineStr">
        <is>
          <t>2026-07-24T14:53:28.957498Z</t>
        </is>
      </c>
      <c r="C52" s="24" t="inlineStr">
        <is>
          <t>2026-07-24T18:00:00Z</t>
        </is>
      </c>
      <c r="D52" s="24" t="inlineStr">
        <is>
          <t>52909</t>
        </is>
      </c>
      <c r="E52" s="24" t="inlineStr">
        <is>
          <t>CS2</t>
        </is>
      </c>
      <c r="F52" s="24" t="inlineStr">
        <is>
          <t>EvolupeGG</t>
        </is>
      </c>
      <c r="G52" s="24" t="inlineStr">
        <is>
          <t>PURE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127</v>
      </c>
      <c r="M52" s="27" t="n">
        <v>2.27</v>
      </c>
      <c r="N52" s="28" t="n">
        <v>0.440529</v>
      </c>
      <c r="O52" s="28" t="n">
        <v>0.45286</v>
      </c>
      <c r="P52" s="28" t="n"/>
      <c r="Q52" s="28" t="n">
        <v>0.012331</v>
      </c>
      <c r="R52" s="26" t="n">
        <v>50</v>
      </c>
      <c r="S52" s="29" t="n">
        <v>1</v>
      </c>
      <c r="T52" s="24" t="inlineStr">
        <is>
          <t>cs2-tiered-elo-v4</t>
        </is>
      </c>
      <c r="U52" s="24" t="inlineStr">
        <is>
          <t>settled</t>
        </is>
      </c>
      <c r="V52" s="24" t="inlineStr">
        <is>
          <t>loss</t>
        </is>
      </c>
      <c r="W52" s="26" t="n">
        <v>0</v>
      </c>
      <c r="X52" s="26" t="n">
        <v>1</v>
      </c>
      <c r="Y52" s="25" t="n"/>
      <c r="Z52" s="26" t="n"/>
      <c r="AA52" s="28" t="n"/>
      <c r="AB52" s="28" t="n"/>
      <c r="AC52" s="30" t="n">
        <v>-1</v>
      </c>
      <c r="AD52" s="24" t="inlineStr">
        <is>
          <t>2026-07-24T21:16:45.991173Z</t>
        </is>
      </c>
      <c r="AE52" s="31" t="inlineStr">
        <is>
          <t>Neutral Elo baseline; executable ask 0.4400 (market_slug=aec-cs2-pure-evo-2026-07-16).</t>
        </is>
      </c>
      <c r="AF52" s="31" t="inlineStr">
        <is>
          <t>Config-promoted esports baseline; gates enforced at log time.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NO_CALL_LOW_EDGE</t>
        </is>
      </c>
      <c r="AP52" s="24" t="inlineStr">
        <is>
          <t>EvolupeGG</t>
        </is>
      </c>
      <c r="AQ52" s="24" t="inlineStr">
        <is>
          <t>EvolupeGG</t>
        </is>
      </c>
      <c r="AR52" s="24" t="inlineStr">
        <is>
          <t>EvolupeGG</t>
        </is>
      </c>
      <c r="AS52" s="24" t="inlineStr">
        <is>
          <t>PURE</t>
        </is>
      </c>
      <c r="AT52" s="24" t="inlineStr">
        <is>
          <t>PURE</t>
        </is>
      </c>
      <c r="AU52" s="24" t="inlineStr">
        <is>
          <t>PURE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e9c327ce15d79aaa8ed5032a6fb86929aaa479e14a8bc9a35686411400dd6b91</t>
        </is>
      </c>
      <c r="BB52" s="24" t="inlineStr">
        <is>
          <t>neutral_elo</t>
        </is>
      </c>
      <c r="BC52" s="24" t="inlineStr">
        <is>
          <t>cs2-tiered-elo-v3</t>
        </is>
      </c>
      <c r="BD52" s="24" t="inlineStr">
        <is>
          <t>48424b79d75fc1173c9c465d95feb6fc041a2ccfbc64455058b3f74905ce28d5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cs2-tiered-elo-v3</t>
        </is>
      </c>
      <c r="BH52" s="24" t="inlineStr">
        <is>
          <t>2026-07-24T14:53:21.735830Z</t>
        </is>
      </c>
      <c r="BI52" s="24" t="inlineStr">
        <is>
          <t>["same_event","same_team_same_day","same_league_same_day"]</t>
        </is>
      </c>
      <c r="BJ52" s="25" t="n"/>
      <c r="BK52" s="26" t="n">
        <v>127</v>
      </c>
      <c r="BL52" s="27" t="n">
        <v>2.27</v>
      </c>
      <c r="BM52" s="28" t="n">
        <v>0.440529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</row>
    <row r="53" ht="36" customHeight="1">
      <c r="A53" s="24" t="inlineStr">
        <is>
          <t>64dd938469894069</t>
        </is>
      </c>
      <c r="B53" s="24" t="inlineStr">
        <is>
          <t>2026-07-24T14:53:52.625583Z</t>
        </is>
      </c>
      <c r="C53" s="24" t="inlineStr">
        <is>
          <t>2026-07-25T08:00:00Z</t>
        </is>
      </c>
      <c r="D53" s="24" t="inlineStr">
        <is>
          <t>59233</t>
        </is>
      </c>
      <c r="E53" s="24" t="inlineStr">
        <is>
          <t>VALORANT</t>
        </is>
      </c>
      <c r="F53" s="24" t="inlineStr">
        <is>
          <t>Global Esports</t>
        </is>
      </c>
      <c r="G53" s="24" t="inlineStr">
        <is>
          <t>Nongshim RedForce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-138</v>
      </c>
      <c r="M53" s="27" t="n">
        <v>1.724638</v>
      </c>
      <c r="N53" s="28" t="n">
        <v>0.579832</v>
      </c>
      <c r="O53" s="28" t="n">
        <v>0.5</v>
      </c>
      <c r="P53" s="28" t="n"/>
      <c r="Q53" s="28" t="n">
        <v>-0.079832</v>
      </c>
      <c r="R53" s="26" t="n">
        <v>0</v>
      </c>
      <c r="S53" s="29" t="n">
        <v>0.5</v>
      </c>
      <c r="T53" s="24" t="inlineStr">
        <is>
          <t>valorant-tiered-elo-v4</t>
        </is>
      </c>
      <c r="U53" s="24" t="inlineStr">
        <is>
          <t>settled</t>
        </is>
      </c>
      <c r="V53" s="24" t="inlineStr">
        <is>
          <t>win</t>
        </is>
      </c>
      <c r="W53" s="26" t="n">
        <v>0</v>
      </c>
      <c r="X53" s="26" t="n">
        <v>1</v>
      </c>
      <c r="Y53" s="25" t="n"/>
      <c r="Z53" s="26" t="n"/>
      <c r="AA53" s="28" t="n"/>
      <c r="AB53" s="28" t="n"/>
      <c r="AC53" s="30" t="n">
        <v>0.3623</v>
      </c>
      <c r="AD53" s="24" t="inlineStr">
        <is>
          <t>2026-07-25T15:26:08.394040Z</t>
        </is>
      </c>
      <c r="AE53" s="31" t="inlineStr">
        <is>
          <t>Neutral Elo baseline; executable ask 0.5800 (market_slug=aec-valorant-ns-ge-2026-07-25).</t>
        </is>
      </c>
      <c r="AF53" s="31" t="inlineStr">
        <is>
          <t>Config-promoted esports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research_observation</t>
        </is>
      </c>
      <c r="AL53" s="26" t="n">
        <v>3</v>
      </c>
      <c r="AM53" s="24" t="inlineStr">
        <is>
          <t>RESEARCH_OBSERVATION</t>
        </is>
      </c>
      <c r="AN53" s="24" t="inlineStr">
        <is>
          <t>NO_CALL</t>
        </is>
      </c>
      <c r="AO53" s="24" t="inlineStr">
        <is>
          <t>NO_CALL_LOW_EDGE</t>
        </is>
      </c>
      <c r="AP53" s="24" t="inlineStr">
        <is>
          <t>Global Esports</t>
        </is>
      </c>
      <c r="AQ53" s="24" t="inlineStr">
        <is>
          <t>Global Esports</t>
        </is>
      </c>
      <c r="AR53" s="24" t="inlineStr">
        <is>
          <t>Global Esports</t>
        </is>
      </c>
      <c r="AS53" s="24" t="inlineStr">
        <is>
          <t>Nongshim RedForce</t>
        </is>
      </c>
      <c r="AT53" s="24" t="inlineStr">
        <is>
          <t>Nongshim RedForce</t>
        </is>
      </c>
      <c r="AU53" s="24" t="inlineStr">
        <is>
          <t>Nongshim RedForce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153b0db03af0303675f7eb2520b56d0fd86008f1bb62095f9881ea43a0124bb2</t>
        </is>
      </c>
      <c r="BB53" s="24" t="inlineStr">
        <is>
          <t>neutral_elo</t>
        </is>
      </c>
      <c r="BC53" s="24" t="inlineStr">
        <is>
          <t>valorant-tiered-elo-v3</t>
        </is>
      </c>
      <c r="BD53" s="24" t="inlineStr">
        <is>
          <t>df5a226c64918a54c70b8af3e0cd4abb6c4f42b67acb5547da319458502b0ed4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valorant-tiered-elo-v3</t>
        </is>
      </c>
      <c r="BH53" s="24" t="inlineStr">
        <is>
          <t>2026-07-24T14:53:48.711688Z</t>
        </is>
      </c>
      <c r="BI53" s="24" t="inlineStr">
        <is>
          <t>["same_event","same_team_same_day","same_league_same_day"]</t>
        </is>
      </c>
      <c r="BJ53" s="25" t="n"/>
      <c r="BK53" s="26" t="n">
        <v>-138</v>
      </c>
      <c r="BL53" s="27" t="n">
        <v>1.724638</v>
      </c>
      <c r="BM53" s="28" t="n">
        <v>0.579832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</row>
    <row r="54" ht="36" customHeight="1">
      <c r="A54" s="24" t="inlineStr">
        <is>
          <t>9530e14151804df2</t>
        </is>
      </c>
      <c r="B54" s="24" t="inlineStr">
        <is>
          <t>2026-07-24T14:53:52.625583Z</t>
        </is>
      </c>
      <c r="C54" s="24" t="inlineStr">
        <is>
          <t>2026-07-26T00:00:00Z</t>
        </is>
      </c>
      <c r="D54" s="24" t="inlineStr">
        <is>
          <t>59912</t>
        </is>
      </c>
      <c r="E54" s="24" t="inlineStr">
        <is>
          <t>VALORANT</t>
        </is>
      </c>
      <c r="F54" s="24" t="inlineStr">
        <is>
          <t>LOUD</t>
        </is>
      </c>
      <c r="G54" s="24" t="inlineStr">
        <is>
          <t>Sentinels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-133</v>
      </c>
      <c r="M54" s="27" t="n">
        <v>1.75188</v>
      </c>
      <c r="N54" s="28" t="n">
        <v>0.570815</v>
      </c>
      <c r="O54" s="28" t="n">
        <v>0.5</v>
      </c>
      <c r="P54" s="28" t="n"/>
      <c r="Q54" s="28" t="n">
        <v>-0.070815</v>
      </c>
      <c r="R54" s="26" t="n">
        <v>0</v>
      </c>
      <c r="S54" s="29" t="n">
        <v>0.5</v>
      </c>
      <c r="T54" s="24" t="inlineStr">
        <is>
          <t>valorant-tiered-elo-v4</t>
        </is>
      </c>
      <c r="U54" s="24" t="inlineStr">
        <is>
          <t>settled</t>
        </is>
      </c>
      <c r="V54" s="24" t="inlineStr">
        <is>
          <t>win</t>
        </is>
      </c>
      <c r="W54" s="26" t="n">
        <v>0</v>
      </c>
      <c r="X54" s="26" t="n">
        <v>1</v>
      </c>
      <c r="Y54" s="25" t="n"/>
      <c r="Z54" s="26" t="n"/>
      <c r="AA54" s="28" t="n"/>
      <c r="AB54" s="28" t="n"/>
      <c r="AC54" s="30" t="n">
        <v>0.3759</v>
      </c>
      <c r="AD54" s="24" t="inlineStr">
        <is>
          <t>2026-07-26T03:34:13.640149Z</t>
        </is>
      </c>
      <c r="AE54" s="31" t="inlineStr">
        <is>
          <t>Neutral Elo baseline; executable ask 0.5700 (market_slug=aec-valorant-sen-loud-2026-07-26).</t>
        </is>
      </c>
      <c r="AF54" s="31" t="inlineStr">
        <is>
          <t>Config-promoted esports baseline; gates enforced at log time.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NO_CALL_LOW_EDGE</t>
        </is>
      </c>
      <c r="AP54" s="24" t="inlineStr">
        <is>
          <t>LOUD</t>
        </is>
      </c>
      <c r="AQ54" s="24" t="inlineStr">
        <is>
          <t>LOUD</t>
        </is>
      </c>
      <c r="AR54" s="24" t="inlineStr">
        <is>
          <t>LOUD</t>
        </is>
      </c>
      <c r="AS54" s="24" t="inlineStr">
        <is>
          <t>Sentinels</t>
        </is>
      </c>
      <c r="AT54" s="24" t="inlineStr">
        <is>
          <t>Sentinels</t>
        </is>
      </c>
      <c r="AU54" s="24" t="inlineStr">
        <is>
          <t>Sentinels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153b0db03af0303675f7eb2520b56d0fd86008f1bb62095f9881ea43a0124bb2</t>
        </is>
      </c>
      <c r="BB54" s="24" t="inlineStr">
        <is>
          <t>neutral_elo</t>
        </is>
      </c>
      <c r="BC54" s="24" t="inlineStr">
        <is>
          <t>valorant-tiered-elo-v3</t>
        </is>
      </c>
      <c r="BD54" s="24" t="inlineStr">
        <is>
          <t>df5a226c64918a54c70b8af3e0cd4abb6c4f42b67acb5547da319458502b0ed4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valorant-tiered-elo-v3</t>
        </is>
      </c>
      <c r="BH54" s="24" t="inlineStr">
        <is>
          <t>2026-07-24T14:53:52.623860Z</t>
        </is>
      </c>
      <c r="BI54" s="24" t="inlineStr">
        <is>
          <t>["same_event","same_team_same_day","same_league_same_day"]</t>
        </is>
      </c>
      <c r="BJ54" s="25" t="n"/>
      <c r="BK54" s="26" t="n">
        <v>-133</v>
      </c>
      <c r="BL54" s="27" t="n">
        <v>1.75188</v>
      </c>
      <c r="BM54" s="28" t="n">
        <v>0.570815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</row>
    <row r="55" ht="36" customHeight="1">
      <c r="A55" s="24" t="inlineStr">
        <is>
          <t>79acf4e1e7f0475b</t>
        </is>
      </c>
      <c r="B55" s="24" t="inlineStr">
        <is>
          <t>2026-07-24T15:45:33.271721Z</t>
        </is>
      </c>
      <c r="C55" s="24" t="inlineStr">
        <is>
          <t>2026-07-24T19:00:00Z</t>
        </is>
      </c>
      <c r="D55" s="24" t="inlineStr">
        <is>
          <t>58783</t>
        </is>
      </c>
      <c r="E55" s="24" t="inlineStr">
        <is>
          <t>LOL</t>
        </is>
      </c>
      <c r="F55" s="24" t="inlineStr">
        <is>
          <t>EKO Esports</t>
        </is>
      </c>
      <c r="G55" s="24" t="inlineStr">
        <is>
          <t>Aeterna Esports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133</v>
      </c>
      <c r="M55" s="27" t="n">
        <v>2.33</v>
      </c>
      <c r="N55" s="28" t="n">
        <v>0.429185</v>
      </c>
      <c r="O55" s="28" t="n">
        <v>0.448445</v>
      </c>
      <c r="P55" s="28" t="n"/>
      <c r="Q55" s="28" t="n">
        <v>0.01926</v>
      </c>
      <c r="R55" s="26" t="n">
        <v>62</v>
      </c>
      <c r="S55" s="29" t="n">
        <v>0</v>
      </c>
      <c r="T55" s="24" t="inlineStr">
        <is>
          <t>lol-tiered-elo-v4</t>
        </is>
      </c>
      <c r="U55" s="24" t="inlineStr">
        <is>
          <t>settled</t>
        </is>
      </c>
      <c r="V55" s="24" t="inlineStr">
        <is>
          <t>push</t>
        </is>
      </c>
      <c r="W55" s="26" t="n">
        <v>1</v>
      </c>
      <c r="X55" s="26" t="n">
        <v>0</v>
      </c>
      <c r="Y55" s="25" t="n"/>
      <c r="Z55" s="26" t="n"/>
      <c r="AA55" s="28" t="n"/>
      <c r="AB55" s="28" t="n"/>
      <c r="AC55" s="30" t="n">
        <v>0</v>
      </c>
      <c r="AD55" s="24" t="inlineStr">
        <is>
          <t>2026-07-25T23:18:34.089000Z</t>
        </is>
      </c>
      <c r="AE55" s="31" t="inlineStr">
        <is>
          <t>Neutral Elo baseline; executable ask 0.4300 (market_slug=aec-lol-aee-eko-2026-07-24).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NO_CALL_MODEL_INELIGIBLE</t>
        </is>
      </c>
      <c r="AP55" s="24" t="inlineStr">
        <is>
          <t>EKO Esports</t>
        </is>
      </c>
      <c r="AQ55" s="24" t="inlineStr">
        <is>
          <t>EKO Esports</t>
        </is>
      </c>
      <c r="AR55" s="24" t="inlineStr">
        <is>
          <t>EKO Esports</t>
        </is>
      </c>
      <c r="AS55" s="24" t="inlineStr">
        <is>
          <t>Aeterna Esports</t>
        </is>
      </c>
      <c r="AT55" s="24" t="inlineStr">
        <is>
          <t>Aeterna Esports</t>
        </is>
      </c>
      <c r="AU55" s="24" t="inlineStr">
        <is>
          <t>Aeterna Esports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35087e828a0053011a97024de693e2ee7eb80eb03024c91d28d254de09d93778</t>
        </is>
      </c>
      <c r="BB55" s="24" t="inlineStr">
        <is>
          <t>neutral_elo</t>
        </is>
      </c>
      <c r="BC55" s="24" t="inlineStr">
        <is>
          <t>lol-tiered-elo-v3</t>
        </is>
      </c>
      <c r="BD55" s="24" t="inlineStr">
        <is>
          <t>dbc38ecdb090b63690db810d40eb29d0a69435c83dfbf24eb00d22aa42c177ae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lol-tiered-elo-v3</t>
        </is>
      </c>
      <c r="BH55" s="24" t="inlineStr">
        <is>
          <t>2026-07-24T15:45:23.824161Z</t>
        </is>
      </c>
      <c r="BI55" s="24" t="inlineStr">
        <is>
          <t>["same_event","same_team_same_day","same_league_same_day"]</t>
        </is>
      </c>
      <c r="BJ55" s="25" t="n"/>
      <c r="BK55" s="26" t="n">
        <v>133</v>
      </c>
      <c r="BL55" s="27" t="n">
        <v>2.33</v>
      </c>
      <c r="BM55" s="28" t="n">
        <v>0.429185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inlineStr">
        <is>
          <t>model_prob_below_0.5_bug: selected side was never actually favored by the model (pre-fix esports logging bug in _log_esports_forecast, fixed 2026-07-25 with model_prob&lt;0.5 guard)</t>
        </is>
      </c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</row>
    <row r="56" ht="36" customHeight="1">
      <c r="A56" s="24" t="inlineStr">
        <is>
          <t>90457e5609cd4c46</t>
        </is>
      </c>
      <c r="B56" s="24" t="inlineStr">
        <is>
          <t>2026-07-24T15:45:51.867274Z</t>
        </is>
      </c>
      <c r="C56" s="24" t="inlineStr">
        <is>
          <t>2026-07-24T17:00:00Z</t>
        </is>
      </c>
      <c r="D56" s="24" t="inlineStr">
        <is>
          <t>60582</t>
        </is>
      </c>
      <c r="E56" s="24" t="inlineStr">
        <is>
          <t>CS2</t>
        </is>
      </c>
      <c r="F56" s="24" t="inlineStr">
        <is>
          <t>Sangal ALTERS</t>
        </is>
      </c>
      <c r="G56" s="24" t="inlineStr">
        <is>
          <t>Younglings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122</v>
      </c>
      <c r="M56" s="27" t="n">
        <v>2.22</v>
      </c>
      <c r="N56" s="28" t="n">
        <v>0.45045</v>
      </c>
      <c r="O56" s="28" t="n">
        <v>0.673388</v>
      </c>
      <c r="P56" s="28" t="n"/>
      <c r="Q56" s="28" t="n">
        <v>0.222938</v>
      </c>
      <c r="R56" s="26" t="n">
        <v>100</v>
      </c>
      <c r="S56" s="29" t="n">
        <v>2</v>
      </c>
      <c r="T56" s="24" t="inlineStr">
        <is>
          <t>cs2-tiered-elo-v4</t>
        </is>
      </c>
      <c r="U56" s="24" t="inlineStr">
        <is>
          <t>settled</t>
        </is>
      </c>
      <c r="V56" s="24" t="inlineStr">
        <is>
          <t>win</t>
        </is>
      </c>
      <c r="W56" s="26" t="n">
        <v>0</v>
      </c>
      <c r="X56" s="26" t="n">
        <v>1</v>
      </c>
      <c r="Y56" s="25" t="n"/>
      <c r="Z56" s="26" t="n"/>
      <c r="AA56" s="28" t="n"/>
      <c r="AB56" s="28" t="n"/>
      <c r="AC56" s="30" t="n">
        <v>2.44</v>
      </c>
      <c r="AD56" s="24" t="inlineStr">
        <is>
          <t>2026-07-24T18:12:38.932425Z</t>
        </is>
      </c>
      <c r="AE56" s="31" t="inlineStr">
        <is>
          <t>Neutral Elo baseline; executable ask 0.4500 (market_slug=aec-cs2-yl-sng-2026-07-24).</t>
        </is>
      </c>
      <c r="AF56" s="31" t="inlineStr">
        <is>
          <t>Config-promoted esports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NO_CALL_LARGE_DISAGREEMENT_REVIEW</t>
        </is>
      </c>
      <c r="AP56" s="24" t="inlineStr">
        <is>
          <t>Sangal ALTERS</t>
        </is>
      </c>
      <c r="AQ56" s="24" t="inlineStr">
        <is>
          <t>Sangal ALTERS</t>
        </is>
      </c>
      <c r="AR56" s="24" t="inlineStr">
        <is>
          <t>Sangal ALTERS</t>
        </is>
      </c>
      <c r="AS56" s="24" t="inlineStr">
        <is>
          <t>Younglings</t>
        </is>
      </c>
      <c r="AT56" s="24" t="inlineStr">
        <is>
          <t>Younglings</t>
        </is>
      </c>
      <c r="AU56" s="24" t="inlineStr">
        <is>
          <t>Younglings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e9c327ce15d79aaa8ed5032a6fb86929aaa479e14a8bc9a35686411400dd6b91</t>
        </is>
      </c>
      <c r="BB56" s="24" t="inlineStr">
        <is>
          <t>neutral_elo</t>
        </is>
      </c>
      <c r="BC56" s="24" t="inlineStr">
        <is>
          <t>cs2-tiered-elo-v3</t>
        </is>
      </c>
      <c r="BD56" s="24" t="inlineStr">
        <is>
          <t>48424b79d75fc1173c9c465d95feb6fc041a2ccfbc64455058b3f74905ce28d5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cs2-tiered-elo-v3</t>
        </is>
      </c>
      <c r="BH56" s="24" t="inlineStr">
        <is>
          <t>2026-07-24T15:45:41.851862Z</t>
        </is>
      </c>
      <c r="BI56" s="24" t="inlineStr">
        <is>
          <t>["same_event","same_team_same_day","same_league_same_day"]</t>
        </is>
      </c>
      <c r="BJ56" s="25" t="n"/>
      <c r="BK56" s="26" t="n">
        <v>122</v>
      </c>
      <c r="BL56" s="27" t="n">
        <v>2.22</v>
      </c>
      <c r="BM56" s="28" t="n">
        <v>0.45045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</row>
    <row r="57" ht="36" customHeight="1">
      <c r="A57" s="24" t="inlineStr">
        <is>
          <t>2de8bb1e586a448d</t>
        </is>
      </c>
      <c r="B57" s="24" t="inlineStr">
        <is>
          <t>2026-07-24T16:27:26.191723Z</t>
        </is>
      </c>
      <c r="C57" s="24" t="inlineStr">
        <is>
          <t>2026-07-24T17:00:00Z</t>
        </is>
      </c>
      <c r="D57" s="24" t="inlineStr">
        <is>
          <t>59683</t>
        </is>
      </c>
      <c r="E57" s="24" t="inlineStr">
        <is>
          <t>CS2</t>
        </is>
      </c>
      <c r="F57" s="24" t="inlineStr">
        <is>
          <t>G2 Ares</t>
        </is>
      </c>
      <c r="G57" s="24" t="inlineStr">
        <is>
          <t>Butterfly</t>
        </is>
      </c>
      <c r="H57" s="24" t="inlineStr">
        <is>
          <t>moneyline</t>
        </is>
      </c>
      <c r="I57" s="24" t="inlineStr">
        <is>
          <t>away</t>
        </is>
      </c>
      <c r="J57" s="25" t="n"/>
      <c r="K57" s="24" t="inlineStr">
        <is>
          <t>polymarket_us</t>
        </is>
      </c>
      <c r="L57" s="26" t="n">
        <v>100</v>
      </c>
      <c r="M57" s="27" t="n">
        <v>2</v>
      </c>
      <c r="N57" s="28" t="n">
        <v>0.5</v>
      </c>
      <c r="O57" s="28" t="n">
        <v>0.5</v>
      </c>
      <c r="P57" s="28" t="n"/>
      <c r="Q57" s="28" t="n">
        <v>0.117705</v>
      </c>
      <c r="R57" s="26" t="n">
        <v>100</v>
      </c>
      <c r="S57" s="29" t="n">
        <v>0.5</v>
      </c>
      <c r="T57" s="24" t="inlineStr">
        <is>
          <t>cs2-tiered-elo-v4</t>
        </is>
      </c>
      <c r="U57" s="24" t="inlineStr">
        <is>
          <t>settled</t>
        </is>
      </c>
      <c r="V57" s="24" t="inlineStr">
        <is>
          <t>win</t>
        </is>
      </c>
      <c r="W57" s="26" t="n">
        <v>1</v>
      </c>
      <c r="X57" s="26" t="n">
        <v>0</v>
      </c>
      <c r="Y57" s="25" t="n"/>
      <c r="Z57" s="26" t="n"/>
      <c r="AA57" s="28" t="n"/>
      <c r="AB57" s="28" t="n"/>
      <c r="AC57" s="30" t="n">
        <v>0.5</v>
      </c>
      <c r="AD57" s="24" t="inlineStr">
        <is>
          <t>2026-07-24T21:16:49.358150Z</t>
        </is>
      </c>
      <c r="AE57" s="31" t="inlineStr">
        <is>
          <t>Neutral Elo baseline; executable ask 0.5000 (market_slug=aec-cs2-btf-g2a-2026-07-24).</t>
        </is>
      </c>
      <c r="AF57" s="31" t="inlineStr">
        <is>
          <t>Config-promoted esports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NO_CALL_LARGE_DISAGREEMENT_REVIEW</t>
        </is>
      </c>
      <c r="AP57" s="24" t="inlineStr">
        <is>
          <t>G2 Ares</t>
        </is>
      </c>
      <c r="AQ57" s="24" t="inlineStr">
        <is>
          <t>G2 Ares</t>
        </is>
      </c>
      <c r="AR57" s="24" t="inlineStr">
        <is>
          <t>G2 Ares</t>
        </is>
      </c>
      <c r="AS57" s="24" t="inlineStr">
        <is>
          <t>Butterfly</t>
        </is>
      </c>
      <c r="AT57" s="24" t="inlineStr">
        <is>
          <t>Butterfly</t>
        </is>
      </c>
      <c r="AU57" s="24" t="inlineStr">
        <is>
          <t>Butterfly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e9c327ce15d79aaa8ed5032a6fb86929aaa479e14a8bc9a35686411400dd6b91</t>
        </is>
      </c>
      <c r="BB57" s="24" t="inlineStr">
        <is>
          <t>neutral_elo</t>
        </is>
      </c>
      <c r="BC57" s="24" t="inlineStr">
        <is>
          <t>cs2-tiered-elo-v4</t>
        </is>
      </c>
      <c r="BD57" s="24" t="inlineStr">
        <is>
          <t>e9c327ce15d79aaa8ed5032a6fb86929aaa479e14a8bc9a35686411400dd6b91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cs2-tiered-elo-v4</t>
        </is>
      </c>
      <c r="BH57" s="24" t="inlineStr">
        <is>
          <t>2026-07-24T16:27:16.426346Z</t>
        </is>
      </c>
      <c r="BI57" s="24" t="inlineStr">
        <is>
          <t>["same_event","same_team_same_day","same_league_same_day"]</t>
        </is>
      </c>
      <c r="BJ57" s="25" t="n"/>
      <c r="BK57" s="26" t="n">
        <v>100</v>
      </c>
      <c r="BL57" s="27" t="n">
        <v>2</v>
      </c>
      <c r="BM57" s="28" t="n">
        <v>0.5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</row>
    <row r="58" ht="36" customHeight="1">
      <c r="A58" s="24" t="inlineStr">
        <is>
          <t>a86a54396d904849</t>
        </is>
      </c>
      <c r="B58" s="24" t="inlineStr">
        <is>
          <t>2026-07-24T18:14:35.666853Z</t>
        </is>
      </c>
      <c r="C58" s="24" t="inlineStr">
        <is>
          <t>2026-07-25T14:00:00Z</t>
        </is>
      </c>
      <c r="D58" s="24" t="inlineStr">
        <is>
          <t>60784</t>
        </is>
      </c>
      <c r="E58" s="24" t="inlineStr">
        <is>
          <t>CS2</t>
        </is>
      </c>
      <c r="F58" s="24" t="inlineStr">
        <is>
          <t>NEW VISION</t>
        </is>
      </c>
      <c r="G58" s="24" t="inlineStr">
        <is>
          <t>Benched gods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-203</v>
      </c>
      <c r="M58" s="27" t="n">
        <v>1.492611</v>
      </c>
      <c r="N58" s="28" t="n">
        <v>0.669967</v>
      </c>
      <c r="O58" s="28" t="n">
        <v>0.722253</v>
      </c>
      <c r="P58" s="28" t="n"/>
      <c r="Q58" s="28" t="n">
        <v>0.052286</v>
      </c>
      <c r="R58" s="26" t="n">
        <v>46</v>
      </c>
      <c r="S58" s="29" t="n">
        <v>2</v>
      </c>
      <c r="T58" s="24" t="inlineStr">
        <is>
          <t>cs2-tiered-elo-v4</t>
        </is>
      </c>
      <c r="U58" s="24" t="inlineStr">
        <is>
          <t>settled</t>
        </is>
      </c>
      <c r="V58" s="24" t="inlineStr">
        <is>
          <t>loss</t>
        </is>
      </c>
      <c r="W58" s="26" t="n">
        <v>1</v>
      </c>
      <c r="X58" s="26" t="n">
        <v>0</v>
      </c>
      <c r="Y58" s="25" t="n"/>
      <c r="Z58" s="26" t="n"/>
      <c r="AA58" s="28" t="n"/>
      <c r="AB58" s="28" t="n"/>
      <c r="AC58" s="30" t="n">
        <v>-2</v>
      </c>
      <c r="AD58" s="24" t="inlineStr">
        <is>
          <t>2026-07-25T15:26:11.021135Z</t>
        </is>
      </c>
      <c r="AE58" s="31" t="inlineStr">
        <is>
          <t>Neutral Elo baseline; executable ask 0.6700 (market_slug=aec-cs2-bge-nve-2026-07-25).</t>
        </is>
      </c>
      <c r="AF58" s="31" t="inlineStr">
        <is>
          <t>Config-promoted esports baseline; gates enforced at log time.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NO_CALL_LOW_EDGE</t>
        </is>
      </c>
      <c r="AP58" s="24" t="inlineStr">
        <is>
          <t>NEW VISION</t>
        </is>
      </c>
      <c r="AQ58" s="24" t="inlineStr">
        <is>
          <t>NEW VISION</t>
        </is>
      </c>
      <c r="AR58" s="24" t="inlineStr">
        <is>
          <t>NEW VISION</t>
        </is>
      </c>
      <c r="AS58" s="24" t="inlineStr">
        <is>
          <t>Benched gods</t>
        </is>
      </c>
      <c r="AT58" s="24" t="inlineStr">
        <is>
          <t>Benched gods</t>
        </is>
      </c>
      <c r="AU58" s="24" t="inlineStr">
        <is>
          <t>Benched gods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e9c327ce15d79aaa8ed5032a6fb86929aaa479e14a8bc9a35686411400dd6b91</t>
        </is>
      </c>
      <c r="BB58" s="24" t="inlineStr">
        <is>
          <t>neutral_elo</t>
        </is>
      </c>
      <c r="BC58" s="24" t="inlineStr">
        <is>
          <t>cs2-tiered-elo-v4</t>
        </is>
      </c>
      <c r="BD58" s="24" t="inlineStr">
        <is>
          <t>e9c327ce15d79aaa8ed5032a6fb86929aaa479e14a8bc9a35686411400dd6b91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cs2-tiered-elo-v4</t>
        </is>
      </c>
      <c r="BH58" s="24" t="inlineStr">
        <is>
          <t>2026-07-24T18:14:33.904607Z</t>
        </is>
      </c>
      <c r="BI58" s="24" t="inlineStr">
        <is>
          <t>["same_event","same_team_same_day","same_league_same_day"]</t>
        </is>
      </c>
      <c r="BJ58" s="25" t="n"/>
      <c r="BK58" s="26" t="n">
        <v>-203</v>
      </c>
      <c r="BL58" s="27" t="n">
        <v>1.492611</v>
      </c>
      <c r="BM58" s="28" t="n">
        <v>0.669967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</row>
    <row r="59" ht="36" customHeight="1">
      <c r="A59" s="24" t="inlineStr">
        <is>
          <t>644b0705035d477b</t>
        </is>
      </c>
      <c r="B59" s="24" t="inlineStr">
        <is>
          <t>2026-07-24T21:18:47.810497Z</t>
        </is>
      </c>
      <c r="C59" s="24" t="inlineStr">
        <is>
          <t>2026-07-25T13:00:00Z</t>
        </is>
      </c>
      <c r="D59" s="24" t="inlineStr">
        <is>
          <t>60553</t>
        </is>
      </c>
      <c r="E59" s="24" t="inlineStr">
        <is>
          <t>DOTA2</t>
        </is>
      </c>
      <c r="F59" s="24" t="inlineStr">
        <is>
          <t>Team Syntax</t>
        </is>
      </c>
      <c r="G59" s="24" t="inlineStr">
        <is>
          <t>RE.Arise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-156</v>
      </c>
      <c r="M59" s="27" t="n">
        <v>1.641026</v>
      </c>
      <c r="N59" s="28" t="n">
        <v>0.609375</v>
      </c>
      <c r="O59" s="28" t="n">
        <v>0.521452</v>
      </c>
      <c r="P59" s="28" t="n"/>
      <c r="Q59" s="28" t="n">
        <v>-0.087923</v>
      </c>
      <c r="R59" s="26" t="n">
        <v>0</v>
      </c>
      <c r="S59" s="29" t="n">
        <v>0.75</v>
      </c>
      <c r="T59" s="24" t="inlineStr">
        <is>
          <t>dota2-tiered-elo-v4</t>
        </is>
      </c>
      <c r="U59" s="24" t="inlineStr">
        <is>
          <t>settled</t>
        </is>
      </c>
      <c r="V59" s="24" t="inlineStr">
        <is>
          <t>win</t>
        </is>
      </c>
      <c r="W59" s="26" t="n">
        <v>0</v>
      </c>
      <c r="X59" s="26" t="n">
        <v>1</v>
      </c>
      <c r="Y59" s="25" t="n"/>
      <c r="Z59" s="26" t="n"/>
      <c r="AA59" s="28" t="n"/>
      <c r="AB59" s="28" t="n"/>
      <c r="AC59" s="30" t="n">
        <v>0.4808</v>
      </c>
      <c r="AD59" s="24" t="inlineStr">
        <is>
          <t>2026-07-25T15:26:14.089964Z</t>
        </is>
      </c>
      <c r="AE59" s="31" t="inlineStr">
        <is>
          <t>Neutral Elo baseline; executable ask 0.6100 (market_slug=aec-dota2-rae-stx-2026-07-25).</t>
        </is>
      </c>
      <c r="AF59" s="31" t="inlineStr">
        <is>
          <t>Config-promoted esports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NO_CALL_LOW_EDGE</t>
        </is>
      </c>
      <c r="AP59" s="24" t="inlineStr">
        <is>
          <t>Team Syntax</t>
        </is>
      </c>
      <c r="AQ59" s="24" t="inlineStr">
        <is>
          <t>Team Syntax</t>
        </is>
      </c>
      <c r="AR59" s="24" t="inlineStr">
        <is>
          <t>Team Syntax</t>
        </is>
      </c>
      <c r="AS59" s="24" t="inlineStr">
        <is>
          <t>RE.Arise</t>
        </is>
      </c>
      <c r="AT59" s="24" t="inlineStr">
        <is>
          <t>RE.Arise</t>
        </is>
      </c>
      <c r="AU59" s="24" t="inlineStr">
        <is>
          <t>RE.Arise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d08d23d003cdc05b1cc5be7d2e52d9f477153e66ad3c7ec5e0f446618fcfe82f</t>
        </is>
      </c>
      <c r="BB59" s="24" t="inlineStr">
        <is>
          <t>neutral_elo</t>
        </is>
      </c>
      <c r="BC59" s="24" t="inlineStr">
        <is>
          <t>dota2-tiered-elo-v4</t>
        </is>
      </c>
      <c r="BD59" s="24" t="inlineStr">
        <is>
          <t>d08d23d003cdc05b1cc5be7d2e52d9f477153e66ad3c7ec5e0f446618fcfe82f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dota2-tiered-elo-v4</t>
        </is>
      </c>
      <c r="BH59" s="24" t="inlineStr">
        <is>
          <t>2026-07-24T21:18:46.692803Z</t>
        </is>
      </c>
      <c r="BI59" s="24" t="inlineStr">
        <is>
          <t>["same_event","same_team_same_day","same_league_same_day"]</t>
        </is>
      </c>
      <c r="BJ59" s="25" t="n"/>
      <c r="BK59" s="26" t="n">
        <v>-156</v>
      </c>
      <c r="BL59" s="27" t="n">
        <v>1.641026</v>
      </c>
      <c r="BM59" s="28" t="n">
        <v>0.609375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</row>
    <row r="60" ht="36" customHeight="1">
      <c r="A60" s="24" t="inlineStr">
        <is>
          <t>839b3455178e47fd</t>
        </is>
      </c>
      <c r="B60" s="24" t="inlineStr">
        <is>
          <t>2026-07-24T23:41:30.416364Z</t>
        </is>
      </c>
      <c r="C60" s="24" t="inlineStr">
        <is>
          <t>2026-07-25T08:00:00Z</t>
        </is>
      </c>
      <c r="D60" s="24" t="inlineStr">
        <is>
          <t>61025</t>
        </is>
      </c>
      <c r="E60" s="24" t="inlineStr">
        <is>
          <t>CS2</t>
        </is>
      </c>
      <c r="F60" s="24" t="inlineStr">
        <is>
          <t>Endless Journey</t>
        </is>
      </c>
      <c r="G60" s="24" t="inlineStr">
        <is>
          <t>CYBERSHOKE Prospects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-213</v>
      </c>
      <c r="M60" s="27" t="n">
        <v>1.469484</v>
      </c>
      <c r="N60" s="28" t="n">
        <v>0.680511</v>
      </c>
      <c r="O60" s="28" t="n">
        <v>0.548621</v>
      </c>
      <c r="P60" s="28" t="n"/>
      <c r="Q60" s="28" t="n">
        <v>-0.13189</v>
      </c>
      <c r="R60" s="26" t="n">
        <v>0</v>
      </c>
      <c r="S60" s="29" t="n">
        <v>1</v>
      </c>
      <c r="T60" s="24" t="inlineStr">
        <is>
          <t>cs2-tiered-elo-v4</t>
        </is>
      </c>
      <c r="U60" s="24" t="inlineStr">
        <is>
          <t>settled</t>
        </is>
      </c>
      <c r="V60" s="24" t="inlineStr">
        <is>
          <t>push</t>
        </is>
      </c>
      <c r="W60" s="26" t="n"/>
      <c r="X60" s="26" t="n"/>
      <c r="Y60" s="25" t="n"/>
      <c r="Z60" s="26" t="n"/>
      <c r="AA60" s="28" t="n"/>
      <c r="AB60" s="28" t="n"/>
      <c r="AC60" s="30" t="n">
        <v>0</v>
      </c>
      <c r="AD60" s="24" t="inlineStr">
        <is>
          <t>2026-07-26T06:55:08.570501Z</t>
        </is>
      </c>
      <c r="AE60" s="31" t="inlineStr">
        <is>
          <t>Neutral Elo baseline; executable ask 0.6800 (market_slug=aec-cs2-cshp-ej-2026-07-25).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NO_CALL_LARGE_DISAGREEMENT_REVIEW</t>
        </is>
      </c>
      <c r="AP60" s="24" t="inlineStr">
        <is>
          <t>Endless Journey</t>
        </is>
      </c>
      <c r="AQ60" s="24" t="inlineStr">
        <is>
          <t>Endless Journey</t>
        </is>
      </c>
      <c r="AR60" s="24" t="inlineStr">
        <is>
          <t>Endless Journey</t>
        </is>
      </c>
      <c r="AS60" s="24" t="inlineStr">
        <is>
          <t>CYBERSHOKE Prospects</t>
        </is>
      </c>
      <c r="AT60" s="24" t="inlineStr">
        <is>
          <t>CYBERSHOKE Prospects</t>
        </is>
      </c>
      <c r="AU60" s="24" t="inlineStr">
        <is>
          <t>CYBERSHOKE Prospects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e9c327ce15d79aaa8ed5032a6fb86929aaa479e14a8bc9a35686411400dd6b91</t>
        </is>
      </c>
      <c r="BB60" s="24" t="inlineStr">
        <is>
          <t>neutral_elo</t>
        </is>
      </c>
      <c r="BC60" s="24" t="inlineStr">
        <is>
          <t>cs2-tiered-elo-v4</t>
        </is>
      </c>
      <c r="BD60" s="24" t="inlineStr">
        <is>
          <t>e9c327ce15d79aaa8ed5032a6fb86929aaa479e14a8bc9a35686411400dd6b91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cs2-tiered-elo-v4</t>
        </is>
      </c>
      <c r="BH60" s="24" t="inlineStr">
        <is>
          <t>2026-07-24T23:41:14.296397Z</t>
        </is>
      </c>
      <c r="BI60" s="24" t="inlineStr">
        <is>
          <t>["same_event","same_team_same_day","same_league_same_day"]</t>
        </is>
      </c>
      <c r="BJ60" s="25" t="n"/>
      <c r="BK60" s="26" t="n">
        <v>-213</v>
      </c>
      <c r="BL60" s="27" t="n">
        <v>1.469484</v>
      </c>
      <c r="BM60" s="28" t="n">
        <v>0.680511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inlineStr">
        <is>
          <t>esports market settled to a non-binary price (forfeit/postponement per market rules)</t>
        </is>
      </c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</row>
    <row r="61" ht="36" customHeight="1">
      <c r="A61" s="24" t="inlineStr">
        <is>
          <t>dd87ccc1546b4e35</t>
        </is>
      </c>
      <c r="B61" s="24" t="inlineStr">
        <is>
          <t>2026-07-24T23:41:30.416364Z</t>
        </is>
      </c>
      <c r="C61" s="24" t="inlineStr">
        <is>
          <t>2026-07-25T08:00:00Z</t>
        </is>
      </c>
      <c r="D61" s="24" t="inlineStr">
        <is>
          <t>61036</t>
        </is>
      </c>
      <c r="E61" s="24" t="inlineStr">
        <is>
          <t>CS2</t>
        </is>
      </c>
      <c r="F61" s="24" t="inlineStr">
        <is>
          <t>Inner Circle Academy</t>
        </is>
      </c>
      <c r="G61" s="24" t="inlineStr">
        <is>
          <t>G2 Ares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100</v>
      </c>
      <c r="M61" s="27" t="n">
        <v>2</v>
      </c>
      <c r="N61" s="28" t="n">
        <v>0.5</v>
      </c>
      <c r="O61" s="28" t="n">
        <v>0.532666</v>
      </c>
      <c r="P61" s="28" t="n"/>
      <c r="Q61" s="28" t="n">
        <v>0.032666</v>
      </c>
      <c r="R61" s="26" t="n">
        <v>36</v>
      </c>
      <c r="S61" s="29" t="n">
        <v>0.75</v>
      </c>
      <c r="T61" s="24" t="inlineStr">
        <is>
          <t>cs2-tiered-elo-v4</t>
        </is>
      </c>
      <c r="U61" s="24" t="inlineStr">
        <is>
          <t>settled</t>
        </is>
      </c>
      <c r="V61" s="24" t="inlineStr">
        <is>
          <t>loss</t>
        </is>
      </c>
      <c r="W61" s="26" t="n">
        <v>0</v>
      </c>
      <c r="X61" s="26" t="n">
        <v>1</v>
      </c>
      <c r="Y61" s="25" t="n"/>
      <c r="Z61" s="26" t="n"/>
      <c r="AA61" s="28" t="n"/>
      <c r="AB61" s="28" t="n"/>
      <c r="AC61" s="30" t="n">
        <v>-0.75</v>
      </c>
      <c r="AD61" s="24" t="inlineStr">
        <is>
          <t>2026-07-25T15:26:18.831986Z</t>
        </is>
      </c>
      <c r="AE61" s="31" t="inlineStr">
        <is>
          <t>Neutral Elo baseline; executable ask 0.5000 (market_slug=aec-cs2-g2a-ica-2026-07-25).</t>
        </is>
      </c>
      <c r="AF61" s="31" t="inlineStr">
        <is>
          <t>Config-promoted esports baseline; gates enforced at log time.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NO_CALL_LOW_EDGE</t>
        </is>
      </c>
      <c r="AP61" s="24" t="inlineStr">
        <is>
          <t>Inner Circle Academy</t>
        </is>
      </c>
      <c r="AQ61" s="24" t="inlineStr">
        <is>
          <t>Inner Circle Academy</t>
        </is>
      </c>
      <c r="AR61" s="24" t="inlineStr">
        <is>
          <t>Inner Circle Academy</t>
        </is>
      </c>
      <c r="AS61" s="24" t="inlineStr">
        <is>
          <t>G2 Ares</t>
        </is>
      </c>
      <c r="AT61" s="24" t="inlineStr">
        <is>
          <t>G2 Ares</t>
        </is>
      </c>
      <c r="AU61" s="24" t="inlineStr">
        <is>
          <t>G2 Ares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e9c327ce15d79aaa8ed5032a6fb86929aaa479e14a8bc9a35686411400dd6b91</t>
        </is>
      </c>
      <c r="BB61" s="24" t="inlineStr">
        <is>
          <t>neutral_elo</t>
        </is>
      </c>
      <c r="BC61" s="24" t="inlineStr">
        <is>
          <t>cs2-tiered-elo-v4</t>
        </is>
      </c>
      <c r="BD61" s="24" t="inlineStr">
        <is>
          <t>e9c327ce15d79aaa8ed5032a6fb86929aaa479e14a8bc9a35686411400dd6b91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cs2-tiered-elo-v4</t>
        </is>
      </c>
      <c r="BH61" s="24" t="inlineStr">
        <is>
          <t>2026-07-24T23:41:14.872433Z</t>
        </is>
      </c>
      <c r="BI61" s="24" t="inlineStr">
        <is>
          <t>["same_event","same_team_same_day","same_league_same_day"]</t>
        </is>
      </c>
      <c r="BJ61" s="25" t="n"/>
      <c r="BK61" s="26" t="n">
        <v>100</v>
      </c>
      <c r="BL61" s="27" t="n">
        <v>2</v>
      </c>
      <c r="BM61" s="28" t="n">
        <v>0.5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</row>
    <row r="62" ht="36" customHeight="1">
      <c r="A62" s="24" t="inlineStr">
        <is>
          <t>2376b6dcc4174f68</t>
        </is>
      </c>
      <c r="B62" s="24" t="inlineStr">
        <is>
          <t>2026-07-24T23:41:30.416364Z</t>
        </is>
      </c>
      <c r="C62" s="24" t="inlineStr">
        <is>
          <t>2026-07-25T10:00:00Z</t>
        </is>
      </c>
      <c r="D62" s="24" t="inlineStr">
        <is>
          <t>61211</t>
        </is>
      </c>
      <c r="E62" s="24" t="inlineStr">
        <is>
          <t>CS2</t>
        </is>
      </c>
      <c r="F62" s="24" t="inlineStr">
        <is>
          <t>FaZe</t>
        </is>
      </c>
      <c r="G62" s="24" t="inlineStr">
        <is>
          <t>DENDELE CS</t>
        </is>
      </c>
      <c r="H62" s="24" t="inlineStr">
        <is>
          <t>moneyline</t>
        </is>
      </c>
      <c r="I62" s="24" t="inlineStr">
        <is>
          <t>away</t>
        </is>
      </c>
      <c r="J62" s="25" t="n"/>
      <c r="K62" s="24" t="inlineStr">
        <is>
          <t>polymarket_us</t>
        </is>
      </c>
      <c r="L62" s="26" t="n">
        <v>-178</v>
      </c>
      <c r="M62" s="27" t="n">
        <v>1.561798</v>
      </c>
      <c r="N62" s="28" t="n">
        <v>0.640288</v>
      </c>
      <c r="O62" s="28" t="n">
        <v>0.875978</v>
      </c>
      <c r="P62" s="28" t="n"/>
      <c r="Q62" s="28" t="n">
        <v>0.23569</v>
      </c>
      <c r="R62" s="26" t="n">
        <v>100</v>
      </c>
      <c r="S62" s="29" t="n">
        <v>2</v>
      </c>
      <c r="T62" s="24" t="inlineStr">
        <is>
          <t>cs2-tiered-elo-v4</t>
        </is>
      </c>
      <c r="U62" s="24" t="inlineStr">
        <is>
          <t>settled</t>
        </is>
      </c>
      <c r="V62" s="24" t="inlineStr">
        <is>
          <t>win</t>
        </is>
      </c>
      <c r="W62" s="26" t="n">
        <v>1</v>
      </c>
      <c r="X62" s="26" t="n">
        <v>0</v>
      </c>
      <c r="Y62" s="25" t="n"/>
      <c r="Z62" s="26" t="n"/>
      <c r="AA62" s="28" t="n"/>
      <c r="AB62" s="28" t="n"/>
      <c r="AC62" s="30" t="n">
        <v>1.1236</v>
      </c>
      <c r="AD62" s="24" t="inlineStr">
        <is>
          <t>2026-07-25T15:26:20.993489Z</t>
        </is>
      </c>
      <c r="AE62" s="31" t="inlineStr">
        <is>
          <t>Neutral Elo baseline; executable ask 0.6400 (market_slug=aec-cs2-dce-faze-2026-07-25).</t>
        </is>
      </c>
      <c r="AF62" s="31" t="inlineStr">
        <is>
          <t>Config-promoted esports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NO_CALL_LARGE_DISAGREEMENT_REVIEW</t>
        </is>
      </c>
      <c r="AP62" s="24" t="inlineStr">
        <is>
          <t>FaZe</t>
        </is>
      </c>
      <c r="AQ62" s="24" t="inlineStr">
        <is>
          <t>FaZe</t>
        </is>
      </c>
      <c r="AR62" s="24" t="inlineStr">
        <is>
          <t>FaZe</t>
        </is>
      </c>
      <c r="AS62" s="24" t="inlineStr">
        <is>
          <t>DENDELE CS</t>
        </is>
      </c>
      <c r="AT62" s="24" t="inlineStr">
        <is>
          <t>DENDELE CS</t>
        </is>
      </c>
      <c r="AU62" s="24" t="inlineStr">
        <is>
          <t>DENDELE CS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e9c327ce15d79aaa8ed5032a6fb86929aaa479e14a8bc9a35686411400dd6b91</t>
        </is>
      </c>
      <c r="BB62" s="24" t="inlineStr">
        <is>
          <t>neutral_elo</t>
        </is>
      </c>
      <c r="BC62" s="24" t="inlineStr">
        <is>
          <t>cs2-tiered-elo-v4</t>
        </is>
      </c>
      <c r="BD62" s="24" t="inlineStr">
        <is>
          <t>e9c327ce15d79aaa8ed5032a6fb86929aaa479e14a8bc9a35686411400dd6b91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cs2-tiered-elo-v4</t>
        </is>
      </c>
      <c r="BH62" s="24" t="inlineStr">
        <is>
          <t>2026-07-24T23:41:15.486545Z</t>
        </is>
      </c>
      <c r="BI62" s="24" t="inlineStr">
        <is>
          <t>["same_event","same_team_same_day","same_league_same_day"]</t>
        </is>
      </c>
      <c r="BJ62" s="25" t="n"/>
      <c r="BK62" s="26" t="n">
        <v>-178</v>
      </c>
      <c r="BL62" s="27" t="n">
        <v>1.561798</v>
      </c>
      <c r="BM62" s="28" t="n">
        <v>0.640288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</row>
    <row r="63" ht="36" customHeight="1">
      <c r="A63" s="24" t="inlineStr">
        <is>
          <t>d65a9716e4df435f</t>
        </is>
      </c>
      <c r="B63" s="24" t="inlineStr">
        <is>
          <t>2026-07-24T23:41:30.416364Z</t>
        </is>
      </c>
      <c r="C63" s="24" t="inlineStr">
        <is>
          <t>2026-07-25T12:30:00Z</t>
        </is>
      </c>
      <c r="D63" s="24" t="inlineStr">
        <is>
          <t>61212</t>
        </is>
      </c>
      <c r="E63" s="24" t="inlineStr">
        <is>
          <t>CS2</t>
        </is>
      </c>
      <c r="F63" s="24" t="inlineStr">
        <is>
          <t>G2</t>
        </is>
      </c>
      <c r="G63" s="24" t="inlineStr">
        <is>
          <t>Liquid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-163</v>
      </c>
      <c r="M63" s="27" t="n">
        <v>1.613497</v>
      </c>
      <c r="N63" s="28" t="n">
        <v>0.619772</v>
      </c>
      <c r="O63" s="28" t="n">
        <v>0.8153010000000001</v>
      </c>
      <c r="P63" s="28" t="n"/>
      <c r="Q63" s="28" t="n">
        <v>0.195529</v>
      </c>
      <c r="R63" s="26" t="n">
        <v>100</v>
      </c>
      <c r="S63" s="29" t="n">
        <v>2</v>
      </c>
      <c r="T63" s="24" t="inlineStr">
        <is>
          <t>cs2-tiered-elo-v4</t>
        </is>
      </c>
      <c r="U63" s="24" t="inlineStr">
        <is>
          <t>settled</t>
        </is>
      </c>
      <c r="V63" s="24" t="inlineStr">
        <is>
          <t>loss</t>
        </is>
      </c>
      <c r="W63" s="26" t="n">
        <v>0</v>
      </c>
      <c r="X63" s="26" t="n">
        <v>1</v>
      </c>
      <c r="Y63" s="25" t="n"/>
      <c r="Z63" s="26" t="n"/>
      <c r="AA63" s="28" t="n"/>
      <c r="AB63" s="28" t="n"/>
      <c r="AC63" s="30" t="n">
        <v>-2</v>
      </c>
      <c r="AD63" s="24" t="inlineStr">
        <is>
          <t>2026-07-25T15:26:25.038766Z</t>
        </is>
      </c>
      <c r="AE63" s="31" t="inlineStr">
        <is>
          <t>Neutral Elo baseline; executable ask 0.6200 (market_slug=aec-cs2-tl-g2-2026-07-25).</t>
        </is>
      </c>
      <c r="AF63" s="31" t="inlineStr">
        <is>
          <t>Config-promoted esports baseline; gates enforced at log time.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research_observation</t>
        </is>
      </c>
      <c r="AL63" s="26" t="n">
        <v>3</v>
      </c>
      <c r="AM63" s="24" t="inlineStr">
        <is>
          <t>RESEARCH_OBSERVATION</t>
        </is>
      </c>
      <c r="AN63" s="24" t="inlineStr">
        <is>
          <t>NO_CALL</t>
        </is>
      </c>
      <c r="AO63" s="24" t="inlineStr">
        <is>
          <t>NO_CALL_LARGE_DISAGREEMENT_REVIEW</t>
        </is>
      </c>
      <c r="AP63" s="24" t="inlineStr">
        <is>
          <t>G2</t>
        </is>
      </c>
      <c r="AQ63" s="24" t="inlineStr">
        <is>
          <t>G2</t>
        </is>
      </c>
      <c r="AR63" s="24" t="inlineStr">
        <is>
          <t>G2</t>
        </is>
      </c>
      <c r="AS63" s="24" t="inlineStr">
        <is>
          <t>Liquid</t>
        </is>
      </c>
      <c r="AT63" s="24" t="inlineStr">
        <is>
          <t>Liquid</t>
        </is>
      </c>
      <c r="AU63" s="24" t="inlineStr">
        <is>
          <t>Liquid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e9c327ce15d79aaa8ed5032a6fb86929aaa479e14a8bc9a35686411400dd6b91</t>
        </is>
      </c>
      <c r="BB63" s="24" t="inlineStr">
        <is>
          <t>neutral_elo</t>
        </is>
      </c>
      <c r="BC63" s="24" t="inlineStr">
        <is>
          <t>cs2-tiered-elo-v4</t>
        </is>
      </c>
      <c r="BD63" s="24" t="inlineStr">
        <is>
          <t>e9c327ce15d79aaa8ed5032a6fb86929aaa479e14a8bc9a35686411400dd6b91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cs2-tiered-elo-v4</t>
        </is>
      </c>
      <c r="BH63" s="24" t="inlineStr">
        <is>
          <t>2026-07-24T23:41:19.253888Z</t>
        </is>
      </c>
      <c r="BI63" s="24" t="inlineStr">
        <is>
          <t>["same_event","same_team_same_day","same_league_same_day"]</t>
        </is>
      </c>
      <c r="BJ63" s="25" t="n"/>
      <c r="BK63" s="26" t="n">
        <v>-163</v>
      </c>
      <c r="BL63" s="27" t="n">
        <v>1.613497</v>
      </c>
      <c r="BM63" s="28" t="n">
        <v>0.619772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</row>
    <row r="64" ht="36" customHeight="1">
      <c r="A64" s="24" t="inlineStr">
        <is>
          <t>29214b15e3664d08</t>
        </is>
      </c>
      <c r="B64" s="24" t="inlineStr">
        <is>
          <t>2026-07-24T23:41:30.416364Z</t>
        </is>
      </c>
      <c r="C64" s="24" t="inlineStr">
        <is>
          <t>2026-07-25T14:00:00Z</t>
        </is>
      </c>
      <c r="D64" s="24" t="inlineStr">
        <is>
          <t>61041</t>
        </is>
      </c>
      <c r="E64" s="24" t="inlineStr">
        <is>
          <t>CS2</t>
        </is>
      </c>
      <c r="F64" s="24" t="inlineStr">
        <is>
          <t>Just Players</t>
        </is>
      </c>
      <c r="G64" s="24" t="inlineStr">
        <is>
          <t>Black Phoenix</t>
        </is>
      </c>
      <c r="H64" s="24" t="inlineStr">
        <is>
          <t>moneyline</t>
        </is>
      </c>
      <c r="I64" s="24" t="inlineStr">
        <is>
          <t>away</t>
        </is>
      </c>
      <c r="J64" s="25" t="n"/>
      <c r="K64" s="24" t="inlineStr">
        <is>
          <t>polymarket_us</t>
        </is>
      </c>
      <c r="L64" s="26" t="n">
        <v>-156</v>
      </c>
      <c r="M64" s="27" t="n">
        <v>1.641026</v>
      </c>
      <c r="N64" s="28" t="n">
        <v>0.609375</v>
      </c>
      <c r="O64" s="28" t="n">
        <v>0.700263</v>
      </c>
      <c r="P64" s="28" t="n"/>
      <c r="Q64" s="28" t="n">
        <v>0.090888</v>
      </c>
      <c r="R64" s="26" t="n">
        <v>65</v>
      </c>
      <c r="S64" s="29" t="n">
        <v>1.5</v>
      </c>
      <c r="T64" s="24" t="inlineStr">
        <is>
          <t>cs2-tiered-elo-v4</t>
        </is>
      </c>
      <c r="U64" s="24" t="inlineStr">
        <is>
          <t>settled</t>
        </is>
      </c>
      <c r="V64" s="24" t="inlineStr">
        <is>
          <t>win</t>
        </is>
      </c>
      <c r="W64" s="26" t="n">
        <v>1</v>
      </c>
      <c r="X64" s="26" t="n">
        <v>0</v>
      </c>
      <c r="Y64" s="25" t="n"/>
      <c r="Z64" s="26" t="n"/>
      <c r="AA64" s="28" t="n"/>
      <c r="AB64" s="28" t="n"/>
      <c r="AC64" s="30" t="n">
        <v>0.9615</v>
      </c>
      <c r="AD64" s="24" t="inlineStr">
        <is>
          <t>2026-07-25T15:26:27.832037Z</t>
        </is>
      </c>
      <c r="AE64" s="31" t="inlineStr">
        <is>
          <t>Neutral Elo baseline; executable ask 0.6100 (market_slug=aec-cs2-bpl-jpu-2026-07-25).</t>
        </is>
      </c>
      <c r="AF64" s="31" t="inlineStr">
        <is>
          <t>Config-promoted esports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Just Players</t>
        </is>
      </c>
      <c r="AQ64" s="24" t="inlineStr">
        <is>
          <t>Just Players</t>
        </is>
      </c>
      <c r="AR64" s="24" t="inlineStr">
        <is>
          <t>Just Players</t>
        </is>
      </c>
      <c r="AS64" s="24" t="inlineStr">
        <is>
          <t>Black Phoenix</t>
        </is>
      </c>
      <c r="AT64" s="24" t="inlineStr">
        <is>
          <t>Black Phoenix</t>
        </is>
      </c>
      <c r="AU64" s="24" t="inlineStr">
        <is>
          <t>Black Phoenix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e9c327ce15d79aaa8ed5032a6fb86929aaa479e14a8bc9a35686411400dd6b91</t>
        </is>
      </c>
      <c r="BB64" s="24" t="inlineStr">
        <is>
          <t>neutral_elo</t>
        </is>
      </c>
      <c r="BC64" s="24" t="inlineStr">
        <is>
          <t>cs2-tiered-elo-v4</t>
        </is>
      </c>
      <c r="BD64" s="24" t="inlineStr">
        <is>
          <t>e9c327ce15d79aaa8ed5032a6fb86929aaa479e14a8bc9a35686411400dd6b91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cs2-tiered-elo-v4</t>
        </is>
      </c>
      <c r="BH64" s="24" t="inlineStr">
        <is>
          <t>2026-07-24T23:41:23.355814Z</t>
        </is>
      </c>
      <c r="BI64" s="24" t="inlineStr">
        <is>
          <t>["same_event","same_team_same_day","same_league_same_day"]</t>
        </is>
      </c>
      <c r="BJ64" s="25" t="n"/>
      <c r="BK64" s="26" t="n">
        <v>-156</v>
      </c>
      <c r="BL64" s="27" t="n">
        <v>1.641026</v>
      </c>
      <c r="BM64" s="28" t="n">
        <v>0.609375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</row>
    <row r="65" ht="36" customHeight="1">
      <c r="A65" s="24" t="inlineStr">
        <is>
          <t>c6b7f5508fab4c36</t>
        </is>
      </c>
      <c r="B65" s="24" t="inlineStr">
        <is>
          <t>2026-07-24T23:41:30.416364Z</t>
        </is>
      </c>
      <c r="C65" s="24" t="inlineStr">
        <is>
          <t>2026-07-25T15:00:00Z</t>
        </is>
      </c>
      <c r="D65" s="24" t="inlineStr">
        <is>
          <t>61213</t>
        </is>
      </c>
      <c r="E65" s="24" t="inlineStr">
        <is>
          <t>CS2</t>
        </is>
      </c>
      <c r="F65" s="24" t="inlineStr">
        <is>
          <t>Astralis</t>
        </is>
      </c>
      <c r="G65" s="24" t="inlineStr">
        <is>
          <t>HOTU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-108</v>
      </c>
      <c r="M65" s="27" t="n">
        <v>1.925926</v>
      </c>
      <c r="N65" s="28" t="n">
        <v>0.519231</v>
      </c>
      <c r="O65" s="28" t="n">
        <v>0.505719</v>
      </c>
      <c r="P65" s="28" t="n"/>
      <c r="Q65" s="28" t="n">
        <v>-0.013512</v>
      </c>
      <c r="R65" s="26" t="n">
        <v>13</v>
      </c>
      <c r="S65" s="29" t="n">
        <v>0.5</v>
      </c>
      <c r="T65" s="24" t="inlineStr">
        <is>
          <t>cs2-tiered-elo-v4</t>
        </is>
      </c>
      <c r="U65" s="24" t="inlineStr">
        <is>
          <t>settled</t>
        </is>
      </c>
      <c r="V65" s="24" t="inlineStr">
        <is>
          <t>win</t>
        </is>
      </c>
      <c r="W65" s="26" t="n">
        <v>1</v>
      </c>
      <c r="X65" s="26" t="n">
        <v>0</v>
      </c>
      <c r="Y65" s="25" t="n"/>
      <c r="Z65" s="26" t="n"/>
      <c r="AA65" s="28" t="n"/>
      <c r="AB65" s="28" t="n"/>
      <c r="AC65" s="30" t="n">
        <v>0.463</v>
      </c>
      <c r="AD65" s="24" t="inlineStr">
        <is>
          <t>2026-07-25T19:17:57.089793Z</t>
        </is>
      </c>
      <c r="AE65" s="31" t="inlineStr">
        <is>
          <t>Neutral Elo baseline; executable ask 0.5200 (market_slug=aec-cs2-hotu-ast-2026-07-25).</t>
        </is>
      </c>
      <c r="AF65" s="31" t="inlineStr">
        <is>
          <t>Config-promoted esports baseline; gates enforced at log time.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NO_CALL_LOW_EDGE</t>
        </is>
      </c>
      <c r="AP65" s="24" t="inlineStr">
        <is>
          <t>Astralis</t>
        </is>
      </c>
      <c r="AQ65" s="24" t="inlineStr">
        <is>
          <t>Astralis</t>
        </is>
      </c>
      <c r="AR65" s="24" t="inlineStr">
        <is>
          <t>Astralis</t>
        </is>
      </c>
      <c r="AS65" s="24" t="inlineStr">
        <is>
          <t>HOTU</t>
        </is>
      </c>
      <c r="AT65" s="24" t="inlineStr">
        <is>
          <t>HOTU</t>
        </is>
      </c>
      <c r="AU65" s="24" t="inlineStr">
        <is>
          <t>HOTU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e9c327ce15d79aaa8ed5032a6fb86929aaa479e14a8bc9a35686411400dd6b91</t>
        </is>
      </c>
      <c r="BB65" s="24" t="inlineStr">
        <is>
          <t>neutral_elo</t>
        </is>
      </c>
      <c r="BC65" s="24" t="inlineStr">
        <is>
          <t>cs2-tiered-elo-v4</t>
        </is>
      </c>
      <c r="BD65" s="24" t="inlineStr">
        <is>
          <t>e9c327ce15d79aaa8ed5032a6fb86929aaa479e14a8bc9a35686411400dd6b91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cs2-tiered-elo-v4</t>
        </is>
      </c>
      <c r="BH65" s="24" t="inlineStr">
        <is>
          <t>2026-07-24T23:41:24.602803Z</t>
        </is>
      </c>
      <c r="BI65" s="24" t="inlineStr">
        <is>
          <t>["same_event","same_team_same_day","same_league_same_day"]</t>
        </is>
      </c>
      <c r="BJ65" s="25" t="n"/>
      <c r="BK65" s="26" t="n">
        <v>-108</v>
      </c>
      <c r="BL65" s="27" t="n">
        <v>1.925926</v>
      </c>
      <c r="BM65" s="28" t="n">
        <v>0.519231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</row>
    <row r="66" ht="36" customHeight="1">
      <c r="A66" s="24" t="inlineStr">
        <is>
          <t>e52bb5f3c40648aa</t>
        </is>
      </c>
      <c r="B66" s="24" t="inlineStr">
        <is>
          <t>2026-07-24T23:43:09.903879Z</t>
        </is>
      </c>
      <c r="C66" s="24" t="inlineStr">
        <is>
          <t>2026-07-25T14:00:00Z</t>
        </is>
      </c>
      <c r="D66" s="24" t="inlineStr">
        <is>
          <t>61237</t>
        </is>
      </c>
      <c r="E66" s="24" t="inlineStr">
        <is>
          <t>CS2</t>
        </is>
      </c>
      <c r="F66" s="24" t="inlineStr">
        <is>
          <t>Gentle Mates</t>
        </is>
      </c>
      <c r="G66" s="24" t="inlineStr">
        <is>
          <t>magic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-150</v>
      </c>
      <c r="M66" s="27" t="n">
        <v>1.666667</v>
      </c>
      <c r="N66" s="28" t="n">
        <v>0.6</v>
      </c>
      <c r="O66" s="28" t="n">
        <v>0.678244</v>
      </c>
      <c r="P66" s="28" t="n"/>
      <c r="Q66" s="28" t="n">
        <v>0.07824399999999999</v>
      </c>
      <c r="R66" s="26" t="n">
        <v>59</v>
      </c>
      <c r="S66" s="29" t="n">
        <v>2</v>
      </c>
      <c r="T66" s="24" t="inlineStr">
        <is>
          <t>cs2-tiered-elo-v4</t>
        </is>
      </c>
      <c r="U66" s="24" t="inlineStr">
        <is>
          <t>settled</t>
        </is>
      </c>
      <c r="V66" s="24" t="inlineStr">
        <is>
          <t>win</t>
        </is>
      </c>
      <c r="W66" s="26" t="n">
        <v>0</v>
      </c>
      <c r="X66" s="26" t="n">
        <v>1</v>
      </c>
      <c r="Y66" s="25" t="n"/>
      <c r="Z66" s="26" t="n"/>
      <c r="AA66" s="28" t="n"/>
      <c r="AB66" s="28" t="n"/>
      <c r="AC66" s="30" t="n">
        <v>1.3333</v>
      </c>
      <c r="AD66" s="24" t="inlineStr">
        <is>
          <t>2026-07-25T16:11:16.454643Z</t>
        </is>
      </c>
      <c r="AE66" s="31" t="inlineStr">
        <is>
          <t>Neutral Elo baseline; executable ask 0.6000 (market_slug=aec-cs2-mgc-m8-2026-07-25).</t>
        </is>
      </c>
      <c r="AF66" s="31" t="inlineStr">
        <is>
          <t>Config-promoted esports baseline; gates enforced at log time.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NO_CALL_EXPOSURE_LIMIT</t>
        </is>
      </c>
      <c r="AP66" s="24" t="inlineStr">
        <is>
          <t>Gentle Mates</t>
        </is>
      </c>
      <c r="AQ66" s="24" t="inlineStr">
        <is>
          <t>Gentle Mates</t>
        </is>
      </c>
      <c r="AR66" s="24" t="inlineStr">
        <is>
          <t>Gentle Mates</t>
        </is>
      </c>
      <c r="AS66" s="24" t="inlineStr">
        <is>
          <t>magic</t>
        </is>
      </c>
      <c r="AT66" s="24" t="inlineStr">
        <is>
          <t>magic</t>
        </is>
      </c>
      <c r="AU66" s="24" t="inlineStr">
        <is>
          <t>magic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e9c327ce15d79aaa8ed5032a6fb86929aaa479e14a8bc9a35686411400dd6b91</t>
        </is>
      </c>
      <c r="BB66" s="24" t="inlineStr">
        <is>
          <t>neutral_elo</t>
        </is>
      </c>
      <c r="BC66" s="24" t="inlineStr">
        <is>
          <t>cs2-tiered-elo-v4</t>
        </is>
      </c>
      <c r="BD66" s="24" t="inlineStr">
        <is>
          <t>e9c327ce15d79aaa8ed5032a6fb86929aaa479e14a8bc9a35686411400dd6b91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cs2-tiered-elo-v4</t>
        </is>
      </c>
      <c r="BH66" s="24" t="inlineStr">
        <is>
          <t>2026-07-24T23:43:03.668156Z</t>
        </is>
      </c>
      <c r="BI66" s="24" t="inlineStr">
        <is>
          <t>["same_event","same_team_same_day","same_league_same_day"]</t>
        </is>
      </c>
      <c r="BJ66" s="25" t="n"/>
      <c r="BK66" s="26" t="n">
        <v>-150</v>
      </c>
      <c r="BL66" s="27" t="n">
        <v>1.666667</v>
      </c>
      <c r="BM66" s="28" t="n">
        <v>0.6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</row>
    <row r="67" ht="36" customHeight="1">
      <c r="A67" s="24" t="inlineStr">
        <is>
          <t>627654dd115145f0</t>
        </is>
      </c>
      <c r="B67" s="24" t="inlineStr">
        <is>
          <t>2026-07-25T00:30:17.376318Z</t>
        </is>
      </c>
      <c r="C67" s="24" t="inlineStr">
        <is>
          <t>2026-07-25T11:00:00Z</t>
        </is>
      </c>
      <c r="D67" s="24" t="inlineStr">
        <is>
          <t>61234</t>
        </is>
      </c>
      <c r="E67" s="24" t="inlineStr">
        <is>
          <t>CS2</t>
        </is>
      </c>
      <c r="F67" s="24" t="inlineStr">
        <is>
          <t>Infinite</t>
        </is>
      </c>
      <c r="G67" s="24" t="inlineStr">
        <is>
          <t>HOTU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-194</v>
      </c>
      <c r="M67" s="27" t="n">
        <v>1.515464</v>
      </c>
      <c r="N67" s="28" t="n">
        <v>0.659864</v>
      </c>
      <c r="O67" s="28" t="n">
        <v>0.625514</v>
      </c>
      <c r="P67" s="28" t="n"/>
      <c r="Q67" s="28" t="n">
        <v>-0.03435</v>
      </c>
      <c r="R67" s="26" t="n">
        <v>3</v>
      </c>
      <c r="S67" s="29" t="n">
        <v>1.75</v>
      </c>
      <c r="T67" s="24" t="inlineStr">
        <is>
          <t>cs2-tiered-elo-v4</t>
        </is>
      </c>
      <c r="U67" s="24" t="inlineStr">
        <is>
          <t>settled</t>
        </is>
      </c>
      <c r="V67" s="24" t="inlineStr">
        <is>
          <t>win</t>
        </is>
      </c>
      <c r="W67" s="26" t="n">
        <v>0</v>
      </c>
      <c r="X67" s="26" t="n">
        <v>1</v>
      </c>
      <c r="Y67" s="25" t="n"/>
      <c r="Z67" s="26" t="n"/>
      <c r="AA67" s="28" t="n"/>
      <c r="AB67" s="28" t="n"/>
      <c r="AC67" s="30" t="n">
        <v>0.9021</v>
      </c>
      <c r="AD67" s="24" t="inlineStr">
        <is>
          <t>2026-07-25T15:26:34.476267Z</t>
        </is>
      </c>
      <c r="AE67" s="31" t="inlineStr">
        <is>
          <t>Neutral Elo baseline; executable ask 0.6600 (market_slug=aec-cs2-hotu-inf-2026-07-25).</t>
        </is>
      </c>
      <c r="AF67" s="31" t="inlineStr">
        <is>
          <t>Config-promoted esports baseline; gates enforced at log time.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NO_CALL_LOW_EDGE</t>
        </is>
      </c>
      <c r="AP67" s="24" t="inlineStr">
        <is>
          <t>Infinite</t>
        </is>
      </c>
      <c r="AQ67" s="24" t="inlineStr">
        <is>
          <t>Infinite</t>
        </is>
      </c>
      <c r="AR67" s="24" t="inlineStr">
        <is>
          <t>Infinite</t>
        </is>
      </c>
      <c r="AS67" s="24" t="inlineStr">
        <is>
          <t>HOTU</t>
        </is>
      </c>
      <c r="AT67" s="24" t="inlineStr">
        <is>
          <t>HOTU</t>
        </is>
      </c>
      <c r="AU67" s="24" t="inlineStr">
        <is>
          <t>HOTU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e9c327ce15d79aaa8ed5032a6fb86929aaa479e14a8bc9a35686411400dd6b91</t>
        </is>
      </c>
      <c r="BB67" s="24" t="inlineStr">
        <is>
          <t>neutral_elo</t>
        </is>
      </c>
      <c r="BC67" s="24" t="inlineStr">
        <is>
          <t>cs2-tiered-elo-v4</t>
        </is>
      </c>
      <c r="BD67" s="24" t="inlineStr">
        <is>
          <t>e9c327ce15d79aaa8ed5032a6fb86929aaa479e14a8bc9a35686411400dd6b91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cs2-tiered-elo-v4</t>
        </is>
      </c>
      <c r="BH67" s="24" t="inlineStr">
        <is>
          <t>2026-07-25T00:30:00.896354Z</t>
        </is>
      </c>
      <c r="BI67" s="24" t="inlineStr">
        <is>
          <t>["same_event","same_team_same_day","same_league_same_day"]</t>
        </is>
      </c>
      <c r="BJ67" s="25" t="n"/>
      <c r="BK67" s="26" t="n">
        <v>-194</v>
      </c>
      <c r="BL67" s="27" t="n">
        <v>1.515464</v>
      </c>
      <c r="BM67" s="28" t="n">
        <v>0.659864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</row>
    <row r="68" ht="36" customHeight="1">
      <c r="A68" s="24" t="inlineStr">
        <is>
          <t>6c466ff51b5c460d</t>
        </is>
      </c>
      <c r="B68" s="24" t="inlineStr">
        <is>
          <t>2026-07-25T00:30:17.376318Z</t>
        </is>
      </c>
      <c r="C68" s="24" t="inlineStr">
        <is>
          <t>2026-07-25T14:00:00Z</t>
        </is>
      </c>
      <c r="D68" s="24" t="inlineStr">
        <is>
          <t>61031</t>
        </is>
      </c>
      <c r="E68" s="24" t="inlineStr">
        <is>
          <t>CS2</t>
        </is>
      </c>
      <c r="F68" s="24" t="inlineStr">
        <is>
          <t>BET-M 33</t>
        </is>
      </c>
      <c r="G68" s="24" t="inlineStr">
        <is>
          <t>GenOne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-144</v>
      </c>
      <c r="M68" s="27" t="n">
        <v>1.694444</v>
      </c>
      <c r="N68" s="28" t="n">
        <v>0.590164</v>
      </c>
      <c r="O68" s="28" t="n">
        <v>0.585156</v>
      </c>
      <c r="P68" s="28" t="n"/>
      <c r="Q68" s="28" t="n">
        <v>-0.005008</v>
      </c>
      <c r="R68" s="26" t="n">
        <v>17</v>
      </c>
      <c r="S68" s="29" t="n">
        <v>1.25</v>
      </c>
      <c r="T68" s="24" t="inlineStr">
        <is>
          <t>cs2-tiered-elo-v4</t>
        </is>
      </c>
      <c r="U68" s="24" t="inlineStr">
        <is>
          <t>settled</t>
        </is>
      </c>
      <c r="V68" s="24" t="inlineStr">
        <is>
          <t>win</t>
        </is>
      </c>
      <c r="W68" s="26" t="n">
        <v>0</v>
      </c>
      <c r="X68" s="26" t="n">
        <v>1</v>
      </c>
      <c r="Y68" s="25" t="n"/>
      <c r="Z68" s="26" t="n"/>
      <c r="AA68" s="28" t="n"/>
      <c r="AB68" s="28" t="n"/>
      <c r="AC68" s="30" t="n">
        <v>0.8681</v>
      </c>
      <c r="AD68" s="24" t="inlineStr">
        <is>
          <t>2026-07-25T16:11:19.285413Z</t>
        </is>
      </c>
      <c r="AE68" s="31" t="inlineStr">
        <is>
          <t>Neutral Elo baseline; executable ask 0.5900 (market_slug=aec-cs2-g1-33-2026-07-25).</t>
        </is>
      </c>
      <c r="AF68" s="31" t="inlineStr">
        <is>
          <t>Config-promoted esports baseline; gates enforced at log time.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research_observation</t>
        </is>
      </c>
      <c r="AL68" s="26" t="n">
        <v>3</v>
      </c>
      <c r="AM68" s="24" t="inlineStr">
        <is>
          <t>RESEARCH_OBSERVATION</t>
        </is>
      </c>
      <c r="AN68" s="24" t="inlineStr">
        <is>
          <t>NO_CALL</t>
        </is>
      </c>
      <c r="AO68" s="24" t="inlineStr">
        <is>
          <t>NO_CALL_LOW_EDGE</t>
        </is>
      </c>
      <c r="AP68" s="24" t="inlineStr">
        <is>
          <t>BET-M 33</t>
        </is>
      </c>
      <c r="AQ68" s="24" t="inlineStr">
        <is>
          <t>BET-M 33</t>
        </is>
      </c>
      <c r="AR68" s="24" t="inlineStr">
        <is>
          <t>BET-M 33</t>
        </is>
      </c>
      <c r="AS68" s="24" t="inlineStr">
        <is>
          <t>GenOne</t>
        </is>
      </c>
      <c r="AT68" s="24" t="inlineStr">
        <is>
          <t>GenOne</t>
        </is>
      </c>
      <c r="AU68" s="24" t="inlineStr">
        <is>
          <t>GenOne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e9c327ce15d79aaa8ed5032a6fb86929aaa479e14a8bc9a35686411400dd6b91</t>
        </is>
      </c>
      <c r="BB68" s="24" t="inlineStr">
        <is>
          <t>neutral_elo</t>
        </is>
      </c>
      <c r="BC68" s="24" t="inlineStr">
        <is>
          <t>cs2-tiered-elo-v4</t>
        </is>
      </c>
      <c r="BD68" s="24" t="inlineStr">
        <is>
          <t>e9c327ce15d79aaa8ed5032a6fb86929aaa479e14a8bc9a35686411400dd6b91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cs2-tiered-elo-v4</t>
        </is>
      </c>
      <c r="BH68" s="24" t="inlineStr">
        <is>
          <t>2026-07-25T00:30:05.487242Z</t>
        </is>
      </c>
      <c r="BI68" s="24" t="inlineStr">
        <is>
          <t>["same_event","same_team_same_day","same_league_same_day"]</t>
        </is>
      </c>
      <c r="BJ68" s="25" t="n"/>
      <c r="BK68" s="26" t="n">
        <v>-144</v>
      </c>
      <c r="BL68" s="27" t="n">
        <v>1.694444</v>
      </c>
      <c r="BM68" s="28" t="n">
        <v>0.590164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</row>
    <row r="69" ht="36" customHeight="1">
      <c r="A69" s="24" t="inlineStr">
        <is>
          <t>b6bcf0e09b1c4057</t>
        </is>
      </c>
      <c r="B69" s="24" t="inlineStr">
        <is>
          <t>2026-07-25T02:26:58.403896Z</t>
        </is>
      </c>
      <c r="C69" s="24" t="inlineStr">
        <is>
          <t>2026-07-25T11:00:00Z</t>
        </is>
      </c>
      <c r="D69" s="24" t="inlineStr">
        <is>
          <t>61024</t>
        </is>
      </c>
      <c r="E69" s="24" t="inlineStr">
        <is>
          <t>CS2</t>
        </is>
      </c>
      <c r="F69" s="24" t="inlineStr">
        <is>
          <t>ex-RUSTEC</t>
        </is>
      </c>
      <c r="G69" s="24" t="inlineStr">
        <is>
          <t>Just Players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-104</v>
      </c>
      <c r="M69" s="27" t="n">
        <v>1.961538</v>
      </c>
      <c r="N69" s="28" t="n">
        <v>0.509804</v>
      </c>
      <c r="O69" s="28" t="n">
        <v>0.747766</v>
      </c>
      <c r="P69" s="28" t="n"/>
      <c r="Q69" s="28" t="n">
        <v>0.237962</v>
      </c>
      <c r="R69" s="26" t="n">
        <v>100</v>
      </c>
      <c r="S69" s="29" t="n">
        <v>2</v>
      </c>
      <c r="T69" s="24" t="inlineStr">
        <is>
          <t>cs2-tiered-elo-v4</t>
        </is>
      </c>
      <c r="U69" s="24" t="inlineStr">
        <is>
          <t>settled</t>
        </is>
      </c>
      <c r="V69" s="24" t="inlineStr">
        <is>
          <t>loss</t>
        </is>
      </c>
      <c r="W69" s="26" t="n">
        <v>1</v>
      </c>
      <c r="X69" s="26" t="n">
        <v>0</v>
      </c>
      <c r="Y69" s="25" t="n"/>
      <c r="Z69" s="26" t="n"/>
      <c r="AA69" s="28" t="n"/>
      <c r="AB69" s="28" t="n"/>
      <c r="AC69" s="30" t="n">
        <v>-2</v>
      </c>
      <c r="AD69" s="24" t="inlineStr">
        <is>
          <t>2026-07-25T15:26:38.231472Z</t>
        </is>
      </c>
      <c r="AE69" s="31" t="inlineStr">
        <is>
          <t>Neutral Elo baseline; executable ask 0.5100 (market_slug=aec-cs2-jpu-erx-2026-07-25).</t>
        </is>
      </c>
      <c r="AF69" s="31" t="inlineStr">
        <is>
          <t>Config-promoted esports baseline; gates enforced at log time.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research_observation</t>
        </is>
      </c>
      <c r="AL69" s="26" t="n">
        <v>3</v>
      </c>
      <c r="AM69" s="24" t="inlineStr">
        <is>
          <t>RESEARCH_OBSERVATION</t>
        </is>
      </c>
      <c r="AN69" s="24" t="inlineStr">
        <is>
          <t>NO_CALL</t>
        </is>
      </c>
      <c r="AO69" s="24" t="inlineStr">
        <is>
          <t>NO_CALL_LARGE_DISAGREEMENT_REVIEW</t>
        </is>
      </c>
      <c r="AP69" s="24" t="inlineStr">
        <is>
          <t>ex-RUSTEC</t>
        </is>
      </c>
      <c r="AQ69" s="24" t="inlineStr">
        <is>
          <t>ex-RUSTEC</t>
        </is>
      </c>
      <c r="AR69" s="24" t="inlineStr">
        <is>
          <t>ex-RUSTEC</t>
        </is>
      </c>
      <c r="AS69" s="24" t="inlineStr">
        <is>
          <t>Just Players</t>
        </is>
      </c>
      <c r="AT69" s="24" t="inlineStr">
        <is>
          <t>Just Players</t>
        </is>
      </c>
      <c r="AU69" s="24" t="inlineStr">
        <is>
          <t>Just Players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e9c327ce15d79aaa8ed5032a6fb86929aaa479e14a8bc9a35686411400dd6b91</t>
        </is>
      </c>
      <c r="BB69" s="24" t="inlineStr">
        <is>
          <t>neutral_elo</t>
        </is>
      </c>
      <c r="BC69" s="24" t="inlineStr">
        <is>
          <t>cs2-tiered-elo-v4</t>
        </is>
      </c>
      <c r="BD69" s="24" t="inlineStr">
        <is>
          <t>e9c327ce15d79aaa8ed5032a6fb86929aaa479e14a8bc9a35686411400dd6b91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cs2-tiered-elo-v4</t>
        </is>
      </c>
      <c r="BH69" s="24" t="inlineStr">
        <is>
          <t>2026-07-25T02:26:40.479594Z</t>
        </is>
      </c>
      <c r="BI69" s="24" t="inlineStr">
        <is>
          <t>["same_event","same_team_same_day","same_league_same_day"]</t>
        </is>
      </c>
      <c r="BJ69" s="25" t="n"/>
      <c r="BK69" s="26" t="n">
        <v>-104</v>
      </c>
      <c r="BL69" s="27" t="n">
        <v>1.961538</v>
      </c>
      <c r="BM69" s="28" t="n">
        <v>0.509804</v>
      </c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</row>
    <row r="70" ht="36" customHeight="1">
      <c r="A70" s="24" t="inlineStr">
        <is>
          <t>3c44b7684ff64f3f</t>
        </is>
      </c>
      <c r="B70" s="24" t="inlineStr">
        <is>
          <t>2026-07-25T02:26:58.403896Z</t>
        </is>
      </c>
      <c r="C70" s="24" t="inlineStr">
        <is>
          <t>2026-07-25T13:00:00Z</t>
        </is>
      </c>
      <c r="D70" s="24" t="inlineStr">
        <is>
          <t>61233</t>
        </is>
      </c>
      <c r="E70" s="24" t="inlineStr">
        <is>
          <t>CS2</t>
        </is>
      </c>
      <c r="F70" s="24" t="inlineStr">
        <is>
          <t>largadosypelados</t>
        </is>
      </c>
      <c r="G70" s="24" t="inlineStr">
        <is>
          <t>UNO MILLE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117</v>
      </c>
      <c r="M70" s="27" t="n">
        <v>2.17</v>
      </c>
      <c r="N70" s="28" t="n">
        <v>0.460829</v>
      </c>
      <c r="O70" s="28" t="n">
        <v>0.674889</v>
      </c>
      <c r="P70" s="28" t="n"/>
      <c r="Q70" s="28" t="n">
        <v>0.21406</v>
      </c>
      <c r="R70" s="26" t="n">
        <v>100</v>
      </c>
      <c r="S70" s="29" t="n">
        <v>2</v>
      </c>
      <c r="T70" s="24" t="inlineStr">
        <is>
          <t>cs2-tiered-elo-v4</t>
        </is>
      </c>
      <c r="U70" s="24" t="inlineStr">
        <is>
          <t>settled</t>
        </is>
      </c>
      <c r="V70" s="24" t="inlineStr">
        <is>
          <t>loss</t>
        </is>
      </c>
      <c r="W70" s="26" t="n">
        <v>1</v>
      </c>
      <c r="X70" s="26" t="n">
        <v>0</v>
      </c>
      <c r="Y70" s="25" t="n"/>
      <c r="Z70" s="26" t="n"/>
      <c r="AA70" s="28" t="n"/>
      <c r="AB70" s="28" t="n"/>
      <c r="AC70" s="30" t="n">
        <v>-2</v>
      </c>
      <c r="AD70" s="24" t="inlineStr">
        <is>
          <t>2026-07-25T19:17:58.726291Z</t>
        </is>
      </c>
      <c r="AE70" s="31" t="inlineStr">
        <is>
          <t>Neutral Elo baseline; executable ask 0.4600 (market_slug=aec-cs2-uno-ldp-2026-07-25).</t>
        </is>
      </c>
      <c r="AF70" s="31" t="inlineStr">
        <is>
          <t>Config-promoted esports baseline; gates enforced at log time.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research_observation</t>
        </is>
      </c>
      <c r="AL70" s="26" t="n">
        <v>3</v>
      </c>
      <c r="AM70" s="24" t="inlineStr">
        <is>
          <t>RESEARCH_OBSERVATION</t>
        </is>
      </c>
      <c r="AN70" s="24" t="inlineStr">
        <is>
          <t>NO_CALL</t>
        </is>
      </c>
      <c r="AO70" s="24" t="inlineStr">
        <is>
          <t>NO_CALL_LARGE_DISAGREEMENT_REVIEW</t>
        </is>
      </c>
      <c r="AP70" s="24" t="inlineStr">
        <is>
          <t>largadosypelados</t>
        </is>
      </c>
      <c r="AQ70" s="24" t="inlineStr">
        <is>
          <t>largadosypelados</t>
        </is>
      </c>
      <c r="AR70" s="24" t="inlineStr">
        <is>
          <t>largadosypelados</t>
        </is>
      </c>
      <c r="AS70" s="24" t="inlineStr">
        <is>
          <t>UNO MILLE</t>
        </is>
      </c>
      <c r="AT70" s="24" t="inlineStr">
        <is>
          <t>UNO MILLE</t>
        </is>
      </c>
      <c r="AU70" s="24" t="inlineStr">
        <is>
          <t>UNO MILLE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e9c327ce15d79aaa8ed5032a6fb86929aaa479e14a8bc9a35686411400dd6b91</t>
        </is>
      </c>
      <c r="BB70" s="24" t="inlineStr">
        <is>
          <t>neutral_elo</t>
        </is>
      </c>
      <c r="BC70" s="24" t="inlineStr">
        <is>
          <t>cs2-tiered-elo-v4</t>
        </is>
      </c>
      <c r="BD70" s="24" t="inlineStr">
        <is>
          <t>e9c327ce15d79aaa8ed5032a6fb86929aaa479e14a8bc9a35686411400dd6b91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cs2-tiered-elo-v4</t>
        </is>
      </c>
      <c r="BH70" s="24" t="inlineStr">
        <is>
          <t>2026-07-25T02:26:46.165234Z</t>
        </is>
      </c>
      <c r="BI70" s="24" t="inlineStr">
        <is>
          <t>["same_event","same_team_same_day","same_league_same_day"]</t>
        </is>
      </c>
      <c r="BJ70" s="25" t="n"/>
      <c r="BK70" s="26" t="n">
        <v>117</v>
      </c>
      <c r="BL70" s="27" t="n">
        <v>2.17</v>
      </c>
      <c r="BM70" s="28" t="n">
        <v>0.460829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</row>
    <row r="71" ht="36" customHeight="1">
      <c r="A71" s="24" t="inlineStr">
        <is>
          <t>780c6e652d7e403d</t>
        </is>
      </c>
      <c r="B71" s="24" t="inlineStr">
        <is>
          <t>2026-07-25T02:27:23.264783Z</t>
        </is>
      </c>
      <c r="C71" s="24" t="inlineStr">
        <is>
          <t>2026-07-25T13:00:00Z</t>
        </is>
      </c>
      <c r="D71" s="24" t="inlineStr">
        <is>
          <t>60555</t>
        </is>
      </c>
      <c r="E71" s="24" t="inlineStr">
        <is>
          <t>DOTA2</t>
        </is>
      </c>
      <c r="F71" s="24" t="inlineStr">
        <is>
          <t>Spirit Academy</t>
        </is>
      </c>
      <c r="G71" s="24" t="inlineStr">
        <is>
          <t>Level UP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-213</v>
      </c>
      <c r="M71" s="27" t="n">
        <v>1.469484</v>
      </c>
      <c r="N71" s="28" t="n">
        <v>0.680511</v>
      </c>
      <c r="O71" s="28" t="n">
        <v>0.618654</v>
      </c>
      <c r="P71" s="28" t="n"/>
      <c r="Q71" s="28" t="n">
        <v>-0.061857</v>
      </c>
      <c r="R71" s="26" t="n">
        <v>0</v>
      </c>
      <c r="S71" s="29" t="n">
        <v>1.75</v>
      </c>
      <c r="T71" s="24" t="inlineStr">
        <is>
          <t>dota2-tiered-elo-v4</t>
        </is>
      </c>
      <c r="U71" s="24" t="inlineStr">
        <is>
          <t>settled</t>
        </is>
      </c>
      <c r="V71" s="24" t="inlineStr">
        <is>
          <t>loss</t>
        </is>
      </c>
      <c r="W71" s="26" t="n">
        <v>1</v>
      </c>
      <c r="X71" s="26" t="n">
        <v>0</v>
      </c>
      <c r="Y71" s="25" t="n"/>
      <c r="Z71" s="26" t="n"/>
      <c r="AA71" s="28" t="n"/>
      <c r="AB71" s="28" t="n"/>
      <c r="AC71" s="30" t="n">
        <v>-1.75</v>
      </c>
      <c r="AD71" s="24" t="inlineStr">
        <is>
          <t>2026-07-25T15:26:42.269302Z</t>
        </is>
      </c>
      <c r="AE71" s="31" t="inlineStr">
        <is>
          <t>Neutral Elo baseline; executable ask 0.6800 (market_slug=aec-dota2-lvlup-tsa-2026-07-25).</t>
        </is>
      </c>
      <c r="AF71" s="31" t="inlineStr">
        <is>
          <t>Config-promoted esports baseline; gates enforced at log time.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research_observation</t>
        </is>
      </c>
      <c r="AL71" s="26" t="n">
        <v>3</v>
      </c>
      <c r="AM71" s="24" t="inlineStr">
        <is>
          <t>RESEARCH_OBSERVATION</t>
        </is>
      </c>
      <c r="AN71" s="24" t="inlineStr">
        <is>
          <t>NO_CALL</t>
        </is>
      </c>
      <c r="AO71" s="24" t="inlineStr">
        <is>
          <t>NO_CALL_LOW_EDGE</t>
        </is>
      </c>
      <c r="AP71" s="24" t="inlineStr">
        <is>
          <t>Spirit Academy</t>
        </is>
      </c>
      <c r="AQ71" s="24" t="inlineStr">
        <is>
          <t>Spirit Academy</t>
        </is>
      </c>
      <c r="AR71" s="24" t="inlineStr">
        <is>
          <t>Spirit Academy</t>
        </is>
      </c>
      <c r="AS71" s="24" t="inlineStr">
        <is>
          <t>Level UP</t>
        </is>
      </c>
      <c r="AT71" s="24" t="inlineStr">
        <is>
          <t>Level UP</t>
        </is>
      </c>
      <c r="AU71" s="24" t="inlineStr">
        <is>
          <t>Level UP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d08d23d003cdc05b1cc5be7d2e52d9f477153e66ad3c7ec5e0f446618fcfe82f</t>
        </is>
      </c>
      <c r="BB71" s="24" t="inlineStr">
        <is>
          <t>neutral_elo</t>
        </is>
      </c>
      <c r="BC71" s="24" t="inlineStr">
        <is>
          <t>dota2-tiered-elo-v4</t>
        </is>
      </c>
      <c r="BD71" s="24" t="inlineStr">
        <is>
          <t>d08d23d003cdc05b1cc5be7d2e52d9f477153e66ad3c7ec5e0f446618fcfe82f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dota2-tiered-elo-v4</t>
        </is>
      </c>
      <c r="BH71" s="24" t="inlineStr">
        <is>
          <t>2026-07-25T02:27:20.698133Z</t>
        </is>
      </c>
      <c r="BI71" s="24" t="inlineStr">
        <is>
          <t>["same_event","same_team_same_day","same_league_same_day"]</t>
        </is>
      </c>
      <c r="BJ71" s="25" t="n"/>
      <c r="BK71" s="26" t="n">
        <v>-213</v>
      </c>
      <c r="BL71" s="27" t="n">
        <v>1.469484</v>
      </c>
      <c r="BM71" s="28" t="n">
        <v>0.680511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</row>
    <row r="72" ht="36" customHeight="1">
      <c r="A72" s="24" t="inlineStr">
        <is>
          <t>9684256eb2af4826</t>
        </is>
      </c>
      <c r="B72" s="24" t="inlineStr">
        <is>
          <t>2026-07-25T04:05:40.464533Z</t>
        </is>
      </c>
      <c r="C72" s="24" t="inlineStr">
        <is>
          <t>2026-07-25T11:00:00Z</t>
        </is>
      </c>
      <c r="D72" s="24" t="inlineStr">
        <is>
          <t>61040</t>
        </is>
      </c>
      <c r="E72" s="24" t="inlineStr">
        <is>
          <t>CS2</t>
        </is>
      </c>
      <c r="F72" s="24" t="inlineStr">
        <is>
          <t>Entropy</t>
        </is>
      </c>
      <c r="G72" s="24" t="inlineStr">
        <is>
          <t>los kogutos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100</v>
      </c>
      <c r="M72" s="27" t="n">
        <v>2</v>
      </c>
      <c r="N72" s="28" t="n">
        <v>0.5</v>
      </c>
      <c r="O72" s="28" t="n">
        <v>0.504091</v>
      </c>
      <c r="P72" s="28" t="n"/>
      <c r="Q72" s="28" t="n">
        <v>0.004091</v>
      </c>
      <c r="R72" s="26" t="n">
        <v>22</v>
      </c>
      <c r="S72" s="29" t="n">
        <v>0.5</v>
      </c>
      <c r="T72" s="24" t="inlineStr">
        <is>
          <t>cs2-tiered-elo-v4</t>
        </is>
      </c>
      <c r="U72" s="24" t="inlineStr">
        <is>
          <t>settled</t>
        </is>
      </c>
      <c r="V72" s="24" t="inlineStr">
        <is>
          <t>loss</t>
        </is>
      </c>
      <c r="W72" s="26" t="n">
        <v>1</v>
      </c>
      <c r="X72" s="26" t="n">
        <v>0</v>
      </c>
      <c r="Y72" s="25" t="n"/>
      <c r="Z72" s="26" t="n"/>
      <c r="AA72" s="28" t="n"/>
      <c r="AB72" s="28" t="n"/>
      <c r="AC72" s="30" t="n">
        <v>-0.5</v>
      </c>
      <c r="AD72" s="24" t="inlineStr">
        <is>
          <t>2026-07-25T15:26:44.595312Z</t>
        </is>
      </c>
      <c r="AE72" s="31" t="inlineStr">
        <is>
          <t>Neutral Elo baseline; executable ask 0.5000 (market_slug=aec-cs2-lk-ent-2026-07-25).</t>
        </is>
      </c>
      <c r="AF72" s="31" t="inlineStr">
        <is>
          <t>Config-promoted esports baseline; gates enforced at log time.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research_observation</t>
        </is>
      </c>
      <c r="AL72" s="26" t="n">
        <v>3</v>
      </c>
      <c r="AM72" s="24" t="inlineStr">
        <is>
          <t>RESEARCH_OBSERVATION</t>
        </is>
      </c>
      <c r="AN72" s="24" t="inlineStr">
        <is>
          <t>NO_CALL</t>
        </is>
      </c>
      <c r="AO72" s="24" t="inlineStr">
        <is>
          <t>NO_CALL_LOW_EDGE</t>
        </is>
      </c>
      <c r="AP72" s="24" t="inlineStr">
        <is>
          <t>Entropy</t>
        </is>
      </c>
      <c r="AQ72" s="24" t="inlineStr">
        <is>
          <t>Entropy</t>
        </is>
      </c>
      <c r="AR72" s="24" t="inlineStr">
        <is>
          <t>Entropy</t>
        </is>
      </c>
      <c r="AS72" s="24" t="inlineStr">
        <is>
          <t>los kogutos</t>
        </is>
      </c>
      <c r="AT72" s="24" t="inlineStr">
        <is>
          <t>los kogutos</t>
        </is>
      </c>
      <c r="AU72" s="24" t="inlineStr">
        <is>
          <t>los kogutos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e9c327ce15d79aaa8ed5032a6fb86929aaa479e14a8bc9a35686411400dd6b91</t>
        </is>
      </c>
      <c r="BB72" s="24" t="inlineStr">
        <is>
          <t>neutral_elo</t>
        </is>
      </c>
      <c r="BC72" s="24" t="inlineStr">
        <is>
          <t>cs2-tiered-elo-v4</t>
        </is>
      </c>
      <c r="BD72" s="24" t="inlineStr">
        <is>
          <t>e9c327ce15d79aaa8ed5032a6fb86929aaa479e14a8bc9a35686411400dd6b91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cs2-tiered-elo-v4</t>
        </is>
      </c>
      <c r="BH72" s="24" t="inlineStr">
        <is>
          <t>2026-07-25T04:05:11.895290Z</t>
        </is>
      </c>
      <c r="BI72" s="24" t="inlineStr">
        <is>
          <t>["same_event","same_team_same_day","same_league_same_day"]</t>
        </is>
      </c>
      <c r="BJ72" s="25" t="n"/>
      <c r="BK72" s="26" t="n">
        <v>100</v>
      </c>
      <c r="BL72" s="27" t="n">
        <v>2</v>
      </c>
      <c r="BM72" s="28" t="n">
        <v>0.5</v>
      </c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</row>
    <row r="73" ht="36" customHeight="1">
      <c r="A73" s="24" t="inlineStr">
        <is>
          <t>c59e2f711d374bbc</t>
        </is>
      </c>
      <c r="B73" s="24" t="inlineStr">
        <is>
          <t>2026-07-25T15:20:45.311129Z</t>
        </is>
      </c>
      <c r="C73" s="24" t="inlineStr">
        <is>
          <t>2026-07-25T15:30:00Z</t>
        </is>
      </c>
      <c r="D73" s="24" t="inlineStr">
        <is>
          <t>61475</t>
        </is>
      </c>
      <c r="E73" s="24" t="inlineStr">
        <is>
          <t>CS2</t>
        </is>
      </c>
      <c r="F73" s="24" t="inlineStr">
        <is>
          <t>163ON</t>
        </is>
      </c>
      <c r="G73" s="24" t="inlineStr">
        <is>
          <t>VP.Prodigy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150</v>
      </c>
      <c r="M73" s="27" t="n">
        <v>2.5</v>
      </c>
      <c r="N73" s="28" t="n">
        <v>0.4</v>
      </c>
      <c r="O73" s="28" t="n">
        <v>0.5800729999999999</v>
      </c>
      <c r="P73" s="28" t="n"/>
      <c r="Q73" s="28" t="n">
        <v>0.180073</v>
      </c>
      <c r="R73" s="26" t="n">
        <v>100</v>
      </c>
      <c r="S73" s="29" t="n">
        <v>1.25</v>
      </c>
      <c r="T73" s="24" t="inlineStr">
        <is>
          <t>cs2-tiered-elo-v4</t>
        </is>
      </c>
      <c r="U73" s="24" t="inlineStr">
        <is>
          <t>settled</t>
        </is>
      </c>
      <c r="V73" s="24" t="inlineStr">
        <is>
          <t>loss</t>
        </is>
      </c>
      <c r="W73" s="26" t="n">
        <v>1</v>
      </c>
      <c r="X73" s="26" t="n">
        <v>0</v>
      </c>
      <c r="Y73" s="25" t="n"/>
      <c r="Z73" s="26" t="n"/>
      <c r="AA73" s="28" t="n"/>
      <c r="AB73" s="28" t="n"/>
      <c r="AC73" s="30" t="n">
        <v>-1.25</v>
      </c>
      <c r="AD73" s="24" t="inlineStr">
        <is>
          <t>2026-07-25T19:18:00.317085Z</t>
        </is>
      </c>
      <c r="AE73" s="31" t="inlineStr">
        <is>
          <t>Neutral Elo baseline; executable ask 0.4000 (market_slug=aec-cs2-vpp-163on-2026-07-25).</t>
        </is>
      </c>
      <c r="AF73" s="31" t="inlineStr">
        <is>
          <t>Config-promoted esports baseline; gates enforced at log time.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research_observation</t>
        </is>
      </c>
      <c r="AL73" s="26" t="n">
        <v>3</v>
      </c>
      <c r="AM73" s="24" t="inlineStr">
        <is>
          <t>RESEARCH_OBSERVATION</t>
        </is>
      </c>
      <c r="AN73" s="24" t="inlineStr">
        <is>
          <t>NO_CALL</t>
        </is>
      </c>
      <c r="AO73" s="24" t="inlineStr">
        <is>
          <t>NO_CALL_LARGE_DISAGREEMENT_REVIEW</t>
        </is>
      </c>
      <c r="AP73" s="24" t="inlineStr">
        <is>
          <t>163ON</t>
        </is>
      </c>
      <c r="AQ73" s="24" t="inlineStr">
        <is>
          <t>163ON</t>
        </is>
      </c>
      <c r="AR73" s="24" t="inlineStr">
        <is>
          <t>163ON</t>
        </is>
      </c>
      <c r="AS73" s="24" t="inlineStr">
        <is>
          <t>VP.Prodigy</t>
        </is>
      </c>
      <c r="AT73" s="24" t="inlineStr">
        <is>
          <t>VP.Prodigy</t>
        </is>
      </c>
      <c r="AU73" s="24" t="inlineStr">
        <is>
          <t>VP.Prodigy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e9c327ce15d79aaa8ed5032a6fb86929aaa479e14a8bc9a35686411400dd6b91</t>
        </is>
      </c>
      <c r="BB73" s="24" t="inlineStr">
        <is>
          <t>neutral_elo</t>
        </is>
      </c>
      <c r="BC73" s="24" t="inlineStr">
        <is>
          <t>cs2-tiered-elo-v4</t>
        </is>
      </c>
      <c r="BD73" s="24" t="inlineStr">
        <is>
          <t>e9c327ce15d79aaa8ed5032a6fb86929aaa479e14a8bc9a35686411400dd6b91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cs2-tiered-elo-v4</t>
        </is>
      </c>
      <c r="BH73" s="24" t="inlineStr">
        <is>
          <t>2026-07-25T15:20:20.293937Z</t>
        </is>
      </c>
      <c r="BI73" s="24" t="inlineStr">
        <is>
          <t>["same_event","same_team_same_day","same_league_same_day"]</t>
        </is>
      </c>
      <c r="BJ73" s="25" t="n"/>
      <c r="BK73" s="26" t="n">
        <v>150</v>
      </c>
      <c r="BL73" s="27" t="n">
        <v>2.5</v>
      </c>
      <c r="BM73" s="28" t="n">
        <v>0.4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</row>
    <row r="74" ht="36" customHeight="1">
      <c r="A74" s="24" t="inlineStr">
        <is>
          <t>5ca8c85f58574a8f</t>
        </is>
      </c>
      <c r="B74" s="24" t="inlineStr">
        <is>
          <t>2026-07-25T15:59:04.968964Z</t>
        </is>
      </c>
      <c r="C74" s="24" t="inlineStr">
        <is>
          <t>2026-07-25T16:00:00Z</t>
        </is>
      </c>
      <c r="D74" s="24" t="inlineStr">
        <is>
          <t>59335</t>
        </is>
      </c>
      <c r="E74" s="24" t="inlineStr">
        <is>
          <t>LOL</t>
        </is>
      </c>
      <c r="F74" s="24" t="inlineStr">
        <is>
          <t>LOS</t>
        </is>
      </c>
      <c r="G74" s="24" t="inlineStr">
        <is>
          <t>FURIA Esports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-117</v>
      </c>
      <c r="M74" s="27" t="n">
        <v>1.854701</v>
      </c>
      <c r="N74" s="28" t="n">
        <v>0.539171</v>
      </c>
      <c r="O74" s="28" t="n">
        <v>0.533714</v>
      </c>
      <c r="P74" s="28" t="n"/>
      <c r="Q74" s="28" t="n">
        <v>-0.005457</v>
      </c>
      <c r="R74" s="26" t="n">
        <v>17</v>
      </c>
      <c r="S74" s="29" t="n">
        <v>0.75</v>
      </c>
      <c r="T74" s="24" t="inlineStr">
        <is>
          <t>lol-tiered-elo-v4</t>
        </is>
      </c>
      <c r="U74" s="24" t="inlineStr">
        <is>
          <t>settled</t>
        </is>
      </c>
      <c r="V74" s="24" t="inlineStr">
        <is>
          <t>loss</t>
        </is>
      </c>
      <c r="W74" s="26" t="n">
        <v>1</v>
      </c>
      <c r="X74" s="26" t="n">
        <v>0</v>
      </c>
      <c r="Y74" s="25" t="n"/>
      <c r="Z74" s="26" t="n"/>
      <c r="AA74" s="28" t="n"/>
      <c r="AB74" s="28" t="n"/>
      <c r="AC74" s="30" t="n">
        <v>-0.75</v>
      </c>
      <c r="AD74" s="24" t="inlineStr">
        <is>
          <t>2026-07-25T19:18:02.076174Z</t>
        </is>
      </c>
      <c r="AE74" s="31" t="inlineStr">
        <is>
          <t>Neutral Elo baseline; executable ask 0.5400 (market_slug=aec-lol-fur-los-2026-07-25).</t>
        </is>
      </c>
      <c r="AF74" s="31" t="inlineStr">
        <is>
          <t>Config-promoted esports baseline; gates enforced at log time.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research_observation</t>
        </is>
      </c>
      <c r="AL74" s="26" t="n">
        <v>3</v>
      </c>
      <c r="AM74" s="24" t="inlineStr">
        <is>
          <t>RESEARCH_OBSERVATION</t>
        </is>
      </c>
      <c r="AN74" s="24" t="inlineStr">
        <is>
          <t>NO_CALL</t>
        </is>
      </c>
      <c r="AO74" s="24" t="inlineStr">
        <is>
          <t>NO_CALL_LOW_EDGE</t>
        </is>
      </c>
      <c r="AP74" s="24" t="inlineStr">
        <is>
          <t>LOS</t>
        </is>
      </c>
      <c r="AQ74" s="24" t="inlineStr">
        <is>
          <t>LOS</t>
        </is>
      </c>
      <c r="AR74" s="24" t="inlineStr">
        <is>
          <t>LOS</t>
        </is>
      </c>
      <c r="AS74" s="24" t="inlineStr">
        <is>
          <t>FURIA Esports</t>
        </is>
      </c>
      <c r="AT74" s="24" t="inlineStr">
        <is>
          <t>FURIA Esports</t>
        </is>
      </c>
      <c r="AU74" s="24" t="inlineStr">
        <is>
          <t>FURIA Esports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35087e828a0053011a97024de693e2ee7eb80eb03024c91d28d254de09d93778</t>
        </is>
      </c>
      <c r="BB74" s="24" t="inlineStr">
        <is>
          <t>neutral_elo</t>
        </is>
      </c>
      <c r="BC74" s="24" t="inlineStr">
        <is>
          <t>lol-tiered-elo-v4</t>
        </is>
      </c>
      <c r="BD74" s="24" t="inlineStr">
        <is>
          <t>35087e828a0053011a97024de693e2ee7eb80eb03024c91d28d254de09d93778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lol-tiered-elo-v4</t>
        </is>
      </c>
      <c r="BH74" s="24" t="inlineStr">
        <is>
          <t>2026-07-25T15:58:51.766401Z</t>
        </is>
      </c>
      <c r="BI74" s="24" t="inlineStr">
        <is>
          <t>["same_event","same_team_same_day","same_league_same_day"]</t>
        </is>
      </c>
      <c r="BJ74" s="25" t="n"/>
      <c r="BK74" s="26" t="n">
        <v>-117</v>
      </c>
      <c r="BL74" s="27" t="n">
        <v>1.854701</v>
      </c>
      <c r="BM74" s="28" t="n">
        <v>0.539171</v>
      </c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</row>
    <row r="75" ht="36" customHeight="1">
      <c r="A75" s="24" t="inlineStr">
        <is>
          <t>bbf66d2ea89d48ca</t>
        </is>
      </c>
      <c r="B75" s="24" t="inlineStr">
        <is>
          <t>2026-07-25T15:59:34.057859Z</t>
        </is>
      </c>
      <c r="C75" s="24" t="inlineStr">
        <is>
          <t>2026-07-25T16:00:00Z</t>
        </is>
      </c>
      <c r="D75" s="24" t="inlineStr">
        <is>
          <t>61238</t>
        </is>
      </c>
      <c r="E75" s="24" t="inlineStr">
        <is>
          <t>CS2</t>
        </is>
      </c>
      <c r="F75" s="24" t="inlineStr">
        <is>
          <t>Heroic</t>
        </is>
      </c>
      <c r="G75" s="24" t="inlineStr">
        <is>
          <t>NIP</t>
        </is>
      </c>
      <c r="H75" s="24" t="inlineStr">
        <is>
          <t>moneyline</t>
        </is>
      </c>
      <c r="I75" s="24" t="inlineStr">
        <is>
          <t>away</t>
        </is>
      </c>
      <c r="J75" s="25" t="n"/>
      <c r="K75" s="24" t="inlineStr">
        <is>
          <t>polymarket_us</t>
        </is>
      </c>
      <c r="L75" s="26" t="n">
        <v>-104</v>
      </c>
      <c r="M75" s="27" t="n">
        <v>1.961538</v>
      </c>
      <c r="N75" s="28" t="n">
        <v>0.509804</v>
      </c>
      <c r="O75" s="28" t="n">
        <v>0.563886</v>
      </c>
      <c r="P75" s="28" t="n"/>
      <c r="Q75" s="28" t="n">
        <v>0.054082</v>
      </c>
      <c r="R75" s="26" t="n">
        <v>47</v>
      </c>
      <c r="S75" s="29" t="n">
        <v>1.25</v>
      </c>
      <c r="T75" s="24" t="inlineStr">
        <is>
          <t>cs2-tiered-elo-v4</t>
        </is>
      </c>
      <c r="U75" s="24" t="inlineStr">
        <is>
          <t>settled</t>
        </is>
      </c>
      <c r="V75" s="24" t="inlineStr">
        <is>
          <t>loss</t>
        </is>
      </c>
      <c r="W75" s="26" t="n">
        <v>0</v>
      </c>
      <c r="X75" s="26" t="n">
        <v>1</v>
      </c>
      <c r="Y75" s="25" t="n"/>
      <c r="Z75" s="26" t="n"/>
      <c r="AA75" s="28" t="n"/>
      <c r="AB75" s="28" t="n"/>
      <c r="AC75" s="30" t="n">
        <v>-1.25</v>
      </c>
      <c r="AD75" s="24" t="inlineStr">
        <is>
          <t>2026-07-25T19:18:03.738218Z</t>
        </is>
      </c>
      <c r="AE75" s="31" t="inlineStr">
        <is>
          <t>Neutral Elo baseline; executable ask 0.5100 (market_slug=aec-cs2-nip-hero-2026-07-25).</t>
        </is>
      </c>
      <c r="AF75" s="31" t="inlineStr">
        <is>
          <t>Config-promoted esports baseline; gates enforced at log time.</t>
        </is>
      </c>
      <c r="AG75" s="24" t="inlineStr">
        <is>
          <t>review_required</t>
        </is>
      </c>
      <c r="AH75" s="24" t="n"/>
      <c r="AI75" s="31" t="n"/>
      <c r="AJ75" s="31" t="n"/>
      <c r="AK75" s="24" t="inlineStr">
        <is>
          <t>research_observation</t>
        </is>
      </c>
      <c r="AL75" s="26" t="n">
        <v>3</v>
      </c>
      <c r="AM75" s="24" t="inlineStr">
        <is>
          <t>RESEARCH_OBSERVATION</t>
        </is>
      </c>
      <c r="AN75" s="24" t="inlineStr">
        <is>
          <t>NO_CALL</t>
        </is>
      </c>
      <c r="AO75" s="24" t="inlineStr">
        <is>
          <t>NO_CALL_LOW_EDGE</t>
        </is>
      </c>
      <c r="AP75" s="24" t="inlineStr">
        <is>
          <t>Heroic</t>
        </is>
      </c>
      <c r="AQ75" s="24" t="inlineStr">
        <is>
          <t>Heroic</t>
        </is>
      </c>
      <c r="AR75" s="24" t="inlineStr">
        <is>
          <t>Heroic</t>
        </is>
      </c>
      <c r="AS75" s="24" t="inlineStr">
        <is>
          <t>NIP</t>
        </is>
      </c>
      <c r="AT75" s="24" t="inlineStr">
        <is>
          <t>NIP</t>
        </is>
      </c>
      <c r="AU75" s="24" t="inlineStr">
        <is>
          <t>NIP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e9c327ce15d79aaa8ed5032a6fb86929aaa479e14a8bc9a35686411400dd6b91</t>
        </is>
      </c>
      <c r="BB75" s="24" t="inlineStr">
        <is>
          <t>neutral_elo</t>
        </is>
      </c>
      <c r="BC75" s="24" t="inlineStr">
        <is>
          <t>cs2-tiered-elo-v4</t>
        </is>
      </c>
      <c r="BD75" s="24" t="inlineStr">
        <is>
          <t>e9c327ce15d79aaa8ed5032a6fb86929aaa479e14a8bc9a35686411400dd6b91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cs2-tiered-elo-v4</t>
        </is>
      </c>
      <c r="BH75" s="24" t="inlineStr">
        <is>
          <t>2026-07-25T15:59:16.584327Z</t>
        </is>
      </c>
      <c r="BI75" s="24" t="inlineStr">
        <is>
          <t>["same_event","same_team_same_day","same_league_same_day"]</t>
        </is>
      </c>
      <c r="BJ75" s="25" t="n"/>
      <c r="BK75" s="26" t="n">
        <v>-104</v>
      </c>
      <c r="BL75" s="27" t="n">
        <v>1.961538</v>
      </c>
      <c r="BM75" s="28" t="n">
        <v>0.509804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</row>
    <row r="76" ht="36" customHeight="1">
      <c r="A76" s="24" t="inlineStr">
        <is>
          <t>1a9cbe29a8aa4c16</t>
        </is>
      </c>
      <c r="B76" s="24" t="inlineStr">
        <is>
          <t>2026-07-25T15:59:58.806015Z</t>
        </is>
      </c>
      <c r="C76" s="24" t="inlineStr">
        <is>
          <t>2026-07-25T16:00:00Z</t>
        </is>
      </c>
      <c r="D76" s="24" t="inlineStr">
        <is>
          <t>60140</t>
        </is>
      </c>
      <c r="E76" s="24" t="inlineStr">
        <is>
          <t>DOTA2</t>
        </is>
      </c>
      <c r="F76" s="24" t="inlineStr">
        <is>
          <t>PuckChamp</t>
        </is>
      </c>
      <c r="G76" s="24" t="inlineStr">
        <is>
          <t>KW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127</v>
      </c>
      <c r="M76" s="27" t="n">
        <v>2.27</v>
      </c>
      <c r="N76" s="28" t="n">
        <v>0.440529</v>
      </c>
      <c r="O76" s="28" t="n">
        <v>0.521452</v>
      </c>
      <c r="P76" s="28" t="n"/>
      <c r="Q76" s="28" t="n">
        <v>0.08092299999999999</v>
      </c>
      <c r="R76" s="26" t="n">
        <v>60</v>
      </c>
      <c r="S76" s="29" t="n">
        <v>0.75</v>
      </c>
      <c r="T76" s="24" t="inlineStr">
        <is>
          <t>dota2-tiered-elo-v4</t>
        </is>
      </c>
      <c r="U76" s="24" t="inlineStr">
        <is>
          <t>settled</t>
        </is>
      </c>
      <c r="V76" s="24" t="inlineStr">
        <is>
          <t>loss</t>
        </is>
      </c>
      <c r="W76" s="26" t="n">
        <v>1</v>
      </c>
      <c r="X76" s="26" t="n">
        <v>0</v>
      </c>
      <c r="Y76" s="25" t="n"/>
      <c r="Z76" s="26" t="n"/>
      <c r="AA76" s="28" t="n"/>
      <c r="AB76" s="28" t="n"/>
      <c r="AC76" s="30" t="n">
        <v>-0.75</v>
      </c>
      <c r="AD76" s="24" t="inlineStr">
        <is>
          <t>2026-07-25T19:18:05.376761Z</t>
        </is>
      </c>
      <c r="AE76" s="31" t="inlineStr">
        <is>
          <t>Neutral Elo baseline; executable ask 0.4400 (market_slug=aec-dota2-kw-pckcp-2026-07-25).</t>
        </is>
      </c>
      <c r="AF76" s="31" t="inlineStr">
        <is>
          <t>Config-promoted esports baseline; gates enforced at log time.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3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PuckChamp</t>
        </is>
      </c>
      <c r="AQ76" s="24" t="inlineStr">
        <is>
          <t>PuckChamp</t>
        </is>
      </c>
      <c r="AR76" s="24" t="inlineStr">
        <is>
          <t>PuckChamp</t>
        </is>
      </c>
      <c r="AS76" s="24" t="inlineStr">
        <is>
          <t>KW</t>
        </is>
      </c>
      <c r="AT76" s="24" t="inlineStr">
        <is>
          <t>KW</t>
        </is>
      </c>
      <c r="AU76" s="24" t="inlineStr">
        <is>
          <t>KW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d08d23d003cdc05b1cc5be7d2e52d9f477153e66ad3c7ec5e0f446618fcfe82f</t>
        </is>
      </c>
      <c r="BB76" s="24" t="inlineStr">
        <is>
          <t>neutral_elo</t>
        </is>
      </c>
      <c r="BC76" s="24" t="inlineStr">
        <is>
          <t>dota2-tiered-elo-v4</t>
        </is>
      </c>
      <c r="BD76" s="24" t="inlineStr">
        <is>
          <t>d08d23d003cdc05b1cc5be7d2e52d9f477153e66ad3c7ec5e0f446618fcfe82f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dota2-tiered-elo-v4</t>
        </is>
      </c>
      <c r="BH76" s="24" t="inlineStr">
        <is>
          <t>2026-07-25T15:59:58.057321Z</t>
        </is>
      </c>
      <c r="BI76" s="24" t="inlineStr">
        <is>
          <t>["same_event","same_team_same_day","same_league_same_day"]</t>
        </is>
      </c>
      <c r="BJ76" s="25" t="n"/>
      <c r="BK76" s="26" t="n">
        <v>127</v>
      </c>
      <c r="BL76" s="27" t="n">
        <v>2.27</v>
      </c>
      <c r="BM76" s="28" t="n">
        <v>0.440529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</row>
    <row r="77" ht="36" customHeight="1">
      <c r="A77" s="24" t="inlineStr">
        <is>
          <t>53a994676d2b46c8</t>
        </is>
      </c>
      <c r="B77" s="24" t="inlineStr">
        <is>
          <t>2026-07-25T16:16:17.517287Z</t>
        </is>
      </c>
      <c r="C77" s="24" t="inlineStr">
        <is>
          <t>2026-07-25T17:00:00Z</t>
        </is>
      </c>
      <c r="D77" s="24" t="inlineStr">
        <is>
          <t>59392</t>
        </is>
      </c>
      <c r="E77" s="24" t="inlineStr">
        <is>
          <t>LOL</t>
        </is>
      </c>
      <c r="F77" s="24" t="inlineStr">
        <is>
          <t>Movistar KOI</t>
        </is>
      </c>
      <c r="G77" s="24" t="inlineStr">
        <is>
          <t>Karmine Corp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-203</v>
      </c>
      <c r="M77" s="27" t="n">
        <v>1.492611</v>
      </c>
      <c r="N77" s="28" t="n">
        <v>0.669967</v>
      </c>
      <c r="O77" s="28" t="n">
        <v>0.761127</v>
      </c>
      <c r="P77" s="28" t="n"/>
      <c r="Q77" s="28" t="n">
        <v>0.09116</v>
      </c>
      <c r="R77" s="26" t="n">
        <v>66</v>
      </c>
      <c r="S77" s="29" t="n">
        <v>2</v>
      </c>
      <c r="T77" s="24" t="inlineStr">
        <is>
          <t>lol-tiered-elo-v4</t>
        </is>
      </c>
      <c r="U77" s="24" t="inlineStr">
        <is>
          <t>settled</t>
        </is>
      </c>
      <c r="V77" s="24" t="inlineStr">
        <is>
          <t>win</t>
        </is>
      </c>
      <c r="W77" s="26" t="n">
        <v>0</v>
      </c>
      <c r="X77" s="26" t="n">
        <v>1</v>
      </c>
      <c r="Y77" s="25" t="n"/>
      <c r="Z77" s="26" t="n"/>
      <c r="AA77" s="28" t="n"/>
      <c r="AB77" s="28" t="n"/>
      <c r="AC77" s="30" t="n">
        <v>0.9852</v>
      </c>
      <c r="AD77" s="24" t="inlineStr">
        <is>
          <t>2026-07-25T19:18:07.087318Z</t>
        </is>
      </c>
      <c r="AE77" s="31" t="inlineStr">
        <is>
          <t>Neutral Elo baseline; executable ask 0.6700 (market_slug=aec-lol-kc-mkoi-2026-07-25).</t>
        </is>
      </c>
      <c r="AF77" s="31" t="inlineStr">
        <is>
          <t>Config-promoted esports baseline; gates enforced at log time.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3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Movistar KOI</t>
        </is>
      </c>
      <c r="AQ77" s="24" t="inlineStr">
        <is>
          <t>Movistar KOI</t>
        </is>
      </c>
      <c r="AR77" s="24" t="inlineStr">
        <is>
          <t>Movistar KOI</t>
        </is>
      </c>
      <c r="AS77" s="24" t="inlineStr">
        <is>
          <t>Karmine Corp</t>
        </is>
      </c>
      <c r="AT77" s="24" t="inlineStr">
        <is>
          <t>Karmine Corp</t>
        </is>
      </c>
      <c r="AU77" s="24" t="inlineStr">
        <is>
          <t>Karmine Corp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35087e828a0053011a97024de693e2ee7eb80eb03024c91d28d254de09d93778</t>
        </is>
      </c>
      <c r="BB77" s="24" t="inlineStr">
        <is>
          <t>neutral_elo</t>
        </is>
      </c>
      <c r="BC77" s="24" t="inlineStr">
        <is>
          <t>lol-tiered-elo-v4</t>
        </is>
      </c>
      <c r="BD77" s="24" t="inlineStr">
        <is>
          <t>35087e828a0053011a97024de693e2ee7eb80eb03024c91d28d254de09d93778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lol-tiered-elo-v4</t>
        </is>
      </c>
      <c r="BH77" s="24" t="inlineStr">
        <is>
          <t>2026-07-25T16:16:06.872882Z</t>
        </is>
      </c>
      <c r="BI77" s="24" t="inlineStr">
        <is>
          <t>["same_event","same_team_same_day","same_league_same_day"]</t>
        </is>
      </c>
      <c r="BJ77" s="25" t="n"/>
      <c r="BK77" s="26" t="n">
        <v>-203</v>
      </c>
      <c r="BL77" s="27" t="n">
        <v>1.492611</v>
      </c>
      <c r="BM77" s="28" t="n">
        <v>0.669967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</row>
    <row r="78" ht="36" customHeight="1">
      <c r="A78" s="24" t="inlineStr">
        <is>
          <t>738bcb383e85492a</t>
        </is>
      </c>
      <c r="B78" s="24" t="inlineStr">
        <is>
          <t>2026-07-25T16:16:40.653533Z</t>
        </is>
      </c>
      <c r="C78" s="24" t="inlineStr">
        <is>
          <t>2026-07-25T17:00:00Z</t>
        </is>
      </c>
      <c r="D78" s="24" t="inlineStr">
        <is>
          <t>61042</t>
        </is>
      </c>
      <c r="E78" s="24" t="inlineStr">
        <is>
          <t>CS2</t>
        </is>
      </c>
      <c r="F78" s="24" t="inlineStr">
        <is>
          <t>Rune Eaters</t>
        </is>
      </c>
      <c r="G78" s="24" t="inlineStr">
        <is>
          <t>ex-RUSTEC</t>
        </is>
      </c>
      <c r="H78" s="24" t="inlineStr">
        <is>
          <t>moneyline</t>
        </is>
      </c>
      <c r="I78" s="24" t="inlineStr">
        <is>
          <t>away</t>
        </is>
      </c>
      <c r="J78" s="25" t="n"/>
      <c r="K78" s="24" t="inlineStr">
        <is>
          <t>polymarket_us</t>
        </is>
      </c>
      <c r="L78" s="26" t="n">
        <v>-104</v>
      </c>
      <c r="M78" s="27" t="n">
        <v>1.961538</v>
      </c>
      <c r="N78" s="28" t="n">
        <v>0.509804</v>
      </c>
      <c r="O78" s="28" t="n">
        <v>0.617713</v>
      </c>
      <c r="P78" s="28" t="n"/>
      <c r="Q78" s="28" t="n">
        <v>0.107909</v>
      </c>
      <c r="R78" s="26" t="n">
        <v>100</v>
      </c>
      <c r="S78" s="29" t="n">
        <v>1.75</v>
      </c>
      <c r="T78" s="24" t="inlineStr">
        <is>
          <t>cs2-tiered-elo-v4</t>
        </is>
      </c>
      <c r="U78" s="24" t="inlineStr">
        <is>
          <t>settled</t>
        </is>
      </c>
      <c r="V78" s="24" t="inlineStr">
        <is>
          <t>loss</t>
        </is>
      </c>
      <c r="W78" s="26" t="n">
        <v>0</v>
      </c>
      <c r="X78" s="26" t="n">
        <v>1</v>
      </c>
      <c r="Y78" s="25" t="n"/>
      <c r="Z78" s="26" t="n"/>
      <c r="AA78" s="28" t="n"/>
      <c r="AB78" s="28" t="n"/>
      <c r="AC78" s="30" t="n">
        <v>-1.75</v>
      </c>
      <c r="AD78" s="24" t="inlineStr">
        <is>
          <t>2026-07-25T19:53:49.834070Z</t>
        </is>
      </c>
      <c r="AE78" s="31" t="inlineStr">
        <is>
          <t>Neutral Elo baseline; executable ask 0.5100 (market_slug=aec-cs2-erx-re-2026-07-25).</t>
        </is>
      </c>
      <c r="AF78" s="31" t="inlineStr">
        <is>
          <t>Config-promoted esports baseline; gates enforced at log time.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NO_CALL_LARGE_DISAGREEMENT_REVIEW</t>
        </is>
      </c>
      <c r="AP78" s="24" t="inlineStr">
        <is>
          <t>Rune Eaters</t>
        </is>
      </c>
      <c r="AQ78" s="24" t="inlineStr">
        <is>
          <t>Rune Eaters</t>
        </is>
      </c>
      <c r="AR78" s="24" t="inlineStr">
        <is>
          <t>Rune Eaters</t>
        </is>
      </c>
      <c r="AS78" s="24" t="inlineStr">
        <is>
          <t>ex-RUSTEC</t>
        </is>
      </c>
      <c r="AT78" s="24" t="inlineStr">
        <is>
          <t>ex-RUSTEC</t>
        </is>
      </c>
      <c r="AU78" s="24" t="inlineStr">
        <is>
          <t>ex-RUSTEC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e9c327ce15d79aaa8ed5032a6fb86929aaa479e14a8bc9a35686411400dd6b91</t>
        </is>
      </c>
      <c r="BB78" s="24" t="inlineStr">
        <is>
          <t>neutral_elo</t>
        </is>
      </c>
      <c r="BC78" s="24" t="inlineStr">
        <is>
          <t>cs2-tiered-elo-v4</t>
        </is>
      </c>
      <c r="BD78" s="24" t="inlineStr">
        <is>
          <t>e9c327ce15d79aaa8ed5032a6fb86929aaa479e14a8bc9a35686411400dd6b91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cs2-tiered-elo-v4</t>
        </is>
      </c>
      <c r="BH78" s="24" t="inlineStr">
        <is>
          <t>2026-07-25T16:16:23.946831Z</t>
        </is>
      </c>
      <c r="BI78" s="24" t="inlineStr">
        <is>
          <t>["same_event","same_team_same_day","same_league_same_day"]</t>
        </is>
      </c>
      <c r="BJ78" s="25" t="n"/>
      <c r="BK78" s="26" t="n">
        <v>-104</v>
      </c>
      <c r="BL78" s="27" t="n">
        <v>1.961538</v>
      </c>
      <c r="BM78" s="28" t="n">
        <v>0.509804</v>
      </c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</row>
    <row r="79" ht="36" customHeight="1">
      <c r="A79" s="24" t="inlineStr">
        <is>
          <t>aeb9ca3c7d2c45ec</t>
        </is>
      </c>
      <c r="B79" s="24" t="inlineStr">
        <is>
          <t>2026-07-25T16:16:40.653533Z</t>
        </is>
      </c>
      <c r="C79" s="24" t="inlineStr">
        <is>
          <t>2026-07-25T17:00:00Z</t>
        </is>
      </c>
      <c r="D79" s="24" t="inlineStr">
        <is>
          <t>60933</t>
        </is>
      </c>
      <c r="E79" s="24" t="inlineStr">
        <is>
          <t>CS2</t>
        </is>
      </c>
      <c r="F79" s="24" t="inlineStr">
        <is>
          <t>Privateer Gaming</t>
        </is>
      </c>
      <c r="G79" s="24" t="inlineStr">
        <is>
          <t>ROUNDS</t>
        </is>
      </c>
      <c r="H79" s="24" t="inlineStr">
        <is>
          <t>moneyline</t>
        </is>
      </c>
      <c r="I79" s="24" t="inlineStr">
        <is>
          <t>home</t>
        </is>
      </c>
      <c r="J79" s="25" t="n"/>
      <c r="K79" s="24" t="inlineStr">
        <is>
          <t>polymarket_us</t>
        </is>
      </c>
      <c r="L79" s="26" t="n">
        <v>170</v>
      </c>
      <c r="M79" s="27" t="n">
        <v>2.7</v>
      </c>
      <c r="N79" s="28" t="n">
        <v>0.37037</v>
      </c>
      <c r="O79" s="28" t="n">
        <v>0.633372</v>
      </c>
      <c r="P79" s="28" t="n"/>
      <c r="Q79" s="28" t="n">
        <v>0.263002</v>
      </c>
      <c r="R79" s="26" t="n">
        <v>100</v>
      </c>
      <c r="S79" s="29" t="n">
        <v>1.75</v>
      </c>
      <c r="T79" s="24" t="inlineStr">
        <is>
          <t>cs2-tiered-elo-v4</t>
        </is>
      </c>
      <c r="U79" s="24" t="inlineStr">
        <is>
          <t>settled</t>
        </is>
      </c>
      <c r="V79" s="24" t="inlineStr">
        <is>
          <t>loss</t>
        </is>
      </c>
      <c r="W79" s="26" t="n">
        <v>1</v>
      </c>
      <c r="X79" s="26" t="n">
        <v>0</v>
      </c>
      <c r="Y79" s="25" t="n"/>
      <c r="Z79" s="26" t="n"/>
      <c r="AA79" s="28" t="n"/>
      <c r="AB79" s="28" t="n"/>
      <c r="AC79" s="30" t="n">
        <v>-1.75</v>
      </c>
      <c r="AD79" s="24" t="inlineStr">
        <is>
          <t>2026-07-25T19:53:51.561428Z</t>
        </is>
      </c>
      <c r="AE79" s="31" t="inlineStr">
        <is>
          <t>Neutral Elo baseline; executable ask 0.3700 (market_slug=aec-cs2-rgg-pg-2026-07-25).</t>
        </is>
      </c>
      <c r="AF79" s="31" t="inlineStr">
        <is>
          <t>Config-promoted esports baseline; gates enforced at log time.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research_observation</t>
        </is>
      </c>
      <c r="AL79" s="26" t="n">
        <v>3</v>
      </c>
      <c r="AM79" s="24" t="inlineStr">
        <is>
          <t>RESEARCH_OBSERVATION</t>
        </is>
      </c>
      <c r="AN79" s="24" t="inlineStr">
        <is>
          <t>NO_CALL</t>
        </is>
      </c>
      <c r="AO79" s="24" t="inlineStr">
        <is>
          <t>NO_CALL_LARGE_DISAGREEMENT_REVIEW</t>
        </is>
      </c>
      <c r="AP79" s="24" t="inlineStr">
        <is>
          <t>Privateer Gaming</t>
        </is>
      </c>
      <c r="AQ79" s="24" t="inlineStr">
        <is>
          <t>Privateer Gaming</t>
        </is>
      </c>
      <c r="AR79" s="24" t="inlineStr">
        <is>
          <t>Privateer Gaming</t>
        </is>
      </c>
      <c r="AS79" s="24" t="inlineStr">
        <is>
          <t>ROUNDS</t>
        </is>
      </c>
      <c r="AT79" s="24" t="inlineStr">
        <is>
          <t>ROUNDS</t>
        </is>
      </c>
      <c r="AU79" s="24" t="inlineStr">
        <is>
          <t>ROUNDS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e9c327ce15d79aaa8ed5032a6fb86929aaa479e14a8bc9a35686411400dd6b91</t>
        </is>
      </c>
      <c r="BB79" s="24" t="inlineStr">
        <is>
          <t>neutral_elo</t>
        </is>
      </c>
      <c r="BC79" s="24" t="inlineStr">
        <is>
          <t>cs2-tiered-elo-v4</t>
        </is>
      </c>
      <c r="BD79" s="24" t="inlineStr">
        <is>
          <t>e9c327ce15d79aaa8ed5032a6fb86929aaa479e14a8bc9a35686411400dd6b91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cs2-tiered-elo-v4</t>
        </is>
      </c>
      <c r="BH79" s="24" t="inlineStr">
        <is>
          <t>2026-07-25T16:16:25.265176Z</t>
        </is>
      </c>
      <c r="BI79" s="24" t="inlineStr">
        <is>
          <t>["same_event","same_team_same_day","same_league_same_day"]</t>
        </is>
      </c>
      <c r="BJ79" s="25" t="n"/>
      <c r="BK79" s="26" t="n">
        <v>170</v>
      </c>
      <c r="BL79" s="27" t="n">
        <v>2.7</v>
      </c>
      <c r="BM79" s="28" t="n">
        <v>0.37037</v>
      </c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</row>
    <row r="80" ht="36" customHeight="1">
      <c r="A80" s="24" t="inlineStr">
        <is>
          <t>01b059df08d3450e</t>
        </is>
      </c>
      <c r="B80" s="24" t="inlineStr">
        <is>
          <t>2026-07-25T16:16:40.653533Z</t>
        </is>
      </c>
      <c r="C80" s="24" t="inlineStr">
        <is>
          <t>2026-07-25T17:00:00Z</t>
        </is>
      </c>
      <c r="D80" s="24" t="inlineStr">
        <is>
          <t>61026</t>
        </is>
      </c>
      <c r="E80" s="24" t="inlineStr">
        <is>
          <t>CS2</t>
        </is>
      </c>
      <c r="F80" s="24" t="inlineStr">
        <is>
          <t>Vexar</t>
        </is>
      </c>
      <c r="G80" s="24" t="inlineStr">
        <is>
          <t>Honvéd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104</v>
      </c>
      <c r="M80" s="27" t="n">
        <v>2.04</v>
      </c>
      <c r="N80" s="28" t="n">
        <v>0.490196</v>
      </c>
      <c r="O80" s="28" t="n">
        <v>0.540969</v>
      </c>
      <c r="P80" s="28" t="n"/>
      <c r="Q80" s="28" t="n">
        <v>0.050773</v>
      </c>
      <c r="R80" s="26" t="n">
        <v>45</v>
      </c>
      <c r="S80" s="29" t="n">
        <v>1</v>
      </c>
      <c r="T80" s="24" t="inlineStr">
        <is>
          <t>cs2-tiered-elo-v4</t>
        </is>
      </c>
      <c r="U80" s="24" t="inlineStr">
        <is>
          <t>settled</t>
        </is>
      </c>
      <c r="V80" s="24" t="inlineStr">
        <is>
          <t>loss</t>
        </is>
      </c>
      <c r="W80" s="26" t="n">
        <v>1</v>
      </c>
      <c r="X80" s="26" t="n">
        <v>0</v>
      </c>
      <c r="Y80" s="25" t="n"/>
      <c r="Z80" s="26" t="n"/>
      <c r="AA80" s="28" t="n"/>
      <c r="AB80" s="28" t="n"/>
      <c r="AC80" s="30" t="n">
        <v>-1</v>
      </c>
      <c r="AD80" s="24" t="inlineStr">
        <is>
          <t>2026-07-25T22:21:49.245741Z</t>
        </is>
      </c>
      <c r="AE80" s="31" t="inlineStr">
        <is>
          <t>Neutral Elo baseline; executable ask 0.4900 (market_slug=aec-cs2-hon-vexar-2026-07-25).</t>
        </is>
      </c>
      <c r="AF80" s="31" t="inlineStr">
        <is>
          <t>Config-promoted esports baseline; gates enforced at log time.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research_observation</t>
        </is>
      </c>
      <c r="AL80" s="26" t="n">
        <v>3</v>
      </c>
      <c r="AM80" s="24" t="inlineStr">
        <is>
          <t>RESEARCH_OBSERVATION</t>
        </is>
      </c>
      <c r="AN80" s="24" t="inlineStr">
        <is>
          <t>NO_CALL</t>
        </is>
      </c>
      <c r="AO80" s="24" t="inlineStr">
        <is>
          <t>NO_CALL_LOW_EDGE</t>
        </is>
      </c>
      <c r="AP80" s="24" t="inlineStr">
        <is>
          <t>Vexar</t>
        </is>
      </c>
      <c r="AQ80" s="24" t="inlineStr">
        <is>
          <t>Vexar</t>
        </is>
      </c>
      <c r="AR80" s="24" t="inlineStr">
        <is>
          <t>Vexar</t>
        </is>
      </c>
      <c r="AS80" s="24" t="inlineStr">
        <is>
          <t>Honvéd</t>
        </is>
      </c>
      <c r="AT80" s="24" t="inlineStr">
        <is>
          <t>Honvéd</t>
        </is>
      </c>
      <c r="AU80" s="24" t="inlineStr">
        <is>
          <t>Honvéd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e9c327ce15d79aaa8ed5032a6fb86929aaa479e14a8bc9a35686411400dd6b91</t>
        </is>
      </c>
      <c r="BB80" s="24" t="inlineStr">
        <is>
          <t>neutral_elo</t>
        </is>
      </c>
      <c r="BC80" s="24" t="inlineStr">
        <is>
          <t>cs2-tiered-elo-v4</t>
        </is>
      </c>
      <c r="BD80" s="24" t="inlineStr">
        <is>
          <t>e9c327ce15d79aaa8ed5032a6fb86929aaa479e14a8bc9a35686411400dd6b91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cs2-tiered-elo-v4</t>
        </is>
      </c>
      <c r="BH80" s="24" t="inlineStr">
        <is>
          <t>2026-07-25T16:16:25.799820Z</t>
        </is>
      </c>
      <c r="BI80" s="24" t="inlineStr">
        <is>
          <t>["same_event","same_team_same_day","same_league_same_day"]</t>
        </is>
      </c>
      <c r="BJ80" s="25" t="n"/>
      <c r="BK80" s="26" t="n">
        <v>104</v>
      </c>
      <c r="BL80" s="27" t="n">
        <v>2.04</v>
      </c>
      <c r="BM80" s="28" t="n">
        <v>0.490196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</row>
    <row r="81" ht="36" customHeight="1">
      <c r="A81" s="24" t="inlineStr">
        <is>
          <t>3cd92ac6e6844889</t>
        </is>
      </c>
      <c r="B81" s="24" t="inlineStr">
        <is>
          <t>2026-07-25T16:16:40.653533Z</t>
        </is>
      </c>
      <c r="C81" s="24" t="inlineStr">
        <is>
          <t>2026-07-25T19:00:00Z</t>
        </is>
      </c>
      <c r="D81" s="24" t="inlineStr">
        <is>
          <t>61027</t>
        </is>
      </c>
      <c r="E81" s="24" t="inlineStr">
        <is>
          <t>CS2</t>
        </is>
      </c>
      <c r="F81" s="24" t="inlineStr">
        <is>
          <t>Keyd</t>
        </is>
      </c>
      <c r="G81" s="24" t="inlineStr">
        <is>
          <t>Fluxo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-186</v>
      </c>
      <c r="M81" s="27" t="n">
        <v>1.537634</v>
      </c>
      <c r="N81" s="28" t="n">
        <v>0.65035</v>
      </c>
      <c r="O81" s="28" t="n">
        <v>0.669865</v>
      </c>
      <c r="P81" s="28" t="n"/>
      <c r="Q81" s="28" t="n">
        <v>0.019515</v>
      </c>
      <c r="R81" s="26" t="n">
        <v>30</v>
      </c>
      <c r="S81" s="29" t="n">
        <v>2</v>
      </c>
      <c r="T81" s="24" t="inlineStr">
        <is>
          <t>cs2-tiered-elo-v4</t>
        </is>
      </c>
      <c r="U81" s="24" t="inlineStr">
        <is>
          <t>settled</t>
        </is>
      </c>
      <c r="V81" s="24" t="inlineStr">
        <is>
          <t>win</t>
        </is>
      </c>
      <c r="W81" s="26" t="n">
        <v>0</v>
      </c>
      <c r="X81" s="26" t="n">
        <v>1</v>
      </c>
      <c r="Y81" s="25" t="n"/>
      <c r="Z81" s="26" t="n"/>
      <c r="AA81" s="28" t="n"/>
      <c r="AB81" s="28" t="n"/>
      <c r="AC81" s="30" t="n">
        <v>1.0753</v>
      </c>
      <c r="AD81" s="24" t="inlineStr">
        <is>
          <t>2026-07-25T22:21:50.859393Z</t>
        </is>
      </c>
      <c r="AE81" s="31" t="inlineStr">
        <is>
          <t>Neutral Elo baseline; executable ask 0.6500 (market_slug=aec-cs2-fx-keyd-2026-07-25).</t>
        </is>
      </c>
      <c r="AF81" s="31" t="inlineStr">
        <is>
          <t>Config-promoted esports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research_observation</t>
        </is>
      </c>
      <c r="AL81" s="26" t="n">
        <v>3</v>
      </c>
      <c r="AM81" s="24" t="inlineStr">
        <is>
          <t>RESEARCH_OBSERVATION</t>
        </is>
      </c>
      <c r="AN81" s="24" t="inlineStr">
        <is>
          <t>NO_CALL</t>
        </is>
      </c>
      <c r="AO81" s="24" t="inlineStr">
        <is>
          <t>NO_CALL_LOW_EDGE</t>
        </is>
      </c>
      <c r="AP81" s="24" t="inlineStr">
        <is>
          <t>Keyd</t>
        </is>
      </c>
      <c r="AQ81" s="24" t="inlineStr">
        <is>
          <t>Keyd</t>
        </is>
      </c>
      <c r="AR81" s="24" t="inlineStr">
        <is>
          <t>Keyd</t>
        </is>
      </c>
      <c r="AS81" s="24" t="inlineStr">
        <is>
          <t>Fluxo</t>
        </is>
      </c>
      <c r="AT81" s="24" t="inlineStr">
        <is>
          <t>Fluxo</t>
        </is>
      </c>
      <c r="AU81" s="24" t="inlineStr">
        <is>
          <t>Fluxo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e9c327ce15d79aaa8ed5032a6fb86929aaa479e14a8bc9a35686411400dd6b91</t>
        </is>
      </c>
      <c r="BB81" s="24" t="inlineStr">
        <is>
          <t>neutral_elo</t>
        </is>
      </c>
      <c r="BC81" s="24" t="inlineStr">
        <is>
          <t>cs2-tiered-elo-v4</t>
        </is>
      </c>
      <c r="BD81" s="24" t="inlineStr">
        <is>
          <t>e9c327ce15d79aaa8ed5032a6fb86929aaa479e14a8bc9a35686411400dd6b91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cs2-tiered-elo-v4</t>
        </is>
      </c>
      <c r="BH81" s="24" t="inlineStr">
        <is>
          <t>2026-07-25T16:16:28.476213Z</t>
        </is>
      </c>
      <c r="BI81" s="24" t="inlineStr">
        <is>
          <t>["same_event","same_team_same_day","same_league_same_day"]</t>
        </is>
      </c>
      <c r="BJ81" s="25" t="n"/>
      <c r="BK81" s="26" t="n">
        <v>-186</v>
      </c>
      <c r="BL81" s="27" t="n">
        <v>1.537634</v>
      </c>
      <c r="BM81" s="28" t="n">
        <v>0.65035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</row>
    <row r="82" ht="36" customHeight="1">
      <c r="A82" s="24" t="inlineStr">
        <is>
          <t>e55a457d96a140ca</t>
        </is>
      </c>
      <c r="B82" s="24" t="inlineStr">
        <is>
          <t>2026-07-25T19:56:49.213380Z</t>
        </is>
      </c>
      <c r="C82" s="24" t="inlineStr">
        <is>
          <t>2026-07-25T20:00:00Z</t>
        </is>
      </c>
      <c r="D82" s="24" t="inlineStr">
        <is>
          <t>59676</t>
        </is>
      </c>
      <c r="E82" s="24" t="inlineStr">
        <is>
          <t>LOL</t>
        </is>
      </c>
      <c r="F82" s="24" t="inlineStr">
        <is>
          <t>LYON</t>
        </is>
      </c>
      <c r="G82" s="24" t="inlineStr">
        <is>
          <t>FlyQuest</t>
        </is>
      </c>
      <c r="H82" s="24" t="inlineStr">
        <is>
          <t>moneyline</t>
        </is>
      </c>
      <c r="I82" s="24" t="inlineStr">
        <is>
          <t>away</t>
        </is>
      </c>
      <c r="J82" s="25" t="n"/>
      <c r="K82" s="24" t="inlineStr">
        <is>
          <t>polymarket_us</t>
        </is>
      </c>
      <c r="L82" s="26" t="n">
        <v>133</v>
      </c>
      <c r="M82" s="27" t="n">
        <v>2.33</v>
      </c>
      <c r="N82" s="28" t="n">
        <v>0.429185</v>
      </c>
      <c r="O82" s="28" t="n">
        <v>0.579612</v>
      </c>
      <c r="P82" s="28" t="n"/>
      <c r="Q82" s="28" t="n">
        <v>0.150427</v>
      </c>
      <c r="R82" s="26" t="n">
        <v>100</v>
      </c>
      <c r="S82" s="29" t="n">
        <v>1.25</v>
      </c>
      <c r="T82" s="24" t="inlineStr">
        <is>
          <t>lol-tiered-elo-v4</t>
        </is>
      </c>
      <c r="U82" s="24" t="inlineStr">
        <is>
          <t>settled</t>
        </is>
      </c>
      <c r="V82" s="24" t="inlineStr">
        <is>
          <t>win</t>
        </is>
      </c>
      <c r="W82" s="26" t="n">
        <v>1</v>
      </c>
      <c r="X82" s="26" t="n">
        <v>0</v>
      </c>
      <c r="Y82" s="25" t="n"/>
      <c r="Z82" s="26" t="n"/>
      <c r="AA82" s="28" t="n"/>
      <c r="AB82" s="28" t="n"/>
      <c r="AC82" s="30" t="n">
        <v>1.6625</v>
      </c>
      <c r="AD82" s="24" t="inlineStr">
        <is>
          <t>2026-07-25T22:21:52.595601Z</t>
        </is>
      </c>
      <c r="AE82" s="31" t="inlineStr">
        <is>
          <t>Neutral Elo baseline; executable ask 0.4300 (market_slug=aec-lol-fly-ly-2026-07-25).</t>
        </is>
      </c>
      <c r="AF82" s="31" t="inlineStr">
        <is>
          <t>Config-promoted esports baseline; gates enforced at log time.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research_observation</t>
        </is>
      </c>
      <c r="AL82" s="26" t="n">
        <v>3</v>
      </c>
      <c r="AM82" s="24" t="inlineStr">
        <is>
          <t>RESEARCH_OBSERVATION</t>
        </is>
      </c>
      <c r="AN82" s="24" t="inlineStr">
        <is>
          <t>NO_CALL</t>
        </is>
      </c>
      <c r="AO82" s="24" t="inlineStr">
        <is>
          <t>NO_CALL_LARGE_DISAGREEMENT_REVIEW</t>
        </is>
      </c>
      <c r="AP82" s="24" t="inlineStr">
        <is>
          <t>LYON</t>
        </is>
      </c>
      <c r="AQ82" s="24" t="inlineStr">
        <is>
          <t>LYON</t>
        </is>
      </c>
      <c r="AR82" s="24" t="inlineStr">
        <is>
          <t>LYON</t>
        </is>
      </c>
      <c r="AS82" s="24" t="inlineStr">
        <is>
          <t>FlyQuest</t>
        </is>
      </c>
      <c r="AT82" s="24" t="inlineStr">
        <is>
          <t>FlyQuest</t>
        </is>
      </c>
      <c r="AU82" s="24" t="inlineStr">
        <is>
          <t>FlyQuest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35087e828a0053011a97024de693e2ee7eb80eb03024c91d28d254de09d93778</t>
        </is>
      </c>
      <c r="BB82" s="24" t="inlineStr">
        <is>
          <t>neutral_elo</t>
        </is>
      </c>
      <c r="BC82" s="24" t="inlineStr">
        <is>
          <t>lol-tiered-elo-v4</t>
        </is>
      </c>
      <c r="BD82" s="24" t="inlineStr">
        <is>
          <t>35087e828a0053011a97024de693e2ee7eb80eb03024c91d28d254de09d93778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lol-tiered-elo-v4</t>
        </is>
      </c>
      <c r="BH82" s="24" t="inlineStr">
        <is>
          <t>2026-07-25T19:56:39.470380Z</t>
        </is>
      </c>
      <c r="BI82" s="24" t="inlineStr">
        <is>
          <t>["same_event","same_team_same_day","same_league_same_day"]</t>
        </is>
      </c>
      <c r="BJ82" s="25" t="n"/>
      <c r="BK82" s="26" t="n">
        <v>133</v>
      </c>
      <c r="BL82" s="27" t="n">
        <v>2.33</v>
      </c>
      <c r="BM82" s="28" t="n">
        <v>0.429185</v>
      </c>
      <c r="BN82" s="28" t="n"/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</row>
    <row r="83" ht="36" customHeight="1">
      <c r="A83" s="24" t="inlineStr">
        <is>
          <t>79e64509f67048c1</t>
        </is>
      </c>
      <c r="B83" s="24" t="inlineStr">
        <is>
          <t>2026-07-25T19:57:09.087425Z</t>
        </is>
      </c>
      <c r="C83" s="24" t="inlineStr">
        <is>
          <t>2026-07-25T22:00:00Z</t>
        </is>
      </c>
      <c r="D83" s="24" t="inlineStr">
        <is>
          <t>60722</t>
        </is>
      </c>
      <c r="E83" s="24" t="inlineStr">
        <is>
          <t>CS2</t>
        </is>
      </c>
      <c r="F83" s="24" t="inlineStr">
        <is>
          <t>BESTIA Academy</t>
        </is>
      </c>
      <c r="G83" s="24" t="inlineStr">
        <is>
          <t>Isurus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-233</v>
      </c>
      <c r="M83" s="27" t="n">
        <v>1.429185</v>
      </c>
      <c r="N83" s="28" t="n">
        <v>0.6997</v>
      </c>
      <c r="O83" s="28" t="n">
        <v>0.626363</v>
      </c>
      <c r="P83" s="28" t="n"/>
      <c r="Q83" s="28" t="n">
        <v>-0.073337</v>
      </c>
      <c r="R83" s="26" t="n">
        <v>13</v>
      </c>
      <c r="S83" s="29" t="n">
        <v>1.75</v>
      </c>
      <c r="T83" s="24" t="inlineStr">
        <is>
          <t>cs2-tiered-elo-v4</t>
        </is>
      </c>
      <c r="U83" s="24" t="inlineStr">
        <is>
          <t>settled</t>
        </is>
      </c>
      <c r="V83" s="24" t="inlineStr">
        <is>
          <t>win</t>
        </is>
      </c>
      <c r="W83" s="26" t="n">
        <v>0</v>
      </c>
      <c r="X83" s="26" t="n">
        <v>1</v>
      </c>
      <c r="Y83" s="25" t="n"/>
      <c r="Z83" s="26" t="n"/>
      <c r="AA83" s="28" t="n"/>
      <c r="AB83" s="28" t="n"/>
      <c r="AC83" s="30" t="n">
        <v>0.7511</v>
      </c>
      <c r="AD83" s="24" t="inlineStr">
        <is>
          <t>2026-07-26T00:02:24.234842Z</t>
        </is>
      </c>
      <c r="AE83" s="31" t="inlineStr">
        <is>
          <t>Neutral Elo baseline; executable ask 0.7000 (market_slug=aec-cs2-isg-bsta-2026-07-25).</t>
        </is>
      </c>
      <c r="AF83" s="31" t="inlineStr">
        <is>
          <t>Config-promoted esports baseline; gates enforced at log time.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research_observation</t>
        </is>
      </c>
      <c r="AL83" s="26" t="n">
        <v>3</v>
      </c>
      <c r="AM83" s="24" t="inlineStr">
        <is>
          <t>RESEARCH_OBSERVATION</t>
        </is>
      </c>
      <c r="AN83" s="24" t="inlineStr">
        <is>
          <t>NO_CALL</t>
        </is>
      </c>
      <c r="AO83" s="24" t="inlineStr">
        <is>
          <t>NO_CALL_LOW_EDGE</t>
        </is>
      </c>
      <c r="AP83" s="24" t="inlineStr">
        <is>
          <t>BESTIA Academy</t>
        </is>
      </c>
      <c r="AQ83" s="24" t="inlineStr">
        <is>
          <t>BESTIA Academy</t>
        </is>
      </c>
      <c r="AR83" s="24" t="inlineStr">
        <is>
          <t>BESTIA Academy</t>
        </is>
      </c>
      <c r="AS83" s="24" t="inlineStr">
        <is>
          <t>Isurus</t>
        </is>
      </c>
      <c r="AT83" s="24" t="inlineStr">
        <is>
          <t>Isurus</t>
        </is>
      </c>
      <c r="AU83" s="24" t="inlineStr">
        <is>
          <t>Isurus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e9c327ce15d79aaa8ed5032a6fb86929aaa479e14a8bc9a35686411400dd6b91</t>
        </is>
      </c>
      <c r="BB83" s="24" t="inlineStr">
        <is>
          <t>neutral_elo</t>
        </is>
      </c>
      <c r="BC83" s="24" t="inlineStr">
        <is>
          <t>cs2-tiered-elo-v4</t>
        </is>
      </c>
      <c r="BD83" s="24" t="inlineStr">
        <is>
          <t>e9c327ce15d79aaa8ed5032a6fb86929aaa479e14a8bc9a35686411400dd6b91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cs2-tiered-elo-v4</t>
        </is>
      </c>
      <c r="BH83" s="24" t="inlineStr">
        <is>
          <t>2026-07-25T19:56:55.049670Z</t>
        </is>
      </c>
      <c r="BI83" s="24" t="inlineStr">
        <is>
          <t>["same_event","same_team_same_day","same_league_same_day"]</t>
        </is>
      </c>
      <c r="BJ83" s="25" t="n"/>
      <c r="BK83" s="26" t="n">
        <v>-233</v>
      </c>
      <c r="BL83" s="27" t="n">
        <v>1.429185</v>
      </c>
      <c r="BM83" s="28" t="n">
        <v>0.6997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</row>
    <row r="84" ht="36" customHeight="1">
      <c r="A84" s="24" t="inlineStr">
        <is>
          <t>22487633e181401d</t>
        </is>
      </c>
      <c r="B84" s="24" t="inlineStr">
        <is>
          <t>2026-07-25T22:53:01.007926Z</t>
        </is>
      </c>
      <c r="C84" s="24" t="inlineStr">
        <is>
          <t>2026-07-25T23:00:00Z</t>
        </is>
      </c>
      <c r="D84" s="24" t="inlineStr">
        <is>
          <t>59864</t>
        </is>
      </c>
      <c r="E84" s="24" t="inlineStr">
        <is>
          <t>LOL</t>
        </is>
      </c>
      <c r="F84" s="24" t="inlineStr">
        <is>
          <t>Sentinels</t>
        </is>
      </c>
      <c r="G84" s="24" t="inlineStr">
        <is>
          <t>Dignitas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polymarket_us</t>
        </is>
      </c>
      <c r="L84" s="26" t="n">
        <v>-150</v>
      </c>
      <c r="M84" s="27" t="n">
        <v>1.666667</v>
      </c>
      <c r="N84" s="28" t="n">
        <v>0.6</v>
      </c>
      <c r="O84" s="28" t="n">
        <v>0.806704</v>
      </c>
      <c r="P84" s="28" t="n"/>
      <c r="Q84" s="28" t="n">
        <v>0.206704</v>
      </c>
      <c r="R84" s="26" t="n">
        <v>100</v>
      </c>
      <c r="S84" s="29" t="n">
        <v>2</v>
      </c>
      <c r="T84" s="24" t="inlineStr">
        <is>
          <t>lol-tiered-elo-v4</t>
        </is>
      </c>
      <c r="U84" s="24" t="inlineStr">
        <is>
          <t>settled</t>
        </is>
      </c>
      <c r="V84" s="24" t="inlineStr">
        <is>
          <t>win</t>
        </is>
      </c>
      <c r="W84" s="26" t="n">
        <v>1</v>
      </c>
      <c r="X84" s="26" t="n">
        <v>0</v>
      </c>
      <c r="Y84" s="25" t="n"/>
      <c r="Z84" s="26" t="n"/>
      <c r="AA84" s="28" t="n"/>
      <c r="AB84" s="28" t="n"/>
      <c r="AC84" s="30" t="n">
        <v>1.3333</v>
      </c>
      <c r="AD84" s="24" t="inlineStr">
        <is>
          <t>2026-07-26T00:29:46.946882Z</t>
        </is>
      </c>
      <c r="AE84" s="31" t="inlineStr">
        <is>
          <t>Neutral Elo baseline; executable ask 0.6000 (market_slug=aec-lol-dig-sen-2026-07-25).</t>
        </is>
      </c>
      <c r="AF84" s="31" t="inlineStr">
        <is>
          <t>Config-promoted esports baseline; gates enforced at log time.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research_observation</t>
        </is>
      </c>
      <c r="AL84" s="26" t="n">
        <v>3</v>
      </c>
      <c r="AM84" s="24" t="inlineStr">
        <is>
          <t>RESEARCH_OBSERVATION</t>
        </is>
      </c>
      <c r="AN84" s="24" t="inlineStr">
        <is>
          <t>NO_CALL</t>
        </is>
      </c>
      <c r="AO84" s="24" t="inlineStr">
        <is>
          <t>NO_CALL_LARGE_DISAGREEMENT_REVIEW</t>
        </is>
      </c>
      <c r="AP84" s="24" t="inlineStr">
        <is>
          <t>Sentinels</t>
        </is>
      </c>
      <c r="AQ84" s="24" t="inlineStr">
        <is>
          <t>Sentinels</t>
        </is>
      </c>
      <c r="AR84" s="24" t="inlineStr">
        <is>
          <t>Sentinels</t>
        </is>
      </c>
      <c r="AS84" s="24" t="inlineStr">
        <is>
          <t>Dignitas</t>
        </is>
      </c>
      <c r="AT84" s="24" t="inlineStr">
        <is>
          <t>Dignitas</t>
        </is>
      </c>
      <c r="AU84" s="24" t="inlineStr">
        <is>
          <t>Dignitas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35087e828a0053011a97024de693e2ee7eb80eb03024c91d28d254de09d93778</t>
        </is>
      </c>
      <c r="BB84" s="24" t="inlineStr">
        <is>
          <t>neutral_elo</t>
        </is>
      </c>
      <c r="BC84" s="24" t="inlineStr">
        <is>
          <t>lol-tiered-elo-v4</t>
        </is>
      </c>
      <c r="BD84" s="24" t="inlineStr">
        <is>
          <t>35087e828a0053011a97024de693e2ee7eb80eb03024c91d28d254de09d93778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lol-tiered-elo-v4</t>
        </is>
      </c>
      <c r="BH84" s="24" t="inlineStr">
        <is>
          <t>2026-07-25T22:52:49.257619Z</t>
        </is>
      </c>
      <c r="BI84" s="24" t="inlineStr">
        <is>
          <t>["same_event","same_team_same_day","same_league_same_day"]</t>
        </is>
      </c>
      <c r="BJ84" s="25" t="n"/>
      <c r="BK84" s="26" t="n">
        <v>-150</v>
      </c>
      <c r="BL84" s="27" t="n">
        <v>1.666667</v>
      </c>
      <c r="BM84" s="28" t="n">
        <v>0.6</v>
      </c>
      <c r="BN84" s="28" t="n"/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</row>
    <row r="85" ht="36" customHeight="1">
      <c r="A85" s="24" t="inlineStr">
        <is>
          <t>b0fc9f336a6d45a2</t>
        </is>
      </c>
      <c r="B85" s="24" t="inlineStr">
        <is>
          <t>2026-07-26T00:07:06.011314Z</t>
        </is>
      </c>
      <c r="C85" s="24" t="inlineStr">
        <is>
          <t>2026-07-26T04:30:00Z</t>
        </is>
      </c>
      <c r="D85" s="24" t="inlineStr">
        <is>
          <t>61386</t>
        </is>
      </c>
      <c r="E85" s="24" t="inlineStr">
        <is>
          <t>VALORANT</t>
        </is>
      </c>
      <c r="F85" s="24" t="inlineStr">
        <is>
          <t>QT DIG∞</t>
        </is>
      </c>
      <c r="G85" s="24" t="inlineStr">
        <is>
          <t>REJECT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-223</v>
      </c>
      <c r="M85" s="27" t="n">
        <v>1.44843</v>
      </c>
      <c r="N85" s="28" t="n">
        <v>0.690402</v>
      </c>
      <c r="O85" s="28" t="n">
        <v>0.5200050000000001</v>
      </c>
      <c r="P85" s="28" t="n"/>
      <c r="Q85" s="28" t="n">
        <v>-0.170397</v>
      </c>
      <c r="R85" s="26" t="n">
        <v>0</v>
      </c>
      <c r="S85" s="29" t="n">
        <v>0.75</v>
      </c>
      <c r="T85" s="24" t="inlineStr">
        <is>
          <t>valorant-tiered-elo-v4</t>
        </is>
      </c>
      <c r="U85" s="24" t="inlineStr">
        <is>
          <t>settled</t>
        </is>
      </c>
      <c r="V85" s="24" t="inlineStr">
        <is>
          <t>loss</t>
        </is>
      </c>
      <c r="W85" s="26" t="n">
        <v>1</v>
      </c>
      <c r="X85" s="26" t="n">
        <v>0</v>
      </c>
      <c r="Y85" s="25" t="n"/>
      <c r="Z85" s="26" t="n"/>
      <c r="AA85" s="28" t="n"/>
      <c r="AB85" s="28" t="n"/>
      <c r="AC85" s="30" t="n">
        <v>-0.75</v>
      </c>
      <c r="AD85" s="24" t="inlineStr">
        <is>
          <t>2026-07-26T11:40:29.526216Z</t>
        </is>
      </c>
      <c r="AE85" s="31" t="inlineStr">
        <is>
          <t>Neutral Elo baseline; executable ask 0.6900 (market_slug=aec-valorant-rc-qtd-2026-07-26).</t>
        </is>
      </c>
      <c r="AF85" s="31" t="inlineStr">
        <is>
          <t>Config-promoted esports baseline; gates enforced at log time.</t>
        </is>
      </c>
      <c r="AG85" s="24" t="inlineStr">
        <is>
          <t>review_required</t>
        </is>
      </c>
      <c r="AH85" s="24" t="n"/>
      <c r="AI85" s="31" t="n"/>
      <c r="AJ85" s="31" t="n"/>
      <c r="AK85" s="24" t="inlineStr">
        <is>
          <t>research_observation</t>
        </is>
      </c>
      <c r="AL85" s="26" t="n">
        <v>3</v>
      </c>
      <c r="AM85" s="24" t="inlineStr">
        <is>
          <t>RESEARCH_OBSERVATION</t>
        </is>
      </c>
      <c r="AN85" s="24" t="inlineStr">
        <is>
          <t>NO_CALL</t>
        </is>
      </c>
      <c r="AO85" s="24" t="inlineStr">
        <is>
          <t>NO_CALL_LARGE_DISAGREEMENT_REVIEW</t>
        </is>
      </c>
      <c r="AP85" s="24" t="inlineStr">
        <is>
          <t>QT DIG∞</t>
        </is>
      </c>
      <c r="AQ85" s="24" t="inlineStr">
        <is>
          <t>QT DIG∞</t>
        </is>
      </c>
      <c r="AR85" s="24" t="inlineStr">
        <is>
          <t>QT DIG∞</t>
        </is>
      </c>
      <c r="AS85" s="24" t="inlineStr">
        <is>
          <t>REJECT</t>
        </is>
      </c>
      <c r="AT85" s="24" t="inlineStr">
        <is>
          <t>REJECT</t>
        </is>
      </c>
      <c r="AU85" s="24" t="inlineStr">
        <is>
          <t>REJECT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153b0db03af0303675f7eb2520b56d0fd86008f1bb62095f9881ea43a0124bb2</t>
        </is>
      </c>
      <c r="BB85" s="24" t="inlineStr">
        <is>
          <t>neutral_elo</t>
        </is>
      </c>
      <c r="BC85" s="24" t="inlineStr">
        <is>
          <t>valorant-tiered-elo-v4</t>
        </is>
      </c>
      <c r="BD85" s="24" t="inlineStr">
        <is>
          <t>153b0db03af0303675f7eb2520b56d0fd86008f1bb62095f9881ea43a0124bb2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valorant-tiered-elo-v4</t>
        </is>
      </c>
      <c r="BH85" s="24" t="inlineStr">
        <is>
          <t>2026-07-26T00:07:00.087661Z</t>
        </is>
      </c>
      <c r="BI85" s="24" t="inlineStr">
        <is>
          <t>["same_event","same_team_same_day","same_league_same_day"]</t>
        </is>
      </c>
      <c r="BJ85" s="25" t="n"/>
      <c r="BK85" s="26" t="n">
        <v>-223</v>
      </c>
      <c r="BL85" s="27" t="n">
        <v>1.44843</v>
      </c>
      <c r="BM85" s="28" t="n">
        <v>0.690402</v>
      </c>
      <c r="BN85" s="28" t="n"/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</row>
    <row r="86" ht="36" customHeight="1">
      <c r="A86" s="24" t="inlineStr">
        <is>
          <t>42a4948493b444ea</t>
        </is>
      </c>
      <c r="B86" s="24" t="inlineStr">
        <is>
          <t>2026-07-26T08:21:34.848924Z</t>
        </is>
      </c>
      <c r="C86" s="24" t="inlineStr">
        <is>
          <t>2026-07-26T09:00:00Z</t>
        </is>
      </c>
      <c r="D86" s="24" t="inlineStr">
        <is>
          <t>60052</t>
        </is>
      </c>
      <c r="E86" s="24" t="inlineStr">
        <is>
          <t>LOL</t>
        </is>
      </c>
      <c r="F86" s="24" t="inlineStr">
        <is>
          <t>EDward Gaming</t>
        </is>
      </c>
      <c r="G86" s="24" t="inlineStr">
        <is>
          <t>ThunderTalk Gaming</t>
        </is>
      </c>
      <c r="H86" s="24" t="inlineStr">
        <is>
          <t>moneyline</t>
        </is>
      </c>
      <c r="I86" s="24" t="inlineStr">
        <is>
          <t>away</t>
        </is>
      </c>
      <c r="J86" s="25" t="n"/>
      <c r="K86" s="24" t="inlineStr">
        <is>
          <t>polymarket_us</t>
        </is>
      </c>
      <c r="L86" s="26" t="n">
        <v>-108</v>
      </c>
      <c r="M86" s="27" t="n">
        <v>1.925926</v>
      </c>
      <c r="N86" s="28" t="n">
        <v>0.519231</v>
      </c>
      <c r="O86" s="28" t="n">
        <v>0.527439</v>
      </c>
      <c r="P86" s="28" t="n"/>
      <c r="Q86" s="28" t="n">
        <v>0.008208</v>
      </c>
      <c r="R86" s="26" t="n">
        <v>54</v>
      </c>
      <c r="S86" s="29" t="n">
        <v>0.75</v>
      </c>
      <c r="T86" s="24" t="inlineStr">
        <is>
          <t>lol-tiered-elo-v4</t>
        </is>
      </c>
      <c r="U86" s="24" t="inlineStr">
        <is>
          <t>settled</t>
        </is>
      </c>
      <c r="V86" s="24" t="inlineStr">
        <is>
          <t>loss</t>
        </is>
      </c>
      <c r="W86" s="26" t="n">
        <v>0</v>
      </c>
      <c r="X86" s="26" t="n">
        <v>1</v>
      </c>
      <c r="Y86" s="25" t="n"/>
      <c r="Z86" s="26" t="n"/>
      <c r="AA86" s="28" t="n"/>
      <c r="AB86" s="28" t="n"/>
      <c r="AC86" s="30" t="n">
        <v>-0.75</v>
      </c>
      <c r="AD86" s="24" t="inlineStr">
        <is>
          <t>2026-07-26T11:40:32.367454Z</t>
        </is>
      </c>
      <c r="AE86" s="31" t="inlineStr">
        <is>
          <t>Neutral Elo baseline; executable ask 0.5200 (market_slug=aec-lol-tt-edg-2026-07-26).</t>
        </is>
      </c>
      <c r="AF86" s="31" t="inlineStr">
        <is>
          <t>Config-promoted esports baseline; gates enforced at log time.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research_observation</t>
        </is>
      </c>
      <c r="AL86" s="26" t="n">
        <v>3</v>
      </c>
      <c r="AM86" s="24" t="inlineStr">
        <is>
          <t>RESEARCH_OBSERVATION</t>
        </is>
      </c>
      <c r="AN86" s="24" t="inlineStr">
        <is>
          <t>NO_CALL</t>
        </is>
      </c>
      <c r="AO86" s="24" t="inlineStr">
        <is>
          <t>NO_CALL_LOW_EDGE</t>
        </is>
      </c>
      <c r="AP86" s="24" t="inlineStr">
        <is>
          <t>EDward Gaming</t>
        </is>
      </c>
      <c r="AQ86" s="24" t="inlineStr">
        <is>
          <t>EDward Gaming</t>
        </is>
      </c>
      <c r="AR86" s="24" t="inlineStr">
        <is>
          <t>EDward Gaming</t>
        </is>
      </c>
      <c r="AS86" s="24" t="inlineStr">
        <is>
          <t>ThunderTalk Gaming</t>
        </is>
      </c>
      <c r="AT86" s="24" t="inlineStr">
        <is>
          <t>ThunderTalk Gaming</t>
        </is>
      </c>
      <c r="AU86" s="24" t="inlineStr">
        <is>
          <t>ThunderTalk Gaming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35087e828a0053011a97024de693e2ee7eb80eb03024c91d28d254de09d93778</t>
        </is>
      </c>
      <c r="BB86" s="24" t="inlineStr">
        <is>
          <t>neutral_elo</t>
        </is>
      </c>
      <c r="BC86" s="24" t="inlineStr">
        <is>
          <t>lol-tiered-elo-v4</t>
        </is>
      </c>
      <c r="BD86" s="24" t="inlineStr">
        <is>
          <t>35087e828a0053011a97024de693e2ee7eb80eb03024c91d28d254de09d93778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lol-tiered-elo-v4</t>
        </is>
      </c>
      <c r="BH86" s="24" t="inlineStr">
        <is>
          <t>2026-07-26T08:21:02.789154Z</t>
        </is>
      </c>
      <c r="BI86" s="24" t="inlineStr">
        <is>
          <t>["same_event","same_team_same_day","same_league_same_day"]</t>
        </is>
      </c>
      <c r="BJ86" s="25" t="n"/>
      <c r="BK86" s="26" t="n">
        <v>-108</v>
      </c>
      <c r="BL86" s="27" t="n">
        <v>1.925926</v>
      </c>
      <c r="BM86" s="28" t="n">
        <v>0.519231</v>
      </c>
      <c r="BN86" s="28" t="n"/>
      <c r="BO86" s="28" t="n"/>
      <c r="BP86" s="25" t="n"/>
      <c r="BQ86" s="27" t="n"/>
      <c r="BR86" s="28" t="n"/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</row>
    <row r="87" ht="36" customHeight="1">
      <c r="A87" s="24" t="inlineStr">
        <is>
          <t>98eba3198a354759</t>
        </is>
      </c>
      <c r="B87" s="24" t="inlineStr">
        <is>
          <t>2026-07-26T08:21:34.848924Z</t>
        </is>
      </c>
      <c r="C87" s="24" t="inlineStr">
        <is>
          <t>2026-07-26T10:00:00Z</t>
        </is>
      </c>
      <c r="D87" s="24" t="inlineStr">
        <is>
          <t>60103</t>
        </is>
      </c>
      <c r="E87" s="24" t="inlineStr">
        <is>
          <t>LOL</t>
        </is>
      </c>
      <c r="F87" s="24" t="inlineStr">
        <is>
          <t>Project Conquerors</t>
        </is>
      </c>
      <c r="G87" s="24" t="inlineStr">
        <is>
          <t>Zephyr Esport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100</v>
      </c>
      <c r="M87" s="27" t="n">
        <v>2</v>
      </c>
      <c r="N87" s="28" t="n">
        <v>0.5</v>
      </c>
      <c r="O87" s="28" t="n">
        <v>0.54283</v>
      </c>
      <c r="P87" s="28" t="n"/>
      <c r="Q87" s="28" t="n">
        <v>0.04283</v>
      </c>
      <c r="R87" s="26" t="n">
        <v>71</v>
      </c>
      <c r="S87" s="29" t="n">
        <v>1</v>
      </c>
      <c r="T87" s="24" t="inlineStr">
        <is>
          <t>lol-tiered-elo-v4</t>
        </is>
      </c>
      <c r="U87" s="24" t="inlineStr">
        <is>
          <t>settled</t>
        </is>
      </c>
      <c r="V87" s="24" t="inlineStr">
        <is>
          <t>win</t>
        </is>
      </c>
      <c r="W87" s="26" t="n">
        <v>1</v>
      </c>
      <c r="X87" s="26" t="n">
        <v>0</v>
      </c>
      <c r="Y87" s="25" t="n"/>
      <c r="Z87" s="26" t="n"/>
      <c r="AA87" s="28" t="n"/>
      <c r="AB87" s="28" t="n"/>
      <c r="AC87" s="30" t="n">
        <v>1</v>
      </c>
      <c r="AD87" s="24" t="inlineStr">
        <is>
          <t>2026-07-26T11:40:34.817945Z</t>
        </is>
      </c>
      <c r="AE87" s="31" t="inlineStr">
        <is>
          <t>Neutral Elo baseline; executable ask 0.5000 (market_slug=aec-lol-zpr-pcs-2026-07-26).</t>
        </is>
      </c>
      <c r="AF87" s="31" t="inlineStr">
        <is>
          <t>Config-promoted esports baseline; gates enforced at log time.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research_observation</t>
        </is>
      </c>
      <c r="AL87" s="26" t="n">
        <v>3</v>
      </c>
      <c r="AM87" s="24" t="inlineStr">
        <is>
          <t>RESEARCH_OBSERVATION</t>
        </is>
      </c>
      <c r="AN87" s="24" t="inlineStr">
        <is>
          <t>NO_CALL</t>
        </is>
      </c>
      <c r="AO87" s="24" t="inlineStr">
        <is>
          <t>NO_CALL_LOW_EDGE</t>
        </is>
      </c>
      <c r="AP87" s="24" t="inlineStr">
        <is>
          <t>Project Conquerors</t>
        </is>
      </c>
      <c r="AQ87" s="24" t="inlineStr">
        <is>
          <t>Project Conquerors</t>
        </is>
      </c>
      <c r="AR87" s="24" t="inlineStr">
        <is>
          <t>Project Conquerors</t>
        </is>
      </c>
      <c r="AS87" s="24" t="inlineStr">
        <is>
          <t>Zephyr Esport</t>
        </is>
      </c>
      <c r="AT87" s="24" t="inlineStr">
        <is>
          <t>Zephyr Esport</t>
        </is>
      </c>
      <c r="AU87" s="24" t="inlineStr">
        <is>
          <t>Zephyr Esport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35087e828a0053011a97024de693e2ee7eb80eb03024c91d28d254de09d93778</t>
        </is>
      </c>
      <c r="BB87" s="24" t="inlineStr">
        <is>
          <t>neutral_elo</t>
        </is>
      </c>
      <c r="BC87" s="24" t="inlineStr">
        <is>
          <t>lol-tiered-elo-v4</t>
        </is>
      </c>
      <c r="BD87" s="24" t="inlineStr">
        <is>
          <t>35087e828a0053011a97024de693e2ee7eb80eb03024c91d28d254de09d93778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lol-tiered-elo-v4</t>
        </is>
      </c>
      <c r="BH87" s="24" t="inlineStr">
        <is>
          <t>2026-07-26T08:21:03.598793Z</t>
        </is>
      </c>
      <c r="BI87" s="24" t="inlineStr">
        <is>
          <t>["same_event","same_team_same_day","same_league_same_day"]</t>
        </is>
      </c>
      <c r="BJ87" s="25" t="n"/>
      <c r="BK87" s="26" t="n">
        <v>100</v>
      </c>
      <c r="BL87" s="27" t="n">
        <v>2</v>
      </c>
      <c r="BM87" s="28" t="n">
        <v>0.5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</row>
    <row r="88" ht="36" customHeight="1">
      <c r="A88" s="24" t="inlineStr">
        <is>
          <t>4ead3a31f1df41bb</t>
        </is>
      </c>
      <c r="B88" s="24" t="inlineStr">
        <is>
          <t>2026-07-26T08:21:34.848924Z</t>
        </is>
      </c>
      <c r="C88" s="24" t="inlineStr">
        <is>
          <t>2026-07-26T11:00:00Z</t>
        </is>
      </c>
      <c r="D88" s="24" t="inlineStr">
        <is>
          <t>60105</t>
        </is>
      </c>
      <c r="E88" s="24" t="inlineStr">
        <is>
          <t>LOL</t>
        </is>
      </c>
      <c r="F88" s="24" t="inlineStr">
        <is>
          <t>Bilibili Gaming</t>
        </is>
      </c>
      <c r="G88" s="24" t="inlineStr">
        <is>
          <t>Anyone's Legend</t>
        </is>
      </c>
      <c r="H88" s="24" t="inlineStr">
        <is>
          <t>moneyline</t>
        </is>
      </c>
      <c r="I88" s="24" t="inlineStr">
        <is>
          <t>away</t>
        </is>
      </c>
      <c r="J88" s="25" t="n"/>
      <c r="K88" s="24" t="inlineStr">
        <is>
          <t>polymarket_us</t>
        </is>
      </c>
      <c r="L88" s="26" t="n">
        <v>-150</v>
      </c>
      <c r="M88" s="27" t="n">
        <v>1.666667</v>
      </c>
      <c r="N88" s="28" t="n">
        <v>0.6</v>
      </c>
      <c r="O88" s="28" t="n">
        <v>0.658467</v>
      </c>
      <c r="P88" s="28" t="n"/>
      <c r="Q88" s="28" t="n">
        <v>0.058467</v>
      </c>
      <c r="R88" s="26" t="n">
        <v>79</v>
      </c>
      <c r="S88" s="29" t="n">
        <v>2</v>
      </c>
      <c r="T88" s="24" t="inlineStr">
        <is>
          <t>lol-tiered-elo-v4</t>
        </is>
      </c>
      <c r="U88" s="24" t="inlineStr">
        <is>
          <t>settled</t>
        </is>
      </c>
      <c r="V88" s="24" t="inlineStr">
        <is>
          <t>win</t>
        </is>
      </c>
      <c r="W88" s="26" t="n">
        <v>1</v>
      </c>
      <c r="X88" s="26" t="n">
        <v>0</v>
      </c>
      <c r="Y88" s="25" t="n"/>
      <c r="Z88" s="26" t="n"/>
      <c r="AA88" s="28" t="n"/>
      <c r="AB88" s="28" t="n"/>
      <c r="AC88" s="30" t="n">
        <v>1.3333</v>
      </c>
      <c r="AD88" s="24" t="inlineStr">
        <is>
          <t>2026-07-26T17:52:18.709773Z</t>
        </is>
      </c>
      <c r="AE88" s="31" t="inlineStr">
        <is>
          <t>Neutral Elo baseline; executable ask 0.6000 (market_slug=aec-lol-al-blg-2026-07-26).</t>
        </is>
      </c>
      <c r="AF88" s="31" t="inlineStr">
        <is>
          <t>Config-promoted esports baseline; gates enforced at log time.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research_observation</t>
        </is>
      </c>
      <c r="AL88" s="26" t="n">
        <v>3</v>
      </c>
      <c r="AM88" s="24" t="inlineStr">
        <is>
          <t>RESEARCH_OBSERVATION</t>
        </is>
      </c>
      <c r="AN88" s="24" t="inlineStr">
        <is>
          <t>NO_CALL</t>
        </is>
      </c>
      <c r="AO88" s="24" t="inlineStr">
        <is>
          <t>NO_CALL_LOW_EDGE</t>
        </is>
      </c>
      <c r="AP88" s="24" t="inlineStr">
        <is>
          <t>Bilibili Gaming</t>
        </is>
      </c>
      <c r="AQ88" s="24" t="inlineStr">
        <is>
          <t>Bilibili Gaming</t>
        </is>
      </c>
      <c r="AR88" s="24" t="inlineStr">
        <is>
          <t>Bilibili Gaming</t>
        </is>
      </c>
      <c r="AS88" s="24" t="inlineStr">
        <is>
          <t>Anyone's Legend</t>
        </is>
      </c>
      <c r="AT88" s="24" t="inlineStr">
        <is>
          <t>Anyone's Legend</t>
        </is>
      </c>
      <c r="AU88" s="24" t="inlineStr">
        <is>
          <t>Anyone's Legend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35087e828a0053011a97024de693e2ee7eb80eb03024c91d28d254de09d93778</t>
        </is>
      </c>
      <c r="BB88" s="24" t="inlineStr">
        <is>
          <t>neutral_elo</t>
        </is>
      </c>
      <c r="BC88" s="24" t="inlineStr">
        <is>
          <t>lol-tiered-elo-v4</t>
        </is>
      </c>
      <c r="BD88" s="24" t="inlineStr">
        <is>
          <t>35087e828a0053011a97024de693e2ee7eb80eb03024c91d28d254de09d93778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lol-tiered-elo-v4</t>
        </is>
      </c>
      <c r="BH88" s="24" t="inlineStr">
        <is>
          <t>2026-07-26T08:21:06.017032Z</t>
        </is>
      </c>
      <c r="BI88" s="24" t="inlineStr">
        <is>
          <t>["same_event","same_team_same_day","same_league_same_day"]</t>
        </is>
      </c>
      <c r="BJ88" s="25" t="n"/>
      <c r="BK88" s="26" t="n">
        <v>-150</v>
      </c>
      <c r="BL88" s="27" t="n">
        <v>1.666667</v>
      </c>
      <c r="BM88" s="28" t="n">
        <v>0.6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</row>
    <row r="89" ht="36" customHeight="1">
      <c r="A89" s="24" t="inlineStr">
        <is>
          <t>46bf4494cb8647cd</t>
        </is>
      </c>
      <c r="B89" s="24" t="inlineStr">
        <is>
          <t>2026-07-26T08:21:34.848924Z</t>
        </is>
      </c>
      <c r="C89" s="24" t="inlineStr">
        <is>
          <t>2026-07-26T11:30:00Z</t>
        </is>
      </c>
      <c r="D89" s="24" t="inlineStr">
        <is>
          <t>60110</t>
        </is>
      </c>
      <c r="E89" s="24" t="inlineStr">
        <is>
          <t>LOL</t>
        </is>
      </c>
      <c r="F89" s="24" t="inlineStr">
        <is>
          <t>Deep Cross Gaming</t>
        </is>
      </c>
      <c r="G89" s="24" t="inlineStr">
        <is>
          <t>CTBC Flying Oyster</t>
        </is>
      </c>
      <c r="H89" s="24" t="inlineStr">
        <is>
          <t>moneyline</t>
        </is>
      </c>
      <c r="I89" s="24" t="inlineStr">
        <is>
          <t>away</t>
        </is>
      </c>
      <c r="J89" s="25" t="n"/>
      <c r="K89" s="24" t="inlineStr">
        <is>
          <t>polymarket_us</t>
        </is>
      </c>
      <c r="L89" s="26" t="n">
        <v>-178</v>
      </c>
      <c r="M89" s="27" t="n">
        <v>1.561798</v>
      </c>
      <c r="N89" s="28" t="n">
        <v>0.640288</v>
      </c>
      <c r="O89" s="28" t="n">
        <v>0.680213</v>
      </c>
      <c r="P89" s="28" t="n"/>
      <c r="Q89" s="28" t="n">
        <v>0.039925</v>
      </c>
      <c r="R89" s="26" t="n">
        <v>70</v>
      </c>
      <c r="S89" s="29" t="n">
        <v>2</v>
      </c>
      <c r="T89" s="24" t="inlineStr">
        <is>
          <t>lol-tiered-elo-v4</t>
        </is>
      </c>
      <c r="U89" s="24" t="inlineStr">
        <is>
          <t>settled</t>
        </is>
      </c>
      <c r="V89" s="24" t="inlineStr">
        <is>
          <t>loss</t>
        </is>
      </c>
      <c r="W89" s="26" t="n">
        <v>0</v>
      </c>
      <c r="X89" s="26" t="n">
        <v>1</v>
      </c>
      <c r="Y89" s="25" t="n"/>
      <c r="Z89" s="26" t="n"/>
      <c r="AA89" s="28" t="n"/>
      <c r="AB89" s="28" t="n"/>
      <c r="AC89" s="30" t="n">
        <v>-2</v>
      </c>
      <c r="AD89" s="24" t="inlineStr">
        <is>
          <t>2026-07-26T17:52:20.620042Z</t>
        </is>
      </c>
      <c r="AE89" s="31" t="inlineStr">
        <is>
          <t>Neutral Elo baseline; executable ask 0.6400 (market_slug=aec-lol-cfo-dcg-2026-07-26).</t>
        </is>
      </c>
      <c r="AF89" s="31" t="inlineStr">
        <is>
          <t>Config-promoted esports baseline; gates enforced at log time.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research_observation</t>
        </is>
      </c>
      <c r="AL89" s="26" t="n">
        <v>3</v>
      </c>
      <c r="AM89" s="24" t="inlineStr">
        <is>
          <t>RESEARCH_OBSERVATION</t>
        </is>
      </c>
      <c r="AN89" s="24" t="inlineStr">
        <is>
          <t>NO_CALL</t>
        </is>
      </c>
      <c r="AO89" s="24" t="inlineStr">
        <is>
          <t>NO_CALL_LOW_EDGE</t>
        </is>
      </c>
      <c r="AP89" s="24" t="inlineStr">
        <is>
          <t>Deep Cross Gaming</t>
        </is>
      </c>
      <c r="AQ89" s="24" t="inlineStr">
        <is>
          <t>Deep Cross Gaming</t>
        </is>
      </c>
      <c r="AR89" s="24" t="inlineStr">
        <is>
          <t>Deep Cross Gaming</t>
        </is>
      </c>
      <c r="AS89" s="24" t="inlineStr">
        <is>
          <t>CTBC Flying Oyster</t>
        </is>
      </c>
      <c r="AT89" s="24" t="inlineStr">
        <is>
          <t>CTBC Flying Oyster</t>
        </is>
      </c>
      <c r="AU89" s="24" t="inlineStr">
        <is>
          <t>CTBC Flying Oyster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35087e828a0053011a97024de693e2ee7eb80eb03024c91d28d254de09d93778</t>
        </is>
      </c>
      <c r="BB89" s="24" t="inlineStr">
        <is>
          <t>neutral_elo</t>
        </is>
      </c>
      <c r="BC89" s="24" t="inlineStr">
        <is>
          <t>lol-tiered-elo-v4</t>
        </is>
      </c>
      <c r="BD89" s="24" t="inlineStr">
        <is>
          <t>35087e828a0053011a97024de693e2ee7eb80eb03024c91d28d254de09d93778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lol-tiered-elo-v4</t>
        </is>
      </c>
      <c r="BH89" s="24" t="inlineStr">
        <is>
          <t>2026-07-26T08:21:06.976332Z</t>
        </is>
      </c>
      <c r="BI89" s="24" t="inlineStr">
        <is>
          <t>["same_event","same_team_same_day","same_league_same_day"]</t>
        </is>
      </c>
      <c r="BJ89" s="25" t="n"/>
      <c r="BK89" s="26" t="n">
        <v>-178</v>
      </c>
      <c r="BL89" s="27" t="n">
        <v>1.561798</v>
      </c>
      <c r="BM89" s="28" t="n">
        <v>0.640288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</row>
    <row r="90" ht="36" customHeight="1">
      <c r="A90" s="24" t="inlineStr">
        <is>
          <t>06b31dbf45314895</t>
        </is>
      </c>
      <c r="B90" s="24" t="inlineStr">
        <is>
          <t>2026-07-26T08:22:32.657968Z</t>
        </is>
      </c>
      <c r="C90" s="24" t="inlineStr">
        <is>
          <t>2026-07-26T10:00:00Z</t>
        </is>
      </c>
      <c r="D90" s="24" t="inlineStr">
        <is>
          <t>61217</t>
        </is>
      </c>
      <c r="E90" s="24" t="inlineStr">
        <is>
          <t>CS2</t>
        </is>
      </c>
      <c r="F90" s="24" t="inlineStr">
        <is>
          <t>paiN</t>
        </is>
      </c>
      <c r="G90" s="24" t="inlineStr">
        <is>
          <t>NIP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-156</v>
      </c>
      <c r="M90" s="27" t="n">
        <v>1.641026</v>
      </c>
      <c r="N90" s="28" t="n">
        <v>0.609375</v>
      </c>
      <c r="O90" s="28" t="n">
        <v>0.581741</v>
      </c>
      <c r="P90" s="28" t="n"/>
      <c r="Q90" s="28" t="n">
        <v>-0.027634</v>
      </c>
      <c r="R90" s="26" t="n">
        <v>36</v>
      </c>
      <c r="S90" s="29" t="n">
        <v>1.25</v>
      </c>
      <c r="T90" s="24" t="inlineStr">
        <is>
          <t>cs2-tiered-elo-v4</t>
        </is>
      </c>
      <c r="U90" s="24" t="inlineStr">
        <is>
          <t>settled</t>
        </is>
      </c>
      <c r="V90" s="24" t="inlineStr">
        <is>
          <t>loss</t>
        </is>
      </c>
      <c r="W90" s="26" t="n">
        <v>1</v>
      </c>
      <c r="X90" s="26" t="n">
        <v>0</v>
      </c>
      <c r="Y90" s="25" t="n"/>
      <c r="Z90" s="26" t="n"/>
      <c r="AA90" s="28" t="n"/>
      <c r="AB90" s="28" t="n"/>
      <c r="AC90" s="30" t="n">
        <v>-1.25</v>
      </c>
      <c r="AD90" s="24" t="inlineStr">
        <is>
          <t>2026-07-26T12:19:18.969647Z</t>
        </is>
      </c>
      <c r="AE90" s="31" t="inlineStr">
        <is>
          <t>Neutral Elo baseline; executable ask 0.6100 (market_slug=aec-cs2-nip-pain-2026-07-26).</t>
        </is>
      </c>
      <c r="AF90" s="31" t="inlineStr">
        <is>
          <t>Config-promoted esports baseline; gates enforced at log time.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research_observation</t>
        </is>
      </c>
      <c r="AL90" s="26" t="n">
        <v>3</v>
      </c>
      <c r="AM90" s="24" t="inlineStr">
        <is>
          <t>RESEARCH_OBSERVATION</t>
        </is>
      </c>
      <c r="AN90" s="24" t="inlineStr">
        <is>
          <t>NO_CALL</t>
        </is>
      </c>
      <c r="AO90" s="24" t="inlineStr">
        <is>
          <t>NO_CALL_LOW_EDGE</t>
        </is>
      </c>
      <c r="AP90" s="24" t="inlineStr">
        <is>
          <t>paiN</t>
        </is>
      </c>
      <c r="AQ90" s="24" t="inlineStr">
        <is>
          <t>paiN</t>
        </is>
      </c>
      <c r="AR90" s="24" t="inlineStr">
        <is>
          <t>paiN</t>
        </is>
      </c>
      <c r="AS90" s="24" t="inlineStr">
        <is>
          <t>NIP</t>
        </is>
      </c>
      <c r="AT90" s="24" t="inlineStr">
        <is>
          <t>NIP</t>
        </is>
      </c>
      <c r="AU90" s="24" t="inlineStr">
        <is>
          <t>NIP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e9c327ce15d79aaa8ed5032a6fb86929aaa479e14a8bc9a35686411400dd6b91</t>
        </is>
      </c>
      <c r="BB90" s="24" t="inlineStr">
        <is>
          <t>neutral_elo</t>
        </is>
      </c>
      <c r="BC90" s="24" t="inlineStr">
        <is>
          <t>cs2-tiered-elo-v4</t>
        </is>
      </c>
      <c r="BD90" s="24" t="inlineStr">
        <is>
          <t>e9c327ce15d79aaa8ed5032a6fb86929aaa479e14a8bc9a35686411400dd6b91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cs2-tiered-elo-v4</t>
        </is>
      </c>
      <c r="BH90" s="24" t="inlineStr">
        <is>
          <t>2026-07-26T08:21:50.389690Z</t>
        </is>
      </c>
      <c r="BI90" s="24" t="inlineStr">
        <is>
          <t>["same_event","same_team_same_day","same_league_same_day"]</t>
        </is>
      </c>
      <c r="BJ90" s="25" t="n"/>
      <c r="BK90" s="26" t="n">
        <v>-156</v>
      </c>
      <c r="BL90" s="27" t="n">
        <v>1.641026</v>
      </c>
      <c r="BM90" s="28" t="n">
        <v>0.609375</v>
      </c>
      <c r="BN90" s="28" t="n"/>
      <c r="BO90" s="28" t="n"/>
      <c r="BP90" s="25" t="n"/>
      <c r="BQ90" s="27" t="n"/>
      <c r="BR90" s="28" t="n"/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</row>
    <row r="91" ht="36" customHeight="1">
      <c r="A91" s="24" t="inlineStr">
        <is>
          <t>7f58b2e1b99b4a82</t>
        </is>
      </c>
      <c r="B91" s="24" t="inlineStr">
        <is>
          <t>2026-07-26T08:22:32.657968Z</t>
        </is>
      </c>
      <c r="C91" s="24" t="inlineStr">
        <is>
          <t>2026-07-26T11:00:00Z</t>
        </is>
      </c>
      <c r="D91" s="24" t="inlineStr">
        <is>
          <t>61824</t>
        </is>
      </c>
      <c r="E91" s="24" t="inlineStr">
        <is>
          <t>CS2</t>
        </is>
      </c>
      <c r="F91" s="24" t="inlineStr">
        <is>
          <t>ex-MANA eSports</t>
        </is>
      </c>
      <c r="G91" s="24" t="inlineStr">
        <is>
          <t>NEW VISION</t>
        </is>
      </c>
      <c r="H91" s="24" t="inlineStr">
        <is>
          <t>moneyline</t>
        </is>
      </c>
      <c r="I91" s="24" t="inlineStr">
        <is>
          <t>away</t>
        </is>
      </c>
      <c r="J91" s="25" t="n"/>
      <c r="K91" s="24" t="inlineStr">
        <is>
          <t>polymarket_us</t>
        </is>
      </c>
      <c r="L91" s="26" t="n">
        <v>-113</v>
      </c>
      <c r="M91" s="27" t="n">
        <v>1.884956</v>
      </c>
      <c r="N91" s="28" t="n">
        <v>0.530516</v>
      </c>
      <c r="O91" s="28" t="n">
        <v>0.621956</v>
      </c>
      <c r="P91" s="28" t="n"/>
      <c r="Q91" s="28" t="n">
        <v>0.09143999999999999</v>
      </c>
      <c r="R91" s="26" t="n">
        <v>66</v>
      </c>
      <c r="S91" s="29" t="n">
        <v>1.75</v>
      </c>
      <c r="T91" s="24" t="inlineStr">
        <is>
          <t>cs2-tiered-elo-v4</t>
        </is>
      </c>
      <c r="U91" s="24" t="inlineStr">
        <is>
          <t>settled</t>
        </is>
      </c>
      <c r="V91" s="24" t="inlineStr">
        <is>
          <t>win</t>
        </is>
      </c>
      <c r="W91" s="26" t="n">
        <v>1</v>
      </c>
      <c r="X91" s="26" t="n">
        <v>0</v>
      </c>
      <c r="Y91" s="25" t="n"/>
      <c r="Z91" s="26" t="n"/>
      <c r="AA91" s="28" t="n"/>
      <c r="AB91" s="28" t="n"/>
      <c r="AC91" s="30" t="n">
        <v>1.5487</v>
      </c>
      <c r="AD91" s="24" t="inlineStr">
        <is>
          <t>2026-07-26T17:52:22.477994Z</t>
        </is>
      </c>
      <c r="AE91" s="31" t="inlineStr">
        <is>
          <t>Neutral Elo baseline; executable ask 0.5300 (market_slug=aec-cs2-nve-exmana-2026-07-26).</t>
        </is>
      </c>
      <c r="AF91" s="31" t="inlineStr">
        <is>
          <t>Config-promoted esports baseline; gates enforced at log time.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model_qualified</t>
        </is>
      </c>
      <c r="AL91" s="26" t="n">
        <v>3</v>
      </c>
      <c r="AM91" s="24" t="inlineStr">
        <is>
          <t>QUALIFIED_SHADOW_CALL</t>
        </is>
      </c>
      <c r="AN91" s="24" t="inlineStr">
        <is>
          <t>CALL</t>
        </is>
      </c>
      <c r="AO91" s="24" t="inlineStr">
        <is>
          <t>QUALIFIED</t>
        </is>
      </c>
      <c r="AP91" s="24" t="inlineStr">
        <is>
          <t>ex-MANA eSports</t>
        </is>
      </c>
      <c r="AQ91" s="24" t="inlineStr">
        <is>
          <t>ex-MANA eSports</t>
        </is>
      </c>
      <c r="AR91" s="24" t="inlineStr">
        <is>
          <t>ex-MANA eSports</t>
        </is>
      </c>
      <c r="AS91" s="24" t="inlineStr">
        <is>
          <t>NEW VISION</t>
        </is>
      </c>
      <c r="AT91" s="24" t="inlineStr">
        <is>
          <t>NEW VISION</t>
        </is>
      </c>
      <c r="AU91" s="24" t="inlineStr">
        <is>
          <t>NEW VISION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e9c327ce15d79aaa8ed5032a6fb86929aaa479e14a8bc9a35686411400dd6b91</t>
        </is>
      </c>
      <c r="BB91" s="24" t="inlineStr">
        <is>
          <t>neutral_elo</t>
        </is>
      </c>
      <c r="BC91" s="24" t="inlineStr">
        <is>
          <t>cs2-tiered-elo-v4</t>
        </is>
      </c>
      <c r="BD91" s="24" t="inlineStr">
        <is>
          <t>e9c327ce15d79aaa8ed5032a6fb86929aaa479e14a8bc9a35686411400dd6b91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cs2-tiered-elo-v4</t>
        </is>
      </c>
      <c r="BH91" s="24" t="inlineStr">
        <is>
          <t>2026-07-26T08:21:51.887770Z</t>
        </is>
      </c>
      <c r="BI91" s="24" t="inlineStr">
        <is>
          <t>["same_event","same_team_same_day","same_league_same_day"]</t>
        </is>
      </c>
      <c r="BJ91" s="25" t="n"/>
      <c r="BK91" s="26" t="n">
        <v>-113</v>
      </c>
      <c r="BL91" s="27" t="n">
        <v>1.884956</v>
      </c>
      <c r="BM91" s="28" t="n">
        <v>0.530516</v>
      </c>
      <c r="BN91" s="28" t="n"/>
      <c r="BO91" s="28" t="n"/>
      <c r="BP91" s="25" t="n"/>
      <c r="BQ91" s="27" t="n"/>
      <c r="BR91" s="28" t="n"/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</row>
    <row r="92" ht="36" customHeight="1">
      <c r="A92" s="24" t="inlineStr">
        <is>
          <t>84bb1f7e7a8440c9</t>
        </is>
      </c>
      <c r="B92" s="24" t="inlineStr">
        <is>
          <t>2026-07-26T08:22:32.657968Z</t>
        </is>
      </c>
      <c r="C92" s="24" t="inlineStr">
        <is>
          <t>2026-07-26T11:00:00Z</t>
        </is>
      </c>
      <c r="D92" s="24" t="inlineStr">
        <is>
          <t>61029</t>
        </is>
      </c>
      <c r="E92" s="24" t="inlineStr">
        <is>
          <t>CS2</t>
        </is>
      </c>
      <c r="F92" s="24" t="inlineStr">
        <is>
          <t>SAW Youngsters</t>
        </is>
      </c>
      <c r="G92" s="24" t="inlineStr">
        <is>
          <t>Butterfly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178</v>
      </c>
      <c r="M92" s="27" t="n">
        <v>2.78</v>
      </c>
      <c r="N92" s="28" t="n">
        <v>0.359712</v>
      </c>
      <c r="O92" s="28" t="n">
        <v>0.58826</v>
      </c>
      <c r="P92" s="28" t="n"/>
      <c r="Q92" s="28" t="n">
        <v>0.228548</v>
      </c>
      <c r="R92" s="26" t="n">
        <v>100</v>
      </c>
      <c r="S92" s="29" t="n">
        <v>1.5</v>
      </c>
      <c r="T92" s="24" t="inlineStr">
        <is>
          <t>cs2-tiered-elo-v4</t>
        </is>
      </c>
      <c r="U92" s="24" t="inlineStr">
        <is>
          <t>settled</t>
        </is>
      </c>
      <c r="V92" s="24" t="inlineStr">
        <is>
          <t>loss</t>
        </is>
      </c>
      <c r="W92" s="26" t="n">
        <v>0</v>
      </c>
      <c r="X92" s="26" t="n">
        <v>1</v>
      </c>
      <c r="Y92" s="25" t="n"/>
      <c r="Z92" s="26" t="n"/>
      <c r="AA92" s="28" t="n"/>
      <c r="AB92" s="28" t="n"/>
      <c r="AC92" s="30" t="n">
        <v>-1.5</v>
      </c>
      <c r="AD92" s="24" t="inlineStr">
        <is>
          <t>2026-07-26T17:52:24.261709Z</t>
        </is>
      </c>
      <c r="AE92" s="31" t="inlineStr">
        <is>
          <t>Neutral Elo baseline; executable ask 0.3600 (market_slug=aec-cs2-btf-sawy-2026-07-26).</t>
        </is>
      </c>
      <c r="AF92" s="31" t="inlineStr">
        <is>
          <t>Config-promoted esports baseline; gates enforced at log time.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research_observation</t>
        </is>
      </c>
      <c r="AL92" s="26" t="n">
        <v>3</v>
      </c>
      <c r="AM92" s="24" t="inlineStr">
        <is>
          <t>RESEARCH_OBSERVATION</t>
        </is>
      </c>
      <c r="AN92" s="24" t="inlineStr">
        <is>
          <t>NO_CALL</t>
        </is>
      </c>
      <c r="AO92" s="24" t="inlineStr">
        <is>
          <t>NO_CALL_LARGE_DISAGREEMENT_REVIEW</t>
        </is>
      </c>
      <c r="AP92" s="24" t="inlineStr">
        <is>
          <t>SAW Youngsters</t>
        </is>
      </c>
      <c r="AQ92" s="24" t="inlineStr">
        <is>
          <t>SAW Youngsters</t>
        </is>
      </c>
      <c r="AR92" s="24" t="inlineStr">
        <is>
          <t>SAW Youngsters</t>
        </is>
      </c>
      <c r="AS92" s="24" t="inlineStr">
        <is>
          <t>Butterfly</t>
        </is>
      </c>
      <c r="AT92" s="24" t="inlineStr">
        <is>
          <t>Butterfly</t>
        </is>
      </c>
      <c r="AU92" s="24" t="inlineStr">
        <is>
          <t>Butterfly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e9c327ce15d79aaa8ed5032a6fb86929aaa479e14a8bc9a35686411400dd6b91</t>
        </is>
      </c>
      <c r="BB92" s="24" t="inlineStr">
        <is>
          <t>neutral_elo</t>
        </is>
      </c>
      <c r="BC92" s="24" t="inlineStr">
        <is>
          <t>cs2-tiered-elo-v4</t>
        </is>
      </c>
      <c r="BD92" s="24" t="inlineStr">
        <is>
          <t>e9c327ce15d79aaa8ed5032a6fb86929aaa479e14a8bc9a35686411400dd6b91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cs2-tiered-elo-v4</t>
        </is>
      </c>
      <c r="BH92" s="24" t="inlineStr">
        <is>
          <t>2026-07-26T08:21:53.439424Z</t>
        </is>
      </c>
      <c r="BI92" s="24" t="inlineStr">
        <is>
          <t>["same_event","same_team_same_day","same_league_same_day"]</t>
        </is>
      </c>
      <c r="BJ92" s="25" t="n"/>
      <c r="BK92" s="26" t="n">
        <v>178</v>
      </c>
      <c r="BL92" s="27" t="n">
        <v>2.78</v>
      </c>
      <c r="BM92" s="28" t="n">
        <v>0.359712</v>
      </c>
      <c r="BN92" s="28" t="n"/>
      <c r="BO92" s="28" t="n"/>
      <c r="BP92" s="25" t="n"/>
      <c r="BQ92" s="27" t="n"/>
      <c r="BR92" s="28" t="n"/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</row>
    <row r="93" ht="36" customHeight="1">
      <c r="A93" s="24" t="inlineStr">
        <is>
          <t>2bc8e8a35ef44728</t>
        </is>
      </c>
      <c r="B93" s="24" t="inlineStr">
        <is>
          <t>2026-07-26T08:22:32.657968Z</t>
        </is>
      </c>
      <c r="C93" s="24" t="inlineStr">
        <is>
          <t>2026-07-26T11:00:00Z</t>
        </is>
      </c>
      <c r="D93" s="24" t="inlineStr">
        <is>
          <t>61032</t>
        </is>
      </c>
      <c r="E93" s="24" t="inlineStr">
        <is>
          <t>CS2</t>
        </is>
      </c>
      <c r="F93" s="24" t="inlineStr">
        <is>
          <t>Phantom</t>
        </is>
      </c>
      <c r="G93" s="24" t="inlineStr">
        <is>
          <t>INOX Division</t>
        </is>
      </c>
      <c r="H93" s="24" t="inlineStr">
        <is>
          <t>moneyline</t>
        </is>
      </c>
      <c r="I93" s="24" t="inlineStr">
        <is>
          <t>away</t>
        </is>
      </c>
      <c r="J93" s="25" t="n"/>
      <c r="K93" s="24" t="inlineStr">
        <is>
          <t>polymarket_us</t>
        </is>
      </c>
      <c r="L93" s="26" t="n">
        <v>104</v>
      </c>
      <c r="M93" s="27" t="n">
        <v>2.04</v>
      </c>
      <c r="N93" s="28" t="n">
        <v>0.490196</v>
      </c>
      <c r="O93" s="28" t="n">
        <v>0.593027</v>
      </c>
      <c r="P93" s="28" t="n"/>
      <c r="Q93" s="28" t="n">
        <v>0.102831</v>
      </c>
      <c r="R93" s="26" t="n">
        <v>100</v>
      </c>
      <c r="S93" s="29" t="n">
        <v>1.5</v>
      </c>
      <c r="T93" s="24" t="inlineStr">
        <is>
          <t>cs2-tiered-elo-v4</t>
        </is>
      </c>
      <c r="U93" s="24" t="inlineStr">
        <is>
          <t>settled</t>
        </is>
      </c>
      <c r="V93" s="24" t="inlineStr">
        <is>
          <t>loss</t>
        </is>
      </c>
      <c r="W93" s="26" t="n">
        <v>0</v>
      </c>
      <c r="X93" s="26" t="n">
        <v>1</v>
      </c>
      <c r="Y93" s="25" t="n"/>
      <c r="Z93" s="26" t="n"/>
      <c r="AA93" s="28" t="n"/>
      <c r="AB93" s="28" t="n"/>
      <c r="AC93" s="30" t="n">
        <v>-1.5</v>
      </c>
      <c r="AD93" s="24" t="inlineStr">
        <is>
          <t>2026-07-26T17:52:26.193815Z</t>
        </is>
      </c>
      <c r="AE93" s="31" t="inlineStr">
        <is>
          <t>Neutral Elo baseline; executable ask 0.4900 (market_slug=aec-cs2-inox-pha-2026-07-26).</t>
        </is>
      </c>
      <c r="AF93" s="31" t="inlineStr">
        <is>
          <t>Config-promoted esports baseline; gates enforced at log time.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research_observation</t>
        </is>
      </c>
      <c r="AL93" s="26" t="n">
        <v>3</v>
      </c>
      <c r="AM93" s="24" t="inlineStr">
        <is>
          <t>RESEARCH_OBSERVATION</t>
        </is>
      </c>
      <c r="AN93" s="24" t="inlineStr">
        <is>
          <t>NO_CALL</t>
        </is>
      </c>
      <c r="AO93" s="24" t="inlineStr">
        <is>
          <t>NO_CALL_LARGE_DISAGREEMENT_REVIEW</t>
        </is>
      </c>
      <c r="AP93" s="24" t="inlineStr">
        <is>
          <t>Phantom</t>
        </is>
      </c>
      <c r="AQ93" s="24" t="inlineStr">
        <is>
          <t>Phantom</t>
        </is>
      </c>
      <c r="AR93" s="24" t="inlineStr">
        <is>
          <t>Phantom</t>
        </is>
      </c>
      <c r="AS93" s="24" t="inlineStr">
        <is>
          <t>INOX Division</t>
        </is>
      </c>
      <c r="AT93" s="24" t="inlineStr">
        <is>
          <t>INOX Division</t>
        </is>
      </c>
      <c r="AU93" s="24" t="inlineStr">
        <is>
          <t>INOX Division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e9c327ce15d79aaa8ed5032a6fb86929aaa479e14a8bc9a35686411400dd6b91</t>
        </is>
      </c>
      <c r="BB93" s="24" t="inlineStr">
        <is>
          <t>neutral_elo</t>
        </is>
      </c>
      <c r="BC93" s="24" t="inlineStr">
        <is>
          <t>cs2-tiered-elo-v4</t>
        </is>
      </c>
      <c r="BD93" s="24" t="inlineStr">
        <is>
          <t>e9c327ce15d79aaa8ed5032a6fb86929aaa479e14a8bc9a35686411400dd6b91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cs2-tiered-elo-v4</t>
        </is>
      </c>
      <c r="BH93" s="24" t="inlineStr">
        <is>
          <t>2026-07-26T08:21:54.216230Z</t>
        </is>
      </c>
      <c r="BI93" s="24" t="inlineStr">
        <is>
          <t>["same_event","same_team_same_day","same_league_same_day"]</t>
        </is>
      </c>
      <c r="BJ93" s="25" t="n"/>
      <c r="BK93" s="26" t="n">
        <v>104</v>
      </c>
      <c r="BL93" s="27" t="n">
        <v>2.04</v>
      </c>
      <c r="BM93" s="28" t="n">
        <v>0.490196</v>
      </c>
      <c r="BN93" s="28" t="n"/>
      <c r="BO93" s="28" t="n"/>
      <c r="BP93" s="25" t="n"/>
      <c r="BQ93" s="27" t="n"/>
      <c r="BR93" s="28" t="n"/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</row>
    <row r="94" ht="36" customHeight="1">
      <c r="A94" s="24" t="inlineStr">
        <is>
          <t>cc3004e222d04955</t>
        </is>
      </c>
      <c r="B94" s="24" t="inlineStr">
        <is>
          <t>2026-07-26T08:22:32.657968Z</t>
        </is>
      </c>
      <c r="C94" s="24" t="inlineStr">
        <is>
          <t>2026-07-26T11:00:00Z</t>
        </is>
      </c>
      <c r="D94" s="24" t="inlineStr">
        <is>
          <t>62233</t>
        </is>
      </c>
      <c r="E94" s="24" t="inlineStr">
        <is>
          <t>CS2</t>
        </is>
      </c>
      <c r="F94" s="24" t="inlineStr">
        <is>
          <t>Mai Tai</t>
        </is>
      </c>
      <c r="G94" s="24" t="inlineStr">
        <is>
          <t>Misa Esports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-170</v>
      </c>
      <c r="M94" s="27" t="n">
        <v>1.588235</v>
      </c>
      <c r="N94" s="28" t="n">
        <v>0.62963</v>
      </c>
      <c r="O94" s="28" t="n">
        <v>0.539211</v>
      </c>
      <c r="P94" s="28" t="n"/>
      <c r="Q94" s="28" t="n">
        <v>-0.090419</v>
      </c>
      <c r="R94" s="26" t="n">
        <v>5</v>
      </c>
      <c r="S94" s="29" t="n">
        <v>1</v>
      </c>
      <c r="T94" s="24" t="inlineStr">
        <is>
          <t>cs2-tiered-elo-v4</t>
        </is>
      </c>
      <c r="U94" s="24" t="inlineStr">
        <is>
          <t>settled</t>
        </is>
      </c>
      <c r="V94" s="24" t="inlineStr">
        <is>
          <t>loss</t>
        </is>
      </c>
      <c r="W94" s="26" t="n">
        <v>1</v>
      </c>
      <c r="X94" s="26" t="n">
        <v>0</v>
      </c>
      <c r="Y94" s="25" t="n"/>
      <c r="Z94" s="26" t="n"/>
      <c r="AA94" s="28" t="n"/>
      <c r="AB94" s="28" t="n"/>
      <c r="AC94" s="30" t="n">
        <v>-1</v>
      </c>
      <c r="AD94" s="24" t="inlineStr">
        <is>
          <t>2026-07-26T17:52:28.050577Z</t>
        </is>
      </c>
      <c r="AE94" s="31" t="inlineStr">
        <is>
          <t>Neutral Elo baseline; executable ask 0.6300 (market_slug=aec-cs2-misa-mta-2026-07-26).</t>
        </is>
      </c>
      <c r="AF94" s="31" t="inlineStr">
        <is>
          <t>Config-promoted esports baseline; gates enforced at log time.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research_observation</t>
        </is>
      </c>
      <c r="AL94" s="26" t="n">
        <v>3</v>
      </c>
      <c r="AM94" s="24" t="inlineStr">
        <is>
          <t>RESEARCH_OBSERVATION</t>
        </is>
      </c>
      <c r="AN94" s="24" t="inlineStr">
        <is>
          <t>NO_CALL</t>
        </is>
      </c>
      <c r="AO94" s="24" t="inlineStr">
        <is>
          <t>NO_CALL_LOW_EDGE</t>
        </is>
      </c>
      <c r="AP94" s="24" t="inlineStr">
        <is>
          <t>Mai Tai</t>
        </is>
      </c>
      <c r="AQ94" s="24" t="inlineStr">
        <is>
          <t>Mai Tai</t>
        </is>
      </c>
      <c r="AR94" s="24" t="inlineStr">
        <is>
          <t>Mai Tai</t>
        </is>
      </c>
      <c r="AS94" s="24" t="inlineStr">
        <is>
          <t>Misa Esports</t>
        </is>
      </c>
      <c r="AT94" s="24" t="inlineStr">
        <is>
          <t>Misa Esports</t>
        </is>
      </c>
      <c r="AU94" s="24" t="inlineStr">
        <is>
          <t>Misa Esports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e9c327ce15d79aaa8ed5032a6fb86929aaa479e14a8bc9a35686411400dd6b91</t>
        </is>
      </c>
      <c r="BB94" s="24" t="inlineStr">
        <is>
          <t>neutral_elo</t>
        </is>
      </c>
      <c r="BC94" s="24" t="inlineStr">
        <is>
          <t>cs2-tiered-elo-v4</t>
        </is>
      </c>
      <c r="BD94" s="24" t="inlineStr">
        <is>
          <t>e9c327ce15d79aaa8ed5032a6fb86929aaa479e14a8bc9a35686411400dd6b91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cs2-tiered-elo-v4</t>
        </is>
      </c>
      <c r="BH94" s="24" t="inlineStr">
        <is>
          <t>2026-07-26T08:21:54.812008Z</t>
        </is>
      </c>
      <c r="BI94" s="24" t="inlineStr">
        <is>
          <t>["same_event","same_team_same_day","same_league_same_day"]</t>
        </is>
      </c>
      <c r="BJ94" s="25" t="n"/>
      <c r="BK94" s="26" t="n">
        <v>-170</v>
      </c>
      <c r="BL94" s="27" t="n">
        <v>1.588235</v>
      </c>
      <c r="BM94" s="28" t="n">
        <v>0.62963</v>
      </c>
      <c r="BN94" s="28" t="n"/>
      <c r="BO94" s="28" t="n"/>
      <c r="BP94" s="25" t="n"/>
      <c r="BQ94" s="27" t="n"/>
      <c r="BR94" s="28" t="n"/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</row>
    <row r="95" ht="36" customHeight="1">
      <c r="A95" s="24" t="inlineStr">
        <is>
          <t>88bceed2cf544f06</t>
        </is>
      </c>
      <c r="B95" s="24" t="inlineStr">
        <is>
          <t>2026-07-26T08:23:00.486396Z</t>
        </is>
      </c>
      <c r="C95" s="24" t="inlineStr">
        <is>
          <t>2026-07-26T09:00:00Z</t>
        </is>
      </c>
      <c r="D95" s="24" t="inlineStr">
        <is>
          <t>62506</t>
        </is>
      </c>
      <c r="E95" s="24" t="inlineStr">
        <is>
          <t>DOTA2</t>
        </is>
      </c>
      <c r="F95" s="24" t="inlineStr">
        <is>
          <t>Nemiga Gaming</t>
        </is>
      </c>
      <c r="G95" s="24" t="inlineStr">
        <is>
          <t>Ilbirs eSports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-186</v>
      </c>
      <c r="M95" s="27" t="n">
        <v>1.537634</v>
      </c>
      <c r="N95" s="28" t="n">
        <v>0.65035</v>
      </c>
      <c r="O95" s="28" t="n">
        <v>0.521452</v>
      </c>
      <c r="P95" s="28" t="n"/>
      <c r="Q95" s="28" t="n">
        <v>-0.128898</v>
      </c>
      <c r="R95" s="26" t="n">
        <v>0</v>
      </c>
      <c r="S95" s="29" t="n">
        <v>0.75</v>
      </c>
      <c r="T95" s="24" t="inlineStr">
        <is>
          <t>dota2-tiered-elo-v4</t>
        </is>
      </c>
      <c r="U95" s="24" t="inlineStr">
        <is>
          <t>settled</t>
        </is>
      </c>
      <c r="V95" s="24" t="inlineStr">
        <is>
          <t>win</t>
        </is>
      </c>
      <c r="W95" s="26" t="n">
        <v>0</v>
      </c>
      <c r="X95" s="26" t="n">
        <v>1</v>
      </c>
      <c r="Y95" s="25" t="n"/>
      <c r="Z95" s="26" t="n"/>
      <c r="AA95" s="28" t="n"/>
      <c r="AB95" s="28" t="n"/>
      <c r="AC95" s="30" t="n">
        <v>0.4032</v>
      </c>
      <c r="AD95" s="24" t="inlineStr">
        <is>
          <t>2026-07-26T17:52:29.943635Z</t>
        </is>
      </c>
      <c r="AE95" s="31" t="inlineStr">
        <is>
          <t>Neutral Elo baseline; executable ask 0.6500 (market_slug=aec-dota2-ill-nemiga-2026-07-26).</t>
        </is>
      </c>
      <c r="AF95" s="31" t="inlineStr">
        <is>
          <t>Config-promoted esports baseline; gates enforced at log time.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research_observation</t>
        </is>
      </c>
      <c r="AL95" s="26" t="n">
        <v>3</v>
      </c>
      <c r="AM95" s="24" t="inlineStr">
        <is>
          <t>RESEARCH_OBSERVATION</t>
        </is>
      </c>
      <c r="AN95" s="24" t="inlineStr">
        <is>
          <t>NO_CALL</t>
        </is>
      </c>
      <c r="AO95" s="24" t="inlineStr">
        <is>
          <t>NO_CALL_LARGE_DISAGREEMENT_REVIEW</t>
        </is>
      </c>
      <c r="AP95" s="24" t="inlineStr">
        <is>
          <t>Nemiga Gaming</t>
        </is>
      </c>
      <c r="AQ95" s="24" t="inlineStr">
        <is>
          <t>Nemiga Gaming</t>
        </is>
      </c>
      <c r="AR95" s="24" t="inlineStr">
        <is>
          <t>Nemiga Gaming</t>
        </is>
      </c>
      <c r="AS95" s="24" t="inlineStr">
        <is>
          <t>Ilbirs eSports</t>
        </is>
      </c>
      <c r="AT95" s="24" t="inlineStr">
        <is>
          <t>Ilbirs eSports</t>
        </is>
      </c>
      <c r="AU95" s="24" t="inlineStr">
        <is>
          <t>Ilbirs eSports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d08d23d003cdc05b1cc5be7d2e52d9f477153e66ad3c7ec5e0f446618fcfe82f</t>
        </is>
      </c>
      <c r="BB95" s="24" t="inlineStr">
        <is>
          <t>neutral_elo</t>
        </is>
      </c>
      <c r="BC95" s="24" t="inlineStr">
        <is>
          <t>dota2-tiered-elo-v4</t>
        </is>
      </c>
      <c r="BD95" s="24" t="inlineStr">
        <is>
          <t>d08d23d003cdc05b1cc5be7d2e52d9f477153e66ad3c7ec5e0f446618fcfe82f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dota2-tiered-elo-v4</t>
        </is>
      </c>
      <c r="BH95" s="24" t="inlineStr">
        <is>
          <t>2026-07-26T08:22:54.286310Z</t>
        </is>
      </c>
      <c r="BI95" s="24" t="inlineStr">
        <is>
          <t>["same_event","same_team_same_day","same_league_same_day"]</t>
        </is>
      </c>
      <c r="BJ95" s="25" t="n"/>
      <c r="BK95" s="26" t="n">
        <v>-186</v>
      </c>
      <c r="BL95" s="27" t="n">
        <v>1.537634</v>
      </c>
      <c r="BM95" s="28" t="n">
        <v>0.65035</v>
      </c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</row>
    <row r="96" ht="36" customHeight="1">
      <c r="A96" s="24" t="inlineStr">
        <is>
          <t>4939bf7553054762</t>
        </is>
      </c>
      <c r="B96" s="24" t="inlineStr">
        <is>
          <t>2026-07-26T08:23:27.021338Z</t>
        </is>
      </c>
      <c r="C96" s="24" t="inlineStr">
        <is>
          <t>2026-07-26T09:00:00Z</t>
        </is>
      </c>
      <c r="D96" s="24" t="inlineStr">
        <is>
          <t>60145</t>
        </is>
      </c>
      <c r="E96" s="24" t="inlineStr">
        <is>
          <t>VALORANT</t>
        </is>
      </c>
      <c r="F96" s="24" t="inlineStr">
        <is>
          <t>Wolves Esports</t>
        </is>
      </c>
      <c r="G96" s="24" t="inlineStr">
        <is>
          <t>FunPlus Phoenix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-133</v>
      </c>
      <c r="M96" s="27" t="n">
        <v>1.75188</v>
      </c>
      <c r="N96" s="28" t="n">
        <v>0.570815</v>
      </c>
      <c r="O96" s="28" t="n">
        <v>0.5200050000000001</v>
      </c>
      <c r="P96" s="28" t="n"/>
      <c r="Q96" s="28" t="n">
        <v>-0.05081</v>
      </c>
      <c r="R96" s="26" t="n">
        <v>25</v>
      </c>
      <c r="S96" s="29" t="n">
        <v>0.75</v>
      </c>
      <c r="T96" s="24" t="inlineStr">
        <is>
          <t>valorant-tiered-elo-v4</t>
        </is>
      </c>
      <c r="U96" s="24" t="inlineStr">
        <is>
          <t>settled</t>
        </is>
      </c>
      <c r="V96" s="24" t="inlineStr">
        <is>
          <t>win</t>
        </is>
      </c>
      <c r="W96" s="26" t="n">
        <v>0</v>
      </c>
      <c r="X96" s="26" t="n">
        <v>1</v>
      </c>
      <c r="Y96" s="25" t="n"/>
      <c r="Z96" s="26" t="n"/>
      <c r="AA96" s="28" t="n"/>
      <c r="AB96" s="28" t="n"/>
      <c r="AC96" s="30" t="n">
        <v>0.5639</v>
      </c>
      <c r="AD96" s="24" t="inlineStr">
        <is>
          <t>2026-07-26T11:40:53.918536Z</t>
        </is>
      </c>
      <c r="AE96" s="31" t="inlineStr">
        <is>
          <t>Neutral Elo baseline; executable ask 0.5700 (market_slug=aec-valorant-fpx-wol-2026-07-26).</t>
        </is>
      </c>
      <c r="AF96" s="31" t="inlineStr">
        <is>
          <t>Config-promoted esports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research_observation</t>
        </is>
      </c>
      <c r="AL96" s="26" t="n">
        <v>3</v>
      </c>
      <c r="AM96" s="24" t="inlineStr">
        <is>
          <t>RESEARCH_OBSERVATION</t>
        </is>
      </c>
      <c r="AN96" s="24" t="inlineStr">
        <is>
          <t>NO_CALL</t>
        </is>
      </c>
      <c r="AO96" s="24" t="inlineStr">
        <is>
          <t>NO_CALL_LOW_EDGE</t>
        </is>
      </c>
      <c r="AP96" s="24" t="inlineStr">
        <is>
          <t>Wolves Esports</t>
        </is>
      </c>
      <c r="AQ96" s="24" t="inlineStr">
        <is>
          <t>Wolves Esports</t>
        </is>
      </c>
      <c r="AR96" s="24" t="inlineStr">
        <is>
          <t>Wolves Esports</t>
        </is>
      </c>
      <c r="AS96" s="24" t="inlineStr">
        <is>
          <t>FunPlus Phoenix</t>
        </is>
      </c>
      <c r="AT96" s="24" t="inlineStr">
        <is>
          <t>FunPlus Phoenix</t>
        </is>
      </c>
      <c r="AU96" s="24" t="inlineStr">
        <is>
          <t>FunPlus Phoenix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153b0db03af0303675f7eb2520b56d0fd86008f1bb62095f9881ea43a0124bb2</t>
        </is>
      </c>
      <c r="BB96" s="24" t="inlineStr">
        <is>
          <t>neutral_elo</t>
        </is>
      </c>
      <c r="BC96" s="24" t="inlineStr">
        <is>
          <t>valorant-tiered-elo-v4</t>
        </is>
      </c>
      <c r="BD96" s="24" t="inlineStr">
        <is>
          <t>153b0db03af0303675f7eb2520b56d0fd86008f1bb62095f9881ea43a0124bb2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valorant-tiered-elo-v4</t>
        </is>
      </c>
      <c r="BH96" s="24" t="inlineStr">
        <is>
          <t>2026-07-26T08:23:08.375550Z</t>
        </is>
      </c>
      <c r="BI96" s="24" t="inlineStr">
        <is>
          <t>["same_event","same_team_same_day","same_league_same_day"]</t>
        </is>
      </c>
      <c r="BJ96" s="25" t="n"/>
      <c r="BK96" s="26" t="n">
        <v>-133</v>
      </c>
      <c r="BL96" s="27" t="n">
        <v>1.75188</v>
      </c>
      <c r="BM96" s="28" t="n">
        <v>0.570815</v>
      </c>
      <c r="BN96" s="28" t="n"/>
      <c r="BO96" s="28" t="n"/>
      <c r="BP96" s="25" t="n"/>
      <c r="BQ96" s="27" t="n"/>
      <c r="BR96" s="28" t="n"/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</row>
    <row r="97" ht="36" customHeight="1">
      <c r="A97" s="24" t="inlineStr">
        <is>
          <t>46411ce0c3e5451a</t>
        </is>
      </c>
      <c r="B97" s="24" t="inlineStr">
        <is>
          <t>2026-07-26T08:23:27.021338Z</t>
        </is>
      </c>
      <c r="C97" s="24" t="inlineStr">
        <is>
          <t>2026-07-26T11:00:00Z</t>
        </is>
      </c>
      <c r="D97" s="24" t="inlineStr">
        <is>
          <t>60146</t>
        </is>
      </c>
      <c r="E97" s="24" t="inlineStr">
        <is>
          <t>VALORANT</t>
        </is>
      </c>
      <c r="F97" s="24" t="inlineStr">
        <is>
          <t>Bilibili Gaming</t>
        </is>
      </c>
      <c r="G97" s="24" t="inlineStr">
        <is>
          <t>Nova Esports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-108</v>
      </c>
      <c r="M97" s="27" t="n">
        <v>1.925926</v>
      </c>
      <c r="N97" s="28" t="n">
        <v>0.519231</v>
      </c>
      <c r="O97" s="28" t="n">
        <v>0.5200050000000001</v>
      </c>
      <c r="P97" s="28" t="n"/>
      <c r="Q97" s="28" t="n">
        <v>0.0007739999999999999</v>
      </c>
      <c r="R97" s="26" t="n">
        <v>50</v>
      </c>
      <c r="S97" s="29" t="n">
        <v>0.75</v>
      </c>
      <c r="T97" s="24" t="inlineStr">
        <is>
          <t>valorant-tiered-elo-v4</t>
        </is>
      </c>
      <c r="U97" s="24" t="inlineStr">
        <is>
          <t>settled</t>
        </is>
      </c>
      <c r="V97" s="24" t="inlineStr">
        <is>
          <t>win</t>
        </is>
      </c>
      <c r="W97" s="26" t="n">
        <v>0</v>
      </c>
      <c r="X97" s="26" t="n">
        <v>1</v>
      </c>
      <c r="Y97" s="25" t="n"/>
      <c r="Z97" s="26" t="n"/>
      <c r="AA97" s="28" t="n"/>
      <c r="AB97" s="28" t="n"/>
      <c r="AC97" s="30" t="n">
        <v>0.6944</v>
      </c>
      <c r="AD97" s="24" t="inlineStr">
        <is>
          <t>2026-07-26T17:52:32.016825Z</t>
        </is>
      </c>
      <c r="AE97" s="31" t="inlineStr">
        <is>
          <t>Neutral Elo baseline; executable ask 0.5200 (market_slug=aec-valorant-nova-blg-2026-07-26).</t>
        </is>
      </c>
      <c r="AF97" s="31" t="inlineStr">
        <is>
          <t>Config-promoted esports baseline; gates enforced at log time.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research_observation</t>
        </is>
      </c>
      <c r="AL97" s="26" t="n">
        <v>3</v>
      </c>
      <c r="AM97" s="24" t="inlineStr">
        <is>
          <t>RESEARCH_OBSERVATION</t>
        </is>
      </c>
      <c r="AN97" s="24" t="inlineStr">
        <is>
          <t>NO_CALL</t>
        </is>
      </c>
      <c r="AO97" s="24" t="inlineStr">
        <is>
          <t>NO_CALL_LOW_EDGE</t>
        </is>
      </c>
      <c r="AP97" s="24" t="inlineStr">
        <is>
          <t>Bilibili Gaming</t>
        </is>
      </c>
      <c r="AQ97" s="24" t="inlineStr">
        <is>
          <t>Bilibili Gaming</t>
        </is>
      </c>
      <c r="AR97" s="24" t="inlineStr">
        <is>
          <t>Bilibili Gaming</t>
        </is>
      </c>
      <c r="AS97" s="24" t="inlineStr">
        <is>
          <t>Nova Esports</t>
        </is>
      </c>
      <c r="AT97" s="24" t="inlineStr">
        <is>
          <t>Nova Esports</t>
        </is>
      </c>
      <c r="AU97" s="24" t="inlineStr">
        <is>
          <t>Nova Esports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153b0db03af0303675f7eb2520b56d0fd86008f1bb62095f9881ea43a0124bb2</t>
        </is>
      </c>
      <c r="BB97" s="24" t="inlineStr">
        <is>
          <t>neutral_elo</t>
        </is>
      </c>
      <c r="BC97" s="24" t="inlineStr">
        <is>
          <t>valorant-tiered-elo-v4</t>
        </is>
      </c>
      <c r="BD97" s="24" t="inlineStr">
        <is>
          <t>153b0db03af0303675f7eb2520b56d0fd86008f1bb62095f9881ea43a0124bb2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valorant-tiered-elo-v4</t>
        </is>
      </c>
      <c r="BH97" s="24" t="inlineStr">
        <is>
          <t>2026-07-26T08:23:09.037279Z</t>
        </is>
      </c>
      <c r="BI97" s="24" t="inlineStr">
        <is>
          <t>["same_event","same_team_same_day","same_league_same_day"]</t>
        </is>
      </c>
      <c r="BJ97" s="25" t="n"/>
      <c r="BK97" s="26" t="n">
        <v>-108</v>
      </c>
      <c r="BL97" s="27" t="n">
        <v>1.925926</v>
      </c>
      <c r="BM97" s="28" t="n">
        <v>0.519231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</row>
    <row r="98" ht="36" customHeight="1">
      <c r="A98" s="24" t="inlineStr">
        <is>
          <t>a42e170c751e4309</t>
        </is>
      </c>
      <c r="B98" s="24" t="inlineStr">
        <is>
          <t>2026-07-26T12:49:32.359065Z</t>
        </is>
      </c>
      <c r="C98" s="24" t="inlineStr">
        <is>
          <t>2026-07-26T13:00:00Z</t>
        </is>
      </c>
      <c r="D98" s="24" t="inlineStr">
        <is>
          <t>60120</t>
        </is>
      </c>
      <c r="E98" s="24" t="inlineStr">
        <is>
          <t>LOL</t>
        </is>
      </c>
      <c r="F98" s="24" t="inlineStr">
        <is>
          <t>Team High Ground</t>
        </is>
      </c>
      <c r="G98" s="24" t="inlineStr">
        <is>
          <t>Galions Sharks</t>
        </is>
      </c>
      <c r="H98" s="24" t="inlineStr">
        <is>
          <t>moneyline</t>
        </is>
      </c>
      <c r="I98" s="24" t="inlineStr">
        <is>
          <t>away</t>
        </is>
      </c>
      <c r="J98" s="25" t="n"/>
      <c r="K98" s="24" t="inlineStr">
        <is>
          <t>polymarket_us</t>
        </is>
      </c>
      <c r="L98" s="26" t="n">
        <v>144</v>
      </c>
      <c r="M98" s="27" t="n">
        <v>2.44</v>
      </c>
      <c r="N98" s="28" t="n">
        <v>0.409836</v>
      </c>
      <c r="O98" s="28" t="n">
        <v>0.5456</v>
      </c>
      <c r="P98" s="28" t="n"/>
      <c r="Q98" s="28" t="n">
        <v>0.135764</v>
      </c>
      <c r="R98" s="26" t="n">
        <v>88</v>
      </c>
      <c r="S98" s="29" t="n">
        <v>1</v>
      </c>
      <c r="T98" s="24" t="inlineStr">
        <is>
          <t>lol-tiered-elo-v4</t>
        </is>
      </c>
      <c r="U98" s="24" t="inlineStr">
        <is>
          <t>settled</t>
        </is>
      </c>
      <c r="V98" s="24" t="inlineStr">
        <is>
          <t>loss</t>
        </is>
      </c>
      <c r="W98" s="26" t="n">
        <v>0</v>
      </c>
      <c r="X98" s="26" t="n">
        <v>1</v>
      </c>
      <c r="Y98" s="25" t="n"/>
      <c r="Z98" s="26" t="n"/>
      <c r="AA98" s="28" t="n"/>
      <c r="AB98" s="28" t="n"/>
      <c r="AC98" s="30" t="n">
        <v>-1</v>
      </c>
      <c r="AD98" s="24" t="inlineStr">
        <is>
          <t>2026-07-26T17:52:33.905977Z</t>
        </is>
      </c>
      <c r="AE98" s="31" t="inlineStr">
        <is>
          <t>Neutral Elo baseline; executable ask 0.4100 (market_slug=aec-lol-gls-thg-2026-07-26).</t>
        </is>
      </c>
      <c r="AF98" s="31" t="inlineStr">
        <is>
          <t>Config-promoted esports baseline; gates enforced at log time.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model_qualified</t>
        </is>
      </c>
      <c r="AL98" s="26" t="n">
        <v>3</v>
      </c>
      <c r="AM98" s="24" t="inlineStr">
        <is>
          <t>QUALIFIED_SHADOW_CALL</t>
        </is>
      </c>
      <c r="AN98" s="24" t="inlineStr">
        <is>
          <t>CALL</t>
        </is>
      </c>
      <c r="AO98" s="24" t="inlineStr">
        <is>
          <t>QUALIFIED</t>
        </is>
      </c>
      <c r="AP98" s="24" t="inlineStr">
        <is>
          <t>Team High Ground</t>
        </is>
      </c>
      <c r="AQ98" s="24" t="inlineStr">
        <is>
          <t>Team High Ground</t>
        </is>
      </c>
      <c r="AR98" s="24" t="inlineStr">
        <is>
          <t>Team High Ground</t>
        </is>
      </c>
      <c r="AS98" s="24" t="inlineStr">
        <is>
          <t>Galions Sharks</t>
        </is>
      </c>
      <c r="AT98" s="24" t="inlineStr">
        <is>
          <t>Galions Sharks</t>
        </is>
      </c>
      <c r="AU98" s="24" t="inlineStr">
        <is>
          <t>Galions Sharks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35087e828a0053011a97024de693e2ee7eb80eb03024c91d28d254de09d93778</t>
        </is>
      </c>
      <c r="BB98" s="24" t="inlineStr">
        <is>
          <t>neutral_elo</t>
        </is>
      </c>
      <c r="BC98" s="24" t="inlineStr">
        <is>
          <t>lol-tiered-elo-v4</t>
        </is>
      </c>
      <c r="BD98" s="24" t="inlineStr">
        <is>
          <t>35087e828a0053011a97024de693e2ee7eb80eb03024c91d28d254de09d93778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lol-tiered-elo-v4</t>
        </is>
      </c>
      <c r="BH98" s="24" t="inlineStr">
        <is>
          <t>2026-07-26T12:49:10.049609Z</t>
        </is>
      </c>
      <c r="BI98" s="24" t="inlineStr">
        <is>
          <t>["same_event","same_team_same_day","same_league_same_day"]</t>
        </is>
      </c>
      <c r="BJ98" s="25" t="n"/>
      <c r="BK98" s="26" t="n">
        <v>144</v>
      </c>
      <c r="BL98" s="27" t="n">
        <v>2.44</v>
      </c>
      <c r="BM98" s="28" t="n">
        <v>0.409836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</row>
    <row r="99" ht="36" customHeight="1">
      <c r="A99" s="24" t="inlineStr">
        <is>
          <t>27b43691e60a4423</t>
        </is>
      </c>
      <c r="B99" s="24" t="inlineStr">
        <is>
          <t>2026-07-26T12:49:32.359065Z</t>
        </is>
      </c>
      <c r="C99" s="24" t="inlineStr">
        <is>
          <t>2026-07-26T14:00:00Z</t>
        </is>
      </c>
      <c r="D99" s="24" t="inlineStr">
        <is>
          <t>60131</t>
        </is>
      </c>
      <c r="E99" s="24" t="inlineStr">
        <is>
          <t>LOL</t>
        </is>
      </c>
      <c r="F99" s="24" t="inlineStr">
        <is>
          <t>Caldya Esport</t>
        </is>
      </c>
      <c r="G99" s="24" t="inlineStr">
        <is>
          <t>Lille Esport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-213</v>
      </c>
      <c r="M99" s="27" t="n">
        <v>1.469484</v>
      </c>
      <c r="N99" s="28" t="n">
        <v>0.680511</v>
      </c>
      <c r="O99" s="28" t="n">
        <v>0.641875</v>
      </c>
      <c r="P99" s="28" t="n"/>
      <c r="Q99" s="28" t="n">
        <v>-0.038636</v>
      </c>
      <c r="R99" s="26" t="n">
        <v>1</v>
      </c>
      <c r="S99" s="29" t="n">
        <v>2</v>
      </c>
      <c r="T99" s="24" t="inlineStr">
        <is>
          <t>lol-tiered-elo-v4</t>
        </is>
      </c>
      <c r="U99" s="24" t="inlineStr">
        <is>
          <t>settled</t>
        </is>
      </c>
      <c r="V99" s="24" t="inlineStr">
        <is>
          <t>loss</t>
        </is>
      </c>
      <c r="W99" s="26" t="n">
        <v>1</v>
      </c>
      <c r="X99" s="26" t="n">
        <v>0</v>
      </c>
      <c r="Y99" s="25" t="n"/>
      <c r="Z99" s="26" t="n"/>
      <c r="AA99" s="28" t="n"/>
      <c r="AB99" s="28" t="n"/>
      <c r="AC99" s="30" t="n">
        <v>-2</v>
      </c>
      <c r="AD99" s="24" t="inlineStr">
        <is>
          <t>2026-07-26T17:52:35.819648Z</t>
        </is>
      </c>
      <c r="AE99" s="31" t="inlineStr">
        <is>
          <t>Neutral Elo baseline; executable ask 0.6800 (market_slug=aec-lol-lil-cla-2026-07-26).</t>
        </is>
      </c>
      <c r="AF99" s="31" t="inlineStr">
        <is>
          <t>Config-promoted esports baseline; gates enforced at log time.</t>
        </is>
      </c>
      <c r="AG99" s="24" t="inlineStr">
        <is>
          <t>review_required</t>
        </is>
      </c>
      <c r="AH99" s="24" t="n"/>
      <c r="AI99" s="31" t="n"/>
      <c r="AJ99" s="31" t="n"/>
      <c r="AK99" s="24" t="inlineStr">
        <is>
          <t>model_qualified</t>
        </is>
      </c>
      <c r="AL99" s="26" t="n">
        <v>3</v>
      </c>
      <c r="AM99" s="24" t="inlineStr">
        <is>
          <t>QUALIFIED_SHADOW_CALL</t>
        </is>
      </c>
      <c r="AN99" s="24" t="inlineStr">
        <is>
          <t>CALL</t>
        </is>
      </c>
      <c r="AO99" s="24" t="inlineStr">
        <is>
          <t>QUALIFIED</t>
        </is>
      </c>
      <c r="AP99" s="24" t="inlineStr">
        <is>
          <t>Caldya Esport</t>
        </is>
      </c>
      <c r="AQ99" s="24" t="inlineStr">
        <is>
          <t>Caldya Esport</t>
        </is>
      </c>
      <c r="AR99" s="24" t="inlineStr">
        <is>
          <t>Caldya Esport</t>
        </is>
      </c>
      <c r="AS99" s="24" t="inlineStr">
        <is>
          <t>Lille Esport</t>
        </is>
      </c>
      <c r="AT99" s="24" t="inlineStr">
        <is>
          <t>Lille Esport</t>
        </is>
      </c>
      <c r="AU99" s="24" t="inlineStr">
        <is>
          <t>Lille Esport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35087e828a0053011a97024de693e2ee7eb80eb03024c91d28d254de09d93778</t>
        </is>
      </c>
      <c r="BB99" s="24" t="inlineStr">
        <is>
          <t>neutral_elo</t>
        </is>
      </c>
      <c r="BC99" s="24" t="inlineStr">
        <is>
          <t>lol-tiered-elo-v4</t>
        </is>
      </c>
      <c r="BD99" s="24" t="inlineStr">
        <is>
          <t>35087e828a0053011a97024de693e2ee7eb80eb03024c91d28d254de09d93778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lol-tiered-elo-v4</t>
        </is>
      </c>
      <c r="BH99" s="24" t="inlineStr">
        <is>
          <t>2026-07-26T12:49:10.919487Z</t>
        </is>
      </c>
      <c r="BI99" s="24" t="inlineStr">
        <is>
          <t>["same_event","same_team_same_day","same_league_same_day"]</t>
        </is>
      </c>
      <c r="BJ99" s="25" t="n"/>
      <c r="BK99" s="26" t="n">
        <v>-213</v>
      </c>
      <c r="BL99" s="27" t="n">
        <v>1.469484</v>
      </c>
      <c r="BM99" s="28" t="n">
        <v>0.680511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</row>
    <row r="100" ht="36" customHeight="1">
      <c r="A100" s="24" t="inlineStr">
        <is>
          <t>4251a66dd47d405b</t>
        </is>
      </c>
      <c r="B100" s="24" t="inlineStr">
        <is>
          <t>2026-07-26T12:49:32.359065Z</t>
        </is>
      </c>
      <c r="C100" s="24" t="inlineStr">
        <is>
          <t>2026-07-26T17:00:00Z</t>
        </is>
      </c>
      <c r="D100" s="24" t="inlineStr">
        <is>
          <t>60180</t>
        </is>
      </c>
      <c r="E100" s="24" t="inlineStr">
        <is>
          <t>LOL</t>
        </is>
      </c>
      <c r="F100" s="24" t="inlineStr">
        <is>
          <t>Karmine Corp</t>
        </is>
      </c>
      <c r="G100" s="24" t="inlineStr">
        <is>
          <t>G2 Esports</t>
        </is>
      </c>
      <c r="H100" s="24" t="inlineStr">
        <is>
          <t>moneyline</t>
        </is>
      </c>
      <c r="I100" s="24" t="inlineStr">
        <is>
          <t>away</t>
        </is>
      </c>
      <c r="J100" s="25" t="n"/>
      <c r="K100" s="24" t="inlineStr">
        <is>
          <t>polymarket_us</t>
        </is>
      </c>
      <c r="L100" s="26" t="n">
        <v>150</v>
      </c>
      <c r="M100" s="27" t="n">
        <v>2.5</v>
      </c>
      <c r="N100" s="28" t="n">
        <v>0.4</v>
      </c>
      <c r="O100" s="28" t="n">
        <v>0.621842</v>
      </c>
      <c r="P100" s="28" t="n"/>
      <c r="Q100" s="28" t="n">
        <v>0.221842</v>
      </c>
      <c r="R100" s="26" t="n">
        <v>100</v>
      </c>
      <c r="S100" s="29" t="n">
        <v>1.75</v>
      </c>
      <c r="T100" s="24" t="inlineStr">
        <is>
          <t>lol-tiered-elo-v4</t>
        </is>
      </c>
      <c r="U100" s="24" t="inlineStr">
        <is>
          <t>open</t>
        </is>
      </c>
      <c r="V100" s="24" t="n"/>
      <c r="W100" s="26" t="n"/>
      <c r="X100" s="26" t="n"/>
      <c r="Y100" s="25" t="n"/>
      <c r="Z100" s="26" t="n"/>
      <c r="AA100" s="28" t="n"/>
      <c r="AB100" s="28" t="n"/>
      <c r="AC100" s="30" t="n"/>
      <c r="AD100" s="24" t="n"/>
      <c r="AE100" s="31" t="inlineStr">
        <is>
          <t>Neutral Elo baseline; executable ask 0.4000 (market_slug=aec-lol-g2-kc-2026-07-26).</t>
        </is>
      </c>
      <c r="AF100" s="31" t="inlineStr">
        <is>
          <t>Config-promoted esports baseline; gates enforced at log time.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3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Karmine Corp</t>
        </is>
      </c>
      <c r="AQ100" s="24" t="inlineStr">
        <is>
          <t>Karmine Corp</t>
        </is>
      </c>
      <c r="AR100" s="24" t="inlineStr">
        <is>
          <t>Karmine Corp</t>
        </is>
      </c>
      <c r="AS100" s="24" t="inlineStr">
        <is>
          <t>G2 Esports</t>
        </is>
      </c>
      <c r="AT100" s="24" t="inlineStr">
        <is>
          <t>G2 Esports</t>
        </is>
      </c>
      <c r="AU100" s="24" t="inlineStr">
        <is>
          <t>G2 Esports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35087e828a0053011a97024de693e2ee7eb80eb03024c91d28d254de09d93778</t>
        </is>
      </c>
      <c r="BB100" s="24" t="inlineStr">
        <is>
          <t>neutral_elo</t>
        </is>
      </c>
      <c r="BC100" s="24" t="inlineStr">
        <is>
          <t>lol-tiered-elo-v4</t>
        </is>
      </c>
      <c r="BD100" s="24" t="inlineStr">
        <is>
          <t>35087e828a0053011a97024de693e2ee7eb80eb03024c91d28d254de09d93778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lol-tiered-elo-v4</t>
        </is>
      </c>
      <c r="BH100" s="24" t="inlineStr">
        <is>
          <t>2026-07-26T12:49:13.248928Z</t>
        </is>
      </c>
      <c r="BI100" s="24" t="inlineStr">
        <is>
          <t>["same_event","same_team_same_day","same_league_same_day"]</t>
        </is>
      </c>
      <c r="BJ100" s="25" t="n"/>
      <c r="BK100" s="26" t="n">
        <v>150</v>
      </c>
      <c r="BL100" s="27" t="n">
        <v>2.5</v>
      </c>
      <c r="BM100" s="28" t="n">
        <v>0.4</v>
      </c>
      <c r="BN100" s="28" t="n"/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</row>
    <row r="101" ht="36" customHeight="1">
      <c r="A101" s="24" t="inlineStr">
        <is>
          <t>86195cd6ef414a9d</t>
        </is>
      </c>
      <c r="B101" s="24" t="inlineStr">
        <is>
          <t>2026-07-26T12:50:13.208687Z</t>
        </is>
      </c>
      <c r="C101" s="24" t="inlineStr">
        <is>
          <t>2026-07-26T14:00:00Z</t>
        </is>
      </c>
      <c r="D101" s="24" t="inlineStr">
        <is>
          <t>61030</t>
        </is>
      </c>
      <c r="E101" s="24" t="inlineStr">
        <is>
          <t>CS2</t>
        </is>
      </c>
      <c r="F101" s="24" t="inlineStr">
        <is>
          <t>G2 Ares</t>
        </is>
      </c>
      <c r="G101" s="24" t="inlineStr">
        <is>
          <t>INOX Division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-233</v>
      </c>
      <c r="M101" s="27" t="n">
        <v>1.429185</v>
      </c>
      <c r="N101" s="28" t="n">
        <v>0.6997</v>
      </c>
      <c r="O101" s="28" t="n">
        <v>0.603297</v>
      </c>
      <c r="P101" s="28" t="n"/>
      <c r="Q101" s="28" t="n">
        <v>-0.096403</v>
      </c>
      <c r="R101" s="26" t="n">
        <v>0</v>
      </c>
      <c r="S101" s="29" t="n">
        <v>1.5</v>
      </c>
      <c r="T101" s="24" t="inlineStr">
        <is>
          <t>cs2-tiered-elo-v4</t>
        </is>
      </c>
      <c r="U101" s="24" t="inlineStr">
        <is>
          <t>settled</t>
        </is>
      </c>
      <c r="V101" s="24" t="inlineStr">
        <is>
          <t>win</t>
        </is>
      </c>
      <c r="W101" s="26" t="n">
        <v>0</v>
      </c>
      <c r="X101" s="26" t="n">
        <v>1</v>
      </c>
      <c r="Y101" s="25" t="n"/>
      <c r="Z101" s="26" t="n"/>
      <c r="AA101" s="28" t="n"/>
      <c r="AB101" s="28" t="n"/>
      <c r="AC101" s="30" t="n">
        <v>0.6438</v>
      </c>
      <c r="AD101" s="24" t="inlineStr">
        <is>
          <t>2026-07-26T18:25:22.025515Z</t>
        </is>
      </c>
      <c r="AE101" s="31" t="inlineStr">
        <is>
          <t>Neutral Elo baseline; executable ask 0.7000 (market_slug=aec-cs2-inox-g2a-2026-07-26).</t>
        </is>
      </c>
      <c r="AF101" s="31" t="inlineStr">
        <is>
          <t>Config-promoted esports baseline; gates enforced at log time.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model_qualified</t>
        </is>
      </c>
      <c r="AL101" s="26" t="n">
        <v>3</v>
      </c>
      <c r="AM101" s="24" t="inlineStr">
        <is>
          <t>QUALIFIED_SHADOW_CALL</t>
        </is>
      </c>
      <c r="AN101" s="24" t="inlineStr">
        <is>
          <t>CALL</t>
        </is>
      </c>
      <c r="AO101" s="24" t="inlineStr">
        <is>
          <t>QUALIFIED</t>
        </is>
      </c>
      <c r="AP101" s="24" t="inlineStr">
        <is>
          <t>G2 Ares</t>
        </is>
      </c>
      <c r="AQ101" s="24" t="inlineStr">
        <is>
          <t>G2 Ares</t>
        </is>
      </c>
      <c r="AR101" s="24" t="inlineStr">
        <is>
          <t>G2 Ares</t>
        </is>
      </c>
      <c r="AS101" s="24" t="inlineStr">
        <is>
          <t>INOX Division</t>
        </is>
      </c>
      <c r="AT101" s="24" t="inlineStr">
        <is>
          <t>INOX Division</t>
        </is>
      </c>
      <c r="AU101" s="24" t="inlineStr">
        <is>
          <t>INOX Division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e9c327ce15d79aaa8ed5032a6fb86929aaa479e14a8bc9a35686411400dd6b91</t>
        </is>
      </c>
      <c r="BB101" s="24" t="inlineStr">
        <is>
          <t>neutral_elo</t>
        </is>
      </c>
      <c r="BC101" s="24" t="inlineStr">
        <is>
          <t>cs2-tiered-elo-v4</t>
        </is>
      </c>
      <c r="BD101" s="24" t="inlineStr">
        <is>
          <t>e9c327ce15d79aaa8ed5032a6fb86929aaa479e14a8bc9a35686411400dd6b91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cs2-tiered-elo-v4</t>
        </is>
      </c>
      <c r="BH101" s="24" t="inlineStr">
        <is>
          <t>2026-07-26T12:49:42.821812Z</t>
        </is>
      </c>
      <c r="BI101" s="24" t="inlineStr">
        <is>
          <t>["same_event","same_team_same_day","same_league_same_day"]</t>
        </is>
      </c>
      <c r="BJ101" s="25" t="n"/>
      <c r="BK101" s="26" t="n">
        <v>-233</v>
      </c>
      <c r="BL101" s="27" t="n">
        <v>1.429185</v>
      </c>
      <c r="BM101" s="28" t="n">
        <v>0.6997</v>
      </c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</row>
    <row r="102" ht="36" customHeight="1">
      <c r="A102" s="24" t="inlineStr">
        <is>
          <t>6bfaef0a2c0b4fe1</t>
        </is>
      </c>
      <c r="B102" s="24" t="inlineStr">
        <is>
          <t>2026-07-26T12:50:13.208687Z</t>
        </is>
      </c>
      <c r="C102" s="24" t="inlineStr">
        <is>
          <t>2026-07-26T14:00:00Z</t>
        </is>
      </c>
      <c r="D102" s="24" t="inlineStr">
        <is>
          <t>61440</t>
        </is>
      </c>
      <c r="E102" s="24" t="inlineStr">
        <is>
          <t>CS2</t>
        </is>
      </c>
      <c r="F102" s="24" t="inlineStr">
        <is>
          <t>Lazer Cats</t>
        </is>
      </c>
      <c r="G102" s="24" t="inlineStr">
        <is>
          <t>STATE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100</v>
      </c>
      <c r="M102" s="27" t="n">
        <v>2</v>
      </c>
      <c r="N102" s="28" t="n">
        <v>0.5</v>
      </c>
      <c r="O102" s="28" t="n">
        <v>0.769302</v>
      </c>
      <c r="P102" s="28" t="n"/>
      <c r="Q102" s="28" t="n">
        <v>0.269302</v>
      </c>
      <c r="R102" s="26" t="n">
        <v>100</v>
      </c>
      <c r="S102" s="29" t="n">
        <v>2</v>
      </c>
      <c r="T102" s="24" t="inlineStr">
        <is>
          <t>cs2-tiered-elo-v4</t>
        </is>
      </c>
      <c r="U102" s="24" t="inlineStr">
        <is>
          <t>settled</t>
        </is>
      </c>
      <c r="V102" s="24" t="inlineStr">
        <is>
          <t>loss</t>
        </is>
      </c>
      <c r="W102" s="26" t="n">
        <v>1</v>
      </c>
      <c r="X102" s="26" t="n">
        <v>0</v>
      </c>
      <c r="Y102" s="25" t="n"/>
      <c r="Z102" s="26" t="n"/>
      <c r="AA102" s="28" t="n"/>
      <c r="AB102" s="28" t="n"/>
      <c r="AC102" s="30" t="n">
        <v>-2</v>
      </c>
      <c r="AD102" s="24" t="inlineStr">
        <is>
          <t>2026-07-26T17:52:39.939443Z</t>
        </is>
      </c>
      <c r="AE102" s="31" t="inlineStr">
        <is>
          <t>Neutral Elo baseline; executable ask 0.5000 (market_slug=aec-cs2-sta-lc-2026-07-26).</t>
        </is>
      </c>
      <c r="AF102" s="31" t="inlineStr">
        <is>
          <t>Config-promoted esports baseline; gates enforced at log time.</t>
        </is>
      </c>
      <c r="AG102" s="24" t="inlineStr">
        <is>
          <t>review_required</t>
        </is>
      </c>
      <c r="AH102" s="24" t="n"/>
      <c r="AI102" s="31" t="n"/>
      <c r="AJ102" s="31" t="n"/>
      <c r="AK102" s="24" t="inlineStr">
        <is>
          <t>model_qualified</t>
        </is>
      </c>
      <c r="AL102" s="26" t="n">
        <v>3</v>
      </c>
      <c r="AM102" s="24" t="inlineStr">
        <is>
          <t>QUALIFIED_SHADOW_CALL</t>
        </is>
      </c>
      <c r="AN102" s="24" t="inlineStr">
        <is>
          <t>CALL</t>
        </is>
      </c>
      <c r="AO102" s="24" t="inlineStr">
        <is>
          <t>QUALIFIED</t>
        </is>
      </c>
      <c r="AP102" s="24" t="inlineStr">
        <is>
          <t>Lazer Cats</t>
        </is>
      </c>
      <c r="AQ102" s="24" t="inlineStr">
        <is>
          <t>Lazer Cats</t>
        </is>
      </c>
      <c r="AR102" s="24" t="inlineStr">
        <is>
          <t>Lazer Cats</t>
        </is>
      </c>
      <c r="AS102" s="24" t="inlineStr">
        <is>
          <t>STATE</t>
        </is>
      </c>
      <c r="AT102" s="24" t="inlineStr">
        <is>
          <t>STATE</t>
        </is>
      </c>
      <c r="AU102" s="24" t="inlineStr">
        <is>
          <t>STATE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e9c327ce15d79aaa8ed5032a6fb86929aaa479e14a8bc9a35686411400dd6b91</t>
        </is>
      </c>
      <c r="BB102" s="24" t="inlineStr">
        <is>
          <t>neutral_elo</t>
        </is>
      </c>
      <c r="BC102" s="24" t="inlineStr">
        <is>
          <t>cs2-tiered-elo-v4</t>
        </is>
      </c>
      <c r="BD102" s="24" t="inlineStr">
        <is>
          <t>e9c327ce15d79aaa8ed5032a6fb86929aaa479e14a8bc9a35686411400dd6b91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cs2-tiered-elo-v4</t>
        </is>
      </c>
      <c r="BH102" s="24" t="inlineStr">
        <is>
          <t>2026-07-26T12:49:44.422167Z</t>
        </is>
      </c>
      <c r="BI102" s="24" t="inlineStr">
        <is>
          <t>["same_event","same_team_same_day","same_league_same_day"]</t>
        </is>
      </c>
      <c r="BJ102" s="25" t="n"/>
      <c r="BK102" s="26" t="n">
        <v>100</v>
      </c>
      <c r="BL102" s="27" t="n">
        <v>2</v>
      </c>
      <c r="BM102" s="28" t="n">
        <v>0.5</v>
      </c>
      <c r="BN102" s="28" t="n"/>
      <c r="BO102" s="28" t="n"/>
      <c r="BP102" s="25" t="n"/>
      <c r="BQ102" s="27" t="n"/>
      <c r="BR102" s="28" t="n"/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</row>
    <row r="103" ht="36" customHeight="1">
      <c r="A103" s="24" t="inlineStr">
        <is>
          <t>163f9b89282a4c61</t>
        </is>
      </c>
      <c r="B103" s="24" t="inlineStr">
        <is>
          <t>2026-07-26T12:50:13.208687Z</t>
        </is>
      </c>
      <c r="C103" s="24" t="inlineStr">
        <is>
          <t>2026-07-26T14:00:00Z</t>
        </is>
      </c>
      <c r="D103" s="24" t="inlineStr">
        <is>
          <t>61033</t>
        </is>
      </c>
      <c r="E103" s="24" t="inlineStr">
        <is>
          <t>CS2</t>
        </is>
      </c>
      <c r="F103" s="24" t="inlineStr">
        <is>
          <t>Atreides</t>
        </is>
      </c>
      <c r="G103" s="24" t="inlineStr">
        <is>
          <t>SPARTA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-117</v>
      </c>
      <c r="M103" s="27" t="n">
        <v>1.854701</v>
      </c>
      <c r="N103" s="28" t="n">
        <v>0.539171</v>
      </c>
      <c r="O103" s="28" t="n">
        <v>0.518471</v>
      </c>
      <c r="P103" s="28" t="n"/>
      <c r="Q103" s="28" t="n">
        <v>-0.0207</v>
      </c>
      <c r="R103" s="26" t="n">
        <v>10</v>
      </c>
      <c r="S103" s="29" t="n">
        <v>0.75</v>
      </c>
      <c r="T103" s="24" t="inlineStr">
        <is>
          <t>cs2-tiered-elo-v4</t>
        </is>
      </c>
      <c r="U103" s="24" t="inlineStr">
        <is>
          <t>settled</t>
        </is>
      </c>
      <c r="V103" s="24" t="inlineStr">
        <is>
          <t>loss</t>
        </is>
      </c>
      <c r="W103" s="26" t="n">
        <v>1</v>
      </c>
      <c r="X103" s="26" t="n">
        <v>0</v>
      </c>
      <c r="Y103" s="25" t="n"/>
      <c r="Z103" s="26" t="n"/>
      <c r="AA103" s="28" t="n"/>
      <c r="AB103" s="28" t="n"/>
      <c r="AC103" s="30" t="n">
        <v>-0.75</v>
      </c>
      <c r="AD103" s="24" t="inlineStr">
        <is>
          <t>2026-07-26T17:52:42.071753Z</t>
        </is>
      </c>
      <c r="AE103" s="31" t="inlineStr">
        <is>
          <t>Neutral Elo baseline; executable ask 0.5400 (market_slug=aec-cs2-sparta-atr-2026-07-26).</t>
        </is>
      </c>
      <c r="AF103" s="31" t="inlineStr">
        <is>
          <t>Config-promoted esports baseline; gates enforced at log time.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model_qualified</t>
        </is>
      </c>
      <c r="AL103" s="26" t="n">
        <v>3</v>
      </c>
      <c r="AM103" s="24" t="inlineStr">
        <is>
          <t>QUALIFIED_SHADOW_CALL</t>
        </is>
      </c>
      <c r="AN103" s="24" t="inlineStr">
        <is>
          <t>CALL</t>
        </is>
      </c>
      <c r="AO103" s="24" t="inlineStr">
        <is>
          <t>QUALIFIED</t>
        </is>
      </c>
      <c r="AP103" s="24" t="inlineStr">
        <is>
          <t>Atreides</t>
        </is>
      </c>
      <c r="AQ103" s="24" t="inlineStr">
        <is>
          <t>Atreides</t>
        </is>
      </c>
      <c r="AR103" s="24" t="inlineStr">
        <is>
          <t>Atreides</t>
        </is>
      </c>
      <c r="AS103" s="24" t="inlineStr">
        <is>
          <t>SPARTA</t>
        </is>
      </c>
      <c r="AT103" s="24" t="inlineStr">
        <is>
          <t>SPARTA</t>
        </is>
      </c>
      <c r="AU103" s="24" t="inlineStr">
        <is>
          <t>SPARTA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e9c327ce15d79aaa8ed5032a6fb86929aaa479e14a8bc9a35686411400dd6b91</t>
        </is>
      </c>
      <c r="BB103" s="24" t="inlineStr">
        <is>
          <t>neutral_elo</t>
        </is>
      </c>
      <c r="BC103" s="24" t="inlineStr">
        <is>
          <t>cs2-tiered-elo-v4</t>
        </is>
      </c>
      <c r="BD103" s="24" t="inlineStr">
        <is>
          <t>e9c327ce15d79aaa8ed5032a6fb86929aaa479e14a8bc9a35686411400dd6b91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cs2-tiered-elo-v4</t>
        </is>
      </c>
      <c r="BH103" s="24" t="inlineStr">
        <is>
          <t>2026-07-26T12:49:45.204211Z</t>
        </is>
      </c>
      <c r="BI103" s="24" t="inlineStr">
        <is>
          <t>["same_event","same_team_same_day","same_league_same_day"]</t>
        </is>
      </c>
      <c r="BJ103" s="25" t="n"/>
      <c r="BK103" s="26" t="n">
        <v>-117</v>
      </c>
      <c r="BL103" s="27" t="n">
        <v>1.854701</v>
      </c>
      <c r="BM103" s="28" t="n">
        <v>0.539171</v>
      </c>
      <c r="BN103" s="28" t="n"/>
      <c r="BO103" s="28" t="n"/>
      <c r="BP103" s="25" t="n"/>
      <c r="BQ103" s="27" t="n"/>
      <c r="BR103" s="28" t="n"/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</row>
    <row r="104" ht="36" customHeight="1">
      <c r="A104" s="24" t="inlineStr">
        <is>
          <t>36f4eeb7a1fc4959</t>
        </is>
      </c>
      <c r="B104" s="24" t="inlineStr">
        <is>
          <t>2026-07-26T12:50:13.208687Z</t>
        </is>
      </c>
      <c r="C104" s="24" t="inlineStr">
        <is>
          <t>2026-07-26T15:00:00Z</t>
        </is>
      </c>
      <c r="D104" s="24" t="inlineStr">
        <is>
          <t>61219</t>
        </is>
      </c>
      <c r="E104" s="24" t="inlineStr">
        <is>
          <t>CS2</t>
        </is>
      </c>
      <c r="F104" s="24" t="inlineStr">
        <is>
          <t>TheMongolz</t>
        </is>
      </c>
      <c r="G104" s="24" t="inlineStr">
        <is>
          <t>Wildcard</t>
        </is>
      </c>
      <c r="H104" s="24" t="inlineStr">
        <is>
          <t>moneyline</t>
        </is>
      </c>
      <c r="I104" s="24" t="inlineStr">
        <is>
          <t>away</t>
        </is>
      </c>
      <c r="J104" s="25" t="n"/>
      <c r="K104" s="24" t="inlineStr">
        <is>
          <t>polymarket_us</t>
        </is>
      </c>
      <c r="L104" s="26" t="n">
        <v>-178</v>
      </c>
      <c r="M104" s="27" t="n">
        <v>1.561798</v>
      </c>
      <c r="N104" s="28" t="n">
        <v>0.640288</v>
      </c>
      <c r="O104" s="28" t="n">
        <v>0.702966</v>
      </c>
      <c r="P104" s="28" t="n"/>
      <c r="Q104" s="28" t="n">
        <v>0.062678</v>
      </c>
      <c r="R104" s="26" t="n">
        <v>51</v>
      </c>
      <c r="S104" s="29" t="n">
        <v>2</v>
      </c>
      <c r="T104" s="24" t="inlineStr">
        <is>
          <t>cs2-tiered-elo-v4</t>
        </is>
      </c>
      <c r="U104" s="24" t="inlineStr">
        <is>
          <t>settled</t>
        </is>
      </c>
      <c r="V104" s="24" t="inlineStr">
        <is>
          <t>win</t>
        </is>
      </c>
      <c r="W104" s="26" t="n">
        <v>1</v>
      </c>
      <c r="X104" s="26" t="n">
        <v>0</v>
      </c>
      <c r="Y104" s="25" t="n"/>
      <c r="Z104" s="26" t="n"/>
      <c r="AA104" s="28" t="n"/>
      <c r="AB104" s="28" t="n"/>
      <c r="AC104" s="30" t="n">
        <v>1.1236</v>
      </c>
      <c r="AD104" s="24" t="inlineStr">
        <is>
          <t>2026-07-26T17:52:44.016789Z</t>
        </is>
      </c>
      <c r="AE104" s="31" t="inlineStr">
        <is>
          <t>Neutral Elo baseline; executable ask 0.6400 (market_slug=aec-cs2-wc-mglz-2026-07-26).</t>
        </is>
      </c>
      <c r="AF104" s="31" t="inlineStr">
        <is>
          <t>Config-promoted esports baseline; gates enforced at log time.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model_qualified</t>
        </is>
      </c>
      <c r="AL104" s="26" t="n">
        <v>3</v>
      </c>
      <c r="AM104" s="24" t="inlineStr">
        <is>
          <t>QUALIFIED_SHADOW_CALL</t>
        </is>
      </c>
      <c r="AN104" s="24" t="inlineStr">
        <is>
          <t>CALL</t>
        </is>
      </c>
      <c r="AO104" s="24" t="inlineStr">
        <is>
          <t>QUALIFIED</t>
        </is>
      </c>
      <c r="AP104" s="24" t="inlineStr">
        <is>
          <t>TheMongolz</t>
        </is>
      </c>
      <c r="AQ104" s="24" t="inlineStr">
        <is>
          <t>TheMongolz</t>
        </is>
      </c>
      <c r="AR104" s="24" t="inlineStr">
        <is>
          <t>TheMongolz</t>
        </is>
      </c>
      <c r="AS104" s="24" t="inlineStr">
        <is>
          <t>Wildcard</t>
        </is>
      </c>
      <c r="AT104" s="24" t="inlineStr">
        <is>
          <t>Wildcard</t>
        </is>
      </c>
      <c r="AU104" s="24" t="inlineStr">
        <is>
          <t>Wildcard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e9c327ce15d79aaa8ed5032a6fb86929aaa479e14a8bc9a35686411400dd6b91</t>
        </is>
      </c>
      <c r="BB104" s="24" t="inlineStr">
        <is>
          <t>neutral_elo</t>
        </is>
      </c>
      <c r="BC104" s="24" t="inlineStr">
        <is>
          <t>cs2-tiered-elo-v4</t>
        </is>
      </c>
      <c r="BD104" s="24" t="inlineStr">
        <is>
          <t>e9c327ce15d79aaa8ed5032a6fb86929aaa479e14a8bc9a35686411400dd6b91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cs2-tiered-elo-v4</t>
        </is>
      </c>
      <c r="BH104" s="24" t="inlineStr">
        <is>
          <t>2026-07-26T12:49:46.102307Z</t>
        </is>
      </c>
      <c r="BI104" s="24" t="inlineStr">
        <is>
          <t>["same_event","same_team_same_day","same_league_same_day"]</t>
        </is>
      </c>
      <c r="BJ104" s="25" t="n"/>
      <c r="BK104" s="26" t="n">
        <v>-178</v>
      </c>
      <c r="BL104" s="27" t="n">
        <v>1.561798</v>
      </c>
      <c r="BM104" s="28" t="n">
        <v>0.640288</v>
      </c>
      <c r="BN104" s="28" t="n"/>
      <c r="BO104" s="28" t="n"/>
      <c r="BP104" s="25" t="n"/>
      <c r="BQ104" s="27" t="n"/>
      <c r="BR104" s="28" t="n"/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</row>
    <row r="105" ht="36" customHeight="1">
      <c r="A105" s="24" t="inlineStr">
        <is>
          <t>525c1c2254fc4ad8</t>
        </is>
      </c>
      <c r="B105" s="24" t="inlineStr">
        <is>
          <t>2026-07-26T12:50:13.208687Z</t>
        </is>
      </c>
      <c r="C105" s="24" t="inlineStr">
        <is>
          <t>2026-07-26T15:00:00Z</t>
        </is>
      </c>
      <c r="D105" s="24" t="inlineStr">
        <is>
          <t>61671</t>
        </is>
      </c>
      <c r="E105" s="24" t="inlineStr">
        <is>
          <t>CS2</t>
        </is>
      </c>
      <c r="F105" s="24" t="inlineStr">
        <is>
          <t>largadosypelados</t>
        </is>
      </c>
      <c r="G105" s="24" t="inlineStr">
        <is>
          <t>ODDIK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178</v>
      </c>
      <c r="M105" s="27" t="n">
        <v>2.78</v>
      </c>
      <c r="N105" s="28" t="n">
        <v>0.359712</v>
      </c>
      <c r="O105" s="28" t="n">
        <v>0.786851</v>
      </c>
      <c r="P105" s="28" t="n"/>
      <c r="Q105" s="28" t="n">
        <v>0.427139</v>
      </c>
      <c r="R105" s="26" t="n">
        <v>100</v>
      </c>
      <c r="S105" s="29" t="n">
        <v>2</v>
      </c>
      <c r="T105" s="24" t="inlineStr">
        <is>
          <t>cs2-tiered-elo-v4</t>
        </is>
      </c>
      <c r="U105" s="24" t="inlineStr">
        <is>
          <t>settled</t>
        </is>
      </c>
      <c r="V105" s="24" t="inlineStr">
        <is>
          <t>win</t>
        </is>
      </c>
      <c r="W105" s="26" t="n">
        <v>0</v>
      </c>
      <c r="X105" s="26" t="n">
        <v>1</v>
      </c>
      <c r="Y105" s="25" t="n"/>
      <c r="Z105" s="26" t="n"/>
      <c r="AA105" s="28" t="n"/>
      <c r="AB105" s="28" t="n"/>
      <c r="AC105" s="30" t="n">
        <v>3.56</v>
      </c>
      <c r="AD105" s="24" t="inlineStr">
        <is>
          <t>2026-07-26T17:52:45.929698Z</t>
        </is>
      </c>
      <c r="AE105" s="31" t="inlineStr">
        <is>
          <t>Neutral Elo baseline; executable ask 0.3600 (market_slug=aec-cs2-odk-ldp-2026-07-26).</t>
        </is>
      </c>
      <c r="AF105" s="31" t="inlineStr">
        <is>
          <t>Config-promoted esports baseline; gates enforced at log time.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3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largadosypelados</t>
        </is>
      </c>
      <c r="AQ105" s="24" t="inlineStr">
        <is>
          <t>largadosypelados</t>
        </is>
      </c>
      <c r="AR105" s="24" t="inlineStr">
        <is>
          <t>largadosypelados</t>
        </is>
      </c>
      <c r="AS105" s="24" t="inlineStr">
        <is>
          <t>ODDIK</t>
        </is>
      </c>
      <c r="AT105" s="24" t="inlineStr">
        <is>
          <t>ODDIK</t>
        </is>
      </c>
      <c r="AU105" s="24" t="inlineStr">
        <is>
          <t>ODDIK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e9c327ce15d79aaa8ed5032a6fb86929aaa479e14a8bc9a35686411400dd6b91</t>
        </is>
      </c>
      <c r="BB105" s="24" t="inlineStr">
        <is>
          <t>neutral_elo</t>
        </is>
      </c>
      <c r="BC105" s="24" t="inlineStr">
        <is>
          <t>cs2-tiered-elo-v4</t>
        </is>
      </c>
      <c r="BD105" s="24" t="inlineStr">
        <is>
          <t>e9c327ce15d79aaa8ed5032a6fb86929aaa479e14a8bc9a35686411400dd6b91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cs2-tiered-elo-v4</t>
        </is>
      </c>
      <c r="BH105" s="24" t="inlineStr">
        <is>
          <t>2026-07-26T12:49:46.942100Z</t>
        </is>
      </c>
      <c r="BI105" s="24" t="inlineStr">
        <is>
          <t>["same_event","same_team_same_day","same_league_same_day"]</t>
        </is>
      </c>
      <c r="BJ105" s="25" t="n"/>
      <c r="BK105" s="26" t="n">
        <v>178</v>
      </c>
      <c r="BL105" s="27" t="n">
        <v>2.78</v>
      </c>
      <c r="BM105" s="28" t="n">
        <v>0.359712</v>
      </c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</row>
    <row r="106" ht="36" customHeight="1">
      <c r="A106" s="24" t="inlineStr">
        <is>
          <t>88556ad9f9604bc9</t>
        </is>
      </c>
      <c r="B106" s="24" t="inlineStr">
        <is>
          <t>2026-07-26T12:50:13.208687Z</t>
        </is>
      </c>
      <c r="C106" s="24" t="inlineStr">
        <is>
          <t>2026-07-26T15:30:00Z</t>
        </is>
      </c>
      <c r="D106" s="24" t="inlineStr">
        <is>
          <t>61480</t>
        </is>
      </c>
      <c r="E106" s="24" t="inlineStr">
        <is>
          <t>CS2</t>
        </is>
      </c>
      <c r="F106" s="24" t="inlineStr">
        <is>
          <t>sleepers</t>
        </is>
      </c>
      <c r="G106" s="24" t="inlineStr">
        <is>
          <t>aimclub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-178</v>
      </c>
      <c r="M106" s="27" t="n">
        <v>1.561798</v>
      </c>
      <c r="N106" s="28" t="n">
        <v>0.640288</v>
      </c>
      <c r="O106" s="28" t="n">
        <v>0.558205</v>
      </c>
      <c r="P106" s="28" t="n"/>
      <c r="Q106" s="28" t="n">
        <v>-0.082083</v>
      </c>
      <c r="R106" s="26" t="n">
        <v>0</v>
      </c>
      <c r="S106" s="29" t="n">
        <v>1</v>
      </c>
      <c r="T106" s="24" t="inlineStr">
        <is>
          <t>cs2-tiered-elo-v4</t>
        </is>
      </c>
      <c r="U106" s="24" t="inlineStr">
        <is>
          <t>settled</t>
        </is>
      </c>
      <c r="V106" s="24" t="inlineStr">
        <is>
          <t>win</t>
        </is>
      </c>
      <c r="W106" s="26" t="n">
        <v>0</v>
      </c>
      <c r="X106" s="26" t="n">
        <v>1</v>
      </c>
      <c r="Y106" s="25" t="n"/>
      <c r="Z106" s="26" t="n"/>
      <c r="AA106" s="28" t="n"/>
      <c r="AB106" s="28" t="n"/>
      <c r="AC106" s="30" t="n">
        <v>0.5618</v>
      </c>
      <c r="AD106" s="24" t="inlineStr">
        <is>
          <t>2026-07-26T18:55:37.504577Z</t>
        </is>
      </c>
      <c r="AE106" s="31" t="inlineStr">
        <is>
          <t>Neutral Elo baseline; executable ask 0.6400 (market_slug=aec-cs2-aimc-sle-2026-07-26).</t>
        </is>
      </c>
      <c r="AF106" s="31" t="inlineStr">
        <is>
          <t>Config-promoted esports baseline; gates enforced at log time.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3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sleepers</t>
        </is>
      </c>
      <c r="AQ106" s="24" t="inlineStr">
        <is>
          <t>sleepers</t>
        </is>
      </c>
      <c r="AR106" s="24" t="inlineStr">
        <is>
          <t>sleepers</t>
        </is>
      </c>
      <c r="AS106" s="24" t="inlineStr">
        <is>
          <t>aimclub</t>
        </is>
      </c>
      <c r="AT106" s="24" t="inlineStr">
        <is>
          <t>aimclub</t>
        </is>
      </c>
      <c r="AU106" s="24" t="inlineStr">
        <is>
          <t>aimclub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e9c327ce15d79aaa8ed5032a6fb86929aaa479e14a8bc9a35686411400dd6b91</t>
        </is>
      </c>
      <c r="BB106" s="24" t="inlineStr">
        <is>
          <t>neutral_elo</t>
        </is>
      </c>
      <c r="BC106" s="24" t="inlineStr">
        <is>
          <t>cs2-tiered-elo-v4</t>
        </is>
      </c>
      <c r="BD106" s="24" t="inlineStr">
        <is>
          <t>e9c327ce15d79aaa8ed5032a6fb86929aaa479e14a8bc9a35686411400dd6b91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cs2-tiered-elo-v4</t>
        </is>
      </c>
      <c r="BH106" s="24" t="inlineStr">
        <is>
          <t>2026-07-26T12:49:48.845751Z</t>
        </is>
      </c>
      <c r="BI106" s="24" t="inlineStr">
        <is>
          <t>["same_event","same_team_same_day","same_league_same_day"]</t>
        </is>
      </c>
      <c r="BJ106" s="25" t="n"/>
      <c r="BK106" s="26" t="n">
        <v>-178</v>
      </c>
      <c r="BL106" s="27" t="n">
        <v>1.561798</v>
      </c>
      <c r="BM106" s="28" t="n">
        <v>0.640288</v>
      </c>
      <c r="BN106" s="28" t="n"/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</row>
    <row r="107" ht="36" customHeight="1">
      <c r="A107" s="24" t="inlineStr">
        <is>
          <t>1490f707da544484</t>
        </is>
      </c>
      <c r="B107" s="24" t="inlineStr">
        <is>
          <t>2026-07-26T12:50:13.208687Z</t>
        </is>
      </c>
      <c r="C107" s="24" t="inlineStr">
        <is>
          <t>2026-07-26T16:00:00Z</t>
        </is>
      </c>
      <c r="D107" s="24" t="inlineStr">
        <is>
          <t>61948</t>
        </is>
      </c>
      <c r="E107" s="24" t="inlineStr">
        <is>
          <t>CS2</t>
        </is>
      </c>
      <c r="F107" s="24" t="inlineStr">
        <is>
          <t>NIP</t>
        </is>
      </c>
      <c r="G107" s="24" t="inlineStr">
        <is>
          <t>magic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polymarket_us</t>
        </is>
      </c>
      <c r="L107" s="26" t="n">
        <v>113</v>
      </c>
      <c r="M107" s="27" t="n">
        <v>2.13</v>
      </c>
      <c r="N107" s="28" t="n">
        <v>0.469484</v>
      </c>
      <c r="O107" s="28" t="n">
        <v>0.665479</v>
      </c>
      <c r="P107" s="28" t="n"/>
      <c r="Q107" s="28" t="n">
        <v>0.195995</v>
      </c>
      <c r="R107" s="26" t="n">
        <v>100</v>
      </c>
      <c r="S107" s="29" t="n">
        <v>2</v>
      </c>
      <c r="T107" s="24" t="inlineStr">
        <is>
          <t>cs2-tiered-elo-v4</t>
        </is>
      </c>
      <c r="U107" s="24" t="inlineStr">
        <is>
          <t>settled</t>
        </is>
      </c>
      <c r="V107" s="24" t="inlineStr">
        <is>
          <t>win</t>
        </is>
      </c>
      <c r="W107" s="26" t="n">
        <v>0</v>
      </c>
      <c r="X107" s="26" t="n">
        <v>1</v>
      </c>
      <c r="Y107" s="25" t="n"/>
      <c r="Z107" s="26" t="n"/>
      <c r="AA107" s="28" t="n"/>
      <c r="AB107" s="28" t="n"/>
      <c r="AC107" s="30" t="n">
        <v>2.26</v>
      </c>
      <c r="AD107" s="24" t="inlineStr">
        <is>
          <t>2026-07-26T18:55:39.044193Z</t>
        </is>
      </c>
      <c r="AE107" s="31" t="inlineStr">
        <is>
          <t>Neutral Elo baseline; executable ask 0.4700 (market_slug=aec-cs2-mgc-nip-2026-07-26).</t>
        </is>
      </c>
      <c r="AF107" s="31" t="inlineStr">
        <is>
          <t>Config-promoted esports baseline; gates enforced at log time.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model_qualified</t>
        </is>
      </c>
      <c r="AL107" s="26" t="n">
        <v>3</v>
      </c>
      <c r="AM107" s="24" t="inlineStr">
        <is>
          <t>QUALIFIED_SHADOW_CALL</t>
        </is>
      </c>
      <c r="AN107" s="24" t="inlineStr">
        <is>
          <t>CALL</t>
        </is>
      </c>
      <c r="AO107" s="24" t="inlineStr">
        <is>
          <t>QUALIFIED</t>
        </is>
      </c>
      <c r="AP107" s="24" t="inlineStr">
        <is>
          <t>NIP</t>
        </is>
      </c>
      <c r="AQ107" s="24" t="inlineStr">
        <is>
          <t>NIP</t>
        </is>
      </c>
      <c r="AR107" s="24" t="inlineStr">
        <is>
          <t>NIP</t>
        </is>
      </c>
      <c r="AS107" s="24" t="inlineStr">
        <is>
          <t>magic</t>
        </is>
      </c>
      <c r="AT107" s="24" t="inlineStr">
        <is>
          <t>magic</t>
        </is>
      </c>
      <c r="AU107" s="24" t="inlineStr">
        <is>
          <t>magic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e9c327ce15d79aaa8ed5032a6fb86929aaa479e14a8bc9a35686411400dd6b91</t>
        </is>
      </c>
      <c r="BB107" s="24" t="inlineStr">
        <is>
          <t>neutral_elo</t>
        </is>
      </c>
      <c r="BC107" s="24" t="inlineStr">
        <is>
          <t>cs2-tiered-elo-v4</t>
        </is>
      </c>
      <c r="BD107" s="24" t="inlineStr">
        <is>
          <t>e9c327ce15d79aaa8ed5032a6fb86929aaa479e14a8bc9a35686411400dd6b91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cs2-tiered-elo-v4</t>
        </is>
      </c>
      <c r="BH107" s="24" t="inlineStr">
        <is>
          <t>2026-07-26T12:49:49.664310Z</t>
        </is>
      </c>
      <c r="BI107" s="24" t="inlineStr">
        <is>
          <t>["same_event","same_team_same_day","same_league_same_day"]</t>
        </is>
      </c>
      <c r="BJ107" s="25" t="n"/>
      <c r="BK107" s="26" t="n">
        <v>113</v>
      </c>
      <c r="BL107" s="27" t="n">
        <v>2.13</v>
      </c>
      <c r="BM107" s="28" t="n">
        <v>0.469484</v>
      </c>
      <c r="BN107" s="28" t="n"/>
      <c r="BO107" s="28" t="n"/>
      <c r="BP107" s="25" t="n"/>
      <c r="BQ107" s="27" t="n"/>
      <c r="BR107" s="28" t="n"/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</row>
    <row r="108" ht="36" customHeight="1">
      <c r="A108" s="24" t="inlineStr">
        <is>
          <t>dc27f4a4fe824b06</t>
        </is>
      </c>
      <c r="B108" s="24" t="inlineStr">
        <is>
          <t>2026-07-26T12:50:13.208687Z</t>
        </is>
      </c>
      <c r="C108" s="24" t="inlineStr">
        <is>
          <t>2026-07-26T17:00:00Z</t>
        </is>
      </c>
      <c r="D108" s="24" t="inlineStr">
        <is>
          <t>62237</t>
        </is>
      </c>
      <c r="E108" s="24" t="inlineStr">
        <is>
          <t>CS2</t>
        </is>
      </c>
      <c r="F108" s="24" t="inlineStr">
        <is>
          <t>Privateer Gaming</t>
        </is>
      </c>
      <c r="G108" s="24" t="inlineStr">
        <is>
          <t>Honvéd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-163</v>
      </c>
      <c r="M108" s="27" t="n">
        <v>1.613497</v>
      </c>
      <c r="N108" s="28" t="n">
        <v>0.619772</v>
      </c>
      <c r="O108" s="28" t="n">
        <v>0.700097</v>
      </c>
      <c r="P108" s="28" t="n"/>
      <c r="Q108" s="28" t="n">
        <v>0.08032499999999999</v>
      </c>
      <c r="R108" s="26" t="n">
        <v>60</v>
      </c>
      <c r="S108" s="29" t="n">
        <v>2</v>
      </c>
      <c r="T108" s="24" t="inlineStr">
        <is>
          <t>cs2-tiered-elo-v4</t>
        </is>
      </c>
      <c r="U108" s="24" t="inlineStr">
        <is>
          <t>open</t>
        </is>
      </c>
      <c r="V108" s="24" t="n"/>
      <c r="W108" s="26" t="n"/>
      <c r="X108" s="26" t="n"/>
      <c r="Y108" s="25" t="n"/>
      <c r="Z108" s="26" t="n"/>
      <c r="AA108" s="28" t="n"/>
      <c r="AB108" s="28" t="n"/>
      <c r="AC108" s="30" t="n"/>
      <c r="AD108" s="24" t="n"/>
      <c r="AE108" s="31" t="inlineStr">
        <is>
          <t>Neutral Elo baseline; executable ask 0.6200 (market_slug=aec-cs2-hon-pg-2026-07-26).</t>
        </is>
      </c>
      <c r="AF108" s="31" t="inlineStr">
        <is>
          <t>Config-promoted esports baseline; gates enforced at log time.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3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Privateer Gaming</t>
        </is>
      </c>
      <c r="AQ108" s="24" t="inlineStr">
        <is>
          <t>Privateer Gaming</t>
        </is>
      </c>
      <c r="AR108" s="24" t="inlineStr">
        <is>
          <t>Privateer Gaming</t>
        </is>
      </c>
      <c r="AS108" s="24" t="inlineStr">
        <is>
          <t>Honvéd</t>
        </is>
      </c>
      <c r="AT108" s="24" t="inlineStr">
        <is>
          <t>Honvéd</t>
        </is>
      </c>
      <c r="AU108" s="24" t="inlineStr">
        <is>
          <t>Honvéd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e9c327ce15d79aaa8ed5032a6fb86929aaa479e14a8bc9a35686411400dd6b91</t>
        </is>
      </c>
      <c r="BB108" s="24" t="inlineStr">
        <is>
          <t>neutral_elo</t>
        </is>
      </c>
      <c r="BC108" s="24" t="inlineStr">
        <is>
          <t>cs2-tiered-elo-v4</t>
        </is>
      </c>
      <c r="BD108" s="24" t="inlineStr">
        <is>
          <t>e9c327ce15d79aaa8ed5032a6fb86929aaa479e14a8bc9a35686411400dd6b91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cs2-tiered-elo-v4</t>
        </is>
      </c>
      <c r="BH108" s="24" t="inlineStr">
        <is>
          <t>2026-07-26T12:49:51.560831Z</t>
        </is>
      </c>
      <c r="BI108" s="24" t="inlineStr">
        <is>
          <t>["same_event","same_team_same_day","same_league_same_day"]</t>
        </is>
      </c>
      <c r="BJ108" s="25" t="n"/>
      <c r="BK108" s="26" t="n">
        <v>-163</v>
      </c>
      <c r="BL108" s="27" t="n">
        <v>1.613497</v>
      </c>
      <c r="BM108" s="28" t="n">
        <v>0.619772</v>
      </c>
      <c r="BN108" s="28" t="n"/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</row>
    <row r="109" ht="36" customHeight="1">
      <c r="A109" s="24" t="inlineStr">
        <is>
          <t>f495ec3fb35f4b05</t>
        </is>
      </c>
      <c r="B109" s="24" t="inlineStr">
        <is>
          <t>2026-07-26T12:50:13.208687Z</t>
        </is>
      </c>
      <c r="C109" s="24" t="inlineStr">
        <is>
          <t>2026-07-26T17:00:00Z</t>
        </is>
      </c>
      <c r="D109" s="24" t="inlineStr">
        <is>
          <t>61034</t>
        </is>
      </c>
      <c r="E109" s="24" t="inlineStr">
        <is>
          <t>CS2</t>
        </is>
      </c>
      <c r="F109" s="24" t="inlineStr">
        <is>
          <t>Atreides</t>
        </is>
      </c>
      <c r="G109" s="24" t="inlineStr">
        <is>
          <t>Esport Academy Copenhagen</t>
        </is>
      </c>
      <c r="H109" s="24" t="inlineStr">
        <is>
          <t>moneyline</t>
        </is>
      </c>
      <c r="I109" s="24" t="inlineStr">
        <is>
          <t>away</t>
        </is>
      </c>
      <c r="J109" s="25" t="n"/>
      <c r="K109" s="24" t="inlineStr">
        <is>
          <t>polymarket_us</t>
        </is>
      </c>
      <c r="L109" s="26" t="n">
        <v>-138</v>
      </c>
      <c r="M109" s="27" t="n">
        <v>1.724638</v>
      </c>
      <c r="N109" s="28" t="n">
        <v>0.579832</v>
      </c>
      <c r="O109" s="28" t="n">
        <v>0.527474</v>
      </c>
      <c r="P109" s="28" t="n"/>
      <c r="Q109" s="28" t="n">
        <v>-0.052358</v>
      </c>
      <c r="R109" s="26" t="n">
        <v>0</v>
      </c>
      <c r="S109" s="29" t="n">
        <v>0.75</v>
      </c>
      <c r="T109" s="24" t="inlineStr">
        <is>
          <t>cs2-tiered-elo-v4</t>
        </is>
      </c>
      <c r="U109" s="24" t="inlineStr">
        <is>
          <t>open</t>
        </is>
      </c>
      <c r="V109" s="24" t="n"/>
      <c r="W109" s="26" t="n"/>
      <c r="X109" s="26" t="n"/>
      <c r="Y109" s="25" t="n"/>
      <c r="Z109" s="26" t="n"/>
      <c r="AA109" s="28" t="n"/>
      <c r="AB109" s="28" t="n"/>
      <c r="AC109" s="30" t="n"/>
      <c r="AD109" s="24" t="n"/>
      <c r="AE109" s="31" t="inlineStr">
        <is>
          <t>Neutral Elo baseline; executable ask 0.5800 (market_slug=aec-cs2-eac-atr-2026-07-26).</t>
        </is>
      </c>
      <c r="AF109" s="31" t="inlineStr">
        <is>
          <t>Config-promoted esports baseline; gates enforced at log time.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model_qualified</t>
        </is>
      </c>
      <c r="AL109" s="26" t="n">
        <v>3</v>
      </c>
      <c r="AM109" s="24" t="inlineStr">
        <is>
          <t>QUALIFIED_SHADOW_CALL</t>
        </is>
      </c>
      <c r="AN109" s="24" t="inlineStr">
        <is>
          <t>CALL</t>
        </is>
      </c>
      <c r="AO109" s="24" t="inlineStr">
        <is>
          <t>QUALIFIED</t>
        </is>
      </c>
      <c r="AP109" s="24" t="inlineStr">
        <is>
          <t>Atreides</t>
        </is>
      </c>
      <c r="AQ109" s="24" t="inlineStr">
        <is>
          <t>Atreides</t>
        </is>
      </c>
      <c r="AR109" s="24" t="inlineStr">
        <is>
          <t>Atreides</t>
        </is>
      </c>
      <c r="AS109" s="24" t="inlineStr">
        <is>
          <t>Esport Academy Copenhagen</t>
        </is>
      </c>
      <c r="AT109" s="24" t="inlineStr">
        <is>
          <t>Esport Academy Copenhagen</t>
        </is>
      </c>
      <c r="AU109" s="24" t="inlineStr">
        <is>
          <t>Esport Academy Copenhagen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e9c327ce15d79aaa8ed5032a6fb86929aaa479e14a8bc9a35686411400dd6b91</t>
        </is>
      </c>
      <c r="BB109" s="24" t="inlineStr">
        <is>
          <t>neutral_elo</t>
        </is>
      </c>
      <c r="BC109" s="24" t="inlineStr">
        <is>
          <t>cs2-tiered-elo-v4</t>
        </is>
      </c>
      <c r="BD109" s="24" t="inlineStr">
        <is>
          <t>e9c327ce15d79aaa8ed5032a6fb86929aaa479e14a8bc9a35686411400dd6b91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cs2-tiered-elo-v4</t>
        </is>
      </c>
      <c r="BH109" s="24" t="inlineStr">
        <is>
          <t>2026-07-26T12:49:52.386615Z</t>
        </is>
      </c>
      <c r="BI109" s="24" t="inlineStr">
        <is>
          <t>["same_event","same_team_same_day","same_league_same_day"]</t>
        </is>
      </c>
      <c r="BJ109" s="25" t="n"/>
      <c r="BK109" s="26" t="n">
        <v>-138</v>
      </c>
      <c r="BL109" s="27" t="n">
        <v>1.724638</v>
      </c>
      <c r="BM109" s="28" t="n">
        <v>0.579832</v>
      </c>
      <c r="BN109" s="28" t="n"/>
      <c r="BO109" s="28" t="n"/>
      <c r="BP109" s="25" t="n"/>
      <c r="BQ109" s="27" t="n"/>
      <c r="BR109" s="28" t="n"/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</row>
    <row r="110" ht="36" customHeight="1">
      <c r="A110" s="24" t="inlineStr">
        <is>
          <t>5a0a26925c424ed2</t>
        </is>
      </c>
      <c r="B110" s="24" t="inlineStr">
        <is>
          <t>2026-07-26T12:50:13.208687Z</t>
        </is>
      </c>
      <c r="C110" s="24" t="inlineStr">
        <is>
          <t>2026-07-26T17:00:00Z</t>
        </is>
      </c>
      <c r="D110" s="24" t="inlineStr">
        <is>
          <t>61038</t>
        </is>
      </c>
      <c r="E110" s="24" t="inlineStr">
        <is>
          <t>CS2</t>
        </is>
      </c>
      <c r="F110" s="24" t="inlineStr">
        <is>
          <t>Butterfly</t>
        </is>
      </c>
      <c r="G110" s="24" t="inlineStr">
        <is>
          <t>Lavked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108</v>
      </c>
      <c r="M110" s="27" t="n">
        <v>2.08</v>
      </c>
      <c r="N110" s="28" t="n">
        <v>0.480769</v>
      </c>
      <c r="O110" s="28" t="n">
        <v>0.758379</v>
      </c>
      <c r="P110" s="28" t="n"/>
      <c r="Q110" s="28" t="n">
        <v>0.27761</v>
      </c>
      <c r="R110" s="26" t="n">
        <v>100</v>
      </c>
      <c r="S110" s="29" t="n">
        <v>2</v>
      </c>
      <c r="T110" s="24" t="inlineStr">
        <is>
          <t>cs2-tiered-elo-v4</t>
        </is>
      </c>
      <c r="U110" s="24" t="inlineStr">
        <is>
          <t>open</t>
        </is>
      </c>
      <c r="V110" s="24" t="n"/>
      <c r="W110" s="26" t="n"/>
      <c r="X110" s="26" t="n"/>
      <c r="Y110" s="25" t="n"/>
      <c r="Z110" s="26" t="n"/>
      <c r="AA110" s="28" t="n"/>
      <c r="AB110" s="28" t="n"/>
      <c r="AC110" s="30" t="n"/>
      <c r="AD110" s="24" t="n"/>
      <c r="AE110" s="31" t="inlineStr">
        <is>
          <t>Neutral Elo baseline; executable ask 0.4800 (market_slug=aec-cs2-lav-btf-2026-07-26).</t>
        </is>
      </c>
      <c r="AF110" s="31" t="inlineStr">
        <is>
          <t>Config-promoted esports baseline; gates enforced at log time.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3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Butterfly</t>
        </is>
      </c>
      <c r="AQ110" s="24" t="inlineStr">
        <is>
          <t>Butterfly</t>
        </is>
      </c>
      <c r="AR110" s="24" t="inlineStr">
        <is>
          <t>Butterfly</t>
        </is>
      </c>
      <c r="AS110" s="24" t="inlineStr">
        <is>
          <t>Lavked</t>
        </is>
      </c>
      <c r="AT110" s="24" t="inlineStr">
        <is>
          <t>Lavked</t>
        </is>
      </c>
      <c r="AU110" s="24" t="inlineStr">
        <is>
          <t>Lavked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e9c327ce15d79aaa8ed5032a6fb86929aaa479e14a8bc9a35686411400dd6b91</t>
        </is>
      </c>
      <c r="BB110" s="24" t="inlineStr">
        <is>
          <t>neutral_elo</t>
        </is>
      </c>
      <c r="BC110" s="24" t="inlineStr">
        <is>
          <t>cs2-tiered-elo-v4</t>
        </is>
      </c>
      <c r="BD110" s="24" t="inlineStr">
        <is>
          <t>e9c327ce15d79aaa8ed5032a6fb86929aaa479e14a8bc9a35686411400dd6b91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cs2-tiered-elo-v4</t>
        </is>
      </c>
      <c r="BH110" s="24" t="inlineStr">
        <is>
          <t>2026-07-26T12:49:53.215216Z</t>
        </is>
      </c>
      <c r="BI110" s="24" t="inlineStr">
        <is>
          <t>["same_event","same_team_same_day","same_league_same_day"]</t>
        </is>
      </c>
      <c r="BJ110" s="25" t="n"/>
      <c r="BK110" s="26" t="n">
        <v>108</v>
      </c>
      <c r="BL110" s="27" t="n">
        <v>2.08</v>
      </c>
      <c r="BM110" s="28" t="n">
        <v>0.480769</v>
      </c>
      <c r="BN110" s="28" t="n"/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</row>
    <row r="111" ht="36" customHeight="1">
      <c r="A111" s="24" t="inlineStr">
        <is>
          <t>b196e991eecc4227</t>
        </is>
      </c>
      <c r="B111" s="24" t="inlineStr">
        <is>
          <t>2026-07-26T12:50:45.242095Z</t>
        </is>
      </c>
      <c r="C111" s="24" t="inlineStr">
        <is>
          <t>2026-07-26T15:00:00Z</t>
        </is>
      </c>
      <c r="D111" s="24" t="inlineStr">
        <is>
          <t>60136</t>
        </is>
      </c>
      <c r="E111" s="24" t="inlineStr">
        <is>
          <t>VALORANT</t>
        </is>
      </c>
      <c r="F111" s="24" t="inlineStr">
        <is>
          <t>Natus Vincere</t>
        </is>
      </c>
      <c r="G111" s="24" t="inlineStr">
        <is>
          <t>BBL Esports</t>
        </is>
      </c>
      <c r="H111" s="24" t="inlineStr">
        <is>
          <t>moneyline</t>
        </is>
      </c>
      <c r="I111" s="24" t="inlineStr">
        <is>
          <t>away</t>
        </is>
      </c>
      <c r="J111" s="25" t="n"/>
      <c r="K111" s="24" t="inlineStr">
        <is>
          <t>polymarket_us</t>
        </is>
      </c>
      <c r="L111" s="26" t="n">
        <v>156</v>
      </c>
      <c r="M111" s="27" t="n">
        <v>2.56</v>
      </c>
      <c r="N111" s="28" t="n">
        <v>0.390625</v>
      </c>
      <c r="O111" s="28" t="n">
        <v>0.7726229999999999</v>
      </c>
      <c r="P111" s="28" t="n"/>
      <c r="Q111" s="28" t="n">
        <v>0.381998</v>
      </c>
      <c r="R111" s="26" t="n">
        <v>100</v>
      </c>
      <c r="S111" s="29" t="n">
        <v>2</v>
      </c>
      <c r="T111" s="24" t="inlineStr">
        <is>
          <t>valorant-tiered-elo-v4</t>
        </is>
      </c>
      <c r="U111" s="24" t="inlineStr">
        <is>
          <t>settled</t>
        </is>
      </c>
      <c r="V111" s="24" t="inlineStr">
        <is>
          <t>loss</t>
        </is>
      </c>
      <c r="W111" s="26" t="n">
        <v>0</v>
      </c>
      <c r="X111" s="26" t="n">
        <v>1</v>
      </c>
      <c r="Y111" s="25" t="n"/>
      <c r="Z111" s="26" t="n"/>
      <c r="AA111" s="28" t="n"/>
      <c r="AB111" s="28" t="n"/>
      <c r="AC111" s="30" t="n">
        <v>-2</v>
      </c>
      <c r="AD111" s="24" t="inlineStr">
        <is>
          <t>2026-07-26T17:52:53.960881Z</t>
        </is>
      </c>
      <c r="AE111" s="31" t="inlineStr">
        <is>
          <t>Neutral Elo baseline; executable ask 0.3900 (market_slug=aec-valorant-bbl-navi-2026-07-26).</t>
        </is>
      </c>
      <c r="AF111" s="31" t="inlineStr">
        <is>
          <t>Config-promoted esports baseline; gates enforced at log time.</t>
        </is>
      </c>
      <c r="AG111" s="24" t="inlineStr">
        <is>
          <t>review_required</t>
        </is>
      </c>
      <c r="AH111" s="24" t="n"/>
      <c r="AI111" s="31" t="n"/>
      <c r="AJ111" s="31" t="n"/>
      <c r="AK111" s="24" t="inlineStr">
        <is>
          <t>model_qualified</t>
        </is>
      </c>
      <c r="AL111" s="26" t="n">
        <v>3</v>
      </c>
      <c r="AM111" s="24" t="inlineStr">
        <is>
          <t>QUALIFIED_SHADOW_CALL</t>
        </is>
      </c>
      <c r="AN111" s="24" t="inlineStr">
        <is>
          <t>CALL</t>
        </is>
      </c>
      <c r="AO111" s="24" t="inlineStr">
        <is>
          <t>QUALIFIED</t>
        </is>
      </c>
      <c r="AP111" s="24" t="inlineStr">
        <is>
          <t>Natus Vincere</t>
        </is>
      </c>
      <c r="AQ111" s="24" t="inlineStr">
        <is>
          <t>Natus Vincere</t>
        </is>
      </c>
      <c r="AR111" s="24" t="inlineStr">
        <is>
          <t>Natus Vincere</t>
        </is>
      </c>
      <c r="AS111" s="24" t="inlineStr">
        <is>
          <t>BBL Esports</t>
        </is>
      </c>
      <c r="AT111" s="24" t="inlineStr">
        <is>
          <t>BBL Esports</t>
        </is>
      </c>
      <c r="AU111" s="24" t="inlineStr">
        <is>
          <t>BBL Esports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153b0db03af0303675f7eb2520b56d0fd86008f1bb62095f9881ea43a0124bb2</t>
        </is>
      </c>
      <c r="BB111" s="24" t="inlineStr">
        <is>
          <t>neutral_elo</t>
        </is>
      </c>
      <c r="BC111" s="24" t="inlineStr">
        <is>
          <t>valorant-tiered-elo-v4</t>
        </is>
      </c>
      <c r="BD111" s="24" t="inlineStr">
        <is>
          <t>153b0db03af0303675f7eb2520b56d0fd86008f1bb62095f9881ea43a0124bb2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valorant-tiered-elo-v4</t>
        </is>
      </c>
      <c r="BH111" s="24" t="inlineStr">
        <is>
          <t>2026-07-26T12:50:32.723645Z</t>
        </is>
      </c>
      <c r="BI111" s="24" t="inlineStr">
        <is>
          <t>["same_event","same_team_same_day","same_league_same_day"]</t>
        </is>
      </c>
      <c r="BJ111" s="25" t="n"/>
      <c r="BK111" s="26" t="n">
        <v>156</v>
      </c>
      <c r="BL111" s="27" t="n">
        <v>2.56</v>
      </c>
      <c r="BM111" s="28" t="n">
        <v>0.390625</v>
      </c>
      <c r="BN111" s="28" t="n"/>
      <c r="BO111" s="28" t="n"/>
      <c r="BP111" s="25" t="n"/>
      <c r="BQ111" s="27" t="n"/>
      <c r="BR111" s="28" t="n"/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</row>
    <row r="112" ht="36" customHeight="1">
      <c r="A112" s="24" t="inlineStr">
        <is>
          <t>a02cf80a68614277</t>
        </is>
      </c>
      <c r="B112" s="24" t="inlineStr">
        <is>
          <t>2026-07-26T17:57:12.724550Z</t>
        </is>
      </c>
      <c r="C112" s="24" t="inlineStr">
        <is>
          <t>2026-07-26T18:15:00Z</t>
        </is>
      </c>
      <c r="D112" s="24" t="inlineStr">
        <is>
          <t>61472</t>
        </is>
      </c>
      <c r="E112" s="24" t="inlineStr">
        <is>
          <t>CS2</t>
        </is>
      </c>
      <c r="F112" s="24" t="inlineStr">
        <is>
          <t>mellren</t>
        </is>
      </c>
      <c r="G112" s="24" t="inlineStr">
        <is>
          <t>A Great Chaos</t>
        </is>
      </c>
      <c r="H112" s="24" t="inlineStr">
        <is>
          <t>moneyline</t>
        </is>
      </c>
      <c r="I112" s="24" t="inlineStr">
        <is>
          <t>away</t>
        </is>
      </c>
      <c r="J112" s="25" t="n"/>
      <c r="K112" s="24" t="inlineStr">
        <is>
          <t>polymarket_us</t>
        </is>
      </c>
      <c r="L112" s="26" t="n">
        <v>-194</v>
      </c>
      <c r="M112" s="27" t="n">
        <v>1.515464</v>
      </c>
      <c r="N112" s="28" t="n">
        <v>0.659864</v>
      </c>
      <c r="O112" s="28" t="n">
        <v>0.703286</v>
      </c>
      <c r="P112" s="28" t="n"/>
      <c r="Q112" s="28" t="n">
        <v>0.043422</v>
      </c>
      <c r="R112" s="26" t="n">
        <v>42</v>
      </c>
      <c r="S112" s="29" t="n">
        <v>0</v>
      </c>
      <c r="T112" s="24" t="inlineStr">
        <is>
          <t>cs2-tiered-elo-v4</t>
        </is>
      </c>
      <c r="U112" s="24" t="inlineStr">
        <is>
          <t>open</t>
        </is>
      </c>
      <c r="V112" s="24" t="n"/>
      <c r="W112" s="26" t="n"/>
      <c r="X112" s="26" t="n"/>
      <c r="Y112" s="25" t="n"/>
      <c r="Z112" s="26" t="n"/>
      <c r="AA112" s="28" t="n"/>
      <c r="AB112" s="28" t="n"/>
      <c r="AC112" s="30" t="n"/>
      <c r="AD112" s="24" t="n"/>
      <c r="AE112" s="31" t="inlineStr">
        <is>
          <t>Neutral Elo baseline; executable ask 0.6600 (market_slug=aec-cs2-agc-mel-2026-07-26).</t>
        </is>
      </c>
      <c r="AF112" s="31" t="inlineStr">
        <is>
          <t>Config-promoted esports baseline; gates enforced at log time.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research_observation</t>
        </is>
      </c>
      <c r="AL112" s="26" t="n">
        <v>3</v>
      </c>
      <c r="AM112" s="24" t="inlineStr">
        <is>
          <t>RESEARCH_OBSERVATION</t>
        </is>
      </c>
      <c r="AN112" s="24" t="inlineStr">
        <is>
          <t>NO_CALL</t>
        </is>
      </c>
      <c r="AO112" s="24" t="inlineStr">
        <is>
          <t>NO_CALL_LOW_EDGE</t>
        </is>
      </c>
      <c r="AP112" s="24" t="inlineStr">
        <is>
          <t>mellren</t>
        </is>
      </c>
      <c r="AQ112" s="24" t="inlineStr">
        <is>
          <t>mellren</t>
        </is>
      </c>
      <c r="AR112" s="24" t="inlineStr">
        <is>
          <t>mellren</t>
        </is>
      </c>
      <c r="AS112" s="24" t="inlineStr">
        <is>
          <t>A Great Chaos</t>
        </is>
      </c>
      <c r="AT112" s="24" t="inlineStr">
        <is>
          <t>A Great Chaos</t>
        </is>
      </c>
      <c r="AU112" s="24" t="inlineStr">
        <is>
          <t>A Great Chaos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e9c327ce15d79aaa8ed5032a6fb86929aaa479e14a8bc9a35686411400dd6b91</t>
        </is>
      </c>
      <c r="BB112" s="24" t="inlineStr">
        <is>
          <t>neutral_elo</t>
        </is>
      </c>
      <c r="BC112" s="24" t="inlineStr">
        <is>
          <t>cs2-tiered-elo-v4</t>
        </is>
      </c>
      <c r="BD112" s="24" t="inlineStr">
        <is>
          <t>e9c327ce15d79aaa8ed5032a6fb86929aaa479e14a8bc9a35686411400dd6b91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cs2-tiered-elo-v4</t>
        </is>
      </c>
      <c r="BH112" s="24" t="inlineStr">
        <is>
          <t>2026-07-26T17:57:02.105740Z</t>
        </is>
      </c>
      <c r="BI112" s="24" t="inlineStr">
        <is>
          <t>["same_event","same_team_same_day","same_league_same_day"]</t>
        </is>
      </c>
      <c r="BJ112" s="25" t="n"/>
      <c r="BK112" s="26" t="n">
        <v>-194</v>
      </c>
      <c r="BL112" s="27" t="n">
        <v>1.515464</v>
      </c>
      <c r="BM112" s="28" t="n">
        <v>0.659864</v>
      </c>
      <c r="BN112" s="28" t="n"/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</row>
    <row r="113" ht="36" customHeight="1">
      <c r="A113" s="24" t="inlineStr">
        <is>
          <t>8a2105f8fa1d40f6</t>
        </is>
      </c>
      <c r="B113" s="24" t="inlineStr">
        <is>
          <t>2026-07-26T17:57:20.796477Z</t>
        </is>
      </c>
      <c r="C113" s="24" t="inlineStr">
        <is>
          <t>2026-07-26T18:00:00Z</t>
        </is>
      </c>
      <c r="D113" s="24" t="inlineStr">
        <is>
          <t>62509</t>
        </is>
      </c>
      <c r="E113" s="24" t="inlineStr">
        <is>
          <t>DOTA2</t>
        </is>
      </c>
      <c r="F113" s="24" t="inlineStr">
        <is>
          <t>Team Syntax</t>
        </is>
      </c>
      <c r="G113" s="24" t="inlineStr">
        <is>
          <t>Team Jenz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-178</v>
      </c>
      <c r="M113" s="27" t="n">
        <v>1.561798</v>
      </c>
      <c r="N113" s="28" t="n">
        <v>0.640288</v>
      </c>
      <c r="O113" s="28" t="n">
        <v>0.521452</v>
      </c>
      <c r="P113" s="28" t="n"/>
      <c r="Q113" s="28" t="n">
        <v>-0.118836</v>
      </c>
      <c r="R113" s="26" t="n">
        <v>0</v>
      </c>
      <c r="S113" s="29" t="n">
        <v>0</v>
      </c>
      <c r="T113" s="24" t="inlineStr">
        <is>
          <t>dota2-tiered-elo-v4</t>
        </is>
      </c>
      <c r="U113" s="24" t="inlineStr">
        <is>
          <t>open</t>
        </is>
      </c>
      <c r="V113" s="24" t="n"/>
      <c r="W113" s="26" t="n"/>
      <c r="X113" s="26" t="n"/>
      <c r="Y113" s="25" t="n"/>
      <c r="Z113" s="26" t="n"/>
      <c r="AA113" s="28" t="n"/>
      <c r="AB113" s="28" t="n"/>
      <c r="AC113" s="30" t="n"/>
      <c r="AD113" s="24" t="n"/>
      <c r="AE113" s="31" t="inlineStr">
        <is>
          <t>Neutral Elo baseline; executable ask 0.6400 (market_slug=aec-dota2-tje-stx-2026-07-26).</t>
        </is>
      </c>
      <c r="AF113" s="31" t="inlineStr">
        <is>
          <t>Config-promoted esports baseline; gates enforced at log time.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research_observation</t>
        </is>
      </c>
      <c r="AL113" s="26" t="n">
        <v>3</v>
      </c>
      <c r="AM113" s="24" t="inlineStr">
        <is>
          <t>RESEARCH_OBSERVATION</t>
        </is>
      </c>
      <c r="AN113" s="24" t="inlineStr">
        <is>
          <t>NO_CALL</t>
        </is>
      </c>
      <c r="AO113" s="24" t="inlineStr">
        <is>
          <t>NO_CALL_MODEL_UNVALIDATED</t>
        </is>
      </c>
      <c r="AP113" s="24" t="inlineStr">
        <is>
          <t>Team Syntax</t>
        </is>
      </c>
      <c r="AQ113" s="24" t="inlineStr">
        <is>
          <t>Team Syntax</t>
        </is>
      </c>
      <c r="AR113" s="24" t="inlineStr">
        <is>
          <t>Team Syntax</t>
        </is>
      </c>
      <c r="AS113" s="24" t="inlineStr">
        <is>
          <t>Team Jenz</t>
        </is>
      </c>
      <c r="AT113" s="24" t="inlineStr">
        <is>
          <t>Team Jenz</t>
        </is>
      </c>
      <c r="AU113" s="24" t="inlineStr">
        <is>
          <t>Team Jenz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d08d23d003cdc05b1cc5be7d2e52d9f477153e66ad3c7ec5e0f446618fcfe82f</t>
        </is>
      </c>
      <c r="BB113" s="24" t="inlineStr">
        <is>
          <t>neutral_elo</t>
        </is>
      </c>
      <c r="BC113" s="24" t="inlineStr">
        <is>
          <t>dota2-tiered-elo-v4</t>
        </is>
      </c>
      <c r="BD113" s="24" t="inlineStr">
        <is>
          <t>d08d23d003cdc05b1cc5be7d2e52d9f477153e66ad3c7ec5e0f446618fcfe82f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dota2-tiered-elo-v4</t>
        </is>
      </c>
      <c r="BH113" s="24" t="inlineStr">
        <is>
          <t>2026-07-26T17:57:18.639736Z</t>
        </is>
      </c>
      <c r="BI113" s="24" t="inlineStr">
        <is>
          <t>["same_event","same_team_same_day","same_league_same_day"]</t>
        </is>
      </c>
      <c r="BJ113" s="25" t="n"/>
      <c r="BK113" s="26" t="n">
        <v>-178</v>
      </c>
      <c r="BL113" s="27" t="n">
        <v>1.561798</v>
      </c>
      <c r="BM113" s="28" t="n">
        <v>0.640288</v>
      </c>
      <c r="BN113" s="28" t="n"/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</row>
    <row r="114" ht="36" customHeight="1">
      <c r="A114" s="24" t="inlineStr">
        <is>
          <t>ed9f7eff1e3e4d89</t>
        </is>
      </c>
      <c r="B114" s="24" t="inlineStr">
        <is>
          <t>2026-07-26T17:57:31.397830Z</t>
        </is>
      </c>
      <c r="C114" s="24" t="inlineStr">
        <is>
          <t>2026-07-26T18:00:00Z</t>
        </is>
      </c>
      <c r="D114" s="24" t="inlineStr">
        <is>
          <t>60215</t>
        </is>
      </c>
      <c r="E114" s="24" t="inlineStr">
        <is>
          <t>VALORANT</t>
        </is>
      </c>
      <c r="F114" s="24" t="inlineStr">
        <is>
          <t>Karmine Corp</t>
        </is>
      </c>
      <c r="G114" s="24" t="inlineStr">
        <is>
          <t>Team Heretics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-122</v>
      </c>
      <c r="M114" s="27" t="n">
        <v>1.819672</v>
      </c>
      <c r="N114" s="28" t="n">
        <v>0.54955</v>
      </c>
      <c r="O114" s="28" t="n">
        <v>0.5200050000000001</v>
      </c>
      <c r="P114" s="28" t="n"/>
      <c r="Q114" s="28" t="n">
        <v>-0.029545</v>
      </c>
      <c r="R114" s="26" t="n">
        <v>5</v>
      </c>
      <c r="S114" s="29" t="n">
        <v>0</v>
      </c>
      <c r="T114" s="24" t="inlineStr">
        <is>
          <t>valorant-tiered-elo-v4</t>
        </is>
      </c>
      <c r="U114" s="24" t="inlineStr">
        <is>
          <t>open</t>
        </is>
      </c>
      <c r="V114" s="24" t="n"/>
      <c r="W114" s="26" t="n"/>
      <c r="X114" s="26" t="n"/>
      <c r="Y114" s="25" t="n"/>
      <c r="Z114" s="26" t="n"/>
      <c r="AA114" s="28" t="n"/>
      <c r="AB114" s="28" t="n"/>
      <c r="AC114" s="30" t="n"/>
      <c r="AD114" s="24" t="n"/>
      <c r="AE114" s="31" t="inlineStr">
        <is>
          <t>Neutral Elo baseline; executable ask 0.5500 (market_slug=aec-valorant-th-kc-2026-07-26).</t>
        </is>
      </c>
      <c r="AF114" s="31" t="inlineStr">
        <is>
          <t>Config-promoted esports baseline; gates enforced at log time.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research_observation</t>
        </is>
      </c>
      <c r="AL114" s="26" t="n">
        <v>3</v>
      </c>
      <c r="AM114" s="24" t="inlineStr">
        <is>
          <t>RESEARCH_OBSERVATION</t>
        </is>
      </c>
      <c r="AN114" s="24" t="inlineStr">
        <is>
          <t>NO_CALL</t>
        </is>
      </c>
      <c r="AO114" s="24" t="inlineStr">
        <is>
          <t>NO_CALL_MODEL_UNVALIDATED</t>
        </is>
      </c>
      <c r="AP114" s="24" t="inlineStr">
        <is>
          <t>Karmine Corp</t>
        </is>
      </c>
      <c r="AQ114" s="24" t="inlineStr">
        <is>
          <t>Karmine Corp</t>
        </is>
      </c>
      <c r="AR114" s="24" t="inlineStr">
        <is>
          <t>Karmine Corp</t>
        </is>
      </c>
      <c r="AS114" s="24" t="inlineStr">
        <is>
          <t>Team Heretics</t>
        </is>
      </c>
      <c r="AT114" s="24" t="inlineStr">
        <is>
          <t>Team Heretics</t>
        </is>
      </c>
      <c r="AU114" s="24" t="inlineStr">
        <is>
          <t>Team Heretics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153b0db03af0303675f7eb2520b56d0fd86008f1bb62095f9881ea43a0124bb2</t>
        </is>
      </c>
      <c r="BB114" s="24" t="inlineStr">
        <is>
          <t>neutral_elo</t>
        </is>
      </c>
      <c r="BC114" s="24" t="inlineStr">
        <is>
          <t>valorant-tiered-elo-v4</t>
        </is>
      </c>
      <c r="BD114" s="24" t="inlineStr">
        <is>
          <t>153b0db03af0303675f7eb2520b56d0fd86008f1bb62095f9881ea43a0124bb2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valorant-tiered-elo-v4</t>
        </is>
      </c>
      <c r="BH114" s="24" t="inlineStr">
        <is>
          <t>2026-07-26T17:57:23.163200Z</t>
        </is>
      </c>
      <c r="BI114" s="24" t="inlineStr">
        <is>
          <t>["same_event","same_team_same_day","same_league_same_day"]</t>
        </is>
      </c>
      <c r="BJ114" s="25" t="n"/>
      <c r="BK114" s="26" t="n">
        <v>-122</v>
      </c>
      <c r="BL114" s="27" t="n">
        <v>1.819672</v>
      </c>
      <c r="BM114" s="28" t="n">
        <v>0.54955</v>
      </c>
      <c r="BN114" s="28" t="n"/>
      <c r="BO114" s="28" t="n"/>
      <c r="BP114" s="25" t="n"/>
      <c r="BQ114" s="27" t="n"/>
      <c r="BR114" s="28" t="n"/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</row>
    <row r="115" ht="36" customHeight="1">
      <c r="A115" s="24" t="inlineStr">
        <is>
          <t>4a906a023c9a4cac</t>
        </is>
      </c>
      <c r="B115" s="24" t="inlineStr">
        <is>
          <t>2026-07-26T18:56:52.812325Z</t>
        </is>
      </c>
      <c r="C115" s="24" t="inlineStr">
        <is>
          <t>2026-07-26T20:00:00Z</t>
        </is>
      </c>
      <c r="D115" s="24" t="inlineStr">
        <is>
          <t>60465</t>
        </is>
      </c>
      <c r="E115" s="24" t="inlineStr">
        <is>
          <t>LOL</t>
        </is>
      </c>
      <c r="F115" s="24" t="inlineStr">
        <is>
          <t>Cloud9</t>
        </is>
      </c>
      <c r="G115" s="24" t="inlineStr">
        <is>
          <t>Team Liquid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-144</v>
      </c>
      <c r="M115" s="27" t="n">
        <v>1.694444</v>
      </c>
      <c r="N115" s="28" t="n">
        <v>0.590164</v>
      </c>
      <c r="O115" s="28" t="n">
        <v>0.723066</v>
      </c>
      <c r="P115" s="28" t="n"/>
      <c r="Q115" s="28" t="n">
        <v>0.132902</v>
      </c>
      <c r="R115" s="26" t="n">
        <v>86</v>
      </c>
      <c r="S115" s="29" t="n">
        <v>2</v>
      </c>
      <c r="T115" s="24" t="inlineStr">
        <is>
          <t>lol-tiered-elo-v4</t>
        </is>
      </c>
      <c r="U115" s="24" t="inlineStr">
        <is>
          <t>open</t>
        </is>
      </c>
      <c r="V115" s="24" t="n"/>
      <c r="W115" s="26" t="n"/>
      <c r="X115" s="26" t="n"/>
      <c r="Y115" s="25" t="n"/>
      <c r="Z115" s="26" t="n"/>
      <c r="AA115" s="28" t="n"/>
      <c r="AB115" s="28" t="n"/>
      <c r="AC115" s="30" t="n"/>
      <c r="AD115" s="24" t="n"/>
      <c r="AE115" s="31" t="inlineStr">
        <is>
          <t>Neutral Elo baseline; executable ask 0.5900 (market_slug=aec-lol-tl-c9-2026-07-26).</t>
        </is>
      </c>
      <c r="AF115" s="31" t="inlineStr">
        <is>
          <t>Config-promoted esports baseline; gates enforced at log time.</t>
        </is>
      </c>
      <c r="AG115" s="24" t="inlineStr">
        <is>
          <t>not_applicable</t>
        </is>
      </c>
      <c r="AH115" s="24" t="n"/>
      <c r="AI115" s="31" t="n"/>
      <c r="AJ115" s="31" t="n"/>
      <c r="AK115" s="24" t="inlineStr">
        <is>
          <t>model_qualified</t>
        </is>
      </c>
      <c r="AL115" s="26" t="n">
        <v>3</v>
      </c>
      <c r="AM115" s="24" t="inlineStr">
        <is>
          <t>QUALIFIED_SHADOW_CALL</t>
        </is>
      </c>
      <c r="AN115" s="24" t="inlineStr">
        <is>
          <t>CALL</t>
        </is>
      </c>
      <c r="AO115" s="24" t="inlineStr">
        <is>
          <t>QUALIFIED</t>
        </is>
      </c>
      <c r="AP115" s="24" t="inlineStr">
        <is>
          <t>Cloud9</t>
        </is>
      </c>
      <c r="AQ115" s="24" t="inlineStr">
        <is>
          <t>Cloud9</t>
        </is>
      </c>
      <c r="AR115" s="24" t="inlineStr">
        <is>
          <t>Cloud9</t>
        </is>
      </c>
      <c r="AS115" s="24" t="inlineStr">
        <is>
          <t>Team Liquid</t>
        </is>
      </c>
      <c r="AT115" s="24" t="inlineStr">
        <is>
          <t>Team Liquid</t>
        </is>
      </c>
      <c r="AU115" s="24" t="inlineStr">
        <is>
          <t>Team Liquid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35087e828a0053011a97024de693e2ee7eb80eb03024c91d28d254de09d93778</t>
        </is>
      </c>
      <c r="BB115" s="24" t="inlineStr">
        <is>
          <t>neutral_elo</t>
        </is>
      </c>
      <c r="BC115" s="24" t="inlineStr">
        <is>
          <t>lol-tiered-elo-v4</t>
        </is>
      </c>
      <c r="BD115" s="24" t="inlineStr">
        <is>
          <t>35087e828a0053011a97024de693e2ee7eb80eb03024c91d28d254de09d93778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lol-tiered-elo-v4</t>
        </is>
      </c>
      <c r="BH115" s="24" t="inlineStr">
        <is>
          <t>2026-07-26T18:56:41.529652Z</t>
        </is>
      </c>
      <c r="BI115" s="24" t="inlineStr">
        <is>
          <t>["same_event","same_team_same_day","same_league_same_day"]</t>
        </is>
      </c>
      <c r="BJ115" s="25" t="n"/>
      <c r="BK115" s="26" t="n">
        <v>-144</v>
      </c>
      <c r="BL115" s="27" t="n">
        <v>1.694444</v>
      </c>
      <c r="BM115" s="28" t="n">
        <v>0.590164</v>
      </c>
      <c r="BN115" s="28" t="n"/>
      <c r="BO115" s="28" t="n"/>
      <c r="BP115" s="25" t="n"/>
      <c r="BQ115" s="27" t="n"/>
      <c r="BR115" s="28" t="n"/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</row>
    <row r="116" ht="36" customHeight="1">
      <c r="A116" s="24" t="inlineStr">
        <is>
          <t>739eaff88d944e05</t>
        </is>
      </c>
      <c r="B116" s="24" t="inlineStr">
        <is>
          <t>2026-07-26T18:56:52.812325Z</t>
        </is>
      </c>
      <c r="C116" s="24" t="inlineStr">
        <is>
          <t>2026-07-26T23:00:00Z</t>
        </is>
      </c>
      <c r="D116" s="24" t="inlineStr">
        <is>
          <t>60600</t>
        </is>
      </c>
      <c r="E116" s="24" t="inlineStr">
        <is>
          <t>LOL</t>
        </is>
      </c>
      <c r="F116" s="24" t="inlineStr">
        <is>
          <t>Disguised</t>
        </is>
      </c>
      <c r="G116" s="24" t="inlineStr">
        <is>
          <t>Shopify Rebellion</t>
        </is>
      </c>
      <c r="H116" s="24" t="inlineStr">
        <is>
          <t>moneyline</t>
        </is>
      </c>
      <c r="I116" s="24" t="inlineStr">
        <is>
          <t>home</t>
        </is>
      </c>
      <c r="J116" s="25" t="n"/>
      <c r="K116" s="24" t="inlineStr">
        <is>
          <t>polymarket_us</t>
        </is>
      </c>
      <c r="L116" s="26" t="n">
        <v>-133</v>
      </c>
      <c r="M116" s="27" t="n">
        <v>1.75188</v>
      </c>
      <c r="N116" s="28" t="n">
        <v>0.570815</v>
      </c>
      <c r="O116" s="28" t="n">
        <v>0.543543</v>
      </c>
      <c r="P116" s="28" t="n"/>
      <c r="Q116" s="28" t="n">
        <v>-0.027272</v>
      </c>
      <c r="R116" s="26" t="n">
        <v>6</v>
      </c>
      <c r="S116" s="29" t="n">
        <v>0</v>
      </c>
      <c r="T116" s="24" t="inlineStr">
        <is>
          <t>lol-tiered-elo-v4</t>
        </is>
      </c>
      <c r="U116" s="24" t="inlineStr">
        <is>
          <t>open</t>
        </is>
      </c>
      <c r="V116" s="24" t="n"/>
      <c r="W116" s="26" t="n"/>
      <c r="X116" s="26" t="n"/>
      <c r="Y116" s="25" t="n"/>
      <c r="Z116" s="26" t="n"/>
      <c r="AA116" s="28" t="n"/>
      <c r="AB116" s="28" t="n"/>
      <c r="AC116" s="30" t="n"/>
      <c r="AD116" s="24" t="n"/>
      <c r="AE116" s="31" t="inlineStr">
        <is>
          <t>Neutral Elo baseline; executable ask 0.5700 (market_slug=aec-lol-sr-dsg-2026-07-26).</t>
        </is>
      </c>
      <c r="AF116" s="31" t="inlineStr">
        <is>
          <t>Config-promoted esports baseline; gates enforced at log time.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research_observation</t>
        </is>
      </c>
      <c r="AL116" s="26" t="n">
        <v>3</v>
      </c>
      <c r="AM116" s="24" t="inlineStr">
        <is>
          <t>RESEARCH_OBSERVATION</t>
        </is>
      </c>
      <c r="AN116" s="24" t="inlineStr">
        <is>
          <t>NO_CALL</t>
        </is>
      </c>
      <c r="AO116" s="24" t="inlineStr">
        <is>
          <t>NO_CALL_LOW_EDGE</t>
        </is>
      </c>
      <c r="AP116" s="24" t="inlineStr">
        <is>
          <t>Disguised</t>
        </is>
      </c>
      <c r="AQ116" s="24" t="inlineStr">
        <is>
          <t>Disguised</t>
        </is>
      </c>
      <c r="AR116" s="24" t="inlineStr">
        <is>
          <t>Disguised</t>
        </is>
      </c>
      <c r="AS116" s="24" t="inlineStr">
        <is>
          <t>Shopify Rebellion</t>
        </is>
      </c>
      <c r="AT116" s="24" t="inlineStr">
        <is>
          <t>Shopify Rebellion</t>
        </is>
      </c>
      <c r="AU116" s="24" t="inlineStr">
        <is>
          <t>Shopify Rebellion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35087e828a0053011a97024de693e2ee7eb80eb03024c91d28d254de09d93778</t>
        </is>
      </c>
      <c r="BB116" s="24" t="inlineStr">
        <is>
          <t>neutral_elo</t>
        </is>
      </c>
      <c r="BC116" s="24" t="inlineStr">
        <is>
          <t>lol-tiered-elo-v4</t>
        </is>
      </c>
      <c r="BD116" s="24" t="inlineStr">
        <is>
          <t>35087e828a0053011a97024de693e2ee7eb80eb03024c91d28d254de09d93778</t>
        </is>
      </c>
      <c r="BE116" s="24" t="inlineStr">
        <is>
          <t>1</t>
        </is>
      </c>
      <c r="BF116" s="24" t="inlineStr">
        <is>
          <t>1</t>
        </is>
      </c>
      <c r="BG116" s="24" t="inlineStr">
        <is>
          <t>lol-tiered-elo-v4</t>
        </is>
      </c>
      <c r="BH116" s="24" t="inlineStr">
        <is>
          <t>2026-07-26T18:56:42.015923Z</t>
        </is>
      </c>
      <c r="BI116" s="24" t="inlineStr">
        <is>
          <t>["same_event","same_team_same_day","same_league_same_day"]</t>
        </is>
      </c>
      <c r="BJ116" s="25" t="n"/>
      <c r="BK116" s="26" t="n">
        <v>-133</v>
      </c>
      <c r="BL116" s="27" t="n">
        <v>1.75188</v>
      </c>
      <c r="BM116" s="28" t="n">
        <v>0.570815</v>
      </c>
      <c r="BN116" s="28" t="n"/>
      <c r="BO116" s="28" t="n"/>
      <c r="BP116" s="25" t="n"/>
      <c r="BQ116" s="27" t="n"/>
      <c r="BR116" s="28" t="n"/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</row>
    <row r="117" ht="36" customHeight="1">
      <c r="A117" s="24" t="inlineStr">
        <is>
          <t>40deb93b608f45f7</t>
        </is>
      </c>
      <c r="B117" s="24" t="inlineStr">
        <is>
          <t>2026-07-26T18:56:52.812325Z</t>
        </is>
      </c>
      <c r="C117" s="24" t="inlineStr">
        <is>
          <t>2026-07-27T06:00:00Z</t>
        </is>
      </c>
      <c r="D117" s="24" t="inlineStr">
        <is>
          <t>60701</t>
        </is>
      </c>
      <c r="E117" s="24" t="inlineStr">
        <is>
          <t>LOL</t>
        </is>
      </c>
      <c r="F117" s="24" t="inlineStr">
        <is>
          <t>Gen.G</t>
        </is>
      </c>
      <c r="G117" s="24" t="inlineStr">
        <is>
          <t>BNK FEARX</t>
        </is>
      </c>
      <c r="H117" s="24" t="inlineStr">
        <is>
          <t>moneyline</t>
        </is>
      </c>
      <c r="I117" s="24" t="inlineStr">
        <is>
          <t>away</t>
        </is>
      </c>
      <c r="J117" s="25" t="n"/>
      <c r="K117" s="24" t="inlineStr">
        <is>
          <t>polymarket_us</t>
        </is>
      </c>
      <c r="L117" s="26" t="n">
        <v>-113</v>
      </c>
      <c r="M117" s="27" t="n">
        <v>1.884956</v>
      </c>
      <c r="N117" s="28" t="n">
        <v>0.530516</v>
      </c>
      <c r="O117" s="28" t="n">
        <v>0.811601</v>
      </c>
      <c r="P117" s="28" t="n"/>
      <c r="Q117" s="28" t="n">
        <v>0.281085</v>
      </c>
      <c r="R117" s="26" t="n">
        <v>100</v>
      </c>
      <c r="S117" s="29" t="n">
        <v>2</v>
      </c>
      <c r="T117" s="24" t="inlineStr">
        <is>
          <t>lol-tiered-elo-v4</t>
        </is>
      </c>
      <c r="U117" s="24" t="inlineStr">
        <is>
          <t>open</t>
        </is>
      </c>
      <c r="V117" s="24" t="n"/>
      <c r="W117" s="26" t="n"/>
      <c r="X117" s="26" t="n"/>
      <c r="Y117" s="25" t="n"/>
      <c r="Z117" s="26" t="n"/>
      <c r="AA117" s="28" t="n"/>
      <c r="AB117" s="28" t="n"/>
      <c r="AC117" s="30" t="n"/>
      <c r="AD117" s="24" t="n"/>
      <c r="AE117" s="31" t="inlineStr">
        <is>
          <t>Neutral Elo baseline; executable ask 0.5300 (market_slug=aec-lol-bfx-gen-2026-07-27).</t>
        </is>
      </c>
      <c r="AF117" s="31" t="inlineStr">
        <is>
          <t>Config-promoted esports baseline; gates enforced at log time.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model_qualified</t>
        </is>
      </c>
      <c r="AL117" s="26" t="n">
        <v>3</v>
      </c>
      <c r="AM117" s="24" t="inlineStr">
        <is>
          <t>QUALIFIED_SHADOW_CALL</t>
        </is>
      </c>
      <c r="AN117" s="24" t="inlineStr">
        <is>
          <t>CALL</t>
        </is>
      </c>
      <c r="AO117" s="24" t="inlineStr">
        <is>
          <t>QUALIFIED</t>
        </is>
      </c>
      <c r="AP117" s="24" t="inlineStr">
        <is>
          <t>Gen.G</t>
        </is>
      </c>
      <c r="AQ117" s="24" t="inlineStr">
        <is>
          <t>Gen.G</t>
        </is>
      </c>
      <c r="AR117" s="24" t="inlineStr">
        <is>
          <t>Gen.G</t>
        </is>
      </c>
      <c r="AS117" s="24" t="inlineStr">
        <is>
          <t>BNK FEARX</t>
        </is>
      </c>
      <c r="AT117" s="24" t="inlineStr">
        <is>
          <t>BNK FEARX</t>
        </is>
      </c>
      <c r="AU117" s="24" t="inlineStr">
        <is>
          <t>BNK FEARX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35087e828a0053011a97024de693e2ee7eb80eb03024c91d28d254de09d93778</t>
        </is>
      </c>
      <c r="BB117" s="24" t="inlineStr">
        <is>
          <t>neutral_elo</t>
        </is>
      </c>
      <c r="BC117" s="24" t="inlineStr">
        <is>
          <t>lol-tiered-elo-v4</t>
        </is>
      </c>
      <c r="BD117" s="24" t="inlineStr">
        <is>
          <t>35087e828a0053011a97024de693e2ee7eb80eb03024c91d28d254de09d93778</t>
        </is>
      </c>
      <c r="BE117" s="24" t="inlineStr">
        <is>
          <t>1</t>
        </is>
      </c>
      <c r="BF117" s="24" t="inlineStr">
        <is>
          <t>1</t>
        </is>
      </c>
      <c r="BG117" s="24" t="inlineStr">
        <is>
          <t>lol-tiered-elo-v4</t>
        </is>
      </c>
      <c r="BH117" s="24" t="inlineStr">
        <is>
          <t>2026-07-26T18:56:42.619386Z</t>
        </is>
      </c>
      <c r="BI117" s="24" t="inlineStr">
        <is>
          <t>["same_event","same_team_same_day","same_league_same_day"]</t>
        </is>
      </c>
      <c r="BJ117" s="25" t="n"/>
      <c r="BK117" s="26" t="n">
        <v>-113</v>
      </c>
      <c r="BL117" s="27" t="n">
        <v>1.884956</v>
      </c>
      <c r="BM117" s="28" t="n">
        <v>0.530516</v>
      </c>
      <c r="BN117" s="28" t="n"/>
      <c r="BO117" s="28" t="n"/>
      <c r="BP117" s="25" t="n"/>
      <c r="BQ117" s="27" t="n"/>
      <c r="BR117" s="28" t="n"/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</row>
    <row r="118" ht="36" customHeight="1">
      <c r="A118" s="24" t="inlineStr">
        <is>
          <t>243b171c90de416d</t>
        </is>
      </c>
      <c r="B118" s="24" t="inlineStr">
        <is>
          <t>2026-07-26T18:56:52.812325Z</t>
        </is>
      </c>
      <c r="C118" s="24" t="inlineStr">
        <is>
          <t>2026-07-27T06:45:00Z</t>
        </is>
      </c>
      <c r="D118" s="24" t="inlineStr">
        <is>
          <t>60706</t>
        </is>
      </c>
      <c r="E118" s="24" t="inlineStr">
        <is>
          <t>LOL</t>
        </is>
      </c>
      <c r="F118" s="24" t="inlineStr">
        <is>
          <t>Hanwha Life Esports</t>
        </is>
      </c>
      <c r="G118" s="24" t="inlineStr">
        <is>
          <t>Dplus KIA</t>
        </is>
      </c>
      <c r="H118" s="24" t="inlineStr">
        <is>
          <t>moneyline</t>
        </is>
      </c>
      <c r="I118" s="24" t="inlineStr">
        <is>
          <t>away</t>
        </is>
      </c>
      <c r="J118" s="25" t="n"/>
      <c r="K118" s="24" t="inlineStr">
        <is>
          <t>polymarket_us</t>
        </is>
      </c>
      <c r="L118" s="26" t="n">
        <v>-170</v>
      </c>
      <c r="M118" s="27" t="n">
        <v>1.588235</v>
      </c>
      <c r="N118" s="28" t="n">
        <v>0.62963</v>
      </c>
      <c r="O118" s="28" t="n">
        <v>0.608349</v>
      </c>
      <c r="P118" s="28" t="n"/>
      <c r="Q118" s="28" t="n">
        <v>-0.021281</v>
      </c>
      <c r="R118" s="26" t="n">
        <v>9</v>
      </c>
      <c r="S118" s="29" t="n">
        <v>0</v>
      </c>
      <c r="T118" s="24" t="inlineStr">
        <is>
          <t>lol-tiered-elo-v4</t>
        </is>
      </c>
      <c r="U118" s="24" t="inlineStr">
        <is>
          <t>open</t>
        </is>
      </c>
      <c r="V118" s="24" t="n"/>
      <c r="W118" s="26" t="n"/>
      <c r="X118" s="26" t="n"/>
      <c r="Y118" s="25" t="n"/>
      <c r="Z118" s="26" t="n"/>
      <c r="AA118" s="28" t="n"/>
      <c r="AB118" s="28" t="n"/>
      <c r="AC118" s="30" t="n"/>
      <c r="AD118" s="24" t="n"/>
      <c r="AE118" s="31" t="inlineStr">
        <is>
          <t>Neutral Elo baseline; executable ask 0.6300 (market_slug=aec-lol-dk-hle-2026-07-27).</t>
        </is>
      </c>
      <c r="AF118" s="31" t="inlineStr">
        <is>
          <t>Config-promoted esports baseline; gates enforced at log time.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research_observation</t>
        </is>
      </c>
      <c r="AL118" s="26" t="n">
        <v>3</v>
      </c>
      <c r="AM118" s="24" t="inlineStr">
        <is>
          <t>RESEARCH_OBSERVATION</t>
        </is>
      </c>
      <c r="AN118" s="24" t="inlineStr">
        <is>
          <t>NO_CALL</t>
        </is>
      </c>
      <c r="AO118" s="24" t="inlineStr">
        <is>
          <t>NO_CALL_LOW_EDGE</t>
        </is>
      </c>
      <c r="AP118" s="24" t="inlineStr">
        <is>
          <t>Hanwha Life Esports</t>
        </is>
      </c>
      <c r="AQ118" s="24" t="inlineStr">
        <is>
          <t>Hanwha Life Esports</t>
        </is>
      </c>
      <c r="AR118" s="24" t="inlineStr">
        <is>
          <t>Hanwha Life Esports</t>
        </is>
      </c>
      <c r="AS118" s="24" t="inlineStr">
        <is>
          <t>Dplus KIA</t>
        </is>
      </c>
      <c r="AT118" s="24" t="inlineStr">
        <is>
          <t>Dplus KIA</t>
        </is>
      </c>
      <c r="AU118" s="24" t="inlineStr">
        <is>
          <t>Dplus KIA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35087e828a0053011a97024de693e2ee7eb80eb03024c91d28d254de09d93778</t>
        </is>
      </c>
      <c r="BB118" s="24" t="inlineStr">
        <is>
          <t>neutral_elo</t>
        </is>
      </c>
      <c r="BC118" s="24" t="inlineStr">
        <is>
          <t>lol-tiered-elo-v4</t>
        </is>
      </c>
      <c r="BD118" s="24" t="inlineStr">
        <is>
          <t>35087e828a0053011a97024de693e2ee7eb80eb03024c91d28d254de09d93778</t>
        </is>
      </c>
      <c r="BE118" s="24" t="inlineStr">
        <is>
          <t>1</t>
        </is>
      </c>
      <c r="BF118" s="24" t="inlineStr">
        <is>
          <t>1</t>
        </is>
      </c>
      <c r="BG118" s="24" t="inlineStr">
        <is>
          <t>lol-tiered-elo-v4</t>
        </is>
      </c>
      <c r="BH118" s="24" t="inlineStr">
        <is>
          <t>2026-07-26T18:56:43.159253Z</t>
        </is>
      </c>
      <c r="BI118" s="24" t="inlineStr">
        <is>
          <t>["same_event","same_team_same_day","same_league_same_day"]</t>
        </is>
      </c>
      <c r="BJ118" s="25" t="n"/>
      <c r="BK118" s="26" t="n">
        <v>-170</v>
      </c>
      <c r="BL118" s="27" t="n">
        <v>1.588235</v>
      </c>
      <c r="BM118" s="28" t="n">
        <v>0.62963</v>
      </c>
      <c r="BN118" s="28" t="n"/>
      <c r="BO118" s="28" t="n"/>
      <c r="BP118" s="25" t="n"/>
      <c r="BQ118" s="27" t="n"/>
      <c r="BR118" s="28" t="n"/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</row>
    <row r="119" ht="36" customHeight="1">
      <c r="A119" s="24" t="inlineStr">
        <is>
          <t>313619de20294383</t>
        </is>
      </c>
      <c r="B119" s="24" t="inlineStr">
        <is>
          <t>2026-07-26T18:56:52.812325Z</t>
        </is>
      </c>
      <c r="C119" s="24" t="inlineStr">
        <is>
          <t>2026-07-27T07:30:00Z</t>
        </is>
      </c>
      <c r="D119" s="24" t="inlineStr">
        <is>
          <t>60707</t>
        </is>
      </c>
      <c r="E119" s="24" t="inlineStr">
        <is>
          <t>LOL</t>
        </is>
      </c>
      <c r="F119" s="24" t="inlineStr">
        <is>
          <t>Gen.G</t>
        </is>
      </c>
      <c r="G119" s="24" t="inlineStr">
        <is>
          <t>KT Rolster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122</v>
      </c>
      <c r="M119" s="27" t="n">
        <v>2.22</v>
      </c>
      <c r="N119" s="28" t="n">
        <v>0.45045</v>
      </c>
      <c r="O119" s="28" t="n">
        <v>0.7097250000000001</v>
      </c>
      <c r="P119" s="28" t="n"/>
      <c r="Q119" s="28" t="n">
        <v>0.259275</v>
      </c>
      <c r="R119" s="26" t="n">
        <v>100</v>
      </c>
      <c r="S119" s="29" t="n">
        <v>2</v>
      </c>
      <c r="T119" s="24" t="inlineStr">
        <is>
          <t>lol-tiered-elo-v4</t>
        </is>
      </c>
      <c r="U119" s="24" t="inlineStr">
        <is>
          <t>open</t>
        </is>
      </c>
      <c r="V119" s="24" t="n"/>
      <c r="W119" s="26" t="n"/>
      <c r="X119" s="26" t="n"/>
      <c r="Y119" s="25" t="n"/>
      <c r="Z119" s="26" t="n"/>
      <c r="AA119" s="28" t="n"/>
      <c r="AB119" s="28" t="n"/>
      <c r="AC119" s="30" t="n"/>
      <c r="AD119" s="24" t="n"/>
      <c r="AE119" s="31" t="inlineStr">
        <is>
          <t>Neutral Elo baseline; executable ask 0.4500 (market_slug=aec-lol-kt-gen-2026-07-27).</t>
        </is>
      </c>
      <c r="AF119" s="31" t="inlineStr">
        <is>
          <t>Config-promoted esports baseline; gates enforced at log time.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model_qualified</t>
        </is>
      </c>
      <c r="AL119" s="26" t="n">
        <v>3</v>
      </c>
      <c r="AM119" s="24" t="inlineStr">
        <is>
          <t>QUALIFIED_SHADOW_CALL</t>
        </is>
      </c>
      <c r="AN119" s="24" t="inlineStr">
        <is>
          <t>CALL</t>
        </is>
      </c>
      <c r="AO119" s="24" t="inlineStr">
        <is>
          <t>QUALIFIED</t>
        </is>
      </c>
      <c r="AP119" s="24" t="inlineStr">
        <is>
          <t>Gen.G</t>
        </is>
      </c>
      <c r="AQ119" s="24" t="inlineStr">
        <is>
          <t>Gen.G</t>
        </is>
      </c>
      <c r="AR119" s="24" t="inlineStr">
        <is>
          <t>Gen.G</t>
        </is>
      </c>
      <c r="AS119" s="24" t="inlineStr">
        <is>
          <t>KT Rolster</t>
        </is>
      </c>
      <c r="AT119" s="24" t="inlineStr">
        <is>
          <t>KT Rolster</t>
        </is>
      </c>
      <c r="AU119" s="24" t="inlineStr">
        <is>
          <t>KT Rolster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35087e828a0053011a97024de693e2ee7eb80eb03024c91d28d254de09d93778</t>
        </is>
      </c>
      <c r="BB119" s="24" t="inlineStr">
        <is>
          <t>neutral_elo</t>
        </is>
      </c>
      <c r="BC119" s="24" t="inlineStr">
        <is>
          <t>lol-tiered-elo-v4</t>
        </is>
      </c>
      <c r="BD119" s="24" t="inlineStr">
        <is>
          <t>35087e828a0053011a97024de693e2ee7eb80eb03024c91d28d254de09d93778</t>
        </is>
      </c>
      <c r="BE119" s="24" t="inlineStr">
        <is>
          <t>1</t>
        </is>
      </c>
      <c r="BF119" s="24" t="inlineStr">
        <is>
          <t>1</t>
        </is>
      </c>
      <c r="BG119" s="24" t="inlineStr">
        <is>
          <t>lol-tiered-elo-v4</t>
        </is>
      </c>
      <c r="BH119" s="24" t="inlineStr">
        <is>
          <t>2026-07-26T18:56:43.667289Z</t>
        </is>
      </c>
      <c r="BI119" s="24" t="inlineStr">
        <is>
          <t>["same_event","same_team_same_day","same_league_same_day"]</t>
        </is>
      </c>
      <c r="BJ119" s="25" t="n"/>
      <c r="BK119" s="26" t="n">
        <v>122</v>
      </c>
      <c r="BL119" s="27" t="n">
        <v>2.22</v>
      </c>
      <c r="BM119" s="28" t="n">
        <v>0.45045</v>
      </c>
      <c r="BN119" s="28" t="n"/>
      <c r="BO119" s="28" t="n"/>
      <c r="BP119" s="25" t="n"/>
      <c r="BQ119" s="27" t="n"/>
      <c r="BR119" s="28" t="n"/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</row>
    <row r="120" ht="36" customHeight="1">
      <c r="A120" s="24" t="inlineStr">
        <is>
          <t>450fa6520bc84291</t>
        </is>
      </c>
      <c r="B120" s="24" t="inlineStr">
        <is>
          <t>2026-07-26T18:56:52.812325Z</t>
        </is>
      </c>
      <c r="C120" s="24" t="inlineStr">
        <is>
          <t>2026-07-27T08:00:00Z</t>
        </is>
      </c>
      <c r="D120" s="24" t="inlineStr">
        <is>
          <t>60708</t>
        </is>
      </c>
      <c r="E120" s="24" t="inlineStr">
        <is>
          <t>LOL</t>
        </is>
      </c>
      <c r="F120" s="24" t="inlineStr">
        <is>
          <t>Nongshim Esports Academy</t>
        </is>
      </c>
      <c r="G120" s="24" t="inlineStr">
        <is>
          <t>T1 Academy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-178</v>
      </c>
      <c r="M120" s="27" t="n">
        <v>1.561798</v>
      </c>
      <c r="N120" s="28" t="n">
        <v>0.640288</v>
      </c>
      <c r="O120" s="28" t="n">
        <v>0.6818</v>
      </c>
      <c r="P120" s="28" t="n"/>
      <c r="Q120" s="28" t="n">
        <v>0.041512</v>
      </c>
      <c r="R120" s="26" t="n">
        <v>41</v>
      </c>
      <c r="S120" s="29" t="n">
        <v>2</v>
      </c>
      <c r="T120" s="24" t="inlineStr">
        <is>
          <t>lol-tiered-elo-v4</t>
        </is>
      </c>
      <c r="U120" s="24" t="inlineStr">
        <is>
          <t>open</t>
        </is>
      </c>
      <c r="V120" s="24" t="n"/>
      <c r="W120" s="26" t="n"/>
      <c r="X120" s="26" t="n"/>
      <c r="Y120" s="25" t="n"/>
      <c r="Z120" s="26" t="n"/>
      <c r="AA120" s="28" t="n"/>
      <c r="AB120" s="28" t="n"/>
      <c r="AC120" s="30" t="n"/>
      <c r="AD120" s="24" t="n"/>
      <c r="AE120" s="31" t="inlineStr">
        <is>
          <t>Neutral Elo baseline; executable ask 0.6400 (market_slug=aec-lol-t1a-nsea-2026-07-27).</t>
        </is>
      </c>
      <c r="AF120" s="31" t="inlineStr">
        <is>
          <t>Config-promoted esports baseline; gates enforced at log time.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3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Nongshim Esports Academy</t>
        </is>
      </c>
      <c r="AQ120" s="24" t="inlineStr">
        <is>
          <t>Nongshim Esports Academy</t>
        </is>
      </c>
      <c r="AR120" s="24" t="inlineStr">
        <is>
          <t>Nongshim Esports Academy</t>
        </is>
      </c>
      <c r="AS120" s="24" t="inlineStr">
        <is>
          <t>T1 Academy</t>
        </is>
      </c>
      <c r="AT120" s="24" t="inlineStr">
        <is>
          <t>T1 Academy</t>
        </is>
      </c>
      <c r="AU120" s="24" t="inlineStr">
        <is>
          <t>T1 Academy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35087e828a0053011a97024de693e2ee7eb80eb03024c91d28d254de09d93778</t>
        </is>
      </c>
      <c r="BB120" s="24" t="inlineStr">
        <is>
          <t>neutral_elo</t>
        </is>
      </c>
      <c r="BC120" s="24" t="inlineStr">
        <is>
          <t>lol-tiered-elo-v4</t>
        </is>
      </c>
      <c r="BD120" s="24" t="inlineStr">
        <is>
          <t>35087e828a0053011a97024de693e2ee7eb80eb03024c91d28d254de09d93778</t>
        </is>
      </c>
      <c r="BE120" s="24" t="inlineStr">
        <is>
          <t>1</t>
        </is>
      </c>
      <c r="BF120" s="24" t="inlineStr">
        <is>
          <t>1</t>
        </is>
      </c>
      <c r="BG120" s="24" t="inlineStr">
        <is>
          <t>lol-tiered-elo-v4</t>
        </is>
      </c>
      <c r="BH120" s="24" t="inlineStr">
        <is>
          <t>2026-07-26T18:56:44.162944Z</t>
        </is>
      </c>
      <c r="BI120" s="24" t="inlineStr">
        <is>
          <t>["same_event","same_team_same_day","same_league_same_day"]</t>
        </is>
      </c>
      <c r="BJ120" s="25" t="n"/>
      <c r="BK120" s="26" t="n">
        <v>-178</v>
      </c>
      <c r="BL120" s="27" t="n">
        <v>1.561798</v>
      </c>
      <c r="BM120" s="28" t="n">
        <v>0.640288</v>
      </c>
      <c r="BN120" s="28" t="n"/>
      <c r="BO120" s="28" t="n"/>
      <c r="BP120" s="25" t="n"/>
      <c r="BQ120" s="27" t="n"/>
      <c r="BR120" s="28" t="n"/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</row>
    <row r="121" ht="36" customHeight="1">
      <c r="A121" s="24" t="inlineStr">
        <is>
          <t>4bbf18b6d1474520</t>
        </is>
      </c>
      <c r="B121" s="24" t="inlineStr">
        <is>
          <t>2026-07-26T18:56:52.812325Z</t>
        </is>
      </c>
      <c r="C121" s="24" t="inlineStr">
        <is>
          <t>2026-07-27T08:15:00Z</t>
        </is>
      </c>
      <c r="D121" s="24" t="inlineStr">
        <is>
          <t>60713</t>
        </is>
      </c>
      <c r="E121" s="24" t="inlineStr">
        <is>
          <t>LOL</t>
        </is>
      </c>
      <c r="F121" s="24" t="inlineStr">
        <is>
          <t>T1</t>
        </is>
      </c>
      <c r="G121" s="24" t="inlineStr">
        <is>
          <t>Dplus KIA</t>
        </is>
      </c>
      <c r="H121" s="24" t="inlineStr">
        <is>
          <t>moneyline</t>
        </is>
      </c>
      <c r="I121" s="24" t="inlineStr">
        <is>
          <t>away</t>
        </is>
      </c>
      <c r="J121" s="25" t="n"/>
      <c r="K121" s="24" t="inlineStr">
        <is>
          <t>polymarket_us</t>
        </is>
      </c>
      <c r="L121" s="26" t="n">
        <v>-203</v>
      </c>
      <c r="M121" s="27" t="n">
        <v>1.492611</v>
      </c>
      <c r="N121" s="28" t="n">
        <v>0.669967</v>
      </c>
      <c r="O121" s="28" t="n">
        <v>0.506725</v>
      </c>
      <c r="P121" s="28" t="n"/>
      <c r="Q121" s="28" t="n">
        <v>-0.163242</v>
      </c>
      <c r="R121" s="26" t="n">
        <v>0</v>
      </c>
      <c r="S121" s="29" t="n">
        <v>0</v>
      </c>
      <c r="T121" s="24" t="inlineStr">
        <is>
          <t>lol-tiered-elo-v4</t>
        </is>
      </c>
      <c r="U121" s="24" t="inlineStr">
        <is>
          <t>open</t>
        </is>
      </c>
      <c r="V121" s="24" t="n"/>
      <c r="W121" s="26" t="n"/>
      <c r="X121" s="26" t="n"/>
      <c r="Y121" s="25" t="n"/>
      <c r="Z121" s="26" t="n"/>
      <c r="AA121" s="28" t="n"/>
      <c r="AB121" s="28" t="n"/>
      <c r="AC121" s="30" t="n"/>
      <c r="AD121" s="24" t="n"/>
      <c r="AE121" s="31" t="inlineStr">
        <is>
          <t>Neutral Elo baseline; executable ask 0.6700 (market_slug=aec-lol-dk-t1-2026-07-27).</t>
        </is>
      </c>
      <c r="AF121" s="31" t="inlineStr">
        <is>
          <t>Config-promoted esports baseline; gates enforced at log time.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research_observation</t>
        </is>
      </c>
      <c r="AL121" s="26" t="n">
        <v>3</v>
      </c>
      <c r="AM121" s="24" t="inlineStr">
        <is>
          <t>RESEARCH_OBSERVATION</t>
        </is>
      </c>
      <c r="AN121" s="24" t="inlineStr">
        <is>
          <t>NO_CALL</t>
        </is>
      </c>
      <c r="AO121" s="24" t="inlineStr">
        <is>
          <t>NO_CALL_LOW_EDGE</t>
        </is>
      </c>
      <c r="AP121" s="24" t="inlineStr">
        <is>
          <t>T1</t>
        </is>
      </c>
      <c r="AQ121" s="24" t="inlineStr">
        <is>
          <t>T1</t>
        </is>
      </c>
      <c r="AR121" s="24" t="inlineStr">
        <is>
          <t>T1</t>
        </is>
      </c>
      <c r="AS121" s="24" t="inlineStr">
        <is>
          <t>Dplus KIA</t>
        </is>
      </c>
      <c r="AT121" s="24" t="inlineStr">
        <is>
          <t>Dplus KIA</t>
        </is>
      </c>
      <c r="AU121" s="24" t="inlineStr">
        <is>
          <t>Dplus KIA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35087e828a0053011a97024de693e2ee7eb80eb03024c91d28d254de09d93778</t>
        </is>
      </c>
      <c r="BB121" s="24" t="inlineStr">
        <is>
          <t>neutral_elo</t>
        </is>
      </c>
      <c r="BC121" s="24" t="inlineStr">
        <is>
          <t>lol-tiered-elo-v4</t>
        </is>
      </c>
      <c r="BD121" s="24" t="inlineStr">
        <is>
          <t>35087e828a0053011a97024de693e2ee7eb80eb03024c91d28d254de09d93778</t>
        </is>
      </c>
      <c r="BE121" s="24" t="inlineStr">
        <is>
          <t>1</t>
        </is>
      </c>
      <c r="BF121" s="24" t="inlineStr">
        <is>
          <t>1</t>
        </is>
      </c>
      <c r="BG121" s="24" t="inlineStr">
        <is>
          <t>lol-tiered-elo-v4</t>
        </is>
      </c>
      <c r="BH121" s="24" t="inlineStr">
        <is>
          <t>2026-07-26T18:56:44.658481Z</t>
        </is>
      </c>
      <c r="BI121" s="24" t="inlineStr">
        <is>
          <t>["same_event","same_team_same_day","same_league_same_day"]</t>
        </is>
      </c>
      <c r="BJ121" s="25" t="n"/>
      <c r="BK121" s="26" t="n">
        <v>-203</v>
      </c>
      <c r="BL121" s="27" t="n">
        <v>1.492611</v>
      </c>
      <c r="BM121" s="28" t="n">
        <v>0.669967</v>
      </c>
      <c r="BN121" s="28" t="n"/>
      <c r="BO121" s="28" t="n"/>
      <c r="BP121" s="25" t="n"/>
      <c r="BQ121" s="27" t="n"/>
      <c r="BR121" s="28" t="n"/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</row>
    <row r="122" ht="36" customHeight="1">
      <c r="A122" s="24" t="inlineStr">
        <is>
          <t>c4accc5ee0d74369</t>
        </is>
      </c>
      <c r="B122" s="24" t="inlineStr">
        <is>
          <t>2026-07-26T18:56:52.812325Z</t>
        </is>
      </c>
      <c r="C122" s="24" t="inlineStr">
        <is>
          <t>2026-07-27T09:00:00Z</t>
        </is>
      </c>
      <c r="D122" s="24" t="inlineStr">
        <is>
          <t>60716</t>
        </is>
      </c>
      <c r="E122" s="24" t="inlineStr">
        <is>
          <t>LOL</t>
        </is>
      </c>
      <c r="F122" s="24" t="inlineStr">
        <is>
          <t>Kiwoom DRX</t>
        </is>
      </c>
      <c r="G122" s="24" t="inlineStr">
        <is>
          <t>Hanwha Life Esports</t>
        </is>
      </c>
      <c r="H122" s="24" t="inlineStr">
        <is>
          <t>moneyline</t>
        </is>
      </c>
      <c r="I122" s="24" t="inlineStr">
        <is>
          <t>home</t>
        </is>
      </c>
      <c r="J122" s="25" t="n"/>
      <c r="K122" s="24" t="inlineStr">
        <is>
          <t>polymarket_us</t>
        </is>
      </c>
      <c r="L122" s="26" t="n">
        <v>108</v>
      </c>
      <c r="M122" s="27" t="n">
        <v>2.08</v>
      </c>
      <c r="N122" s="28" t="n">
        <v>0.480769</v>
      </c>
      <c r="O122" s="28" t="n">
        <v>0.912307</v>
      </c>
      <c r="P122" s="28" t="n"/>
      <c r="Q122" s="28" t="n">
        <v>0.431538</v>
      </c>
      <c r="R122" s="26" t="n">
        <v>100</v>
      </c>
      <c r="S122" s="29" t="n">
        <v>2</v>
      </c>
      <c r="T122" s="24" t="inlineStr">
        <is>
          <t>lol-tiered-elo-v4</t>
        </is>
      </c>
      <c r="U122" s="24" t="inlineStr">
        <is>
          <t>open</t>
        </is>
      </c>
      <c r="V122" s="24" t="n"/>
      <c r="W122" s="26" t="n"/>
      <c r="X122" s="26" t="n"/>
      <c r="Y122" s="25" t="n"/>
      <c r="Z122" s="26" t="n"/>
      <c r="AA122" s="28" t="n"/>
      <c r="AB122" s="28" t="n"/>
      <c r="AC122" s="30" t="n"/>
      <c r="AD122" s="24" t="n"/>
      <c r="AE122" s="31" t="inlineStr">
        <is>
          <t>Neutral Elo baseline; executable ask 0.4800 (market_slug=aec-lol-hle-krx-2026-07-27).</t>
        </is>
      </c>
      <c r="AF122" s="31" t="inlineStr">
        <is>
          <t>Config-promoted esports baseline; gates enforced at log time.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3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Kiwoom DRX</t>
        </is>
      </c>
      <c r="AQ122" s="24" t="inlineStr">
        <is>
          <t>Kiwoom DRX</t>
        </is>
      </c>
      <c r="AR122" s="24" t="inlineStr">
        <is>
          <t>Kiwoom DRX</t>
        </is>
      </c>
      <c r="AS122" s="24" t="inlineStr">
        <is>
          <t>Hanwha Life Esports</t>
        </is>
      </c>
      <c r="AT122" s="24" t="inlineStr">
        <is>
          <t>Hanwha Life Esports</t>
        </is>
      </c>
      <c r="AU122" s="24" t="inlineStr">
        <is>
          <t>Hanwha Life Esports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35087e828a0053011a97024de693e2ee7eb80eb03024c91d28d254de09d93778</t>
        </is>
      </c>
      <c r="BB122" s="24" t="inlineStr">
        <is>
          <t>neutral_elo</t>
        </is>
      </c>
      <c r="BC122" s="24" t="inlineStr">
        <is>
          <t>lol-tiered-elo-v4</t>
        </is>
      </c>
      <c r="BD122" s="24" t="inlineStr">
        <is>
          <t>35087e828a0053011a97024de693e2ee7eb80eb03024c91d28d254de09d93778</t>
        </is>
      </c>
      <c r="BE122" s="24" t="inlineStr">
        <is>
          <t>1</t>
        </is>
      </c>
      <c r="BF122" s="24" t="inlineStr">
        <is>
          <t>1</t>
        </is>
      </c>
      <c r="BG122" s="24" t="inlineStr">
        <is>
          <t>lol-tiered-elo-v4</t>
        </is>
      </c>
      <c r="BH122" s="24" t="inlineStr">
        <is>
          <t>2026-07-26T18:56:45.162134Z</t>
        </is>
      </c>
      <c r="BI122" s="24" t="inlineStr">
        <is>
          <t>["same_event","same_team_same_day","same_league_same_day"]</t>
        </is>
      </c>
      <c r="BJ122" s="25" t="n"/>
      <c r="BK122" s="26" t="n">
        <v>108</v>
      </c>
      <c r="BL122" s="27" t="n">
        <v>2.08</v>
      </c>
      <c r="BM122" s="28" t="n">
        <v>0.480769</v>
      </c>
      <c r="BN122" s="28" t="n"/>
      <c r="BO122" s="28" t="n"/>
      <c r="BP122" s="25" t="n"/>
      <c r="BQ122" s="27" t="n"/>
      <c r="BR122" s="28" t="n"/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</row>
    <row r="123" ht="36" customHeight="1">
      <c r="A123" s="24" t="inlineStr">
        <is>
          <t>3a9efad3a6a54212</t>
        </is>
      </c>
      <c r="B123" s="24" t="inlineStr">
        <is>
          <t>2026-07-26T18:56:52.812325Z</t>
        </is>
      </c>
      <c r="C123" s="24" t="inlineStr">
        <is>
          <t>2026-07-27T09:45:00Z</t>
        </is>
      </c>
      <c r="D123" s="24" t="inlineStr">
        <is>
          <t>60723</t>
        </is>
      </c>
      <c r="E123" s="24" t="inlineStr">
        <is>
          <t>LOL</t>
        </is>
      </c>
      <c r="F123" s="24" t="inlineStr">
        <is>
          <t>Nongshim Red Force</t>
        </is>
      </c>
      <c r="G123" s="24" t="inlineStr">
        <is>
          <t>T1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-203</v>
      </c>
      <c r="M123" s="27" t="n">
        <v>1.492611</v>
      </c>
      <c r="N123" s="28" t="n">
        <v>0.669967</v>
      </c>
      <c r="O123" s="28" t="n">
        <v>0.865659</v>
      </c>
      <c r="P123" s="28" t="n"/>
      <c r="Q123" s="28" t="n">
        <v>0.195692</v>
      </c>
      <c r="R123" s="26" t="n">
        <v>100</v>
      </c>
      <c r="S123" s="29" t="n">
        <v>2</v>
      </c>
      <c r="T123" s="24" t="inlineStr">
        <is>
          <t>lol-tiered-elo-v4</t>
        </is>
      </c>
      <c r="U123" s="24" t="inlineStr">
        <is>
          <t>open</t>
        </is>
      </c>
      <c r="V123" s="24" t="n"/>
      <c r="W123" s="26" t="n"/>
      <c r="X123" s="26" t="n"/>
      <c r="Y123" s="25" t="n"/>
      <c r="Z123" s="26" t="n"/>
      <c r="AA123" s="28" t="n"/>
      <c r="AB123" s="28" t="n"/>
      <c r="AC123" s="30" t="n"/>
      <c r="AD123" s="24" t="n"/>
      <c r="AE123" s="31" t="inlineStr">
        <is>
          <t>Neutral Elo baseline; executable ask 0.6700 (market_slug=aec-lol-t1-ns-2026-07-27).</t>
        </is>
      </c>
      <c r="AF123" s="31" t="inlineStr">
        <is>
          <t>Config-promoted esports baseline; gates enforced at log time.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3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Nongshim Red Force</t>
        </is>
      </c>
      <c r="AQ123" s="24" t="inlineStr">
        <is>
          <t>Nongshim Red Force</t>
        </is>
      </c>
      <c r="AR123" s="24" t="inlineStr">
        <is>
          <t>Nongshim Red Force</t>
        </is>
      </c>
      <c r="AS123" s="24" t="inlineStr">
        <is>
          <t>T1</t>
        </is>
      </c>
      <c r="AT123" s="24" t="inlineStr">
        <is>
          <t>T1</t>
        </is>
      </c>
      <c r="AU123" s="24" t="inlineStr">
        <is>
          <t>T1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35087e828a0053011a97024de693e2ee7eb80eb03024c91d28d254de09d93778</t>
        </is>
      </c>
      <c r="BB123" s="24" t="inlineStr">
        <is>
          <t>neutral_elo</t>
        </is>
      </c>
      <c r="BC123" s="24" t="inlineStr">
        <is>
          <t>lol-tiered-elo-v4</t>
        </is>
      </c>
      <c r="BD123" s="24" t="inlineStr">
        <is>
          <t>35087e828a0053011a97024de693e2ee7eb80eb03024c91d28d254de09d93778</t>
        </is>
      </c>
      <c r="BE123" s="24" t="inlineStr">
        <is>
          <t>1</t>
        </is>
      </c>
      <c r="BF123" s="24" t="inlineStr">
        <is>
          <t>1</t>
        </is>
      </c>
      <c r="BG123" s="24" t="inlineStr">
        <is>
          <t>lol-tiered-elo-v4</t>
        </is>
      </c>
      <c r="BH123" s="24" t="inlineStr">
        <is>
          <t>2026-07-26T18:56:45.715120Z</t>
        </is>
      </c>
      <c r="BI123" s="24" t="inlineStr">
        <is>
          <t>["same_event","same_team_same_day","same_league_same_day"]</t>
        </is>
      </c>
      <c r="BJ123" s="25" t="n"/>
      <c r="BK123" s="26" t="n">
        <v>-203</v>
      </c>
      <c r="BL123" s="27" t="n">
        <v>1.492611</v>
      </c>
      <c r="BM123" s="28" t="n">
        <v>0.669967</v>
      </c>
      <c r="BN123" s="28" t="n"/>
      <c r="BO123" s="28" t="n"/>
      <c r="BP123" s="25" t="n"/>
      <c r="BQ123" s="27" t="n"/>
      <c r="BR123" s="28" t="n"/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</row>
    <row r="124" ht="36" customHeight="1">
      <c r="A124" s="24" t="inlineStr">
        <is>
          <t>48cc1c5b86574a7f</t>
        </is>
      </c>
      <c r="B124" s="24" t="inlineStr">
        <is>
          <t>2026-07-26T18:56:52.812325Z</t>
        </is>
      </c>
      <c r="C124" s="24" t="inlineStr">
        <is>
          <t>2026-07-27T10:00:00Z</t>
        </is>
      </c>
      <c r="D124" s="24" t="inlineStr">
        <is>
          <t>60724</t>
        </is>
      </c>
      <c r="E124" s="24" t="inlineStr">
        <is>
          <t>LOL</t>
        </is>
      </c>
      <c r="F124" s="24" t="inlineStr">
        <is>
          <t>BNK FearX Youth</t>
        </is>
      </c>
      <c r="G124" s="24" t="inlineStr">
        <is>
          <t>Gen.G Global Academy</t>
        </is>
      </c>
      <c r="H124" s="24" t="inlineStr">
        <is>
          <t>moneyline</t>
        </is>
      </c>
      <c r="I124" s="24" t="inlineStr">
        <is>
          <t>away</t>
        </is>
      </c>
      <c r="J124" s="25" t="n"/>
      <c r="K124" s="24" t="inlineStr">
        <is>
          <t>polymarket_us</t>
        </is>
      </c>
      <c r="L124" s="26" t="n">
        <v>-223</v>
      </c>
      <c r="M124" s="27" t="n">
        <v>1.44843</v>
      </c>
      <c r="N124" s="28" t="n">
        <v>0.690402</v>
      </c>
      <c r="O124" s="28" t="n">
        <v>0.654791</v>
      </c>
      <c r="P124" s="28" t="n"/>
      <c r="Q124" s="28" t="n">
        <v>-0.035611</v>
      </c>
      <c r="R124" s="26" t="n">
        <v>2</v>
      </c>
      <c r="S124" s="29" t="n">
        <v>0</v>
      </c>
      <c r="T124" s="24" t="inlineStr">
        <is>
          <t>lol-tiered-elo-v4</t>
        </is>
      </c>
      <c r="U124" s="24" t="inlineStr">
        <is>
          <t>open</t>
        </is>
      </c>
      <c r="V124" s="24" t="n"/>
      <c r="W124" s="26" t="n"/>
      <c r="X124" s="26" t="n"/>
      <c r="Y124" s="25" t="n"/>
      <c r="Z124" s="26" t="n"/>
      <c r="AA124" s="28" t="n"/>
      <c r="AB124" s="28" t="n"/>
      <c r="AC124" s="30" t="n"/>
      <c r="AD124" s="24" t="n"/>
      <c r="AE124" s="31" t="inlineStr">
        <is>
          <t>Neutral Elo baseline; executable ask 0.6900 (market_slug=aec-lol-genga-foxy-2026-07-27).</t>
        </is>
      </c>
      <c r="AF124" s="31" t="inlineStr">
        <is>
          <t>Config-promoted esports baseline; gates enforced at log time.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research_observation</t>
        </is>
      </c>
      <c r="AL124" s="26" t="n">
        <v>3</v>
      </c>
      <c r="AM124" s="24" t="inlineStr">
        <is>
          <t>RESEARCH_OBSERVATION</t>
        </is>
      </c>
      <c r="AN124" s="24" t="inlineStr">
        <is>
          <t>NO_CALL</t>
        </is>
      </c>
      <c r="AO124" s="24" t="inlineStr">
        <is>
          <t>NO_CALL_LOW_EDGE</t>
        </is>
      </c>
      <c r="AP124" s="24" t="inlineStr">
        <is>
          <t>BNK FearX Youth</t>
        </is>
      </c>
      <c r="AQ124" s="24" t="inlineStr">
        <is>
          <t>BNK FearX Youth</t>
        </is>
      </c>
      <c r="AR124" s="24" t="inlineStr">
        <is>
          <t>BNK FearX Youth</t>
        </is>
      </c>
      <c r="AS124" s="24" t="inlineStr">
        <is>
          <t>Gen.G Global Academy</t>
        </is>
      </c>
      <c r="AT124" s="24" t="inlineStr">
        <is>
          <t>Gen.G Global Academy</t>
        </is>
      </c>
      <c r="AU124" s="24" t="inlineStr">
        <is>
          <t>Gen.G Global Academy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35087e828a0053011a97024de693e2ee7eb80eb03024c91d28d254de09d93778</t>
        </is>
      </c>
      <c r="BB124" s="24" t="inlineStr">
        <is>
          <t>neutral_elo</t>
        </is>
      </c>
      <c r="BC124" s="24" t="inlineStr">
        <is>
          <t>lol-tiered-elo-v4</t>
        </is>
      </c>
      <c r="BD124" s="24" t="inlineStr">
        <is>
          <t>35087e828a0053011a97024de693e2ee7eb80eb03024c91d28d254de09d93778</t>
        </is>
      </c>
      <c r="BE124" s="24" t="inlineStr">
        <is>
          <t>1</t>
        </is>
      </c>
      <c r="BF124" s="24" t="inlineStr">
        <is>
          <t>1</t>
        </is>
      </c>
      <c r="BG124" s="24" t="inlineStr">
        <is>
          <t>lol-tiered-elo-v4</t>
        </is>
      </c>
      <c r="BH124" s="24" t="inlineStr">
        <is>
          <t>2026-07-26T18:56:46.222928Z</t>
        </is>
      </c>
      <c r="BI124" s="24" t="inlineStr">
        <is>
          <t>["same_event","same_team_same_day","same_league_same_day"]</t>
        </is>
      </c>
      <c r="BJ124" s="25" t="n"/>
      <c r="BK124" s="26" t="n">
        <v>-223</v>
      </c>
      <c r="BL124" s="27" t="n">
        <v>1.44843</v>
      </c>
      <c r="BM124" s="28" t="n">
        <v>0.690402</v>
      </c>
      <c r="BN124" s="28" t="n"/>
      <c r="BO124" s="28" t="n"/>
      <c r="BP124" s="25" t="n"/>
      <c r="BQ124" s="27" t="n"/>
      <c r="BR124" s="28" t="n"/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</row>
    <row r="125" ht="36" customHeight="1">
      <c r="A125" s="24" t="inlineStr">
        <is>
          <t>39f02ad192754b66</t>
        </is>
      </c>
      <c r="B125" s="24" t="inlineStr">
        <is>
          <t>2026-07-26T18:56:52.812325Z</t>
        </is>
      </c>
      <c r="C125" s="24" t="inlineStr">
        <is>
          <t>2026-07-27T10:30:00Z</t>
        </is>
      </c>
      <c r="D125" s="24" t="inlineStr">
        <is>
          <t>60725</t>
        </is>
      </c>
      <c r="E125" s="24" t="inlineStr">
        <is>
          <t>LOL</t>
        </is>
      </c>
      <c r="F125" s="24" t="inlineStr">
        <is>
          <t>Dplus KIA</t>
        </is>
      </c>
      <c r="G125" s="24" t="inlineStr">
        <is>
          <t>HANJIN BRION</t>
        </is>
      </c>
      <c r="H125" s="24" t="inlineStr">
        <is>
          <t>moneyline</t>
        </is>
      </c>
      <c r="I125" s="24" t="inlineStr">
        <is>
          <t>away</t>
        </is>
      </c>
      <c r="J125" s="25" t="n"/>
      <c r="K125" s="24" t="inlineStr">
        <is>
          <t>polymarket_us</t>
        </is>
      </c>
      <c r="L125" s="26" t="n">
        <v>194</v>
      </c>
      <c r="M125" s="27" t="n">
        <v>2.94</v>
      </c>
      <c r="N125" s="28" t="n">
        <v>0.340136</v>
      </c>
      <c r="O125" s="28" t="n">
        <v>0.803091</v>
      </c>
      <c r="P125" s="28" t="n"/>
      <c r="Q125" s="28" t="n">
        <v>0.462955</v>
      </c>
      <c r="R125" s="26" t="n">
        <v>100</v>
      </c>
      <c r="S125" s="29" t="n">
        <v>2</v>
      </c>
      <c r="T125" s="24" t="inlineStr">
        <is>
          <t>lol-tiered-elo-v4</t>
        </is>
      </c>
      <c r="U125" s="24" t="inlineStr">
        <is>
          <t>open</t>
        </is>
      </c>
      <c r="V125" s="24" t="n"/>
      <c r="W125" s="26" t="n"/>
      <c r="X125" s="26" t="n"/>
      <c r="Y125" s="25" t="n"/>
      <c r="Z125" s="26" t="n"/>
      <c r="AA125" s="28" t="n"/>
      <c r="AB125" s="28" t="n"/>
      <c r="AC125" s="30" t="n"/>
      <c r="AD125" s="24" t="n"/>
      <c r="AE125" s="31" t="inlineStr">
        <is>
          <t>Neutral Elo baseline; executable ask 0.3400 (market_slug=aec-lol-bro-dk-2026-07-27).</t>
        </is>
      </c>
      <c r="AF125" s="31" t="inlineStr">
        <is>
          <t>Config-promoted esports baseline; gates enforced at log time.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model_qualified</t>
        </is>
      </c>
      <c r="AL125" s="26" t="n">
        <v>3</v>
      </c>
      <c r="AM125" s="24" t="inlineStr">
        <is>
          <t>QUALIFIED_SHADOW_CALL</t>
        </is>
      </c>
      <c r="AN125" s="24" t="inlineStr">
        <is>
          <t>CALL</t>
        </is>
      </c>
      <c r="AO125" s="24" t="inlineStr">
        <is>
          <t>QUALIFIED</t>
        </is>
      </c>
      <c r="AP125" s="24" t="inlineStr">
        <is>
          <t>Dplus KIA</t>
        </is>
      </c>
      <c r="AQ125" s="24" t="inlineStr">
        <is>
          <t>Dplus KIA</t>
        </is>
      </c>
      <c r="AR125" s="24" t="inlineStr">
        <is>
          <t>Dplus KIA</t>
        </is>
      </c>
      <c r="AS125" s="24" t="inlineStr">
        <is>
          <t>HANJIN BRION</t>
        </is>
      </c>
      <c r="AT125" s="24" t="inlineStr">
        <is>
          <t>HANJIN BRION</t>
        </is>
      </c>
      <c r="AU125" s="24" t="inlineStr">
        <is>
          <t>HANJIN BRION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35087e828a0053011a97024de693e2ee7eb80eb03024c91d28d254de09d93778</t>
        </is>
      </c>
      <c r="BB125" s="24" t="inlineStr">
        <is>
          <t>neutral_elo</t>
        </is>
      </c>
      <c r="BC125" s="24" t="inlineStr">
        <is>
          <t>lol-tiered-elo-v4</t>
        </is>
      </c>
      <c r="BD125" s="24" t="inlineStr">
        <is>
          <t>35087e828a0053011a97024de693e2ee7eb80eb03024c91d28d254de09d93778</t>
        </is>
      </c>
      <c r="BE125" s="24" t="inlineStr">
        <is>
          <t>1</t>
        </is>
      </c>
      <c r="BF125" s="24" t="inlineStr">
        <is>
          <t>1</t>
        </is>
      </c>
      <c r="BG125" s="24" t="inlineStr">
        <is>
          <t>lol-tiered-elo-v4</t>
        </is>
      </c>
      <c r="BH125" s="24" t="inlineStr">
        <is>
          <t>2026-07-26T18:56:46.722266Z</t>
        </is>
      </c>
      <c r="BI125" s="24" t="inlineStr">
        <is>
          <t>["same_event","same_team_same_day","same_league_same_day"]</t>
        </is>
      </c>
      <c r="BJ125" s="25" t="n"/>
      <c r="BK125" s="26" t="n">
        <v>194</v>
      </c>
      <c r="BL125" s="27" t="n">
        <v>2.94</v>
      </c>
      <c r="BM125" s="28" t="n">
        <v>0.340136</v>
      </c>
      <c r="BN125" s="28" t="n"/>
      <c r="BO125" s="28" t="n"/>
      <c r="BP125" s="25" t="n"/>
      <c r="BQ125" s="27" t="n"/>
      <c r="BR125" s="28" t="n"/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</row>
    <row r="126" ht="36" customHeight="1">
      <c r="A126" s="24" t="inlineStr">
        <is>
          <t>310d5df635754e4e</t>
        </is>
      </c>
      <c r="B126" s="24" t="inlineStr">
        <is>
          <t>2026-07-26T18:56:52.812325Z</t>
        </is>
      </c>
      <c r="C126" s="24" t="inlineStr">
        <is>
          <t>2026-07-27T21:00:00Z</t>
        </is>
      </c>
      <c r="D126" s="24" t="inlineStr">
        <is>
          <t>61044</t>
        </is>
      </c>
      <c r="E126" s="24" t="inlineStr">
        <is>
          <t>LOL</t>
        </is>
      </c>
      <c r="F126" s="24" t="inlineStr">
        <is>
          <t>Ei Nerd Esports</t>
        </is>
      </c>
      <c r="G126" s="24" t="inlineStr">
        <is>
          <t>paiN Gaming Academy</t>
        </is>
      </c>
      <c r="H126" s="24" t="inlineStr">
        <is>
          <t>moneyline</t>
        </is>
      </c>
      <c r="I126" s="24" t="inlineStr">
        <is>
          <t>home</t>
        </is>
      </c>
      <c r="J126" s="25" t="n"/>
      <c r="K126" s="24" t="inlineStr">
        <is>
          <t>polymarket_us</t>
        </is>
      </c>
      <c r="L126" s="26" t="n">
        <v>-233</v>
      </c>
      <c r="M126" s="27" t="n">
        <v>1.429185</v>
      </c>
      <c r="N126" s="28" t="n">
        <v>0.6997</v>
      </c>
      <c r="O126" s="28" t="n">
        <v>0.712884</v>
      </c>
      <c r="P126" s="28" t="n"/>
      <c r="Q126" s="28" t="n">
        <v>0.013184</v>
      </c>
      <c r="R126" s="26" t="n">
        <v>27</v>
      </c>
      <c r="S126" s="29" t="n">
        <v>2</v>
      </c>
      <c r="T126" s="24" t="inlineStr">
        <is>
          <t>lol-tiered-elo-v4</t>
        </is>
      </c>
      <c r="U126" s="24" t="inlineStr">
        <is>
          <t>open</t>
        </is>
      </c>
      <c r="V126" s="24" t="n"/>
      <c r="W126" s="26" t="n"/>
      <c r="X126" s="26" t="n"/>
      <c r="Y126" s="25" t="n"/>
      <c r="Z126" s="26" t="n"/>
      <c r="AA126" s="28" t="n"/>
      <c r="AB126" s="28" t="n"/>
      <c r="AC126" s="30" t="n"/>
      <c r="AD126" s="24" t="n"/>
      <c r="AE126" s="31" t="inlineStr">
        <is>
          <t>Neutral Elo baseline; executable ask 0.7000 (market_slug=aec-lol-pnga-nerd-2026-07-27).</t>
        </is>
      </c>
      <c r="AF126" s="31" t="inlineStr">
        <is>
          <t>Config-promoted esports baseline; gates enforced at log time.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model_qualified</t>
        </is>
      </c>
      <c r="AL126" s="26" t="n">
        <v>3</v>
      </c>
      <c r="AM126" s="24" t="inlineStr">
        <is>
          <t>QUALIFIED_SHADOW_CALL</t>
        </is>
      </c>
      <c r="AN126" s="24" t="inlineStr">
        <is>
          <t>CALL</t>
        </is>
      </c>
      <c r="AO126" s="24" t="inlineStr">
        <is>
          <t>QUALIFIED</t>
        </is>
      </c>
      <c r="AP126" s="24" t="inlineStr">
        <is>
          <t>Ei Nerd Esports</t>
        </is>
      </c>
      <c r="AQ126" s="24" t="inlineStr">
        <is>
          <t>Ei Nerd Esports</t>
        </is>
      </c>
      <c r="AR126" s="24" t="inlineStr">
        <is>
          <t>Ei Nerd Esports</t>
        </is>
      </c>
      <c r="AS126" s="24" t="inlineStr">
        <is>
          <t>paiN Gaming Academy</t>
        </is>
      </c>
      <c r="AT126" s="24" t="inlineStr">
        <is>
          <t>paiN Gaming Academy</t>
        </is>
      </c>
      <c r="AU126" s="24" t="inlineStr">
        <is>
          <t>paiN Gaming Academy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35087e828a0053011a97024de693e2ee7eb80eb03024c91d28d254de09d93778</t>
        </is>
      </c>
      <c r="BB126" s="24" t="inlineStr">
        <is>
          <t>neutral_elo</t>
        </is>
      </c>
      <c r="BC126" s="24" t="inlineStr">
        <is>
          <t>lol-tiered-elo-v4</t>
        </is>
      </c>
      <c r="BD126" s="24" t="inlineStr">
        <is>
          <t>35087e828a0053011a97024de693e2ee7eb80eb03024c91d28d254de09d93778</t>
        </is>
      </c>
      <c r="BE126" s="24" t="inlineStr">
        <is>
          <t>1</t>
        </is>
      </c>
      <c r="BF126" s="24" t="inlineStr">
        <is>
          <t>1</t>
        </is>
      </c>
      <c r="BG126" s="24" t="inlineStr">
        <is>
          <t>lol-tiered-elo-v4</t>
        </is>
      </c>
      <c r="BH126" s="24" t="inlineStr">
        <is>
          <t>2026-07-26T18:56:50.761952Z</t>
        </is>
      </c>
      <c r="BI126" s="24" t="inlineStr">
        <is>
          <t>["same_event","same_team_same_day","same_league_same_day"]</t>
        </is>
      </c>
      <c r="BJ126" s="25" t="n"/>
      <c r="BK126" s="26" t="n">
        <v>-233</v>
      </c>
      <c r="BL126" s="27" t="n">
        <v>1.429185</v>
      </c>
      <c r="BM126" s="28" t="n">
        <v>0.6997</v>
      </c>
      <c r="BN126" s="28" t="n"/>
      <c r="BO126" s="28" t="n"/>
      <c r="BP126" s="25" t="n"/>
      <c r="BQ126" s="27" t="n"/>
      <c r="BR126" s="28" t="n"/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</row>
    <row r="127" ht="36" customHeight="1">
      <c r="A127" s="24" t="inlineStr">
        <is>
          <t>7c225cf9bd024847</t>
        </is>
      </c>
      <c r="B127" s="24" t="inlineStr">
        <is>
          <t>2026-07-26T18:57:10.343708Z</t>
        </is>
      </c>
      <c r="C127" s="24" t="inlineStr">
        <is>
          <t>2026-07-27T08:00:00Z</t>
        </is>
      </c>
      <c r="D127" s="24" t="inlineStr">
        <is>
          <t>60702</t>
        </is>
      </c>
      <c r="E127" s="24" t="inlineStr">
        <is>
          <t>CS2</t>
        </is>
      </c>
      <c r="F127" s="24" t="inlineStr">
        <is>
          <t>Entropy</t>
        </is>
      </c>
      <c r="G127" s="24" t="inlineStr">
        <is>
          <t>ex-RUSTEC</t>
        </is>
      </c>
      <c r="H127" s="24" t="inlineStr">
        <is>
          <t>moneyline</t>
        </is>
      </c>
      <c r="I127" s="24" t="inlineStr">
        <is>
          <t>away</t>
        </is>
      </c>
      <c r="J127" s="25" t="n"/>
      <c r="K127" s="24" t="inlineStr">
        <is>
          <t>polymarket_us</t>
        </is>
      </c>
      <c r="L127" s="26" t="n">
        <v>163</v>
      </c>
      <c r="M127" s="27" t="n">
        <v>2.63</v>
      </c>
      <c r="N127" s="28" t="n">
        <v>0.380228</v>
      </c>
      <c r="O127" s="28" t="n">
        <v>0.607321</v>
      </c>
      <c r="P127" s="28" t="n"/>
      <c r="Q127" s="28" t="n">
        <v>0.227093</v>
      </c>
      <c r="R127" s="26" t="n">
        <v>100</v>
      </c>
      <c r="S127" s="29" t="n">
        <v>1.5</v>
      </c>
      <c r="T127" s="24" t="inlineStr">
        <is>
          <t>cs2-tiered-elo-v4</t>
        </is>
      </c>
      <c r="U127" s="24" t="inlineStr">
        <is>
          <t>open</t>
        </is>
      </c>
      <c r="V127" s="24" t="n"/>
      <c r="W127" s="26" t="n"/>
      <c r="X127" s="26" t="n"/>
      <c r="Y127" s="25" t="n"/>
      <c r="Z127" s="26" t="n"/>
      <c r="AA127" s="28" t="n"/>
      <c r="AB127" s="28" t="n"/>
      <c r="AC127" s="30" t="n"/>
      <c r="AD127" s="24" t="n"/>
      <c r="AE127" s="31" t="inlineStr">
        <is>
          <t>Neutral Elo baseline; executable ask 0.3800 (market_slug=aec-cs2-erx-ent-2026-07-27).</t>
        </is>
      </c>
      <c r="AF127" s="31" t="inlineStr">
        <is>
          <t>Config-promoted esports baseline; gates enforced at log time.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model_qualified</t>
        </is>
      </c>
      <c r="AL127" s="26" t="n">
        <v>3</v>
      </c>
      <c r="AM127" s="24" t="inlineStr">
        <is>
          <t>QUALIFIED_SHADOW_CALL</t>
        </is>
      </c>
      <c r="AN127" s="24" t="inlineStr">
        <is>
          <t>CALL</t>
        </is>
      </c>
      <c r="AO127" s="24" t="inlineStr">
        <is>
          <t>QUALIFIED</t>
        </is>
      </c>
      <c r="AP127" s="24" t="inlineStr">
        <is>
          <t>Entropy</t>
        </is>
      </c>
      <c r="AQ127" s="24" t="inlineStr">
        <is>
          <t>Entropy</t>
        </is>
      </c>
      <c r="AR127" s="24" t="inlineStr">
        <is>
          <t>Entropy</t>
        </is>
      </c>
      <c r="AS127" s="24" t="inlineStr">
        <is>
          <t>ex-RUSTEC</t>
        </is>
      </c>
      <c r="AT127" s="24" t="inlineStr">
        <is>
          <t>ex-RUSTEC</t>
        </is>
      </c>
      <c r="AU127" s="24" t="inlineStr">
        <is>
          <t>ex-RUSTEC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e9c327ce15d79aaa8ed5032a6fb86929aaa479e14a8bc9a35686411400dd6b91</t>
        </is>
      </c>
      <c r="BB127" s="24" t="inlineStr">
        <is>
          <t>neutral_elo</t>
        </is>
      </c>
      <c r="BC127" s="24" t="inlineStr">
        <is>
          <t>cs2-tiered-elo-v4</t>
        </is>
      </c>
      <c r="BD127" s="24" t="inlineStr">
        <is>
          <t>e9c327ce15d79aaa8ed5032a6fb86929aaa479e14a8bc9a35686411400dd6b91</t>
        </is>
      </c>
      <c r="BE127" s="24" t="inlineStr">
        <is>
          <t>1</t>
        </is>
      </c>
      <c r="BF127" s="24" t="inlineStr">
        <is>
          <t>1</t>
        </is>
      </c>
      <c r="BG127" s="24" t="inlineStr">
        <is>
          <t>cs2-tiered-elo-v4</t>
        </is>
      </c>
      <c r="BH127" s="24" t="inlineStr">
        <is>
          <t>2026-07-26T18:57:01.421264Z</t>
        </is>
      </c>
      <c r="BI127" s="24" t="inlineStr">
        <is>
          <t>["same_event","same_team_same_day","same_league_same_day"]</t>
        </is>
      </c>
      <c r="BJ127" s="25" t="n"/>
      <c r="BK127" s="26" t="n">
        <v>163</v>
      </c>
      <c r="BL127" s="27" t="n">
        <v>2.63</v>
      </c>
      <c r="BM127" s="28" t="n">
        <v>0.380228</v>
      </c>
      <c r="BN127" s="28" t="n"/>
      <c r="BO127" s="28" t="n"/>
      <c r="BP127" s="25" t="n"/>
      <c r="BQ127" s="27" t="n"/>
      <c r="BR127" s="28" t="n"/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</row>
    <row r="128" ht="36" customHeight="1">
      <c r="A128" s="24" t="inlineStr">
        <is>
          <t>23b4ec1ef79f4798</t>
        </is>
      </c>
      <c r="B128" s="24" t="inlineStr">
        <is>
          <t>2026-07-26T18:57:10.343708Z</t>
        </is>
      </c>
      <c r="C128" s="24" t="inlineStr">
        <is>
          <t>2026-07-27T11:00:00Z</t>
        </is>
      </c>
      <c r="D128" s="24" t="inlineStr">
        <is>
          <t>60729</t>
        </is>
      </c>
      <c r="E128" s="24" t="inlineStr">
        <is>
          <t>CS2</t>
        </is>
      </c>
      <c r="F128" s="24" t="inlineStr">
        <is>
          <t>Mai Tai</t>
        </is>
      </c>
      <c r="G128" s="24" t="inlineStr">
        <is>
          <t>UNiTY esports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-163</v>
      </c>
      <c r="M128" s="27" t="n">
        <v>1.613497</v>
      </c>
      <c r="N128" s="28" t="n">
        <v>0.619772</v>
      </c>
      <c r="O128" s="28" t="n">
        <v>0.539211</v>
      </c>
      <c r="P128" s="28" t="n"/>
      <c r="Q128" s="28" t="n">
        <v>-0.08056099999999999</v>
      </c>
      <c r="R128" s="26" t="n">
        <v>0</v>
      </c>
      <c r="S128" s="29" t="n">
        <v>0</v>
      </c>
      <c r="T128" s="24" t="inlineStr">
        <is>
          <t>cs2-tiered-elo-v4</t>
        </is>
      </c>
      <c r="U128" s="24" t="inlineStr">
        <is>
          <t>open</t>
        </is>
      </c>
      <c r="V128" s="24" t="n"/>
      <c r="W128" s="26" t="n"/>
      <c r="X128" s="26" t="n"/>
      <c r="Y128" s="25" t="n"/>
      <c r="Z128" s="26" t="n"/>
      <c r="AA128" s="28" t="n"/>
      <c r="AB128" s="28" t="n"/>
      <c r="AC128" s="30" t="n"/>
      <c r="AD128" s="24" t="n"/>
      <c r="AE128" s="31" t="inlineStr">
        <is>
          <t>Neutral Elo baseline; executable ask 0.6200 (market_slug=aec-cs2-unity-mta-2026-07-27).</t>
        </is>
      </c>
      <c r="AF128" s="31" t="inlineStr">
        <is>
          <t>Config-promoted esports baseline; gates enforced at log time.</t>
        </is>
      </c>
      <c r="AG128" s="24" t="inlineStr">
        <is>
          <t>not_applicable</t>
        </is>
      </c>
      <c r="AH128" s="24" t="n"/>
      <c r="AI128" s="31" t="n"/>
      <c r="AJ128" s="31" t="n"/>
      <c r="AK128" s="24" t="inlineStr">
        <is>
          <t>research_observation</t>
        </is>
      </c>
      <c r="AL128" s="26" t="n">
        <v>3</v>
      </c>
      <c r="AM128" s="24" t="inlineStr">
        <is>
          <t>RESEARCH_OBSERVATION</t>
        </is>
      </c>
      <c r="AN128" s="24" t="inlineStr">
        <is>
          <t>NO_CALL</t>
        </is>
      </c>
      <c r="AO128" s="24" t="inlineStr">
        <is>
          <t>NO_CALL_MODEL_UNVALIDATED</t>
        </is>
      </c>
      <c r="AP128" s="24" t="inlineStr">
        <is>
          <t>Mai Tai</t>
        </is>
      </c>
      <c r="AQ128" s="24" t="inlineStr">
        <is>
          <t>Mai Tai</t>
        </is>
      </c>
      <c r="AR128" s="24" t="inlineStr">
        <is>
          <t>Mai Tai</t>
        </is>
      </c>
      <c r="AS128" s="24" t="inlineStr">
        <is>
          <t>UNiTY esports</t>
        </is>
      </c>
      <c r="AT128" s="24" t="inlineStr">
        <is>
          <t>UNiTY esports</t>
        </is>
      </c>
      <c r="AU128" s="24" t="inlineStr">
        <is>
          <t>UNiTY esports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e9c327ce15d79aaa8ed5032a6fb86929aaa479e14a8bc9a35686411400dd6b91</t>
        </is>
      </c>
      <c r="BB128" s="24" t="inlineStr">
        <is>
          <t>neutral_elo</t>
        </is>
      </c>
      <c r="BC128" s="24" t="inlineStr">
        <is>
          <t>cs2-tiered-elo-v4</t>
        </is>
      </c>
      <c r="BD128" s="24" t="inlineStr">
        <is>
          <t>e9c327ce15d79aaa8ed5032a6fb86929aaa479e14a8bc9a35686411400dd6b91</t>
        </is>
      </c>
      <c r="BE128" s="24" t="inlineStr">
        <is>
          <t>1</t>
        </is>
      </c>
      <c r="BF128" s="24" t="inlineStr">
        <is>
          <t>1</t>
        </is>
      </c>
      <c r="BG128" s="24" t="inlineStr">
        <is>
          <t>cs2-tiered-elo-v4</t>
        </is>
      </c>
      <c r="BH128" s="24" t="inlineStr">
        <is>
          <t>2026-07-26T18:57:02.524560Z</t>
        </is>
      </c>
      <c r="BI128" s="24" t="inlineStr">
        <is>
          <t>["same_event","same_team_same_day","same_league_same_day"]</t>
        </is>
      </c>
      <c r="BJ128" s="25" t="n"/>
      <c r="BK128" s="26" t="n">
        <v>-163</v>
      </c>
      <c r="BL128" s="27" t="n">
        <v>1.613497</v>
      </c>
      <c r="BM128" s="28" t="n">
        <v>0.619772</v>
      </c>
      <c r="BN128" s="28" t="n"/>
      <c r="BO128" s="28" t="n"/>
      <c r="BP128" s="25" t="n"/>
      <c r="BQ128" s="27" t="n"/>
      <c r="BR128" s="28" t="n"/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</row>
    <row r="129" ht="36" customHeight="1">
      <c r="A129" s="24" t="inlineStr">
        <is>
          <t>75e0a71fb7b24f68</t>
        </is>
      </c>
      <c r="B129" s="24" t="inlineStr">
        <is>
          <t>2026-07-26T18:57:10.343708Z</t>
        </is>
      </c>
      <c r="C129" s="24" t="inlineStr">
        <is>
          <t>2026-07-27T11:00:00Z</t>
        </is>
      </c>
      <c r="D129" s="24" t="inlineStr">
        <is>
          <t>60732</t>
        </is>
      </c>
      <c r="E129" s="24" t="inlineStr">
        <is>
          <t>CS2</t>
        </is>
      </c>
      <c r="F129" s="24" t="inlineStr">
        <is>
          <t>Noir Verse</t>
        </is>
      </c>
      <c r="G129" s="24" t="inlineStr">
        <is>
          <t>ASTRAL</t>
        </is>
      </c>
      <c r="H129" s="24" t="inlineStr">
        <is>
          <t>moneyline</t>
        </is>
      </c>
      <c r="I129" s="24" t="inlineStr">
        <is>
          <t>home</t>
        </is>
      </c>
      <c r="J129" s="25" t="n"/>
      <c r="K129" s="24" t="inlineStr">
        <is>
          <t>polymarket_us</t>
        </is>
      </c>
      <c r="L129" s="26" t="n">
        <v>-170</v>
      </c>
      <c r="M129" s="27" t="n">
        <v>1.588235</v>
      </c>
      <c r="N129" s="28" t="n">
        <v>0.62963</v>
      </c>
      <c r="O129" s="28" t="n">
        <v>0.736846</v>
      </c>
      <c r="P129" s="28" t="n"/>
      <c r="Q129" s="28" t="n">
        <v>0.107216</v>
      </c>
      <c r="R129" s="26" t="n">
        <v>74</v>
      </c>
      <c r="S129" s="29" t="n">
        <v>2</v>
      </c>
      <c r="T129" s="24" t="inlineStr">
        <is>
          <t>cs2-tiered-elo-v4</t>
        </is>
      </c>
      <c r="U129" s="24" t="inlineStr">
        <is>
          <t>open</t>
        </is>
      </c>
      <c r="V129" s="24" t="n"/>
      <c r="W129" s="26" t="n"/>
      <c r="X129" s="26" t="n"/>
      <c r="Y129" s="25" t="n"/>
      <c r="Z129" s="26" t="n"/>
      <c r="AA129" s="28" t="n"/>
      <c r="AB129" s="28" t="n"/>
      <c r="AC129" s="30" t="n"/>
      <c r="AD129" s="24" t="n"/>
      <c r="AE129" s="31" t="inlineStr">
        <is>
          <t>Neutral Elo baseline; executable ask 0.6300 (market_slug=aec-cs2-astr-nvo-2026-07-27).</t>
        </is>
      </c>
      <c r="AF129" s="31" t="inlineStr">
        <is>
          <t>Config-promoted esports baseline; gates enforced at log time.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model_qualified</t>
        </is>
      </c>
      <c r="AL129" s="26" t="n">
        <v>3</v>
      </c>
      <c r="AM129" s="24" t="inlineStr">
        <is>
          <t>QUALIFIED_SHADOW_CALL</t>
        </is>
      </c>
      <c r="AN129" s="24" t="inlineStr">
        <is>
          <t>CALL</t>
        </is>
      </c>
      <c r="AO129" s="24" t="inlineStr">
        <is>
          <t>QUALIFIED</t>
        </is>
      </c>
      <c r="AP129" s="24" t="inlineStr">
        <is>
          <t>Noir Verse</t>
        </is>
      </c>
      <c r="AQ129" s="24" t="inlineStr">
        <is>
          <t>Noir Verse</t>
        </is>
      </c>
      <c r="AR129" s="24" t="inlineStr">
        <is>
          <t>Noir Verse</t>
        </is>
      </c>
      <c r="AS129" s="24" t="inlineStr">
        <is>
          <t>ASTRAL</t>
        </is>
      </c>
      <c r="AT129" s="24" t="inlineStr">
        <is>
          <t>ASTRAL</t>
        </is>
      </c>
      <c r="AU129" s="24" t="inlineStr">
        <is>
          <t>ASTRAL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e9c327ce15d79aaa8ed5032a6fb86929aaa479e14a8bc9a35686411400dd6b91</t>
        </is>
      </c>
      <c r="BB129" s="24" t="inlineStr">
        <is>
          <t>neutral_elo</t>
        </is>
      </c>
      <c r="BC129" s="24" t="inlineStr">
        <is>
          <t>cs2-tiered-elo-v4</t>
        </is>
      </c>
      <c r="BD129" s="24" t="inlineStr">
        <is>
          <t>e9c327ce15d79aaa8ed5032a6fb86929aaa479e14a8bc9a35686411400dd6b91</t>
        </is>
      </c>
      <c r="BE129" s="24" t="inlineStr">
        <is>
          <t>1</t>
        </is>
      </c>
      <c r="BF129" s="24" t="inlineStr">
        <is>
          <t>1</t>
        </is>
      </c>
      <c r="BG129" s="24" t="inlineStr">
        <is>
          <t>cs2-tiered-elo-v4</t>
        </is>
      </c>
      <c r="BH129" s="24" t="inlineStr">
        <is>
          <t>2026-07-26T18:57:03.043686Z</t>
        </is>
      </c>
      <c r="BI129" s="24" t="inlineStr">
        <is>
          <t>["same_event","same_team_same_day","same_league_same_day"]</t>
        </is>
      </c>
      <c r="BJ129" s="25" t="n"/>
      <c r="BK129" s="26" t="n">
        <v>-170</v>
      </c>
      <c r="BL129" s="27" t="n">
        <v>1.588235</v>
      </c>
      <c r="BM129" s="28" t="n">
        <v>0.62963</v>
      </c>
      <c r="BN129" s="28" t="n"/>
      <c r="BO129" s="28" t="n"/>
      <c r="BP129" s="25" t="n"/>
      <c r="BQ129" s="27" t="n"/>
      <c r="BR129" s="28" t="n"/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</row>
    <row r="130" ht="36" customHeight="1">
      <c r="A130" s="24" t="inlineStr">
        <is>
          <t>3bd88c73052c4652</t>
        </is>
      </c>
      <c r="B130" s="24" t="inlineStr">
        <is>
          <t>2026-07-26T18:57:10.343708Z</t>
        </is>
      </c>
      <c r="C130" s="24" t="inlineStr">
        <is>
          <t>2026-07-27T14:00:00Z</t>
        </is>
      </c>
      <c r="D130" s="24" t="inlineStr">
        <is>
          <t>60748</t>
        </is>
      </c>
      <c r="E130" s="24" t="inlineStr">
        <is>
          <t>CS2</t>
        </is>
      </c>
      <c r="F130" s="24" t="inlineStr">
        <is>
          <t>Misa Esports</t>
        </is>
      </c>
      <c r="G130" s="24" t="inlineStr">
        <is>
          <t>Black Phoenix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-203</v>
      </c>
      <c r="M130" s="27" t="n">
        <v>1.492611</v>
      </c>
      <c r="N130" s="28" t="n">
        <v>0.669967</v>
      </c>
      <c r="O130" s="28" t="n">
        <v>0.531101</v>
      </c>
      <c r="P130" s="28" t="n"/>
      <c r="Q130" s="28" t="n">
        <v>-0.138866</v>
      </c>
      <c r="R130" s="26" t="n">
        <v>0</v>
      </c>
      <c r="S130" s="29" t="n">
        <v>0</v>
      </c>
      <c r="T130" s="24" t="inlineStr">
        <is>
          <t>cs2-tiered-elo-v4</t>
        </is>
      </c>
      <c r="U130" s="24" t="inlineStr">
        <is>
          <t>open</t>
        </is>
      </c>
      <c r="V130" s="24" t="n"/>
      <c r="W130" s="26" t="n"/>
      <c r="X130" s="26" t="n"/>
      <c r="Y130" s="25" t="n"/>
      <c r="Z130" s="26" t="n"/>
      <c r="AA130" s="28" t="n"/>
      <c r="AB130" s="28" t="n"/>
      <c r="AC130" s="30" t="n"/>
      <c r="AD130" s="24" t="n"/>
      <c r="AE130" s="31" t="inlineStr">
        <is>
          <t>Neutral Elo baseline; executable ask 0.6700 (market_slug=aec-cs2-bpl-misa-2026-07-27).</t>
        </is>
      </c>
      <c r="AF130" s="31" t="inlineStr">
        <is>
          <t>Config-promoted esports baseline; gates enforced at log time.</t>
        </is>
      </c>
      <c r="AG130" s="24" t="inlineStr">
        <is>
          <t>not_applicable</t>
        </is>
      </c>
      <c r="AH130" s="24" t="n"/>
      <c r="AI130" s="31" t="n"/>
      <c r="AJ130" s="31" t="n"/>
      <c r="AK130" s="24" t="inlineStr">
        <is>
          <t>research_observation</t>
        </is>
      </c>
      <c r="AL130" s="26" t="n">
        <v>3</v>
      </c>
      <c r="AM130" s="24" t="inlineStr">
        <is>
          <t>RESEARCH_OBSERVATION</t>
        </is>
      </c>
      <c r="AN130" s="24" t="inlineStr">
        <is>
          <t>NO_CALL</t>
        </is>
      </c>
      <c r="AO130" s="24" t="inlineStr">
        <is>
          <t>NO_CALL_MODEL_UNVALIDATED</t>
        </is>
      </c>
      <c r="AP130" s="24" t="inlineStr">
        <is>
          <t>Misa Esports</t>
        </is>
      </c>
      <c r="AQ130" s="24" t="inlineStr">
        <is>
          <t>Misa Esports</t>
        </is>
      </c>
      <c r="AR130" s="24" t="inlineStr">
        <is>
          <t>Misa Esports</t>
        </is>
      </c>
      <c r="AS130" s="24" t="inlineStr">
        <is>
          <t>Black Phoenix</t>
        </is>
      </c>
      <c r="AT130" s="24" t="inlineStr">
        <is>
          <t>Black Phoenix</t>
        </is>
      </c>
      <c r="AU130" s="24" t="inlineStr">
        <is>
          <t>Black Phoenix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e9c327ce15d79aaa8ed5032a6fb86929aaa479e14a8bc9a35686411400dd6b91</t>
        </is>
      </c>
      <c r="BB130" s="24" t="inlineStr">
        <is>
          <t>neutral_elo</t>
        </is>
      </c>
      <c r="BC130" s="24" t="inlineStr">
        <is>
          <t>cs2-tiered-elo-v4</t>
        </is>
      </c>
      <c r="BD130" s="24" t="inlineStr">
        <is>
          <t>e9c327ce15d79aaa8ed5032a6fb86929aaa479e14a8bc9a35686411400dd6b91</t>
        </is>
      </c>
      <c r="BE130" s="24" t="inlineStr">
        <is>
          <t>1</t>
        </is>
      </c>
      <c r="BF130" s="24" t="inlineStr">
        <is>
          <t>1</t>
        </is>
      </c>
      <c r="BG130" s="24" t="inlineStr">
        <is>
          <t>cs2-tiered-elo-v4</t>
        </is>
      </c>
      <c r="BH130" s="24" t="inlineStr">
        <is>
          <t>2026-07-26T18:57:05.729138Z</t>
        </is>
      </c>
      <c r="BI130" s="24" t="inlineStr">
        <is>
          <t>["same_event","same_team_same_day","same_league_same_day"]</t>
        </is>
      </c>
      <c r="BJ130" s="25" t="n"/>
      <c r="BK130" s="26" t="n">
        <v>-203</v>
      </c>
      <c r="BL130" s="27" t="n">
        <v>1.492611</v>
      </c>
      <c r="BM130" s="28" t="n">
        <v>0.669967</v>
      </c>
      <c r="BN130" s="28" t="n"/>
      <c r="BO130" s="28" t="n"/>
      <c r="BP130" s="25" t="n"/>
      <c r="BQ130" s="27" t="n"/>
      <c r="BR130" s="28" t="n"/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</row>
    <row r="131" ht="36" customHeight="1">
      <c r="A131" s="24" t="inlineStr">
        <is>
          <t>3ee0f40f41644b95</t>
        </is>
      </c>
      <c r="B131" s="24" t="inlineStr">
        <is>
          <t>2026-07-26T18:57:10.343708Z</t>
        </is>
      </c>
      <c r="C131" s="24" t="inlineStr">
        <is>
          <t>2026-07-27T15:30:00Z</t>
        </is>
      </c>
      <c r="D131" s="24" t="inlineStr">
        <is>
          <t>60764</t>
        </is>
      </c>
      <c r="E131" s="24" t="inlineStr">
        <is>
          <t>CS2</t>
        </is>
      </c>
      <c r="F131" s="24" t="inlineStr">
        <is>
          <t>NAVI Junior</t>
        </is>
      </c>
      <c r="G131" s="24" t="inlineStr">
        <is>
          <t>Brute</t>
        </is>
      </c>
      <c r="H131" s="24" t="inlineStr">
        <is>
          <t>moneyline</t>
        </is>
      </c>
      <c r="I131" s="24" t="inlineStr">
        <is>
          <t>home</t>
        </is>
      </c>
      <c r="J131" s="25" t="n"/>
      <c r="K131" s="24" t="inlineStr">
        <is>
          <t>polymarket_us</t>
        </is>
      </c>
      <c r="L131" s="26" t="n">
        <v>-194</v>
      </c>
      <c r="M131" s="27" t="n">
        <v>1.515464</v>
      </c>
      <c r="N131" s="28" t="n">
        <v>0.659864</v>
      </c>
      <c r="O131" s="28" t="n">
        <v>0.735192</v>
      </c>
      <c r="P131" s="28" t="n"/>
      <c r="Q131" s="28" t="n">
        <v>0.07532800000000001</v>
      </c>
      <c r="R131" s="26" t="n">
        <v>58</v>
      </c>
      <c r="S131" s="29" t="n">
        <v>2</v>
      </c>
      <c r="T131" s="24" t="inlineStr">
        <is>
          <t>cs2-tiered-elo-v4</t>
        </is>
      </c>
      <c r="U131" s="24" t="inlineStr">
        <is>
          <t>open</t>
        </is>
      </c>
      <c r="V131" s="24" t="n"/>
      <c r="W131" s="26" t="n"/>
      <c r="X131" s="26" t="n"/>
      <c r="Y131" s="25" t="n"/>
      <c r="Z131" s="26" t="n"/>
      <c r="AA131" s="28" t="n"/>
      <c r="AB131" s="28" t="n"/>
      <c r="AC131" s="30" t="n"/>
      <c r="AD131" s="24" t="n"/>
      <c r="AE131" s="31" t="inlineStr">
        <is>
          <t>Neutral Elo baseline; executable ask 0.6600 (market_slug=aec-cs2-brute-navij-2026-07-27).</t>
        </is>
      </c>
      <c r="AF131" s="31" t="inlineStr">
        <is>
          <t>Config-promoted esports baseline; gates enforced at log time.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model_qualified</t>
        </is>
      </c>
      <c r="AL131" s="26" t="n">
        <v>3</v>
      </c>
      <c r="AM131" s="24" t="inlineStr">
        <is>
          <t>QUALIFIED_SHADOW_CALL</t>
        </is>
      </c>
      <c r="AN131" s="24" t="inlineStr">
        <is>
          <t>CALL</t>
        </is>
      </c>
      <c r="AO131" s="24" t="inlineStr">
        <is>
          <t>QUALIFIED</t>
        </is>
      </c>
      <c r="AP131" s="24" t="inlineStr">
        <is>
          <t>NAVI Junior</t>
        </is>
      </c>
      <c r="AQ131" s="24" t="inlineStr">
        <is>
          <t>NAVI Junior</t>
        </is>
      </c>
      <c r="AR131" s="24" t="inlineStr">
        <is>
          <t>NAVI Junior</t>
        </is>
      </c>
      <c r="AS131" s="24" t="inlineStr">
        <is>
          <t>Brute</t>
        </is>
      </c>
      <c r="AT131" s="24" t="inlineStr">
        <is>
          <t>Brute</t>
        </is>
      </c>
      <c r="AU131" s="24" t="inlineStr">
        <is>
          <t>Brute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e9c327ce15d79aaa8ed5032a6fb86929aaa479e14a8bc9a35686411400dd6b91</t>
        </is>
      </c>
      <c r="BB131" s="24" t="inlineStr">
        <is>
          <t>neutral_elo</t>
        </is>
      </c>
      <c r="BC131" s="24" t="inlineStr">
        <is>
          <t>cs2-tiered-elo-v4</t>
        </is>
      </c>
      <c r="BD131" s="24" t="inlineStr">
        <is>
          <t>e9c327ce15d79aaa8ed5032a6fb86929aaa479e14a8bc9a35686411400dd6b91</t>
        </is>
      </c>
      <c r="BE131" s="24" t="inlineStr">
        <is>
          <t>1</t>
        </is>
      </c>
      <c r="BF131" s="24" t="inlineStr">
        <is>
          <t>1</t>
        </is>
      </c>
      <c r="BG131" s="24" t="inlineStr">
        <is>
          <t>cs2-tiered-elo-v4</t>
        </is>
      </c>
      <c r="BH131" s="24" t="inlineStr">
        <is>
          <t>2026-07-26T18:57:07.264468Z</t>
        </is>
      </c>
      <c r="BI131" s="24" t="inlineStr">
        <is>
          <t>["same_event","same_team_same_day","same_league_same_day"]</t>
        </is>
      </c>
      <c r="BJ131" s="25" t="n"/>
      <c r="BK131" s="26" t="n">
        <v>-194</v>
      </c>
      <c r="BL131" s="27" t="n">
        <v>1.515464</v>
      </c>
      <c r="BM131" s="28" t="n">
        <v>0.659864</v>
      </c>
      <c r="BN131" s="28" t="n"/>
      <c r="BO131" s="28" t="n"/>
      <c r="BP131" s="25" t="n"/>
      <c r="BQ131" s="27" t="n"/>
      <c r="BR131" s="28" t="n"/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</row>
    <row r="132" ht="36" customHeight="1">
      <c r="A132" s="24" t="inlineStr">
        <is>
          <t>1a94961364ad4e4a</t>
        </is>
      </c>
      <c r="B132" s="24" t="inlineStr">
        <is>
          <t>2026-07-26T18:57:10.343708Z</t>
        </is>
      </c>
      <c r="C132" s="24" t="inlineStr">
        <is>
          <t>2026-07-27T16:30:00Z</t>
        </is>
      </c>
      <c r="D132" s="24" t="inlineStr">
        <is>
          <t>60788</t>
        </is>
      </c>
      <c r="E132" s="24" t="inlineStr">
        <is>
          <t>CS2</t>
        </is>
      </c>
      <c r="F132" s="24" t="inlineStr">
        <is>
          <t>MOUZ NXT</t>
        </is>
      </c>
      <c r="G132" s="24" t="inlineStr">
        <is>
          <t>Brute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-156</v>
      </c>
      <c r="M132" s="27" t="n">
        <v>1.641026</v>
      </c>
      <c r="N132" s="28" t="n">
        <v>0.609375</v>
      </c>
      <c r="O132" s="28" t="n">
        <v>0.659512</v>
      </c>
      <c r="P132" s="28" t="n"/>
      <c r="Q132" s="28" t="n">
        <v>0.050137</v>
      </c>
      <c r="R132" s="26" t="n">
        <v>45</v>
      </c>
      <c r="S132" s="29" t="n">
        <v>2</v>
      </c>
      <c r="T132" s="24" t="inlineStr">
        <is>
          <t>cs2-tiered-elo-v4</t>
        </is>
      </c>
      <c r="U132" s="24" t="inlineStr">
        <is>
          <t>open</t>
        </is>
      </c>
      <c r="V132" s="24" t="n"/>
      <c r="W132" s="26" t="n"/>
      <c r="X132" s="26" t="n"/>
      <c r="Y132" s="25" t="n"/>
      <c r="Z132" s="26" t="n"/>
      <c r="AA132" s="28" t="n"/>
      <c r="AB132" s="28" t="n"/>
      <c r="AC132" s="30" t="n"/>
      <c r="AD132" s="24" t="n"/>
      <c r="AE132" s="31" t="inlineStr">
        <is>
          <t>Neutral Elo baseline; executable ask 0.6100 (market_slug=aec-cs2-brute-mouzn-2026-07-27).</t>
        </is>
      </c>
      <c r="AF132" s="31" t="inlineStr">
        <is>
          <t>Config-promoted esports baseline; gates enforced at log time.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model_qualified</t>
        </is>
      </c>
      <c r="AL132" s="26" t="n">
        <v>3</v>
      </c>
      <c r="AM132" s="24" t="inlineStr">
        <is>
          <t>QUALIFIED_SHADOW_CALL</t>
        </is>
      </c>
      <c r="AN132" s="24" t="inlineStr">
        <is>
          <t>CALL</t>
        </is>
      </c>
      <c r="AO132" s="24" t="inlineStr">
        <is>
          <t>QUALIFIED</t>
        </is>
      </c>
      <c r="AP132" s="24" t="inlineStr">
        <is>
          <t>MOUZ NXT</t>
        </is>
      </c>
      <c r="AQ132" s="24" t="inlineStr">
        <is>
          <t>MOUZ NXT</t>
        </is>
      </c>
      <c r="AR132" s="24" t="inlineStr">
        <is>
          <t>MOUZ NXT</t>
        </is>
      </c>
      <c r="AS132" s="24" t="inlineStr">
        <is>
          <t>Brute</t>
        </is>
      </c>
      <c r="AT132" s="24" t="inlineStr">
        <is>
          <t>Brute</t>
        </is>
      </c>
      <c r="AU132" s="24" t="inlineStr">
        <is>
          <t>Brute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e9c327ce15d79aaa8ed5032a6fb86929aaa479e14a8bc9a35686411400dd6b91</t>
        </is>
      </c>
      <c r="BB132" s="24" t="inlineStr">
        <is>
          <t>neutral_elo</t>
        </is>
      </c>
      <c r="BC132" s="24" t="inlineStr">
        <is>
          <t>cs2-tiered-elo-v4</t>
        </is>
      </c>
      <c r="BD132" s="24" t="inlineStr">
        <is>
          <t>e9c327ce15d79aaa8ed5032a6fb86929aaa479e14a8bc9a35686411400dd6b91</t>
        </is>
      </c>
      <c r="BE132" s="24" t="inlineStr">
        <is>
          <t>1</t>
        </is>
      </c>
      <c r="BF132" s="24" t="inlineStr">
        <is>
          <t>1</t>
        </is>
      </c>
      <c r="BG132" s="24" t="inlineStr">
        <is>
          <t>cs2-tiered-elo-v4</t>
        </is>
      </c>
      <c r="BH132" s="24" t="inlineStr">
        <is>
          <t>2026-07-26T18:57:07.794306Z</t>
        </is>
      </c>
      <c r="BI132" s="24" t="inlineStr">
        <is>
          <t>["same_event","same_team_same_day","same_league_same_day"]</t>
        </is>
      </c>
      <c r="BJ132" s="25" t="n"/>
      <c r="BK132" s="26" t="n">
        <v>-156</v>
      </c>
      <c r="BL132" s="27" t="n">
        <v>1.641026</v>
      </c>
      <c r="BM132" s="28" t="n">
        <v>0.609375</v>
      </c>
      <c r="BN132" s="28" t="n"/>
      <c r="BO132" s="28" t="n"/>
      <c r="BP132" s="25" t="n"/>
      <c r="BQ132" s="27" t="n"/>
      <c r="BR132" s="28" t="n"/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</row>
    <row r="133" ht="36" customHeight="1">
      <c r="A133" s="24" t="inlineStr">
        <is>
          <t>3cfb17db80dd44ea</t>
        </is>
      </c>
      <c r="B133" s="24" t="inlineStr">
        <is>
          <t>2026-07-26T18:57:10.343708Z</t>
        </is>
      </c>
      <c r="C133" s="24" t="inlineStr">
        <is>
          <t>2026-07-27T17:00:00Z</t>
        </is>
      </c>
      <c r="D133" s="24" t="inlineStr">
        <is>
          <t>60794</t>
        </is>
      </c>
      <c r="E133" s="24" t="inlineStr">
        <is>
          <t>CS2</t>
        </is>
      </c>
      <c r="F133" s="24" t="inlineStr">
        <is>
          <t>HATERS</t>
        </is>
      </c>
      <c r="G133" s="24" t="inlineStr">
        <is>
          <t>Rush</t>
        </is>
      </c>
      <c r="H133" s="24" t="inlineStr">
        <is>
          <t>moneyline</t>
        </is>
      </c>
      <c r="I133" s="24" t="inlineStr">
        <is>
          <t>away</t>
        </is>
      </c>
      <c r="J133" s="25" t="n"/>
      <c r="K133" s="24" t="inlineStr">
        <is>
          <t>polymarket_us</t>
        </is>
      </c>
      <c r="L133" s="26" t="n">
        <v>178</v>
      </c>
      <c r="M133" s="27" t="n">
        <v>2.78</v>
      </c>
      <c r="N133" s="28" t="n">
        <v>0.359712</v>
      </c>
      <c r="O133" s="28" t="n">
        <v>0.573171</v>
      </c>
      <c r="P133" s="28" t="n"/>
      <c r="Q133" s="28" t="n">
        <v>0.213459</v>
      </c>
      <c r="R133" s="26" t="n">
        <v>100</v>
      </c>
      <c r="S133" s="29" t="n">
        <v>1.25</v>
      </c>
      <c r="T133" s="24" t="inlineStr">
        <is>
          <t>cs2-tiered-elo-v4</t>
        </is>
      </c>
      <c r="U133" s="24" t="inlineStr">
        <is>
          <t>open</t>
        </is>
      </c>
      <c r="V133" s="24" t="n"/>
      <c r="W133" s="26" t="n"/>
      <c r="X133" s="26" t="n"/>
      <c r="Y133" s="25" t="n"/>
      <c r="Z133" s="26" t="n"/>
      <c r="AA133" s="28" t="n"/>
      <c r="AB133" s="28" t="n"/>
      <c r="AC133" s="30" t="n"/>
      <c r="AD133" s="24" t="n"/>
      <c r="AE133" s="31" t="inlineStr">
        <is>
          <t>Neutral Elo baseline; executable ask 0.3600 (market_slug=aec-cs2-rush-hat-2026-07-27).</t>
        </is>
      </c>
      <c r="AF133" s="31" t="inlineStr">
        <is>
          <t>Config-promoted esports baseline; gates enforced at log time.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model_qualified</t>
        </is>
      </c>
      <c r="AL133" s="26" t="n">
        <v>3</v>
      </c>
      <c r="AM133" s="24" t="inlineStr">
        <is>
          <t>QUALIFIED_SHADOW_CALL</t>
        </is>
      </c>
      <c r="AN133" s="24" t="inlineStr">
        <is>
          <t>CALL</t>
        </is>
      </c>
      <c r="AO133" s="24" t="inlineStr">
        <is>
          <t>QUALIFIED</t>
        </is>
      </c>
      <c r="AP133" s="24" t="inlineStr">
        <is>
          <t>HATERS</t>
        </is>
      </c>
      <c r="AQ133" s="24" t="inlineStr">
        <is>
          <t>HATERS</t>
        </is>
      </c>
      <c r="AR133" s="24" t="inlineStr">
        <is>
          <t>HATERS</t>
        </is>
      </c>
      <c r="AS133" s="24" t="inlineStr">
        <is>
          <t>Rush</t>
        </is>
      </c>
      <c r="AT133" s="24" t="inlineStr">
        <is>
          <t>Rush</t>
        </is>
      </c>
      <c r="AU133" s="24" t="inlineStr">
        <is>
          <t>Rush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e9c327ce15d79aaa8ed5032a6fb86929aaa479e14a8bc9a35686411400dd6b91</t>
        </is>
      </c>
      <c r="BB133" s="24" t="inlineStr">
        <is>
          <t>neutral_elo</t>
        </is>
      </c>
      <c r="BC133" s="24" t="inlineStr">
        <is>
          <t>cs2-tiered-elo-v4</t>
        </is>
      </c>
      <c r="BD133" s="24" t="inlineStr">
        <is>
          <t>e9c327ce15d79aaa8ed5032a6fb86929aaa479e14a8bc9a35686411400dd6b91</t>
        </is>
      </c>
      <c r="BE133" s="24" t="inlineStr">
        <is>
          <t>1</t>
        </is>
      </c>
      <c r="BF133" s="24" t="inlineStr">
        <is>
          <t>1</t>
        </is>
      </c>
      <c r="BG133" s="24" t="inlineStr">
        <is>
          <t>cs2-tiered-elo-v4</t>
        </is>
      </c>
      <c r="BH133" s="24" t="inlineStr">
        <is>
          <t>2026-07-26T18:57:08.269622Z</t>
        </is>
      </c>
      <c r="BI133" s="24" t="inlineStr">
        <is>
          <t>["same_event","same_team_same_day","same_league_same_day"]</t>
        </is>
      </c>
      <c r="BJ133" s="25" t="n"/>
      <c r="BK133" s="26" t="n">
        <v>178</v>
      </c>
      <c r="BL133" s="27" t="n">
        <v>2.78</v>
      </c>
      <c r="BM133" s="28" t="n">
        <v>0.359712</v>
      </c>
      <c r="BN133" s="28" t="n"/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</row>
    <row r="134" ht="36" customHeight="1">
      <c r="A134" s="24" t="inlineStr">
        <is>
          <t>fca117d26ad44277</t>
        </is>
      </c>
      <c r="B134" s="24" t="inlineStr">
        <is>
          <t>2026-07-26T18:57:10.343708Z</t>
        </is>
      </c>
      <c r="C134" s="24" t="inlineStr">
        <is>
          <t>2026-07-27T17:00:00Z</t>
        </is>
      </c>
      <c r="D134" s="24" t="inlineStr">
        <is>
          <t>60795</t>
        </is>
      </c>
      <c r="E134" s="24" t="inlineStr">
        <is>
          <t>CS2</t>
        </is>
      </c>
      <c r="F134" s="24" t="inlineStr">
        <is>
          <t>Falcons Force</t>
        </is>
      </c>
      <c r="G134" s="24" t="inlineStr">
        <is>
          <t>Bebop</t>
        </is>
      </c>
      <c r="H134" s="24" t="inlineStr">
        <is>
          <t>moneyline</t>
        </is>
      </c>
      <c r="I134" s="24" t="inlineStr">
        <is>
          <t>home</t>
        </is>
      </c>
      <c r="J134" s="25" t="n"/>
      <c r="K134" s="24" t="inlineStr">
        <is>
          <t>polymarket_us</t>
        </is>
      </c>
      <c r="L134" s="26" t="n">
        <v>-163</v>
      </c>
      <c r="M134" s="27" t="n">
        <v>1.613497</v>
      </c>
      <c r="N134" s="28" t="n">
        <v>0.619772</v>
      </c>
      <c r="O134" s="28" t="n">
        <v>0.70196</v>
      </c>
      <c r="P134" s="28" t="n"/>
      <c r="Q134" s="28" t="n">
        <v>0.082188</v>
      </c>
      <c r="R134" s="26" t="n">
        <v>61</v>
      </c>
      <c r="S134" s="29" t="n">
        <v>2</v>
      </c>
      <c r="T134" s="24" t="inlineStr">
        <is>
          <t>cs2-tiered-elo-v4</t>
        </is>
      </c>
      <c r="U134" s="24" t="inlineStr">
        <is>
          <t>open</t>
        </is>
      </c>
      <c r="V134" s="24" t="n"/>
      <c r="W134" s="26" t="n"/>
      <c r="X134" s="26" t="n"/>
      <c r="Y134" s="25" t="n"/>
      <c r="Z134" s="26" t="n"/>
      <c r="AA134" s="28" t="n"/>
      <c r="AB134" s="28" t="n"/>
      <c r="AC134" s="30" t="n"/>
      <c r="AD134" s="24" t="n"/>
      <c r="AE134" s="31" t="inlineStr">
        <is>
          <t>Neutral Elo baseline; executable ask 0.6200 (market_slug=aec-cs2-bbp-falf-2026-07-27).</t>
        </is>
      </c>
      <c r="AF134" s="31" t="inlineStr">
        <is>
          <t>Config-promoted esports baseline; gates enforced at log time.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3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Falcons Force</t>
        </is>
      </c>
      <c r="AQ134" s="24" t="inlineStr">
        <is>
          <t>Falcons Force</t>
        </is>
      </c>
      <c r="AR134" s="24" t="inlineStr">
        <is>
          <t>Falcons Force</t>
        </is>
      </c>
      <c r="AS134" s="24" t="inlineStr">
        <is>
          <t>Bebop</t>
        </is>
      </c>
      <c r="AT134" s="24" t="inlineStr">
        <is>
          <t>Bebop</t>
        </is>
      </c>
      <c r="AU134" s="24" t="inlineStr">
        <is>
          <t>Bebop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e9c327ce15d79aaa8ed5032a6fb86929aaa479e14a8bc9a35686411400dd6b91</t>
        </is>
      </c>
      <c r="BB134" s="24" t="inlineStr">
        <is>
          <t>neutral_elo</t>
        </is>
      </c>
      <c r="BC134" s="24" t="inlineStr">
        <is>
          <t>cs2-tiered-elo-v4</t>
        </is>
      </c>
      <c r="BD134" s="24" t="inlineStr">
        <is>
          <t>e9c327ce15d79aaa8ed5032a6fb86929aaa479e14a8bc9a35686411400dd6b91</t>
        </is>
      </c>
      <c r="BE134" s="24" t="inlineStr">
        <is>
          <t>1</t>
        </is>
      </c>
      <c r="BF134" s="24" t="inlineStr">
        <is>
          <t>1</t>
        </is>
      </c>
      <c r="BG134" s="24" t="inlineStr">
        <is>
          <t>cs2-tiered-elo-v4</t>
        </is>
      </c>
      <c r="BH134" s="24" t="inlineStr">
        <is>
          <t>2026-07-26T18:57:08.795944Z</t>
        </is>
      </c>
      <c r="BI134" s="24" t="inlineStr">
        <is>
          <t>["same_event","same_team_same_day","same_league_same_day"]</t>
        </is>
      </c>
      <c r="BJ134" s="25" t="n"/>
      <c r="BK134" s="26" t="n">
        <v>-163</v>
      </c>
      <c r="BL134" s="27" t="n">
        <v>1.613497</v>
      </c>
      <c r="BM134" s="28" t="n">
        <v>0.619772</v>
      </c>
      <c r="BN134" s="28" t="n"/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</row>
    <row r="135" ht="36" customHeight="1">
      <c r="A135" s="24" t="inlineStr">
        <is>
          <t>2690fe9aa7d541fd</t>
        </is>
      </c>
      <c r="B135" s="24" t="inlineStr">
        <is>
          <t>2026-07-26T18:57:10.343708Z</t>
        </is>
      </c>
      <c r="C135" s="24" t="inlineStr">
        <is>
          <t>2026-07-27T17:30:00Z</t>
        </is>
      </c>
      <c r="D135" s="24" t="inlineStr">
        <is>
          <t>60805</t>
        </is>
      </c>
      <c r="E135" s="24" t="inlineStr">
        <is>
          <t>CS2</t>
        </is>
      </c>
      <c r="F135" s="24" t="inlineStr">
        <is>
          <t>MOUZ NXT</t>
        </is>
      </c>
      <c r="G135" s="24" t="inlineStr">
        <is>
          <t>NAVI Junior</t>
        </is>
      </c>
      <c r="H135" s="24" t="inlineStr">
        <is>
          <t>moneyline</t>
        </is>
      </c>
      <c r="I135" s="24" t="inlineStr">
        <is>
          <t>away</t>
        </is>
      </c>
      <c r="J135" s="25" t="n"/>
      <c r="K135" s="24" t="inlineStr">
        <is>
          <t>polymarket_us</t>
        </is>
      </c>
      <c r="L135" s="26" t="n">
        <v>-156</v>
      </c>
      <c r="M135" s="27" t="n">
        <v>1.641026</v>
      </c>
      <c r="N135" s="28" t="n">
        <v>0.609375</v>
      </c>
      <c r="O135" s="28" t="n">
        <v>0.55859</v>
      </c>
      <c r="P135" s="28" t="n"/>
      <c r="Q135" s="28" t="n">
        <v>-0.050785</v>
      </c>
      <c r="R135" s="26" t="n">
        <v>0</v>
      </c>
      <c r="S135" s="29" t="n">
        <v>0</v>
      </c>
      <c r="T135" s="24" t="inlineStr">
        <is>
          <t>cs2-tiered-elo-v4</t>
        </is>
      </c>
      <c r="U135" s="24" t="inlineStr">
        <is>
          <t>open</t>
        </is>
      </c>
      <c r="V135" s="24" t="n"/>
      <c r="W135" s="26" t="n"/>
      <c r="X135" s="26" t="n"/>
      <c r="Y135" s="25" t="n"/>
      <c r="Z135" s="26" t="n"/>
      <c r="AA135" s="28" t="n"/>
      <c r="AB135" s="28" t="n"/>
      <c r="AC135" s="30" t="n"/>
      <c r="AD135" s="24" t="n"/>
      <c r="AE135" s="31" t="inlineStr">
        <is>
          <t>Neutral Elo baseline; executable ask 0.6100 (market_slug=aec-cs2-navij-mouzn-2026-07-27).</t>
        </is>
      </c>
      <c r="AF135" s="31" t="inlineStr">
        <is>
          <t>Config-promoted esports baseline; gates enforced at log time.</t>
        </is>
      </c>
      <c r="AG135" s="24" t="inlineStr">
        <is>
          <t>not_applicable</t>
        </is>
      </c>
      <c r="AH135" s="24" t="n"/>
      <c r="AI135" s="31" t="n"/>
      <c r="AJ135" s="31" t="n"/>
      <c r="AK135" s="24" t="inlineStr">
        <is>
          <t>research_observation</t>
        </is>
      </c>
      <c r="AL135" s="26" t="n">
        <v>3</v>
      </c>
      <c r="AM135" s="24" t="inlineStr">
        <is>
          <t>RESEARCH_OBSERVATION</t>
        </is>
      </c>
      <c r="AN135" s="24" t="inlineStr">
        <is>
          <t>NO_CALL</t>
        </is>
      </c>
      <c r="AO135" s="24" t="inlineStr">
        <is>
          <t>NO_CALL_LOW_EDGE</t>
        </is>
      </c>
      <c r="AP135" s="24" t="inlineStr">
        <is>
          <t>MOUZ NXT</t>
        </is>
      </c>
      <c r="AQ135" s="24" t="inlineStr">
        <is>
          <t>MOUZ NXT</t>
        </is>
      </c>
      <c r="AR135" s="24" t="inlineStr">
        <is>
          <t>MOUZ NXT</t>
        </is>
      </c>
      <c r="AS135" s="24" t="inlineStr">
        <is>
          <t>NAVI Junior</t>
        </is>
      </c>
      <c r="AT135" s="24" t="inlineStr">
        <is>
          <t>NAVI Junior</t>
        </is>
      </c>
      <c r="AU135" s="24" t="inlineStr">
        <is>
          <t>NAVI Junior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e9c327ce15d79aaa8ed5032a6fb86929aaa479e14a8bc9a35686411400dd6b91</t>
        </is>
      </c>
      <c r="BB135" s="24" t="inlineStr">
        <is>
          <t>neutral_elo</t>
        </is>
      </c>
      <c r="BC135" s="24" t="inlineStr">
        <is>
          <t>cs2-tiered-elo-v4</t>
        </is>
      </c>
      <c r="BD135" s="24" t="inlineStr">
        <is>
          <t>e9c327ce15d79aaa8ed5032a6fb86929aaa479e14a8bc9a35686411400dd6b91</t>
        </is>
      </c>
      <c r="BE135" s="24" t="inlineStr">
        <is>
          <t>1</t>
        </is>
      </c>
      <c r="BF135" s="24" t="inlineStr">
        <is>
          <t>1</t>
        </is>
      </c>
      <c r="BG135" s="24" t="inlineStr">
        <is>
          <t>cs2-tiered-elo-v4</t>
        </is>
      </c>
      <c r="BH135" s="24" t="inlineStr">
        <is>
          <t>2026-07-26T18:57:09.332110Z</t>
        </is>
      </c>
      <c r="BI135" s="24" t="inlineStr">
        <is>
          <t>["same_event","same_team_same_day","same_league_same_day"]</t>
        </is>
      </c>
      <c r="BJ135" s="25" t="n"/>
      <c r="BK135" s="26" t="n">
        <v>-156</v>
      </c>
      <c r="BL135" s="27" t="n">
        <v>1.641026</v>
      </c>
      <c r="BM135" s="28" t="n">
        <v>0.609375</v>
      </c>
      <c r="BN135" s="28" t="n"/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</row>
    <row r="136" ht="36" customHeight="1">
      <c r="A136" s="24" t="inlineStr">
        <is>
          <t>b64295ae005540a3</t>
        </is>
      </c>
      <c r="B136" s="24" t="inlineStr">
        <is>
          <t>2026-07-26T18:57:18.253750Z</t>
        </is>
      </c>
      <c r="C136" s="24" t="inlineStr">
        <is>
          <t>2026-07-27T12:00:00Z</t>
        </is>
      </c>
      <c r="D136" s="24" t="inlineStr">
        <is>
          <t>62511</t>
        </is>
      </c>
      <c r="E136" s="24" t="inlineStr">
        <is>
          <t>DOTA2</t>
        </is>
      </c>
      <c r="F136" s="24" t="inlineStr">
        <is>
          <t>Nemiga Gaming</t>
        </is>
      </c>
      <c r="G136" s="24" t="inlineStr">
        <is>
          <t>Team Syntax</t>
        </is>
      </c>
      <c r="H136" s="24" t="inlineStr">
        <is>
          <t>moneyline</t>
        </is>
      </c>
      <c r="I136" s="24" t="inlineStr">
        <is>
          <t>home</t>
        </is>
      </c>
      <c r="J136" s="25" t="n"/>
      <c r="K136" s="24" t="inlineStr">
        <is>
          <t>polymarket_us</t>
        </is>
      </c>
      <c r="L136" s="26" t="n">
        <v>-117</v>
      </c>
      <c r="M136" s="27" t="n">
        <v>1.854701</v>
      </c>
      <c r="N136" s="28" t="n">
        <v>0.539171</v>
      </c>
      <c r="O136" s="28" t="n">
        <v>0.521452</v>
      </c>
      <c r="P136" s="28" t="n"/>
      <c r="Q136" s="28" t="n">
        <v>-0.017719</v>
      </c>
      <c r="R136" s="26" t="n">
        <v>11</v>
      </c>
      <c r="S136" s="29" t="n">
        <v>0</v>
      </c>
      <c r="T136" s="24" t="inlineStr">
        <is>
          <t>dota2-tiered-elo-v4</t>
        </is>
      </c>
      <c r="U136" s="24" t="inlineStr">
        <is>
          <t>open</t>
        </is>
      </c>
      <c r="V136" s="24" t="n"/>
      <c r="W136" s="26" t="n"/>
      <c r="X136" s="26" t="n"/>
      <c r="Y136" s="25" t="n"/>
      <c r="Z136" s="26" t="n"/>
      <c r="AA136" s="28" t="n"/>
      <c r="AB136" s="28" t="n"/>
      <c r="AC136" s="30" t="n"/>
      <c r="AD136" s="24" t="n"/>
      <c r="AE136" s="31" t="inlineStr">
        <is>
          <t>Neutral Elo baseline; executable ask 0.5400 (market_slug=aec-dota2-stx-nemiga-2026-07-27).</t>
        </is>
      </c>
      <c r="AF136" s="31" t="inlineStr">
        <is>
          <t>Config-promoted esports baseline; gates enforced at log time.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research_observation</t>
        </is>
      </c>
      <c r="AL136" s="26" t="n">
        <v>3</v>
      </c>
      <c r="AM136" s="24" t="inlineStr">
        <is>
          <t>RESEARCH_OBSERVATION</t>
        </is>
      </c>
      <c r="AN136" s="24" t="inlineStr">
        <is>
          <t>NO_CALL</t>
        </is>
      </c>
      <c r="AO136" s="24" t="inlineStr">
        <is>
          <t>NO_CALL_MODEL_UNVALIDATED</t>
        </is>
      </c>
      <c r="AP136" s="24" t="inlineStr">
        <is>
          <t>Nemiga Gaming</t>
        </is>
      </c>
      <c r="AQ136" s="24" t="inlineStr">
        <is>
          <t>Nemiga Gaming</t>
        </is>
      </c>
      <c r="AR136" s="24" t="inlineStr">
        <is>
          <t>Nemiga Gaming</t>
        </is>
      </c>
      <c r="AS136" s="24" t="inlineStr">
        <is>
          <t>Team Syntax</t>
        </is>
      </c>
      <c r="AT136" s="24" t="inlineStr">
        <is>
          <t>Team Syntax</t>
        </is>
      </c>
      <c r="AU136" s="24" t="inlineStr">
        <is>
          <t>Team Syntax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d08d23d003cdc05b1cc5be7d2e52d9f477153e66ad3c7ec5e0f446618fcfe82f</t>
        </is>
      </c>
      <c r="BB136" s="24" t="inlineStr">
        <is>
          <t>neutral_elo</t>
        </is>
      </c>
      <c r="BC136" s="24" t="inlineStr">
        <is>
          <t>dota2-tiered-elo-v4</t>
        </is>
      </c>
      <c r="BD136" s="24" t="inlineStr">
        <is>
          <t>d08d23d003cdc05b1cc5be7d2e52d9f477153e66ad3c7ec5e0f446618fcfe82f</t>
        </is>
      </c>
      <c r="BE136" s="24" t="inlineStr">
        <is>
          <t>1</t>
        </is>
      </c>
      <c r="BF136" s="24" t="inlineStr">
        <is>
          <t>1</t>
        </is>
      </c>
      <c r="BG136" s="24" t="inlineStr">
        <is>
          <t>dota2-tiered-elo-v4</t>
        </is>
      </c>
      <c r="BH136" s="24" t="inlineStr">
        <is>
          <t>2026-07-26T18:57:17.164428Z</t>
        </is>
      </c>
      <c r="BI136" s="24" t="inlineStr">
        <is>
          <t>["same_event","same_team_same_day","same_league_same_day"]</t>
        </is>
      </c>
      <c r="BJ136" s="25" t="n"/>
      <c r="BK136" s="26" t="n">
        <v>-117</v>
      </c>
      <c r="BL136" s="27" t="n">
        <v>1.854701</v>
      </c>
      <c r="BM136" s="28" t="n">
        <v>0.539171</v>
      </c>
      <c r="BN136" s="28" t="n"/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</row>
    <row r="137" ht="36" customHeight="1">
      <c r="A137" s="24" t="inlineStr">
        <is>
          <t>e424d1a6e17743f5</t>
        </is>
      </c>
      <c r="B137" s="24" t="inlineStr">
        <is>
          <t>2026-07-26T18:57:18.253750Z</t>
        </is>
      </c>
      <c r="C137" s="24" t="inlineStr">
        <is>
          <t>2026-07-27T15:00:00Z</t>
        </is>
      </c>
      <c r="D137" s="24" t="inlineStr">
        <is>
          <t>62512</t>
        </is>
      </c>
      <c r="E137" s="24" t="inlineStr">
        <is>
          <t>DOTA2</t>
        </is>
      </c>
      <c r="F137" s="24" t="inlineStr">
        <is>
          <t>Ilbirs eSports</t>
        </is>
      </c>
      <c r="G137" s="24" t="inlineStr">
        <is>
          <t>Team Jenz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-133</v>
      </c>
      <c r="M137" s="27" t="n">
        <v>1.75188</v>
      </c>
      <c r="N137" s="28" t="n">
        <v>0.570815</v>
      </c>
      <c r="O137" s="28" t="n">
        <v>0.521452</v>
      </c>
      <c r="P137" s="28" t="n"/>
      <c r="Q137" s="28" t="n">
        <v>-0.049363</v>
      </c>
      <c r="R137" s="26" t="n">
        <v>0</v>
      </c>
      <c r="S137" s="29" t="n">
        <v>0</v>
      </c>
      <c r="T137" s="24" t="inlineStr">
        <is>
          <t>dota2-tiered-elo-v4</t>
        </is>
      </c>
      <c r="U137" s="24" t="inlineStr">
        <is>
          <t>open</t>
        </is>
      </c>
      <c r="V137" s="24" t="n"/>
      <c r="W137" s="26" t="n"/>
      <c r="X137" s="26" t="n"/>
      <c r="Y137" s="25" t="n"/>
      <c r="Z137" s="26" t="n"/>
      <c r="AA137" s="28" t="n"/>
      <c r="AB137" s="28" t="n"/>
      <c r="AC137" s="30" t="n"/>
      <c r="AD137" s="24" t="n"/>
      <c r="AE137" s="31" t="inlineStr">
        <is>
          <t>Neutral Elo baseline; executable ask 0.5700 (market_slug=aec-dota2-tje-ill-2026-07-27).</t>
        </is>
      </c>
      <c r="AF137" s="31" t="inlineStr">
        <is>
          <t>Config-promoted esports baseline; gates enforced at log time.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research_observation</t>
        </is>
      </c>
      <c r="AL137" s="26" t="n">
        <v>3</v>
      </c>
      <c r="AM137" s="24" t="inlineStr">
        <is>
          <t>RESEARCH_OBSERVATION</t>
        </is>
      </c>
      <c r="AN137" s="24" t="inlineStr">
        <is>
          <t>NO_CALL</t>
        </is>
      </c>
      <c r="AO137" s="24" t="inlineStr">
        <is>
          <t>NO_CALL_MODEL_UNVALIDATED</t>
        </is>
      </c>
      <c r="AP137" s="24" t="inlineStr">
        <is>
          <t>Ilbirs eSports</t>
        </is>
      </c>
      <c r="AQ137" s="24" t="inlineStr">
        <is>
          <t>Ilbirs eSports</t>
        </is>
      </c>
      <c r="AR137" s="24" t="inlineStr">
        <is>
          <t>Ilbirs eSports</t>
        </is>
      </c>
      <c r="AS137" s="24" t="inlineStr">
        <is>
          <t>Team Jenz</t>
        </is>
      </c>
      <c r="AT137" s="24" t="inlineStr">
        <is>
          <t>Team Jenz</t>
        </is>
      </c>
      <c r="AU137" s="24" t="inlineStr">
        <is>
          <t>Team Jenz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d08d23d003cdc05b1cc5be7d2e52d9f477153e66ad3c7ec5e0f446618fcfe82f</t>
        </is>
      </c>
      <c r="BB137" s="24" t="inlineStr">
        <is>
          <t>neutral_elo</t>
        </is>
      </c>
      <c r="BC137" s="24" t="inlineStr">
        <is>
          <t>dota2-tiered-elo-v4</t>
        </is>
      </c>
      <c r="BD137" s="24" t="inlineStr">
        <is>
          <t>d08d23d003cdc05b1cc5be7d2e52d9f477153e66ad3c7ec5e0f446618fcfe82f</t>
        </is>
      </c>
      <c r="BE137" s="24" t="inlineStr">
        <is>
          <t>1</t>
        </is>
      </c>
      <c r="BF137" s="24" t="inlineStr">
        <is>
          <t>1</t>
        </is>
      </c>
      <c r="BG137" s="24" t="inlineStr">
        <is>
          <t>dota2-tiered-elo-v4</t>
        </is>
      </c>
      <c r="BH137" s="24" t="inlineStr">
        <is>
          <t>2026-07-26T18:57:17.703755Z</t>
        </is>
      </c>
      <c r="BI137" s="24" t="inlineStr">
        <is>
          <t>["same_event","same_team_same_day","same_league_same_day"]</t>
        </is>
      </c>
      <c r="BJ137" s="25" t="n"/>
      <c r="BK137" s="26" t="n">
        <v>-133</v>
      </c>
      <c r="BL137" s="27" t="n">
        <v>1.75188</v>
      </c>
      <c r="BM137" s="28" t="n">
        <v>0.570815</v>
      </c>
      <c r="BN137" s="28" t="n"/>
      <c r="BO137" s="28" t="n"/>
      <c r="BP137" s="25" t="n"/>
      <c r="BQ137" s="27" t="n"/>
      <c r="BR137" s="28" t="n"/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</row>
    <row r="138" ht="36" customHeight="1">
      <c r="A138" s="24" t="inlineStr">
        <is>
          <t>0cd9b93567af4452</t>
        </is>
      </c>
      <c r="B138" s="24" t="inlineStr">
        <is>
          <t>2026-07-26T18:57:18.253750Z</t>
        </is>
      </c>
      <c r="C138" s="24" t="inlineStr">
        <is>
          <t>2026-07-27T18:00:00Z</t>
        </is>
      </c>
      <c r="D138" s="24" t="inlineStr">
        <is>
          <t>62513</t>
        </is>
      </c>
      <c r="E138" s="24" t="inlineStr">
        <is>
          <t>DOTA2</t>
        </is>
      </c>
      <c r="F138" s="24" t="inlineStr">
        <is>
          <t>KW</t>
        </is>
      </c>
      <c r="G138" s="24" t="inlineStr">
        <is>
          <t>Team Bald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-233</v>
      </c>
      <c r="M138" s="27" t="n">
        <v>1.429185</v>
      </c>
      <c r="N138" s="28" t="n">
        <v>0.6997</v>
      </c>
      <c r="O138" s="28" t="n">
        <v>0.521452</v>
      </c>
      <c r="P138" s="28" t="n"/>
      <c r="Q138" s="28" t="n">
        <v>-0.178248</v>
      </c>
      <c r="R138" s="26" t="n">
        <v>0</v>
      </c>
      <c r="S138" s="29" t="n">
        <v>0</v>
      </c>
      <c r="T138" s="24" t="inlineStr">
        <is>
          <t>dota2-tiered-elo-v4</t>
        </is>
      </c>
      <c r="U138" s="24" t="inlineStr">
        <is>
          <t>open</t>
        </is>
      </c>
      <c r="V138" s="24" t="n"/>
      <c r="W138" s="26" t="n"/>
      <c r="X138" s="26" t="n"/>
      <c r="Y138" s="25" t="n"/>
      <c r="Z138" s="26" t="n"/>
      <c r="AA138" s="28" t="n"/>
      <c r="AB138" s="28" t="n"/>
      <c r="AC138" s="30" t="n"/>
      <c r="AD138" s="24" t="n"/>
      <c r="AE138" s="31" t="inlineStr">
        <is>
          <t>Neutral Elo baseline; executable ask 0.7000 (market_slug=aec-dota2-bald-kw-2026-07-27).</t>
        </is>
      </c>
      <c r="AF138" s="31" t="inlineStr">
        <is>
          <t>Config-promoted esports baseline; gates enforced at log time.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research_observation</t>
        </is>
      </c>
      <c r="AL138" s="26" t="n">
        <v>3</v>
      </c>
      <c r="AM138" s="24" t="inlineStr">
        <is>
          <t>RESEARCH_OBSERVATION</t>
        </is>
      </c>
      <c r="AN138" s="24" t="inlineStr">
        <is>
          <t>NO_CALL</t>
        </is>
      </c>
      <c r="AO138" s="24" t="inlineStr">
        <is>
          <t>NO_CALL_MODEL_UNVALIDATED</t>
        </is>
      </c>
      <c r="AP138" s="24" t="inlineStr">
        <is>
          <t>KW</t>
        </is>
      </c>
      <c r="AQ138" s="24" t="inlineStr">
        <is>
          <t>KW</t>
        </is>
      </c>
      <c r="AR138" s="24" t="inlineStr">
        <is>
          <t>KW</t>
        </is>
      </c>
      <c r="AS138" s="24" t="inlineStr">
        <is>
          <t>Team Bald</t>
        </is>
      </c>
      <c r="AT138" s="24" t="inlineStr">
        <is>
          <t>Team Bald</t>
        </is>
      </c>
      <c r="AU138" s="24" t="inlineStr">
        <is>
          <t>Team Bald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d08d23d003cdc05b1cc5be7d2e52d9f477153e66ad3c7ec5e0f446618fcfe82f</t>
        </is>
      </c>
      <c r="BB138" s="24" t="inlineStr">
        <is>
          <t>neutral_elo</t>
        </is>
      </c>
      <c r="BC138" s="24" t="inlineStr">
        <is>
          <t>dota2-tiered-elo-v4</t>
        </is>
      </c>
      <c r="BD138" s="24" t="inlineStr">
        <is>
          <t>d08d23d003cdc05b1cc5be7d2e52d9f477153e66ad3c7ec5e0f446618fcfe82f</t>
        </is>
      </c>
      <c r="BE138" s="24" t="inlineStr">
        <is>
          <t>1</t>
        </is>
      </c>
      <c r="BF138" s="24" t="inlineStr">
        <is>
          <t>1</t>
        </is>
      </c>
      <c r="BG138" s="24" t="inlineStr">
        <is>
          <t>dota2-tiered-elo-v4</t>
        </is>
      </c>
      <c r="BH138" s="24" t="inlineStr">
        <is>
          <t>2026-07-26T18:57:18.253348Z</t>
        </is>
      </c>
      <c r="BI138" s="24" t="inlineStr">
        <is>
          <t>["same_event","same_team_same_day","same_league_same_day"]</t>
        </is>
      </c>
      <c r="BJ138" s="25" t="n"/>
      <c r="BK138" s="26" t="n">
        <v>-233</v>
      </c>
      <c r="BL138" s="27" t="n">
        <v>1.429185</v>
      </c>
      <c r="BM138" s="28" t="n">
        <v>0.6997</v>
      </c>
      <c r="BN138" s="28" t="n"/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</row>
    <row r="139" ht="36" customHeight="1">
      <c r="A139" s="24" t="inlineStr">
        <is>
          <t>2ad755bd459b425a</t>
        </is>
      </c>
      <c r="B139" s="24" t="inlineStr">
        <is>
          <t>2026-07-26T18:57:28.906093Z</t>
        </is>
      </c>
      <c r="C139" s="24" t="inlineStr">
        <is>
          <t>2026-07-27T15:00:00Z</t>
        </is>
      </c>
      <c r="D139" s="24" t="inlineStr">
        <is>
          <t>60760</t>
        </is>
      </c>
      <c r="E139" s="24" t="inlineStr">
        <is>
          <t>VALORANT</t>
        </is>
      </c>
      <c r="F139" s="24" t="inlineStr">
        <is>
          <t>Habos Babos</t>
        </is>
      </c>
      <c r="G139" s="24" t="inlineStr">
        <is>
          <t>Barça eSports GC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122</v>
      </c>
      <c r="M139" s="27" t="n">
        <v>2.22</v>
      </c>
      <c r="N139" s="28" t="n">
        <v>0.45045</v>
      </c>
      <c r="O139" s="28" t="n">
        <v>0.5200050000000001</v>
      </c>
      <c r="P139" s="28" t="n"/>
      <c r="Q139" s="28" t="n">
        <v>0.06955500000000001</v>
      </c>
      <c r="R139" s="26" t="n">
        <v>55</v>
      </c>
      <c r="S139" s="29" t="n">
        <v>0</v>
      </c>
      <c r="T139" s="24" t="inlineStr">
        <is>
          <t>valorant-tiered-elo-v4</t>
        </is>
      </c>
      <c r="U139" s="24" t="inlineStr">
        <is>
          <t>open</t>
        </is>
      </c>
      <c r="V139" s="24" t="n"/>
      <c r="W139" s="26" t="n"/>
      <c r="X139" s="26" t="n"/>
      <c r="Y139" s="25" t="n"/>
      <c r="Z139" s="26" t="n"/>
      <c r="AA139" s="28" t="n"/>
      <c r="AB139" s="28" t="n"/>
      <c r="AC139" s="30" t="n"/>
      <c r="AD139" s="24" t="n"/>
      <c r="AE139" s="31" t="inlineStr">
        <is>
          <t>Neutral Elo baseline; executable ask 0.4500 (market_slug=aec-valorant-beg-hbs-2026-07-27).</t>
        </is>
      </c>
      <c r="AF139" s="31" t="inlineStr">
        <is>
          <t>Config-promoted esports baseline; gates enforced at log time.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research_observation</t>
        </is>
      </c>
      <c r="AL139" s="26" t="n">
        <v>3</v>
      </c>
      <c r="AM139" s="24" t="inlineStr">
        <is>
          <t>RESEARCH_OBSERVATION</t>
        </is>
      </c>
      <c r="AN139" s="24" t="inlineStr">
        <is>
          <t>NO_CALL</t>
        </is>
      </c>
      <c r="AO139" s="24" t="inlineStr">
        <is>
          <t>NO_CALL_MODEL_UNVALIDATED</t>
        </is>
      </c>
      <c r="AP139" s="24" t="inlineStr">
        <is>
          <t>Habos Babos</t>
        </is>
      </c>
      <c r="AQ139" s="24" t="inlineStr">
        <is>
          <t>Habos Babos</t>
        </is>
      </c>
      <c r="AR139" s="24" t="inlineStr">
        <is>
          <t>Habos Babos</t>
        </is>
      </c>
      <c r="AS139" s="24" t="inlineStr">
        <is>
          <t>Barça eSports GC</t>
        </is>
      </c>
      <c r="AT139" s="24" t="inlineStr">
        <is>
          <t>Barça eSports GC</t>
        </is>
      </c>
      <c r="AU139" s="24" t="inlineStr">
        <is>
          <t>Barça eSports GC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153b0db03af0303675f7eb2520b56d0fd86008f1bb62095f9881ea43a0124bb2</t>
        </is>
      </c>
      <c r="BB139" s="24" t="inlineStr">
        <is>
          <t>neutral_elo</t>
        </is>
      </c>
      <c r="BC139" s="24" t="inlineStr">
        <is>
          <t>valorant-tiered-elo-v4</t>
        </is>
      </c>
      <c r="BD139" s="24" t="inlineStr">
        <is>
          <t>153b0db03af0303675f7eb2520b56d0fd86008f1bb62095f9881ea43a0124bb2</t>
        </is>
      </c>
      <c r="BE139" s="24" t="inlineStr">
        <is>
          <t>1</t>
        </is>
      </c>
      <c r="BF139" s="24" t="inlineStr">
        <is>
          <t>1</t>
        </is>
      </c>
      <c r="BG139" s="24" t="inlineStr">
        <is>
          <t>valorant-tiered-elo-v4</t>
        </is>
      </c>
      <c r="BH139" s="24" t="inlineStr">
        <is>
          <t>2026-07-26T18:57:22.657555Z</t>
        </is>
      </c>
      <c r="BI139" s="24" t="inlineStr">
        <is>
          <t>["same_event","same_team_same_day","same_league_same_day"]</t>
        </is>
      </c>
      <c r="BJ139" s="25" t="n"/>
      <c r="BK139" s="26" t="n">
        <v>122</v>
      </c>
      <c r="BL139" s="27" t="n">
        <v>2.22</v>
      </c>
      <c r="BM139" s="28" t="n">
        <v>0.45045</v>
      </c>
      <c r="BN139" s="28" t="n"/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2026-07-26T18:57:29Z</dcterms:created>
  <dcterms:modified xsi:type="dcterms:W3CDTF">2026-07-26T18:57:29Z</dcterms:modified>
</cp:coreProperties>
</file>