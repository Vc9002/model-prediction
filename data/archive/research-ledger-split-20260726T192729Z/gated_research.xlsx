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O29" headerRowCount="1">
  <autoFilter ref="A1:CO29"/>
  <tableColumns count="93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COUNTA('Picks'!$A$2:$A$29)</f>
        <v/>
      </c>
      <c r="C4" s="6">
        <f>COUNTIF('Picks'!$U$2:$U$29,"open")</f>
        <v/>
      </c>
      <c r="E4" s="6">
        <f>COUNTIF('Picks'!$U$2:$U$29,"settled")</f>
        <v/>
      </c>
      <c r="G4" s="6">
        <f>IF(COUNTIFS('Picks'!$U$2:$U$29,"settled",'Picks'!$V$2:$V$29,"win")+COUNTIFS('Picks'!$U$2:$U$29,"settled",'Picks'!$V$2:$V$29,"loss")&gt;=$L$2,"Ready","Insufficient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COUNTIF('Picks'!$BX$2:$BX$29,"&gt;0")</f>
        <v/>
      </c>
      <c r="C7" s="6">
        <f>COUNTIFS('Picks'!$BX$2:$BX$29,"&gt;0",'Picks'!$V$2:$V$29,"win")&amp;"-"&amp;COUNTIFS('Picks'!$BX$2:$BX$29,"&gt;0",'Picks'!$V$2:$V$29,"loss")</f>
        <v/>
      </c>
      <c r="E7" s="7">
        <f>IFERROR(COUNTIFS('Picks'!$BX$2:$BX$29,"&gt;0",'Picks'!$V$2:$V$29,"win")/(COUNTIFS('Picks'!$BX$2:$BX$29,"&gt;0",'Picks'!$V$2:$V$29,"win")+COUNTIFS('Picks'!$BX$2:$BX$29,"&gt;0",'Picks'!$V$2:$V$29,"loss")),0)</f>
        <v/>
      </c>
      <c r="G7" s="7">
        <f>IFERROR(SUM('Picks'!$BY$2:$BY$29)/SUM('Picks'!$BX$2:$BX$29),0)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SUM('Picks'!$BY$2:$BY$29)</f>
        <v/>
      </c>
      <c r="C10" s="9">
        <f>IFERROR(AVERAGEIF('Picks'!$AB$2:$AB$29,"&lt;&gt;",'Picks'!$AB$2:$AB$29),0)</f>
        <v/>
      </c>
      <c r="E10" s="6">
        <f>COUNTIFS('Picks'!$AM$2:$AM$29,"QUALIFIED_SHADOW_CALL",'Picks'!$U$2:$U$29,"settled")</f>
        <v/>
      </c>
      <c r="G10" s="8">
        <f>SUMIFS('Picks'!$AC$2:$AC$29,'Picks'!$AM$2:$AM$29,"QUALIFIED_SHADOW_CALL")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COUNTIFS('Picks'!$H$2:$H$29,$A14,'Picks'!$U$2:$U$29,"settled")</f>
        <v/>
      </c>
      <c r="C14" s="13">
        <f>COUNTIFS('Picks'!$H$2:$H$29,$A14,'Picks'!$U$2:$U$29,"settled",'Picks'!$V$2:$V$29,"win")</f>
        <v/>
      </c>
      <c r="D14" s="13">
        <f>COUNTIFS('Picks'!$H$2:$H$29,$A14,'Picks'!$U$2:$U$29,"settled",'Picks'!$V$2:$V$29,"loss")</f>
        <v/>
      </c>
      <c r="E14" s="14">
        <f>IFERROR(C14/(C14+D14),0)</f>
        <v/>
      </c>
      <c r="F14" s="15">
        <f>SUMIFS('Picks'!$BY$2:$BY$29,'Picks'!$H$2:$H$29,$A14)</f>
        <v/>
      </c>
      <c r="G14" s="16">
        <f>IFERROR(AVERAGEIFS('Picks'!$AB$2:$AB$29,'Picks'!$H$2:$H$29,$A14,'Picks'!$U$2:$U$29,"settled"),0)</f>
        <v/>
      </c>
    </row>
    <row r="15">
      <c r="A15" s="17" t="inlineStr">
        <is>
          <t>spread</t>
        </is>
      </c>
      <c r="B15" s="18">
        <f>COUNTIFS('Picks'!$H$2:$H$29,$A15,'Picks'!$U$2:$U$29,"settled")</f>
        <v/>
      </c>
      <c r="C15" s="18">
        <f>COUNTIFS('Picks'!$H$2:$H$29,$A15,'Picks'!$U$2:$U$29,"settled",'Picks'!$V$2:$V$29,"win")</f>
        <v/>
      </c>
      <c r="D15" s="18">
        <f>COUNTIFS('Picks'!$H$2:$H$29,$A15,'Picks'!$U$2:$U$29,"settled",'Picks'!$V$2:$V$29,"loss")</f>
        <v/>
      </c>
      <c r="E15" s="19">
        <f>IFERROR(C15/(C15+D15),0)</f>
        <v/>
      </c>
      <c r="F15" s="20">
        <f>SUMIFS('Picks'!$BY$2:$BY$29,'Picks'!$H$2:$H$29,$A15)</f>
        <v/>
      </c>
      <c r="G15" s="21">
        <f>IFERROR(AVERAGEIFS('Picks'!$AB$2:$AB$29,'Picks'!$H$2:$H$29,$A15,'Picks'!$U$2:$U$29,"settled"),0)</f>
        <v/>
      </c>
    </row>
    <row r="16">
      <c r="A16" s="12" t="inlineStr">
        <is>
          <t>total</t>
        </is>
      </c>
      <c r="B16" s="13">
        <f>COUNTIFS('Picks'!$H$2:$H$29,$A16,'Picks'!$U$2:$U$29,"settled")</f>
        <v/>
      </c>
      <c r="C16" s="13">
        <f>COUNTIFS('Picks'!$H$2:$H$29,$A16,'Picks'!$U$2:$U$29,"settled",'Picks'!$V$2:$V$29,"win")</f>
        <v/>
      </c>
      <c r="D16" s="13">
        <f>COUNTIFS('Picks'!$H$2:$H$29,$A16,'Picks'!$U$2:$U$29,"settled",'Picks'!$V$2:$V$29,"loss")</f>
        <v/>
      </c>
      <c r="E16" s="14">
        <f>IFERROR(C16/(C16+D16),0)</f>
        <v/>
      </c>
      <c r="F16" s="15">
        <f>SUMIFS('Picks'!$BY$2:$BY$29,'Picks'!$H$2:$H$29,$A16)</f>
        <v/>
      </c>
      <c r="G16" s="16">
        <f>IFERROR(AVERAGEIFS('Picks'!$AB$2:$AB$29,'Picks'!$H$2:$H$29,$A16,'Picks'!$U$2:$U$29,"settled"),0)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O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</row>
    <row r="2" ht="36" customHeight="1">
      <c r="A2" s="24" t="inlineStr">
        <is>
          <t>5731c8f737ac4537</t>
        </is>
      </c>
      <c r="B2" s="24" t="inlineStr">
        <is>
          <t>2026-07-24T23:41:30.416364Z</t>
        </is>
      </c>
      <c r="C2" s="24" t="inlineStr">
        <is>
          <t>2026-07-25T14:00:00Z</t>
        </is>
      </c>
      <c r="D2" s="24" t="inlineStr">
        <is>
          <t>61041</t>
        </is>
      </c>
      <c r="E2" s="24" t="inlineStr">
        <is>
          <t>CS2</t>
        </is>
      </c>
      <c r="F2" s="24" t="inlineStr">
        <is>
          <t>Just Players</t>
        </is>
      </c>
      <c r="G2" s="24" t="inlineStr">
        <is>
          <t>Black Phoenix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-156</v>
      </c>
      <c r="M2" s="27" t="n">
        <v>1.641026</v>
      </c>
      <c r="N2" s="28" t="n">
        <v>0.609375</v>
      </c>
      <c r="O2" s="28" t="n">
        <v>0.700263</v>
      </c>
      <c r="P2" s="28" t="n"/>
      <c r="Q2" s="28" t="n">
        <v>0.090888</v>
      </c>
      <c r="R2" s="26" t="n">
        <v>65</v>
      </c>
      <c r="S2" s="29" t="n">
        <v>1.5</v>
      </c>
      <c r="T2" s="24" t="inlineStr">
        <is>
          <t>cs2-tiered-elo-v4</t>
        </is>
      </c>
      <c r="U2" s="24" t="inlineStr">
        <is>
          <t>settled</t>
        </is>
      </c>
      <c r="V2" s="24" t="inlineStr">
        <is>
          <t>win</t>
        </is>
      </c>
      <c r="W2" s="26" t="n">
        <v>1</v>
      </c>
      <c r="X2" s="26" t="n">
        <v>0</v>
      </c>
      <c r="Y2" s="25" t="n"/>
      <c r="Z2" s="26" t="n"/>
      <c r="AA2" s="28" t="n"/>
      <c r="AB2" s="28" t="n"/>
      <c r="AC2" s="30" t="n">
        <v>0.9615</v>
      </c>
      <c r="AD2" s="24" t="inlineStr">
        <is>
          <t>2026-07-25T15:26:46.828374Z</t>
        </is>
      </c>
      <c r="AE2" s="31" t="inlineStr">
        <is>
          <t>Neutral Elo baseline; executable ask 0.6100 (market_slug=aec-cs2-bpl-jpu-2026-07-25).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Just Players</t>
        </is>
      </c>
      <c r="AQ2" s="24" t="inlineStr">
        <is>
          <t>Just Players</t>
        </is>
      </c>
      <c r="AR2" s="24" t="inlineStr">
        <is>
          <t>Just Players</t>
        </is>
      </c>
      <c r="AS2" s="24" t="inlineStr">
        <is>
          <t>Black Phoenix</t>
        </is>
      </c>
      <c r="AT2" s="24" t="inlineStr">
        <is>
          <t>Black Phoenix</t>
        </is>
      </c>
      <c r="AU2" s="24" t="inlineStr">
        <is>
          <t>Black Phoenix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e9c327ce15d79aaa8ed5032a6fb86929aaa479e14a8bc9a35686411400dd6b91</t>
        </is>
      </c>
      <c r="BB2" s="24" t="inlineStr">
        <is>
          <t>neutral_elo</t>
        </is>
      </c>
      <c r="BC2" s="24" t="inlineStr">
        <is>
          <t>cs2-tiered-elo-v4</t>
        </is>
      </c>
      <c r="BD2" s="24" t="inlineStr">
        <is>
          <t>e9c327ce15d79aaa8ed5032a6fb86929aaa479e14a8bc9a35686411400dd6b91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cs2-tiered-elo-v4</t>
        </is>
      </c>
      <c r="BH2" s="24" t="inlineStr">
        <is>
          <t>2026-07-24T23:41:23.355814Z</t>
        </is>
      </c>
      <c r="BI2" s="24" t="inlineStr">
        <is>
          <t>["same_event","same_team_same_day","same_league_same_day"]</t>
        </is>
      </c>
      <c r="BJ2" s="25" t="n"/>
      <c r="BK2" s="26" t="n">
        <v>-156</v>
      </c>
      <c r="BL2" s="27" t="n">
        <v>1.641026</v>
      </c>
      <c r="BM2" s="28" t="n">
        <v>0.609375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</row>
    <row r="3" ht="36" customHeight="1">
      <c r="A3" s="24" t="inlineStr">
        <is>
          <t>f33dad858ec44b5e</t>
        </is>
      </c>
      <c r="B3" s="24" t="inlineStr">
        <is>
          <t>2026-07-25T15:59:58.806015Z</t>
        </is>
      </c>
      <c r="C3" s="24" t="inlineStr">
        <is>
          <t>2026-07-25T16:00:00Z</t>
        </is>
      </c>
      <c r="D3" s="24" t="inlineStr">
        <is>
          <t>60140</t>
        </is>
      </c>
      <c r="E3" s="24" t="inlineStr">
        <is>
          <t>DOTA2</t>
        </is>
      </c>
      <c r="F3" s="24" t="inlineStr">
        <is>
          <t>PuckChamp</t>
        </is>
      </c>
      <c r="G3" s="24" t="inlineStr">
        <is>
          <t>KW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127</v>
      </c>
      <c r="M3" s="27" t="n">
        <v>2.27</v>
      </c>
      <c r="N3" s="28" t="n">
        <v>0.440529</v>
      </c>
      <c r="O3" s="28" t="n">
        <v>0.521452</v>
      </c>
      <c r="P3" s="28" t="n"/>
      <c r="Q3" s="28" t="n">
        <v>0.08092299999999999</v>
      </c>
      <c r="R3" s="26" t="n">
        <v>60</v>
      </c>
      <c r="S3" s="29" t="n">
        <v>0.75</v>
      </c>
      <c r="T3" s="24" t="inlineStr">
        <is>
          <t>dota2-tiered-elo-v4</t>
        </is>
      </c>
      <c r="U3" s="24" t="inlineStr">
        <is>
          <t>settled</t>
        </is>
      </c>
      <c r="V3" s="24" t="inlineStr">
        <is>
          <t>loss</t>
        </is>
      </c>
      <c r="W3" s="26" t="n">
        <v>1</v>
      </c>
      <c r="X3" s="26" t="n">
        <v>0</v>
      </c>
      <c r="Y3" s="25" t="n"/>
      <c r="Z3" s="26" t="n"/>
      <c r="AA3" s="28" t="n"/>
      <c r="AB3" s="28" t="n"/>
      <c r="AC3" s="30" t="n">
        <v>-0.75</v>
      </c>
      <c r="AD3" s="24" t="inlineStr">
        <is>
          <t>2026-07-25T19:18:13.769124Z</t>
        </is>
      </c>
      <c r="AE3" s="31" t="inlineStr">
        <is>
          <t>Neutral Elo baseline; executable ask 0.4400 (market_slug=aec-dota2-kw-pckcp-2026-07-25).</t>
        </is>
      </c>
      <c r="AF3" s="31" t="inlineStr">
        <is>
          <t>Config-promoted esports baseline; gates enforced at log time.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PuckChamp</t>
        </is>
      </c>
      <c r="AQ3" s="24" t="inlineStr">
        <is>
          <t>PuckChamp</t>
        </is>
      </c>
      <c r="AR3" s="24" t="inlineStr">
        <is>
          <t>PuckChamp</t>
        </is>
      </c>
      <c r="AS3" s="24" t="inlineStr">
        <is>
          <t>KW</t>
        </is>
      </c>
      <c r="AT3" s="24" t="inlineStr">
        <is>
          <t>KW</t>
        </is>
      </c>
      <c r="AU3" s="24" t="inlineStr">
        <is>
          <t>KW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d08d23d003cdc05b1cc5be7d2e52d9f477153e66ad3c7ec5e0f446618fcfe82f</t>
        </is>
      </c>
      <c r="BB3" s="24" t="inlineStr">
        <is>
          <t>neutral_elo</t>
        </is>
      </c>
      <c r="BC3" s="24" t="inlineStr">
        <is>
          <t>dota2-tiered-elo-v4</t>
        </is>
      </c>
      <c r="BD3" s="24" t="inlineStr">
        <is>
          <t>d08d23d003cdc05b1cc5be7d2e52d9f477153e66ad3c7ec5e0f446618fcfe82f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dota2-tiered-elo-v4</t>
        </is>
      </c>
      <c r="BH3" s="24" t="inlineStr">
        <is>
          <t>2026-07-25T15:59:58.057321Z</t>
        </is>
      </c>
      <c r="BI3" s="24" t="inlineStr">
        <is>
          <t>["same_event","same_team_same_day","same_league_same_day"]</t>
        </is>
      </c>
      <c r="BJ3" s="25" t="n"/>
      <c r="BK3" s="26" t="n">
        <v>127</v>
      </c>
      <c r="BL3" s="27" t="n">
        <v>2.27</v>
      </c>
      <c r="BM3" s="28" t="n">
        <v>0.440529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</row>
    <row r="4" ht="36" customHeight="1">
      <c r="A4" s="24" t="inlineStr">
        <is>
          <t>635c46b99f6e4aee</t>
        </is>
      </c>
      <c r="B4" s="24" t="inlineStr">
        <is>
          <t>2026-07-25T16:16:17.517287Z</t>
        </is>
      </c>
      <c r="C4" s="24" t="inlineStr">
        <is>
          <t>2026-07-25T17:00:00Z</t>
        </is>
      </c>
      <c r="D4" s="24" t="inlineStr">
        <is>
          <t>59392</t>
        </is>
      </c>
      <c r="E4" s="24" t="inlineStr">
        <is>
          <t>LOL</t>
        </is>
      </c>
      <c r="F4" s="24" t="inlineStr">
        <is>
          <t>Movistar KOI</t>
        </is>
      </c>
      <c r="G4" s="24" t="inlineStr">
        <is>
          <t>Karmine Corp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-203</v>
      </c>
      <c r="M4" s="27" t="n">
        <v>1.492611</v>
      </c>
      <c r="N4" s="28" t="n">
        <v>0.669967</v>
      </c>
      <c r="O4" s="28" t="n">
        <v>0.761127</v>
      </c>
      <c r="P4" s="28" t="n"/>
      <c r="Q4" s="28" t="n">
        <v>0.09116</v>
      </c>
      <c r="R4" s="26" t="n">
        <v>66</v>
      </c>
      <c r="S4" s="29" t="n">
        <v>2</v>
      </c>
      <c r="T4" s="24" t="inlineStr">
        <is>
          <t>lol-tiered-elo-v4</t>
        </is>
      </c>
      <c r="U4" s="24" t="inlineStr">
        <is>
          <t>settled</t>
        </is>
      </c>
      <c r="V4" s="24" t="inlineStr">
        <is>
          <t>win</t>
        </is>
      </c>
      <c r="W4" s="26" t="n">
        <v>0</v>
      </c>
      <c r="X4" s="26" t="n">
        <v>1</v>
      </c>
      <c r="Y4" s="25" t="n"/>
      <c r="Z4" s="26" t="n"/>
      <c r="AA4" s="28" t="n"/>
      <c r="AB4" s="28" t="n"/>
      <c r="AC4" s="30" t="n">
        <v>0.9852</v>
      </c>
      <c r="AD4" s="24" t="inlineStr">
        <is>
          <t>2026-07-25T19:18:15.146692Z</t>
        </is>
      </c>
      <c r="AE4" s="31" t="inlineStr">
        <is>
          <t>Neutral Elo baseline; executable ask 0.6700 (market_slug=aec-lol-kc-mkoi-2026-07-25).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Movistar KOI</t>
        </is>
      </c>
      <c r="AQ4" s="24" t="inlineStr">
        <is>
          <t>Movistar KOI</t>
        </is>
      </c>
      <c r="AR4" s="24" t="inlineStr">
        <is>
          <t>Movistar KOI</t>
        </is>
      </c>
      <c r="AS4" s="24" t="inlineStr">
        <is>
          <t>Karmine Corp</t>
        </is>
      </c>
      <c r="AT4" s="24" t="inlineStr">
        <is>
          <t>Karmine Corp</t>
        </is>
      </c>
      <c r="AU4" s="24" t="inlineStr">
        <is>
          <t>Karmine Corp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35087e828a0053011a97024de693e2ee7eb80eb03024c91d28d254de09d93778</t>
        </is>
      </c>
      <c r="BB4" s="24" t="inlineStr">
        <is>
          <t>neutral_elo</t>
        </is>
      </c>
      <c r="BC4" s="24" t="inlineStr">
        <is>
          <t>lol-tiered-elo-v4</t>
        </is>
      </c>
      <c r="BD4" s="24" t="inlineStr">
        <is>
          <t>35087e828a0053011a97024de693e2ee7eb80eb03024c91d28d254de09d93778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lol-tiered-elo-v4</t>
        </is>
      </c>
      <c r="BH4" s="24" t="inlineStr">
        <is>
          <t>2026-07-25T16:16:06.872882Z</t>
        </is>
      </c>
      <c r="BI4" s="24" t="inlineStr">
        <is>
          <t>["same_event","same_team_same_day","same_league_same_day"]</t>
        </is>
      </c>
      <c r="BJ4" s="25" t="n"/>
      <c r="BK4" s="26" t="n">
        <v>-203</v>
      </c>
      <c r="BL4" s="27" t="n">
        <v>1.492611</v>
      </c>
      <c r="BM4" s="28" t="n">
        <v>0.669967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</row>
    <row r="5" ht="36" customHeight="1">
      <c r="A5" s="24" t="inlineStr">
        <is>
          <t>cbcaf934fa5848e5</t>
        </is>
      </c>
      <c r="B5" s="24" t="inlineStr">
        <is>
          <t>2026-07-26T08:22:32.657968Z</t>
        </is>
      </c>
      <c r="C5" s="24" t="inlineStr">
        <is>
          <t>2026-07-26T11:00:00Z</t>
        </is>
      </c>
      <c r="D5" s="24" t="inlineStr">
        <is>
          <t>61824</t>
        </is>
      </c>
      <c r="E5" s="24" t="inlineStr">
        <is>
          <t>CS2</t>
        </is>
      </c>
      <c r="F5" s="24" t="inlineStr">
        <is>
          <t>ex-MANA eSports</t>
        </is>
      </c>
      <c r="G5" s="24" t="inlineStr">
        <is>
          <t>NEW VISION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-113</v>
      </c>
      <c r="M5" s="27" t="n">
        <v>1.884956</v>
      </c>
      <c r="N5" s="28" t="n">
        <v>0.530516</v>
      </c>
      <c r="O5" s="28" t="n">
        <v>0.621956</v>
      </c>
      <c r="P5" s="28" t="n"/>
      <c r="Q5" s="28" t="n">
        <v>0.09143999999999999</v>
      </c>
      <c r="R5" s="26" t="n">
        <v>66</v>
      </c>
      <c r="S5" s="29" t="n">
        <v>1.75</v>
      </c>
      <c r="T5" s="24" t="inlineStr">
        <is>
          <t>cs2-tiered-elo-v4</t>
        </is>
      </c>
      <c r="U5" s="24" t="inlineStr">
        <is>
          <t>settled</t>
        </is>
      </c>
      <c r="V5" s="24" t="inlineStr">
        <is>
          <t>win</t>
        </is>
      </c>
      <c r="W5" s="26" t="n">
        <v>1</v>
      </c>
      <c r="X5" s="26" t="n">
        <v>0</v>
      </c>
      <c r="Y5" s="25" t="n"/>
      <c r="Z5" s="26" t="n"/>
      <c r="AA5" s="28" t="n"/>
      <c r="AB5" s="28" t="n"/>
      <c r="AC5" s="30" t="n">
        <v>1.5487</v>
      </c>
      <c r="AD5" s="24" t="inlineStr">
        <is>
          <t>2026-07-26T17:52:55.837413Z</t>
        </is>
      </c>
      <c r="AE5" s="31" t="inlineStr">
        <is>
          <t>Neutral Elo baseline; executable ask 0.5300 (market_slug=aec-cs2-nve-exmana-2026-07-26).</t>
        </is>
      </c>
      <c r="AF5" s="31" t="inlineStr">
        <is>
          <t>Config-promoted esports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ex-MANA eSports</t>
        </is>
      </c>
      <c r="AQ5" s="24" t="inlineStr">
        <is>
          <t>ex-MANA eSports</t>
        </is>
      </c>
      <c r="AR5" s="24" t="inlineStr">
        <is>
          <t>ex-MANA eSports</t>
        </is>
      </c>
      <c r="AS5" s="24" t="inlineStr">
        <is>
          <t>NEW VISION</t>
        </is>
      </c>
      <c r="AT5" s="24" t="inlineStr">
        <is>
          <t>NEW VISION</t>
        </is>
      </c>
      <c r="AU5" s="24" t="inlineStr">
        <is>
          <t>NEW VISION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e9c327ce15d79aaa8ed5032a6fb86929aaa479e14a8bc9a35686411400dd6b91</t>
        </is>
      </c>
      <c r="BB5" s="24" t="inlineStr">
        <is>
          <t>neutral_elo</t>
        </is>
      </c>
      <c r="BC5" s="24" t="inlineStr">
        <is>
          <t>cs2-tiered-elo-v4</t>
        </is>
      </c>
      <c r="BD5" s="24" t="inlineStr">
        <is>
          <t>e9c327ce15d79aaa8ed5032a6fb86929aaa479e14a8bc9a35686411400dd6b91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cs2-tiered-elo-v4</t>
        </is>
      </c>
      <c r="BH5" s="24" t="inlineStr">
        <is>
          <t>2026-07-26T08:21:51.887770Z</t>
        </is>
      </c>
      <c r="BI5" s="24" t="inlineStr">
        <is>
          <t>["same_event","same_team_same_day","same_league_same_day"]</t>
        </is>
      </c>
      <c r="BJ5" s="25" t="n"/>
      <c r="BK5" s="26" t="n">
        <v>-113</v>
      </c>
      <c r="BL5" s="27" t="n">
        <v>1.884956</v>
      </c>
      <c r="BM5" s="28" t="n">
        <v>0.530516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</row>
    <row r="6" ht="36" customHeight="1">
      <c r="A6" s="24" t="inlineStr">
        <is>
          <t>46dc1bd359354ed3</t>
        </is>
      </c>
      <c r="B6" s="24" t="inlineStr">
        <is>
          <t>2026-07-26T12:49:32.359065Z</t>
        </is>
      </c>
      <c r="C6" s="24" t="inlineStr">
        <is>
          <t>2026-07-26T13:00:00Z</t>
        </is>
      </c>
      <c r="D6" s="24" t="inlineStr">
        <is>
          <t>60120</t>
        </is>
      </c>
      <c r="E6" s="24" t="inlineStr">
        <is>
          <t>LOL</t>
        </is>
      </c>
      <c r="F6" s="24" t="inlineStr">
        <is>
          <t>Team High Ground</t>
        </is>
      </c>
      <c r="G6" s="24" t="inlineStr">
        <is>
          <t>Galions Sharks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144</v>
      </c>
      <c r="M6" s="27" t="n">
        <v>2.44</v>
      </c>
      <c r="N6" s="28" t="n">
        <v>0.409836</v>
      </c>
      <c r="O6" s="28" t="n">
        <v>0.5456</v>
      </c>
      <c r="P6" s="28" t="n"/>
      <c r="Q6" s="28" t="n">
        <v>0.135764</v>
      </c>
      <c r="R6" s="26" t="n">
        <v>88</v>
      </c>
      <c r="S6" s="29" t="n">
        <v>1</v>
      </c>
      <c r="T6" s="24" t="inlineStr">
        <is>
          <t>lol-tiered-elo-v4</t>
        </is>
      </c>
      <c r="U6" s="24" t="inlineStr">
        <is>
          <t>settled</t>
        </is>
      </c>
      <c r="V6" s="24" t="inlineStr">
        <is>
          <t>loss</t>
        </is>
      </c>
      <c r="W6" s="26" t="n">
        <v>0</v>
      </c>
      <c r="X6" s="26" t="n">
        <v>1</v>
      </c>
      <c r="Y6" s="25" t="n"/>
      <c r="Z6" s="26" t="n"/>
      <c r="AA6" s="28" t="n"/>
      <c r="AB6" s="28" t="n"/>
      <c r="AC6" s="30" t="n">
        <v>-1</v>
      </c>
      <c r="AD6" s="24" t="inlineStr">
        <is>
          <t>2026-07-26T17:52:57.201845Z</t>
        </is>
      </c>
      <c r="AE6" s="31" t="inlineStr">
        <is>
          <t>Neutral Elo baseline; executable ask 0.4100 (market_slug=aec-lol-gls-thg-2026-07-26).</t>
        </is>
      </c>
      <c r="AF6" s="31" t="inlineStr">
        <is>
          <t>Config-promoted esports baseline; gates enforced at log time.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Team High Ground</t>
        </is>
      </c>
      <c r="AQ6" s="24" t="inlineStr">
        <is>
          <t>Team High Ground</t>
        </is>
      </c>
      <c r="AR6" s="24" t="inlineStr">
        <is>
          <t>Team High Ground</t>
        </is>
      </c>
      <c r="AS6" s="24" t="inlineStr">
        <is>
          <t>Galions Sharks</t>
        </is>
      </c>
      <c r="AT6" s="24" t="inlineStr">
        <is>
          <t>Galions Sharks</t>
        </is>
      </c>
      <c r="AU6" s="24" t="inlineStr">
        <is>
          <t>Galions Sharks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35087e828a0053011a97024de693e2ee7eb80eb03024c91d28d254de09d93778</t>
        </is>
      </c>
      <c r="BB6" s="24" t="inlineStr">
        <is>
          <t>neutral_elo</t>
        </is>
      </c>
      <c r="BC6" s="24" t="inlineStr">
        <is>
          <t>lol-tiered-elo-v4</t>
        </is>
      </c>
      <c r="BD6" s="24" t="inlineStr">
        <is>
          <t>35087e828a0053011a97024de693e2ee7eb80eb03024c91d28d254de09d93778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lol-tiered-elo-v4</t>
        </is>
      </c>
      <c r="BH6" s="24" t="inlineStr">
        <is>
          <t>2026-07-26T12:49:10.049609Z</t>
        </is>
      </c>
      <c r="BI6" s="24" t="inlineStr">
        <is>
          <t>["same_event","same_team_same_day","same_league_same_day"]</t>
        </is>
      </c>
      <c r="BJ6" s="25" t="n"/>
      <c r="BK6" s="26" t="n">
        <v>144</v>
      </c>
      <c r="BL6" s="27" t="n">
        <v>2.44</v>
      </c>
      <c r="BM6" s="28" t="n">
        <v>0.409836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</row>
    <row r="7" ht="36" customHeight="1">
      <c r="A7" s="24" t="inlineStr">
        <is>
          <t>808e212cb7534e81</t>
        </is>
      </c>
      <c r="B7" s="24" t="inlineStr">
        <is>
          <t>2026-07-26T12:49:32.359065Z</t>
        </is>
      </c>
      <c r="C7" s="24" t="inlineStr">
        <is>
          <t>2026-07-26T14:00:00Z</t>
        </is>
      </c>
      <c r="D7" s="24" t="inlineStr">
        <is>
          <t>60131</t>
        </is>
      </c>
      <c r="E7" s="24" t="inlineStr">
        <is>
          <t>LOL</t>
        </is>
      </c>
      <c r="F7" s="24" t="inlineStr">
        <is>
          <t>Caldya Esport</t>
        </is>
      </c>
      <c r="G7" s="24" t="inlineStr">
        <is>
          <t>Lille Esport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-213</v>
      </c>
      <c r="M7" s="27" t="n">
        <v>1.469484</v>
      </c>
      <c r="N7" s="28" t="n">
        <v>0.680511</v>
      </c>
      <c r="O7" s="28" t="n">
        <v>0.641875</v>
      </c>
      <c r="P7" s="28" t="n"/>
      <c r="Q7" s="28" t="n">
        <v>-0.038636</v>
      </c>
      <c r="R7" s="26" t="n">
        <v>1</v>
      </c>
      <c r="S7" s="29" t="n">
        <v>2</v>
      </c>
      <c r="T7" s="24" t="inlineStr">
        <is>
          <t>lol-tiered-elo-v4</t>
        </is>
      </c>
      <c r="U7" s="24" t="inlineStr">
        <is>
          <t>settled</t>
        </is>
      </c>
      <c r="V7" s="24" t="inlineStr">
        <is>
          <t>loss</t>
        </is>
      </c>
      <c r="W7" s="26" t="n">
        <v>1</v>
      </c>
      <c r="X7" s="26" t="n">
        <v>0</v>
      </c>
      <c r="Y7" s="25" t="n"/>
      <c r="Z7" s="26" t="n"/>
      <c r="AA7" s="28" t="n"/>
      <c r="AB7" s="28" t="n"/>
      <c r="AC7" s="30" t="n">
        <v>-2</v>
      </c>
      <c r="AD7" s="24" t="inlineStr">
        <is>
          <t>2026-07-26T17:52:58.627121Z</t>
        </is>
      </c>
      <c r="AE7" s="31" t="inlineStr">
        <is>
          <t>Neutral Elo baseline; executable ask 0.6800 (market_slug=aec-lol-lil-cla-2026-07-26).</t>
        </is>
      </c>
      <c r="AF7" s="31" t="inlineStr">
        <is>
          <t>Config-promoted esports baseline; gates enforced at log time.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Caldya Esport</t>
        </is>
      </c>
      <c r="AQ7" s="24" t="inlineStr">
        <is>
          <t>Caldya Esport</t>
        </is>
      </c>
      <c r="AR7" s="24" t="inlineStr">
        <is>
          <t>Caldya Esport</t>
        </is>
      </c>
      <c r="AS7" s="24" t="inlineStr">
        <is>
          <t>Lille Esport</t>
        </is>
      </c>
      <c r="AT7" s="24" t="inlineStr">
        <is>
          <t>Lille Esport</t>
        </is>
      </c>
      <c r="AU7" s="24" t="inlineStr">
        <is>
          <t>Lille Esport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35087e828a0053011a97024de693e2ee7eb80eb03024c91d28d254de09d93778</t>
        </is>
      </c>
      <c r="BB7" s="24" t="inlineStr">
        <is>
          <t>neutral_elo</t>
        </is>
      </c>
      <c r="BC7" s="24" t="inlineStr">
        <is>
          <t>lol-tiered-elo-v4</t>
        </is>
      </c>
      <c r="BD7" s="24" t="inlineStr">
        <is>
          <t>35087e828a0053011a97024de693e2ee7eb80eb03024c91d28d254de09d93778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lol-tiered-elo-v4</t>
        </is>
      </c>
      <c r="BH7" s="24" t="inlineStr">
        <is>
          <t>2026-07-26T12:49:10.919487Z</t>
        </is>
      </c>
      <c r="BI7" s="24" t="inlineStr">
        <is>
          <t>["same_event","same_team_same_day","same_league_same_day"]</t>
        </is>
      </c>
      <c r="BJ7" s="25" t="n"/>
      <c r="BK7" s="26" t="n">
        <v>-213</v>
      </c>
      <c r="BL7" s="27" t="n">
        <v>1.469484</v>
      </c>
      <c r="BM7" s="28" t="n">
        <v>0.680511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</row>
    <row r="8" ht="36" customHeight="1">
      <c r="A8" s="24" t="inlineStr">
        <is>
          <t>7015fea8b1eb49d6</t>
        </is>
      </c>
      <c r="B8" s="24" t="inlineStr">
        <is>
          <t>2026-07-26T12:49:32.359065Z</t>
        </is>
      </c>
      <c r="C8" s="24" t="inlineStr">
        <is>
          <t>2026-07-26T17:00:00Z</t>
        </is>
      </c>
      <c r="D8" s="24" t="inlineStr">
        <is>
          <t>60180</t>
        </is>
      </c>
      <c r="E8" s="24" t="inlineStr">
        <is>
          <t>LOL</t>
        </is>
      </c>
      <c r="F8" s="24" t="inlineStr">
        <is>
          <t>Karmine Corp</t>
        </is>
      </c>
      <c r="G8" s="24" t="inlineStr">
        <is>
          <t>G2 Esports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150</v>
      </c>
      <c r="M8" s="27" t="n">
        <v>2.5</v>
      </c>
      <c r="N8" s="28" t="n">
        <v>0.4</v>
      </c>
      <c r="O8" s="28" t="n">
        <v>0.621842</v>
      </c>
      <c r="P8" s="28" t="n"/>
      <c r="Q8" s="28" t="n">
        <v>0.221842</v>
      </c>
      <c r="R8" s="26" t="n">
        <v>100</v>
      </c>
      <c r="S8" s="29" t="n">
        <v>1.75</v>
      </c>
      <c r="T8" s="24" t="inlineStr">
        <is>
          <t>lol-tiered-elo-v4</t>
        </is>
      </c>
      <c r="U8" s="24" t="inlineStr">
        <is>
          <t>open</t>
        </is>
      </c>
      <c r="V8" s="24" t="n"/>
      <c r="W8" s="26" t="n"/>
      <c r="X8" s="26" t="n"/>
      <c r="Y8" s="25" t="n"/>
      <c r="Z8" s="26" t="n"/>
      <c r="AA8" s="28" t="n"/>
      <c r="AB8" s="28" t="n"/>
      <c r="AC8" s="30" t="n"/>
      <c r="AD8" s="24" t="n"/>
      <c r="AE8" s="31" t="inlineStr">
        <is>
          <t>Neutral Elo baseline; executable ask 0.4000 (market_slug=aec-lol-g2-kc-2026-07-26).</t>
        </is>
      </c>
      <c r="AF8" s="31" t="inlineStr">
        <is>
          <t>Config-promoted esports baseline; gates enforced at log time.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Karmine Corp</t>
        </is>
      </c>
      <c r="AQ8" s="24" t="inlineStr">
        <is>
          <t>Karmine Corp</t>
        </is>
      </c>
      <c r="AR8" s="24" t="inlineStr">
        <is>
          <t>Karmine Corp</t>
        </is>
      </c>
      <c r="AS8" s="24" t="inlineStr">
        <is>
          <t>G2 Esports</t>
        </is>
      </c>
      <c r="AT8" s="24" t="inlineStr">
        <is>
          <t>G2 Esports</t>
        </is>
      </c>
      <c r="AU8" s="24" t="inlineStr">
        <is>
          <t>G2 Esports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35087e828a0053011a97024de693e2ee7eb80eb03024c91d28d254de09d93778</t>
        </is>
      </c>
      <c r="BB8" s="24" t="inlineStr">
        <is>
          <t>neutral_elo</t>
        </is>
      </c>
      <c r="BC8" s="24" t="inlineStr">
        <is>
          <t>lol-tiered-elo-v4</t>
        </is>
      </c>
      <c r="BD8" s="24" t="inlineStr">
        <is>
          <t>35087e828a0053011a97024de693e2ee7eb80eb03024c91d28d254de09d93778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lol-tiered-elo-v4</t>
        </is>
      </c>
      <c r="BH8" s="24" t="inlineStr">
        <is>
          <t>2026-07-26T12:49:13.248928Z</t>
        </is>
      </c>
      <c r="BI8" s="24" t="inlineStr">
        <is>
          <t>["same_event","same_team_same_day","same_league_same_day"]</t>
        </is>
      </c>
      <c r="BJ8" s="25" t="n"/>
      <c r="BK8" s="26" t="n">
        <v>150</v>
      </c>
      <c r="BL8" s="27" t="n">
        <v>2.5</v>
      </c>
      <c r="BM8" s="28" t="n">
        <v>0.4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</row>
    <row r="9" ht="36" customHeight="1">
      <c r="A9" s="24" t="inlineStr">
        <is>
          <t>04eaa9b94d3542cb</t>
        </is>
      </c>
      <c r="B9" s="24" t="inlineStr">
        <is>
          <t>2026-07-26T12:50:13.208687Z</t>
        </is>
      </c>
      <c r="C9" s="24" t="inlineStr">
        <is>
          <t>2026-07-26T14:00:00Z</t>
        </is>
      </c>
      <c r="D9" s="24" t="inlineStr">
        <is>
          <t>61440</t>
        </is>
      </c>
      <c r="E9" s="24" t="inlineStr">
        <is>
          <t>CS2</t>
        </is>
      </c>
      <c r="F9" s="24" t="inlineStr">
        <is>
          <t>Lazer Cats</t>
        </is>
      </c>
      <c r="G9" s="24" t="inlineStr">
        <is>
          <t>STATE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100</v>
      </c>
      <c r="M9" s="27" t="n">
        <v>2</v>
      </c>
      <c r="N9" s="28" t="n">
        <v>0.5</v>
      </c>
      <c r="O9" s="28" t="n">
        <v>0.769302</v>
      </c>
      <c r="P9" s="28" t="n"/>
      <c r="Q9" s="28" t="n">
        <v>0.269302</v>
      </c>
      <c r="R9" s="26" t="n">
        <v>100</v>
      </c>
      <c r="S9" s="29" t="n">
        <v>2</v>
      </c>
      <c r="T9" s="24" t="inlineStr">
        <is>
          <t>cs2-tiered-elo-v4</t>
        </is>
      </c>
      <c r="U9" s="24" t="inlineStr">
        <is>
          <t>settled</t>
        </is>
      </c>
      <c r="V9" s="24" t="inlineStr">
        <is>
          <t>loss</t>
        </is>
      </c>
      <c r="W9" s="26" t="n">
        <v>1</v>
      </c>
      <c r="X9" s="26" t="n">
        <v>0</v>
      </c>
      <c r="Y9" s="25" t="n"/>
      <c r="Z9" s="26" t="n"/>
      <c r="AA9" s="28" t="n"/>
      <c r="AB9" s="28" t="n"/>
      <c r="AC9" s="30" t="n">
        <v>-2</v>
      </c>
      <c r="AD9" s="24" t="inlineStr">
        <is>
          <t>2026-07-26T17:53:02.090518Z</t>
        </is>
      </c>
      <c r="AE9" s="31" t="inlineStr">
        <is>
          <t>Neutral Elo baseline; executable ask 0.5000 (market_slug=aec-cs2-sta-lc-2026-07-26).</t>
        </is>
      </c>
      <c r="AF9" s="31" t="inlineStr">
        <is>
          <t>Config-promoted esports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Lazer Cats</t>
        </is>
      </c>
      <c r="AQ9" s="24" t="inlineStr">
        <is>
          <t>Lazer Cats</t>
        </is>
      </c>
      <c r="AR9" s="24" t="inlineStr">
        <is>
          <t>Lazer Cats</t>
        </is>
      </c>
      <c r="AS9" s="24" t="inlineStr">
        <is>
          <t>STATE</t>
        </is>
      </c>
      <c r="AT9" s="24" t="inlineStr">
        <is>
          <t>STATE</t>
        </is>
      </c>
      <c r="AU9" s="24" t="inlineStr">
        <is>
          <t>STATE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e9c327ce15d79aaa8ed5032a6fb86929aaa479e14a8bc9a35686411400dd6b91</t>
        </is>
      </c>
      <c r="BB9" s="24" t="inlineStr">
        <is>
          <t>neutral_elo</t>
        </is>
      </c>
      <c r="BC9" s="24" t="inlineStr">
        <is>
          <t>cs2-tiered-elo-v4</t>
        </is>
      </c>
      <c r="BD9" s="24" t="inlineStr">
        <is>
          <t>e9c327ce15d79aaa8ed5032a6fb86929aaa479e14a8bc9a35686411400dd6b91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cs2-tiered-elo-v4</t>
        </is>
      </c>
      <c r="BH9" s="24" t="inlineStr">
        <is>
          <t>2026-07-26T12:49:44.422167Z</t>
        </is>
      </c>
      <c r="BI9" s="24" t="inlineStr">
        <is>
          <t>["same_event","same_team_same_day","same_league_same_day"]</t>
        </is>
      </c>
      <c r="BJ9" s="25" t="n"/>
      <c r="BK9" s="26" t="n">
        <v>100</v>
      </c>
      <c r="BL9" s="27" t="n">
        <v>2</v>
      </c>
      <c r="BM9" s="28" t="n">
        <v>0.5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</row>
    <row r="10" ht="36" customHeight="1">
      <c r="A10" s="24" t="inlineStr">
        <is>
          <t>a2203ec652454349</t>
        </is>
      </c>
      <c r="B10" s="24" t="inlineStr">
        <is>
          <t>2026-07-26T12:50:13.208687Z</t>
        </is>
      </c>
      <c r="C10" s="24" t="inlineStr">
        <is>
          <t>2026-07-26T14:00:00Z</t>
        </is>
      </c>
      <c r="D10" s="24" t="inlineStr">
        <is>
          <t>61033</t>
        </is>
      </c>
      <c r="E10" s="24" t="inlineStr">
        <is>
          <t>CS2</t>
        </is>
      </c>
      <c r="F10" s="24" t="inlineStr">
        <is>
          <t>Atreides</t>
        </is>
      </c>
      <c r="G10" s="24" t="inlineStr">
        <is>
          <t>SPARTA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-117</v>
      </c>
      <c r="M10" s="27" t="n">
        <v>1.854701</v>
      </c>
      <c r="N10" s="28" t="n">
        <v>0.539171</v>
      </c>
      <c r="O10" s="28" t="n">
        <v>0.518471</v>
      </c>
      <c r="P10" s="28" t="n"/>
      <c r="Q10" s="28" t="n">
        <v>-0.0207</v>
      </c>
      <c r="R10" s="26" t="n">
        <v>10</v>
      </c>
      <c r="S10" s="29" t="n">
        <v>0.75</v>
      </c>
      <c r="T10" s="24" t="inlineStr">
        <is>
          <t>cs2-tiered-elo-v4</t>
        </is>
      </c>
      <c r="U10" s="24" t="inlineStr">
        <is>
          <t>settled</t>
        </is>
      </c>
      <c r="V10" s="24" t="inlineStr">
        <is>
          <t>loss</t>
        </is>
      </c>
      <c r="W10" s="26" t="n">
        <v>1</v>
      </c>
      <c r="X10" s="26" t="n">
        <v>0</v>
      </c>
      <c r="Y10" s="25" t="n"/>
      <c r="Z10" s="26" t="n"/>
      <c r="AA10" s="28" t="n"/>
      <c r="AB10" s="28" t="n"/>
      <c r="AC10" s="30" t="n">
        <v>-0.75</v>
      </c>
      <c r="AD10" s="24" t="inlineStr">
        <is>
          <t>2026-07-26T17:53:03.627722Z</t>
        </is>
      </c>
      <c r="AE10" s="31" t="inlineStr">
        <is>
          <t>Neutral Elo baseline; executable ask 0.5400 (market_slug=aec-cs2-sparta-atr-2026-07-26).</t>
        </is>
      </c>
      <c r="AF10" s="31" t="inlineStr">
        <is>
          <t>Config-promoted esports baseline; gates enforced at log time.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Atreides</t>
        </is>
      </c>
      <c r="AQ10" s="24" t="inlineStr">
        <is>
          <t>Atreides</t>
        </is>
      </c>
      <c r="AR10" s="24" t="inlineStr">
        <is>
          <t>Atreides</t>
        </is>
      </c>
      <c r="AS10" s="24" t="inlineStr">
        <is>
          <t>SPARTA</t>
        </is>
      </c>
      <c r="AT10" s="24" t="inlineStr">
        <is>
          <t>SPARTA</t>
        </is>
      </c>
      <c r="AU10" s="24" t="inlineStr">
        <is>
          <t>SPARTA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e9c327ce15d79aaa8ed5032a6fb86929aaa479e14a8bc9a35686411400dd6b91</t>
        </is>
      </c>
      <c r="BB10" s="24" t="inlineStr">
        <is>
          <t>neutral_elo</t>
        </is>
      </c>
      <c r="BC10" s="24" t="inlineStr">
        <is>
          <t>cs2-tiered-elo-v4</t>
        </is>
      </c>
      <c r="BD10" s="24" t="inlineStr">
        <is>
          <t>e9c327ce15d79aaa8ed5032a6fb86929aaa479e14a8bc9a35686411400dd6b91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cs2-tiered-elo-v4</t>
        </is>
      </c>
      <c r="BH10" s="24" t="inlineStr">
        <is>
          <t>2026-07-26T12:49:45.204211Z</t>
        </is>
      </c>
      <c r="BI10" s="24" t="inlineStr">
        <is>
          <t>["same_event","same_team_same_day","same_league_same_day"]</t>
        </is>
      </c>
      <c r="BJ10" s="25" t="n"/>
      <c r="BK10" s="26" t="n">
        <v>-117</v>
      </c>
      <c r="BL10" s="27" t="n">
        <v>1.854701</v>
      </c>
      <c r="BM10" s="28" t="n">
        <v>0.539171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</row>
    <row r="11" ht="36" customHeight="1">
      <c r="A11" s="24" t="inlineStr">
        <is>
          <t>caef081f30c24894</t>
        </is>
      </c>
      <c r="B11" s="24" t="inlineStr">
        <is>
          <t>2026-07-26T12:50:13.208687Z</t>
        </is>
      </c>
      <c r="C11" s="24" t="inlineStr">
        <is>
          <t>2026-07-26T15:00:00Z</t>
        </is>
      </c>
      <c r="D11" s="24" t="inlineStr">
        <is>
          <t>61219</t>
        </is>
      </c>
      <c r="E11" s="24" t="inlineStr">
        <is>
          <t>CS2</t>
        </is>
      </c>
      <c r="F11" s="24" t="inlineStr">
        <is>
          <t>TheMongolz</t>
        </is>
      </c>
      <c r="G11" s="24" t="inlineStr">
        <is>
          <t>Wildcard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-178</v>
      </c>
      <c r="M11" s="27" t="n">
        <v>1.561798</v>
      </c>
      <c r="N11" s="28" t="n">
        <v>0.640288</v>
      </c>
      <c r="O11" s="28" t="n">
        <v>0.702966</v>
      </c>
      <c r="P11" s="28" t="n"/>
      <c r="Q11" s="28" t="n">
        <v>0.062678</v>
      </c>
      <c r="R11" s="26" t="n">
        <v>51</v>
      </c>
      <c r="S11" s="29" t="n">
        <v>2</v>
      </c>
      <c r="T11" s="24" t="inlineStr">
        <is>
          <t>cs2-tiered-elo-v4</t>
        </is>
      </c>
      <c r="U11" s="24" t="inlineStr">
        <is>
          <t>settled</t>
        </is>
      </c>
      <c r="V11" s="24" t="inlineStr">
        <is>
          <t>win</t>
        </is>
      </c>
      <c r="W11" s="26" t="n">
        <v>1</v>
      </c>
      <c r="X11" s="26" t="n">
        <v>0</v>
      </c>
      <c r="Y11" s="25" t="n"/>
      <c r="Z11" s="26" t="n"/>
      <c r="AA11" s="28" t="n"/>
      <c r="AB11" s="28" t="n"/>
      <c r="AC11" s="30" t="n">
        <v>1.1236</v>
      </c>
      <c r="AD11" s="24" t="inlineStr">
        <is>
          <t>2026-07-26T17:53:04.985644Z</t>
        </is>
      </c>
      <c r="AE11" s="31" t="inlineStr">
        <is>
          <t>Neutral Elo baseline; executable ask 0.6400 (market_slug=aec-cs2-wc-mglz-2026-07-26).</t>
        </is>
      </c>
      <c r="AF11" s="31" t="inlineStr">
        <is>
          <t>Config-promoted esports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TheMongolz</t>
        </is>
      </c>
      <c r="AQ11" s="24" t="inlineStr">
        <is>
          <t>TheMongolz</t>
        </is>
      </c>
      <c r="AR11" s="24" t="inlineStr">
        <is>
          <t>TheMongolz</t>
        </is>
      </c>
      <c r="AS11" s="24" t="inlineStr">
        <is>
          <t>Wildcard</t>
        </is>
      </c>
      <c r="AT11" s="24" t="inlineStr">
        <is>
          <t>Wildcard</t>
        </is>
      </c>
      <c r="AU11" s="24" t="inlineStr">
        <is>
          <t>Wildcard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e9c327ce15d79aaa8ed5032a6fb86929aaa479e14a8bc9a35686411400dd6b91</t>
        </is>
      </c>
      <c r="BB11" s="24" t="inlineStr">
        <is>
          <t>neutral_elo</t>
        </is>
      </c>
      <c r="BC11" s="24" t="inlineStr">
        <is>
          <t>cs2-tiered-elo-v4</t>
        </is>
      </c>
      <c r="BD11" s="24" t="inlineStr">
        <is>
          <t>e9c327ce15d79aaa8ed5032a6fb86929aaa479e14a8bc9a35686411400dd6b91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cs2-tiered-elo-v4</t>
        </is>
      </c>
      <c r="BH11" s="24" t="inlineStr">
        <is>
          <t>2026-07-26T12:49:46.102307Z</t>
        </is>
      </c>
      <c r="BI11" s="24" t="inlineStr">
        <is>
          <t>["same_event","same_team_same_day","same_league_same_day"]</t>
        </is>
      </c>
      <c r="BJ11" s="25" t="n"/>
      <c r="BK11" s="26" t="n">
        <v>-178</v>
      </c>
      <c r="BL11" s="27" t="n">
        <v>1.561798</v>
      </c>
      <c r="BM11" s="28" t="n">
        <v>0.640288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</row>
    <row r="12" ht="36" customHeight="1">
      <c r="A12" s="24" t="inlineStr">
        <is>
          <t>59899b82acff46b4</t>
        </is>
      </c>
      <c r="B12" s="24" t="inlineStr">
        <is>
          <t>2026-07-26T12:50:13.208687Z</t>
        </is>
      </c>
      <c r="C12" s="24" t="inlineStr">
        <is>
          <t>2026-07-26T15:00:00Z</t>
        </is>
      </c>
      <c r="D12" s="24" t="inlineStr">
        <is>
          <t>61671</t>
        </is>
      </c>
      <c r="E12" s="24" t="inlineStr">
        <is>
          <t>CS2</t>
        </is>
      </c>
      <c r="F12" s="24" t="inlineStr">
        <is>
          <t>largadosypelados</t>
        </is>
      </c>
      <c r="G12" s="24" t="inlineStr">
        <is>
          <t>ODDIK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178</v>
      </c>
      <c r="M12" s="27" t="n">
        <v>2.78</v>
      </c>
      <c r="N12" s="28" t="n">
        <v>0.359712</v>
      </c>
      <c r="O12" s="28" t="n">
        <v>0.786851</v>
      </c>
      <c r="P12" s="28" t="n"/>
      <c r="Q12" s="28" t="n">
        <v>0.427139</v>
      </c>
      <c r="R12" s="26" t="n">
        <v>100</v>
      </c>
      <c r="S12" s="29" t="n">
        <v>2</v>
      </c>
      <c r="T12" s="24" t="inlineStr">
        <is>
          <t>cs2-tiered-elo-v4</t>
        </is>
      </c>
      <c r="U12" s="24" t="inlineStr">
        <is>
          <t>settled</t>
        </is>
      </c>
      <c r="V12" s="24" t="inlineStr">
        <is>
          <t>win</t>
        </is>
      </c>
      <c r="W12" s="26" t="n">
        <v>0</v>
      </c>
      <c r="X12" s="26" t="n">
        <v>1</v>
      </c>
      <c r="Y12" s="25" t="n"/>
      <c r="Z12" s="26" t="n"/>
      <c r="AA12" s="28" t="n"/>
      <c r="AB12" s="28" t="n"/>
      <c r="AC12" s="30" t="n">
        <v>3.56</v>
      </c>
      <c r="AD12" s="24" t="inlineStr">
        <is>
          <t>2026-07-26T17:53:06.560009Z</t>
        </is>
      </c>
      <c r="AE12" s="31" t="inlineStr">
        <is>
          <t>Neutral Elo baseline; executable ask 0.3600 (market_slug=aec-cs2-odk-ldp-2026-07-26).</t>
        </is>
      </c>
      <c r="AF12" s="31" t="inlineStr">
        <is>
          <t>Config-promoted esports baseline; gates enforced at log time.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largadosypelados</t>
        </is>
      </c>
      <c r="AQ12" s="24" t="inlineStr">
        <is>
          <t>largadosypelados</t>
        </is>
      </c>
      <c r="AR12" s="24" t="inlineStr">
        <is>
          <t>largadosypelados</t>
        </is>
      </c>
      <c r="AS12" s="24" t="inlineStr">
        <is>
          <t>ODDIK</t>
        </is>
      </c>
      <c r="AT12" s="24" t="inlineStr">
        <is>
          <t>ODDIK</t>
        </is>
      </c>
      <c r="AU12" s="24" t="inlineStr">
        <is>
          <t>ODDIK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e9c327ce15d79aaa8ed5032a6fb86929aaa479e14a8bc9a35686411400dd6b91</t>
        </is>
      </c>
      <c r="BB12" s="24" t="inlineStr">
        <is>
          <t>neutral_elo</t>
        </is>
      </c>
      <c r="BC12" s="24" t="inlineStr">
        <is>
          <t>cs2-tiered-elo-v4</t>
        </is>
      </c>
      <c r="BD12" s="24" t="inlineStr">
        <is>
          <t>e9c327ce15d79aaa8ed5032a6fb86929aaa479e14a8bc9a35686411400dd6b91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cs2-tiered-elo-v4</t>
        </is>
      </c>
      <c r="BH12" s="24" t="inlineStr">
        <is>
          <t>2026-07-26T12:49:46.942100Z</t>
        </is>
      </c>
      <c r="BI12" s="24" t="inlineStr">
        <is>
          <t>["same_event","same_team_same_day","same_league_same_day"]</t>
        </is>
      </c>
      <c r="BJ12" s="25" t="n"/>
      <c r="BK12" s="26" t="n">
        <v>178</v>
      </c>
      <c r="BL12" s="27" t="n">
        <v>2.78</v>
      </c>
      <c r="BM12" s="28" t="n">
        <v>0.359712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</row>
    <row r="13" ht="36" customHeight="1">
      <c r="A13" s="24" t="inlineStr">
        <is>
          <t>40692918b0c94676</t>
        </is>
      </c>
      <c r="B13" s="24" t="inlineStr">
        <is>
          <t>2026-07-26T12:50:13.208687Z</t>
        </is>
      </c>
      <c r="C13" s="24" t="inlineStr">
        <is>
          <t>2026-07-26T16:00:00Z</t>
        </is>
      </c>
      <c r="D13" s="24" t="inlineStr">
        <is>
          <t>61948</t>
        </is>
      </c>
      <c r="E13" s="24" t="inlineStr">
        <is>
          <t>CS2</t>
        </is>
      </c>
      <c r="F13" s="24" t="inlineStr">
        <is>
          <t>NIP</t>
        </is>
      </c>
      <c r="G13" s="24" t="inlineStr">
        <is>
          <t>magic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113</v>
      </c>
      <c r="M13" s="27" t="n">
        <v>2.13</v>
      </c>
      <c r="N13" s="28" t="n">
        <v>0.469484</v>
      </c>
      <c r="O13" s="28" t="n">
        <v>0.665479</v>
      </c>
      <c r="P13" s="28" t="n"/>
      <c r="Q13" s="28" t="n">
        <v>0.195995</v>
      </c>
      <c r="R13" s="26" t="n">
        <v>100</v>
      </c>
      <c r="S13" s="29" t="n">
        <v>2</v>
      </c>
      <c r="T13" s="24" t="inlineStr">
        <is>
          <t>cs2-tiered-elo-v4</t>
        </is>
      </c>
      <c r="U13" s="24" t="inlineStr">
        <is>
          <t>settled</t>
        </is>
      </c>
      <c r="V13" s="24" t="inlineStr">
        <is>
          <t>win</t>
        </is>
      </c>
      <c r="W13" s="26" t="n">
        <v>0</v>
      </c>
      <c r="X13" s="26" t="n">
        <v>1</v>
      </c>
      <c r="Y13" s="25" t="n"/>
      <c r="Z13" s="26" t="n"/>
      <c r="AA13" s="28" t="n"/>
      <c r="AB13" s="28" t="n"/>
      <c r="AC13" s="30" t="n">
        <v>2.26</v>
      </c>
      <c r="AD13" s="24" t="inlineStr">
        <is>
          <t>2026-07-26T18:55:48.106512Z</t>
        </is>
      </c>
      <c r="AE13" s="31" t="inlineStr">
        <is>
          <t>Neutral Elo baseline; executable ask 0.4700 (market_slug=aec-cs2-mgc-nip-2026-07-26).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NIP</t>
        </is>
      </c>
      <c r="AQ13" s="24" t="inlineStr">
        <is>
          <t>NIP</t>
        </is>
      </c>
      <c r="AR13" s="24" t="inlineStr">
        <is>
          <t>NIP</t>
        </is>
      </c>
      <c r="AS13" s="24" t="inlineStr">
        <is>
          <t>magic</t>
        </is>
      </c>
      <c r="AT13" s="24" t="inlineStr">
        <is>
          <t>magic</t>
        </is>
      </c>
      <c r="AU13" s="24" t="inlineStr">
        <is>
          <t>magic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e9c327ce15d79aaa8ed5032a6fb86929aaa479e14a8bc9a35686411400dd6b91</t>
        </is>
      </c>
      <c r="BB13" s="24" t="inlineStr">
        <is>
          <t>neutral_elo</t>
        </is>
      </c>
      <c r="BC13" s="24" t="inlineStr">
        <is>
          <t>cs2-tiered-elo-v4</t>
        </is>
      </c>
      <c r="BD13" s="24" t="inlineStr">
        <is>
          <t>e9c327ce15d79aaa8ed5032a6fb86929aaa479e14a8bc9a35686411400dd6b91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cs2-tiered-elo-v4</t>
        </is>
      </c>
      <c r="BH13" s="24" t="inlineStr">
        <is>
          <t>2026-07-26T12:49:49.664310Z</t>
        </is>
      </c>
      <c r="BI13" s="24" t="inlineStr">
        <is>
          <t>["same_event","same_team_same_day","same_league_same_day"]</t>
        </is>
      </c>
      <c r="BJ13" s="25" t="n"/>
      <c r="BK13" s="26" t="n">
        <v>113</v>
      </c>
      <c r="BL13" s="27" t="n">
        <v>2.13</v>
      </c>
      <c r="BM13" s="28" t="n">
        <v>0.469484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</row>
    <row r="14" ht="36" customHeight="1">
      <c r="A14" s="24" t="inlineStr">
        <is>
          <t>18212168114f4d40</t>
        </is>
      </c>
      <c r="B14" s="24" t="inlineStr">
        <is>
          <t>2026-07-26T12:50:13.208687Z</t>
        </is>
      </c>
      <c r="C14" s="24" t="inlineStr">
        <is>
          <t>2026-07-26T17:00:00Z</t>
        </is>
      </c>
      <c r="D14" s="24" t="inlineStr">
        <is>
          <t>62237</t>
        </is>
      </c>
      <c r="E14" s="24" t="inlineStr">
        <is>
          <t>CS2</t>
        </is>
      </c>
      <c r="F14" s="24" t="inlineStr">
        <is>
          <t>Privateer Gaming</t>
        </is>
      </c>
      <c r="G14" s="24" t="inlineStr">
        <is>
          <t>Honvéd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-163</v>
      </c>
      <c r="M14" s="27" t="n">
        <v>1.613497</v>
      </c>
      <c r="N14" s="28" t="n">
        <v>0.619772</v>
      </c>
      <c r="O14" s="28" t="n">
        <v>0.700097</v>
      </c>
      <c r="P14" s="28" t="n"/>
      <c r="Q14" s="28" t="n">
        <v>0.08032499999999999</v>
      </c>
      <c r="R14" s="26" t="n">
        <v>60</v>
      </c>
      <c r="S14" s="29" t="n">
        <v>2</v>
      </c>
      <c r="T14" s="24" t="inlineStr">
        <is>
          <t>cs2-tiered-elo-v4</t>
        </is>
      </c>
      <c r="U14" s="24" t="inlineStr">
        <is>
          <t>open</t>
        </is>
      </c>
      <c r="V14" s="24" t="n"/>
      <c r="W14" s="26" t="n"/>
      <c r="X14" s="26" t="n"/>
      <c r="Y14" s="25" t="n"/>
      <c r="Z14" s="26" t="n"/>
      <c r="AA14" s="28" t="n"/>
      <c r="AB14" s="28" t="n"/>
      <c r="AC14" s="30" t="n"/>
      <c r="AD14" s="24" t="n"/>
      <c r="AE14" s="31" t="inlineStr">
        <is>
          <t>Neutral Elo baseline; executable ask 0.6200 (market_slug=aec-cs2-hon-pg-2026-07-26).</t>
        </is>
      </c>
      <c r="AF14" s="31" t="inlineStr">
        <is>
          <t>Config-promoted esports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Privateer Gaming</t>
        </is>
      </c>
      <c r="AQ14" s="24" t="inlineStr">
        <is>
          <t>Privateer Gaming</t>
        </is>
      </c>
      <c r="AR14" s="24" t="inlineStr">
        <is>
          <t>Privateer Gaming</t>
        </is>
      </c>
      <c r="AS14" s="24" t="inlineStr">
        <is>
          <t>Honvéd</t>
        </is>
      </c>
      <c r="AT14" s="24" t="inlineStr">
        <is>
          <t>Honvéd</t>
        </is>
      </c>
      <c r="AU14" s="24" t="inlineStr">
        <is>
          <t>Honvéd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e9c327ce15d79aaa8ed5032a6fb86929aaa479e14a8bc9a35686411400dd6b91</t>
        </is>
      </c>
      <c r="BB14" s="24" t="inlineStr">
        <is>
          <t>neutral_elo</t>
        </is>
      </c>
      <c r="BC14" s="24" t="inlineStr">
        <is>
          <t>cs2-tiered-elo-v4</t>
        </is>
      </c>
      <c r="BD14" s="24" t="inlineStr">
        <is>
          <t>e9c327ce15d79aaa8ed5032a6fb86929aaa479e14a8bc9a35686411400dd6b91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cs2-tiered-elo-v4</t>
        </is>
      </c>
      <c r="BH14" s="24" t="inlineStr">
        <is>
          <t>2026-07-26T12:49:51.560831Z</t>
        </is>
      </c>
      <c r="BI14" s="24" t="inlineStr">
        <is>
          <t>["same_event","same_team_same_day","same_league_same_day"]</t>
        </is>
      </c>
      <c r="BJ14" s="25" t="n"/>
      <c r="BK14" s="26" t="n">
        <v>-163</v>
      </c>
      <c r="BL14" s="27" t="n">
        <v>1.613497</v>
      </c>
      <c r="BM14" s="28" t="n">
        <v>0.619772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</row>
    <row r="15" ht="36" customHeight="1">
      <c r="A15" s="24" t="inlineStr">
        <is>
          <t>e7c15658496b44c8</t>
        </is>
      </c>
      <c r="B15" s="24" t="inlineStr">
        <is>
          <t>2026-07-26T12:50:45.242095Z</t>
        </is>
      </c>
      <c r="C15" s="24" t="inlineStr">
        <is>
          <t>2026-07-26T15:00:00Z</t>
        </is>
      </c>
      <c r="D15" s="24" t="inlineStr">
        <is>
          <t>60136</t>
        </is>
      </c>
      <c r="E15" s="24" t="inlineStr">
        <is>
          <t>VALORANT</t>
        </is>
      </c>
      <c r="F15" s="24" t="inlineStr">
        <is>
          <t>Natus Vincere</t>
        </is>
      </c>
      <c r="G15" s="24" t="inlineStr">
        <is>
          <t>BBL Esports</t>
        </is>
      </c>
      <c r="H15" s="24" t="inlineStr">
        <is>
          <t>moneyline</t>
        </is>
      </c>
      <c r="I15" s="24" t="inlineStr">
        <is>
          <t>away</t>
        </is>
      </c>
      <c r="J15" s="25" t="n"/>
      <c r="K15" s="24" t="inlineStr">
        <is>
          <t>polymarket_us</t>
        </is>
      </c>
      <c r="L15" s="26" t="n">
        <v>156</v>
      </c>
      <c r="M15" s="27" t="n">
        <v>2.56</v>
      </c>
      <c r="N15" s="28" t="n">
        <v>0.390625</v>
      </c>
      <c r="O15" s="28" t="n">
        <v>0.7726229999999999</v>
      </c>
      <c r="P15" s="28" t="n"/>
      <c r="Q15" s="28" t="n">
        <v>0.381998</v>
      </c>
      <c r="R15" s="26" t="n">
        <v>100</v>
      </c>
      <c r="S15" s="29" t="n">
        <v>2</v>
      </c>
      <c r="T15" s="24" t="inlineStr">
        <is>
          <t>valorant-tiered-elo-v4</t>
        </is>
      </c>
      <c r="U15" s="24" t="inlineStr">
        <is>
          <t>settled</t>
        </is>
      </c>
      <c r="V15" s="24" t="inlineStr">
        <is>
          <t>loss</t>
        </is>
      </c>
      <c r="W15" s="26" t="n">
        <v>0</v>
      </c>
      <c r="X15" s="26" t="n">
        <v>1</v>
      </c>
      <c r="Y15" s="25" t="n"/>
      <c r="Z15" s="26" t="n"/>
      <c r="AA15" s="28" t="n"/>
      <c r="AB15" s="28" t="n"/>
      <c r="AC15" s="30" t="n">
        <v>-2</v>
      </c>
      <c r="AD15" s="24" t="inlineStr">
        <is>
          <t>2026-07-26T17:53:13.868406Z</t>
        </is>
      </c>
      <c r="AE15" s="31" t="inlineStr">
        <is>
          <t>Neutral Elo baseline; executable ask 0.3900 (market_slug=aec-valorant-bbl-navi-2026-07-26).</t>
        </is>
      </c>
      <c r="AF15" s="31" t="inlineStr">
        <is>
          <t>Config-promoted esports baseline; gates enforced at log time.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Natus Vincere</t>
        </is>
      </c>
      <c r="AQ15" s="24" t="inlineStr">
        <is>
          <t>Natus Vincere</t>
        </is>
      </c>
      <c r="AR15" s="24" t="inlineStr">
        <is>
          <t>Natus Vincere</t>
        </is>
      </c>
      <c r="AS15" s="24" t="inlineStr">
        <is>
          <t>BBL Esports</t>
        </is>
      </c>
      <c r="AT15" s="24" t="inlineStr">
        <is>
          <t>BBL Esports</t>
        </is>
      </c>
      <c r="AU15" s="24" t="inlineStr">
        <is>
          <t>BBL Esports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153b0db03af0303675f7eb2520b56d0fd86008f1bb62095f9881ea43a0124bb2</t>
        </is>
      </c>
      <c r="BB15" s="24" t="inlineStr">
        <is>
          <t>neutral_elo</t>
        </is>
      </c>
      <c r="BC15" s="24" t="inlineStr">
        <is>
          <t>valorant-tiered-elo-v4</t>
        </is>
      </c>
      <c r="BD15" s="24" t="inlineStr">
        <is>
          <t>153b0db03af0303675f7eb2520b56d0fd86008f1bb62095f9881ea43a0124bb2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valorant-tiered-elo-v4</t>
        </is>
      </c>
      <c r="BH15" s="24" t="inlineStr">
        <is>
          <t>2026-07-26T12:50:32.723645Z</t>
        </is>
      </c>
      <c r="BI15" s="24" t="inlineStr">
        <is>
          <t>["same_event","same_team_same_day","same_league_same_day"]</t>
        </is>
      </c>
      <c r="BJ15" s="25" t="n"/>
      <c r="BK15" s="26" t="n">
        <v>156</v>
      </c>
      <c r="BL15" s="27" t="n">
        <v>2.56</v>
      </c>
      <c r="BM15" s="28" t="n">
        <v>0.390625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</row>
    <row r="16" ht="36" customHeight="1">
      <c r="A16" s="24" t="inlineStr">
        <is>
          <t>509f20813fd34f74</t>
        </is>
      </c>
      <c r="B16" s="24" t="inlineStr">
        <is>
          <t>2026-07-26T18:56:52.812325Z</t>
        </is>
      </c>
      <c r="C16" s="24" t="inlineStr">
        <is>
          <t>2026-07-26T20:00:00Z</t>
        </is>
      </c>
      <c r="D16" s="24" t="inlineStr">
        <is>
          <t>60465</t>
        </is>
      </c>
      <c r="E16" s="24" t="inlineStr">
        <is>
          <t>LOL</t>
        </is>
      </c>
      <c r="F16" s="24" t="inlineStr">
        <is>
          <t>Cloud9</t>
        </is>
      </c>
      <c r="G16" s="24" t="inlineStr">
        <is>
          <t>Team Liquid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-144</v>
      </c>
      <c r="M16" s="27" t="n">
        <v>1.694444</v>
      </c>
      <c r="N16" s="28" t="n">
        <v>0.590164</v>
      </c>
      <c r="O16" s="28" t="n">
        <v>0.723066</v>
      </c>
      <c r="P16" s="28" t="n"/>
      <c r="Q16" s="28" t="n">
        <v>0.132902</v>
      </c>
      <c r="R16" s="26" t="n">
        <v>86</v>
      </c>
      <c r="S16" s="29" t="n">
        <v>2</v>
      </c>
      <c r="T16" s="24" t="inlineStr">
        <is>
          <t>lol-tiered-elo-v4</t>
        </is>
      </c>
      <c r="U16" s="24" t="inlineStr">
        <is>
          <t>open</t>
        </is>
      </c>
      <c r="V16" s="24" t="n"/>
      <c r="W16" s="26" t="n"/>
      <c r="X16" s="26" t="n"/>
      <c r="Y16" s="25" t="n"/>
      <c r="Z16" s="26" t="n"/>
      <c r="AA16" s="28" t="n"/>
      <c r="AB16" s="28" t="n"/>
      <c r="AC16" s="30" t="n"/>
      <c r="AD16" s="24" t="n"/>
      <c r="AE16" s="31" t="inlineStr">
        <is>
          <t>Neutral Elo baseline; executable ask 0.5900 (market_slug=aec-lol-tl-c9-2026-07-26).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Cloud9</t>
        </is>
      </c>
      <c r="AQ16" s="24" t="inlineStr">
        <is>
          <t>Cloud9</t>
        </is>
      </c>
      <c r="AR16" s="24" t="inlineStr">
        <is>
          <t>Cloud9</t>
        </is>
      </c>
      <c r="AS16" s="24" t="inlineStr">
        <is>
          <t>Team Liquid</t>
        </is>
      </c>
      <c r="AT16" s="24" t="inlineStr">
        <is>
          <t>Team Liquid</t>
        </is>
      </c>
      <c r="AU16" s="24" t="inlineStr">
        <is>
          <t>Team Liquid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35087e828a0053011a97024de693e2ee7eb80eb03024c91d28d254de09d93778</t>
        </is>
      </c>
      <c r="BB16" s="24" t="inlineStr">
        <is>
          <t>neutral_elo</t>
        </is>
      </c>
      <c r="BC16" s="24" t="inlineStr">
        <is>
          <t>lol-tiered-elo-v4</t>
        </is>
      </c>
      <c r="BD16" s="24" t="inlineStr">
        <is>
          <t>35087e828a0053011a97024de693e2ee7eb80eb03024c91d28d254de09d93778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lol-tiered-elo-v4</t>
        </is>
      </c>
      <c r="BH16" s="24" t="inlineStr">
        <is>
          <t>2026-07-26T18:56:41.529652Z</t>
        </is>
      </c>
      <c r="BI16" s="24" t="inlineStr">
        <is>
          <t>["same_event","same_team_same_day","same_league_same_day"]</t>
        </is>
      </c>
      <c r="BJ16" s="25" t="n"/>
      <c r="BK16" s="26" t="n">
        <v>-144</v>
      </c>
      <c r="BL16" s="27" t="n">
        <v>1.694444</v>
      </c>
      <c r="BM16" s="28" t="n">
        <v>0.590164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</row>
    <row r="17" ht="36" customHeight="1">
      <c r="A17" s="24" t="inlineStr">
        <is>
          <t>71dc931306e945d3</t>
        </is>
      </c>
      <c r="B17" s="24" t="inlineStr">
        <is>
          <t>2026-07-26T18:56:52.812325Z</t>
        </is>
      </c>
      <c r="C17" s="24" t="inlineStr">
        <is>
          <t>2026-07-27T06:00:00Z</t>
        </is>
      </c>
      <c r="D17" s="24" t="inlineStr">
        <is>
          <t>60701</t>
        </is>
      </c>
      <c r="E17" s="24" t="inlineStr">
        <is>
          <t>LOL</t>
        </is>
      </c>
      <c r="F17" s="24" t="inlineStr">
        <is>
          <t>Gen.G</t>
        </is>
      </c>
      <c r="G17" s="24" t="inlineStr">
        <is>
          <t>BNK FEARX</t>
        </is>
      </c>
      <c r="H17" s="24" t="inlineStr">
        <is>
          <t>moneyline</t>
        </is>
      </c>
      <c r="I17" s="24" t="inlineStr">
        <is>
          <t>away</t>
        </is>
      </c>
      <c r="J17" s="25" t="n"/>
      <c r="K17" s="24" t="inlineStr">
        <is>
          <t>polymarket_us</t>
        </is>
      </c>
      <c r="L17" s="26" t="n">
        <v>-113</v>
      </c>
      <c r="M17" s="27" t="n">
        <v>1.884956</v>
      </c>
      <c r="N17" s="28" t="n">
        <v>0.530516</v>
      </c>
      <c r="O17" s="28" t="n">
        <v>0.811601</v>
      </c>
      <c r="P17" s="28" t="n"/>
      <c r="Q17" s="28" t="n">
        <v>0.281085</v>
      </c>
      <c r="R17" s="26" t="n">
        <v>100</v>
      </c>
      <c r="S17" s="29" t="n">
        <v>2</v>
      </c>
      <c r="T17" s="24" t="inlineStr">
        <is>
          <t>lol-tiered-elo-v4</t>
        </is>
      </c>
      <c r="U17" s="24" t="inlineStr">
        <is>
          <t>open</t>
        </is>
      </c>
      <c r="V17" s="24" t="n"/>
      <c r="W17" s="26" t="n"/>
      <c r="X17" s="26" t="n"/>
      <c r="Y17" s="25" t="n"/>
      <c r="Z17" s="26" t="n"/>
      <c r="AA17" s="28" t="n"/>
      <c r="AB17" s="28" t="n"/>
      <c r="AC17" s="30" t="n"/>
      <c r="AD17" s="24" t="n"/>
      <c r="AE17" s="31" t="inlineStr">
        <is>
          <t>Neutral Elo baseline; executable ask 0.5300 (market_slug=aec-lol-bfx-gen-2026-07-27).</t>
        </is>
      </c>
      <c r="AF17" s="31" t="inlineStr">
        <is>
          <t>Config-promoted esports baseline; gates enforced at log time.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Gen.G</t>
        </is>
      </c>
      <c r="AQ17" s="24" t="inlineStr">
        <is>
          <t>Gen.G</t>
        </is>
      </c>
      <c r="AR17" s="24" t="inlineStr">
        <is>
          <t>Gen.G</t>
        </is>
      </c>
      <c r="AS17" s="24" t="inlineStr">
        <is>
          <t>BNK FEARX</t>
        </is>
      </c>
      <c r="AT17" s="24" t="inlineStr">
        <is>
          <t>BNK FEARX</t>
        </is>
      </c>
      <c r="AU17" s="24" t="inlineStr">
        <is>
          <t>BNK FEARX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35087e828a0053011a97024de693e2ee7eb80eb03024c91d28d254de09d93778</t>
        </is>
      </c>
      <c r="BB17" s="24" t="inlineStr">
        <is>
          <t>neutral_elo</t>
        </is>
      </c>
      <c r="BC17" s="24" t="inlineStr">
        <is>
          <t>lol-tiered-elo-v4</t>
        </is>
      </c>
      <c r="BD17" s="24" t="inlineStr">
        <is>
          <t>35087e828a0053011a97024de693e2ee7eb80eb03024c91d28d254de09d93778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lol-tiered-elo-v4</t>
        </is>
      </c>
      <c r="BH17" s="24" t="inlineStr">
        <is>
          <t>2026-07-26T18:56:42.619386Z</t>
        </is>
      </c>
      <c r="BI17" s="24" t="inlineStr">
        <is>
          <t>["same_event","same_team_same_day","same_league_same_day"]</t>
        </is>
      </c>
      <c r="BJ17" s="25" t="n"/>
      <c r="BK17" s="26" t="n">
        <v>-113</v>
      </c>
      <c r="BL17" s="27" t="n">
        <v>1.884956</v>
      </c>
      <c r="BM17" s="28" t="n">
        <v>0.530516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</row>
    <row r="18" ht="36" customHeight="1">
      <c r="A18" s="24" t="inlineStr">
        <is>
          <t>73dd09d0d10e44a8</t>
        </is>
      </c>
      <c r="B18" s="24" t="inlineStr">
        <is>
          <t>2026-07-26T18:56:52.812325Z</t>
        </is>
      </c>
      <c r="C18" s="24" t="inlineStr">
        <is>
          <t>2026-07-27T07:30:00Z</t>
        </is>
      </c>
      <c r="D18" s="24" t="inlineStr">
        <is>
          <t>60707</t>
        </is>
      </c>
      <c r="E18" s="24" t="inlineStr">
        <is>
          <t>LOL</t>
        </is>
      </c>
      <c r="F18" s="24" t="inlineStr">
        <is>
          <t>Gen.G</t>
        </is>
      </c>
      <c r="G18" s="24" t="inlineStr">
        <is>
          <t>KT Rolster</t>
        </is>
      </c>
      <c r="H18" s="24" t="inlineStr">
        <is>
          <t>moneyline</t>
        </is>
      </c>
      <c r="I18" s="24" t="inlineStr">
        <is>
          <t>away</t>
        </is>
      </c>
      <c r="J18" s="25" t="n"/>
      <c r="K18" s="24" t="inlineStr">
        <is>
          <t>polymarket_us</t>
        </is>
      </c>
      <c r="L18" s="26" t="n">
        <v>122</v>
      </c>
      <c r="M18" s="27" t="n">
        <v>2.22</v>
      </c>
      <c r="N18" s="28" t="n">
        <v>0.45045</v>
      </c>
      <c r="O18" s="28" t="n">
        <v>0.7097250000000001</v>
      </c>
      <c r="P18" s="28" t="n"/>
      <c r="Q18" s="28" t="n">
        <v>0.259275</v>
      </c>
      <c r="R18" s="26" t="n">
        <v>100</v>
      </c>
      <c r="S18" s="29" t="n">
        <v>2</v>
      </c>
      <c r="T18" s="24" t="inlineStr">
        <is>
          <t>lol-tiered-elo-v4</t>
        </is>
      </c>
      <c r="U18" s="24" t="inlineStr">
        <is>
          <t>open</t>
        </is>
      </c>
      <c r="V18" s="24" t="n"/>
      <c r="W18" s="26" t="n"/>
      <c r="X18" s="26" t="n"/>
      <c r="Y18" s="25" t="n"/>
      <c r="Z18" s="26" t="n"/>
      <c r="AA18" s="28" t="n"/>
      <c r="AB18" s="28" t="n"/>
      <c r="AC18" s="30" t="n"/>
      <c r="AD18" s="24" t="n"/>
      <c r="AE18" s="31" t="inlineStr">
        <is>
          <t>Neutral Elo baseline; executable ask 0.4500 (market_slug=aec-lol-kt-gen-2026-07-27).</t>
        </is>
      </c>
      <c r="AF18" s="31" t="inlineStr">
        <is>
          <t>Config-promoted esports baseline; gates enforced at log time.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Gen.G</t>
        </is>
      </c>
      <c r="AQ18" s="24" t="inlineStr">
        <is>
          <t>Gen.G</t>
        </is>
      </c>
      <c r="AR18" s="24" t="inlineStr">
        <is>
          <t>Gen.G</t>
        </is>
      </c>
      <c r="AS18" s="24" t="inlineStr">
        <is>
          <t>KT Rolster</t>
        </is>
      </c>
      <c r="AT18" s="24" t="inlineStr">
        <is>
          <t>KT Rolster</t>
        </is>
      </c>
      <c r="AU18" s="24" t="inlineStr">
        <is>
          <t>KT Rolster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35087e828a0053011a97024de693e2ee7eb80eb03024c91d28d254de09d93778</t>
        </is>
      </c>
      <c r="BB18" s="24" t="inlineStr">
        <is>
          <t>neutral_elo</t>
        </is>
      </c>
      <c r="BC18" s="24" t="inlineStr">
        <is>
          <t>lol-tiered-elo-v4</t>
        </is>
      </c>
      <c r="BD18" s="24" t="inlineStr">
        <is>
          <t>35087e828a0053011a97024de693e2ee7eb80eb03024c91d28d254de09d93778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lol-tiered-elo-v4</t>
        </is>
      </c>
      <c r="BH18" s="24" t="inlineStr">
        <is>
          <t>2026-07-26T18:56:43.667289Z</t>
        </is>
      </c>
      <c r="BI18" s="24" t="inlineStr">
        <is>
          <t>["same_event","same_team_same_day","same_league_same_day"]</t>
        </is>
      </c>
      <c r="BJ18" s="25" t="n"/>
      <c r="BK18" s="26" t="n">
        <v>122</v>
      </c>
      <c r="BL18" s="27" t="n">
        <v>2.22</v>
      </c>
      <c r="BM18" s="28" t="n">
        <v>0.45045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</row>
    <row r="19" ht="36" customHeight="1">
      <c r="A19" s="24" t="inlineStr">
        <is>
          <t>edb617199d7e438d</t>
        </is>
      </c>
      <c r="B19" s="24" t="inlineStr">
        <is>
          <t>2026-07-26T18:56:52.812325Z</t>
        </is>
      </c>
      <c r="C19" s="24" t="inlineStr">
        <is>
          <t>2026-07-27T08:00:00Z</t>
        </is>
      </c>
      <c r="D19" s="24" t="inlineStr">
        <is>
          <t>60708</t>
        </is>
      </c>
      <c r="E19" s="24" t="inlineStr">
        <is>
          <t>LOL</t>
        </is>
      </c>
      <c r="F19" s="24" t="inlineStr">
        <is>
          <t>Nongshim Esports Academy</t>
        </is>
      </c>
      <c r="G19" s="24" t="inlineStr">
        <is>
          <t>T1 Academy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-178</v>
      </c>
      <c r="M19" s="27" t="n">
        <v>1.561798</v>
      </c>
      <c r="N19" s="28" t="n">
        <v>0.640288</v>
      </c>
      <c r="O19" s="28" t="n">
        <v>0.6818</v>
      </c>
      <c r="P19" s="28" t="n"/>
      <c r="Q19" s="28" t="n">
        <v>0.041512</v>
      </c>
      <c r="R19" s="26" t="n">
        <v>41</v>
      </c>
      <c r="S19" s="29" t="n">
        <v>2</v>
      </c>
      <c r="T19" s="24" t="inlineStr">
        <is>
          <t>lol-tiered-elo-v4</t>
        </is>
      </c>
      <c r="U19" s="24" t="inlineStr">
        <is>
          <t>open</t>
        </is>
      </c>
      <c r="V19" s="24" t="n"/>
      <c r="W19" s="26" t="n"/>
      <c r="X19" s="26" t="n"/>
      <c r="Y19" s="25" t="n"/>
      <c r="Z19" s="26" t="n"/>
      <c r="AA19" s="28" t="n"/>
      <c r="AB19" s="28" t="n"/>
      <c r="AC19" s="30" t="n"/>
      <c r="AD19" s="24" t="n"/>
      <c r="AE19" s="31" t="inlineStr">
        <is>
          <t>Neutral Elo baseline; executable ask 0.6400 (market_slug=aec-lol-t1a-nsea-2026-07-27).</t>
        </is>
      </c>
      <c r="AF19" s="31" t="inlineStr">
        <is>
          <t>Config-promoted esports baseline; gates enforced at log time.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Nongshim Esports Academy</t>
        </is>
      </c>
      <c r="AQ19" s="24" t="inlineStr">
        <is>
          <t>Nongshim Esports Academy</t>
        </is>
      </c>
      <c r="AR19" s="24" t="inlineStr">
        <is>
          <t>Nongshim Esports Academy</t>
        </is>
      </c>
      <c r="AS19" s="24" t="inlineStr">
        <is>
          <t>T1 Academy</t>
        </is>
      </c>
      <c r="AT19" s="24" t="inlineStr">
        <is>
          <t>T1 Academy</t>
        </is>
      </c>
      <c r="AU19" s="24" t="inlineStr">
        <is>
          <t>T1 Academy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35087e828a0053011a97024de693e2ee7eb80eb03024c91d28d254de09d93778</t>
        </is>
      </c>
      <c r="BB19" s="24" t="inlineStr">
        <is>
          <t>neutral_elo</t>
        </is>
      </c>
      <c r="BC19" s="24" t="inlineStr">
        <is>
          <t>lol-tiered-elo-v4</t>
        </is>
      </c>
      <c r="BD19" s="24" t="inlineStr">
        <is>
          <t>35087e828a0053011a97024de693e2ee7eb80eb03024c91d28d254de09d93778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lol-tiered-elo-v4</t>
        </is>
      </c>
      <c r="BH19" s="24" t="inlineStr">
        <is>
          <t>2026-07-26T18:56:44.162944Z</t>
        </is>
      </c>
      <c r="BI19" s="24" t="inlineStr">
        <is>
          <t>["same_event","same_team_same_day","same_league_same_day"]</t>
        </is>
      </c>
      <c r="BJ19" s="25" t="n"/>
      <c r="BK19" s="26" t="n">
        <v>-178</v>
      </c>
      <c r="BL19" s="27" t="n">
        <v>1.561798</v>
      </c>
      <c r="BM19" s="28" t="n">
        <v>0.640288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</row>
    <row r="20" ht="36" customHeight="1">
      <c r="A20" s="24" t="inlineStr">
        <is>
          <t>b8fb13d5f6584ba3</t>
        </is>
      </c>
      <c r="B20" s="24" t="inlineStr">
        <is>
          <t>2026-07-26T18:56:52.812325Z</t>
        </is>
      </c>
      <c r="C20" s="24" t="inlineStr">
        <is>
          <t>2026-07-27T09:00:00Z</t>
        </is>
      </c>
      <c r="D20" s="24" t="inlineStr">
        <is>
          <t>60716</t>
        </is>
      </c>
      <c r="E20" s="24" t="inlineStr">
        <is>
          <t>LOL</t>
        </is>
      </c>
      <c r="F20" s="24" t="inlineStr">
        <is>
          <t>Kiwoom DRX</t>
        </is>
      </c>
      <c r="G20" s="24" t="inlineStr">
        <is>
          <t>Hanwha Life Esports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108</v>
      </c>
      <c r="M20" s="27" t="n">
        <v>2.08</v>
      </c>
      <c r="N20" s="28" t="n">
        <v>0.480769</v>
      </c>
      <c r="O20" s="28" t="n">
        <v>0.912307</v>
      </c>
      <c r="P20" s="28" t="n"/>
      <c r="Q20" s="28" t="n">
        <v>0.431538</v>
      </c>
      <c r="R20" s="26" t="n">
        <v>100</v>
      </c>
      <c r="S20" s="29" t="n">
        <v>2</v>
      </c>
      <c r="T20" s="24" t="inlineStr">
        <is>
          <t>lol-tiered-elo-v4</t>
        </is>
      </c>
      <c r="U20" s="24" t="inlineStr">
        <is>
          <t>open</t>
        </is>
      </c>
      <c r="V20" s="24" t="n"/>
      <c r="W20" s="26" t="n"/>
      <c r="X20" s="26" t="n"/>
      <c r="Y20" s="25" t="n"/>
      <c r="Z20" s="26" t="n"/>
      <c r="AA20" s="28" t="n"/>
      <c r="AB20" s="28" t="n"/>
      <c r="AC20" s="30" t="n"/>
      <c r="AD20" s="24" t="n"/>
      <c r="AE20" s="31" t="inlineStr">
        <is>
          <t>Neutral Elo baseline; executable ask 0.4800 (market_slug=aec-lol-hle-krx-2026-07-27).</t>
        </is>
      </c>
      <c r="AF20" s="31" t="inlineStr">
        <is>
          <t>Config-promoted esports baseline; gates enforced at log time.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Kiwoom DRX</t>
        </is>
      </c>
      <c r="AQ20" s="24" t="inlineStr">
        <is>
          <t>Kiwoom DRX</t>
        </is>
      </c>
      <c r="AR20" s="24" t="inlineStr">
        <is>
          <t>Kiwoom DRX</t>
        </is>
      </c>
      <c r="AS20" s="24" t="inlineStr">
        <is>
          <t>Hanwha Life Esports</t>
        </is>
      </c>
      <c r="AT20" s="24" t="inlineStr">
        <is>
          <t>Hanwha Life Esports</t>
        </is>
      </c>
      <c r="AU20" s="24" t="inlineStr">
        <is>
          <t>Hanwha Life Esports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35087e828a0053011a97024de693e2ee7eb80eb03024c91d28d254de09d93778</t>
        </is>
      </c>
      <c r="BB20" s="24" t="inlineStr">
        <is>
          <t>neutral_elo</t>
        </is>
      </c>
      <c r="BC20" s="24" t="inlineStr">
        <is>
          <t>lol-tiered-elo-v4</t>
        </is>
      </c>
      <c r="BD20" s="24" t="inlineStr">
        <is>
          <t>35087e828a0053011a97024de693e2ee7eb80eb03024c91d28d254de09d93778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lol-tiered-elo-v4</t>
        </is>
      </c>
      <c r="BH20" s="24" t="inlineStr">
        <is>
          <t>2026-07-26T18:56:45.162134Z</t>
        </is>
      </c>
      <c r="BI20" s="24" t="inlineStr">
        <is>
          <t>["same_event","same_team_same_day","same_league_same_day"]</t>
        </is>
      </c>
      <c r="BJ20" s="25" t="n"/>
      <c r="BK20" s="26" t="n">
        <v>108</v>
      </c>
      <c r="BL20" s="27" t="n">
        <v>2.08</v>
      </c>
      <c r="BM20" s="28" t="n">
        <v>0.480769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</row>
    <row r="21" ht="36" customHeight="1">
      <c r="A21" s="24" t="inlineStr">
        <is>
          <t>f5ecbe851fae468f</t>
        </is>
      </c>
      <c r="B21" s="24" t="inlineStr">
        <is>
          <t>2026-07-26T18:56:52.812325Z</t>
        </is>
      </c>
      <c r="C21" s="24" t="inlineStr">
        <is>
          <t>2026-07-27T09:45:00Z</t>
        </is>
      </c>
      <c r="D21" s="24" t="inlineStr">
        <is>
          <t>60723</t>
        </is>
      </c>
      <c r="E21" s="24" t="inlineStr">
        <is>
          <t>LOL</t>
        </is>
      </c>
      <c r="F21" s="24" t="inlineStr">
        <is>
          <t>Nongshim Red Force</t>
        </is>
      </c>
      <c r="G21" s="24" t="inlineStr">
        <is>
          <t>T1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-203</v>
      </c>
      <c r="M21" s="27" t="n">
        <v>1.492611</v>
      </c>
      <c r="N21" s="28" t="n">
        <v>0.669967</v>
      </c>
      <c r="O21" s="28" t="n">
        <v>0.865659</v>
      </c>
      <c r="P21" s="28" t="n"/>
      <c r="Q21" s="28" t="n">
        <v>0.195692</v>
      </c>
      <c r="R21" s="26" t="n">
        <v>100</v>
      </c>
      <c r="S21" s="29" t="n">
        <v>2</v>
      </c>
      <c r="T21" s="24" t="inlineStr">
        <is>
          <t>lol-tiered-elo-v4</t>
        </is>
      </c>
      <c r="U21" s="24" t="inlineStr">
        <is>
          <t>open</t>
        </is>
      </c>
      <c r="V21" s="24" t="n"/>
      <c r="W21" s="26" t="n"/>
      <c r="X21" s="26" t="n"/>
      <c r="Y21" s="25" t="n"/>
      <c r="Z21" s="26" t="n"/>
      <c r="AA21" s="28" t="n"/>
      <c r="AB21" s="28" t="n"/>
      <c r="AC21" s="30" t="n"/>
      <c r="AD21" s="24" t="n"/>
      <c r="AE21" s="31" t="inlineStr">
        <is>
          <t>Neutral Elo baseline; executable ask 0.6700 (market_slug=aec-lol-t1-ns-2026-07-27).</t>
        </is>
      </c>
      <c r="AF21" s="31" t="inlineStr">
        <is>
          <t>Config-promoted esports baseline; gates enforced at log time.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Nongshim Red Force</t>
        </is>
      </c>
      <c r="AQ21" s="24" t="inlineStr">
        <is>
          <t>Nongshim Red Force</t>
        </is>
      </c>
      <c r="AR21" s="24" t="inlineStr">
        <is>
          <t>Nongshim Red Force</t>
        </is>
      </c>
      <c r="AS21" s="24" t="inlineStr">
        <is>
          <t>T1</t>
        </is>
      </c>
      <c r="AT21" s="24" t="inlineStr">
        <is>
          <t>T1</t>
        </is>
      </c>
      <c r="AU21" s="24" t="inlineStr">
        <is>
          <t>T1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35087e828a0053011a97024de693e2ee7eb80eb03024c91d28d254de09d93778</t>
        </is>
      </c>
      <c r="BB21" s="24" t="inlineStr">
        <is>
          <t>neutral_elo</t>
        </is>
      </c>
      <c r="BC21" s="24" t="inlineStr">
        <is>
          <t>lol-tiered-elo-v4</t>
        </is>
      </c>
      <c r="BD21" s="24" t="inlineStr">
        <is>
          <t>35087e828a0053011a97024de693e2ee7eb80eb03024c91d28d254de09d93778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lol-tiered-elo-v4</t>
        </is>
      </c>
      <c r="BH21" s="24" t="inlineStr">
        <is>
          <t>2026-07-26T18:56:45.715120Z</t>
        </is>
      </c>
      <c r="BI21" s="24" t="inlineStr">
        <is>
          <t>["same_event","same_team_same_day","same_league_same_day"]</t>
        </is>
      </c>
      <c r="BJ21" s="25" t="n"/>
      <c r="BK21" s="26" t="n">
        <v>-203</v>
      </c>
      <c r="BL21" s="27" t="n">
        <v>1.492611</v>
      </c>
      <c r="BM21" s="28" t="n">
        <v>0.669967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</row>
    <row r="22" ht="36" customHeight="1">
      <c r="A22" s="24" t="inlineStr">
        <is>
          <t>6573d523aade49dd</t>
        </is>
      </c>
      <c r="B22" s="24" t="inlineStr">
        <is>
          <t>2026-07-26T18:56:52.812325Z</t>
        </is>
      </c>
      <c r="C22" s="24" t="inlineStr">
        <is>
          <t>2026-07-27T10:30:00Z</t>
        </is>
      </c>
      <c r="D22" s="24" t="inlineStr">
        <is>
          <t>60725</t>
        </is>
      </c>
      <c r="E22" s="24" t="inlineStr">
        <is>
          <t>LOL</t>
        </is>
      </c>
      <c r="F22" s="24" t="inlineStr">
        <is>
          <t>Dplus KIA</t>
        </is>
      </c>
      <c r="G22" s="24" t="inlineStr">
        <is>
          <t>HANJIN BRION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194</v>
      </c>
      <c r="M22" s="27" t="n">
        <v>2.94</v>
      </c>
      <c r="N22" s="28" t="n">
        <v>0.340136</v>
      </c>
      <c r="O22" s="28" t="n">
        <v>0.803091</v>
      </c>
      <c r="P22" s="28" t="n"/>
      <c r="Q22" s="28" t="n">
        <v>0.462955</v>
      </c>
      <c r="R22" s="26" t="n">
        <v>100</v>
      </c>
      <c r="S22" s="29" t="n">
        <v>2</v>
      </c>
      <c r="T22" s="24" t="inlineStr">
        <is>
          <t>lol-tiered-elo-v4</t>
        </is>
      </c>
      <c r="U22" s="24" t="inlineStr">
        <is>
          <t>open</t>
        </is>
      </c>
      <c r="V22" s="24" t="n"/>
      <c r="W22" s="26" t="n"/>
      <c r="X22" s="26" t="n"/>
      <c r="Y22" s="25" t="n"/>
      <c r="Z22" s="26" t="n"/>
      <c r="AA22" s="28" t="n"/>
      <c r="AB22" s="28" t="n"/>
      <c r="AC22" s="30" t="n"/>
      <c r="AD22" s="24" t="n"/>
      <c r="AE22" s="31" t="inlineStr">
        <is>
          <t>Neutral Elo baseline; executable ask 0.3400 (market_slug=aec-lol-bro-dk-2026-07-27).</t>
        </is>
      </c>
      <c r="AF22" s="31" t="inlineStr">
        <is>
          <t>Config-promoted esports baseline; gates enforced at log time.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Dplus KIA</t>
        </is>
      </c>
      <c r="AQ22" s="24" t="inlineStr">
        <is>
          <t>Dplus KIA</t>
        </is>
      </c>
      <c r="AR22" s="24" t="inlineStr">
        <is>
          <t>Dplus KIA</t>
        </is>
      </c>
      <c r="AS22" s="24" t="inlineStr">
        <is>
          <t>HANJIN BRION</t>
        </is>
      </c>
      <c r="AT22" s="24" t="inlineStr">
        <is>
          <t>HANJIN BRION</t>
        </is>
      </c>
      <c r="AU22" s="24" t="inlineStr">
        <is>
          <t>HANJIN BRION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35087e828a0053011a97024de693e2ee7eb80eb03024c91d28d254de09d93778</t>
        </is>
      </c>
      <c r="BB22" s="24" t="inlineStr">
        <is>
          <t>neutral_elo</t>
        </is>
      </c>
      <c r="BC22" s="24" t="inlineStr">
        <is>
          <t>lol-tiered-elo-v4</t>
        </is>
      </c>
      <c r="BD22" s="24" t="inlineStr">
        <is>
          <t>35087e828a0053011a97024de693e2ee7eb80eb03024c91d28d254de09d93778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lol-tiered-elo-v4</t>
        </is>
      </c>
      <c r="BH22" s="24" t="inlineStr">
        <is>
          <t>2026-07-26T18:56:46.722266Z</t>
        </is>
      </c>
      <c r="BI22" s="24" t="inlineStr">
        <is>
          <t>["same_event","same_team_same_day","same_league_same_day"]</t>
        </is>
      </c>
      <c r="BJ22" s="25" t="n"/>
      <c r="BK22" s="26" t="n">
        <v>194</v>
      </c>
      <c r="BL22" s="27" t="n">
        <v>2.94</v>
      </c>
      <c r="BM22" s="28" t="n">
        <v>0.340136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</row>
    <row r="23" ht="36" customHeight="1">
      <c r="A23" s="24" t="inlineStr">
        <is>
          <t>7a3ee0754d304e64</t>
        </is>
      </c>
      <c r="B23" s="24" t="inlineStr">
        <is>
          <t>2026-07-26T18:56:52.812325Z</t>
        </is>
      </c>
      <c r="C23" s="24" t="inlineStr">
        <is>
          <t>2026-07-27T21:00:00Z</t>
        </is>
      </c>
      <c r="D23" s="24" t="inlineStr">
        <is>
          <t>61044</t>
        </is>
      </c>
      <c r="E23" s="24" t="inlineStr">
        <is>
          <t>LOL</t>
        </is>
      </c>
      <c r="F23" s="24" t="inlineStr">
        <is>
          <t>Ei Nerd Esports</t>
        </is>
      </c>
      <c r="G23" s="24" t="inlineStr">
        <is>
          <t>paiN Gaming Academy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-233</v>
      </c>
      <c r="M23" s="27" t="n">
        <v>1.429185</v>
      </c>
      <c r="N23" s="28" t="n">
        <v>0.6997</v>
      </c>
      <c r="O23" s="28" t="n">
        <v>0.712884</v>
      </c>
      <c r="P23" s="28" t="n"/>
      <c r="Q23" s="28" t="n">
        <v>0.013184</v>
      </c>
      <c r="R23" s="26" t="n">
        <v>27</v>
      </c>
      <c r="S23" s="29" t="n">
        <v>2</v>
      </c>
      <c r="T23" s="24" t="inlineStr">
        <is>
          <t>lol-tiered-elo-v4</t>
        </is>
      </c>
      <c r="U23" s="24" t="inlineStr">
        <is>
          <t>open</t>
        </is>
      </c>
      <c r="V23" s="24" t="n"/>
      <c r="W23" s="26" t="n"/>
      <c r="X23" s="26" t="n"/>
      <c r="Y23" s="25" t="n"/>
      <c r="Z23" s="26" t="n"/>
      <c r="AA23" s="28" t="n"/>
      <c r="AB23" s="28" t="n"/>
      <c r="AC23" s="30" t="n"/>
      <c r="AD23" s="24" t="n"/>
      <c r="AE23" s="31" t="inlineStr">
        <is>
          <t>Neutral Elo baseline; executable ask 0.7000 (market_slug=aec-lol-pnga-nerd-2026-07-27).</t>
        </is>
      </c>
      <c r="AF23" s="31" t="inlineStr">
        <is>
          <t>Config-promoted esports baseline; gates enforced at log time.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Ei Nerd Esports</t>
        </is>
      </c>
      <c r="AQ23" s="24" t="inlineStr">
        <is>
          <t>Ei Nerd Esports</t>
        </is>
      </c>
      <c r="AR23" s="24" t="inlineStr">
        <is>
          <t>Ei Nerd Esports</t>
        </is>
      </c>
      <c r="AS23" s="24" t="inlineStr">
        <is>
          <t>paiN Gaming Academy</t>
        </is>
      </c>
      <c r="AT23" s="24" t="inlineStr">
        <is>
          <t>paiN Gaming Academy</t>
        </is>
      </c>
      <c r="AU23" s="24" t="inlineStr">
        <is>
          <t>paiN Gaming Academy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35087e828a0053011a97024de693e2ee7eb80eb03024c91d28d254de09d93778</t>
        </is>
      </c>
      <c r="BB23" s="24" t="inlineStr">
        <is>
          <t>neutral_elo</t>
        </is>
      </c>
      <c r="BC23" s="24" t="inlineStr">
        <is>
          <t>lol-tiered-elo-v4</t>
        </is>
      </c>
      <c r="BD23" s="24" t="inlineStr">
        <is>
          <t>35087e828a0053011a97024de693e2ee7eb80eb03024c91d28d254de09d93778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lol-tiered-elo-v4</t>
        </is>
      </c>
      <c r="BH23" s="24" t="inlineStr">
        <is>
          <t>2026-07-26T18:56:50.761952Z</t>
        </is>
      </c>
      <c r="BI23" s="24" t="inlineStr">
        <is>
          <t>["same_event","same_team_same_day","same_league_same_day"]</t>
        </is>
      </c>
      <c r="BJ23" s="25" t="n"/>
      <c r="BK23" s="26" t="n">
        <v>-233</v>
      </c>
      <c r="BL23" s="27" t="n">
        <v>1.429185</v>
      </c>
      <c r="BM23" s="28" t="n">
        <v>0.6997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</row>
    <row r="24" ht="36" customHeight="1">
      <c r="A24" s="24" t="inlineStr">
        <is>
          <t>33c2c140a11a4357</t>
        </is>
      </c>
      <c r="B24" s="24" t="inlineStr">
        <is>
          <t>2026-07-26T18:57:10.343708Z</t>
        </is>
      </c>
      <c r="C24" s="24" t="inlineStr">
        <is>
          <t>2026-07-27T08:00:00Z</t>
        </is>
      </c>
      <c r="D24" s="24" t="inlineStr">
        <is>
          <t>60702</t>
        </is>
      </c>
      <c r="E24" s="24" t="inlineStr">
        <is>
          <t>CS2</t>
        </is>
      </c>
      <c r="F24" s="24" t="inlineStr">
        <is>
          <t>Entropy</t>
        </is>
      </c>
      <c r="G24" s="24" t="inlineStr">
        <is>
          <t>ex-RUSTEC</t>
        </is>
      </c>
      <c r="H24" s="24" t="inlineStr">
        <is>
          <t>moneyline</t>
        </is>
      </c>
      <c r="I24" s="24" t="inlineStr">
        <is>
          <t>away</t>
        </is>
      </c>
      <c r="J24" s="25" t="n"/>
      <c r="K24" s="24" t="inlineStr">
        <is>
          <t>polymarket_us</t>
        </is>
      </c>
      <c r="L24" s="26" t="n">
        <v>163</v>
      </c>
      <c r="M24" s="27" t="n">
        <v>2.63</v>
      </c>
      <c r="N24" s="28" t="n">
        <v>0.380228</v>
      </c>
      <c r="O24" s="28" t="n">
        <v>0.607321</v>
      </c>
      <c r="P24" s="28" t="n"/>
      <c r="Q24" s="28" t="n">
        <v>0.227093</v>
      </c>
      <c r="R24" s="26" t="n">
        <v>100</v>
      </c>
      <c r="S24" s="29" t="n">
        <v>1.5</v>
      </c>
      <c r="T24" s="24" t="inlineStr">
        <is>
          <t>cs2-tiered-elo-v4</t>
        </is>
      </c>
      <c r="U24" s="24" t="inlineStr">
        <is>
          <t>open</t>
        </is>
      </c>
      <c r="V24" s="24" t="n"/>
      <c r="W24" s="26" t="n"/>
      <c r="X24" s="26" t="n"/>
      <c r="Y24" s="25" t="n"/>
      <c r="Z24" s="26" t="n"/>
      <c r="AA24" s="28" t="n"/>
      <c r="AB24" s="28" t="n"/>
      <c r="AC24" s="30" t="n"/>
      <c r="AD24" s="24" t="n"/>
      <c r="AE24" s="31" t="inlineStr">
        <is>
          <t>Neutral Elo baseline; executable ask 0.3800 (market_slug=aec-cs2-erx-ent-2026-07-27).</t>
        </is>
      </c>
      <c r="AF24" s="31" t="inlineStr">
        <is>
          <t>Config-promoted esports baseline; gates enforced at log time.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3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Entropy</t>
        </is>
      </c>
      <c r="AQ24" s="24" t="inlineStr">
        <is>
          <t>Entropy</t>
        </is>
      </c>
      <c r="AR24" s="24" t="inlineStr">
        <is>
          <t>Entropy</t>
        </is>
      </c>
      <c r="AS24" s="24" t="inlineStr">
        <is>
          <t>ex-RUSTEC</t>
        </is>
      </c>
      <c r="AT24" s="24" t="inlineStr">
        <is>
          <t>ex-RUSTEC</t>
        </is>
      </c>
      <c r="AU24" s="24" t="inlineStr">
        <is>
          <t>ex-RUSTEC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e9c327ce15d79aaa8ed5032a6fb86929aaa479e14a8bc9a35686411400dd6b91</t>
        </is>
      </c>
      <c r="BB24" s="24" t="inlineStr">
        <is>
          <t>neutral_elo</t>
        </is>
      </c>
      <c r="BC24" s="24" t="inlineStr">
        <is>
          <t>cs2-tiered-elo-v4</t>
        </is>
      </c>
      <c r="BD24" s="24" t="inlineStr">
        <is>
          <t>e9c327ce15d79aaa8ed5032a6fb86929aaa479e14a8bc9a35686411400dd6b91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cs2-tiered-elo-v4</t>
        </is>
      </c>
      <c r="BH24" s="24" t="inlineStr">
        <is>
          <t>2026-07-26T18:57:01.421264Z</t>
        </is>
      </c>
      <c r="BI24" s="24" t="inlineStr">
        <is>
          <t>["same_event","same_team_same_day","same_league_same_day"]</t>
        </is>
      </c>
      <c r="BJ24" s="25" t="n"/>
      <c r="BK24" s="26" t="n">
        <v>163</v>
      </c>
      <c r="BL24" s="27" t="n">
        <v>2.63</v>
      </c>
      <c r="BM24" s="28" t="n">
        <v>0.380228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</row>
    <row r="25" ht="36" customHeight="1">
      <c r="A25" s="24" t="inlineStr">
        <is>
          <t>32ed0398a8bc4ff8</t>
        </is>
      </c>
      <c r="B25" s="24" t="inlineStr">
        <is>
          <t>2026-07-26T18:57:10.343708Z</t>
        </is>
      </c>
      <c r="C25" s="24" t="inlineStr">
        <is>
          <t>2026-07-27T11:00:00Z</t>
        </is>
      </c>
      <c r="D25" s="24" t="inlineStr">
        <is>
          <t>60732</t>
        </is>
      </c>
      <c r="E25" s="24" t="inlineStr">
        <is>
          <t>CS2</t>
        </is>
      </c>
      <c r="F25" s="24" t="inlineStr">
        <is>
          <t>Noir Verse</t>
        </is>
      </c>
      <c r="G25" s="24" t="inlineStr">
        <is>
          <t>ASTRAL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polymarket_us</t>
        </is>
      </c>
      <c r="L25" s="26" t="n">
        <v>-170</v>
      </c>
      <c r="M25" s="27" t="n">
        <v>1.588235</v>
      </c>
      <c r="N25" s="28" t="n">
        <v>0.62963</v>
      </c>
      <c r="O25" s="28" t="n">
        <v>0.736846</v>
      </c>
      <c r="P25" s="28" t="n"/>
      <c r="Q25" s="28" t="n">
        <v>0.107216</v>
      </c>
      <c r="R25" s="26" t="n">
        <v>74</v>
      </c>
      <c r="S25" s="29" t="n">
        <v>2</v>
      </c>
      <c r="T25" s="24" t="inlineStr">
        <is>
          <t>cs2-tiered-elo-v4</t>
        </is>
      </c>
      <c r="U25" s="24" t="inlineStr">
        <is>
          <t>open</t>
        </is>
      </c>
      <c r="V25" s="24" t="n"/>
      <c r="W25" s="26" t="n"/>
      <c r="X25" s="26" t="n"/>
      <c r="Y25" s="25" t="n"/>
      <c r="Z25" s="26" t="n"/>
      <c r="AA25" s="28" t="n"/>
      <c r="AB25" s="28" t="n"/>
      <c r="AC25" s="30" t="n"/>
      <c r="AD25" s="24" t="n"/>
      <c r="AE25" s="31" t="inlineStr">
        <is>
          <t>Neutral Elo baseline; executable ask 0.6300 (market_slug=aec-cs2-astr-nvo-2026-07-27).</t>
        </is>
      </c>
      <c r="AF25" s="31" t="inlineStr">
        <is>
          <t>Config-promoted esports baseline; gates enforced at log time.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3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Noir Verse</t>
        </is>
      </c>
      <c r="AQ25" s="24" t="inlineStr">
        <is>
          <t>Noir Verse</t>
        </is>
      </c>
      <c r="AR25" s="24" t="inlineStr">
        <is>
          <t>Noir Verse</t>
        </is>
      </c>
      <c r="AS25" s="24" t="inlineStr">
        <is>
          <t>ASTRAL</t>
        </is>
      </c>
      <c r="AT25" s="24" t="inlineStr">
        <is>
          <t>ASTRAL</t>
        </is>
      </c>
      <c r="AU25" s="24" t="inlineStr">
        <is>
          <t>ASTRAL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e9c327ce15d79aaa8ed5032a6fb86929aaa479e14a8bc9a35686411400dd6b91</t>
        </is>
      </c>
      <c r="BB25" s="24" t="inlineStr">
        <is>
          <t>neutral_elo</t>
        </is>
      </c>
      <c r="BC25" s="24" t="inlineStr">
        <is>
          <t>cs2-tiered-elo-v4</t>
        </is>
      </c>
      <c r="BD25" s="24" t="inlineStr">
        <is>
          <t>e9c327ce15d79aaa8ed5032a6fb86929aaa479e14a8bc9a35686411400dd6b91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cs2-tiered-elo-v4</t>
        </is>
      </c>
      <c r="BH25" s="24" t="inlineStr">
        <is>
          <t>2026-07-26T18:57:03.043686Z</t>
        </is>
      </c>
      <c r="BI25" s="24" t="inlineStr">
        <is>
          <t>["same_event","same_team_same_day","same_league_same_day"]</t>
        </is>
      </c>
      <c r="BJ25" s="25" t="n"/>
      <c r="BK25" s="26" t="n">
        <v>-170</v>
      </c>
      <c r="BL25" s="27" t="n">
        <v>1.588235</v>
      </c>
      <c r="BM25" s="28" t="n">
        <v>0.62963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</row>
    <row r="26" ht="36" customHeight="1">
      <c r="A26" s="24" t="inlineStr">
        <is>
          <t>10100c4a1a524680</t>
        </is>
      </c>
      <c r="B26" s="24" t="inlineStr">
        <is>
          <t>2026-07-26T18:57:10.343708Z</t>
        </is>
      </c>
      <c r="C26" s="24" t="inlineStr">
        <is>
          <t>2026-07-27T15:30:00Z</t>
        </is>
      </c>
      <c r="D26" s="24" t="inlineStr">
        <is>
          <t>60764</t>
        </is>
      </c>
      <c r="E26" s="24" t="inlineStr">
        <is>
          <t>CS2</t>
        </is>
      </c>
      <c r="F26" s="24" t="inlineStr">
        <is>
          <t>NAVI Junior</t>
        </is>
      </c>
      <c r="G26" s="24" t="inlineStr">
        <is>
          <t>Brute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-194</v>
      </c>
      <c r="M26" s="27" t="n">
        <v>1.515464</v>
      </c>
      <c r="N26" s="28" t="n">
        <v>0.659864</v>
      </c>
      <c r="O26" s="28" t="n">
        <v>0.735192</v>
      </c>
      <c r="P26" s="28" t="n"/>
      <c r="Q26" s="28" t="n">
        <v>0.07532800000000001</v>
      </c>
      <c r="R26" s="26" t="n">
        <v>58</v>
      </c>
      <c r="S26" s="29" t="n">
        <v>2</v>
      </c>
      <c r="T26" s="24" t="inlineStr">
        <is>
          <t>cs2-tiered-elo-v4</t>
        </is>
      </c>
      <c r="U26" s="24" t="inlineStr">
        <is>
          <t>open</t>
        </is>
      </c>
      <c r="V26" s="24" t="n"/>
      <c r="W26" s="26" t="n"/>
      <c r="X26" s="26" t="n"/>
      <c r="Y26" s="25" t="n"/>
      <c r="Z26" s="26" t="n"/>
      <c r="AA26" s="28" t="n"/>
      <c r="AB26" s="28" t="n"/>
      <c r="AC26" s="30" t="n"/>
      <c r="AD26" s="24" t="n"/>
      <c r="AE26" s="31" t="inlineStr">
        <is>
          <t>Neutral Elo baseline; executable ask 0.6600 (market_slug=aec-cs2-brute-navij-2026-07-27).</t>
        </is>
      </c>
      <c r="AF26" s="31" t="inlineStr">
        <is>
          <t>Config-promoted esports baseline; gates enforced at log time.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3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NAVI Junior</t>
        </is>
      </c>
      <c r="AQ26" s="24" t="inlineStr">
        <is>
          <t>NAVI Junior</t>
        </is>
      </c>
      <c r="AR26" s="24" t="inlineStr">
        <is>
          <t>NAVI Junior</t>
        </is>
      </c>
      <c r="AS26" s="24" t="inlineStr">
        <is>
          <t>Brute</t>
        </is>
      </c>
      <c r="AT26" s="24" t="inlineStr">
        <is>
          <t>Brute</t>
        </is>
      </c>
      <c r="AU26" s="24" t="inlineStr">
        <is>
          <t>Brute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e9c327ce15d79aaa8ed5032a6fb86929aaa479e14a8bc9a35686411400dd6b91</t>
        </is>
      </c>
      <c r="BB26" s="24" t="inlineStr">
        <is>
          <t>neutral_elo</t>
        </is>
      </c>
      <c r="BC26" s="24" t="inlineStr">
        <is>
          <t>cs2-tiered-elo-v4</t>
        </is>
      </c>
      <c r="BD26" s="24" t="inlineStr">
        <is>
          <t>e9c327ce15d79aaa8ed5032a6fb86929aaa479e14a8bc9a35686411400dd6b91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cs2-tiered-elo-v4</t>
        </is>
      </c>
      <c r="BH26" s="24" t="inlineStr">
        <is>
          <t>2026-07-26T18:57:07.264468Z</t>
        </is>
      </c>
      <c r="BI26" s="24" t="inlineStr">
        <is>
          <t>["same_event","same_team_same_day","same_league_same_day"]</t>
        </is>
      </c>
      <c r="BJ26" s="25" t="n"/>
      <c r="BK26" s="26" t="n">
        <v>-194</v>
      </c>
      <c r="BL26" s="27" t="n">
        <v>1.515464</v>
      </c>
      <c r="BM26" s="28" t="n">
        <v>0.659864</v>
      </c>
      <c r="BN26" s="28" t="n"/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</row>
    <row r="27" ht="36" customHeight="1">
      <c r="A27" s="24" t="inlineStr">
        <is>
          <t>83bd378e867e41e1</t>
        </is>
      </c>
      <c r="B27" s="24" t="inlineStr">
        <is>
          <t>2026-07-26T18:57:10.343708Z</t>
        </is>
      </c>
      <c r="C27" s="24" t="inlineStr">
        <is>
          <t>2026-07-27T16:30:00Z</t>
        </is>
      </c>
      <c r="D27" s="24" t="inlineStr">
        <is>
          <t>60788</t>
        </is>
      </c>
      <c r="E27" s="24" t="inlineStr">
        <is>
          <t>CS2</t>
        </is>
      </c>
      <c r="F27" s="24" t="inlineStr">
        <is>
          <t>MOUZ NXT</t>
        </is>
      </c>
      <c r="G27" s="24" t="inlineStr">
        <is>
          <t>Brute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-156</v>
      </c>
      <c r="M27" s="27" t="n">
        <v>1.641026</v>
      </c>
      <c r="N27" s="28" t="n">
        <v>0.609375</v>
      </c>
      <c r="O27" s="28" t="n">
        <v>0.659512</v>
      </c>
      <c r="P27" s="28" t="n"/>
      <c r="Q27" s="28" t="n">
        <v>0.050137</v>
      </c>
      <c r="R27" s="26" t="n">
        <v>45</v>
      </c>
      <c r="S27" s="29" t="n">
        <v>2</v>
      </c>
      <c r="T27" s="24" t="inlineStr">
        <is>
          <t>cs2-tiered-elo-v4</t>
        </is>
      </c>
      <c r="U27" s="24" t="inlineStr">
        <is>
          <t>open</t>
        </is>
      </c>
      <c r="V27" s="24" t="n"/>
      <c r="W27" s="26" t="n"/>
      <c r="X27" s="26" t="n"/>
      <c r="Y27" s="25" t="n"/>
      <c r="Z27" s="26" t="n"/>
      <c r="AA27" s="28" t="n"/>
      <c r="AB27" s="28" t="n"/>
      <c r="AC27" s="30" t="n"/>
      <c r="AD27" s="24" t="n"/>
      <c r="AE27" s="31" t="inlineStr">
        <is>
          <t>Neutral Elo baseline; executable ask 0.6100 (market_slug=aec-cs2-brute-mouzn-2026-07-27).</t>
        </is>
      </c>
      <c r="AF27" s="31" t="inlineStr">
        <is>
          <t>Config-promoted esports baseline; gates enforced at log time.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3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MOUZ NXT</t>
        </is>
      </c>
      <c r="AQ27" s="24" t="inlineStr">
        <is>
          <t>MOUZ NXT</t>
        </is>
      </c>
      <c r="AR27" s="24" t="inlineStr">
        <is>
          <t>MOUZ NXT</t>
        </is>
      </c>
      <c r="AS27" s="24" t="inlineStr">
        <is>
          <t>Brute</t>
        </is>
      </c>
      <c r="AT27" s="24" t="inlineStr">
        <is>
          <t>Brute</t>
        </is>
      </c>
      <c r="AU27" s="24" t="inlineStr">
        <is>
          <t>Brute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e9c327ce15d79aaa8ed5032a6fb86929aaa479e14a8bc9a35686411400dd6b91</t>
        </is>
      </c>
      <c r="BB27" s="24" t="inlineStr">
        <is>
          <t>neutral_elo</t>
        </is>
      </c>
      <c r="BC27" s="24" t="inlineStr">
        <is>
          <t>cs2-tiered-elo-v4</t>
        </is>
      </c>
      <c r="BD27" s="24" t="inlineStr">
        <is>
          <t>e9c327ce15d79aaa8ed5032a6fb86929aaa479e14a8bc9a35686411400dd6b91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cs2-tiered-elo-v4</t>
        </is>
      </c>
      <c r="BH27" s="24" t="inlineStr">
        <is>
          <t>2026-07-26T18:57:07.794306Z</t>
        </is>
      </c>
      <c r="BI27" s="24" t="inlineStr">
        <is>
          <t>["same_event","same_team_same_day","same_league_same_day"]</t>
        </is>
      </c>
      <c r="BJ27" s="25" t="n"/>
      <c r="BK27" s="26" t="n">
        <v>-156</v>
      </c>
      <c r="BL27" s="27" t="n">
        <v>1.641026</v>
      </c>
      <c r="BM27" s="28" t="n">
        <v>0.609375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</row>
    <row r="28" ht="36" customHeight="1">
      <c r="A28" s="24" t="inlineStr">
        <is>
          <t>f69e8ce221b042f1</t>
        </is>
      </c>
      <c r="B28" s="24" t="inlineStr">
        <is>
          <t>2026-07-26T18:57:10.343708Z</t>
        </is>
      </c>
      <c r="C28" s="24" t="inlineStr">
        <is>
          <t>2026-07-27T17:00:00Z</t>
        </is>
      </c>
      <c r="D28" s="24" t="inlineStr">
        <is>
          <t>60794</t>
        </is>
      </c>
      <c r="E28" s="24" t="inlineStr">
        <is>
          <t>CS2</t>
        </is>
      </c>
      <c r="F28" s="24" t="inlineStr">
        <is>
          <t>HATERS</t>
        </is>
      </c>
      <c r="G28" s="24" t="inlineStr">
        <is>
          <t>Rush</t>
        </is>
      </c>
      <c r="H28" s="24" t="inlineStr">
        <is>
          <t>moneyline</t>
        </is>
      </c>
      <c r="I28" s="24" t="inlineStr">
        <is>
          <t>away</t>
        </is>
      </c>
      <c r="J28" s="25" t="n"/>
      <c r="K28" s="24" t="inlineStr">
        <is>
          <t>polymarket_us</t>
        </is>
      </c>
      <c r="L28" s="26" t="n">
        <v>178</v>
      </c>
      <c r="M28" s="27" t="n">
        <v>2.78</v>
      </c>
      <c r="N28" s="28" t="n">
        <v>0.359712</v>
      </c>
      <c r="O28" s="28" t="n">
        <v>0.573171</v>
      </c>
      <c r="P28" s="28" t="n"/>
      <c r="Q28" s="28" t="n">
        <v>0.213459</v>
      </c>
      <c r="R28" s="26" t="n">
        <v>100</v>
      </c>
      <c r="S28" s="29" t="n">
        <v>1.25</v>
      </c>
      <c r="T28" s="24" t="inlineStr">
        <is>
          <t>cs2-tiered-elo-v4</t>
        </is>
      </c>
      <c r="U28" s="24" t="inlineStr">
        <is>
          <t>open</t>
        </is>
      </c>
      <c r="V28" s="24" t="n"/>
      <c r="W28" s="26" t="n"/>
      <c r="X28" s="26" t="n"/>
      <c r="Y28" s="25" t="n"/>
      <c r="Z28" s="26" t="n"/>
      <c r="AA28" s="28" t="n"/>
      <c r="AB28" s="28" t="n"/>
      <c r="AC28" s="30" t="n"/>
      <c r="AD28" s="24" t="n"/>
      <c r="AE28" s="31" t="inlineStr">
        <is>
          <t>Neutral Elo baseline; executable ask 0.3600 (market_slug=aec-cs2-rush-hat-2026-07-27).</t>
        </is>
      </c>
      <c r="AF28" s="31" t="inlineStr">
        <is>
          <t>Config-promoted esports baseline; gates enforced at log time.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3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HATERS</t>
        </is>
      </c>
      <c r="AQ28" s="24" t="inlineStr">
        <is>
          <t>HATERS</t>
        </is>
      </c>
      <c r="AR28" s="24" t="inlineStr">
        <is>
          <t>HATERS</t>
        </is>
      </c>
      <c r="AS28" s="24" t="inlineStr">
        <is>
          <t>Rush</t>
        </is>
      </c>
      <c r="AT28" s="24" t="inlineStr">
        <is>
          <t>Rush</t>
        </is>
      </c>
      <c r="AU28" s="24" t="inlineStr">
        <is>
          <t>Rush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e9c327ce15d79aaa8ed5032a6fb86929aaa479e14a8bc9a35686411400dd6b91</t>
        </is>
      </c>
      <c r="BB28" s="24" t="inlineStr">
        <is>
          <t>neutral_elo</t>
        </is>
      </c>
      <c r="BC28" s="24" t="inlineStr">
        <is>
          <t>cs2-tiered-elo-v4</t>
        </is>
      </c>
      <c r="BD28" s="24" t="inlineStr">
        <is>
          <t>e9c327ce15d79aaa8ed5032a6fb86929aaa479e14a8bc9a35686411400dd6b91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cs2-tiered-elo-v4</t>
        </is>
      </c>
      <c r="BH28" s="24" t="inlineStr">
        <is>
          <t>2026-07-26T18:57:08.269622Z</t>
        </is>
      </c>
      <c r="BI28" s="24" t="inlineStr">
        <is>
          <t>["same_event","same_team_same_day","same_league_same_day"]</t>
        </is>
      </c>
      <c r="BJ28" s="25" t="n"/>
      <c r="BK28" s="26" t="n">
        <v>178</v>
      </c>
      <c r="BL28" s="27" t="n">
        <v>2.78</v>
      </c>
      <c r="BM28" s="28" t="n">
        <v>0.359712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</row>
    <row r="29" ht="36" customHeight="1">
      <c r="A29" s="24" t="inlineStr">
        <is>
          <t>0b672c45a29a4baa</t>
        </is>
      </c>
      <c r="B29" s="24" t="inlineStr">
        <is>
          <t>2026-07-26T18:57:10.343708Z</t>
        </is>
      </c>
      <c r="C29" s="24" t="inlineStr">
        <is>
          <t>2026-07-27T17:00:00Z</t>
        </is>
      </c>
      <c r="D29" s="24" t="inlineStr">
        <is>
          <t>60795</t>
        </is>
      </c>
      <c r="E29" s="24" t="inlineStr">
        <is>
          <t>CS2</t>
        </is>
      </c>
      <c r="F29" s="24" t="inlineStr">
        <is>
          <t>Falcons Force</t>
        </is>
      </c>
      <c r="G29" s="24" t="inlineStr">
        <is>
          <t>Bebop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-163</v>
      </c>
      <c r="M29" s="27" t="n">
        <v>1.613497</v>
      </c>
      <c r="N29" s="28" t="n">
        <v>0.619772</v>
      </c>
      <c r="O29" s="28" t="n">
        <v>0.70196</v>
      </c>
      <c r="P29" s="28" t="n"/>
      <c r="Q29" s="28" t="n">
        <v>0.082188</v>
      </c>
      <c r="R29" s="26" t="n">
        <v>61</v>
      </c>
      <c r="S29" s="29" t="n">
        <v>2</v>
      </c>
      <c r="T29" s="24" t="inlineStr">
        <is>
          <t>cs2-tiered-elo-v4</t>
        </is>
      </c>
      <c r="U29" s="24" t="inlineStr">
        <is>
          <t>open</t>
        </is>
      </c>
      <c r="V29" s="24" t="n"/>
      <c r="W29" s="26" t="n"/>
      <c r="X29" s="26" t="n"/>
      <c r="Y29" s="25" t="n"/>
      <c r="Z29" s="26" t="n"/>
      <c r="AA29" s="28" t="n"/>
      <c r="AB29" s="28" t="n"/>
      <c r="AC29" s="30" t="n"/>
      <c r="AD29" s="24" t="n"/>
      <c r="AE29" s="31" t="inlineStr">
        <is>
          <t>Neutral Elo baseline; executable ask 0.6200 (market_slug=aec-cs2-bbp-falf-2026-07-27).</t>
        </is>
      </c>
      <c r="AF29" s="31" t="inlineStr">
        <is>
          <t>Config-promoted esports baseline; gates enforced at log time.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3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Falcons Force</t>
        </is>
      </c>
      <c r="AQ29" s="24" t="inlineStr">
        <is>
          <t>Falcons Force</t>
        </is>
      </c>
      <c r="AR29" s="24" t="inlineStr">
        <is>
          <t>Falcons Force</t>
        </is>
      </c>
      <c r="AS29" s="24" t="inlineStr">
        <is>
          <t>Bebop</t>
        </is>
      </c>
      <c r="AT29" s="24" t="inlineStr">
        <is>
          <t>Bebop</t>
        </is>
      </c>
      <c r="AU29" s="24" t="inlineStr">
        <is>
          <t>Bebop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e9c327ce15d79aaa8ed5032a6fb86929aaa479e14a8bc9a35686411400dd6b91</t>
        </is>
      </c>
      <c r="BB29" s="24" t="inlineStr">
        <is>
          <t>neutral_elo</t>
        </is>
      </c>
      <c r="BC29" s="24" t="inlineStr">
        <is>
          <t>cs2-tiered-elo-v4</t>
        </is>
      </c>
      <c r="BD29" s="24" t="inlineStr">
        <is>
          <t>e9c327ce15d79aaa8ed5032a6fb86929aaa479e14a8bc9a35686411400dd6b91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cs2-tiered-elo-v4</t>
        </is>
      </c>
      <c r="BH29" s="24" t="inlineStr">
        <is>
          <t>2026-07-26T18:57:08.795944Z</t>
        </is>
      </c>
      <c r="BI29" s="24" t="inlineStr">
        <is>
          <t>["same_event","same_team_same_day","same_league_same_day"]</t>
        </is>
      </c>
      <c r="BJ29" s="25" t="n"/>
      <c r="BK29" s="26" t="n">
        <v>-163</v>
      </c>
      <c r="BL29" s="27" t="n">
        <v>1.613497</v>
      </c>
      <c r="BM29" s="28" t="n">
        <v>0.619772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2026-07-26T18:57:14Z</dcterms:created>
  <dcterms:modified xsi:type="dcterms:W3CDTF">2026-07-26T18:57:14Z</dcterms:modified>
</cp:coreProperties>
</file>