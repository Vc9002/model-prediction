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P17" headerRowCount="1">
  <autoFilter ref="A1:DP17"/>
  <tableColumns count="120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COUNTA('Picks'!$A$2:$A$17)</f>
        <v/>
      </c>
      <c r="C4" s="6">
        <f>COUNTIF('Picks'!$U$2:$U$17,"open")</f>
        <v/>
      </c>
      <c r="E4" s="6">
        <f>COUNTIF('Picks'!$U$2:$U$17,"settled")</f>
        <v/>
      </c>
      <c r="G4" s="6">
        <f>IF(COUNTIFS('Picks'!$U$2:$U$17,"settled",'Picks'!$V$2:$V$17,"win")+COUNTIFS('Picks'!$U$2:$U$17,"settled",'Picks'!$V$2:$V$17,"loss")&gt;=$L$2,"Ready","Insufficient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COUNTIF('Picks'!$BX$2:$BX$17,"&gt;0")</f>
        <v/>
      </c>
      <c r="C7" s="6">
        <f>COUNTIFS('Picks'!$BX$2:$BX$17,"&gt;0",'Picks'!$V$2:$V$17,"win")&amp;"-"&amp;COUNTIFS('Picks'!$BX$2:$BX$17,"&gt;0",'Picks'!$V$2:$V$17,"loss")</f>
        <v/>
      </c>
      <c r="E7" s="7">
        <f>IFERROR(COUNTIFS('Picks'!$BX$2:$BX$17,"&gt;0",'Picks'!$V$2:$V$17,"win")/(COUNTIFS('Picks'!$BX$2:$BX$17,"&gt;0",'Picks'!$V$2:$V$17,"win")+COUNTIFS('Picks'!$BX$2:$BX$17,"&gt;0",'Picks'!$V$2:$V$17,"loss")),0)</f>
        <v/>
      </c>
      <c r="G7" s="7">
        <f>IFERROR(SUM('Picks'!$BY$2:$BY$17)/SUM('Picks'!$BX$2:$BX$17),0)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SUM('Picks'!$BY$2:$BY$17)</f>
        <v/>
      </c>
      <c r="C10" s="9">
        <f>IFERROR(AVERAGEIF('Picks'!$AB$2:$AB$17,"&lt;&gt;",'Picks'!$AB$2:$AB$17),0)</f>
        <v/>
      </c>
      <c r="E10" s="6">
        <f>COUNTIFS('Picks'!$AM$2:$AM$17,"QUALIFIED_SHADOW_CALL",'Picks'!$U$2:$U$17,"settled")</f>
        <v/>
      </c>
      <c r="G10" s="8">
        <f>SUMIFS('Picks'!$AC$2:$AC$17,'Picks'!$AM$2:$AM$17,"QUALIFIED_SHADOW_CALL")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COUNTIFS('Picks'!$H$2:$H$17,$A14,'Picks'!$U$2:$U$17,"settled")</f>
        <v/>
      </c>
      <c r="C14" s="13">
        <f>COUNTIFS('Picks'!$H$2:$H$17,$A14,'Picks'!$U$2:$U$17,"settled",'Picks'!$V$2:$V$17,"win")</f>
        <v/>
      </c>
      <c r="D14" s="13">
        <f>COUNTIFS('Picks'!$H$2:$H$17,$A14,'Picks'!$U$2:$U$17,"settled",'Picks'!$V$2:$V$17,"loss")</f>
        <v/>
      </c>
      <c r="E14" s="14">
        <f>IFERROR(C14/(C14+D14),0)</f>
        <v/>
      </c>
      <c r="F14" s="15">
        <f>SUMIFS('Picks'!$BY$2:$BY$17,'Picks'!$H$2:$H$17,$A14)</f>
        <v/>
      </c>
      <c r="G14" s="16">
        <f>IFERROR(AVERAGEIFS('Picks'!$AB$2:$AB$17,'Picks'!$H$2:$H$17,$A14,'Picks'!$U$2:$U$17,"settled"),0)</f>
        <v/>
      </c>
    </row>
    <row r="15">
      <c r="A15" s="17" t="inlineStr">
        <is>
          <t>spread</t>
        </is>
      </c>
      <c r="B15" s="18">
        <f>COUNTIFS('Picks'!$H$2:$H$17,$A15,'Picks'!$U$2:$U$17,"settled")</f>
        <v/>
      </c>
      <c r="C15" s="18">
        <f>COUNTIFS('Picks'!$H$2:$H$17,$A15,'Picks'!$U$2:$U$17,"settled",'Picks'!$V$2:$V$17,"win")</f>
        <v/>
      </c>
      <c r="D15" s="18">
        <f>COUNTIFS('Picks'!$H$2:$H$17,$A15,'Picks'!$U$2:$U$17,"settled",'Picks'!$V$2:$V$17,"loss")</f>
        <v/>
      </c>
      <c r="E15" s="19">
        <f>IFERROR(C15/(C15+D15),0)</f>
        <v/>
      </c>
      <c r="F15" s="20">
        <f>SUMIFS('Picks'!$BY$2:$BY$17,'Picks'!$H$2:$H$17,$A15)</f>
        <v/>
      </c>
      <c r="G15" s="21">
        <f>IFERROR(AVERAGEIFS('Picks'!$AB$2:$AB$17,'Picks'!$H$2:$H$17,$A15,'Picks'!$U$2:$U$17,"settled"),0)</f>
        <v/>
      </c>
    </row>
    <row r="16">
      <c r="A16" s="12" t="inlineStr">
        <is>
          <t>total</t>
        </is>
      </c>
      <c r="B16" s="13">
        <f>COUNTIFS('Picks'!$H$2:$H$17,$A16,'Picks'!$U$2:$U$17,"settled")</f>
        <v/>
      </c>
      <c r="C16" s="13">
        <f>COUNTIFS('Picks'!$H$2:$H$17,$A16,'Picks'!$U$2:$U$17,"settled",'Picks'!$V$2:$V$17,"win")</f>
        <v/>
      </c>
      <c r="D16" s="13">
        <f>COUNTIFS('Picks'!$H$2:$H$17,$A16,'Picks'!$U$2:$U$17,"settled",'Picks'!$V$2:$V$17,"loss")</f>
        <v/>
      </c>
      <c r="E16" s="14">
        <f>IFERROR(C16/(C16+D16),0)</f>
        <v/>
      </c>
      <c r="F16" s="15">
        <f>SUMIFS('Picks'!$BY$2:$BY$17,'Picks'!$H$2:$H$17,$A16)</f>
        <v/>
      </c>
      <c r="G16" s="16">
        <f>IFERROR(AVERAGEIFS('Picks'!$AB$2:$AB$17,'Picks'!$H$2:$H$17,$A16,'Picks'!$U$2:$U$17,"settled"),0)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P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</row>
    <row r="2" ht="36" customHeight="1">
      <c r="A2" s="24" t="inlineStr">
        <is>
          <t>beca8c8cd1c241a1</t>
        </is>
      </c>
      <c r="B2" s="24" t="inlineStr">
        <is>
          <t>2026-08-29T15:45:00Z</t>
        </is>
      </c>
      <c r="C2" s="24" t="inlineStr">
        <is>
          <t>2026-08-29T16:00Z</t>
        </is>
      </c>
      <c r="D2" s="24" t="inlineStr">
        <is>
          <t>401856766</t>
        </is>
      </c>
      <c r="E2" s="24" t="inlineStr">
        <is>
          <t>NCAAF</t>
        </is>
      </c>
      <c r="F2" s="24" t="inlineStr">
        <is>
          <t>North Carolina Tar Heels</t>
        </is>
      </c>
      <c r="G2" s="24" t="inlineStr">
        <is>
          <t>TCU Horned Frogs</t>
        </is>
      </c>
      <c r="H2" s="24" t="inlineStr">
        <is>
          <t>total</t>
        </is>
      </c>
      <c r="I2" s="24" t="inlineStr">
        <is>
          <t>over</t>
        </is>
      </c>
      <c r="J2" s="25" t="n">
        <v>46.5</v>
      </c>
      <c r="K2" s="24" t="inlineStr">
        <is>
          <t>espn_consensus</t>
        </is>
      </c>
      <c r="L2" s="26" t="n">
        <v>-110</v>
      </c>
      <c r="M2" s="27" t="n">
        <v>1.909091</v>
      </c>
      <c r="N2" s="28" t="n">
        <v>0.52381</v>
      </c>
      <c r="O2" s="28" t="n">
        <v>0.875533</v>
      </c>
      <c r="P2" s="28" t="n">
        <v>0.06</v>
      </c>
      <c r="Q2" s="28" t="n">
        <v>0.375533</v>
      </c>
      <c r="R2" s="26" t="n">
        <v>100</v>
      </c>
      <c r="S2" s="29" t="n">
        <v>2</v>
      </c>
      <c r="T2" s="24" t="inlineStr">
        <is>
          <t>cfb-total-v1</t>
        </is>
      </c>
      <c r="U2" s="24" t="inlineStr">
        <is>
          <t>settled</t>
        </is>
      </c>
      <c r="V2" s="24" t="inlineStr">
        <is>
          <t>loss</t>
        </is>
      </c>
      <c r="W2" s="26" t="n">
        <v>15</v>
      </c>
      <c r="X2" s="26" t="n">
        <v>10</v>
      </c>
      <c r="Y2" s="25" t="n"/>
      <c r="Z2" s="26" t="n"/>
      <c r="AA2" s="28" t="n"/>
      <c r="AB2" s="28" t="n"/>
      <c r="AC2" s="30" t="n">
        <v>-2</v>
      </c>
      <c r="AD2" s="24" t="inlineStr">
        <is>
          <t>2026-08-30T03:24:08.938700Z</t>
        </is>
      </c>
      <c r="AE2" s="31" t="inlineStr">
        <is>
          <t>Projected total 57.0 pts (Weather adj: +0.0 pts). Total line 46.5 -&gt; P(Over)=0.876, P(Under)=0.124, P(Push)=0.000.</t>
        </is>
      </c>
      <c r="AF2" s="31" t="inlineStr">
        <is>
          <t>College football model; multi-market (moneyline, spread, total).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4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North Carolina Tar Heels</t>
        </is>
      </c>
      <c r="AQ2" s="24" t="inlineStr">
        <is>
          <t>North Carolina Tar Heels</t>
        </is>
      </c>
      <c r="AR2" s="24" t="inlineStr">
        <is>
          <t>North Carolina Tar Heels</t>
        </is>
      </c>
      <c r="AS2" s="24" t="inlineStr">
        <is>
          <t>TCU Horned Frogs</t>
        </is>
      </c>
      <c r="AT2" s="24" t="inlineStr">
        <is>
          <t>TCU Horned Frogs</t>
        </is>
      </c>
      <c r="AU2" s="24" t="inlineStr">
        <is>
          <t>TCU Horned Frogs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1d168f11d221cd3c</t>
        </is>
      </c>
      <c r="BB2" s="24" t="inlineStr">
        <is>
          <t>cfb_key_number_engine</t>
        </is>
      </c>
      <c r="BC2" s="24" t="inlineStr">
        <is>
          <t>cfb-total-v1</t>
        </is>
      </c>
      <c r="BD2" s="24" t="inlineStr">
        <is>
          <t>1d168f11d221cd3c</t>
        </is>
      </c>
      <c r="BE2" s="24" t="inlineStr">
        <is>
          <t>cfb-v1</t>
        </is>
      </c>
      <c r="BF2" s="24" t="inlineStr">
        <is>
          <t>1</t>
        </is>
      </c>
      <c r="BG2" s="24" t="inlineStr">
        <is>
          <t>1d168f11d221cd3c</t>
        </is>
      </c>
      <c r="BH2" s="24" t="inlineStr">
        <is>
          <t>2026-08-29T15:45:00+00:00</t>
        </is>
      </c>
      <c r="BI2" s="24" t="inlineStr">
        <is>
          <t>["same_event","same_team_same_day","same_league_same_day"]</t>
        </is>
      </c>
      <c r="BJ2" s="25" t="n">
        <v>46.5</v>
      </c>
      <c r="BK2" s="26" t="n">
        <v>100</v>
      </c>
      <c r="BL2" s="27" t="n">
        <v>2</v>
      </c>
      <c r="BM2" s="28" t="n">
        <v>0.5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</t>
        </is>
      </c>
      <c r="DK2" s="24" t="n"/>
      <c r="DL2" s="24" t="n"/>
      <c r="DM2" s="24" t="n"/>
      <c r="DN2" s="24" t="n"/>
      <c r="DO2" s="24" t="n"/>
      <c r="DP2" s="24" t="n"/>
    </row>
    <row r="3" ht="36" customHeight="1">
      <c r="A3" s="24" t="inlineStr">
        <is>
          <t>39efc65044284e1a</t>
        </is>
      </c>
      <c r="B3" s="24" t="inlineStr">
        <is>
          <t>2026-08-29T15:45:00Z</t>
        </is>
      </c>
      <c r="C3" s="24" t="inlineStr">
        <is>
          <t>2026-08-29T16:00Z</t>
        </is>
      </c>
      <c r="D3" s="24" t="inlineStr">
        <is>
          <t>401856766</t>
        </is>
      </c>
      <c r="E3" s="24" t="inlineStr">
        <is>
          <t>NCAAF</t>
        </is>
      </c>
      <c r="F3" s="24" t="inlineStr">
        <is>
          <t>North Carolina Tar Heels</t>
        </is>
      </c>
      <c r="G3" s="24" t="inlineStr">
        <is>
          <t>TCU Horned Frogs</t>
        </is>
      </c>
      <c r="H3" s="24" t="inlineStr">
        <is>
          <t>total</t>
        </is>
      </c>
      <c r="I3" s="24" t="inlineStr">
        <is>
          <t>over</t>
        </is>
      </c>
      <c r="J3" s="25" t="n">
        <v>54</v>
      </c>
      <c r="K3" s="24" t="inlineStr">
        <is>
          <t>espn_consensus</t>
        </is>
      </c>
      <c r="L3" s="26" t="n">
        <v>100</v>
      </c>
      <c r="M3" s="27" t="n">
        <v>2</v>
      </c>
      <c r="N3" s="28" t="n">
        <v>0.5</v>
      </c>
      <c r="O3" s="28" t="n">
        <v>0.599</v>
      </c>
      <c r="P3" s="28" t="n">
        <v>0.06</v>
      </c>
      <c r="Q3" s="28" t="n">
        <v>0.099</v>
      </c>
      <c r="R3" s="26" t="n">
        <v>63</v>
      </c>
      <c r="S3" s="29" t="n">
        <v>1.25</v>
      </c>
      <c r="T3" s="24" t="inlineStr">
        <is>
          <t>cfb-total-v1</t>
        </is>
      </c>
      <c r="U3" s="24" t="inlineStr">
        <is>
          <t>open</t>
        </is>
      </c>
      <c r="V3" s="24" t="n"/>
      <c r="W3" s="26" t="n"/>
      <c r="X3" s="26" t="n"/>
      <c r="Y3" s="25" t="n"/>
      <c r="Z3" s="26" t="n"/>
      <c r="AA3" s="28" t="n"/>
      <c r="AB3" s="28" t="n"/>
      <c r="AC3" s="30" t="n"/>
      <c r="AD3" s="24" t="n"/>
      <c r="AE3" s="31" t="inlineStr">
        <is>
          <t>Projected total 57.0 pts (Weather adj: +0.0 pts). Total line 54.0 -&gt; P(Over)=0.599, P(Under)=0.359, P(Push)=0.042.</t>
        </is>
      </c>
      <c r="AF3" s="31" t="inlineStr">
        <is>
          <t>College football model; multi-market (moneyline, spread, total).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4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North Carolina Tar Heels</t>
        </is>
      </c>
      <c r="AQ3" s="24" t="inlineStr">
        <is>
          <t>North Carolina Tar Heels</t>
        </is>
      </c>
      <c r="AR3" s="24" t="inlineStr">
        <is>
          <t>North Carolina Tar Heels</t>
        </is>
      </c>
      <c r="AS3" s="24" t="inlineStr">
        <is>
          <t>TCU Horned Frogs</t>
        </is>
      </c>
      <c r="AT3" s="24" t="inlineStr">
        <is>
          <t>TCU Horned Frogs</t>
        </is>
      </c>
      <c r="AU3" s="24" t="inlineStr">
        <is>
          <t>TCU Horned Frogs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1d168f11d221cd3c</t>
        </is>
      </c>
      <c r="BB3" s="24" t="inlineStr">
        <is>
          <t>cfb_key_number_engine</t>
        </is>
      </c>
      <c r="BC3" s="24" t="inlineStr">
        <is>
          <t>cfb-total-v1</t>
        </is>
      </c>
      <c r="BD3" s="24" t="inlineStr">
        <is>
          <t>1d168f11d221cd3c</t>
        </is>
      </c>
      <c r="BE3" s="24" t="inlineStr">
        <is>
          <t>cfb-v1</t>
        </is>
      </c>
      <c r="BF3" s="24" t="inlineStr">
        <is>
          <t>1</t>
        </is>
      </c>
      <c r="BG3" s="24" t="inlineStr">
        <is>
          <t>1d168f11d221cd3c</t>
        </is>
      </c>
      <c r="BH3" s="24" t="inlineStr">
        <is>
          <t>2026-08-29T15:45:00+00:00</t>
        </is>
      </c>
      <c r="BI3" s="24" t="inlineStr">
        <is>
          <t>["same_event","same_team_same_day","same_league_same_day"]</t>
        </is>
      </c>
      <c r="BJ3" s="25" t="n">
        <v>54</v>
      </c>
      <c r="BK3" s="26" t="n">
        <v>100</v>
      </c>
      <c r="BL3" s="27" t="n">
        <v>2</v>
      </c>
      <c r="BM3" s="28" t="n">
        <v>0.5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</t>
        </is>
      </c>
      <c r="DK3" s="24" t="n"/>
      <c r="DL3" s="24" t="n"/>
      <c r="DM3" s="24" t="n"/>
      <c r="DN3" s="24" t="n"/>
      <c r="DO3" s="24" t="n"/>
      <c r="DP3" s="24" t="n"/>
    </row>
    <row r="4" ht="36" customHeight="1">
      <c r="A4" s="24" t="inlineStr">
        <is>
          <t>7202b06ec8a84ce7</t>
        </is>
      </c>
      <c r="B4" s="24" t="inlineStr">
        <is>
          <t>2026-08-29T16:04:47.550898Z</t>
        </is>
      </c>
      <c r="C4" s="24" t="inlineStr">
        <is>
          <t>2026-08-29T19:00Z</t>
        </is>
      </c>
      <c r="D4" s="24" t="inlineStr">
        <is>
          <t>401864494</t>
        </is>
      </c>
      <c r="E4" s="24" t="inlineStr">
        <is>
          <t>NCAAF</t>
        </is>
      </c>
      <c r="F4" s="24" t="inlineStr">
        <is>
          <t>San José State Spartans</t>
        </is>
      </c>
      <c r="G4" s="24" t="inlineStr">
        <is>
          <t>USC Trojans</t>
        </is>
      </c>
      <c r="H4" s="24" t="inlineStr">
        <is>
          <t>total</t>
        </is>
      </c>
      <c r="I4" s="24" t="inlineStr">
        <is>
          <t>under</t>
        </is>
      </c>
      <c r="J4" s="25" t="n">
        <v>60.5</v>
      </c>
      <c r="K4" s="24" t="inlineStr">
        <is>
          <t>espn_consensus</t>
        </is>
      </c>
      <c r="L4" s="26" t="n">
        <v>-110</v>
      </c>
      <c r="M4" s="27" t="n">
        <v>1.909091</v>
      </c>
      <c r="N4" s="28" t="n">
        <v>0.52381</v>
      </c>
      <c r="O4" s="28" t="n">
        <v>0.584467</v>
      </c>
      <c r="P4" s="28" t="n">
        <v>0.18</v>
      </c>
      <c r="Q4" s="28" t="n">
        <v>0.084467</v>
      </c>
      <c r="R4" s="26" t="n">
        <v>0</v>
      </c>
      <c r="S4" s="29" t="n">
        <v>1</v>
      </c>
      <c r="T4" s="24" t="inlineStr">
        <is>
          <t>cfb-total-v1</t>
        </is>
      </c>
      <c r="U4" s="24" t="inlineStr">
        <is>
          <t>settled</t>
        </is>
      </c>
      <c r="V4" s="24" t="inlineStr">
        <is>
          <t>loss</t>
        </is>
      </c>
      <c r="W4" s="26" t="n">
        <v>26</v>
      </c>
      <c r="X4" s="26" t="n">
        <v>42</v>
      </c>
      <c r="Y4" s="25" t="n"/>
      <c r="Z4" s="26" t="n"/>
      <c r="AA4" s="28" t="n"/>
      <c r="AB4" s="28" t="n"/>
      <c r="AC4" s="30" t="n">
        <v>-1</v>
      </c>
      <c r="AD4" s="24" t="inlineStr">
        <is>
          <t>2026-08-30T03:26:15.307157Z</t>
        </is>
      </c>
      <c r="AE4" s="31" t="inlineStr">
        <is>
          <t>Projected total 59.0 pts (Weather adj: +0.0 pts). Total line 60.5 -&gt; P(Over)=0.416, P(Under)=0.584, P(Push)=0.000.</t>
        </is>
      </c>
      <c r="AF4" s="31" t="inlineStr">
        <is>
          <t>College football model; multi-market (moneyline, spread, total).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4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San José State Spartans</t>
        </is>
      </c>
      <c r="AQ4" s="24" t="inlineStr">
        <is>
          <t>San José State Spartans</t>
        </is>
      </c>
      <c r="AR4" s="24" t="inlineStr">
        <is>
          <t>San José State Spartans</t>
        </is>
      </c>
      <c r="AS4" s="24" t="inlineStr">
        <is>
          <t>USC Trojans</t>
        </is>
      </c>
      <c r="AT4" s="24" t="inlineStr">
        <is>
          <t>USC Trojans</t>
        </is>
      </c>
      <c r="AU4" s="24" t="inlineStr">
        <is>
          <t>USC Trojans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1d168f11d221cd3c</t>
        </is>
      </c>
      <c r="BB4" s="24" t="inlineStr">
        <is>
          <t>cfb_key_number_engine</t>
        </is>
      </c>
      <c r="BC4" s="24" t="inlineStr">
        <is>
          <t>cfb-total-v1</t>
        </is>
      </c>
      <c r="BD4" s="24" t="inlineStr">
        <is>
          <t>1d168f11d221cd3c</t>
        </is>
      </c>
      <c r="BE4" s="24" t="inlineStr">
        <is>
          <t>cfb-v1</t>
        </is>
      </c>
      <c r="BF4" s="24" t="inlineStr">
        <is>
          <t>1</t>
        </is>
      </c>
      <c r="BG4" s="24" t="inlineStr">
        <is>
          <t>1d168f11d221cd3c</t>
        </is>
      </c>
      <c r="BH4" s="24" t="inlineStr">
        <is>
          <t>2026-08-29T16:04:47.550898+00:00</t>
        </is>
      </c>
      <c r="BI4" s="24" t="inlineStr">
        <is>
          <t>["same_event","same_team_same_day","same_league_same_day"]</t>
        </is>
      </c>
      <c r="BJ4" s="25" t="n">
        <v>60.5</v>
      </c>
      <c r="BK4" s="26" t="n">
        <v>100</v>
      </c>
      <c r="BL4" s="27" t="n">
        <v>2</v>
      </c>
      <c r="BM4" s="28" t="n">
        <v>0.5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0.5</t>
        </is>
      </c>
      <c r="DK4" s="24" t="n"/>
      <c r="DL4" s="24" t="n"/>
      <c r="DM4" s="24" t="n"/>
      <c r="DN4" s="24" t="n"/>
      <c r="DO4" s="24" t="n"/>
      <c r="DP4" s="24" t="n"/>
    </row>
    <row r="5" ht="36" customHeight="1">
      <c r="A5" s="24" t="inlineStr">
        <is>
          <t>a29fe4a9b1114701</t>
        </is>
      </c>
      <c r="B5" s="24" t="inlineStr">
        <is>
          <t>2026-08-29T16:04:47.550898Z</t>
        </is>
      </c>
      <c r="C5" s="24" t="inlineStr">
        <is>
          <t>2026-08-29T19:30Z</t>
        </is>
      </c>
      <c r="D5" s="24" t="inlineStr">
        <is>
          <t>401858202</t>
        </is>
      </c>
      <c r="E5" s="24" t="inlineStr">
        <is>
          <t>NCAAF</t>
        </is>
      </c>
      <c r="F5" s="24" t="inlineStr">
        <is>
          <t>NC State Wolfpack</t>
        </is>
      </c>
      <c r="G5" s="24" t="inlineStr">
        <is>
          <t>Virginia Cavaliers</t>
        </is>
      </c>
      <c r="H5" s="24" t="inlineStr">
        <is>
          <t>total</t>
        </is>
      </c>
      <c r="I5" s="24" t="inlineStr">
        <is>
          <t>over</t>
        </is>
      </c>
      <c r="J5" s="25" t="n">
        <v>51.5</v>
      </c>
      <c r="K5" s="24" t="inlineStr">
        <is>
          <t>espn_consensus</t>
        </is>
      </c>
      <c r="L5" s="26" t="n">
        <v>-110</v>
      </c>
      <c r="M5" s="27" t="n">
        <v>1.909091</v>
      </c>
      <c r="N5" s="28" t="n">
        <v>0.52381</v>
      </c>
      <c r="O5" s="28" t="n">
        <v>0.749867</v>
      </c>
      <c r="P5" s="28" t="n">
        <v>0.06</v>
      </c>
      <c r="Q5" s="28" t="n">
        <v>0.249867</v>
      </c>
      <c r="R5" s="26" t="n">
        <v>100</v>
      </c>
      <c r="S5" s="29" t="n">
        <v>2</v>
      </c>
      <c r="T5" s="24" t="inlineStr">
        <is>
          <t>cfb-total-v1</t>
        </is>
      </c>
      <c r="U5" s="24" t="inlineStr">
        <is>
          <t>settled</t>
        </is>
      </c>
      <c r="V5" s="24" t="inlineStr">
        <is>
          <t>loss</t>
        </is>
      </c>
      <c r="W5" s="26" t="n">
        <v>8</v>
      </c>
      <c r="X5" s="26" t="n">
        <v>34</v>
      </c>
      <c r="Y5" s="25" t="n"/>
      <c r="Z5" s="26" t="n"/>
      <c r="AA5" s="28" t="n"/>
      <c r="AB5" s="28" t="n"/>
      <c r="AC5" s="30" t="n">
        <v>-2</v>
      </c>
      <c r="AD5" s="24" t="inlineStr">
        <is>
          <t>2026-08-30T03:26:15.633625Z</t>
        </is>
      </c>
      <c r="AE5" s="31" t="inlineStr">
        <is>
          <t>Projected total 58.1 pts (Weather adj: +0.0 pts). Total line 51.5 -&gt; P(Over)=0.750, P(Under)=0.250, P(Push)=0.000.</t>
        </is>
      </c>
      <c r="AF5" s="31" t="inlineStr">
        <is>
          <t>College football model; multi-market (moneyline, spread, total).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4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NC State Wolfpack</t>
        </is>
      </c>
      <c r="AQ5" s="24" t="inlineStr">
        <is>
          <t>NC State Wolfpack</t>
        </is>
      </c>
      <c r="AR5" s="24" t="inlineStr">
        <is>
          <t>NC State Wolfpack</t>
        </is>
      </c>
      <c r="AS5" s="24" t="inlineStr">
        <is>
          <t>Virginia Cavaliers</t>
        </is>
      </c>
      <c r="AT5" s="24" t="inlineStr">
        <is>
          <t>Virginia Cavaliers</t>
        </is>
      </c>
      <c r="AU5" s="24" t="inlineStr">
        <is>
          <t>Virginia Cavaliers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1d168f11d221cd3c</t>
        </is>
      </c>
      <c r="BB5" s="24" t="inlineStr">
        <is>
          <t>cfb_key_number_engine</t>
        </is>
      </c>
      <c r="BC5" s="24" t="inlineStr">
        <is>
          <t>cfb-total-v1</t>
        </is>
      </c>
      <c r="BD5" s="24" t="inlineStr">
        <is>
          <t>1d168f11d221cd3c</t>
        </is>
      </c>
      <c r="BE5" s="24" t="inlineStr">
        <is>
          <t>cfb-v1</t>
        </is>
      </c>
      <c r="BF5" s="24" t="inlineStr">
        <is>
          <t>1</t>
        </is>
      </c>
      <c r="BG5" s="24" t="inlineStr">
        <is>
          <t>1d168f11d221cd3c</t>
        </is>
      </c>
      <c r="BH5" s="24" t="inlineStr">
        <is>
          <t>2026-08-29T16:04:47.550898+00:00</t>
        </is>
      </c>
      <c r="BI5" s="24" t="inlineStr">
        <is>
          <t>["same_event","same_team_same_day","same_league_same_day"]</t>
        </is>
      </c>
      <c r="BJ5" s="25" t="n">
        <v>51.5</v>
      </c>
      <c r="BK5" s="26" t="n">
        <v>100</v>
      </c>
      <c r="BL5" s="27" t="n">
        <v>2</v>
      </c>
      <c r="BM5" s="28" t="n">
        <v>0.5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</t>
        </is>
      </c>
      <c r="DK5" s="24" t="n"/>
      <c r="DL5" s="24" t="n"/>
      <c r="DM5" s="24" t="n"/>
      <c r="DN5" s="24" t="n"/>
      <c r="DO5" s="24" t="n"/>
      <c r="DP5" s="24" t="n"/>
    </row>
    <row r="6" ht="36" customHeight="1">
      <c r="A6" s="24" t="inlineStr">
        <is>
          <t>d2b1c698814643c7</t>
        </is>
      </c>
      <c r="B6" s="24" t="inlineStr">
        <is>
          <t>2026-08-29T16:04:47.550898Z</t>
        </is>
      </c>
      <c r="C6" s="24" t="inlineStr">
        <is>
          <t>2026-08-29T21:30Z</t>
        </is>
      </c>
      <c r="D6" s="24" t="inlineStr">
        <is>
          <t>401864577</t>
        </is>
      </c>
      <c r="E6" s="24" t="inlineStr">
        <is>
          <t>NCAAF</t>
        </is>
      </c>
      <c r="F6" s="24" t="inlineStr">
        <is>
          <t>Jacksonville State Gamecocks</t>
        </is>
      </c>
      <c r="G6" s="24" t="inlineStr">
        <is>
          <t>North Dakota State Bison</t>
        </is>
      </c>
      <c r="H6" s="24" t="inlineStr">
        <is>
          <t>total</t>
        </is>
      </c>
      <c r="I6" s="24" t="inlineStr">
        <is>
          <t>over</t>
        </is>
      </c>
      <c r="J6" s="25" t="n">
        <v>46.5</v>
      </c>
      <c r="K6" s="24" t="inlineStr">
        <is>
          <t>espn_consensus</t>
        </is>
      </c>
      <c r="L6" s="26" t="n">
        <v>-110</v>
      </c>
      <c r="M6" s="27" t="n">
        <v>1.909091</v>
      </c>
      <c r="N6" s="28" t="n">
        <v>0.52381</v>
      </c>
      <c r="O6" s="28" t="n">
        <v>0.882333</v>
      </c>
      <c r="P6" s="28" t="n">
        <v>0.215</v>
      </c>
      <c r="Q6" s="28" t="n">
        <v>0.382333</v>
      </c>
      <c r="R6" s="26" t="n">
        <v>100</v>
      </c>
      <c r="S6" s="29" t="n">
        <v>2</v>
      </c>
      <c r="T6" s="24" t="inlineStr">
        <is>
          <t>cfb-total-v1</t>
        </is>
      </c>
      <c r="U6" s="24" t="inlineStr">
        <is>
          <t>settled</t>
        </is>
      </c>
      <c r="V6" s="24" t="inlineStr">
        <is>
          <t>loss</t>
        </is>
      </c>
      <c r="W6" s="26" t="n">
        <v>7</v>
      </c>
      <c r="X6" s="26" t="n">
        <v>33</v>
      </c>
      <c r="Y6" s="25" t="n"/>
      <c r="Z6" s="26" t="n"/>
      <c r="AA6" s="28" t="n"/>
      <c r="AB6" s="28" t="n"/>
      <c r="AC6" s="30" t="n">
        <v>-2</v>
      </c>
      <c r="AD6" s="24" t="inlineStr">
        <is>
          <t>2026-08-30T03:26:15.966567Z</t>
        </is>
      </c>
      <c r="AE6" s="31" t="inlineStr">
        <is>
          <t>Projected total 57.3 pts (Weather adj: +0.0 pts). Total line 46.5 -&gt; P(Over)=0.882, P(Under)=0.118, P(Push)=0.000.</t>
        </is>
      </c>
      <c r="AF6" s="31" t="inlineStr">
        <is>
          <t>College football model; multi-market (moneyline, spread, total).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4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Jacksonville State Gamecocks</t>
        </is>
      </c>
      <c r="AQ6" s="24" t="inlineStr">
        <is>
          <t>Jacksonville State Gamecocks</t>
        </is>
      </c>
      <c r="AR6" s="24" t="inlineStr">
        <is>
          <t>Jacksonville State Gamecocks</t>
        </is>
      </c>
      <c r="AS6" s="24" t="inlineStr">
        <is>
          <t>North Dakota State Bison</t>
        </is>
      </c>
      <c r="AT6" s="24" t="inlineStr">
        <is>
          <t>North Dakota State Bison</t>
        </is>
      </c>
      <c r="AU6" s="24" t="inlineStr">
        <is>
          <t>North Dakota State Bison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1d168f11d221cd3c</t>
        </is>
      </c>
      <c r="BB6" s="24" t="inlineStr">
        <is>
          <t>cfb_key_number_engine</t>
        </is>
      </c>
      <c r="BC6" s="24" t="inlineStr">
        <is>
          <t>cfb-total-v1</t>
        </is>
      </c>
      <c r="BD6" s="24" t="inlineStr">
        <is>
          <t>1d168f11d221cd3c</t>
        </is>
      </c>
      <c r="BE6" s="24" t="inlineStr">
        <is>
          <t>cfb-v1</t>
        </is>
      </c>
      <c r="BF6" s="24" t="inlineStr">
        <is>
          <t>1</t>
        </is>
      </c>
      <c r="BG6" s="24" t="inlineStr">
        <is>
          <t>1d168f11d221cd3c</t>
        </is>
      </c>
      <c r="BH6" s="24" t="inlineStr">
        <is>
          <t>2026-08-29T16:04:47.550898+00:00</t>
        </is>
      </c>
      <c r="BI6" s="24" t="inlineStr">
        <is>
          <t>["same_event","same_team_same_day","same_league_same_day"]</t>
        </is>
      </c>
      <c r="BJ6" s="25" t="n">
        <v>46.5</v>
      </c>
      <c r="BK6" s="26" t="n">
        <v>100</v>
      </c>
      <c r="BL6" s="27" t="n">
        <v>2</v>
      </c>
      <c r="BM6" s="28" t="n">
        <v>0.5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0.5</t>
        </is>
      </c>
      <c r="DK6" s="24" t="n"/>
      <c r="DL6" s="24" t="n"/>
      <c r="DM6" s="24" t="n"/>
      <c r="DN6" s="24" t="n"/>
      <c r="DO6" s="24" t="n"/>
      <c r="DP6" s="24" t="n"/>
    </row>
    <row r="7" ht="36" customHeight="1">
      <c r="A7" s="24" t="inlineStr">
        <is>
          <t>de128f5a5a55438f</t>
        </is>
      </c>
      <c r="B7" s="24" t="inlineStr">
        <is>
          <t>2026-08-29T16:04:47.550898Z</t>
        </is>
      </c>
      <c r="C7" s="24" t="inlineStr">
        <is>
          <t>2026-08-29T22:30Z</t>
        </is>
      </c>
      <c r="D7" s="24" t="inlineStr">
        <is>
          <t>401866408</t>
        </is>
      </c>
      <c r="E7" s="24" t="inlineStr">
        <is>
          <t>NCAAF</t>
        </is>
      </c>
      <c r="F7" s="24" t="inlineStr">
        <is>
          <t>Sacramento State Hornets</t>
        </is>
      </c>
      <c r="G7" s="24" t="inlineStr">
        <is>
          <t>Eastern Michigan Eagles</t>
        </is>
      </c>
      <c r="H7" s="24" t="inlineStr">
        <is>
          <t>total</t>
        </is>
      </c>
      <c r="I7" s="24" t="inlineStr">
        <is>
          <t>over</t>
        </is>
      </c>
      <c r="J7" s="25" t="n">
        <v>53.5</v>
      </c>
      <c r="K7" s="24" t="inlineStr">
        <is>
          <t>espn_consensus</t>
        </is>
      </c>
      <c r="L7" s="26" t="n">
        <v>-110</v>
      </c>
      <c r="M7" s="27" t="n">
        <v>1.909091</v>
      </c>
      <c r="N7" s="28" t="n">
        <v>0.52381</v>
      </c>
      <c r="O7" s="28" t="n">
        <v>0.724867</v>
      </c>
      <c r="P7" s="28" t="n">
        <v>0.18</v>
      </c>
      <c r="Q7" s="28" t="n">
        <v>0.224867</v>
      </c>
      <c r="R7" s="26" t="n">
        <v>54</v>
      </c>
      <c r="S7" s="29" t="n">
        <v>1.25</v>
      </c>
      <c r="T7" s="24" t="inlineStr">
        <is>
          <t>cfb-total-v1</t>
        </is>
      </c>
      <c r="U7" s="24" t="inlineStr">
        <is>
          <t>settled</t>
        </is>
      </c>
      <c r="V7" s="24" t="inlineStr">
        <is>
          <t>loss</t>
        </is>
      </c>
      <c r="W7" s="26" t="n">
        <v>17</v>
      </c>
      <c r="X7" s="26" t="n">
        <v>28</v>
      </c>
      <c r="Y7" s="25" t="n"/>
      <c r="Z7" s="26" t="n"/>
      <c r="AA7" s="28" t="n"/>
      <c r="AB7" s="28" t="n"/>
      <c r="AC7" s="30" t="n">
        <v>-1.25</v>
      </c>
      <c r="AD7" s="24" t="inlineStr">
        <is>
          <t>2026-08-30T03:26:16.289878Z</t>
        </is>
      </c>
      <c r="AE7" s="31" t="inlineStr">
        <is>
          <t>Projected total 59.0 pts (Weather adj: +0.0 pts). Total line 53.5 -&gt; P(Over)=0.725, P(Under)=0.275, P(Push)=0.000.</t>
        </is>
      </c>
      <c r="AF7" s="31" t="inlineStr">
        <is>
          <t>College football model; multi-market (moneyline, spread, total).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4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Sacramento State Hornets</t>
        </is>
      </c>
      <c r="AQ7" s="24" t="inlineStr">
        <is>
          <t>Sacramento State Hornets</t>
        </is>
      </c>
      <c r="AR7" s="24" t="inlineStr">
        <is>
          <t>Sacramento State Hornets</t>
        </is>
      </c>
      <c r="AS7" s="24" t="inlineStr">
        <is>
          <t>Eastern Michigan Eagles</t>
        </is>
      </c>
      <c r="AT7" s="24" t="inlineStr">
        <is>
          <t>Eastern Michigan Eagles</t>
        </is>
      </c>
      <c r="AU7" s="24" t="inlineStr">
        <is>
          <t>Eastern Michigan Eagles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1d168f11d221cd3c</t>
        </is>
      </c>
      <c r="BB7" s="24" t="inlineStr">
        <is>
          <t>cfb_key_number_engine</t>
        </is>
      </c>
      <c r="BC7" s="24" t="inlineStr">
        <is>
          <t>cfb-total-v1</t>
        </is>
      </c>
      <c r="BD7" s="24" t="inlineStr">
        <is>
          <t>1d168f11d221cd3c</t>
        </is>
      </c>
      <c r="BE7" s="24" t="inlineStr">
        <is>
          <t>cfb-v1</t>
        </is>
      </c>
      <c r="BF7" s="24" t="inlineStr">
        <is>
          <t>1</t>
        </is>
      </c>
      <c r="BG7" s="24" t="inlineStr">
        <is>
          <t>1d168f11d221cd3c</t>
        </is>
      </c>
      <c r="BH7" s="24" t="inlineStr">
        <is>
          <t>2026-08-29T16:04:47.550898+00:00</t>
        </is>
      </c>
      <c r="BI7" s="24" t="inlineStr">
        <is>
          <t>["same_event","same_team_same_day","same_league_same_day"]</t>
        </is>
      </c>
      <c r="BJ7" s="25" t="n">
        <v>53.5</v>
      </c>
      <c r="BK7" s="26" t="n">
        <v>100</v>
      </c>
      <c r="BL7" s="27" t="n">
        <v>2</v>
      </c>
      <c r="BM7" s="28" t="n">
        <v>0.5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</t>
        </is>
      </c>
      <c r="DK7" s="24" t="n"/>
      <c r="DL7" s="24" t="n"/>
      <c r="DM7" s="24" t="n"/>
      <c r="DN7" s="24" t="n"/>
      <c r="DO7" s="24" t="n"/>
      <c r="DP7" s="24" t="n"/>
    </row>
    <row r="8" ht="36" customHeight="1">
      <c r="A8" s="24" t="inlineStr">
        <is>
          <t>1d6604fde76343f3</t>
        </is>
      </c>
      <c r="B8" s="24" t="inlineStr">
        <is>
          <t>2026-08-29T16:04:47.550898Z</t>
        </is>
      </c>
      <c r="C8" s="24" t="inlineStr">
        <is>
          <t>2026-08-29T23:00Z</t>
        </is>
      </c>
      <c r="D8" s="24" t="inlineStr">
        <is>
          <t>401858201</t>
        </is>
      </c>
      <c r="E8" s="24" t="inlineStr">
        <is>
          <t>NCAAF</t>
        </is>
      </c>
      <c r="F8" s="24" t="inlineStr">
        <is>
          <t>Hawai'i Rainbow Warriors</t>
        </is>
      </c>
      <c r="G8" s="24" t="inlineStr">
        <is>
          <t>Stanford Cardinal</t>
        </is>
      </c>
      <c r="H8" s="24" t="inlineStr">
        <is>
          <t>total</t>
        </is>
      </c>
      <c r="I8" s="24" t="inlineStr">
        <is>
          <t>over</t>
        </is>
      </c>
      <c r="J8" s="25" t="n">
        <v>48.5</v>
      </c>
      <c r="K8" s="24" t="inlineStr">
        <is>
          <t>espn_consensus</t>
        </is>
      </c>
      <c r="L8" s="26" t="n">
        <v>-110</v>
      </c>
      <c r="M8" s="27" t="n">
        <v>1.909091</v>
      </c>
      <c r="N8" s="28" t="n">
        <v>0.52381</v>
      </c>
      <c r="O8" s="28" t="n">
        <v>0.858067</v>
      </c>
      <c r="P8" s="28" t="n">
        <v>0.18</v>
      </c>
      <c r="Q8" s="28" t="n">
        <v>0.358067</v>
      </c>
      <c r="R8" s="26" t="n">
        <v>100</v>
      </c>
      <c r="S8" s="29" t="n">
        <v>2</v>
      </c>
      <c r="T8" s="24" t="inlineStr">
        <is>
          <t>cfb-total-v1</t>
        </is>
      </c>
      <c r="U8" s="24" t="inlineStr">
        <is>
          <t>settled</t>
        </is>
      </c>
      <c r="V8" s="24" t="inlineStr">
        <is>
          <t>win</t>
        </is>
      </c>
      <c r="W8" s="26" t="n">
        <v>27</v>
      </c>
      <c r="X8" s="26" t="n">
        <v>37</v>
      </c>
      <c r="Y8" s="25" t="n"/>
      <c r="Z8" s="26" t="n"/>
      <c r="AA8" s="28" t="n"/>
      <c r="AB8" s="28" t="n"/>
      <c r="AC8" s="30" t="n">
        <v>1.8182</v>
      </c>
      <c r="AD8" s="24" t="inlineStr">
        <is>
          <t>2026-08-30T03:26:16.607697Z</t>
        </is>
      </c>
      <c r="AE8" s="31" t="inlineStr">
        <is>
          <t>Projected total 58.3 pts (Weather adj: +0.0 pts). Total line 48.5 -&gt; P(Over)=0.858, P(Under)=0.142, P(Push)=0.000.</t>
        </is>
      </c>
      <c r="AF8" s="31" t="inlineStr">
        <is>
          <t>College football model; multi-market (moneyline, spread, total).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4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Hawai'i Rainbow Warriors</t>
        </is>
      </c>
      <c r="AQ8" s="24" t="inlineStr">
        <is>
          <t>Hawai'i Rainbow Warriors</t>
        </is>
      </c>
      <c r="AR8" s="24" t="inlineStr">
        <is>
          <t>Hawai'i Rainbow Warriors</t>
        </is>
      </c>
      <c r="AS8" s="24" t="inlineStr">
        <is>
          <t>Stanford Cardinal</t>
        </is>
      </c>
      <c r="AT8" s="24" t="inlineStr">
        <is>
          <t>Stanford Cardinal</t>
        </is>
      </c>
      <c r="AU8" s="24" t="inlineStr">
        <is>
          <t>Stanford Cardinal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1d168f11d221cd3c</t>
        </is>
      </c>
      <c r="BB8" s="24" t="inlineStr">
        <is>
          <t>cfb_key_number_engine</t>
        </is>
      </c>
      <c r="BC8" s="24" t="inlineStr">
        <is>
          <t>cfb-total-v1</t>
        </is>
      </c>
      <c r="BD8" s="24" t="inlineStr">
        <is>
          <t>1d168f11d221cd3c</t>
        </is>
      </c>
      <c r="BE8" s="24" t="inlineStr">
        <is>
          <t>cfb-v1</t>
        </is>
      </c>
      <c r="BF8" s="24" t="inlineStr">
        <is>
          <t>1</t>
        </is>
      </c>
      <c r="BG8" s="24" t="inlineStr">
        <is>
          <t>1d168f11d221cd3c</t>
        </is>
      </c>
      <c r="BH8" s="24" t="inlineStr">
        <is>
          <t>2026-08-29T16:04:47.550898+00:00</t>
        </is>
      </c>
      <c r="BI8" s="24" t="inlineStr">
        <is>
          <t>["same_event","same_team_same_day","same_league_same_day"]</t>
        </is>
      </c>
      <c r="BJ8" s="25" t="n">
        <v>48.5</v>
      </c>
      <c r="BK8" s="26" t="n">
        <v>100</v>
      </c>
      <c r="BL8" s="27" t="n">
        <v>2</v>
      </c>
      <c r="BM8" s="28" t="n">
        <v>0.5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0.5</t>
        </is>
      </c>
      <c r="DK8" s="24" t="n"/>
      <c r="DL8" s="24" t="n"/>
      <c r="DM8" s="24" t="n"/>
      <c r="DN8" s="24" t="n"/>
      <c r="DO8" s="24" t="n"/>
      <c r="DP8" s="24" t="n"/>
    </row>
    <row r="9" ht="36" customHeight="1">
      <c r="A9" s="24" t="inlineStr">
        <is>
          <t>677c74bed8bb4e3c</t>
        </is>
      </c>
      <c r="B9" s="24" t="inlineStr">
        <is>
          <t>2026-08-29T16:04:47.550898Z</t>
        </is>
      </c>
      <c r="C9" s="24" t="inlineStr">
        <is>
          <t>2026-08-29T23:00Z</t>
        </is>
      </c>
      <c r="D9" s="24" t="inlineStr">
        <is>
          <t>401864570</t>
        </is>
      </c>
      <c r="E9" s="24" t="inlineStr">
        <is>
          <t>NCAAF</t>
        </is>
      </c>
      <c r="F9" s="24" t="inlineStr">
        <is>
          <t>New Mexico State Aggies</t>
        </is>
      </c>
      <c r="G9" s="24" t="inlineStr">
        <is>
          <t>Florida State Seminoles</t>
        </is>
      </c>
      <c r="H9" s="24" t="inlineStr">
        <is>
          <t>total</t>
        </is>
      </c>
      <c r="I9" s="24" t="inlineStr">
        <is>
          <t>over</t>
        </is>
      </c>
      <c r="J9" s="25" t="n">
        <v>53.5</v>
      </c>
      <c r="K9" s="24" t="inlineStr">
        <is>
          <t>espn_consensus</t>
        </is>
      </c>
      <c r="L9" s="26" t="n">
        <v>-110</v>
      </c>
      <c r="M9" s="27" t="n">
        <v>1.909091</v>
      </c>
      <c r="N9" s="28" t="n">
        <v>0.52381</v>
      </c>
      <c r="O9" s="28" t="n">
        <v>0.6126</v>
      </c>
      <c r="P9" s="28" t="n">
        <v>0.06</v>
      </c>
      <c r="Q9" s="28" t="n">
        <v>0.1126</v>
      </c>
      <c r="R9" s="26" t="n">
        <v>70</v>
      </c>
      <c r="S9" s="29" t="n">
        <v>1.25</v>
      </c>
      <c r="T9" s="24" t="inlineStr">
        <is>
          <t>cfb-total-v1</t>
        </is>
      </c>
      <c r="U9" s="24" t="inlineStr">
        <is>
          <t>settled</t>
        </is>
      </c>
      <c r="V9" s="24" t="inlineStr">
        <is>
          <t>loss</t>
        </is>
      </c>
      <c r="W9" s="26" t="n">
        <v>17</v>
      </c>
      <c r="X9" s="26" t="n">
        <v>34</v>
      </c>
      <c r="Y9" s="25" t="n"/>
      <c r="Z9" s="26" t="n"/>
      <c r="AA9" s="28" t="n"/>
      <c r="AB9" s="28" t="n"/>
      <c r="AC9" s="30" t="n">
        <v>-1.25</v>
      </c>
      <c r="AD9" s="24" t="inlineStr">
        <is>
          <t>2026-08-30T03:26:16.926076Z</t>
        </is>
      </c>
      <c r="AE9" s="31" t="inlineStr">
        <is>
          <t>Projected total 56.5 pts (Weather adj: +0.0 pts). Total line 53.5 -&gt; P(Over)=0.613, P(Under)=0.387, P(Push)=0.000.</t>
        </is>
      </c>
      <c r="AF9" s="31" t="inlineStr">
        <is>
          <t>College football model; multi-market (moneyline, spread, total).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4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New Mexico State Aggies</t>
        </is>
      </c>
      <c r="AQ9" s="24" t="inlineStr">
        <is>
          <t>New Mexico State Aggies</t>
        </is>
      </c>
      <c r="AR9" s="24" t="inlineStr">
        <is>
          <t>New Mexico State Aggies</t>
        </is>
      </c>
      <c r="AS9" s="24" t="inlineStr">
        <is>
          <t>Florida State Seminoles</t>
        </is>
      </c>
      <c r="AT9" s="24" t="inlineStr">
        <is>
          <t>Florida State Seminoles</t>
        </is>
      </c>
      <c r="AU9" s="24" t="inlineStr">
        <is>
          <t>Florida State Seminoles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1d168f11d221cd3c</t>
        </is>
      </c>
      <c r="BB9" s="24" t="inlineStr">
        <is>
          <t>cfb_key_number_engine</t>
        </is>
      </c>
      <c r="BC9" s="24" t="inlineStr">
        <is>
          <t>cfb-total-v1</t>
        </is>
      </c>
      <c r="BD9" s="24" t="inlineStr">
        <is>
          <t>1d168f11d221cd3c</t>
        </is>
      </c>
      <c r="BE9" s="24" t="inlineStr">
        <is>
          <t>cfb-v1</t>
        </is>
      </c>
      <c r="BF9" s="24" t="inlineStr">
        <is>
          <t>1</t>
        </is>
      </c>
      <c r="BG9" s="24" t="inlineStr">
        <is>
          <t>1d168f11d221cd3c</t>
        </is>
      </c>
      <c r="BH9" s="24" t="inlineStr">
        <is>
          <t>2026-08-29T16:04:47.550898+00:00</t>
        </is>
      </c>
      <c r="BI9" s="24" t="inlineStr">
        <is>
          <t>["same_event","same_team_same_day","same_league_same_day"]</t>
        </is>
      </c>
      <c r="BJ9" s="25" t="n">
        <v>53.5</v>
      </c>
      <c r="BK9" s="26" t="n">
        <v>100</v>
      </c>
      <c r="BL9" s="27" t="n">
        <v>2</v>
      </c>
      <c r="BM9" s="28" t="n">
        <v>0.5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</t>
        </is>
      </c>
      <c r="DK9" s="24" t="n"/>
      <c r="DL9" s="24" t="n"/>
      <c r="DM9" s="24" t="n"/>
      <c r="DN9" s="24" t="n"/>
      <c r="DO9" s="24" t="n"/>
      <c r="DP9" s="24" t="n"/>
    </row>
    <row r="10" ht="36" customHeight="1">
      <c r="A10" s="24" t="inlineStr">
        <is>
          <t>0948b89f84ca4565</t>
        </is>
      </c>
      <c r="B10" s="24" t="inlineStr">
        <is>
          <t>2026-08-29T16:04:47.550898Z</t>
        </is>
      </c>
      <c r="C10" s="24" t="inlineStr">
        <is>
          <t>2026-08-30T02:00Z</t>
        </is>
      </c>
      <c r="D10" s="24" t="inlineStr">
        <is>
          <t>401862693</t>
        </is>
      </c>
      <c r="E10" s="24" t="inlineStr">
        <is>
          <t>NCAAF</t>
        </is>
      </c>
      <c r="F10" s="24" t="inlineStr">
        <is>
          <t>Memphis Tigers</t>
        </is>
      </c>
      <c r="G10" s="24" t="inlineStr">
        <is>
          <t>UNLV Rebels</t>
        </is>
      </c>
      <c r="H10" s="24" t="inlineStr">
        <is>
          <t>total</t>
        </is>
      </c>
      <c r="I10" s="24" t="inlineStr">
        <is>
          <t>over</t>
        </is>
      </c>
      <c r="J10" s="25" t="n">
        <v>55.5</v>
      </c>
      <c r="K10" s="24" t="inlineStr">
        <is>
          <t>espn_consensus</t>
        </is>
      </c>
      <c r="L10" s="26" t="n">
        <v>100</v>
      </c>
      <c r="M10" s="27" t="n">
        <v>2</v>
      </c>
      <c r="N10" s="28" t="n">
        <v>0.5</v>
      </c>
      <c r="O10" s="28" t="n">
        <v>0.530667</v>
      </c>
      <c r="P10" s="28" t="n">
        <v>0.06</v>
      </c>
      <c r="Q10" s="28" t="n">
        <v>0.030667</v>
      </c>
      <c r="R10" s="26" t="n">
        <v>29</v>
      </c>
      <c r="S10" s="29" t="n">
        <v>1</v>
      </c>
      <c r="T10" s="24" t="inlineStr">
        <is>
          <t>cfb-total-v1</t>
        </is>
      </c>
      <c r="U10" s="24" t="inlineStr">
        <is>
          <t>open</t>
        </is>
      </c>
      <c r="V10" s="24" t="n"/>
      <c r="W10" s="26" t="n"/>
      <c r="X10" s="26" t="n"/>
      <c r="Y10" s="25" t="n"/>
      <c r="Z10" s="26" t="n"/>
      <c r="AA10" s="28" t="n"/>
      <c r="AB10" s="28" t="n"/>
      <c r="AC10" s="30" t="n"/>
      <c r="AD10" s="24" t="n"/>
      <c r="AE10" s="31" t="inlineStr">
        <is>
          <t>Projected total 56.6 pts (Weather adj: +0.0 pts). Total line 55.5 -&gt; P(Over)=0.531, P(Under)=0.469, P(Push)=0.000.</t>
        </is>
      </c>
      <c r="AF10" s="31" t="inlineStr">
        <is>
          <t>College football model; multi-market (moneyline, spread, total).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4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Memphis Tigers</t>
        </is>
      </c>
      <c r="AQ10" s="24" t="inlineStr">
        <is>
          <t>Memphis Tigers</t>
        </is>
      </c>
      <c r="AR10" s="24" t="inlineStr">
        <is>
          <t>Memphis Tigers</t>
        </is>
      </c>
      <c r="AS10" s="24" t="inlineStr">
        <is>
          <t>UNLV Rebels</t>
        </is>
      </c>
      <c r="AT10" s="24" t="inlineStr">
        <is>
          <t>UNLV Rebels</t>
        </is>
      </c>
      <c r="AU10" s="24" t="inlineStr">
        <is>
          <t>UNLV Rebels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1d168f11d221cd3c</t>
        </is>
      </c>
      <c r="BB10" s="24" t="inlineStr">
        <is>
          <t>cfb_key_number_engine</t>
        </is>
      </c>
      <c r="BC10" s="24" t="inlineStr">
        <is>
          <t>cfb-total-v1</t>
        </is>
      </c>
      <c r="BD10" s="24" t="inlineStr">
        <is>
          <t>1d168f11d221cd3c</t>
        </is>
      </c>
      <c r="BE10" s="24" t="inlineStr">
        <is>
          <t>cfb-v1</t>
        </is>
      </c>
      <c r="BF10" s="24" t="inlineStr">
        <is>
          <t>1</t>
        </is>
      </c>
      <c r="BG10" s="24" t="inlineStr">
        <is>
          <t>1d168f11d221cd3c</t>
        </is>
      </c>
      <c r="BH10" s="24" t="inlineStr">
        <is>
          <t>2026-08-29T16:04:47.550898+00:00</t>
        </is>
      </c>
      <c r="BI10" s="24" t="inlineStr">
        <is>
          <t>["same_event","same_team_same_day","same_league_same_day"]</t>
        </is>
      </c>
      <c r="BJ10" s="25" t="n">
        <v>55.5</v>
      </c>
      <c r="BK10" s="26" t="n">
        <v>100</v>
      </c>
      <c r="BL10" s="27" t="n">
        <v>2</v>
      </c>
      <c r="BM10" s="28" t="n">
        <v>0.5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0.5</t>
        </is>
      </c>
      <c r="DK10" s="24" t="n"/>
      <c r="DL10" s="24" t="n"/>
      <c r="DM10" s="24" t="n"/>
      <c r="DN10" s="24" t="n"/>
      <c r="DO10" s="24" t="n"/>
      <c r="DP10" s="24" t="n"/>
    </row>
    <row r="11" ht="36" customHeight="1">
      <c r="A11" s="24" t="inlineStr">
        <is>
          <t>ec4b703ad16747a4</t>
        </is>
      </c>
      <c r="B11" s="24" t="inlineStr">
        <is>
          <t>2026-08-29T18:45:00Z</t>
        </is>
      </c>
      <c r="C11" s="24" t="inlineStr">
        <is>
          <t>2026-08-29T19:00Z</t>
        </is>
      </c>
      <c r="D11" s="24" t="inlineStr">
        <is>
          <t>401864494</t>
        </is>
      </c>
      <c r="E11" s="24" t="inlineStr">
        <is>
          <t>NCAAF</t>
        </is>
      </c>
      <c r="F11" s="24" t="inlineStr">
        <is>
          <t>San José State Spartans</t>
        </is>
      </c>
      <c r="G11" s="24" t="inlineStr">
        <is>
          <t>USC Trojans</t>
        </is>
      </c>
      <c r="H11" s="24" t="inlineStr">
        <is>
          <t>total</t>
        </is>
      </c>
      <c r="I11" s="24" t="inlineStr">
        <is>
          <t>over</t>
        </is>
      </c>
      <c r="J11" s="25" t="n">
        <v>54</v>
      </c>
      <c r="K11" s="24" t="inlineStr">
        <is>
          <t>espn_consensus</t>
        </is>
      </c>
      <c r="L11" s="26" t="n">
        <v>100</v>
      </c>
      <c r="M11" s="27" t="n">
        <v>2</v>
      </c>
      <c r="N11" s="28" t="n">
        <v>0.5</v>
      </c>
      <c r="O11" s="28" t="n">
        <v>0.675133</v>
      </c>
      <c r="P11" s="28" t="n">
        <v>0.18</v>
      </c>
      <c r="Q11" s="28" t="n">
        <v>0.175133</v>
      </c>
      <c r="R11" s="26" t="n">
        <v>30</v>
      </c>
      <c r="S11" s="29" t="n">
        <v>1</v>
      </c>
      <c r="T11" s="24" t="inlineStr">
        <is>
          <t>cfb-total-v1</t>
        </is>
      </c>
      <c r="U11" s="24" t="inlineStr">
        <is>
          <t>open</t>
        </is>
      </c>
      <c r="V11" s="24" t="n"/>
      <c r="W11" s="26" t="n"/>
      <c r="X11" s="26" t="n"/>
      <c r="Y11" s="25" t="n"/>
      <c r="Z11" s="26" t="n"/>
      <c r="AA11" s="28" t="n"/>
      <c r="AB11" s="28" t="n"/>
      <c r="AC11" s="30" t="n"/>
      <c r="AD11" s="24" t="n"/>
      <c r="AE11" s="31" t="inlineStr">
        <is>
          <t>Projected total 59.0 pts (Weather adj: +0.0 pts). Total line 54.0 -&gt; P(Over)=0.675, P(Under)=0.288, P(Push)=0.037.</t>
        </is>
      </c>
      <c r="AF11" s="31" t="inlineStr">
        <is>
          <t>College football model; multi-market (moneyline, spread, total).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4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San José State Spartans</t>
        </is>
      </c>
      <c r="AQ11" s="24" t="inlineStr">
        <is>
          <t>San José State Spartans</t>
        </is>
      </c>
      <c r="AR11" s="24" t="inlineStr">
        <is>
          <t>San José State Spartans</t>
        </is>
      </c>
      <c r="AS11" s="24" t="inlineStr">
        <is>
          <t>USC Trojans</t>
        </is>
      </c>
      <c r="AT11" s="24" t="inlineStr">
        <is>
          <t>USC Trojans</t>
        </is>
      </c>
      <c r="AU11" s="24" t="inlineStr">
        <is>
          <t>USC Trojans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1d168f11d221cd3c</t>
        </is>
      </c>
      <c r="BB11" s="24" t="inlineStr">
        <is>
          <t>cfb_key_number_engine</t>
        </is>
      </c>
      <c r="BC11" s="24" t="inlineStr">
        <is>
          <t>cfb-total-v1</t>
        </is>
      </c>
      <c r="BD11" s="24" t="inlineStr">
        <is>
          <t>1d168f11d221cd3c</t>
        </is>
      </c>
      <c r="BE11" s="24" t="inlineStr">
        <is>
          <t>cfb-v1</t>
        </is>
      </c>
      <c r="BF11" s="24" t="inlineStr">
        <is>
          <t>1</t>
        </is>
      </c>
      <c r="BG11" s="24" t="inlineStr">
        <is>
          <t>1d168f11d221cd3c</t>
        </is>
      </c>
      <c r="BH11" s="24" t="inlineStr">
        <is>
          <t>2026-08-29T18:45:00+00:00</t>
        </is>
      </c>
      <c r="BI11" s="24" t="inlineStr">
        <is>
          <t>["same_event","same_team_same_day","same_league_same_day"]</t>
        </is>
      </c>
      <c r="BJ11" s="25" t="n">
        <v>54</v>
      </c>
      <c r="BK11" s="26" t="n">
        <v>100</v>
      </c>
      <c r="BL11" s="27" t="n">
        <v>2</v>
      </c>
      <c r="BM11" s="28" t="n">
        <v>0.5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0.5</t>
        </is>
      </c>
      <c r="DK11" s="24" t="n"/>
      <c r="DL11" s="24" t="n"/>
      <c r="DM11" s="24" t="n"/>
      <c r="DN11" s="24" t="n"/>
      <c r="DO11" s="24" t="n"/>
      <c r="DP11" s="24" t="n"/>
    </row>
    <row r="12" ht="36" customHeight="1">
      <c r="A12" s="24" t="inlineStr">
        <is>
          <t>dc66f1cdff4f4795</t>
        </is>
      </c>
      <c r="B12" s="24" t="inlineStr">
        <is>
          <t>2026-08-29T19:15:00Z</t>
        </is>
      </c>
      <c r="C12" s="24" t="inlineStr">
        <is>
          <t>2026-08-29T19:30Z</t>
        </is>
      </c>
      <c r="D12" s="24" t="inlineStr">
        <is>
          <t>401858202</t>
        </is>
      </c>
      <c r="E12" s="24" t="inlineStr">
        <is>
          <t>NCAAF</t>
        </is>
      </c>
      <c r="F12" s="24" t="inlineStr">
        <is>
          <t>NC State Wolfpack</t>
        </is>
      </c>
      <c r="G12" s="24" t="inlineStr">
        <is>
          <t>Virginia Cavaliers</t>
        </is>
      </c>
      <c r="H12" s="24" t="inlineStr">
        <is>
          <t>total</t>
        </is>
      </c>
      <c r="I12" s="24" t="inlineStr">
        <is>
          <t>over</t>
        </is>
      </c>
      <c r="J12" s="25" t="n">
        <v>54</v>
      </c>
      <c r="K12" s="24" t="inlineStr">
        <is>
          <t>espn_consensus</t>
        </is>
      </c>
      <c r="L12" s="26" t="n">
        <v>100</v>
      </c>
      <c r="M12" s="27" t="n">
        <v>2</v>
      </c>
      <c r="N12" s="28" t="n">
        <v>0.5</v>
      </c>
      <c r="O12" s="28" t="n">
        <v>0.638533</v>
      </c>
      <c r="P12" s="28" t="n">
        <v>0.06</v>
      </c>
      <c r="Q12" s="28" t="n">
        <v>0.138533</v>
      </c>
      <c r="R12" s="26" t="n">
        <v>83</v>
      </c>
      <c r="S12" s="29" t="n">
        <v>1.5</v>
      </c>
      <c r="T12" s="24" t="inlineStr">
        <is>
          <t>cfb-total-v1</t>
        </is>
      </c>
      <c r="U12" s="24" t="inlineStr">
        <is>
          <t>open</t>
        </is>
      </c>
      <c r="V12" s="24" t="n"/>
      <c r="W12" s="26" t="n"/>
      <c r="X12" s="26" t="n"/>
      <c r="Y12" s="25" t="n"/>
      <c r="Z12" s="26" t="n"/>
      <c r="AA12" s="28" t="n"/>
      <c r="AB12" s="28" t="n"/>
      <c r="AC12" s="30" t="n"/>
      <c r="AD12" s="24" t="n"/>
      <c r="AE12" s="31" t="inlineStr">
        <is>
          <t>Projected total 58.1 pts (Weather adj: +0.0 pts). Total line 54.0 -&gt; P(Over)=0.639, P(Under)=0.319, P(Push)=0.042.</t>
        </is>
      </c>
      <c r="AF12" s="31" t="inlineStr">
        <is>
          <t>College football model; multi-market (moneyline, spread, total).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4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NC State Wolfpack</t>
        </is>
      </c>
      <c r="AQ12" s="24" t="inlineStr">
        <is>
          <t>NC State Wolfpack</t>
        </is>
      </c>
      <c r="AR12" s="24" t="inlineStr">
        <is>
          <t>NC State Wolfpack</t>
        </is>
      </c>
      <c r="AS12" s="24" t="inlineStr">
        <is>
          <t>Virginia Cavaliers</t>
        </is>
      </c>
      <c r="AT12" s="24" t="inlineStr">
        <is>
          <t>Virginia Cavaliers</t>
        </is>
      </c>
      <c r="AU12" s="24" t="inlineStr">
        <is>
          <t>Virginia Cavaliers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1d168f11d221cd3c</t>
        </is>
      </c>
      <c r="BB12" s="24" t="inlineStr">
        <is>
          <t>cfb_key_number_engine</t>
        </is>
      </c>
      <c r="BC12" s="24" t="inlineStr">
        <is>
          <t>cfb-total-v1</t>
        </is>
      </c>
      <c r="BD12" s="24" t="inlineStr">
        <is>
          <t>1d168f11d221cd3c</t>
        </is>
      </c>
      <c r="BE12" s="24" t="inlineStr">
        <is>
          <t>cfb-v1</t>
        </is>
      </c>
      <c r="BF12" s="24" t="inlineStr">
        <is>
          <t>1</t>
        </is>
      </c>
      <c r="BG12" s="24" t="inlineStr">
        <is>
          <t>1d168f11d221cd3c</t>
        </is>
      </c>
      <c r="BH12" s="24" t="inlineStr">
        <is>
          <t>2026-08-29T19:15:00+00:00</t>
        </is>
      </c>
      <c r="BI12" s="24" t="inlineStr">
        <is>
          <t>["same_event","same_team_same_day","same_league_same_day"]</t>
        </is>
      </c>
      <c r="BJ12" s="25" t="n">
        <v>54</v>
      </c>
      <c r="BK12" s="26" t="n">
        <v>100</v>
      </c>
      <c r="BL12" s="27" t="n">
        <v>2</v>
      </c>
      <c r="BM12" s="28" t="n">
        <v>0.5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</t>
        </is>
      </c>
      <c r="DK12" s="24" t="n"/>
      <c r="DL12" s="24" t="n"/>
      <c r="DM12" s="24" t="n"/>
      <c r="DN12" s="24" t="n"/>
      <c r="DO12" s="24" t="n"/>
      <c r="DP12" s="24" t="n"/>
    </row>
    <row r="13" ht="36" customHeight="1">
      <c r="A13" s="24" t="inlineStr">
        <is>
          <t>70baa4d6309942e2</t>
        </is>
      </c>
      <c r="B13" s="24" t="inlineStr">
        <is>
          <t>2026-08-29T21:15:00Z</t>
        </is>
      </c>
      <c r="C13" s="24" t="inlineStr">
        <is>
          <t>2026-08-29T21:30Z</t>
        </is>
      </c>
      <c r="D13" s="24" t="inlineStr">
        <is>
          <t>401864577</t>
        </is>
      </c>
      <c r="E13" s="24" t="inlineStr">
        <is>
          <t>NCAAF</t>
        </is>
      </c>
      <c r="F13" s="24" t="inlineStr">
        <is>
          <t>Jacksonville State Gamecocks</t>
        </is>
      </c>
      <c r="G13" s="24" t="inlineStr">
        <is>
          <t>North Dakota State Bison</t>
        </is>
      </c>
      <c r="H13" s="24" t="inlineStr">
        <is>
          <t>total</t>
        </is>
      </c>
      <c r="I13" s="24" t="inlineStr">
        <is>
          <t>over</t>
        </is>
      </c>
      <c r="J13" s="25" t="n">
        <v>54</v>
      </c>
      <c r="K13" s="24" t="inlineStr">
        <is>
          <t>espn_consensus</t>
        </is>
      </c>
      <c r="L13" s="26" t="n">
        <v>100</v>
      </c>
      <c r="M13" s="27" t="n">
        <v>2</v>
      </c>
      <c r="N13" s="28" t="n">
        <v>0.5</v>
      </c>
      <c r="O13" s="28" t="n">
        <v>0.615133</v>
      </c>
      <c r="P13" s="28" t="n">
        <v>0.215</v>
      </c>
      <c r="Q13" s="28" t="n">
        <v>0.115133</v>
      </c>
      <c r="R13" s="26" t="n">
        <v>0</v>
      </c>
      <c r="S13" s="29" t="n">
        <v>1</v>
      </c>
      <c r="T13" s="24" t="inlineStr">
        <is>
          <t>cfb-total-v1</t>
        </is>
      </c>
      <c r="U13" s="24" t="inlineStr">
        <is>
          <t>open</t>
        </is>
      </c>
      <c r="V13" s="24" t="n"/>
      <c r="W13" s="26" t="n"/>
      <c r="X13" s="26" t="n"/>
      <c r="Y13" s="25" t="n"/>
      <c r="Z13" s="26" t="n"/>
      <c r="AA13" s="28" t="n"/>
      <c r="AB13" s="28" t="n"/>
      <c r="AC13" s="30" t="n"/>
      <c r="AD13" s="24" t="n"/>
      <c r="AE13" s="31" t="inlineStr">
        <is>
          <t>Projected total 57.3 pts (Weather adj: +0.0 pts). Total line 54.0 -&gt; P(Over)=0.615, P(Under)=0.343, P(Push)=0.042.</t>
        </is>
      </c>
      <c r="AF13" s="31" t="inlineStr">
        <is>
          <t>College football model; multi-market (moneyline, spread, total).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4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Jacksonville State Gamecocks</t>
        </is>
      </c>
      <c r="AQ13" s="24" t="inlineStr">
        <is>
          <t>Jacksonville State Gamecocks</t>
        </is>
      </c>
      <c r="AR13" s="24" t="inlineStr">
        <is>
          <t>Jacksonville State Gamecocks</t>
        </is>
      </c>
      <c r="AS13" s="24" t="inlineStr">
        <is>
          <t>North Dakota State Bison</t>
        </is>
      </c>
      <c r="AT13" s="24" t="inlineStr">
        <is>
          <t>North Dakota State Bison</t>
        </is>
      </c>
      <c r="AU13" s="24" t="inlineStr">
        <is>
          <t>North Dakota State Bison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1d168f11d221cd3c</t>
        </is>
      </c>
      <c r="BB13" s="24" t="inlineStr">
        <is>
          <t>cfb_key_number_engine</t>
        </is>
      </c>
      <c r="BC13" s="24" t="inlineStr">
        <is>
          <t>cfb-total-v1</t>
        </is>
      </c>
      <c r="BD13" s="24" t="inlineStr">
        <is>
          <t>1d168f11d221cd3c</t>
        </is>
      </c>
      <c r="BE13" s="24" t="inlineStr">
        <is>
          <t>cfb-v1</t>
        </is>
      </c>
      <c r="BF13" s="24" t="inlineStr">
        <is>
          <t>1</t>
        </is>
      </c>
      <c r="BG13" s="24" t="inlineStr">
        <is>
          <t>1d168f11d221cd3c</t>
        </is>
      </c>
      <c r="BH13" s="24" t="inlineStr">
        <is>
          <t>2026-08-29T21:15:00+00:00</t>
        </is>
      </c>
      <c r="BI13" s="24" t="inlineStr">
        <is>
          <t>["same_event","same_team_same_day","same_league_same_day"]</t>
        </is>
      </c>
      <c r="BJ13" s="25" t="n">
        <v>54</v>
      </c>
      <c r="BK13" s="26" t="n">
        <v>100</v>
      </c>
      <c r="BL13" s="27" t="n">
        <v>2</v>
      </c>
      <c r="BM13" s="28" t="n">
        <v>0.5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</t>
        </is>
      </c>
      <c r="DK13" s="24" t="n"/>
      <c r="DL13" s="24" t="n"/>
      <c r="DM13" s="24" t="n"/>
      <c r="DN13" s="24" t="n"/>
      <c r="DO13" s="24" t="n"/>
      <c r="DP13" s="24" t="n"/>
    </row>
    <row r="14" ht="36" customHeight="1">
      <c r="A14" s="24" t="inlineStr">
        <is>
          <t>48df4780a23c48de</t>
        </is>
      </c>
      <c r="B14" s="24" t="inlineStr">
        <is>
          <t>2026-08-29T22:15:00Z</t>
        </is>
      </c>
      <c r="C14" s="24" t="inlineStr">
        <is>
          <t>2026-08-29T22:30Z</t>
        </is>
      </c>
      <c r="D14" s="24" t="inlineStr">
        <is>
          <t>401866408</t>
        </is>
      </c>
      <c r="E14" s="24" t="inlineStr">
        <is>
          <t>NCAAF</t>
        </is>
      </c>
      <c r="F14" s="24" t="inlineStr">
        <is>
          <t>Sacramento State Hornets</t>
        </is>
      </c>
      <c r="G14" s="24" t="inlineStr">
        <is>
          <t>Eastern Michigan Eagles</t>
        </is>
      </c>
      <c r="H14" s="24" t="inlineStr">
        <is>
          <t>total</t>
        </is>
      </c>
      <c r="I14" s="24" t="inlineStr">
        <is>
          <t>over</t>
        </is>
      </c>
      <c r="J14" s="25" t="n">
        <v>54</v>
      </c>
      <c r="K14" s="24" t="inlineStr">
        <is>
          <t>espn_consensus</t>
        </is>
      </c>
      <c r="L14" s="26" t="n">
        <v>100</v>
      </c>
      <c r="M14" s="27" t="n">
        <v>2</v>
      </c>
      <c r="N14" s="28" t="n">
        <v>0.5</v>
      </c>
      <c r="O14" s="28" t="n">
        <v>0.680333</v>
      </c>
      <c r="P14" s="28" t="n">
        <v>0.18</v>
      </c>
      <c r="Q14" s="28" t="n">
        <v>0.180333</v>
      </c>
      <c r="R14" s="26" t="n">
        <v>32</v>
      </c>
      <c r="S14" s="29" t="n">
        <v>1</v>
      </c>
      <c r="T14" s="24" t="inlineStr">
        <is>
          <t>cfb-total-v1</t>
        </is>
      </c>
      <c r="U14" s="24" t="inlineStr">
        <is>
          <t>open</t>
        </is>
      </c>
      <c r="V14" s="24" t="n"/>
      <c r="W14" s="26" t="n"/>
      <c r="X14" s="26" t="n"/>
      <c r="Y14" s="25" t="n"/>
      <c r="Z14" s="26" t="n"/>
      <c r="AA14" s="28" t="n"/>
      <c r="AB14" s="28" t="n"/>
      <c r="AC14" s="30" t="n"/>
      <c r="AD14" s="24" t="n"/>
      <c r="AE14" s="31" t="inlineStr">
        <is>
          <t>Projected total 59.0 pts (Weather adj: +0.0 pts). Total line 54.0 -&gt; P(Over)=0.680, P(Under)=0.279, P(Push)=0.040.</t>
        </is>
      </c>
      <c r="AF14" s="31" t="inlineStr">
        <is>
          <t>College football model; multi-market (moneyline, spread, total).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4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Sacramento State Hornets</t>
        </is>
      </c>
      <c r="AQ14" s="24" t="inlineStr">
        <is>
          <t>Sacramento State Hornets</t>
        </is>
      </c>
      <c r="AR14" s="24" t="inlineStr">
        <is>
          <t>Sacramento State Hornets</t>
        </is>
      </c>
      <c r="AS14" s="24" t="inlineStr">
        <is>
          <t>Eastern Michigan Eagles</t>
        </is>
      </c>
      <c r="AT14" s="24" t="inlineStr">
        <is>
          <t>Eastern Michigan Eagles</t>
        </is>
      </c>
      <c r="AU14" s="24" t="inlineStr">
        <is>
          <t>Eastern Michigan Eagles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1d168f11d221cd3c</t>
        </is>
      </c>
      <c r="BB14" s="24" t="inlineStr">
        <is>
          <t>cfb_key_number_engine</t>
        </is>
      </c>
      <c r="BC14" s="24" t="inlineStr">
        <is>
          <t>cfb-total-v1</t>
        </is>
      </c>
      <c r="BD14" s="24" t="inlineStr">
        <is>
          <t>1d168f11d221cd3c</t>
        </is>
      </c>
      <c r="BE14" s="24" t="inlineStr">
        <is>
          <t>cfb-v1</t>
        </is>
      </c>
      <c r="BF14" s="24" t="inlineStr">
        <is>
          <t>1</t>
        </is>
      </c>
      <c r="BG14" s="24" t="inlineStr">
        <is>
          <t>1d168f11d221cd3c</t>
        </is>
      </c>
      <c r="BH14" s="24" t="inlineStr">
        <is>
          <t>2026-08-29T22:15:00+00:00</t>
        </is>
      </c>
      <c r="BI14" s="24" t="inlineStr">
        <is>
          <t>["same_event","same_team_same_day","same_league_same_day"]</t>
        </is>
      </c>
      <c r="BJ14" s="25" t="n">
        <v>54</v>
      </c>
      <c r="BK14" s="26" t="n">
        <v>100</v>
      </c>
      <c r="BL14" s="27" t="n">
        <v>2</v>
      </c>
      <c r="BM14" s="28" t="n">
        <v>0.5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0.5</t>
        </is>
      </c>
      <c r="DK14" s="24" t="n"/>
      <c r="DL14" s="24" t="n"/>
      <c r="DM14" s="24" t="n"/>
      <c r="DN14" s="24" t="n"/>
      <c r="DO14" s="24" t="n"/>
      <c r="DP14" s="24" t="n"/>
    </row>
    <row r="15" ht="36" customHeight="1">
      <c r="A15" s="24" t="inlineStr">
        <is>
          <t>00c18350b9024ff2</t>
        </is>
      </c>
      <c r="B15" s="24" t="inlineStr">
        <is>
          <t>2026-08-29T22:45:00Z</t>
        </is>
      </c>
      <c r="C15" s="24" t="inlineStr">
        <is>
          <t>2026-08-29T23:00Z</t>
        </is>
      </c>
      <c r="D15" s="24" t="inlineStr">
        <is>
          <t>401858201</t>
        </is>
      </c>
      <c r="E15" s="24" t="inlineStr">
        <is>
          <t>NCAAF</t>
        </is>
      </c>
      <c r="F15" s="24" t="inlineStr">
        <is>
          <t>Hawai'i Rainbow Warriors</t>
        </is>
      </c>
      <c r="G15" s="24" t="inlineStr">
        <is>
          <t>Stanford Cardinal</t>
        </is>
      </c>
      <c r="H15" s="24" t="inlineStr">
        <is>
          <t>total</t>
        </is>
      </c>
      <c r="I15" s="24" t="inlineStr">
        <is>
          <t>over</t>
        </is>
      </c>
      <c r="J15" s="25" t="n">
        <v>54</v>
      </c>
      <c r="K15" s="24" t="inlineStr">
        <is>
          <t>espn_consensus</t>
        </is>
      </c>
      <c r="L15" s="26" t="n">
        <v>100</v>
      </c>
      <c r="M15" s="27" t="n">
        <v>2</v>
      </c>
      <c r="N15" s="28" t="n">
        <v>0.5</v>
      </c>
      <c r="O15" s="28" t="n">
        <v>0.647933</v>
      </c>
      <c r="P15" s="28" t="n">
        <v>0.18</v>
      </c>
      <c r="Q15" s="28" t="n">
        <v>0.147933</v>
      </c>
      <c r="R15" s="26" t="n">
        <v>16</v>
      </c>
      <c r="S15" s="29" t="n">
        <v>1</v>
      </c>
      <c r="T15" s="24" t="inlineStr">
        <is>
          <t>cfb-total-v1</t>
        </is>
      </c>
      <c r="U15" s="24" t="inlineStr">
        <is>
          <t>open</t>
        </is>
      </c>
      <c r="V15" s="24" t="n"/>
      <c r="W15" s="26" t="n"/>
      <c r="X15" s="26" t="n"/>
      <c r="Y15" s="25" t="n"/>
      <c r="Z15" s="26" t="n"/>
      <c r="AA15" s="28" t="n"/>
      <c r="AB15" s="28" t="n"/>
      <c r="AC15" s="30" t="n"/>
      <c r="AD15" s="24" t="n"/>
      <c r="AE15" s="31" t="inlineStr">
        <is>
          <t>Projected total 58.3 pts (Weather adj: +0.0 pts). Total line 54.0 -&gt; P(Over)=0.648, P(Under)=0.311, P(Push)=0.041.</t>
        </is>
      </c>
      <c r="AF15" s="31" t="inlineStr">
        <is>
          <t>College football model; multi-market (moneyline, spread, total).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4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Hawai'i Rainbow Warriors</t>
        </is>
      </c>
      <c r="AQ15" s="24" t="inlineStr">
        <is>
          <t>Hawai'i Rainbow Warriors</t>
        </is>
      </c>
      <c r="AR15" s="24" t="inlineStr">
        <is>
          <t>Hawai'i Rainbow Warriors</t>
        </is>
      </c>
      <c r="AS15" s="24" t="inlineStr">
        <is>
          <t>Stanford Cardinal</t>
        </is>
      </c>
      <c r="AT15" s="24" t="inlineStr">
        <is>
          <t>Stanford Cardinal</t>
        </is>
      </c>
      <c r="AU15" s="24" t="inlineStr">
        <is>
          <t>Stanford Cardinal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1d168f11d221cd3c</t>
        </is>
      </c>
      <c r="BB15" s="24" t="inlineStr">
        <is>
          <t>cfb_key_number_engine</t>
        </is>
      </c>
      <c r="BC15" s="24" t="inlineStr">
        <is>
          <t>cfb-total-v1</t>
        </is>
      </c>
      <c r="BD15" s="24" t="inlineStr">
        <is>
          <t>1d168f11d221cd3c</t>
        </is>
      </c>
      <c r="BE15" s="24" t="inlineStr">
        <is>
          <t>cfb-v1</t>
        </is>
      </c>
      <c r="BF15" s="24" t="inlineStr">
        <is>
          <t>1</t>
        </is>
      </c>
      <c r="BG15" s="24" t="inlineStr">
        <is>
          <t>1d168f11d221cd3c</t>
        </is>
      </c>
      <c r="BH15" s="24" t="inlineStr">
        <is>
          <t>2026-08-29T22:45:00+00:00</t>
        </is>
      </c>
      <c r="BI15" s="24" t="inlineStr">
        <is>
          <t>["same_event","same_team_same_day","same_league_same_day"]</t>
        </is>
      </c>
      <c r="BJ15" s="25" t="n">
        <v>54</v>
      </c>
      <c r="BK15" s="26" t="n">
        <v>100</v>
      </c>
      <c r="BL15" s="27" t="n">
        <v>2</v>
      </c>
      <c r="BM15" s="28" t="n">
        <v>0.5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</t>
        </is>
      </c>
      <c r="DK15" s="24" t="n"/>
      <c r="DL15" s="24" t="n"/>
      <c r="DM15" s="24" t="n"/>
      <c r="DN15" s="24" t="n"/>
      <c r="DO15" s="24" t="n"/>
      <c r="DP15" s="24" t="n"/>
    </row>
    <row r="16" ht="36" customHeight="1">
      <c r="A16" s="24" t="inlineStr">
        <is>
          <t>88aee1f685684c9b</t>
        </is>
      </c>
      <c r="B16" s="24" t="inlineStr">
        <is>
          <t>2026-08-30T01:45:00Z</t>
        </is>
      </c>
      <c r="C16" s="24" t="inlineStr">
        <is>
          <t>2026-08-30T02:00Z</t>
        </is>
      </c>
      <c r="D16" s="24" t="inlineStr">
        <is>
          <t>401862693</t>
        </is>
      </c>
      <c r="E16" s="24" t="inlineStr">
        <is>
          <t>NCAAF</t>
        </is>
      </c>
      <c r="F16" s="24" t="inlineStr">
        <is>
          <t>Memphis Tigers</t>
        </is>
      </c>
      <c r="G16" s="24" t="inlineStr">
        <is>
          <t>UNLV Rebels</t>
        </is>
      </c>
      <c r="H16" s="24" t="inlineStr">
        <is>
          <t>total</t>
        </is>
      </c>
      <c r="I16" s="24" t="inlineStr">
        <is>
          <t>over</t>
        </is>
      </c>
      <c r="J16" s="25" t="n">
        <v>54</v>
      </c>
      <c r="K16" s="24" t="inlineStr">
        <is>
          <t>espn_consensus</t>
        </is>
      </c>
      <c r="L16" s="26" t="n">
        <v>100</v>
      </c>
      <c r="M16" s="27" t="n">
        <v>2</v>
      </c>
      <c r="N16" s="28" t="n">
        <v>0.5</v>
      </c>
      <c r="O16" s="28" t="n">
        <v>0.582533</v>
      </c>
      <c r="P16" s="28" t="n">
        <v>0.06</v>
      </c>
      <c r="Q16" s="28" t="n">
        <v>0.082533</v>
      </c>
      <c r="R16" s="26" t="n">
        <v>55</v>
      </c>
      <c r="S16" s="29" t="n">
        <v>1.25</v>
      </c>
      <c r="T16" s="24" t="inlineStr">
        <is>
          <t>cfb-total-v1</t>
        </is>
      </c>
      <c r="U16" s="24" t="inlineStr">
        <is>
          <t>open</t>
        </is>
      </c>
      <c r="V16" s="24" t="n"/>
      <c r="W16" s="26" t="n"/>
      <c r="X16" s="26" t="n"/>
      <c r="Y16" s="25" t="n"/>
      <c r="Z16" s="26" t="n"/>
      <c r="AA16" s="28" t="n"/>
      <c r="AB16" s="28" t="n"/>
      <c r="AC16" s="30" t="n"/>
      <c r="AD16" s="24" t="n"/>
      <c r="AE16" s="31" t="inlineStr">
        <is>
          <t>Projected total 56.6 pts (Weather adj: +0.0 pts). Total line 54.0 -&gt; P(Over)=0.583, P(Under)=0.374, P(Push)=0.044.</t>
        </is>
      </c>
      <c r="AF16" s="31" t="inlineStr">
        <is>
          <t>College football model; multi-market (moneyline, spread, total).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4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Memphis Tigers</t>
        </is>
      </c>
      <c r="AQ16" s="24" t="inlineStr">
        <is>
          <t>Memphis Tigers</t>
        </is>
      </c>
      <c r="AR16" s="24" t="inlineStr">
        <is>
          <t>Memphis Tigers</t>
        </is>
      </c>
      <c r="AS16" s="24" t="inlineStr">
        <is>
          <t>UNLV Rebels</t>
        </is>
      </c>
      <c r="AT16" s="24" t="inlineStr">
        <is>
          <t>UNLV Rebels</t>
        </is>
      </c>
      <c r="AU16" s="24" t="inlineStr">
        <is>
          <t>UNLV Rebels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1d168f11d221cd3c</t>
        </is>
      </c>
      <c r="BB16" s="24" t="inlineStr">
        <is>
          <t>cfb_key_number_engine</t>
        </is>
      </c>
      <c r="BC16" s="24" t="inlineStr">
        <is>
          <t>cfb-total-v1</t>
        </is>
      </c>
      <c r="BD16" s="24" t="inlineStr">
        <is>
          <t>1d168f11d221cd3c</t>
        </is>
      </c>
      <c r="BE16" s="24" t="inlineStr">
        <is>
          <t>cfb-v1</t>
        </is>
      </c>
      <c r="BF16" s="24" t="inlineStr">
        <is>
          <t>1</t>
        </is>
      </c>
      <c r="BG16" s="24" t="inlineStr">
        <is>
          <t>1d168f11d221cd3c</t>
        </is>
      </c>
      <c r="BH16" s="24" t="inlineStr">
        <is>
          <t>2026-08-30T01:45:00+00:00</t>
        </is>
      </c>
      <c r="BI16" s="24" t="inlineStr">
        <is>
          <t>["same_event","same_team_same_day","same_league_same_day"]</t>
        </is>
      </c>
      <c r="BJ16" s="25" t="n">
        <v>54</v>
      </c>
      <c r="BK16" s="26" t="n">
        <v>100</v>
      </c>
      <c r="BL16" s="27" t="n">
        <v>2</v>
      </c>
      <c r="BM16" s="28" t="n">
        <v>0.5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0.5</t>
        </is>
      </c>
      <c r="DK16" s="24" t="n"/>
      <c r="DL16" s="24" t="n"/>
      <c r="DM16" s="24" t="n"/>
      <c r="DN16" s="24" t="n"/>
      <c r="DO16" s="24" t="n"/>
      <c r="DP16" s="24" t="n"/>
    </row>
    <row r="17" ht="36" customHeight="1">
      <c r="A17" s="24" t="inlineStr">
        <is>
          <t>f664be1e302a48ab</t>
        </is>
      </c>
      <c r="B17" s="24" t="inlineStr">
        <is>
          <t>2026-08-29T22:45:00Z</t>
        </is>
      </c>
      <c r="C17" s="24" t="inlineStr">
        <is>
          <t>2026-08-29T23:00Z</t>
        </is>
      </c>
      <c r="D17" s="24" t="inlineStr">
        <is>
          <t>401864570</t>
        </is>
      </c>
      <c r="E17" s="24" t="inlineStr">
        <is>
          <t>NCAAF</t>
        </is>
      </c>
      <c r="F17" s="24" t="inlineStr">
        <is>
          <t>New Mexico State Aggies</t>
        </is>
      </c>
      <c r="G17" s="24" t="inlineStr">
        <is>
          <t>Florida State Seminoles</t>
        </is>
      </c>
      <c r="H17" s="24" t="inlineStr">
        <is>
          <t>total</t>
        </is>
      </c>
      <c r="I17" s="24" t="inlineStr">
        <is>
          <t>over</t>
        </is>
      </c>
      <c r="J17" s="25" t="n">
        <v>54</v>
      </c>
      <c r="K17" s="24" t="inlineStr">
        <is>
          <t>espn_consensus</t>
        </is>
      </c>
      <c r="L17" s="26" t="n">
        <v>100</v>
      </c>
      <c r="M17" s="27" t="n">
        <v>2</v>
      </c>
      <c r="N17" s="28" t="n">
        <v>0.5</v>
      </c>
      <c r="O17" s="28" t="n">
        <v>0.566267</v>
      </c>
      <c r="P17" s="28" t="n">
        <v>0.06</v>
      </c>
      <c r="Q17" s="28" t="n">
        <v>0.06626700000000001</v>
      </c>
      <c r="R17" s="26" t="n">
        <v>47</v>
      </c>
      <c r="S17" s="29" t="n">
        <v>1</v>
      </c>
      <c r="T17" s="24" t="inlineStr">
        <is>
          <t>cfb-total-v1</t>
        </is>
      </c>
      <c r="U17" s="24" t="inlineStr">
        <is>
          <t>open</t>
        </is>
      </c>
      <c r="V17" s="24" t="n"/>
      <c r="W17" s="26" t="n"/>
      <c r="X17" s="26" t="n"/>
      <c r="Y17" s="25" t="n"/>
      <c r="Z17" s="26" t="n"/>
      <c r="AA17" s="28" t="n"/>
      <c r="AB17" s="28" t="n"/>
      <c r="AC17" s="30" t="n"/>
      <c r="AD17" s="24" t="n"/>
      <c r="AE17" s="31" t="inlineStr">
        <is>
          <t>Projected total 56.5 pts (Weather adj: +0.0 pts). Total line 54.0 -&gt; P(Over)=0.566, P(Under)=0.391, P(Push)=0.042.</t>
        </is>
      </c>
      <c r="AF17" s="31" t="inlineStr">
        <is>
          <t>College football model; multi-market (moneyline, spread, total).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4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New Mexico State Aggies</t>
        </is>
      </c>
      <c r="AQ17" s="24" t="inlineStr">
        <is>
          <t>New Mexico State Aggies</t>
        </is>
      </c>
      <c r="AR17" s="24" t="inlineStr">
        <is>
          <t>New Mexico State Aggies</t>
        </is>
      </c>
      <c r="AS17" s="24" t="inlineStr">
        <is>
          <t>Florida State Seminoles</t>
        </is>
      </c>
      <c r="AT17" s="24" t="inlineStr">
        <is>
          <t>Florida State Seminoles</t>
        </is>
      </c>
      <c r="AU17" s="24" t="inlineStr">
        <is>
          <t>Florida State Seminoles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1d168f11d221cd3c</t>
        </is>
      </c>
      <c r="BB17" s="24" t="inlineStr">
        <is>
          <t>cfb_key_number_engine</t>
        </is>
      </c>
      <c r="BC17" s="24" t="inlineStr">
        <is>
          <t>cfb-total-v1</t>
        </is>
      </c>
      <c r="BD17" s="24" t="inlineStr">
        <is>
          <t>1d168f11d221cd3c</t>
        </is>
      </c>
      <c r="BE17" s="24" t="inlineStr">
        <is>
          <t>cfb-v1</t>
        </is>
      </c>
      <c r="BF17" s="24" t="inlineStr">
        <is>
          <t>1</t>
        </is>
      </c>
      <c r="BG17" s="24" t="inlineStr">
        <is>
          <t>1d168f11d221cd3c</t>
        </is>
      </c>
      <c r="BH17" s="24" t="inlineStr">
        <is>
          <t>2026-08-29T22:45:00+00:00</t>
        </is>
      </c>
      <c r="BI17" s="24" t="inlineStr">
        <is>
          <t>["same_event","same_team_same_day","same_league_same_day"]</t>
        </is>
      </c>
      <c r="BJ17" s="25" t="n">
        <v>54</v>
      </c>
      <c r="BK17" s="26" t="n">
        <v>100</v>
      </c>
      <c r="BL17" s="27" t="n">
        <v>2</v>
      </c>
      <c r="BM17" s="28" t="n">
        <v>0.5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2026-08-30T16:27:19Z</dcterms:created>
  <dcterms:modified xmlns:dcterms="http://purl.org/dc/terms/" xmlns:xsi="http://www.w3.org/2001/XMLSchema-instance" xsi:type="dcterms:W3CDTF">2026-08-30T16:27:20Z</dcterms:modified>
</cp:coreProperties>
</file>