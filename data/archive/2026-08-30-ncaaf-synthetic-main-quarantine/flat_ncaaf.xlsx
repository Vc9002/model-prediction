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P41" headerRowCount="1">
  <autoFilter ref="A1:DP41"/>
  <tableColumns count="120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COUNTA('Picks'!$A$2:$A$41)</f>
        <v/>
      </c>
      <c r="C4" s="6">
        <f>COUNTIF('Picks'!$U$2:$U$41,"open")</f>
        <v/>
      </c>
      <c r="E4" s="6">
        <f>COUNTIF('Picks'!$U$2:$U$41,"settled")</f>
        <v/>
      </c>
      <c r="G4" s="6">
        <f>IF(COUNTIFS('Picks'!$U$2:$U$41,"settled",'Picks'!$V$2:$V$41,"win")+COUNTIFS('Picks'!$U$2:$U$41,"settled",'Picks'!$V$2:$V$41,"loss")&gt;=$L$2,"Ready","Insufficient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COUNTIF('Picks'!$BX$2:$BX$41,"&gt;0")</f>
        <v/>
      </c>
      <c r="C7" s="6">
        <f>COUNTIFS('Picks'!$BX$2:$BX$41,"&gt;0",'Picks'!$V$2:$V$41,"win")&amp;"-"&amp;COUNTIFS('Picks'!$BX$2:$BX$41,"&gt;0",'Picks'!$V$2:$V$41,"loss")</f>
        <v/>
      </c>
      <c r="E7" s="7">
        <f>IFERROR(COUNTIFS('Picks'!$BX$2:$BX$41,"&gt;0",'Picks'!$V$2:$V$41,"win")/(COUNTIFS('Picks'!$BX$2:$BX$41,"&gt;0",'Picks'!$V$2:$V$41,"win")+COUNTIFS('Picks'!$BX$2:$BX$41,"&gt;0",'Picks'!$V$2:$V$41,"loss")),0)</f>
        <v/>
      </c>
      <c r="G7" s="7">
        <f>IFERROR(SUM('Picks'!$BY$2:$BY$41)/SUM('Picks'!$BX$2:$BX$41),0)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SUM('Picks'!$BY$2:$BY$41)</f>
        <v/>
      </c>
      <c r="C10" s="9">
        <f>IFERROR(AVERAGEIF('Picks'!$AB$2:$AB$41,"&lt;&gt;",'Picks'!$AB$2:$AB$41),0)</f>
        <v/>
      </c>
      <c r="E10" s="6">
        <f>COUNTIFS('Picks'!$AM$2:$AM$41,"QUALIFIED_SHADOW_CALL",'Picks'!$U$2:$U$41,"settled")</f>
        <v/>
      </c>
      <c r="G10" s="8">
        <f>SUMIFS('Picks'!$AC$2:$AC$41,'Picks'!$AM$2:$AM$41,"QUALIFIED_SHADOW_CALL")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COUNTIFS('Picks'!$H$2:$H$41,$A14,'Picks'!$U$2:$U$41,"settled")</f>
        <v/>
      </c>
      <c r="C14" s="13">
        <f>COUNTIFS('Picks'!$H$2:$H$41,$A14,'Picks'!$U$2:$U$41,"settled",'Picks'!$V$2:$V$41,"win")</f>
        <v/>
      </c>
      <c r="D14" s="13">
        <f>COUNTIFS('Picks'!$H$2:$H$41,$A14,'Picks'!$U$2:$U$41,"settled",'Picks'!$V$2:$V$41,"loss")</f>
        <v/>
      </c>
      <c r="E14" s="14">
        <f>IFERROR(C14/(C14+D14),0)</f>
        <v/>
      </c>
      <c r="F14" s="15">
        <f>SUMIFS('Picks'!$BY$2:$BY$41,'Picks'!$H$2:$H$41,$A14)</f>
        <v/>
      </c>
      <c r="G14" s="16">
        <f>IFERROR(AVERAGEIFS('Picks'!$AB$2:$AB$41,'Picks'!$H$2:$H$41,$A14,'Picks'!$U$2:$U$41,"settled"),0)</f>
        <v/>
      </c>
    </row>
    <row r="15">
      <c r="A15" s="17" t="inlineStr">
        <is>
          <t>spread</t>
        </is>
      </c>
      <c r="B15" s="18">
        <f>COUNTIFS('Picks'!$H$2:$H$41,$A15,'Picks'!$U$2:$U$41,"settled")</f>
        <v/>
      </c>
      <c r="C15" s="18">
        <f>COUNTIFS('Picks'!$H$2:$H$41,$A15,'Picks'!$U$2:$U$41,"settled",'Picks'!$V$2:$V$41,"win")</f>
        <v/>
      </c>
      <c r="D15" s="18">
        <f>COUNTIFS('Picks'!$H$2:$H$41,$A15,'Picks'!$U$2:$U$41,"settled",'Picks'!$V$2:$V$41,"loss")</f>
        <v/>
      </c>
      <c r="E15" s="19">
        <f>IFERROR(C15/(C15+D15),0)</f>
        <v/>
      </c>
      <c r="F15" s="20">
        <f>SUMIFS('Picks'!$BY$2:$BY$41,'Picks'!$H$2:$H$41,$A15)</f>
        <v/>
      </c>
      <c r="G15" s="21">
        <f>IFERROR(AVERAGEIFS('Picks'!$AB$2:$AB$41,'Picks'!$H$2:$H$41,$A15,'Picks'!$U$2:$U$41,"settled"),0)</f>
        <v/>
      </c>
    </row>
    <row r="16">
      <c r="A16" s="12" t="inlineStr">
        <is>
          <t>total</t>
        </is>
      </c>
      <c r="B16" s="13">
        <f>COUNTIFS('Picks'!$H$2:$H$41,$A16,'Picks'!$U$2:$U$41,"settled")</f>
        <v/>
      </c>
      <c r="C16" s="13">
        <f>COUNTIFS('Picks'!$H$2:$H$41,$A16,'Picks'!$U$2:$U$41,"settled",'Picks'!$V$2:$V$41,"win")</f>
        <v/>
      </c>
      <c r="D16" s="13">
        <f>COUNTIFS('Picks'!$H$2:$H$41,$A16,'Picks'!$U$2:$U$41,"settled",'Picks'!$V$2:$V$41,"loss")</f>
        <v/>
      </c>
      <c r="E16" s="14">
        <f>IFERROR(C16/(C16+D16),0)</f>
        <v/>
      </c>
      <c r="F16" s="15">
        <f>SUMIFS('Picks'!$BY$2:$BY$41,'Picks'!$H$2:$H$41,$A16)</f>
        <v/>
      </c>
      <c r="G16" s="16">
        <f>IFERROR(AVERAGEIFS('Picks'!$AB$2:$AB$41,'Picks'!$H$2:$H$41,$A16,'Picks'!$U$2:$U$41,"settled"),0)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  <row r="2" ht="36" customHeight="1">
      <c r="A2" s="24" t="inlineStr">
        <is>
          <t>19ce0365f44d45b0</t>
        </is>
      </c>
      <c r="B2" s="24" t="inlineStr">
        <is>
          <t>2026-08-29T15:45:00Z</t>
        </is>
      </c>
      <c r="C2" s="24" t="inlineStr">
        <is>
          <t>2026-08-29T16:00Z</t>
        </is>
      </c>
      <c r="D2" s="24" t="inlineStr">
        <is>
          <t>401856766</t>
        </is>
      </c>
      <c r="E2" s="24" t="inlineStr">
        <is>
          <t>NCAAF</t>
        </is>
      </c>
      <c r="F2" s="24" t="inlineStr">
        <is>
          <t>North Carolina Tar Heels</t>
        </is>
      </c>
      <c r="G2" s="24" t="inlineStr">
        <is>
          <t>TCU Horned Frogs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espn_consensus</t>
        </is>
      </c>
      <c r="L2" s="26" t="n">
        <v>100</v>
      </c>
      <c r="M2" s="27" t="n">
        <v>2</v>
      </c>
      <c r="N2" s="28" t="n">
        <v>0.5</v>
      </c>
      <c r="O2" s="28" t="n">
        <v>0.550101</v>
      </c>
      <c r="P2" s="28" t="n">
        <v>0.06</v>
      </c>
      <c r="Q2" s="28" t="n">
        <v>0.050101</v>
      </c>
      <c r="R2" s="26" t="n">
        <v>39</v>
      </c>
      <c r="S2" s="29" t="n">
        <v>1</v>
      </c>
      <c r="T2" s="24" t="inlineStr">
        <is>
          <t>college-football-v1</t>
        </is>
      </c>
      <c r="U2" s="24" t="inlineStr">
        <is>
          <t>settled</t>
        </is>
      </c>
      <c r="V2" s="24" t="inlineStr">
        <is>
          <t>win</t>
        </is>
      </c>
      <c r="W2" s="26" t="n">
        <v>15</v>
      </c>
      <c r="X2" s="26" t="n">
        <v>10</v>
      </c>
      <c r="Y2" s="25" t="n"/>
      <c r="Z2" s="26" t="n"/>
      <c r="AA2" s="28" t="n"/>
      <c r="AB2" s="28" t="n"/>
      <c r="AC2" s="30" t="n">
        <v>1</v>
      </c>
      <c r="AD2" s="24" t="inlineStr">
        <is>
          <t>2026-08-30T03:26:58.762593Z</t>
        </is>
      </c>
      <c r="AE2" s="31" t="inlineStr">
        <is>
          <t>CFB Joint Model (negative_binomial): proj score North Carolina Tar Heels 29.1 @ TCU Horned Frogs 27.9 (Margin -1.2). Possessions: 12.4, HFA: +0.0 pts.</t>
        </is>
      </c>
      <c r="AF2" s="31" t="inlineStr">
        <is>
          <t>College football model; multi-market (moneyline, spread, total).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4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North Carolina Tar Heels</t>
        </is>
      </c>
      <c r="AQ2" s="24" t="inlineStr">
        <is>
          <t>North Carolina Tar Heels</t>
        </is>
      </c>
      <c r="AR2" s="24" t="inlineStr">
        <is>
          <t>North Carolina Tar Heels</t>
        </is>
      </c>
      <c r="AS2" s="24" t="inlineStr">
        <is>
          <t>TCU Horned Frogs</t>
        </is>
      </c>
      <c r="AT2" s="24" t="inlineStr">
        <is>
          <t>TCU Horned Frogs</t>
        </is>
      </c>
      <c r="AU2" s="24" t="inlineStr">
        <is>
          <t>TCU Horned Frogs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1d168f11d221cd3c</t>
        </is>
      </c>
      <c r="BB2" s="24" t="inlineStr">
        <is>
          <t>cfb_key_number_engine</t>
        </is>
      </c>
      <c r="BC2" s="24" t="inlineStr">
        <is>
          <t>college-football-v1</t>
        </is>
      </c>
      <c r="BD2" s="24" t="inlineStr">
        <is>
          <t>1d168f11d221cd3c</t>
        </is>
      </c>
      <c r="BE2" s="24" t="inlineStr">
        <is>
          <t>cfb-v1</t>
        </is>
      </c>
      <c r="BF2" s="24" t="inlineStr">
        <is>
          <t>1</t>
        </is>
      </c>
      <c r="BG2" s="24" t="inlineStr">
        <is>
          <t>1d168f11d221cd3c</t>
        </is>
      </c>
      <c r="BH2" s="24" t="inlineStr">
        <is>
          <t>2026-08-29T15:45:00+00:00</t>
        </is>
      </c>
      <c r="BI2" s="24" t="inlineStr">
        <is>
          <t>["same_event","same_team_same_day","same_league_same_day"]</t>
        </is>
      </c>
      <c r="BJ2" s="25" t="n"/>
      <c r="BK2" s="26" t="n">
        <v>100</v>
      </c>
      <c r="BL2" s="27" t="n">
        <v>2</v>
      </c>
      <c r="BM2" s="28" t="n">
        <v>0.5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</t>
        </is>
      </c>
      <c r="DK2" s="24" t="n"/>
      <c r="DL2" s="24" t="n"/>
      <c r="DM2" s="24" t="n"/>
      <c r="DN2" s="24" t="n"/>
      <c r="DO2" s="24" t="n"/>
      <c r="DP2" s="24" t="n"/>
    </row>
    <row r="3" ht="36" customHeight="1">
      <c r="A3" s="24" t="inlineStr">
        <is>
          <t>5d9019677d97400f</t>
        </is>
      </c>
      <c r="B3" s="24" t="inlineStr">
        <is>
          <t>2026-08-29T15:45:00Z</t>
        </is>
      </c>
      <c r="C3" s="24" t="inlineStr">
        <is>
          <t>2026-08-29T16:00Z</t>
        </is>
      </c>
      <c r="D3" s="24" t="inlineStr">
        <is>
          <t>401856766</t>
        </is>
      </c>
      <c r="E3" s="24" t="inlineStr">
        <is>
          <t>NCAAF</t>
        </is>
      </c>
      <c r="F3" s="24" t="inlineStr">
        <is>
          <t>North Carolina Tar Heels</t>
        </is>
      </c>
      <c r="G3" s="24" t="inlineStr">
        <is>
          <t>TCU Horned Frogs</t>
        </is>
      </c>
      <c r="H3" s="24" t="inlineStr">
        <is>
          <t>spread</t>
        </is>
      </c>
      <c r="I3" s="24" t="inlineStr">
        <is>
          <t>away</t>
        </is>
      </c>
      <c r="J3" s="25" t="n">
        <v>7.5</v>
      </c>
      <c r="K3" s="24" t="inlineStr">
        <is>
          <t>espn_consensus</t>
        </is>
      </c>
      <c r="L3" s="26" t="n">
        <v>100</v>
      </c>
      <c r="M3" s="27" t="n">
        <v>2</v>
      </c>
      <c r="N3" s="28" t="n">
        <v>0.5</v>
      </c>
      <c r="O3" s="28" t="n">
        <v>0.834067</v>
      </c>
      <c r="P3" s="28" t="n">
        <v>0.06</v>
      </c>
      <c r="Q3" s="28" t="n">
        <v>0.334067</v>
      </c>
      <c r="R3" s="26" t="n">
        <v>100</v>
      </c>
      <c r="S3" s="29" t="n">
        <v>2</v>
      </c>
      <c r="T3" s="24" t="inlineStr">
        <is>
          <t>cfb-spread-v1</t>
        </is>
      </c>
      <c r="U3" s="24" t="inlineStr">
        <is>
          <t>settled</t>
        </is>
      </c>
      <c r="V3" s="24" t="inlineStr">
        <is>
          <t>win</t>
        </is>
      </c>
      <c r="W3" s="26" t="n">
        <v>15</v>
      </c>
      <c r="X3" s="26" t="n">
        <v>10</v>
      </c>
      <c r="Y3" s="25" t="n"/>
      <c r="Z3" s="26" t="n"/>
      <c r="AA3" s="28" t="n"/>
      <c r="AB3" s="28" t="n"/>
      <c r="AC3" s="30" t="n">
        <v>2</v>
      </c>
      <c r="AD3" s="24" t="inlineStr">
        <is>
          <t>2026-08-30T03:26:59.227520Z</t>
        </is>
      </c>
      <c r="AE3" s="31" t="inlineStr">
        <is>
          <t>Projected home margin -1.2 pts. Spread: Home -7.5 / Away +7.5 -&gt; P(Away cover)=0.834, P(Home cover)=0.166, P(Push)=0.000.</t>
        </is>
      </c>
      <c r="AF3" s="31" t="inlineStr">
        <is>
          <t>College football model; multi-market (moneyline, spread, total).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North Carolina Tar Heels</t>
        </is>
      </c>
      <c r="AQ3" s="24" t="inlineStr">
        <is>
          <t>North Carolina Tar Heels</t>
        </is>
      </c>
      <c r="AR3" s="24" t="inlineStr">
        <is>
          <t>North Carolina Tar Heels</t>
        </is>
      </c>
      <c r="AS3" s="24" t="inlineStr">
        <is>
          <t>TCU Horned Frogs</t>
        </is>
      </c>
      <c r="AT3" s="24" t="inlineStr">
        <is>
          <t>TCU Horned Frogs</t>
        </is>
      </c>
      <c r="AU3" s="24" t="inlineStr">
        <is>
          <t>TCU Horned Frogs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1d168f11d221cd3c</t>
        </is>
      </c>
      <c r="BB3" s="24" t="inlineStr">
        <is>
          <t>cfb_key_number_engine</t>
        </is>
      </c>
      <c r="BC3" s="24" t="inlineStr">
        <is>
          <t>cfb-spread-v1</t>
        </is>
      </c>
      <c r="BD3" s="24" t="inlineStr">
        <is>
          <t>1d168f11d221cd3c</t>
        </is>
      </c>
      <c r="BE3" s="24" t="inlineStr">
        <is>
          <t>cfb-v1</t>
        </is>
      </c>
      <c r="BF3" s="24" t="inlineStr">
        <is>
          <t>1</t>
        </is>
      </c>
      <c r="BG3" s="24" t="inlineStr">
        <is>
          <t>1d168f11d221cd3c</t>
        </is>
      </c>
      <c r="BH3" s="24" t="inlineStr">
        <is>
          <t>2026-08-29T15:45:00+00:00</t>
        </is>
      </c>
      <c r="BI3" s="24" t="inlineStr">
        <is>
          <t>["same_event","same_team_same_day","same_league_same_day"]</t>
        </is>
      </c>
      <c r="BJ3" s="25" t="n">
        <v>7.5</v>
      </c>
      <c r="BK3" s="26" t="n">
        <v>100</v>
      </c>
      <c r="BL3" s="27" t="n">
        <v>2</v>
      </c>
      <c r="BM3" s="28" t="n">
        <v>0.5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</t>
        </is>
      </c>
      <c r="DK3" s="24" t="n"/>
      <c r="DL3" s="24" t="n"/>
      <c r="DM3" s="24" t="n"/>
      <c r="DN3" s="24" t="n"/>
      <c r="DO3" s="24" t="n"/>
      <c r="DP3" s="24" t="n"/>
    </row>
    <row r="4" ht="36" customHeight="1">
      <c r="A4" s="24" t="inlineStr">
        <is>
          <t>c6960e4228f24bb9</t>
        </is>
      </c>
      <c r="B4" s="24" t="inlineStr">
        <is>
          <t>2026-08-29T15:45:00Z</t>
        </is>
      </c>
      <c r="C4" s="24" t="inlineStr">
        <is>
          <t>2026-08-29T16:00Z</t>
        </is>
      </c>
      <c r="D4" s="24" t="inlineStr">
        <is>
          <t>401856766</t>
        </is>
      </c>
      <c r="E4" s="24" t="inlineStr">
        <is>
          <t>NCAAF</t>
        </is>
      </c>
      <c r="F4" s="24" t="inlineStr">
        <is>
          <t>North Carolina Tar Heels</t>
        </is>
      </c>
      <c r="G4" s="24" t="inlineStr">
        <is>
          <t>TCU Horned Frogs</t>
        </is>
      </c>
      <c r="H4" s="24" t="inlineStr">
        <is>
          <t>total</t>
        </is>
      </c>
      <c r="I4" s="24" t="inlineStr">
        <is>
          <t>over</t>
        </is>
      </c>
      <c r="J4" s="25" t="n">
        <v>46.5</v>
      </c>
      <c r="K4" s="24" t="inlineStr">
        <is>
          <t>espn_consensus</t>
        </is>
      </c>
      <c r="L4" s="26" t="n">
        <v>100</v>
      </c>
      <c r="M4" s="27" t="n">
        <v>2</v>
      </c>
      <c r="N4" s="28" t="n">
        <v>0.5</v>
      </c>
      <c r="O4" s="28" t="n">
        <v>0.875533</v>
      </c>
      <c r="P4" s="28" t="n">
        <v>0.06</v>
      </c>
      <c r="Q4" s="28" t="n">
        <v>0.375533</v>
      </c>
      <c r="R4" s="26" t="n">
        <v>100</v>
      </c>
      <c r="S4" s="29" t="n">
        <v>2</v>
      </c>
      <c r="T4" s="24" t="inlineStr">
        <is>
          <t>cfb-total-v1</t>
        </is>
      </c>
      <c r="U4" s="24" t="inlineStr">
        <is>
          <t>settled</t>
        </is>
      </c>
      <c r="V4" s="24" t="inlineStr">
        <is>
          <t>loss</t>
        </is>
      </c>
      <c r="W4" s="26" t="n">
        <v>15</v>
      </c>
      <c r="X4" s="26" t="n">
        <v>10</v>
      </c>
      <c r="Y4" s="25" t="n"/>
      <c r="Z4" s="26" t="n"/>
      <c r="AA4" s="28" t="n"/>
      <c r="AB4" s="28" t="n"/>
      <c r="AC4" s="30" t="n">
        <v>-2</v>
      </c>
      <c r="AD4" s="24" t="inlineStr">
        <is>
          <t>2026-08-30T03:26:59.713706Z</t>
        </is>
      </c>
      <c r="AE4" s="31" t="inlineStr">
        <is>
          <t>Projected total 57.0 pts (Weather adj: +0.0 pts). Total line 46.5 -&gt; P(Over)=0.876, P(Under)=0.124, P(Push)=0.000.</t>
        </is>
      </c>
      <c r="AF4" s="31" t="inlineStr">
        <is>
          <t>College football model; multi-market (moneyline, spread, total).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4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North Carolina Tar Heels</t>
        </is>
      </c>
      <c r="AQ4" s="24" t="inlineStr">
        <is>
          <t>North Carolina Tar Heels</t>
        </is>
      </c>
      <c r="AR4" s="24" t="inlineStr">
        <is>
          <t>North Carolina Tar Heels</t>
        </is>
      </c>
      <c r="AS4" s="24" t="inlineStr">
        <is>
          <t>TCU Horned Frogs</t>
        </is>
      </c>
      <c r="AT4" s="24" t="inlineStr">
        <is>
          <t>TCU Horned Frogs</t>
        </is>
      </c>
      <c r="AU4" s="24" t="inlineStr">
        <is>
          <t>TCU Horned Frogs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1d168f11d221cd3c</t>
        </is>
      </c>
      <c r="BB4" s="24" t="inlineStr">
        <is>
          <t>cfb_key_number_engine</t>
        </is>
      </c>
      <c r="BC4" s="24" t="inlineStr">
        <is>
          <t>cfb-total-v1</t>
        </is>
      </c>
      <c r="BD4" s="24" t="inlineStr">
        <is>
          <t>1d168f11d221cd3c</t>
        </is>
      </c>
      <c r="BE4" s="24" t="inlineStr">
        <is>
          <t>cfb-v1</t>
        </is>
      </c>
      <c r="BF4" s="24" t="inlineStr">
        <is>
          <t>1</t>
        </is>
      </c>
      <c r="BG4" s="24" t="inlineStr">
        <is>
          <t>1d168f11d221cd3c</t>
        </is>
      </c>
      <c r="BH4" s="24" t="inlineStr">
        <is>
          <t>2026-08-29T15:45:00+00:00</t>
        </is>
      </c>
      <c r="BI4" s="24" t="inlineStr">
        <is>
          <t>["same_event","same_team_same_day","same_league_same_day"]</t>
        </is>
      </c>
      <c r="BJ4" s="25" t="n">
        <v>46.5</v>
      </c>
      <c r="BK4" s="26" t="n">
        <v>100</v>
      </c>
      <c r="BL4" s="27" t="n">
        <v>2</v>
      </c>
      <c r="BM4" s="28" t="n">
        <v>0.5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</t>
        </is>
      </c>
      <c r="DK4" s="24" t="n"/>
      <c r="DL4" s="24" t="n"/>
      <c r="DM4" s="24" t="n"/>
      <c r="DN4" s="24" t="n"/>
      <c r="DO4" s="24" t="n"/>
      <c r="DP4" s="24" t="n"/>
    </row>
    <row r="5" ht="36" customHeight="1">
      <c r="A5" s="24" t="inlineStr">
        <is>
          <t>7fe7061d7ec94f51</t>
        </is>
      </c>
      <c r="B5" s="24" t="inlineStr">
        <is>
          <t>2026-08-29T15:45:00Z</t>
        </is>
      </c>
      <c r="C5" s="24" t="inlineStr">
        <is>
          <t>2026-08-29T16:00Z</t>
        </is>
      </c>
      <c r="D5" s="24" t="inlineStr">
        <is>
          <t>401856766</t>
        </is>
      </c>
      <c r="E5" s="24" t="inlineStr">
        <is>
          <t>NCAAF</t>
        </is>
      </c>
      <c r="F5" s="24" t="inlineStr">
        <is>
          <t>North Carolina Tar Heels</t>
        </is>
      </c>
      <c r="G5" s="24" t="inlineStr">
        <is>
          <t>TCU Horned Frogs</t>
        </is>
      </c>
      <c r="H5" s="24" t="inlineStr">
        <is>
          <t>spread</t>
        </is>
      </c>
      <c r="I5" s="24" t="inlineStr">
        <is>
          <t>away</t>
        </is>
      </c>
      <c r="J5" s="25" t="n">
        <v>0</v>
      </c>
      <c r="K5" s="24" t="inlineStr">
        <is>
          <t>espn_consensus</t>
        </is>
      </c>
      <c r="L5" s="26" t="n">
        <v>100</v>
      </c>
      <c r="M5" s="27" t="n">
        <v>2</v>
      </c>
      <c r="N5" s="28" t="n">
        <v>0.5</v>
      </c>
      <c r="O5" s="28" t="n">
        <v>0.528067</v>
      </c>
      <c r="P5" s="28" t="n">
        <v>0.06</v>
      </c>
      <c r="Q5" s="28" t="n">
        <v>0.028067</v>
      </c>
      <c r="R5" s="26" t="n">
        <v>28</v>
      </c>
      <c r="S5" s="29" t="n">
        <v>1</v>
      </c>
      <c r="T5" s="24" t="inlineStr">
        <is>
          <t>cfb-spread-v1</t>
        </is>
      </c>
      <c r="U5" s="24" t="inlineStr">
        <is>
          <t>open</t>
        </is>
      </c>
      <c r="V5" s="24" t="n"/>
      <c r="W5" s="26" t="n"/>
      <c r="X5" s="26" t="n"/>
      <c r="Y5" s="25" t="n"/>
      <c r="Z5" s="26" t="n"/>
      <c r="AA5" s="28" t="n"/>
      <c r="AB5" s="28" t="n"/>
      <c r="AC5" s="30" t="n"/>
      <c r="AD5" s="24" t="n"/>
      <c r="AE5" s="31" t="inlineStr">
        <is>
          <t>Projected home margin -1.2 pts. Spread: Home +0.0 / Away -0.0 -&gt; P(Away cover)=0.528, P(Home cover)=0.430, P(Push)=0.042.</t>
        </is>
      </c>
      <c r="AF5" s="31" t="inlineStr">
        <is>
          <t>College football model; multi-market (moneyline, spread, total).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North Carolina Tar Heels</t>
        </is>
      </c>
      <c r="AQ5" s="24" t="inlineStr">
        <is>
          <t>North Carolina Tar Heels</t>
        </is>
      </c>
      <c r="AR5" s="24" t="inlineStr">
        <is>
          <t>North Carolina Tar Heels</t>
        </is>
      </c>
      <c r="AS5" s="24" t="inlineStr">
        <is>
          <t>TCU Horned Frogs</t>
        </is>
      </c>
      <c r="AT5" s="24" t="inlineStr">
        <is>
          <t>TCU Horned Frogs</t>
        </is>
      </c>
      <c r="AU5" s="24" t="inlineStr">
        <is>
          <t>TCU Horned Frogs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1d168f11d221cd3c</t>
        </is>
      </c>
      <c r="BB5" s="24" t="inlineStr">
        <is>
          <t>cfb_key_number_engine</t>
        </is>
      </c>
      <c r="BC5" s="24" t="inlineStr">
        <is>
          <t>cfb-spread-v1</t>
        </is>
      </c>
      <c r="BD5" s="24" t="inlineStr">
        <is>
          <t>1d168f11d221cd3c</t>
        </is>
      </c>
      <c r="BE5" s="24" t="inlineStr">
        <is>
          <t>cfb-v1</t>
        </is>
      </c>
      <c r="BF5" s="24" t="inlineStr">
        <is>
          <t>1</t>
        </is>
      </c>
      <c r="BG5" s="24" t="inlineStr">
        <is>
          <t>1d168f11d221cd3c</t>
        </is>
      </c>
      <c r="BH5" s="24" t="inlineStr">
        <is>
          <t>2026-08-29T15:45:00+00:00</t>
        </is>
      </c>
      <c r="BI5" s="24" t="inlineStr">
        <is>
          <t>["same_event","same_team_same_day","same_league_same_day"]</t>
        </is>
      </c>
      <c r="BJ5" s="25" t="n">
        <v>0</v>
      </c>
      <c r="BK5" s="26" t="n">
        <v>100</v>
      </c>
      <c r="BL5" s="27" t="n">
        <v>2</v>
      </c>
      <c r="BM5" s="28" t="n">
        <v>0.5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</t>
        </is>
      </c>
      <c r="DK5" s="24" t="n"/>
      <c r="DL5" s="24" t="n"/>
      <c r="DM5" s="24" t="n"/>
      <c r="DN5" s="24" t="n"/>
      <c r="DO5" s="24" t="n"/>
      <c r="DP5" s="24" t="n"/>
    </row>
    <row r="6" ht="36" customHeight="1">
      <c r="A6" s="24" t="inlineStr">
        <is>
          <t>7db556eb60ab48ec</t>
        </is>
      </c>
      <c r="B6" s="24" t="inlineStr">
        <is>
          <t>2026-08-29T15:45:00Z</t>
        </is>
      </c>
      <c r="C6" s="24" t="inlineStr">
        <is>
          <t>2026-08-29T16:00Z</t>
        </is>
      </c>
      <c r="D6" s="24" t="inlineStr">
        <is>
          <t>401856766</t>
        </is>
      </c>
      <c r="E6" s="24" t="inlineStr">
        <is>
          <t>NCAAF</t>
        </is>
      </c>
      <c r="F6" s="24" t="inlineStr">
        <is>
          <t>North Carolina Tar Heels</t>
        </is>
      </c>
      <c r="G6" s="24" t="inlineStr">
        <is>
          <t>TCU Horned Frogs</t>
        </is>
      </c>
      <c r="H6" s="24" t="inlineStr">
        <is>
          <t>total</t>
        </is>
      </c>
      <c r="I6" s="24" t="inlineStr">
        <is>
          <t>over</t>
        </is>
      </c>
      <c r="J6" s="25" t="n">
        <v>54</v>
      </c>
      <c r="K6" s="24" t="inlineStr">
        <is>
          <t>espn_consensus</t>
        </is>
      </c>
      <c r="L6" s="26" t="n">
        <v>100</v>
      </c>
      <c r="M6" s="27" t="n">
        <v>2</v>
      </c>
      <c r="N6" s="28" t="n">
        <v>0.5</v>
      </c>
      <c r="O6" s="28" t="n">
        <v>0.599</v>
      </c>
      <c r="P6" s="28" t="n">
        <v>0.06</v>
      </c>
      <c r="Q6" s="28" t="n">
        <v>0.099</v>
      </c>
      <c r="R6" s="26" t="n">
        <v>63</v>
      </c>
      <c r="S6" s="29" t="n">
        <v>1.25</v>
      </c>
      <c r="T6" s="24" t="inlineStr">
        <is>
          <t>cfb-total-v1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Projected total 57.0 pts (Weather adj: +0.0 pts). Total line 54.0 -&gt; P(Over)=0.599, P(Under)=0.359, P(Push)=0.042.</t>
        </is>
      </c>
      <c r="AF6" s="31" t="inlineStr">
        <is>
          <t>College football model; multi-market (moneyline, spread, total).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4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North Carolina Tar Heels</t>
        </is>
      </c>
      <c r="AQ6" s="24" t="inlineStr">
        <is>
          <t>North Carolina Tar Heels</t>
        </is>
      </c>
      <c r="AR6" s="24" t="inlineStr">
        <is>
          <t>North Carolina Tar Heels</t>
        </is>
      </c>
      <c r="AS6" s="24" t="inlineStr">
        <is>
          <t>TCU Horned Frogs</t>
        </is>
      </c>
      <c r="AT6" s="24" t="inlineStr">
        <is>
          <t>TCU Horned Frogs</t>
        </is>
      </c>
      <c r="AU6" s="24" t="inlineStr">
        <is>
          <t>TCU Horned Frogs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1d168f11d221cd3c</t>
        </is>
      </c>
      <c r="BB6" s="24" t="inlineStr">
        <is>
          <t>cfb_key_number_engine</t>
        </is>
      </c>
      <c r="BC6" s="24" t="inlineStr">
        <is>
          <t>cfb-total-v1</t>
        </is>
      </c>
      <c r="BD6" s="24" t="inlineStr">
        <is>
          <t>1d168f11d221cd3c</t>
        </is>
      </c>
      <c r="BE6" s="24" t="inlineStr">
        <is>
          <t>cfb-v1</t>
        </is>
      </c>
      <c r="BF6" s="24" t="inlineStr">
        <is>
          <t>1</t>
        </is>
      </c>
      <c r="BG6" s="24" t="inlineStr">
        <is>
          <t>1d168f11d221cd3c</t>
        </is>
      </c>
      <c r="BH6" s="24" t="inlineStr">
        <is>
          <t>2026-08-29T15:45:00+00:00</t>
        </is>
      </c>
      <c r="BI6" s="24" t="inlineStr">
        <is>
          <t>["same_event","same_team_same_day","same_league_same_day"]</t>
        </is>
      </c>
      <c r="BJ6" s="25" t="n">
        <v>54</v>
      </c>
      <c r="BK6" s="26" t="n">
        <v>100</v>
      </c>
      <c r="BL6" s="27" t="n">
        <v>2</v>
      </c>
      <c r="BM6" s="28" t="n">
        <v>0.5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</t>
        </is>
      </c>
      <c r="DK6" s="24" t="n"/>
      <c r="DL6" s="24" t="n"/>
      <c r="DM6" s="24" t="n"/>
      <c r="DN6" s="24" t="n"/>
      <c r="DO6" s="24" t="n"/>
      <c r="DP6" s="24" t="n"/>
    </row>
    <row r="7" ht="36" customHeight="1">
      <c r="A7" s="24" t="inlineStr">
        <is>
          <t>ea381bef94d645b0</t>
        </is>
      </c>
      <c r="B7" s="24" t="inlineStr">
        <is>
          <t>2026-08-29T16:04:47.550898Z</t>
        </is>
      </c>
      <c r="C7" s="24" t="inlineStr">
        <is>
          <t>2026-08-29T19:00Z</t>
        </is>
      </c>
      <c r="D7" s="24" t="inlineStr">
        <is>
          <t>401864494</t>
        </is>
      </c>
      <c r="E7" s="24" t="inlineStr">
        <is>
          <t>NCAAF</t>
        </is>
      </c>
      <c r="F7" s="24" t="inlineStr">
        <is>
          <t>San José State Spartans</t>
        </is>
      </c>
      <c r="G7" s="24" t="inlineStr">
        <is>
          <t>USC Trojans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espn_consensus</t>
        </is>
      </c>
      <c r="L7" s="26" t="n">
        <v>100</v>
      </c>
      <c r="M7" s="27" t="n">
        <v>2</v>
      </c>
      <c r="N7" s="28" t="n">
        <v>0.5</v>
      </c>
      <c r="O7" s="28" t="n">
        <v>0.980205</v>
      </c>
      <c r="P7" s="28" t="n">
        <v>0.18</v>
      </c>
      <c r="Q7" s="28" t="n">
        <v>0.480205</v>
      </c>
      <c r="R7" s="26" t="n">
        <v>100</v>
      </c>
      <c r="S7" s="29" t="n">
        <v>2</v>
      </c>
      <c r="T7" s="24" t="inlineStr">
        <is>
          <t>college-football-v1</t>
        </is>
      </c>
      <c r="U7" s="24" t="inlineStr">
        <is>
          <t>settled</t>
        </is>
      </c>
      <c r="V7" s="24" t="inlineStr">
        <is>
          <t>win</t>
        </is>
      </c>
      <c r="W7" s="26" t="n">
        <v>26</v>
      </c>
      <c r="X7" s="26" t="n">
        <v>42</v>
      </c>
      <c r="Y7" s="25" t="n"/>
      <c r="Z7" s="26" t="n"/>
      <c r="AA7" s="28" t="n"/>
      <c r="AB7" s="28" t="n"/>
      <c r="AC7" s="30" t="n">
        <v>2</v>
      </c>
      <c r="AD7" s="24" t="inlineStr">
        <is>
          <t>2026-08-30T03:29:30.268090Z</t>
        </is>
      </c>
      <c r="AE7" s="31" t="inlineStr">
        <is>
          <t>CFB Joint Model (negative_binomial): proj score San José State Spartans 20.1 @ USC Trojans 38.9 (Margin +18.7). Possessions: 12.4, HFA: +2.8 pts.</t>
        </is>
      </c>
      <c r="AF7" s="31" t="inlineStr">
        <is>
          <t>College football model; multi-market (moneyline, spread, total).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San José State Spartans</t>
        </is>
      </c>
      <c r="AQ7" s="24" t="inlineStr">
        <is>
          <t>San José State Spartans</t>
        </is>
      </c>
      <c r="AR7" s="24" t="inlineStr">
        <is>
          <t>San José State Spartans</t>
        </is>
      </c>
      <c r="AS7" s="24" t="inlineStr">
        <is>
          <t>USC Trojans</t>
        </is>
      </c>
      <c r="AT7" s="24" t="inlineStr">
        <is>
          <t>USC Trojans</t>
        </is>
      </c>
      <c r="AU7" s="24" t="inlineStr">
        <is>
          <t>USC Trojans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1d168f11d221cd3c</t>
        </is>
      </c>
      <c r="BB7" s="24" t="inlineStr">
        <is>
          <t>cfb_key_number_engine</t>
        </is>
      </c>
      <c r="BC7" s="24" t="inlineStr">
        <is>
          <t>college-football-v1</t>
        </is>
      </c>
      <c r="BD7" s="24" t="inlineStr">
        <is>
          <t>1d168f11d221cd3c</t>
        </is>
      </c>
      <c r="BE7" s="24" t="inlineStr">
        <is>
          <t>cfb-v1</t>
        </is>
      </c>
      <c r="BF7" s="24" t="inlineStr">
        <is>
          <t>1</t>
        </is>
      </c>
      <c r="BG7" s="24" t="inlineStr">
        <is>
          <t>1d168f11d221cd3c</t>
        </is>
      </c>
      <c r="BH7" s="24" t="inlineStr">
        <is>
          <t>2026-08-29T16:04:47.550898+00:00</t>
        </is>
      </c>
      <c r="BI7" s="24" t="inlineStr">
        <is>
          <t>["same_event","same_team_same_day","same_league_same_day"]</t>
        </is>
      </c>
      <c r="BJ7" s="25" t="n"/>
      <c r="BK7" s="26" t="n">
        <v>100</v>
      </c>
      <c r="BL7" s="27" t="n">
        <v>2</v>
      </c>
      <c r="BM7" s="28" t="n">
        <v>0.5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</t>
        </is>
      </c>
      <c r="DK7" s="24" t="n"/>
      <c r="DL7" s="24" t="n"/>
      <c r="DM7" s="24" t="n"/>
      <c r="DN7" s="24" t="n"/>
      <c r="DO7" s="24" t="n"/>
      <c r="DP7" s="24" t="n"/>
    </row>
    <row r="8" ht="36" customHeight="1">
      <c r="A8" s="24" t="inlineStr">
        <is>
          <t>471546048c1c4f95</t>
        </is>
      </c>
      <c r="B8" s="24" t="inlineStr">
        <is>
          <t>2026-08-29T16:04:47.550898Z</t>
        </is>
      </c>
      <c r="C8" s="24" t="inlineStr">
        <is>
          <t>2026-08-29T19:00Z</t>
        </is>
      </c>
      <c r="D8" s="24" t="inlineStr">
        <is>
          <t>401864494</t>
        </is>
      </c>
      <c r="E8" s="24" t="inlineStr">
        <is>
          <t>NCAAF</t>
        </is>
      </c>
      <c r="F8" s="24" t="inlineStr">
        <is>
          <t>San José State Spartans</t>
        </is>
      </c>
      <c r="G8" s="24" t="inlineStr">
        <is>
          <t>USC Trojans</t>
        </is>
      </c>
      <c r="H8" s="24" t="inlineStr">
        <is>
          <t>spread</t>
        </is>
      </c>
      <c r="I8" s="24" t="inlineStr">
        <is>
          <t>away</t>
        </is>
      </c>
      <c r="J8" s="25" t="n">
        <v>38.5</v>
      </c>
      <c r="K8" s="24" t="inlineStr">
        <is>
          <t>espn_consensus</t>
        </is>
      </c>
      <c r="L8" s="26" t="n">
        <v>100</v>
      </c>
      <c r="M8" s="27" t="n">
        <v>2</v>
      </c>
      <c r="N8" s="28" t="n">
        <v>0.5</v>
      </c>
      <c r="O8" s="28" t="n">
        <v>0.9828</v>
      </c>
      <c r="P8" s="28" t="n">
        <v>0.18</v>
      </c>
      <c r="Q8" s="28" t="n">
        <v>0.4828</v>
      </c>
      <c r="R8" s="26" t="n">
        <v>100</v>
      </c>
      <c r="S8" s="29" t="n">
        <v>2</v>
      </c>
      <c r="T8" s="24" t="inlineStr">
        <is>
          <t>cfb-spread-v1</t>
        </is>
      </c>
      <c r="U8" s="24" t="inlineStr">
        <is>
          <t>settled</t>
        </is>
      </c>
      <c r="V8" s="24" t="inlineStr">
        <is>
          <t>win</t>
        </is>
      </c>
      <c r="W8" s="26" t="n">
        <v>26</v>
      </c>
      <c r="X8" s="26" t="n">
        <v>42</v>
      </c>
      <c r="Y8" s="25" t="n"/>
      <c r="Z8" s="26" t="n"/>
      <c r="AA8" s="28" t="n"/>
      <c r="AB8" s="28" t="n"/>
      <c r="AC8" s="30" t="n">
        <v>2</v>
      </c>
      <c r="AD8" s="24" t="inlineStr">
        <is>
          <t>2026-08-30T03:29:30.748873Z</t>
        </is>
      </c>
      <c r="AE8" s="31" t="inlineStr">
        <is>
          <t>Projected home margin +18.7 pts. Spread: Home -38.5 / Away +38.5 -&gt; P(Away cover)=0.983, P(Home cover)=0.017, P(Push)=0.000.</t>
        </is>
      </c>
      <c r="AF8" s="31" t="inlineStr">
        <is>
          <t>College football model; multi-market (moneyline, spread, total).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4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San José State Spartans</t>
        </is>
      </c>
      <c r="AQ8" s="24" t="inlineStr">
        <is>
          <t>San José State Spartans</t>
        </is>
      </c>
      <c r="AR8" s="24" t="inlineStr">
        <is>
          <t>San José State Spartans</t>
        </is>
      </c>
      <c r="AS8" s="24" t="inlineStr">
        <is>
          <t>USC Trojans</t>
        </is>
      </c>
      <c r="AT8" s="24" t="inlineStr">
        <is>
          <t>USC Trojans</t>
        </is>
      </c>
      <c r="AU8" s="24" t="inlineStr">
        <is>
          <t>USC Trojans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1d168f11d221cd3c</t>
        </is>
      </c>
      <c r="BB8" s="24" t="inlineStr">
        <is>
          <t>cfb_key_number_engine</t>
        </is>
      </c>
      <c r="BC8" s="24" t="inlineStr">
        <is>
          <t>cfb-spread-v1</t>
        </is>
      </c>
      <c r="BD8" s="24" t="inlineStr">
        <is>
          <t>1d168f11d221cd3c</t>
        </is>
      </c>
      <c r="BE8" s="24" t="inlineStr">
        <is>
          <t>cfb-v1</t>
        </is>
      </c>
      <c r="BF8" s="24" t="inlineStr">
        <is>
          <t>1</t>
        </is>
      </c>
      <c r="BG8" s="24" t="inlineStr">
        <is>
          <t>1d168f11d221cd3c</t>
        </is>
      </c>
      <c r="BH8" s="24" t="inlineStr">
        <is>
          <t>2026-08-29T16:04:47.550898+00:00</t>
        </is>
      </c>
      <c r="BI8" s="24" t="inlineStr">
        <is>
          <t>["same_event","same_team_same_day","same_league_same_day"]</t>
        </is>
      </c>
      <c r="BJ8" s="25" t="n">
        <v>38.5</v>
      </c>
      <c r="BK8" s="26" t="n">
        <v>100</v>
      </c>
      <c r="BL8" s="27" t="n">
        <v>2</v>
      </c>
      <c r="BM8" s="28" t="n">
        <v>0.5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</t>
        </is>
      </c>
      <c r="DK8" s="24" t="n"/>
      <c r="DL8" s="24" t="n"/>
      <c r="DM8" s="24" t="n"/>
      <c r="DN8" s="24" t="n"/>
      <c r="DO8" s="24" t="n"/>
      <c r="DP8" s="24" t="n"/>
    </row>
    <row r="9" ht="36" customHeight="1">
      <c r="A9" s="24" t="inlineStr">
        <is>
          <t>4ba103d5eb794e1e</t>
        </is>
      </c>
      <c r="B9" s="24" t="inlineStr">
        <is>
          <t>2026-08-29T16:04:47.550898Z</t>
        </is>
      </c>
      <c r="C9" s="24" t="inlineStr">
        <is>
          <t>2026-08-29T19:00Z</t>
        </is>
      </c>
      <c r="D9" s="24" t="inlineStr">
        <is>
          <t>401864494</t>
        </is>
      </c>
      <c r="E9" s="24" t="inlineStr">
        <is>
          <t>NCAAF</t>
        </is>
      </c>
      <c r="F9" s="24" t="inlineStr">
        <is>
          <t>San José State Spartans</t>
        </is>
      </c>
      <c r="G9" s="24" t="inlineStr">
        <is>
          <t>USC Trojans</t>
        </is>
      </c>
      <c r="H9" s="24" t="inlineStr">
        <is>
          <t>total</t>
        </is>
      </c>
      <c r="I9" s="24" t="inlineStr">
        <is>
          <t>under</t>
        </is>
      </c>
      <c r="J9" s="25" t="n">
        <v>60.5</v>
      </c>
      <c r="K9" s="24" t="inlineStr">
        <is>
          <t>espn_consensus</t>
        </is>
      </c>
      <c r="L9" s="26" t="n">
        <v>100</v>
      </c>
      <c r="M9" s="27" t="n">
        <v>2</v>
      </c>
      <c r="N9" s="28" t="n">
        <v>0.5</v>
      </c>
      <c r="O9" s="28" t="n">
        <v>0.584467</v>
      </c>
      <c r="P9" s="28" t="n">
        <v>0.18</v>
      </c>
      <c r="Q9" s="28" t="n">
        <v>0.084467</v>
      </c>
      <c r="R9" s="26" t="n">
        <v>0</v>
      </c>
      <c r="S9" s="29" t="n">
        <v>1</v>
      </c>
      <c r="T9" s="24" t="inlineStr">
        <is>
          <t>cfb-total-v1</t>
        </is>
      </c>
      <c r="U9" s="24" t="inlineStr">
        <is>
          <t>settled</t>
        </is>
      </c>
      <c r="V9" s="24" t="inlineStr">
        <is>
          <t>loss</t>
        </is>
      </c>
      <c r="W9" s="26" t="n">
        <v>26</v>
      </c>
      <c r="X9" s="26" t="n">
        <v>42</v>
      </c>
      <c r="Y9" s="25" t="n"/>
      <c r="Z9" s="26" t="n"/>
      <c r="AA9" s="28" t="n"/>
      <c r="AB9" s="28" t="n"/>
      <c r="AC9" s="30" t="n">
        <v>-1</v>
      </c>
      <c r="AD9" s="24" t="inlineStr">
        <is>
          <t>2026-08-30T03:29:31.217681Z</t>
        </is>
      </c>
      <c r="AE9" s="31" t="inlineStr">
        <is>
          <t>Projected total 59.0 pts (Weather adj: +0.0 pts). Total line 60.5 -&gt; P(Over)=0.416, P(Under)=0.584, P(Push)=0.000.</t>
        </is>
      </c>
      <c r="AF9" s="31" t="inlineStr">
        <is>
          <t>College football model; multi-market (moneyline, spread, total).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4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San José State Spartans</t>
        </is>
      </c>
      <c r="AQ9" s="24" t="inlineStr">
        <is>
          <t>San José State Spartans</t>
        </is>
      </c>
      <c r="AR9" s="24" t="inlineStr">
        <is>
          <t>San José State Spartans</t>
        </is>
      </c>
      <c r="AS9" s="24" t="inlineStr">
        <is>
          <t>USC Trojans</t>
        </is>
      </c>
      <c r="AT9" s="24" t="inlineStr">
        <is>
          <t>USC Trojans</t>
        </is>
      </c>
      <c r="AU9" s="24" t="inlineStr">
        <is>
          <t>USC Trojans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1d168f11d221cd3c</t>
        </is>
      </c>
      <c r="BB9" s="24" t="inlineStr">
        <is>
          <t>cfb_key_number_engine</t>
        </is>
      </c>
      <c r="BC9" s="24" t="inlineStr">
        <is>
          <t>cfb-total-v1</t>
        </is>
      </c>
      <c r="BD9" s="24" t="inlineStr">
        <is>
          <t>1d168f11d221cd3c</t>
        </is>
      </c>
      <c r="BE9" s="24" t="inlineStr">
        <is>
          <t>cfb-v1</t>
        </is>
      </c>
      <c r="BF9" s="24" t="inlineStr">
        <is>
          <t>1</t>
        </is>
      </c>
      <c r="BG9" s="24" t="inlineStr">
        <is>
          <t>1d168f11d221cd3c</t>
        </is>
      </c>
      <c r="BH9" s="24" t="inlineStr">
        <is>
          <t>2026-08-29T16:04:47.550898+00:00</t>
        </is>
      </c>
      <c r="BI9" s="24" t="inlineStr">
        <is>
          <t>["same_event","same_team_same_day","same_league_same_day"]</t>
        </is>
      </c>
      <c r="BJ9" s="25" t="n">
        <v>60.5</v>
      </c>
      <c r="BK9" s="26" t="n">
        <v>100</v>
      </c>
      <c r="BL9" s="27" t="n">
        <v>2</v>
      </c>
      <c r="BM9" s="28" t="n">
        <v>0.5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</t>
        </is>
      </c>
      <c r="DK9" s="24" t="n"/>
      <c r="DL9" s="24" t="n"/>
      <c r="DM9" s="24" t="n"/>
      <c r="DN9" s="24" t="n"/>
      <c r="DO9" s="24" t="n"/>
      <c r="DP9" s="24" t="n"/>
    </row>
    <row r="10" ht="36" customHeight="1">
      <c r="A10" s="24" t="inlineStr">
        <is>
          <t>a52d27898b5847fd</t>
        </is>
      </c>
      <c r="B10" s="24" t="inlineStr">
        <is>
          <t>2026-08-29T16:04:47.550898Z</t>
        </is>
      </c>
      <c r="C10" s="24" t="inlineStr">
        <is>
          <t>2026-08-29T19:30Z</t>
        </is>
      </c>
      <c r="D10" s="24" t="inlineStr">
        <is>
          <t>401858202</t>
        </is>
      </c>
      <c r="E10" s="24" t="inlineStr">
        <is>
          <t>NCAAF</t>
        </is>
      </c>
      <c r="F10" s="24" t="inlineStr">
        <is>
          <t>NC State Wolfpack</t>
        </is>
      </c>
      <c r="G10" s="24" t="inlineStr">
        <is>
          <t>Virginia Cavaliers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espn_consensus</t>
        </is>
      </c>
      <c r="L10" s="26" t="n">
        <v>100</v>
      </c>
      <c r="M10" s="27" t="n">
        <v>2</v>
      </c>
      <c r="N10" s="28" t="n">
        <v>0.5</v>
      </c>
      <c r="O10" s="28" t="n">
        <v>0.621685</v>
      </c>
      <c r="P10" s="28" t="n">
        <v>0.06</v>
      </c>
      <c r="Q10" s="28" t="n">
        <v>0.121685</v>
      </c>
      <c r="R10" s="26" t="n">
        <v>75</v>
      </c>
      <c r="S10" s="29" t="n">
        <v>1.5</v>
      </c>
      <c r="T10" s="24" t="inlineStr">
        <is>
          <t>college-football-v1</t>
        </is>
      </c>
      <c r="U10" s="24" t="inlineStr">
        <is>
          <t>settled</t>
        </is>
      </c>
      <c r="V10" s="24" t="inlineStr">
        <is>
          <t>win</t>
        </is>
      </c>
      <c r="W10" s="26" t="n">
        <v>8</v>
      </c>
      <c r="X10" s="26" t="n">
        <v>34</v>
      </c>
      <c r="Y10" s="25" t="n"/>
      <c r="Z10" s="26" t="n"/>
      <c r="AA10" s="28" t="n"/>
      <c r="AB10" s="28" t="n"/>
      <c r="AC10" s="30" t="n">
        <v>1.5</v>
      </c>
      <c r="AD10" s="24" t="inlineStr">
        <is>
          <t>2026-08-30T03:29:31.691104Z</t>
        </is>
      </c>
      <c r="AE10" s="31" t="inlineStr">
        <is>
          <t>CFB Joint Model (negative_binomial): proj score NC State Wolfpack 27.7 @ Virginia Cavaliers 30.4 (Margin +2.7). Possessions: 12.4, HFA: +2.8 pts.</t>
        </is>
      </c>
      <c r="AF10" s="31" t="inlineStr">
        <is>
          <t>College football model; multi-market (moneyline, spread, total).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NC State Wolfpack</t>
        </is>
      </c>
      <c r="AQ10" s="24" t="inlineStr">
        <is>
          <t>NC State Wolfpack</t>
        </is>
      </c>
      <c r="AR10" s="24" t="inlineStr">
        <is>
          <t>NC State Wolfpack</t>
        </is>
      </c>
      <c r="AS10" s="24" t="inlineStr">
        <is>
          <t>Virginia Cavaliers</t>
        </is>
      </c>
      <c r="AT10" s="24" t="inlineStr">
        <is>
          <t>Virginia Cavaliers</t>
        </is>
      </c>
      <c r="AU10" s="24" t="inlineStr">
        <is>
          <t>Virginia Cavaliers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1d168f11d221cd3c</t>
        </is>
      </c>
      <c r="BB10" s="24" t="inlineStr">
        <is>
          <t>cfb_key_number_engine</t>
        </is>
      </c>
      <c r="BC10" s="24" t="inlineStr">
        <is>
          <t>college-football-v1</t>
        </is>
      </c>
      <c r="BD10" s="24" t="inlineStr">
        <is>
          <t>1d168f11d221cd3c</t>
        </is>
      </c>
      <c r="BE10" s="24" t="inlineStr">
        <is>
          <t>cfb-v1</t>
        </is>
      </c>
      <c r="BF10" s="24" t="inlineStr">
        <is>
          <t>1</t>
        </is>
      </c>
      <c r="BG10" s="24" t="inlineStr">
        <is>
          <t>1d168f11d221cd3c</t>
        </is>
      </c>
      <c r="BH10" s="24" t="inlineStr">
        <is>
          <t>2026-08-29T16:04:47.550898+00:00</t>
        </is>
      </c>
      <c r="BI10" s="24" t="inlineStr">
        <is>
          <t>["same_event","same_team_same_day","same_league_same_day"]</t>
        </is>
      </c>
      <c r="BJ10" s="25" t="n"/>
      <c r="BK10" s="26" t="n">
        <v>100</v>
      </c>
      <c r="BL10" s="27" t="n">
        <v>2</v>
      </c>
      <c r="BM10" s="28" t="n">
        <v>0.5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</t>
        </is>
      </c>
      <c r="DK10" s="24" t="n"/>
      <c r="DL10" s="24" t="n"/>
      <c r="DM10" s="24" t="n"/>
      <c r="DN10" s="24" t="n"/>
      <c r="DO10" s="24" t="n"/>
      <c r="DP10" s="24" t="n"/>
    </row>
    <row r="11" ht="36" customHeight="1">
      <c r="A11" s="24" t="inlineStr">
        <is>
          <t>777d4520a2934789</t>
        </is>
      </c>
      <c r="B11" s="24" t="inlineStr">
        <is>
          <t>2026-08-29T16:04:47.550898Z</t>
        </is>
      </c>
      <c r="C11" s="24" t="inlineStr">
        <is>
          <t>2026-08-29T19:30Z</t>
        </is>
      </c>
      <c r="D11" s="24" t="inlineStr">
        <is>
          <t>401858202</t>
        </is>
      </c>
      <c r="E11" s="24" t="inlineStr">
        <is>
          <t>NCAAF</t>
        </is>
      </c>
      <c r="F11" s="24" t="inlineStr">
        <is>
          <t>NC State Wolfpack</t>
        </is>
      </c>
      <c r="G11" s="24" t="inlineStr">
        <is>
          <t>Virginia Cavaliers</t>
        </is>
      </c>
      <c r="H11" s="24" t="inlineStr">
        <is>
          <t>spread</t>
        </is>
      </c>
      <c r="I11" s="24" t="inlineStr">
        <is>
          <t>away</t>
        </is>
      </c>
      <c r="J11" s="25" t="n">
        <v>4</v>
      </c>
      <c r="K11" s="24" t="inlineStr">
        <is>
          <t>espn_consensus</t>
        </is>
      </c>
      <c r="L11" s="26" t="n">
        <v>100</v>
      </c>
      <c r="M11" s="27" t="n">
        <v>2</v>
      </c>
      <c r="N11" s="28" t="n">
        <v>0.5</v>
      </c>
      <c r="O11" s="28" t="n">
        <v>0.5324</v>
      </c>
      <c r="P11" s="28" t="n">
        <v>0.06</v>
      </c>
      <c r="Q11" s="28" t="n">
        <v>0.0324</v>
      </c>
      <c r="R11" s="26" t="n">
        <v>30</v>
      </c>
      <c r="S11" s="29" t="n">
        <v>1</v>
      </c>
      <c r="T11" s="24" t="inlineStr">
        <is>
          <t>cfb-spread-v1</t>
        </is>
      </c>
      <c r="U11" s="24" t="inlineStr">
        <is>
          <t>settled</t>
        </is>
      </c>
      <c r="V11" s="24" t="inlineStr">
        <is>
          <t>loss</t>
        </is>
      </c>
      <c r="W11" s="26" t="n">
        <v>8</v>
      </c>
      <c r="X11" s="26" t="n">
        <v>34</v>
      </c>
      <c r="Y11" s="25" t="n"/>
      <c r="Z11" s="26" t="n"/>
      <c r="AA11" s="28" t="n"/>
      <c r="AB11" s="28" t="n"/>
      <c r="AC11" s="30" t="n">
        <v>-1</v>
      </c>
      <c r="AD11" s="24" t="inlineStr">
        <is>
          <t>2026-08-30T03:29:32.293449Z</t>
        </is>
      </c>
      <c r="AE11" s="31" t="inlineStr">
        <is>
          <t>Projected home margin +2.7 pts. Spread: Home -4.0 / Away +4.0 -&gt; P(Away cover)=0.532, P(Home cover)=0.424, P(Push)=0.043.</t>
        </is>
      </c>
      <c r="AF11" s="31" t="inlineStr">
        <is>
          <t>College football model; multi-market (moneyline, spread, total).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4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NC State Wolfpack</t>
        </is>
      </c>
      <c r="AQ11" s="24" t="inlineStr">
        <is>
          <t>NC State Wolfpack</t>
        </is>
      </c>
      <c r="AR11" s="24" t="inlineStr">
        <is>
          <t>NC State Wolfpack</t>
        </is>
      </c>
      <c r="AS11" s="24" t="inlineStr">
        <is>
          <t>Virginia Cavaliers</t>
        </is>
      </c>
      <c r="AT11" s="24" t="inlineStr">
        <is>
          <t>Virginia Cavaliers</t>
        </is>
      </c>
      <c r="AU11" s="24" t="inlineStr">
        <is>
          <t>Virginia Cavaliers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1d168f11d221cd3c</t>
        </is>
      </c>
      <c r="BB11" s="24" t="inlineStr">
        <is>
          <t>cfb_key_number_engine</t>
        </is>
      </c>
      <c r="BC11" s="24" t="inlineStr">
        <is>
          <t>cfb-spread-v1</t>
        </is>
      </c>
      <c r="BD11" s="24" t="inlineStr">
        <is>
          <t>1d168f11d221cd3c</t>
        </is>
      </c>
      <c r="BE11" s="24" t="inlineStr">
        <is>
          <t>cfb-v1</t>
        </is>
      </c>
      <c r="BF11" s="24" t="inlineStr">
        <is>
          <t>1</t>
        </is>
      </c>
      <c r="BG11" s="24" t="inlineStr">
        <is>
          <t>1d168f11d221cd3c</t>
        </is>
      </c>
      <c r="BH11" s="24" t="inlineStr">
        <is>
          <t>2026-08-29T16:04:47.550898+00:00</t>
        </is>
      </c>
      <c r="BI11" s="24" t="inlineStr">
        <is>
          <t>["same_event","same_team_same_day","same_league_same_day"]</t>
        </is>
      </c>
      <c r="BJ11" s="25" t="n">
        <v>4</v>
      </c>
      <c r="BK11" s="26" t="n">
        <v>100</v>
      </c>
      <c r="BL11" s="27" t="n">
        <v>2</v>
      </c>
      <c r="BM11" s="28" t="n">
        <v>0.5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</t>
        </is>
      </c>
      <c r="DK11" s="24" t="n"/>
      <c r="DL11" s="24" t="n"/>
      <c r="DM11" s="24" t="n"/>
      <c r="DN11" s="24" t="n"/>
      <c r="DO11" s="24" t="n"/>
      <c r="DP11" s="24" t="n"/>
    </row>
    <row r="12" ht="36" customHeight="1">
      <c r="A12" s="24" t="inlineStr">
        <is>
          <t>069a8c294c5f4338</t>
        </is>
      </c>
      <c r="B12" s="24" t="inlineStr">
        <is>
          <t>2026-08-29T16:04:47.550898Z</t>
        </is>
      </c>
      <c r="C12" s="24" t="inlineStr">
        <is>
          <t>2026-08-29T19:30Z</t>
        </is>
      </c>
      <c r="D12" s="24" t="inlineStr">
        <is>
          <t>401858202</t>
        </is>
      </c>
      <c r="E12" s="24" t="inlineStr">
        <is>
          <t>NCAAF</t>
        </is>
      </c>
      <c r="F12" s="24" t="inlineStr">
        <is>
          <t>NC State Wolfpack</t>
        </is>
      </c>
      <c r="G12" s="24" t="inlineStr">
        <is>
          <t>Virginia Cavaliers</t>
        </is>
      </c>
      <c r="H12" s="24" t="inlineStr">
        <is>
          <t>total</t>
        </is>
      </c>
      <c r="I12" s="24" t="inlineStr">
        <is>
          <t>over</t>
        </is>
      </c>
      <c r="J12" s="25" t="n">
        <v>51.5</v>
      </c>
      <c r="K12" s="24" t="inlineStr">
        <is>
          <t>espn_consensus</t>
        </is>
      </c>
      <c r="L12" s="26" t="n">
        <v>100</v>
      </c>
      <c r="M12" s="27" t="n">
        <v>2</v>
      </c>
      <c r="N12" s="28" t="n">
        <v>0.5</v>
      </c>
      <c r="O12" s="28" t="n">
        <v>0.749867</v>
      </c>
      <c r="P12" s="28" t="n">
        <v>0.06</v>
      </c>
      <c r="Q12" s="28" t="n">
        <v>0.249867</v>
      </c>
      <c r="R12" s="26" t="n">
        <v>100</v>
      </c>
      <c r="S12" s="29" t="n">
        <v>2</v>
      </c>
      <c r="T12" s="24" t="inlineStr">
        <is>
          <t>cfb-total-v1</t>
        </is>
      </c>
      <c r="U12" s="24" t="inlineStr">
        <is>
          <t>settled</t>
        </is>
      </c>
      <c r="V12" s="24" t="inlineStr">
        <is>
          <t>loss</t>
        </is>
      </c>
      <c r="W12" s="26" t="n">
        <v>8</v>
      </c>
      <c r="X12" s="26" t="n">
        <v>34</v>
      </c>
      <c r="Y12" s="25" t="n"/>
      <c r="Z12" s="26" t="n"/>
      <c r="AA12" s="28" t="n"/>
      <c r="AB12" s="28" t="n"/>
      <c r="AC12" s="30" t="n">
        <v>-2</v>
      </c>
      <c r="AD12" s="24" t="inlineStr">
        <is>
          <t>2026-08-30T03:29:32.821189Z</t>
        </is>
      </c>
      <c r="AE12" s="31" t="inlineStr">
        <is>
          <t>Projected total 58.1 pts (Weather adj: +0.0 pts). Total line 51.5 -&gt; P(Over)=0.750, P(Under)=0.250, P(Push)=0.000.</t>
        </is>
      </c>
      <c r="AF12" s="31" t="inlineStr">
        <is>
          <t>College football model; multi-market (moneyline, spread, total).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NC State Wolfpack</t>
        </is>
      </c>
      <c r="AQ12" s="24" t="inlineStr">
        <is>
          <t>NC State Wolfpack</t>
        </is>
      </c>
      <c r="AR12" s="24" t="inlineStr">
        <is>
          <t>NC State Wolfpack</t>
        </is>
      </c>
      <c r="AS12" s="24" t="inlineStr">
        <is>
          <t>Virginia Cavaliers</t>
        </is>
      </c>
      <c r="AT12" s="24" t="inlineStr">
        <is>
          <t>Virginia Cavaliers</t>
        </is>
      </c>
      <c r="AU12" s="24" t="inlineStr">
        <is>
          <t>Virginia Cavaliers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1d168f11d221cd3c</t>
        </is>
      </c>
      <c r="BB12" s="24" t="inlineStr">
        <is>
          <t>cfb_key_number_engine</t>
        </is>
      </c>
      <c r="BC12" s="24" t="inlineStr">
        <is>
          <t>cfb-total-v1</t>
        </is>
      </c>
      <c r="BD12" s="24" t="inlineStr">
        <is>
          <t>1d168f11d221cd3c</t>
        </is>
      </c>
      <c r="BE12" s="24" t="inlineStr">
        <is>
          <t>cfb-v1</t>
        </is>
      </c>
      <c r="BF12" s="24" t="inlineStr">
        <is>
          <t>1</t>
        </is>
      </c>
      <c r="BG12" s="24" t="inlineStr">
        <is>
          <t>1d168f11d221cd3c</t>
        </is>
      </c>
      <c r="BH12" s="24" t="inlineStr">
        <is>
          <t>2026-08-29T16:04:47.550898+00:00</t>
        </is>
      </c>
      <c r="BI12" s="24" t="inlineStr">
        <is>
          <t>["same_event","same_team_same_day","same_league_same_day"]</t>
        </is>
      </c>
      <c r="BJ12" s="25" t="n">
        <v>51.5</v>
      </c>
      <c r="BK12" s="26" t="n">
        <v>100</v>
      </c>
      <c r="BL12" s="27" t="n">
        <v>2</v>
      </c>
      <c r="BM12" s="28" t="n">
        <v>0.5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</t>
        </is>
      </c>
      <c r="DK12" s="24" t="n"/>
      <c r="DL12" s="24" t="n"/>
      <c r="DM12" s="24" t="n"/>
      <c r="DN12" s="24" t="n"/>
      <c r="DO12" s="24" t="n"/>
      <c r="DP12" s="24" t="n"/>
    </row>
    <row r="13" ht="36" customHeight="1">
      <c r="A13" s="24" t="inlineStr">
        <is>
          <t>1e9902aa1d474b76</t>
        </is>
      </c>
      <c r="B13" s="24" t="inlineStr">
        <is>
          <t>2026-08-29T16:04:47.550898Z</t>
        </is>
      </c>
      <c r="C13" s="24" t="inlineStr">
        <is>
          <t>2026-08-29T21:30Z</t>
        </is>
      </c>
      <c r="D13" s="24" t="inlineStr">
        <is>
          <t>401864577</t>
        </is>
      </c>
      <c r="E13" s="24" t="inlineStr">
        <is>
          <t>NCAAF</t>
        </is>
      </c>
      <c r="F13" s="24" t="inlineStr">
        <is>
          <t>Jacksonville State Gamecocks</t>
        </is>
      </c>
      <c r="G13" s="24" t="inlineStr">
        <is>
          <t>North Dakota State Bison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espn_consensus</t>
        </is>
      </c>
      <c r="L13" s="26" t="n">
        <v>100</v>
      </c>
      <c r="M13" s="27" t="n">
        <v>2</v>
      </c>
      <c r="N13" s="28" t="n">
        <v>0.5</v>
      </c>
      <c r="O13" s="28" t="n">
        <v>0.774213</v>
      </c>
      <c r="P13" s="28" t="n">
        <v>0.215</v>
      </c>
      <c r="Q13" s="28" t="n">
        <v>0.274213</v>
      </c>
      <c r="R13" s="26" t="n">
        <v>58</v>
      </c>
      <c r="S13" s="29" t="n">
        <v>1.5</v>
      </c>
      <c r="T13" s="24" t="inlineStr">
        <is>
          <t>college-football-v1</t>
        </is>
      </c>
      <c r="U13" s="24" t="inlineStr">
        <is>
          <t>settled</t>
        </is>
      </c>
      <c r="V13" s="24" t="inlineStr">
        <is>
          <t>loss</t>
        </is>
      </c>
      <c r="W13" s="26" t="n">
        <v>7</v>
      </c>
      <c r="X13" s="26" t="n">
        <v>33</v>
      </c>
      <c r="Y13" s="25" t="n"/>
      <c r="Z13" s="26" t="n"/>
      <c r="AA13" s="28" t="n"/>
      <c r="AB13" s="28" t="n"/>
      <c r="AC13" s="30" t="n">
        <v>-1.5</v>
      </c>
      <c r="AD13" s="24" t="inlineStr">
        <is>
          <t>2026-08-30T03:29:33.383274Z</t>
        </is>
      </c>
      <c r="AE13" s="31" t="inlineStr">
        <is>
          <t>CFB Joint Model (negative_binomial): proj score Jacksonville State Gamecocks 32.1 @ North Dakota State Bison 25.3 (Margin -6.8). Possessions: 12.4, HFA: +2.8 pts.</t>
        </is>
      </c>
      <c r="AF13" s="31" t="inlineStr">
        <is>
          <t>College football model; multi-market (moneyline, spread, total).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4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Jacksonville State Gamecocks</t>
        </is>
      </c>
      <c r="AQ13" s="24" t="inlineStr">
        <is>
          <t>Jacksonville State Gamecocks</t>
        </is>
      </c>
      <c r="AR13" s="24" t="inlineStr">
        <is>
          <t>Jacksonville State Gamecocks</t>
        </is>
      </c>
      <c r="AS13" s="24" t="inlineStr">
        <is>
          <t>North Dakota State Bison</t>
        </is>
      </c>
      <c r="AT13" s="24" t="inlineStr">
        <is>
          <t>North Dakota State Bison</t>
        </is>
      </c>
      <c r="AU13" s="24" t="inlineStr">
        <is>
          <t>North Dakota State Bison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1d168f11d221cd3c</t>
        </is>
      </c>
      <c r="BB13" s="24" t="inlineStr">
        <is>
          <t>cfb_key_number_engine</t>
        </is>
      </c>
      <c r="BC13" s="24" t="inlineStr">
        <is>
          <t>college-football-v1</t>
        </is>
      </c>
      <c r="BD13" s="24" t="inlineStr">
        <is>
          <t>1d168f11d221cd3c</t>
        </is>
      </c>
      <c r="BE13" s="24" t="inlineStr">
        <is>
          <t>cfb-v1</t>
        </is>
      </c>
      <c r="BF13" s="24" t="inlineStr">
        <is>
          <t>1</t>
        </is>
      </c>
      <c r="BG13" s="24" t="inlineStr">
        <is>
          <t>1d168f11d221cd3c</t>
        </is>
      </c>
      <c r="BH13" s="24" t="inlineStr">
        <is>
          <t>2026-08-29T16:04:47.550898+00:00</t>
        </is>
      </c>
      <c r="BI13" s="24" t="inlineStr">
        <is>
          <t>["same_event","same_team_same_day","same_league_same_day"]</t>
        </is>
      </c>
      <c r="BJ13" s="25" t="n"/>
      <c r="BK13" s="26" t="n">
        <v>100</v>
      </c>
      <c r="BL13" s="27" t="n">
        <v>2</v>
      </c>
      <c r="BM13" s="28" t="n">
        <v>0.5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</t>
        </is>
      </c>
      <c r="DK13" s="24" t="n"/>
      <c r="DL13" s="24" t="n"/>
      <c r="DM13" s="24" t="n"/>
      <c r="DN13" s="24" t="n"/>
      <c r="DO13" s="24" t="n"/>
      <c r="DP13" s="24" t="n"/>
    </row>
    <row r="14" ht="36" customHeight="1">
      <c r="A14" s="24" t="inlineStr">
        <is>
          <t>aea038cefe1140a8</t>
        </is>
      </c>
      <c r="B14" s="24" t="inlineStr">
        <is>
          <t>2026-08-29T16:04:47.550898Z</t>
        </is>
      </c>
      <c r="C14" s="24" t="inlineStr">
        <is>
          <t>2026-08-29T21:30Z</t>
        </is>
      </c>
      <c r="D14" s="24" t="inlineStr">
        <is>
          <t>401864577</t>
        </is>
      </c>
      <c r="E14" s="24" t="inlineStr">
        <is>
          <t>NCAAF</t>
        </is>
      </c>
      <c r="F14" s="24" t="inlineStr">
        <is>
          <t>Jacksonville State Gamecocks</t>
        </is>
      </c>
      <c r="G14" s="24" t="inlineStr">
        <is>
          <t>North Dakota State Bison</t>
        </is>
      </c>
      <c r="H14" s="24" t="inlineStr">
        <is>
          <t>spread</t>
        </is>
      </c>
      <c r="I14" s="24" t="inlineStr">
        <is>
          <t>away</t>
        </is>
      </c>
      <c r="J14" s="25" t="n">
        <v>6.5</v>
      </c>
      <c r="K14" s="24" t="inlineStr">
        <is>
          <t>espn_consensus</t>
        </is>
      </c>
      <c r="L14" s="26" t="n">
        <v>100</v>
      </c>
      <c r="M14" s="27" t="n">
        <v>2</v>
      </c>
      <c r="N14" s="28" t="n">
        <v>0.5</v>
      </c>
      <c r="O14" s="28" t="n">
        <v>0.9276</v>
      </c>
      <c r="P14" s="28" t="n">
        <v>0.215</v>
      </c>
      <c r="Q14" s="28" t="n">
        <v>0.4276</v>
      </c>
      <c r="R14" s="26" t="n">
        <v>100</v>
      </c>
      <c r="S14" s="29" t="n">
        <v>2</v>
      </c>
      <c r="T14" s="24" t="inlineStr">
        <is>
          <t>cfb-spread-v1</t>
        </is>
      </c>
      <c r="U14" s="24" t="inlineStr">
        <is>
          <t>settled</t>
        </is>
      </c>
      <c r="V14" s="24" t="inlineStr">
        <is>
          <t>loss</t>
        </is>
      </c>
      <c r="W14" s="26" t="n">
        <v>7</v>
      </c>
      <c r="X14" s="26" t="n">
        <v>33</v>
      </c>
      <c r="Y14" s="25" t="n"/>
      <c r="Z14" s="26" t="n"/>
      <c r="AA14" s="28" t="n"/>
      <c r="AB14" s="28" t="n"/>
      <c r="AC14" s="30" t="n">
        <v>-2</v>
      </c>
      <c r="AD14" s="24" t="inlineStr">
        <is>
          <t>2026-08-30T03:29:33.912744Z</t>
        </is>
      </c>
      <c r="AE14" s="31" t="inlineStr">
        <is>
          <t>Projected home margin -6.8 pts. Spread: Home -6.5 / Away +6.5 -&gt; P(Away cover)=0.928, P(Home cover)=0.072, P(Push)=0.000.</t>
        </is>
      </c>
      <c r="AF14" s="31" t="inlineStr">
        <is>
          <t>College football model; multi-market (moneyline, spread, total).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4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Jacksonville State Gamecocks</t>
        </is>
      </c>
      <c r="AQ14" s="24" t="inlineStr">
        <is>
          <t>Jacksonville State Gamecocks</t>
        </is>
      </c>
      <c r="AR14" s="24" t="inlineStr">
        <is>
          <t>Jacksonville State Gamecocks</t>
        </is>
      </c>
      <c r="AS14" s="24" t="inlineStr">
        <is>
          <t>North Dakota State Bison</t>
        </is>
      </c>
      <c r="AT14" s="24" t="inlineStr">
        <is>
          <t>North Dakota State Bison</t>
        </is>
      </c>
      <c r="AU14" s="24" t="inlineStr">
        <is>
          <t>North Dakota State Bison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1d168f11d221cd3c</t>
        </is>
      </c>
      <c r="BB14" s="24" t="inlineStr">
        <is>
          <t>cfb_key_number_engine</t>
        </is>
      </c>
      <c r="BC14" s="24" t="inlineStr">
        <is>
          <t>cfb-spread-v1</t>
        </is>
      </c>
      <c r="BD14" s="24" t="inlineStr">
        <is>
          <t>1d168f11d221cd3c</t>
        </is>
      </c>
      <c r="BE14" s="24" t="inlineStr">
        <is>
          <t>cfb-v1</t>
        </is>
      </c>
      <c r="BF14" s="24" t="inlineStr">
        <is>
          <t>1</t>
        </is>
      </c>
      <c r="BG14" s="24" t="inlineStr">
        <is>
          <t>1d168f11d221cd3c</t>
        </is>
      </c>
      <c r="BH14" s="24" t="inlineStr">
        <is>
          <t>2026-08-29T16:04:47.550898+00:00</t>
        </is>
      </c>
      <c r="BI14" s="24" t="inlineStr">
        <is>
          <t>["same_event","same_team_same_day","same_league_same_day"]</t>
        </is>
      </c>
      <c r="BJ14" s="25" t="n">
        <v>6.5</v>
      </c>
      <c r="BK14" s="26" t="n">
        <v>100</v>
      </c>
      <c r="BL14" s="27" t="n">
        <v>2</v>
      </c>
      <c r="BM14" s="28" t="n">
        <v>0.5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</t>
        </is>
      </c>
      <c r="DK14" s="24" t="n"/>
      <c r="DL14" s="24" t="n"/>
      <c r="DM14" s="24" t="n"/>
      <c r="DN14" s="24" t="n"/>
      <c r="DO14" s="24" t="n"/>
      <c r="DP14" s="24" t="n"/>
    </row>
    <row r="15" ht="36" customHeight="1">
      <c r="A15" s="24" t="inlineStr">
        <is>
          <t>a3fd0d6da83c4eee</t>
        </is>
      </c>
      <c r="B15" s="24" t="inlineStr">
        <is>
          <t>2026-08-29T16:04:47.550898Z</t>
        </is>
      </c>
      <c r="C15" s="24" t="inlineStr">
        <is>
          <t>2026-08-29T21:30Z</t>
        </is>
      </c>
      <c r="D15" s="24" t="inlineStr">
        <is>
          <t>401864577</t>
        </is>
      </c>
      <c r="E15" s="24" t="inlineStr">
        <is>
          <t>NCAAF</t>
        </is>
      </c>
      <c r="F15" s="24" t="inlineStr">
        <is>
          <t>Jacksonville State Gamecocks</t>
        </is>
      </c>
      <c r="G15" s="24" t="inlineStr">
        <is>
          <t>North Dakota State Bison</t>
        </is>
      </c>
      <c r="H15" s="24" t="inlineStr">
        <is>
          <t>total</t>
        </is>
      </c>
      <c r="I15" s="24" t="inlineStr">
        <is>
          <t>over</t>
        </is>
      </c>
      <c r="J15" s="25" t="n">
        <v>46.5</v>
      </c>
      <c r="K15" s="24" t="inlineStr">
        <is>
          <t>espn_consensus</t>
        </is>
      </c>
      <c r="L15" s="26" t="n">
        <v>100</v>
      </c>
      <c r="M15" s="27" t="n">
        <v>2</v>
      </c>
      <c r="N15" s="28" t="n">
        <v>0.5</v>
      </c>
      <c r="O15" s="28" t="n">
        <v>0.882333</v>
      </c>
      <c r="P15" s="28" t="n">
        <v>0.215</v>
      </c>
      <c r="Q15" s="28" t="n">
        <v>0.382333</v>
      </c>
      <c r="R15" s="26" t="n">
        <v>100</v>
      </c>
      <c r="S15" s="29" t="n">
        <v>2</v>
      </c>
      <c r="T15" s="24" t="inlineStr">
        <is>
          <t>cfb-total-v1</t>
        </is>
      </c>
      <c r="U15" s="24" t="inlineStr">
        <is>
          <t>settled</t>
        </is>
      </c>
      <c r="V15" s="24" t="inlineStr">
        <is>
          <t>loss</t>
        </is>
      </c>
      <c r="W15" s="26" t="n">
        <v>7</v>
      </c>
      <c r="X15" s="26" t="n">
        <v>33</v>
      </c>
      <c r="Y15" s="25" t="n"/>
      <c r="Z15" s="26" t="n"/>
      <c r="AA15" s="28" t="n"/>
      <c r="AB15" s="28" t="n"/>
      <c r="AC15" s="30" t="n">
        <v>-2</v>
      </c>
      <c r="AD15" s="24" t="inlineStr">
        <is>
          <t>2026-08-30T03:29:34.398500Z</t>
        </is>
      </c>
      <c r="AE15" s="31" t="inlineStr">
        <is>
          <t>Projected total 57.3 pts (Weather adj: +0.0 pts). Total line 46.5 -&gt; P(Over)=0.882, P(Under)=0.118, P(Push)=0.000.</t>
        </is>
      </c>
      <c r="AF15" s="31" t="inlineStr">
        <is>
          <t>College football model; multi-market (moneyline, spread, total).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4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Jacksonville State Gamecocks</t>
        </is>
      </c>
      <c r="AQ15" s="24" t="inlineStr">
        <is>
          <t>Jacksonville State Gamecocks</t>
        </is>
      </c>
      <c r="AR15" s="24" t="inlineStr">
        <is>
          <t>Jacksonville State Gamecocks</t>
        </is>
      </c>
      <c r="AS15" s="24" t="inlineStr">
        <is>
          <t>North Dakota State Bison</t>
        </is>
      </c>
      <c r="AT15" s="24" t="inlineStr">
        <is>
          <t>North Dakota State Bison</t>
        </is>
      </c>
      <c r="AU15" s="24" t="inlineStr">
        <is>
          <t>North Dakota State Bison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1d168f11d221cd3c</t>
        </is>
      </c>
      <c r="BB15" s="24" t="inlineStr">
        <is>
          <t>cfb_key_number_engine</t>
        </is>
      </c>
      <c r="BC15" s="24" t="inlineStr">
        <is>
          <t>cfb-total-v1</t>
        </is>
      </c>
      <c r="BD15" s="24" t="inlineStr">
        <is>
          <t>1d168f11d221cd3c</t>
        </is>
      </c>
      <c r="BE15" s="24" t="inlineStr">
        <is>
          <t>cfb-v1</t>
        </is>
      </c>
      <c r="BF15" s="24" t="inlineStr">
        <is>
          <t>1</t>
        </is>
      </c>
      <c r="BG15" s="24" t="inlineStr">
        <is>
          <t>1d168f11d221cd3c</t>
        </is>
      </c>
      <c r="BH15" s="24" t="inlineStr">
        <is>
          <t>2026-08-29T16:04:47.550898+00:00</t>
        </is>
      </c>
      <c r="BI15" s="24" t="inlineStr">
        <is>
          <t>["same_event","same_team_same_day","same_league_same_day"]</t>
        </is>
      </c>
      <c r="BJ15" s="25" t="n">
        <v>46.5</v>
      </c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</t>
        </is>
      </c>
      <c r="DK15" s="24" t="n"/>
      <c r="DL15" s="24" t="n"/>
      <c r="DM15" s="24" t="n"/>
      <c r="DN15" s="24" t="n"/>
      <c r="DO15" s="24" t="n"/>
      <c r="DP15" s="24" t="n"/>
    </row>
    <row r="16" ht="36" customHeight="1">
      <c r="A16" s="24" t="inlineStr">
        <is>
          <t>6baec084dd2446df</t>
        </is>
      </c>
      <c r="B16" s="24" t="inlineStr">
        <is>
          <t>2026-08-29T16:04:47.550898Z</t>
        </is>
      </c>
      <c r="C16" s="24" t="inlineStr">
        <is>
          <t>2026-08-29T22:30Z</t>
        </is>
      </c>
      <c r="D16" s="24" t="inlineStr">
        <is>
          <t>401866408</t>
        </is>
      </c>
      <c r="E16" s="24" t="inlineStr">
        <is>
          <t>NCAAF</t>
        </is>
      </c>
      <c r="F16" s="24" t="inlineStr">
        <is>
          <t>Sacramento State Hornets</t>
        </is>
      </c>
      <c r="G16" s="24" t="inlineStr">
        <is>
          <t>Eastern Michigan Eagles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espn_consensus</t>
        </is>
      </c>
      <c r="L16" s="26" t="n">
        <v>100</v>
      </c>
      <c r="M16" s="27" t="n">
        <v>2</v>
      </c>
      <c r="N16" s="28" t="n">
        <v>0.5</v>
      </c>
      <c r="O16" s="28" t="n">
        <v>0.724011</v>
      </c>
      <c r="P16" s="28" t="n">
        <v>0.18</v>
      </c>
      <c r="Q16" s="28" t="n">
        <v>0.224011</v>
      </c>
      <c r="R16" s="26" t="n">
        <v>54</v>
      </c>
      <c r="S16" s="29" t="n">
        <v>1.25</v>
      </c>
      <c r="T16" s="24" t="inlineStr">
        <is>
          <t>college-football-v1</t>
        </is>
      </c>
      <c r="U16" s="24" t="inlineStr">
        <is>
          <t>settled</t>
        </is>
      </c>
      <c r="V16" s="24" t="inlineStr">
        <is>
          <t>win</t>
        </is>
      </c>
      <c r="W16" s="26" t="n">
        <v>17</v>
      </c>
      <c r="X16" s="26" t="n">
        <v>28</v>
      </c>
      <c r="Y16" s="25" t="n"/>
      <c r="Z16" s="26" t="n"/>
      <c r="AA16" s="28" t="n"/>
      <c r="AB16" s="28" t="n"/>
      <c r="AC16" s="30" t="n">
        <v>1.25</v>
      </c>
      <c r="AD16" s="24" t="inlineStr">
        <is>
          <t>2026-08-30T03:29:34.868239Z</t>
        </is>
      </c>
      <c r="AE16" s="31" t="inlineStr">
        <is>
          <t>CFB Joint Model (negative_binomial): proj score Sacramento State Hornets 26.8 @ Eastern Michigan Eagles 32.3 (Margin +5.5). Possessions: 12.4, HFA: +2.8 pts.</t>
        </is>
      </c>
      <c r="AF16" s="31" t="inlineStr">
        <is>
          <t>College football model; multi-market (moneyline, spread, total).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Sacramento State Hornets</t>
        </is>
      </c>
      <c r="AQ16" s="24" t="inlineStr">
        <is>
          <t>Sacramento State Hornets</t>
        </is>
      </c>
      <c r="AR16" s="24" t="inlineStr">
        <is>
          <t>Sacramento State Hornets</t>
        </is>
      </c>
      <c r="AS16" s="24" t="inlineStr">
        <is>
          <t>Eastern Michigan Eagles</t>
        </is>
      </c>
      <c r="AT16" s="24" t="inlineStr">
        <is>
          <t>Eastern Michigan Eagles</t>
        </is>
      </c>
      <c r="AU16" s="24" t="inlineStr">
        <is>
          <t>Eastern Michigan Eagles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1d168f11d221cd3c</t>
        </is>
      </c>
      <c r="BB16" s="24" t="inlineStr">
        <is>
          <t>cfb_key_number_engine</t>
        </is>
      </c>
      <c r="BC16" s="24" t="inlineStr">
        <is>
          <t>college-football-v1</t>
        </is>
      </c>
      <c r="BD16" s="24" t="inlineStr">
        <is>
          <t>1d168f11d221cd3c</t>
        </is>
      </c>
      <c r="BE16" s="24" t="inlineStr">
        <is>
          <t>cfb-v1</t>
        </is>
      </c>
      <c r="BF16" s="24" t="inlineStr">
        <is>
          <t>1</t>
        </is>
      </c>
      <c r="BG16" s="24" t="inlineStr">
        <is>
          <t>1d168f11d221cd3c</t>
        </is>
      </c>
      <c r="BH16" s="24" t="inlineStr">
        <is>
          <t>2026-08-29T16:04:47.550898+00:00</t>
        </is>
      </c>
      <c r="BI16" s="24" t="inlineStr">
        <is>
          <t>["same_event","same_team_same_day","same_league_same_day"]</t>
        </is>
      </c>
      <c r="BJ16" s="25" t="n"/>
      <c r="BK16" s="26" t="n">
        <v>100</v>
      </c>
      <c r="BL16" s="27" t="n">
        <v>2</v>
      </c>
      <c r="BM16" s="28" t="n">
        <v>0.5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</t>
        </is>
      </c>
      <c r="DK16" s="24" t="n"/>
      <c r="DL16" s="24" t="n"/>
      <c r="DM16" s="24" t="n"/>
      <c r="DN16" s="24" t="n"/>
      <c r="DO16" s="24" t="n"/>
      <c r="DP16" s="24" t="n"/>
    </row>
    <row r="17" ht="36" customHeight="1">
      <c r="A17" s="24" t="inlineStr">
        <is>
          <t>35f75567bf10472e</t>
        </is>
      </c>
      <c r="B17" s="24" t="inlineStr">
        <is>
          <t>2026-08-29T16:04:47.550898Z</t>
        </is>
      </c>
      <c r="C17" s="24" t="inlineStr">
        <is>
          <t>2026-08-29T22:30Z</t>
        </is>
      </c>
      <c r="D17" s="24" t="inlineStr">
        <is>
          <t>401866408</t>
        </is>
      </c>
      <c r="E17" s="24" t="inlineStr">
        <is>
          <t>NCAAF</t>
        </is>
      </c>
      <c r="F17" s="24" t="inlineStr">
        <is>
          <t>Sacramento State Hornets</t>
        </is>
      </c>
      <c r="G17" s="24" t="inlineStr">
        <is>
          <t>Eastern Michigan Eagles</t>
        </is>
      </c>
      <c r="H17" s="24" t="inlineStr">
        <is>
          <t>spread</t>
        </is>
      </c>
      <c r="I17" s="24" t="inlineStr">
        <is>
          <t>away</t>
        </is>
      </c>
      <c r="J17" s="25" t="n">
        <v>8.5</v>
      </c>
      <c r="K17" s="24" t="inlineStr">
        <is>
          <t>espn_consensus</t>
        </is>
      </c>
      <c r="L17" s="26" t="n">
        <v>100</v>
      </c>
      <c r="M17" s="27" t="n">
        <v>2</v>
      </c>
      <c r="N17" s="28" t="n">
        <v>0.5</v>
      </c>
      <c r="O17" s="28" t="n">
        <v>0.6311330000000001</v>
      </c>
      <c r="P17" s="28" t="n">
        <v>0.18</v>
      </c>
      <c r="Q17" s="28" t="n">
        <v>0.131133</v>
      </c>
      <c r="R17" s="26" t="n">
        <v>8</v>
      </c>
      <c r="S17" s="29" t="n">
        <v>1</v>
      </c>
      <c r="T17" s="24" t="inlineStr">
        <is>
          <t>cfb-spread-v1</t>
        </is>
      </c>
      <c r="U17" s="24" t="inlineStr">
        <is>
          <t>settled</t>
        </is>
      </c>
      <c r="V17" s="24" t="inlineStr">
        <is>
          <t>loss</t>
        </is>
      </c>
      <c r="W17" s="26" t="n">
        <v>17</v>
      </c>
      <c r="X17" s="26" t="n">
        <v>28</v>
      </c>
      <c r="Y17" s="25" t="n"/>
      <c r="Z17" s="26" t="n"/>
      <c r="AA17" s="28" t="n"/>
      <c r="AB17" s="28" t="n"/>
      <c r="AC17" s="30" t="n">
        <v>-1</v>
      </c>
      <c r="AD17" s="24" t="inlineStr">
        <is>
          <t>2026-08-30T03:29:35.334849Z</t>
        </is>
      </c>
      <c r="AE17" s="31" t="inlineStr">
        <is>
          <t>Projected home margin +5.5 pts. Spread: Home -8.5 / Away +8.5 -&gt; P(Away cover)=0.631, P(Home cover)=0.369, P(Push)=0.000.</t>
        </is>
      </c>
      <c r="AF17" s="31" t="inlineStr">
        <is>
          <t>College football model; multi-market (moneyline, spread, total).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Sacramento State Hornets</t>
        </is>
      </c>
      <c r="AQ17" s="24" t="inlineStr">
        <is>
          <t>Sacramento State Hornets</t>
        </is>
      </c>
      <c r="AR17" s="24" t="inlineStr">
        <is>
          <t>Sacramento State Hornets</t>
        </is>
      </c>
      <c r="AS17" s="24" t="inlineStr">
        <is>
          <t>Eastern Michigan Eagles</t>
        </is>
      </c>
      <c r="AT17" s="24" t="inlineStr">
        <is>
          <t>Eastern Michigan Eagles</t>
        </is>
      </c>
      <c r="AU17" s="24" t="inlineStr">
        <is>
          <t>Eastern Michigan Eagles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1d168f11d221cd3c</t>
        </is>
      </c>
      <c r="BB17" s="24" t="inlineStr">
        <is>
          <t>cfb_key_number_engine</t>
        </is>
      </c>
      <c r="BC17" s="24" t="inlineStr">
        <is>
          <t>cfb-spread-v1</t>
        </is>
      </c>
      <c r="BD17" s="24" t="inlineStr">
        <is>
          <t>1d168f11d221cd3c</t>
        </is>
      </c>
      <c r="BE17" s="24" t="inlineStr">
        <is>
          <t>cfb-v1</t>
        </is>
      </c>
      <c r="BF17" s="24" t="inlineStr">
        <is>
          <t>1</t>
        </is>
      </c>
      <c r="BG17" s="24" t="inlineStr">
        <is>
          <t>1d168f11d221cd3c</t>
        </is>
      </c>
      <c r="BH17" s="24" t="inlineStr">
        <is>
          <t>2026-08-29T16:04:47.550898+00:00</t>
        </is>
      </c>
      <c r="BI17" s="24" t="inlineStr">
        <is>
          <t>["same_event","same_team_same_day","same_league_same_day"]</t>
        </is>
      </c>
      <c r="BJ17" s="25" t="n">
        <v>8.5</v>
      </c>
      <c r="BK17" s="26" t="n">
        <v>100</v>
      </c>
      <c r="BL17" s="27" t="n">
        <v>2</v>
      </c>
      <c r="BM17" s="28" t="n">
        <v>0.5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</t>
        </is>
      </c>
      <c r="DK17" s="24" t="n"/>
      <c r="DL17" s="24" t="n"/>
      <c r="DM17" s="24" t="n"/>
      <c r="DN17" s="24" t="n"/>
      <c r="DO17" s="24" t="n"/>
      <c r="DP17" s="24" t="n"/>
    </row>
    <row r="18" ht="36" customHeight="1">
      <c r="A18" s="24" t="inlineStr">
        <is>
          <t>2c9c560e577c47d7</t>
        </is>
      </c>
      <c r="B18" s="24" t="inlineStr">
        <is>
          <t>2026-08-29T16:04:47.550898Z</t>
        </is>
      </c>
      <c r="C18" s="24" t="inlineStr">
        <is>
          <t>2026-08-29T22:30Z</t>
        </is>
      </c>
      <c r="D18" s="24" t="inlineStr">
        <is>
          <t>401866408</t>
        </is>
      </c>
      <c r="E18" s="24" t="inlineStr">
        <is>
          <t>NCAAF</t>
        </is>
      </c>
      <c r="F18" s="24" t="inlineStr">
        <is>
          <t>Sacramento State Hornets</t>
        </is>
      </c>
      <c r="G18" s="24" t="inlineStr">
        <is>
          <t>Eastern Michigan Eagles</t>
        </is>
      </c>
      <c r="H18" s="24" t="inlineStr">
        <is>
          <t>total</t>
        </is>
      </c>
      <c r="I18" s="24" t="inlineStr">
        <is>
          <t>over</t>
        </is>
      </c>
      <c r="J18" s="25" t="n">
        <v>53.5</v>
      </c>
      <c r="K18" s="24" t="inlineStr">
        <is>
          <t>espn_consensus</t>
        </is>
      </c>
      <c r="L18" s="26" t="n">
        <v>100</v>
      </c>
      <c r="M18" s="27" t="n">
        <v>2</v>
      </c>
      <c r="N18" s="28" t="n">
        <v>0.5</v>
      </c>
      <c r="O18" s="28" t="n">
        <v>0.724867</v>
      </c>
      <c r="P18" s="28" t="n">
        <v>0.18</v>
      </c>
      <c r="Q18" s="28" t="n">
        <v>0.224867</v>
      </c>
      <c r="R18" s="26" t="n">
        <v>54</v>
      </c>
      <c r="S18" s="29" t="n">
        <v>1.25</v>
      </c>
      <c r="T18" s="24" t="inlineStr">
        <is>
          <t>cfb-total-v1</t>
        </is>
      </c>
      <c r="U18" s="24" t="inlineStr">
        <is>
          <t>settled</t>
        </is>
      </c>
      <c r="V18" s="24" t="inlineStr">
        <is>
          <t>loss</t>
        </is>
      </c>
      <c r="W18" s="26" t="n">
        <v>17</v>
      </c>
      <c r="X18" s="26" t="n">
        <v>28</v>
      </c>
      <c r="Y18" s="25" t="n"/>
      <c r="Z18" s="26" t="n"/>
      <c r="AA18" s="28" t="n"/>
      <c r="AB18" s="28" t="n"/>
      <c r="AC18" s="30" t="n">
        <v>-1.25</v>
      </c>
      <c r="AD18" s="24" t="inlineStr">
        <is>
          <t>2026-08-30T03:29:35.803894Z</t>
        </is>
      </c>
      <c r="AE18" s="31" t="inlineStr">
        <is>
          <t>Projected total 59.0 pts (Weather adj: +0.0 pts). Total line 53.5 -&gt; P(Over)=0.725, P(Under)=0.275, P(Push)=0.000.</t>
        </is>
      </c>
      <c r="AF18" s="31" t="inlineStr">
        <is>
          <t>College football model; multi-market (moneyline, spread, total).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Sacramento State Hornets</t>
        </is>
      </c>
      <c r="AQ18" s="24" t="inlineStr">
        <is>
          <t>Sacramento State Hornets</t>
        </is>
      </c>
      <c r="AR18" s="24" t="inlineStr">
        <is>
          <t>Sacramento State Hornets</t>
        </is>
      </c>
      <c r="AS18" s="24" t="inlineStr">
        <is>
          <t>Eastern Michigan Eagles</t>
        </is>
      </c>
      <c r="AT18" s="24" t="inlineStr">
        <is>
          <t>Eastern Michigan Eagles</t>
        </is>
      </c>
      <c r="AU18" s="24" t="inlineStr">
        <is>
          <t>Eastern Michigan Eagles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1d168f11d221cd3c</t>
        </is>
      </c>
      <c r="BB18" s="24" t="inlineStr">
        <is>
          <t>cfb_key_number_engine</t>
        </is>
      </c>
      <c r="BC18" s="24" t="inlineStr">
        <is>
          <t>cfb-total-v1</t>
        </is>
      </c>
      <c r="BD18" s="24" t="inlineStr">
        <is>
          <t>1d168f11d221cd3c</t>
        </is>
      </c>
      <c r="BE18" s="24" t="inlineStr">
        <is>
          <t>cfb-v1</t>
        </is>
      </c>
      <c r="BF18" s="24" t="inlineStr">
        <is>
          <t>1</t>
        </is>
      </c>
      <c r="BG18" s="24" t="inlineStr">
        <is>
          <t>1d168f11d221cd3c</t>
        </is>
      </c>
      <c r="BH18" s="24" t="inlineStr">
        <is>
          <t>2026-08-29T16:04:47.550898+00:00</t>
        </is>
      </c>
      <c r="BI18" s="24" t="inlineStr">
        <is>
          <t>["same_event","same_team_same_day","same_league_same_day"]</t>
        </is>
      </c>
      <c r="BJ18" s="25" t="n">
        <v>53.5</v>
      </c>
      <c r="BK18" s="26" t="n">
        <v>100</v>
      </c>
      <c r="BL18" s="27" t="n">
        <v>2</v>
      </c>
      <c r="BM18" s="28" t="n">
        <v>0.5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</t>
        </is>
      </c>
      <c r="DK18" s="24" t="n"/>
      <c r="DL18" s="24" t="n"/>
      <c r="DM18" s="24" t="n"/>
      <c r="DN18" s="24" t="n"/>
      <c r="DO18" s="24" t="n"/>
      <c r="DP18" s="24" t="n"/>
    </row>
    <row r="19" ht="36" customHeight="1">
      <c r="A19" s="24" t="inlineStr">
        <is>
          <t>168367adc7004e74</t>
        </is>
      </c>
      <c r="B19" s="24" t="inlineStr">
        <is>
          <t>2026-08-29T16:04:47.550898Z</t>
        </is>
      </c>
      <c r="C19" s="24" t="inlineStr">
        <is>
          <t>2026-08-29T23:00Z</t>
        </is>
      </c>
      <c r="D19" s="24" t="inlineStr">
        <is>
          <t>401858201</t>
        </is>
      </c>
      <c r="E19" s="24" t="inlineStr">
        <is>
          <t>NCAAF</t>
        </is>
      </c>
      <c r="F19" s="24" t="inlineStr">
        <is>
          <t>Hawai'i Rainbow Warriors</t>
        </is>
      </c>
      <c r="G19" s="24" t="inlineStr">
        <is>
          <t>Stanford Cardinal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espn_consensus</t>
        </is>
      </c>
      <c r="L19" s="26" t="n">
        <v>100</v>
      </c>
      <c r="M19" s="27" t="n">
        <v>2</v>
      </c>
      <c r="N19" s="28" t="n">
        <v>0.5</v>
      </c>
      <c r="O19" s="28" t="n">
        <v>0.911523</v>
      </c>
      <c r="P19" s="28" t="n">
        <v>0.18</v>
      </c>
      <c r="Q19" s="28" t="n">
        <v>0.411523</v>
      </c>
      <c r="R19" s="26" t="n">
        <v>100</v>
      </c>
      <c r="S19" s="29" t="n">
        <v>2</v>
      </c>
      <c r="T19" s="24" t="inlineStr">
        <is>
          <t>college-football-v1</t>
        </is>
      </c>
      <c r="U19" s="24" t="inlineStr">
        <is>
          <t>settled</t>
        </is>
      </c>
      <c r="V19" s="24" t="inlineStr">
        <is>
          <t>win</t>
        </is>
      </c>
      <c r="W19" s="26" t="n">
        <v>27</v>
      </c>
      <c r="X19" s="26" t="n">
        <v>37</v>
      </c>
      <c r="Y19" s="25" t="n"/>
      <c r="Z19" s="26" t="n"/>
      <c r="AA19" s="28" t="n"/>
      <c r="AB19" s="28" t="n"/>
      <c r="AC19" s="30" t="n">
        <v>2</v>
      </c>
      <c r="AD19" s="24" t="inlineStr">
        <is>
          <t>2026-08-30T03:29:36.279090Z</t>
        </is>
      </c>
      <c r="AE19" s="31" t="inlineStr">
        <is>
          <t>CFB Joint Model (negative_binomial): proj score Hawai'i Rainbow Warriors 22.9 @ Stanford Cardinal 35.4 (Margin +12.5). Possessions: 12.4, HFA: +2.8 pts.</t>
        </is>
      </c>
      <c r="AF19" s="31" t="inlineStr">
        <is>
          <t>College football model; multi-market (moneyline, spread, total).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Hawai'i Rainbow Warriors</t>
        </is>
      </c>
      <c r="AQ19" s="24" t="inlineStr">
        <is>
          <t>Hawai'i Rainbow Warriors</t>
        </is>
      </c>
      <c r="AR19" s="24" t="inlineStr">
        <is>
          <t>Hawai'i Rainbow Warriors</t>
        </is>
      </c>
      <c r="AS19" s="24" t="inlineStr">
        <is>
          <t>Stanford Cardinal</t>
        </is>
      </c>
      <c r="AT19" s="24" t="inlineStr">
        <is>
          <t>Stanford Cardinal</t>
        </is>
      </c>
      <c r="AU19" s="24" t="inlineStr">
        <is>
          <t>Stanford Cardinal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1d168f11d221cd3c</t>
        </is>
      </c>
      <c r="BB19" s="24" t="inlineStr">
        <is>
          <t>cfb_key_number_engine</t>
        </is>
      </c>
      <c r="BC19" s="24" t="inlineStr">
        <is>
          <t>college-football-v1</t>
        </is>
      </c>
      <c r="BD19" s="24" t="inlineStr">
        <is>
          <t>1d168f11d221cd3c</t>
        </is>
      </c>
      <c r="BE19" s="24" t="inlineStr">
        <is>
          <t>cfb-v1</t>
        </is>
      </c>
      <c r="BF19" s="24" t="inlineStr">
        <is>
          <t>1</t>
        </is>
      </c>
      <c r="BG19" s="24" t="inlineStr">
        <is>
          <t>1d168f11d221cd3c</t>
        </is>
      </c>
      <c r="BH19" s="24" t="inlineStr">
        <is>
          <t>2026-08-29T16:04:47.550898+00:00</t>
        </is>
      </c>
      <c r="BI19" s="24" t="inlineStr">
        <is>
          <t>["same_event","same_team_same_day","same_league_same_day"]</t>
        </is>
      </c>
      <c r="BJ19" s="25" t="n"/>
      <c r="BK19" s="26" t="n">
        <v>100</v>
      </c>
      <c r="BL19" s="27" t="n">
        <v>2</v>
      </c>
      <c r="BM19" s="28" t="n">
        <v>0.5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</t>
        </is>
      </c>
      <c r="DK19" s="24" t="n"/>
      <c r="DL19" s="24" t="n"/>
      <c r="DM19" s="24" t="n"/>
      <c r="DN19" s="24" t="n"/>
      <c r="DO19" s="24" t="n"/>
      <c r="DP19" s="24" t="n"/>
    </row>
    <row r="20" ht="36" customHeight="1">
      <c r="A20" s="24" t="inlineStr">
        <is>
          <t>3d8a984b6f2b4b1b</t>
        </is>
      </c>
      <c r="B20" s="24" t="inlineStr">
        <is>
          <t>2026-08-29T16:04:47.550898Z</t>
        </is>
      </c>
      <c r="C20" s="24" t="inlineStr">
        <is>
          <t>2026-08-29T23:00Z</t>
        </is>
      </c>
      <c r="D20" s="24" t="inlineStr">
        <is>
          <t>401858201</t>
        </is>
      </c>
      <c r="E20" s="24" t="inlineStr">
        <is>
          <t>NCAAF</t>
        </is>
      </c>
      <c r="F20" s="24" t="inlineStr">
        <is>
          <t>Hawai'i Rainbow Warriors</t>
        </is>
      </c>
      <c r="G20" s="24" t="inlineStr">
        <is>
          <t>Stanford Cardinal</t>
        </is>
      </c>
      <c r="H20" s="24" t="inlineStr">
        <is>
          <t>spread</t>
        </is>
      </c>
      <c r="I20" s="24" t="inlineStr">
        <is>
          <t>home</t>
        </is>
      </c>
      <c r="J20" s="25" t="n">
        <v>-4</v>
      </c>
      <c r="K20" s="24" t="inlineStr">
        <is>
          <t>espn_consensus</t>
        </is>
      </c>
      <c r="L20" s="26" t="n">
        <v>100</v>
      </c>
      <c r="M20" s="27" t="n">
        <v>2</v>
      </c>
      <c r="N20" s="28" t="n">
        <v>0.5</v>
      </c>
      <c r="O20" s="28" t="n">
        <v>0.8070000000000001</v>
      </c>
      <c r="P20" s="28" t="n">
        <v>0.18</v>
      </c>
      <c r="Q20" s="28" t="n">
        <v>0.307</v>
      </c>
      <c r="R20" s="26" t="n">
        <v>96</v>
      </c>
      <c r="S20" s="29" t="n">
        <v>1.75</v>
      </c>
      <c r="T20" s="24" t="inlineStr">
        <is>
          <t>cfb-spread-v1</t>
        </is>
      </c>
      <c r="U20" s="24" t="inlineStr">
        <is>
          <t>settled</t>
        </is>
      </c>
      <c r="V20" s="24" t="inlineStr">
        <is>
          <t>win</t>
        </is>
      </c>
      <c r="W20" s="26" t="n">
        <v>27</v>
      </c>
      <c r="X20" s="26" t="n">
        <v>37</v>
      </c>
      <c r="Y20" s="25" t="n"/>
      <c r="Z20" s="26" t="n"/>
      <c r="AA20" s="28" t="n"/>
      <c r="AB20" s="28" t="n"/>
      <c r="AC20" s="30" t="n">
        <v>1.75</v>
      </c>
      <c r="AD20" s="24" t="inlineStr">
        <is>
          <t>2026-08-30T03:29:36.744512Z</t>
        </is>
      </c>
      <c r="AE20" s="31" t="inlineStr">
        <is>
          <t>Projected home margin +12.5 pts. Spread: Home -4.0 / Away +4.0 -&gt; P(Away cover)=0.166, P(Home cover)=0.807, P(Push)=0.027.</t>
        </is>
      </c>
      <c r="AF20" s="31" t="inlineStr">
        <is>
          <t>College football model; multi-market (moneyline, spread, total).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Hawai'i Rainbow Warriors</t>
        </is>
      </c>
      <c r="AQ20" s="24" t="inlineStr">
        <is>
          <t>Hawai'i Rainbow Warriors</t>
        </is>
      </c>
      <c r="AR20" s="24" t="inlineStr">
        <is>
          <t>Hawai'i Rainbow Warriors</t>
        </is>
      </c>
      <c r="AS20" s="24" t="inlineStr">
        <is>
          <t>Stanford Cardinal</t>
        </is>
      </c>
      <c r="AT20" s="24" t="inlineStr">
        <is>
          <t>Stanford Cardinal</t>
        </is>
      </c>
      <c r="AU20" s="24" t="inlineStr">
        <is>
          <t>Stanford Cardinal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1d168f11d221cd3c</t>
        </is>
      </c>
      <c r="BB20" s="24" t="inlineStr">
        <is>
          <t>cfb_key_number_engine</t>
        </is>
      </c>
      <c r="BC20" s="24" t="inlineStr">
        <is>
          <t>cfb-spread-v1</t>
        </is>
      </c>
      <c r="BD20" s="24" t="inlineStr">
        <is>
          <t>1d168f11d221cd3c</t>
        </is>
      </c>
      <c r="BE20" s="24" t="inlineStr">
        <is>
          <t>cfb-v1</t>
        </is>
      </c>
      <c r="BF20" s="24" t="inlineStr">
        <is>
          <t>1</t>
        </is>
      </c>
      <c r="BG20" s="24" t="inlineStr">
        <is>
          <t>1d168f11d221cd3c</t>
        </is>
      </c>
      <c r="BH20" s="24" t="inlineStr">
        <is>
          <t>2026-08-29T16:04:47.550898+00:00</t>
        </is>
      </c>
      <c r="BI20" s="24" t="inlineStr">
        <is>
          <t>["same_event","same_team_same_day","same_league_same_day"]</t>
        </is>
      </c>
      <c r="BJ20" s="25" t="n">
        <v>-4</v>
      </c>
      <c r="BK20" s="26" t="n">
        <v>100</v>
      </c>
      <c r="BL20" s="27" t="n">
        <v>2</v>
      </c>
      <c r="BM20" s="28" t="n">
        <v>0.5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</t>
        </is>
      </c>
      <c r="DK20" s="24" t="n"/>
      <c r="DL20" s="24" t="n"/>
      <c r="DM20" s="24" t="n"/>
      <c r="DN20" s="24" t="n"/>
      <c r="DO20" s="24" t="n"/>
      <c r="DP20" s="24" t="n"/>
    </row>
    <row r="21" ht="36" customHeight="1">
      <c r="A21" s="24" t="inlineStr">
        <is>
          <t>3d64dbbd304248d1</t>
        </is>
      </c>
      <c r="B21" s="24" t="inlineStr">
        <is>
          <t>2026-08-29T16:04:47.550898Z</t>
        </is>
      </c>
      <c r="C21" s="24" t="inlineStr">
        <is>
          <t>2026-08-29T23:00Z</t>
        </is>
      </c>
      <c r="D21" s="24" t="inlineStr">
        <is>
          <t>401858201</t>
        </is>
      </c>
      <c r="E21" s="24" t="inlineStr">
        <is>
          <t>NCAAF</t>
        </is>
      </c>
      <c r="F21" s="24" t="inlineStr">
        <is>
          <t>Hawai'i Rainbow Warriors</t>
        </is>
      </c>
      <c r="G21" s="24" t="inlineStr">
        <is>
          <t>Stanford Cardinal</t>
        </is>
      </c>
      <c r="H21" s="24" t="inlineStr">
        <is>
          <t>total</t>
        </is>
      </c>
      <c r="I21" s="24" t="inlineStr">
        <is>
          <t>over</t>
        </is>
      </c>
      <c r="J21" s="25" t="n">
        <v>48.5</v>
      </c>
      <c r="K21" s="24" t="inlineStr">
        <is>
          <t>espn_consensus</t>
        </is>
      </c>
      <c r="L21" s="26" t="n">
        <v>100</v>
      </c>
      <c r="M21" s="27" t="n">
        <v>2</v>
      </c>
      <c r="N21" s="28" t="n">
        <v>0.5</v>
      </c>
      <c r="O21" s="28" t="n">
        <v>0.858067</v>
      </c>
      <c r="P21" s="28" t="n">
        <v>0.18</v>
      </c>
      <c r="Q21" s="28" t="n">
        <v>0.358067</v>
      </c>
      <c r="R21" s="26" t="n">
        <v>100</v>
      </c>
      <c r="S21" s="29" t="n">
        <v>2</v>
      </c>
      <c r="T21" s="24" t="inlineStr">
        <is>
          <t>cfb-total-v1</t>
        </is>
      </c>
      <c r="U21" s="24" t="inlineStr">
        <is>
          <t>settled</t>
        </is>
      </c>
      <c r="V21" s="24" t="inlineStr">
        <is>
          <t>win</t>
        </is>
      </c>
      <c r="W21" s="26" t="n">
        <v>27</v>
      </c>
      <c r="X21" s="26" t="n">
        <v>37</v>
      </c>
      <c r="Y21" s="25" t="n"/>
      <c r="Z21" s="26" t="n"/>
      <c r="AA21" s="28" t="n"/>
      <c r="AB21" s="28" t="n"/>
      <c r="AC21" s="30" t="n">
        <v>2</v>
      </c>
      <c r="AD21" s="24" t="inlineStr">
        <is>
          <t>2026-08-30T03:29:37.209838Z</t>
        </is>
      </c>
      <c r="AE21" s="31" t="inlineStr">
        <is>
          <t>Projected total 58.3 pts (Weather adj: +0.0 pts). Total line 48.5 -&gt; P(Over)=0.858, P(Under)=0.142, P(Push)=0.000.</t>
        </is>
      </c>
      <c r="AF21" s="31" t="inlineStr">
        <is>
          <t>College football model; multi-market (moneyline, spread, total).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4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Hawai'i Rainbow Warriors</t>
        </is>
      </c>
      <c r="AQ21" s="24" t="inlineStr">
        <is>
          <t>Hawai'i Rainbow Warriors</t>
        </is>
      </c>
      <c r="AR21" s="24" t="inlineStr">
        <is>
          <t>Hawai'i Rainbow Warriors</t>
        </is>
      </c>
      <c r="AS21" s="24" t="inlineStr">
        <is>
          <t>Stanford Cardinal</t>
        </is>
      </c>
      <c r="AT21" s="24" t="inlineStr">
        <is>
          <t>Stanford Cardinal</t>
        </is>
      </c>
      <c r="AU21" s="24" t="inlineStr">
        <is>
          <t>Stanford Cardinal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1d168f11d221cd3c</t>
        </is>
      </c>
      <c r="BB21" s="24" t="inlineStr">
        <is>
          <t>cfb_key_number_engine</t>
        </is>
      </c>
      <c r="BC21" s="24" t="inlineStr">
        <is>
          <t>cfb-total-v1</t>
        </is>
      </c>
      <c r="BD21" s="24" t="inlineStr">
        <is>
          <t>1d168f11d221cd3c</t>
        </is>
      </c>
      <c r="BE21" s="24" t="inlineStr">
        <is>
          <t>cfb-v1</t>
        </is>
      </c>
      <c r="BF21" s="24" t="inlineStr">
        <is>
          <t>1</t>
        </is>
      </c>
      <c r="BG21" s="24" t="inlineStr">
        <is>
          <t>1d168f11d221cd3c</t>
        </is>
      </c>
      <c r="BH21" s="24" t="inlineStr">
        <is>
          <t>2026-08-29T16:04:47.550898+00:00</t>
        </is>
      </c>
      <c r="BI21" s="24" t="inlineStr">
        <is>
          <t>["same_event","same_team_same_day","same_league_same_day"]</t>
        </is>
      </c>
      <c r="BJ21" s="25" t="n">
        <v>48.5</v>
      </c>
      <c r="BK21" s="26" t="n">
        <v>100</v>
      </c>
      <c r="BL21" s="27" t="n">
        <v>2</v>
      </c>
      <c r="BM21" s="28" t="n">
        <v>0.5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</t>
        </is>
      </c>
      <c r="DK21" s="24" t="n"/>
      <c r="DL21" s="24" t="n"/>
      <c r="DM21" s="24" t="n"/>
      <c r="DN21" s="24" t="n"/>
      <c r="DO21" s="24" t="n"/>
      <c r="DP21" s="24" t="n"/>
    </row>
    <row r="22" ht="36" customHeight="1">
      <c r="A22" s="24" t="inlineStr">
        <is>
          <t>44bd72e2b35a4d2e</t>
        </is>
      </c>
      <c r="B22" s="24" t="inlineStr">
        <is>
          <t>2026-08-29T16:04:47.550898Z</t>
        </is>
      </c>
      <c r="C22" s="24" t="inlineStr">
        <is>
          <t>2026-08-29T23:00Z</t>
        </is>
      </c>
      <c r="D22" s="24" t="inlineStr">
        <is>
          <t>401864570</t>
        </is>
      </c>
      <c r="E22" s="24" t="inlineStr">
        <is>
          <t>NCAAF</t>
        </is>
      </c>
      <c r="F22" s="24" t="inlineStr">
        <is>
          <t>New Mexico State Aggies</t>
        </is>
      </c>
      <c r="G22" s="24" t="inlineStr">
        <is>
          <t>Florida State Seminoles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espn_consensus</t>
        </is>
      </c>
      <c r="L22" s="26" t="n">
        <v>100</v>
      </c>
      <c r="M22" s="27" t="n">
        <v>2</v>
      </c>
      <c r="N22" s="28" t="n">
        <v>0.5</v>
      </c>
      <c r="O22" s="28" t="n">
        <v>0.938717</v>
      </c>
      <c r="P22" s="28" t="n">
        <v>0.06</v>
      </c>
      <c r="Q22" s="28" t="n">
        <v>0.438717</v>
      </c>
      <c r="R22" s="26" t="n">
        <v>100</v>
      </c>
      <c r="S22" s="29" t="n">
        <v>2</v>
      </c>
      <c r="T22" s="24" t="inlineStr">
        <is>
          <t>college-football-v1</t>
        </is>
      </c>
      <c r="U22" s="24" t="inlineStr">
        <is>
          <t>settled</t>
        </is>
      </c>
      <c r="V22" s="24" t="inlineStr">
        <is>
          <t>win</t>
        </is>
      </c>
      <c r="W22" s="26" t="n">
        <v>17</v>
      </c>
      <c r="X22" s="26" t="n">
        <v>34</v>
      </c>
      <c r="Y22" s="25" t="n"/>
      <c r="Z22" s="26" t="n"/>
      <c r="AA22" s="28" t="n"/>
      <c r="AB22" s="28" t="n"/>
      <c r="AC22" s="30" t="n">
        <v>2</v>
      </c>
      <c r="AD22" s="24" t="inlineStr">
        <is>
          <t>2026-08-30T03:29:37.680574Z</t>
        </is>
      </c>
      <c r="AE22" s="31" t="inlineStr">
        <is>
          <t>CFB Joint Model (negative_binomial): proj score New Mexico State Aggies 21.2 @ Florida State Seminoles 35.2 (Margin +14.0). Possessions: 12.4, HFA: +2.8 pts.</t>
        </is>
      </c>
      <c r="AF22" s="31" t="inlineStr">
        <is>
          <t>College football model; multi-market (moneyline, spread, total).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New Mexico State Aggies</t>
        </is>
      </c>
      <c r="AQ22" s="24" t="inlineStr">
        <is>
          <t>New Mexico State Aggies</t>
        </is>
      </c>
      <c r="AR22" s="24" t="inlineStr">
        <is>
          <t>New Mexico State Aggies</t>
        </is>
      </c>
      <c r="AS22" s="24" t="inlineStr">
        <is>
          <t>Florida State Seminoles</t>
        </is>
      </c>
      <c r="AT22" s="24" t="inlineStr">
        <is>
          <t>Florida State Seminoles</t>
        </is>
      </c>
      <c r="AU22" s="24" t="inlineStr">
        <is>
          <t>Florida State Seminoles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1d168f11d221cd3c</t>
        </is>
      </c>
      <c r="BB22" s="24" t="inlineStr">
        <is>
          <t>cfb_key_number_engine</t>
        </is>
      </c>
      <c r="BC22" s="24" t="inlineStr">
        <is>
          <t>college-football-v1</t>
        </is>
      </c>
      <c r="BD22" s="24" t="inlineStr">
        <is>
          <t>1d168f11d221cd3c</t>
        </is>
      </c>
      <c r="BE22" s="24" t="inlineStr">
        <is>
          <t>cfb-v1</t>
        </is>
      </c>
      <c r="BF22" s="24" t="inlineStr">
        <is>
          <t>1</t>
        </is>
      </c>
      <c r="BG22" s="24" t="inlineStr">
        <is>
          <t>1d168f11d221cd3c</t>
        </is>
      </c>
      <c r="BH22" s="24" t="inlineStr">
        <is>
          <t>2026-08-29T16:04:47.550898+00:00</t>
        </is>
      </c>
      <c r="BI22" s="24" t="inlineStr">
        <is>
          <t>["same_event","same_team_same_day","same_league_same_day"]</t>
        </is>
      </c>
      <c r="BJ22" s="25" t="n"/>
      <c r="BK22" s="26" t="n">
        <v>100</v>
      </c>
      <c r="BL22" s="27" t="n">
        <v>2</v>
      </c>
      <c r="BM22" s="28" t="n">
        <v>0.5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</t>
        </is>
      </c>
      <c r="DK22" s="24" t="n"/>
      <c r="DL22" s="24" t="n"/>
      <c r="DM22" s="24" t="n"/>
      <c r="DN22" s="24" t="n"/>
      <c r="DO22" s="24" t="n"/>
      <c r="DP22" s="24" t="n"/>
    </row>
    <row r="23" ht="36" customHeight="1">
      <c r="A23" s="24" t="inlineStr">
        <is>
          <t>7d336336dc224676</t>
        </is>
      </c>
      <c r="B23" s="24" t="inlineStr">
        <is>
          <t>2026-08-29T16:04:47.550898Z</t>
        </is>
      </c>
      <c r="C23" s="24" t="inlineStr">
        <is>
          <t>2026-08-29T23:00Z</t>
        </is>
      </c>
      <c r="D23" s="24" t="inlineStr">
        <is>
          <t>401864570</t>
        </is>
      </c>
      <c r="E23" s="24" t="inlineStr">
        <is>
          <t>NCAAF</t>
        </is>
      </c>
      <c r="F23" s="24" t="inlineStr">
        <is>
          <t>New Mexico State Aggies</t>
        </is>
      </c>
      <c r="G23" s="24" t="inlineStr">
        <is>
          <t>Florida State Seminoles</t>
        </is>
      </c>
      <c r="H23" s="24" t="inlineStr">
        <is>
          <t>spread</t>
        </is>
      </c>
      <c r="I23" s="24" t="inlineStr">
        <is>
          <t>away</t>
        </is>
      </c>
      <c r="J23" s="25" t="n">
        <v>31.5</v>
      </c>
      <c r="K23" s="24" t="inlineStr">
        <is>
          <t>espn_consensus</t>
        </is>
      </c>
      <c r="L23" s="26" t="n">
        <v>100</v>
      </c>
      <c r="M23" s="27" t="n">
        <v>2</v>
      </c>
      <c r="N23" s="28" t="n">
        <v>0.5</v>
      </c>
      <c r="O23" s="28" t="n">
        <v>0.974267</v>
      </c>
      <c r="P23" s="28" t="n">
        <v>0.06</v>
      </c>
      <c r="Q23" s="28" t="n">
        <v>0.474267</v>
      </c>
      <c r="R23" s="26" t="n">
        <v>100</v>
      </c>
      <c r="S23" s="29" t="n">
        <v>2</v>
      </c>
      <c r="T23" s="24" t="inlineStr">
        <is>
          <t>cfb-spread-v1</t>
        </is>
      </c>
      <c r="U23" s="24" t="inlineStr">
        <is>
          <t>settled</t>
        </is>
      </c>
      <c r="V23" s="24" t="inlineStr">
        <is>
          <t>win</t>
        </is>
      </c>
      <c r="W23" s="26" t="n">
        <v>17</v>
      </c>
      <c r="X23" s="26" t="n">
        <v>34</v>
      </c>
      <c r="Y23" s="25" t="n"/>
      <c r="Z23" s="26" t="n"/>
      <c r="AA23" s="28" t="n"/>
      <c r="AB23" s="28" t="n"/>
      <c r="AC23" s="30" t="n">
        <v>2</v>
      </c>
      <c r="AD23" s="24" t="inlineStr">
        <is>
          <t>2026-08-30T03:29:38.148181Z</t>
        </is>
      </c>
      <c r="AE23" s="31" t="inlineStr">
        <is>
          <t>Projected home margin +14.0 pts. Spread: Home -31.5 / Away +31.5 -&gt; P(Away cover)=0.974, P(Home cover)=0.026, P(Push)=0.000.</t>
        </is>
      </c>
      <c r="AF23" s="31" t="inlineStr">
        <is>
          <t>College football model; multi-market (moneyline, spread, total).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New Mexico State Aggies</t>
        </is>
      </c>
      <c r="AQ23" s="24" t="inlineStr">
        <is>
          <t>New Mexico State Aggies</t>
        </is>
      </c>
      <c r="AR23" s="24" t="inlineStr">
        <is>
          <t>New Mexico State Aggies</t>
        </is>
      </c>
      <c r="AS23" s="24" t="inlineStr">
        <is>
          <t>Florida State Seminoles</t>
        </is>
      </c>
      <c r="AT23" s="24" t="inlineStr">
        <is>
          <t>Florida State Seminoles</t>
        </is>
      </c>
      <c r="AU23" s="24" t="inlineStr">
        <is>
          <t>Florida State Seminoles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1d168f11d221cd3c</t>
        </is>
      </c>
      <c r="BB23" s="24" t="inlineStr">
        <is>
          <t>cfb_key_number_engine</t>
        </is>
      </c>
      <c r="BC23" s="24" t="inlineStr">
        <is>
          <t>cfb-spread-v1</t>
        </is>
      </c>
      <c r="BD23" s="24" t="inlineStr">
        <is>
          <t>1d168f11d221cd3c</t>
        </is>
      </c>
      <c r="BE23" s="24" t="inlineStr">
        <is>
          <t>cfb-v1</t>
        </is>
      </c>
      <c r="BF23" s="24" t="inlineStr">
        <is>
          <t>1</t>
        </is>
      </c>
      <c r="BG23" s="24" t="inlineStr">
        <is>
          <t>1d168f11d221cd3c</t>
        </is>
      </c>
      <c r="BH23" s="24" t="inlineStr">
        <is>
          <t>2026-08-29T16:04:47.550898+00:00</t>
        </is>
      </c>
      <c r="BI23" s="24" t="inlineStr">
        <is>
          <t>["same_event","same_team_same_day","same_league_same_day"]</t>
        </is>
      </c>
      <c r="BJ23" s="25" t="n">
        <v>31.5</v>
      </c>
      <c r="BK23" s="26" t="n">
        <v>100</v>
      </c>
      <c r="BL23" s="27" t="n">
        <v>2</v>
      </c>
      <c r="BM23" s="28" t="n">
        <v>0.5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</t>
        </is>
      </c>
      <c r="DK23" s="24" t="n"/>
      <c r="DL23" s="24" t="n"/>
      <c r="DM23" s="24" t="n"/>
      <c r="DN23" s="24" t="n"/>
      <c r="DO23" s="24" t="n"/>
      <c r="DP23" s="24" t="n"/>
    </row>
    <row r="24" ht="36" customHeight="1">
      <c r="A24" s="24" t="inlineStr">
        <is>
          <t>b3ad75beb0d94f4a</t>
        </is>
      </c>
      <c r="B24" s="24" t="inlineStr">
        <is>
          <t>2026-08-29T16:04:47.550898Z</t>
        </is>
      </c>
      <c r="C24" s="24" t="inlineStr">
        <is>
          <t>2026-08-29T23:00Z</t>
        </is>
      </c>
      <c r="D24" s="24" t="inlineStr">
        <is>
          <t>401864570</t>
        </is>
      </c>
      <c r="E24" s="24" t="inlineStr">
        <is>
          <t>NCAAF</t>
        </is>
      </c>
      <c r="F24" s="24" t="inlineStr">
        <is>
          <t>New Mexico State Aggies</t>
        </is>
      </c>
      <c r="G24" s="24" t="inlineStr">
        <is>
          <t>Florida State Seminoles</t>
        </is>
      </c>
      <c r="H24" s="24" t="inlineStr">
        <is>
          <t>total</t>
        </is>
      </c>
      <c r="I24" s="24" t="inlineStr">
        <is>
          <t>over</t>
        </is>
      </c>
      <c r="J24" s="25" t="n">
        <v>53.5</v>
      </c>
      <c r="K24" s="24" t="inlineStr">
        <is>
          <t>espn_consensus</t>
        </is>
      </c>
      <c r="L24" s="26" t="n">
        <v>100</v>
      </c>
      <c r="M24" s="27" t="n">
        <v>2</v>
      </c>
      <c r="N24" s="28" t="n">
        <v>0.5</v>
      </c>
      <c r="O24" s="28" t="n">
        <v>0.6126</v>
      </c>
      <c r="P24" s="28" t="n">
        <v>0.06</v>
      </c>
      <c r="Q24" s="28" t="n">
        <v>0.1126</v>
      </c>
      <c r="R24" s="26" t="n">
        <v>70</v>
      </c>
      <c r="S24" s="29" t="n">
        <v>1.25</v>
      </c>
      <c r="T24" s="24" t="inlineStr">
        <is>
          <t>cfb-total-v1</t>
        </is>
      </c>
      <c r="U24" s="24" t="inlineStr">
        <is>
          <t>settled</t>
        </is>
      </c>
      <c r="V24" s="24" t="inlineStr">
        <is>
          <t>loss</t>
        </is>
      </c>
      <c r="W24" s="26" t="n">
        <v>17</v>
      </c>
      <c r="X24" s="26" t="n">
        <v>34</v>
      </c>
      <c r="Y24" s="25" t="n"/>
      <c r="Z24" s="26" t="n"/>
      <c r="AA24" s="28" t="n"/>
      <c r="AB24" s="28" t="n"/>
      <c r="AC24" s="30" t="n">
        <v>-1.25</v>
      </c>
      <c r="AD24" s="24" t="inlineStr">
        <is>
          <t>2026-08-30T03:29:38.655598Z</t>
        </is>
      </c>
      <c r="AE24" s="31" t="inlineStr">
        <is>
          <t>Projected total 56.5 pts (Weather adj: +0.0 pts). Total line 53.5 -&gt; P(Over)=0.613, P(Under)=0.387, P(Push)=0.000.</t>
        </is>
      </c>
      <c r="AF24" s="31" t="inlineStr">
        <is>
          <t>College football model; multi-market (moneyline, spread, total).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New Mexico State Aggies</t>
        </is>
      </c>
      <c r="AQ24" s="24" t="inlineStr">
        <is>
          <t>New Mexico State Aggies</t>
        </is>
      </c>
      <c r="AR24" s="24" t="inlineStr">
        <is>
          <t>New Mexico State Aggies</t>
        </is>
      </c>
      <c r="AS24" s="24" t="inlineStr">
        <is>
          <t>Florida State Seminoles</t>
        </is>
      </c>
      <c r="AT24" s="24" t="inlineStr">
        <is>
          <t>Florida State Seminoles</t>
        </is>
      </c>
      <c r="AU24" s="24" t="inlineStr">
        <is>
          <t>Florida State Seminoles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1d168f11d221cd3c</t>
        </is>
      </c>
      <c r="BB24" s="24" t="inlineStr">
        <is>
          <t>cfb_key_number_engine</t>
        </is>
      </c>
      <c r="BC24" s="24" t="inlineStr">
        <is>
          <t>cfb-total-v1</t>
        </is>
      </c>
      <c r="BD24" s="24" t="inlineStr">
        <is>
          <t>1d168f11d221cd3c</t>
        </is>
      </c>
      <c r="BE24" s="24" t="inlineStr">
        <is>
          <t>cfb-v1</t>
        </is>
      </c>
      <c r="BF24" s="24" t="inlineStr">
        <is>
          <t>1</t>
        </is>
      </c>
      <c r="BG24" s="24" t="inlineStr">
        <is>
          <t>1d168f11d221cd3c</t>
        </is>
      </c>
      <c r="BH24" s="24" t="inlineStr">
        <is>
          <t>2026-08-29T16:04:47.550898+00:00</t>
        </is>
      </c>
      <c r="BI24" s="24" t="inlineStr">
        <is>
          <t>["same_event","same_team_same_day","same_league_same_day"]</t>
        </is>
      </c>
      <c r="BJ24" s="25" t="n">
        <v>53.5</v>
      </c>
      <c r="BK24" s="26" t="n">
        <v>100</v>
      </c>
      <c r="BL24" s="27" t="n">
        <v>2</v>
      </c>
      <c r="BM24" s="28" t="n">
        <v>0.5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</t>
        </is>
      </c>
      <c r="DK24" s="24" t="n"/>
      <c r="DL24" s="24" t="n"/>
      <c r="DM24" s="24" t="n"/>
      <c r="DN24" s="24" t="n"/>
      <c r="DO24" s="24" t="n"/>
      <c r="DP24" s="24" t="n"/>
    </row>
    <row r="25" ht="36" customHeight="1">
      <c r="A25" s="24" t="inlineStr">
        <is>
          <t>837f9f1ac2f944e9</t>
        </is>
      </c>
      <c r="B25" s="24" t="inlineStr">
        <is>
          <t>2026-08-29T16:04:47.550898Z</t>
        </is>
      </c>
      <c r="C25" s="24" t="inlineStr">
        <is>
          <t>2026-08-30T02:00Z</t>
        </is>
      </c>
      <c r="D25" s="24" t="inlineStr">
        <is>
          <t>401862693</t>
        </is>
      </c>
      <c r="E25" s="24" t="inlineStr">
        <is>
          <t>NCAAF</t>
        </is>
      </c>
      <c r="F25" s="24" t="inlineStr">
        <is>
          <t>Memphis Tigers</t>
        </is>
      </c>
      <c r="G25" s="24" t="inlineStr">
        <is>
          <t>UNLV Rebels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espn_consensus</t>
        </is>
      </c>
      <c r="L25" s="26" t="n">
        <v>100</v>
      </c>
      <c r="M25" s="27" t="n">
        <v>2</v>
      </c>
      <c r="N25" s="28" t="n">
        <v>0.5</v>
      </c>
      <c r="O25" s="28" t="n">
        <v>0.625387</v>
      </c>
      <c r="P25" s="28" t="n">
        <v>0.06</v>
      </c>
      <c r="Q25" s="28" t="n">
        <v>0.125387</v>
      </c>
      <c r="R25" s="26" t="n">
        <v>77</v>
      </c>
      <c r="S25" s="29" t="n">
        <v>1.5</v>
      </c>
      <c r="T25" s="24" t="inlineStr">
        <is>
          <t>college-football-v1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CFB Joint Model (negative_binomial): proj score Memphis Tigers 26.8 @ UNLV Rebels 29.8 (Margin +3.0). Possessions: 12.4, HFA: +2.8 pts.</t>
        </is>
      </c>
      <c r="AF25" s="31" t="inlineStr">
        <is>
          <t>College football model; multi-market (moneyline, spread, total).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Memphis Tigers</t>
        </is>
      </c>
      <c r="AQ25" s="24" t="inlineStr">
        <is>
          <t>Memphis Tigers</t>
        </is>
      </c>
      <c r="AR25" s="24" t="inlineStr">
        <is>
          <t>Memphis Tigers</t>
        </is>
      </c>
      <c r="AS25" s="24" t="inlineStr">
        <is>
          <t>UNLV Rebels</t>
        </is>
      </c>
      <c r="AT25" s="24" t="inlineStr">
        <is>
          <t>UNLV Rebels</t>
        </is>
      </c>
      <c r="AU25" s="24" t="inlineStr">
        <is>
          <t>UNLV Rebels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1d168f11d221cd3c</t>
        </is>
      </c>
      <c r="BB25" s="24" t="inlineStr">
        <is>
          <t>cfb_key_number_engine</t>
        </is>
      </c>
      <c r="BC25" s="24" t="inlineStr">
        <is>
          <t>college-football-v1</t>
        </is>
      </c>
      <c r="BD25" s="24" t="inlineStr">
        <is>
          <t>1d168f11d221cd3c</t>
        </is>
      </c>
      <c r="BE25" s="24" t="inlineStr">
        <is>
          <t>cfb-v1</t>
        </is>
      </c>
      <c r="BF25" s="24" t="inlineStr">
        <is>
          <t>1</t>
        </is>
      </c>
      <c r="BG25" s="24" t="inlineStr">
        <is>
          <t>1d168f11d221cd3c</t>
        </is>
      </c>
      <c r="BH25" s="24" t="inlineStr">
        <is>
          <t>2026-08-29T16:04:47.550898+00:00</t>
        </is>
      </c>
      <c r="BI25" s="24" t="inlineStr">
        <is>
          <t>["same_event","same_team_same_day","same_league_same_day"]</t>
        </is>
      </c>
      <c r="BJ25" s="25" t="n"/>
      <c r="BK25" s="26" t="n">
        <v>100</v>
      </c>
      <c r="BL25" s="27" t="n">
        <v>2</v>
      </c>
      <c r="BM25" s="28" t="n">
        <v>0.5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</t>
        </is>
      </c>
      <c r="DK25" s="24" t="n"/>
      <c r="DL25" s="24" t="n"/>
      <c r="DM25" s="24" t="n"/>
      <c r="DN25" s="24" t="n"/>
      <c r="DO25" s="24" t="n"/>
      <c r="DP25" s="24" t="n"/>
    </row>
    <row r="26" ht="36" customHeight="1">
      <c r="A26" s="24" t="inlineStr">
        <is>
          <t>b55eb736b8524001</t>
        </is>
      </c>
      <c r="B26" s="24" t="inlineStr">
        <is>
          <t>2026-08-29T16:04:47.550898Z</t>
        </is>
      </c>
      <c r="C26" s="24" t="inlineStr">
        <is>
          <t>2026-08-30T02:00Z</t>
        </is>
      </c>
      <c r="D26" s="24" t="inlineStr">
        <is>
          <t>401862693</t>
        </is>
      </c>
      <c r="E26" s="24" t="inlineStr">
        <is>
          <t>NCAAF</t>
        </is>
      </c>
      <c r="F26" s="24" t="inlineStr">
        <is>
          <t>Memphis Tigers</t>
        </is>
      </c>
      <c r="G26" s="24" t="inlineStr">
        <is>
          <t>UNLV Rebels</t>
        </is>
      </c>
      <c r="H26" s="24" t="inlineStr">
        <is>
          <t>spread</t>
        </is>
      </c>
      <c r="I26" s="24" t="inlineStr">
        <is>
          <t>away</t>
        </is>
      </c>
      <c r="J26" s="25" t="n">
        <v>4</v>
      </c>
      <c r="K26" s="24" t="inlineStr">
        <is>
          <t>espn_consensus</t>
        </is>
      </c>
      <c r="L26" s="26" t="n">
        <v>100</v>
      </c>
      <c r="M26" s="27" t="n">
        <v>2</v>
      </c>
      <c r="N26" s="28" t="n">
        <v>0.5</v>
      </c>
      <c r="O26" s="28" t="n">
        <v>0.525</v>
      </c>
      <c r="P26" s="28" t="n">
        <v>0.06</v>
      </c>
      <c r="Q26" s="28" t="n">
        <v>0.025</v>
      </c>
      <c r="R26" s="26" t="n">
        <v>27</v>
      </c>
      <c r="S26" s="29" t="n">
        <v>1</v>
      </c>
      <c r="T26" s="24" t="inlineStr">
        <is>
          <t>cfb-spread-v1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Projected home margin +3.0 pts. Spread: Home -4.0 / Away +4.0 -&gt; P(Away cover)=0.525, P(Home cover)=0.431, P(Push)=0.044.</t>
        </is>
      </c>
      <c r="AF26" s="31" t="inlineStr">
        <is>
          <t>College football model; multi-market (moneyline, spread, total).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Memphis Tigers</t>
        </is>
      </c>
      <c r="AQ26" s="24" t="inlineStr">
        <is>
          <t>Memphis Tigers</t>
        </is>
      </c>
      <c r="AR26" s="24" t="inlineStr">
        <is>
          <t>Memphis Tigers</t>
        </is>
      </c>
      <c r="AS26" s="24" t="inlineStr">
        <is>
          <t>UNLV Rebels</t>
        </is>
      </c>
      <c r="AT26" s="24" t="inlineStr">
        <is>
          <t>UNLV Rebels</t>
        </is>
      </c>
      <c r="AU26" s="24" t="inlineStr">
        <is>
          <t>UNLV Rebels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1d168f11d221cd3c</t>
        </is>
      </c>
      <c r="BB26" s="24" t="inlineStr">
        <is>
          <t>cfb_key_number_engine</t>
        </is>
      </c>
      <c r="BC26" s="24" t="inlineStr">
        <is>
          <t>cfb-spread-v1</t>
        </is>
      </c>
      <c r="BD26" s="24" t="inlineStr">
        <is>
          <t>1d168f11d221cd3c</t>
        </is>
      </c>
      <c r="BE26" s="24" t="inlineStr">
        <is>
          <t>cfb-v1</t>
        </is>
      </c>
      <c r="BF26" s="24" t="inlineStr">
        <is>
          <t>1</t>
        </is>
      </c>
      <c r="BG26" s="24" t="inlineStr">
        <is>
          <t>1d168f11d221cd3c</t>
        </is>
      </c>
      <c r="BH26" s="24" t="inlineStr">
        <is>
          <t>2026-08-29T16:04:47.550898+00:00</t>
        </is>
      </c>
      <c r="BI26" s="24" t="inlineStr">
        <is>
          <t>["same_event","same_team_same_day","same_league_same_day"]</t>
        </is>
      </c>
      <c r="BJ26" s="25" t="n">
        <v>4</v>
      </c>
      <c r="BK26" s="26" t="n">
        <v>100</v>
      </c>
      <c r="BL26" s="27" t="n">
        <v>2</v>
      </c>
      <c r="BM26" s="28" t="n">
        <v>0.5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</t>
        </is>
      </c>
      <c r="DK26" s="24" t="n"/>
      <c r="DL26" s="24" t="n"/>
      <c r="DM26" s="24" t="n"/>
      <c r="DN26" s="24" t="n"/>
      <c r="DO26" s="24" t="n"/>
      <c r="DP26" s="24" t="n"/>
    </row>
    <row r="27" ht="36" customHeight="1">
      <c r="A27" s="24" t="inlineStr">
        <is>
          <t>61e2a1cdad814465</t>
        </is>
      </c>
      <c r="B27" s="24" t="inlineStr">
        <is>
          <t>2026-08-29T16:04:47.550898Z</t>
        </is>
      </c>
      <c r="C27" s="24" t="inlineStr">
        <is>
          <t>2026-08-30T02:00Z</t>
        </is>
      </c>
      <c r="D27" s="24" t="inlineStr">
        <is>
          <t>401862693</t>
        </is>
      </c>
      <c r="E27" s="24" t="inlineStr">
        <is>
          <t>NCAAF</t>
        </is>
      </c>
      <c r="F27" s="24" t="inlineStr">
        <is>
          <t>Memphis Tigers</t>
        </is>
      </c>
      <c r="G27" s="24" t="inlineStr">
        <is>
          <t>UNLV Rebels</t>
        </is>
      </c>
      <c r="H27" s="24" t="inlineStr">
        <is>
          <t>total</t>
        </is>
      </c>
      <c r="I27" s="24" t="inlineStr">
        <is>
          <t>over</t>
        </is>
      </c>
      <c r="J27" s="25" t="n">
        <v>55.5</v>
      </c>
      <c r="K27" s="24" t="inlineStr">
        <is>
          <t>espn_consensus</t>
        </is>
      </c>
      <c r="L27" s="26" t="n">
        <v>100</v>
      </c>
      <c r="M27" s="27" t="n">
        <v>2</v>
      </c>
      <c r="N27" s="28" t="n">
        <v>0.5</v>
      </c>
      <c r="O27" s="28" t="n">
        <v>0.530667</v>
      </c>
      <c r="P27" s="28" t="n">
        <v>0.06</v>
      </c>
      <c r="Q27" s="28" t="n">
        <v>0.030667</v>
      </c>
      <c r="R27" s="26" t="n">
        <v>29</v>
      </c>
      <c r="S27" s="29" t="n">
        <v>1</v>
      </c>
      <c r="T27" s="24" t="inlineStr">
        <is>
          <t>cfb-total-v1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Projected total 56.6 pts (Weather adj: +0.0 pts). Total line 55.5 -&gt; P(Over)=0.531, P(Under)=0.469, P(Push)=0.000.</t>
        </is>
      </c>
      <c r="AF27" s="31" t="inlineStr">
        <is>
          <t>College football model; multi-market (moneyline, spread, total).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Memphis Tigers</t>
        </is>
      </c>
      <c r="AQ27" s="24" t="inlineStr">
        <is>
          <t>Memphis Tigers</t>
        </is>
      </c>
      <c r="AR27" s="24" t="inlineStr">
        <is>
          <t>Memphis Tigers</t>
        </is>
      </c>
      <c r="AS27" s="24" t="inlineStr">
        <is>
          <t>UNLV Rebels</t>
        </is>
      </c>
      <c r="AT27" s="24" t="inlineStr">
        <is>
          <t>UNLV Rebels</t>
        </is>
      </c>
      <c r="AU27" s="24" t="inlineStr">
        <is>
          <t>UNLV Rebels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1d168f11d221cd3c</t>
        </is>
      </c>
      <c r="BB27" s="24" t="inlineStr">
        <is>
          <t>cfb_key_number_engine</t>
        </is>
      </c>
      <c r="BC27" s="24" t="inlineStr">
        <is>
          <t>cfb-total-v1</t>
        </is>
      </c>
      <c r="BD27" s="24" t="inlineStr">
        <is>
          <t>1d168f11d221cd3c</t>
        </is>
      </c>
      <c r="BE27" s="24" t="inlineStr">
        <is>
          <t>cfb-v1</t>
        </is>
      </c>
      <c r="BF27" s="24" t="inlineStr">
        <is>
          <t>1</t>
        </is>
      </c>
      <c r="BG27" s="24" t="inlineStr">
        <is>
          <t>1d168f11d221cd3c</t>
        </is>
      </c>
      <c r="BH27" s="24" t="inlineStr">
        <is>
          <t>2026-08-29T16:04:47.550898+00:00</t>
        </is>
      </c>
      <c r="BI27" s="24" t="inlineStr">
        <is>
          <t>["same_event","same_team_same_day","same_league_same_day"]</t>
        </is>
      </c>
      <c r="BJ27" s="25" t="n">
        <v>55.5</v>
      </c>
      <c r="BK27" s="26" t="n">
        <v>100</v>
      </c>
      <c r="BL27" s="27" t="n">
        <v>2</v>
      </c>
      <c r="BM27" s="28" t="n">
        <v>0.5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</t>
        </is>
      </c>
      <c r="DK27" s="24" t="n"/>
      <c r="DL27" s="24" t="n"/>
      <c r="DM27" s="24" t="n"/>
      <c r="DN27" s="24" t="n"/>
      <c r="DO27" s="24" t="n"/>
      <c r="DP27" s="24" t="n"/>
    </row>
    <row r="28" ht="36" customHeight="1">
      <c r="A28" s="24" t="inlineStr">
        <is>
          <t>7d3c190333d9472c</t>
        </is>
      </c>
      <c r="B28" s="24" t="inlineStr">
        <is>
          <t>2026-08-29T18:45:00Z</t>
        </is>
      </c>
      <c r="C28" s="24" t="inlineStr">
        <is>
          <t>2026-08-29T19:00Z</t>
        </is>
      </c>
      <c r="D28" s="24" t="inlineStr">
        <is>
          <t>401864494</t>
        </is>
      </c>
      <c r="E28" s="24" t="inlineStr">
        <is>
          <t>NCAAF</t>
        </is>
      </c>
      <c r="F28" s="24" t="inlineStr">
        <is>
          <t>San José State Spartans</t>
        </is>
      </c>
      <c r="G28" s="24" t="inlineStr">
        <is>
          <t>USC Trojans</t>
        </is>
      </c>
      <c r="H28" s="24" t="inlineStr">
        <is>
          <t>spread</t>
        </is>
      </c>
      <c r="I28" s="24" t="inlineStr">
        <is>
          <t>home</t>
        </is>
      </c>
      <c r="J28" s="25" t="n">
        <v>0</v>
      </c>
      <c r="K28" s="24" t="inlineStr">
        <is>
          <t>espn_consensus</t>
        </is>
      </c>
      <c r="L28" s="26" t="n">
        <v>100</v>
      </c>
      <c r="M28" s="27" t="n">
        <v>2</v>
      </c>
      <c r="N28" s="28" t="n">
        <v>0.5</v>
      </c>
      <c r="O28" s="28" t="n">
        <v>0.9766</v>
      </c>
      <c r="P28" s="28" t="n">
        <v>0.18</v>
      </c>
      <c r="Q28" s="28" t="n">
        <v>0.4766</v>
      </c>
      <c r="R28" s="26" t="n">
        <v>100</v>
      </c>
      <c r="S28" s="29" t="n">
        <v>2</v>
      </c>
      <c r="T28" s="24" t="inlineStr">
        <is>
          <t>cfb-spread-v1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Projected home margin +18.7 pts. Spread: Home +0.0 / Away -0.0 -&gt; P(Away cover)=0.018, P(Home cover)=0.977, P(Push)=0.005.</t>
        </is>
      </c>
      <c r="AF28" s="31" t="inlineStr">
        <is>
          <t>College football model; multi-market (moneyline, spread, total).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San José State Spartans</t>
        </is>
      </c>
      <c r="AQ28" s="24" t="inlineStr">
        <is>
          <t>San José State Spartans</t>
        </is>
      </c>
      <c r="AR28" s="24" t="inlineStr">
        <is>
          <t>San José State Spartans</t>
        </is>
      </c>
      <c r="AS28" s="24" t="inlineStr">
        <is>
          <t>USC Trojans</t>
        </is>
      </c>
      <c r="AT28" s="24" t="inlineStr">
        <is>
          <t>USC Trojans</t>
        </is>
      </c>
      <c r="AU28" s="24" t="inlineStr">
        <is>
          <t>USC Trojans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1d168f11d221cd3c</t>
        </is>
      </c>
      <c r="BB28" s="24" t="inlineStr">
        <is>
          <t>cfb_key_number_engine</t>
        </is>
      </c>
      <c r="BC28" s="24" t="inlineStr">
        <is>
          <t>cfb-spread-v1</t>
        </is>
      </c>
      <c r="BD28" s="24" t="inlineStr">
        <is>
          <t>1d168f11d221cd3c</t>
        </is>
      </c>
      <c r="BE28" s="24" t="inlineStr">
        <is>
          <t>cfb-v1</t>
        </is>
      </c>
      <c r="BF28" s="24" t="inlineStr">
        <is>
          <t>1</t>
        </is>
      </c>
      <c r="BG28" s="24" t="inlineStr">
        <is>
          <t>1d168f11d221cd3c</t>
        </is>
      </c>
      <c r="BH28" s="24" t="inlineStr">
        <is>
          <t>2026-08-29T18:45:00+00:00</t>
        </is>
      </c>
      <c r="BI28" s="24" t="inlineStr">
        <is>
          <t>["same_event","same_team_same_day","same_league_same_day"]</t>
        </is>
      </c>
      <c r="BJ28" s="25" t="n">
        <v>0</v>
      </c>
      <c r="BK28" s="26" t="n">
        <v>100</v>
      </c>
      <c r="BL28" s="27" t="n">
        <v>2</v>
      </c>
      <c r="BM28" s="28" t="n">
        <v>0.5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0.5</t>
        </is>
      </c>
      <c r="DK28" s="24" t="n"/>
      <c r="DL28" s="24" t="n"/>
      <c r="DM28" s="24" t="n"/>
      <c r="DN28" s="24" t="n"/>
      <c r="DO28" s="24" t="n"/>
      <c r="DP28" s="24" t="n"/>
    </row>
    <row r="29" ht="36" customHeight="1">
      <c r="A29" s="24" t="inlineStr">
        <is>
          <t>6873b77709ba4344</t>
        </is>
      </c>
      <c r="B29" s="24" t="inlineStr">
        <is>
          <t>2026-08-29T18:45:00Z</t>
        </is>
      </c>
      <c r="C29" s="24" t="inlineStr">
        <is>
          <t>2026-08-29T19:00Z</t>
        </is>
      </c>
      <c r="D29" s="24" t="inlineStr">
        <is>
          <t>401864494</t>
        </is>
      </c>
      <c r="E29" s="24" t="inlineStr">
        <is>
          <t>NCAAF</t>
        </is>
      </c>
      <c r="F29" s="24" t="inlineStr">
        <is>
          <t>San José State Spartans</t>
        </is>
      </c>
      <c r="G29" s="24" t="inlineStr">
        <is>
          <t>USC Trojans</t>
        </is>
      </c>
      <c r="H29" s="24" t="inlineStr">
        <is>
          <t>total</t>
        </is>
      </c>
      <c r="I29" s="24" t="inlineStr">
        <is>
          <t>over</t>
        </is>
      </c>
      <c r="J29" s="25" t="n">
        <v>54</v>
      </c>
      <c r="K29" s="24" t="inlineStr">
        <is>
          <t>espn_consensus</t>
        </is>
      </c>
      <c r="L29" s="26" t="n">
        <v>100</v>
      </c>
      <c r="M29" s="27" t="n">
        <v>2</v>
      </c>
      <c r="N29" s="28" t="n">
        <v>0.5</v>
      </c>
      <c r="O29" s="28" t="n">
        <v>0.675133</v>
      </c>
      <c r="P29" s="28" t="n">
        <v>0.18</v>
      </c>
      <c r="Q29" s="28" t="n">
        <v>0.175133</v>
      </c>
      <c r="R29" s="26" t="n">
        <v>30</v>
      </c>
      <c r="S29" s="29" t="n">
        <v>1</v>
      </c>
      <c r="T29" s="24" t="inlineStr">
        <is>
          <t>cfb-total-v1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Projected total 59.0 pts (Weather adj: +0.0 pts). Total line 54.0 -&gt; P(Over)=0.675, P(Under)=0.288, P(Push)=0.037.</t>
        </is>
      </c>
      <c r="AF29" s="31" t="inlineStr">
        <is>
          <t>College football model; multi-market (moneyline, spread, total).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San José State Spartans</t>
        </is>
      </c>
      <c r="AQ29" s="24" t="inlineStr">
        <is>
          <t>San José State Spartans</t>
        </is>
      </c>
      <c r="AR29" s="24" t="inlineStr">
        <is>
          <t>San José State Spartans</t>
        </is>
      </c>
      <c r="AS29" s="24" t="inlineStr">
        <is>
          <t>USC Trojans</t>
        </is>
      </c>
      <c r="AT29" s="24" t="inlineStr">
        <is>
          <t>USC Trojans</t>
        </is>
      </c>
      <c r="AU29" s="24" t="inlineStr">
        <is>
          <t>USC Trojans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1d168f11d221cd3c</t>
        </is>
      </c>
      <c r="BB29" s="24" t="inlineStr">
        <is>
          <t>cfb_key_number_engine</t>
        </is>
      </c>
      <c r="BC29" s="24" t="inlineStr">
        <is>
          <t>cfb-total-v1</t>
        </is>
      </c>
      <c r="BD29" s="24" t="inlineStr">
        <is>
          <t>1d168f11d221cd3c</t>
        </is>
      </c>
      <c r="BE29" s="24" t="inlineStr">
        <is>
          <t>cfb-v1</t>
        </is>
      </c>
      <c r="BF29" s="24" t="inlineStr">
        <is>
          <t>1</t>
        </is>
      </c>
      <c r="BG29" s="24" t="inlineStr">
        <is>
          <t>1d168f11d221cd3c</t>
        </is>
      </c>
      <c r="BH29" s="24" t="inlineStr">
        <is>
          <t>2026-08-29T18:45:00+00:00</t>
        </is>
      </c>
      <c r="BI29" s="24" t="inlineStr">
        <is>
          <t>["same_event","same_team_same_day","same_league_same_day"]</t>
        </is>
      </c>
      <c r="BJ29" s="25" t="n">
        <v>54</v>
      </c>
      <c r="BK29" s="26" t="n">
        <v>100</v>
      </c>
      <c r="BL29" s="27" t="n">
        <v>2</v>
      </c>
      <c r="BM29" s="28" t="n">
        <v>0.5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</t>
        </is>
      </c>
      <c r="DK29" s="24" t="n"/>
      <c r="DL29" s="24" t="n"/>
      <c r="DM29" s="24" t="n"/>
      <c r="DN29" s="24" t="n"/>
      <c r="DO29" s="24" t="n"/>
      <c r="DP29" s="24" t="n"/>
    </row>
    <row r="30" ht="36" customHeight="1">
      <c r="A30" s="24" t="inlineStr">
        <is>
          <t>4547099fd13f464e</t>
        </is>
      </c>
      <c r="B30" s="24" t="inlineStr">
        <is>
          <t>2026-08-29T19:15:00Z</t>
        </is>
      </c>
      <c r="C30" s="24" t="inlineStr">
        <is>
          <t>2026-08-29T19:30Z</t>
        </is>
      </c>
      <c r="D30" s="24" t="inlineStr">
        <is>
          <t>401858202</t>
        </is>
      </c>
      <c r="E30" s="24" t="inlineStr">
        <is>
          <t>NCAAF</t>
        </is>
      </c>
      <c r="F30" s="24" t="inlineStr">
        <is>
          <t>NC State Wolfpack</t>
        </is>
      </c>
      <c r="G30" s="24" t="inlineStr">
        <is>
          <t>Virginia Cavaliers</t>
        </is>
      </c>
      <c r="H30" s="24" t="inlineStr">
        <is>
          <t>spread</t>
        </is>
      </c>
      <c r="I30" s="24" t="inlineStr">
        <is>
          <t>home</t>
        </is>
      </c>
      <c r="J30" s="25" t="n">
        <v>0</v>
      </c>
      <c r="K30" s="24" t="inlineStr">
        <is>
          <t>espn_consensus</t>
        </is>
      </c>
      <c r="L30" s="26" t="n">
        <v>100</v>
      </c>
      <c r="M30" s="27" t="n">
        <v>2</v>
      </c>
      <c r="N30" s="28" t="n">
        <v>0.5</v>
      </c>
      <c r="O30" s="28" t="n">
        <v>0.592933</v>
      </c>
      <c r="P30" s="28" t="n">
        <v>0.06</v>
      </c>
      <c r="Q30" s="28" t="n">
        <v>0.092933</v>
      </c>
      <c r="R30" s="26" t="n">
        <v>60</v>
      </c>
      <c r="S30" s="29" t="n">
        <v>1.25</v>
      </c>
      <c r="T30" s="24" t="inlineStr">
        <is>
          <t>cfb-spread-v1</t>
        </is>
      </c>
      <c r="U30" s="24" t="inlineStr">
        <is>
          <t>open</t>
        </is>
      </c>
      <c r="V30" s="24" t="n"/>
      <c r="W30" s="26" t="n"/>
      <c r="X30" s="26" t="n"/>
      <c r="Y30" s="25" t="n"/>
      <c r="Z30" s="26" t="n"/>
      <c r="AA30" s="28" t="n"/>
      <c r="AB30" s="28" t="n"/>
      <c r="AC30" s="30" t="n"/>
      <c r="AD30" s="24" t="n"/>
      <c r="AE30" s="31" t="inlineStr">
        <is>
          <t>Projected home margin +2.7 pts. Spread: Home +0.0 / Away -0.0 -&gt; P(Away cover)=0.365, P(Home cover)=0.593, P(Push)=0.042.</t>
        </is>
      </c>
      <c r="AF30" s="31" t="inlineStr">
        <is>
          <t>College football model; multi-market (moneyline, spread, total).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NC State Wolfpack</t>
        </is>
      </c>
      <c r="AQ30" s="24" t="inlineStr">
        <is>
          <t>NC State Wolfpack</t>
        </is>
      </c>
      <c r="AR30" s="24" t="inlineStr">
        <is>
          <t>NC State Wolfpack</t>
        </is>
      </c>
      <c r="AS30" s="24" t="inlineStr">
        <is>
          <t>Virginia Cavaliers</t>
        </is>
      </c>
      <c r="AT30" s="24" t="inlineStr">
        <is>
          <t>Virginia Cavaliers</t>
        </is>
      </c>
      <c r="AU30" s="24" t="inlineStr">
        <is>
          <t>Virginia Cavaliers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1d168f11d221cd3c</t>
        </is>
      </c>
      <c r="BB30" s="24" t="inlineStr">
        <is>
          <t>cfb_key_number_engine</t>
        </is>
      </c>
      <c r="BC30" s="24" t="inlineStr">
        <is>
          <t>cfb-spread-v1</t>
        </is>
      </c>
      <c r="BD30" s="24" t="inlineStr">
        <is>
          <t>1d168f11d221cd3c</t>
        </is>
      </c>
      <c r="BE30" s="24" t="inlineStr">
        <is>
          <t>cfb-v1</t>
        </is>
      </c>
      <c r="BF30" s="24" t="inlineStr">
        <is>
          <t>1</t>
        </is>
      </c>
      <c r="BG30" s="24" t="inlineStr">
        <is>
          <t>1d168f11d221cd3c</t>
        </is>
      </c>
      <c r="BH30" s="24" t="inlineStr">
        <is>
          <t>2026-08-29T19:15:00+00:00</t>
        </is>
      </c>
      <c r="BI30" s="24" t="inlineStr">
        <is>
          <t>["same_event","same_team_same_day","same_league_same_day"]</t>
        </is>
      </c>
      <c r="BJ30" s="25" t="n">
        <v>0</v>
      </c>
      <c r="BK30" s="26" t="n">
        <v>100</v>
      </c>
      <c r="BL30" s="27" t="n">
        <v>2</v>
      </c>
      <c r="BM30" s="28" t="n">
        <v>0.5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</t>
        </is>
      </c>
      <c r="DK30" s="24" t="n"/>
      <c r="DL30" s="24" t="n"/>
      <c r="DM30" s="24" t="n"/>
      <c r="DN30" s="24" t="n"/>
      <c r="DO30" s="24" t="n"/>
      <c r="DP30" s="24" t="n"/>
    </row>
    <row r="31" ht="36" customHeight="1">
      <c r="A31" s="24" t="inlineStr">
        <is>
          <t>b0ec2e574d7049bf</t>
        </is>
      </c>
      <c r="B31" s="24" t="inlineStr">
        <is>
          <t>2026-08-29T19:15:00Z</t>
        </is>
      </c>
      <c r="C31" s="24" t="inlineStr">
        <is>
          <t>2026-08-29T19:30Z</t>
        </is>
      </c>
      <c r="D31" s="24" t="inlineStr">
        <is>
          <t>401858202</t>
        </is>
      </c>
      <c r="E31" s="24" t="inlineStr">
        <is>
          <t>NCAAF</t>
        </is>
      </c>
      <c r="F31" s="24" t="inlineStr">
        <is>
          <t>NC State Wolfpack</t>
        </is>
      </c>
      <c r="G31" s="24" t="inlineStr">
        <is>
          <t>Virginia Cavaliers</t>
        </is>
      </c>
      <c r="H31" s="24" t="inlineStr">
        <is>
          <t>total</t>
        </is>
      </c>
      <c r="I31" s="24" t="inlineStr">
        <is>
          <t>over</t>
        </is>
      </c>
      <c r="J31" s="25" t="n">
        <v>54</v>
      </c>
      <c r="K31" s="24" t="inlineStr">
        <is>
          <t>espn_consensus</t>
        </is>
      </c>
      <c r="L31" s="26" t="n">
        <v>100</v>
      </c>
      <c r="M31" s="27" t="n">
        <v>2</v>
      </c>
      <c r="N31" s="28" t="n">
        <v>0.5</v>
      </c>
      <c r="O31" s="28" t="n">
        <v>0.638533</v>
      </c>
      <c r="P31" s="28" t="n">
        <v>0.06</v>
      </c>
      <c r="Q31" s="28" t="n">
        <v>0.138533</v>
      </c>
      <c r="R31" s="26" t="n">
        <v>83</v>
      </c>
      <c r="S31" s="29" t="n">
        <v>1.5</v>
      </c>
      <c r="T31" s="24" t="inlineStr">
        <is>
          <t>cfb-total-v1</t>
        </is>
      </c>
      <c r="U31" s="24" t="inlineStr">
        <is>
          <t>open</t>
        </is>
      </c>
      <c r="V31" s="24" t="n"/>
      <c r="W31" s="26" t="n"/>
      <c r="X31" s="26" t="n"/>
      <c r="Y31" s="25" t="n"/>
      <c r="Z31" s="26" t="n"/>
      <c r="AA31" s="28" t="n"/>
      <c r="AB31" s="28" t="n"/>
      <c r="AC31" s="30" t="n"/>
      <c r="AD31" s="24" t="n"/>
      <c r="AE31" s="31" t="inlineStr">
        <is>
          <t>Projected total 58.1 pts (Weather adj: +0.0 pts). Total line 54.0 -&gt; P(Over)=0.639, P(Under)=0.319, P(Push)=0.042.</t>
        </is>
      </c>
      <c r="AF31" s="31" t="inlineStr">
        <is>
          <t>College football model; multi-market (moneyline, spread, total).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4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NC State Wolfpack</t>
        </is>
      </c>
      <c r="AQ31" s="24" t="inlineStr">
        <is>
          <t>NC State Wolfpack</t>
        </is>
      </c>
      <c r="AR31" s="24" t="inlineStr">
        <is>
          <t>NC State Wolfpack</t>
        </is>
      </c>
      <c r="AS31" s="24" t="inlineStr">
        <is>
          <t>Virginia Cavaliers</t>
        </is>
      </c>
      <c r="AT31" s="24" t="inlineStr">
        <is>
          <t>Virginia Cavaliers</t>
        </is>
      </c>
      <c r="AU31" s="24" t="inlineStr">
        <is>
          <t>Virginia Cavaliers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1d168f11d221cd3c</t>
        </is>
      </c>
      <c r="BB31" s="24" t="inlineStr">
        <is>
          <t>cfb_key_number_engine</t>
        </is>
      </c>
      <c r="BC31" s="24" t="inlineStr">
        <is>
          <t>cfb-total-v1</t>
        </is>
      </c>
      <c r="BD31" s="24" t="inlineStr">
        <is>
          <t>1d168f11d221cd3c</t>
        </is>
      </c>
      <c r="BE31" s="24" t="inlineStr">
        <is>
          <t>cfb-v1</t>
        </is>
      </c>
      <c r="BF31" s="24" t="inlineStr">
        <is>
          <t>1</t>
        </is>
      </c>
      <c r="BG31" s="24" t="inlineStr">
        <is>
          <t>1d168f11d221cd3c</t>
        </is>
      </c>
      <c r="BH31" s="24" t="inlineStr">
        <is>
          <t>2026-08-29T19:15:00+00:00</t>
        </is>
      </c>
      <c r="BI31" s="24" t="inlineStr">
        <is>
          <t>["same_event","same_team_same_day","same_league_same_day"]</t>
        </is>
      </c>
      <c r="BJ31" s="25" t="n">
        <v>54</v>
      </c>
      <c r="BK31" s="26" t="n">
        <v>100</v>
      </c>
      <c r="BL31" s="27" t="n">
        <v>2</v>
      </c>
      <c r="BM31" s="28" t="n">
        <v>0.5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</t>
        </is>
      </c>
      <c r="DK31" s="24" t="n"/>
      <c r="DL31" s="24" t="n"/>
      <c r="DM31" s="24" t="n"/>
      <c r="DN31" s="24" t="n"/>
      <c r="DO31" s="24" t="n"/>
      <c r="DP31" s="24" t="n"/>
    </row>
    <row r="32" ht="36" customHeight="1">
      <c r="A32" s="24" t="inlineStr">
        <is>
          <t>44b50401bb6a479b</t>
        </is>
      </c>
      <c r="B32" s="24" t="inlineStr">
        <is>
          <t>2026-08-29T21:15:00Z</t>
        </is>
      </c>
      <c r="C32" s="24" t="inlineStr">
        <is>
          <t>2026-08-29T21:30Z</t>
        </is>
      </c>
      <c r="D32" s="24" t="inlineStr">
        <is>
          <t>401864577</t>
        </is>
      </c>
      <c r="E32" s="24" t="inlineStr">
        <is>
          <t>NCAAF</t>
        </is>
      </c>
      <c r="F32" s="24" t="inlineStr">
        <is>
          <t>Jacksonville State Gamecocks</t>
        </is>
      </c>
      <c r="G32" s="24" t="inlineStr">
        <is>
          <t>North Dakota State Bison</t>
        </is>
      </c>
      <c r="H32" s="24" t="inlineStr">
        <is>
          <t>spread</t>
        </is>
      </c>
      <c r="I32" s="24" t="inlineStr">
        <is>
          <t>away</t>
        </is>
      </c>
      <c r="J32" s="25" t="n">
        <v>0</v>
      </c>
      <c r="K32" s="24" t="inlineStr">
        <is>
          <t>espn_consensus</t>
        </is>
      </c>
      <c r="L32" s="26" t="n">
        <v>100</v>
      </c>
      <c r="M32" s="27" t="n">
        <v>2</v>
      </c>
      <c r="N32" s="28" t="n">
        <v>0.5</v>
      </c>
      <c r="O32" s="28" t="n">
        <v>0.7582</v>
      </c>
      <c r="P32" s="28" t="n">
        <v>0.215</v>
      </c>
      <c r="Q32" s="28" t="n">
        <v>0.2582</v>
      </c>
      <c r="R32" s="26" t="n">
        <v>50</v>
      </c>
      <c r="S32" s="29" t="n">
        <v>1.25</v>
      </c>
      <c r="T32" s="24" t="inlineStr">
        <is>
          <t>cfb-spread-v1</t>
        </is>
      </c>
      <c r="U32" s="24" t="inlineStr">
        <is>
          <t>open</t>
        </is>
      </c>
      <c r="V32" s="24" t="n"/>
      <c r="W32" s="26" t="n"/>
      <c r="X32" s="26" t="n"/>
      <c r="Y32" s="25" t="n"/>
      <c r="Z32" s="26" t="n"/>
      <c r="AA32" s="28" t="n"/>
      <c r="AB32" s="28" t="n"/>
      <c r="AC32" s="30" t="n"/>
      <c r="AD32" s="24" t="n"/>
      <c r="AE32" s="31" t="inlineStr">
        <is>
          <t>Projected home margin -6.8 pts. Spread: Home +0.0 / Away -0.0 -&gt; P(Away cover)=0.758, P(Home cover)=0.208, P(Push)=0.034.</t>
        </is>
      </c>
      <c r="AF32" s="31" t="inlineStr">
        <is>
          <t>College football model; multi-market (moneyline, spread, total).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Jacksonville State Gamecocks</t>
        </is>
      </c>
      <c r="AQ32" s="24" t="inlineStr">
        <is>
          <t>Jacksonville State Gamecocks</t>
        </is>
      </c>
      <c r="AR32" s="24" t="inlineStr">
        <is>
          <t>Jacksonville State Gamecocks</t>
        </is>
      </c>
      <c r="AS32" s="24" t="inlineStr">
        <is>
          <t>North Dakota State Bison</t>
        </is>
      </c>
      <c r="AT32" s="24" t="inlineStr">
        <is>
          <t>North Dakota State Bison</t>
        </is>
      </c>
      <c r="AU32" s="24" t="inlineStr">
        <is>
          <t>North Dakota State Bison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1d168f11d221cd3c</t>
        </is>
      </c>
      <c r="BB32" s="24" t="inlineStr">
        <is>
          <t>cfb_key_number_engine</t>
        </is>
      </c>
      <c r="BC32" s="24" t="inlineStr">
        <is>
          <t>cfb-spread-v1</t>
        </is>
      </c>
      <c r="BD32" s="24" t="inlineStr">
        <is>
          <t>1d168f11d221cd3c</t>
        </is>
      </c>
      <c r="BE32" s="24" t="inlineStr">
        <is>
          <t>cfb-v1</t>
        </is>
      </c>
      <c r="BF32" s="24" t="inlineStr">
        <is>
          <t>1</t>
        </is>
      </c>
      <c r="BG32" s="24" t="inlineStr">
        <is>
          <t>1d168f11d221cd3c</t>
        </is>
      </c>
      <c r="BH32" s="24" t="inlineStr">
        <is>
          <t>2026-08-29T21:15:00+00:00</t>
        </is>
      </c>
      <c r="BI32" s="24" t="inlineStr">
        <is>
          <t>["same_event","same_team_same_day","same_league_same_day"]</t>
        </is>
      </c>
      <c r="BJ32" s="25" t="n">
        <v>0</v>
      </c>
      <c r="BK32" s="26" t="n">
        <v>100</v>
      </c>
      <c r="BL32" s="27" t="n">
        <v>2</v>
      </c>
      <c r="BM32" s="28" t="n">
        <v>0.5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0.5</t>
        </is>
      </c>
      <c r="DK32" s="24" t="n"/>
      <c r="DL32" s="24" t="n"/>
      <c r="DM32" s="24" t="n"/>
      <c r="DN32" s="24" t="n"/>
      <c r="DO32" s="24" t="n"/>
      <c r="DP32" s="24" t="n"/>
    </row>
    <row r="33" ht="36" customHeight="1">
      <c r="A33" s="24" t="inlineStr">
        <is>
          <t>79beef30ea5a480b</t>
        </is>
      </c>
      <c r="B33" s="24" t="inlineStr">
        <is>
          <t>2026-08-29T21:15:00Z</t>
        </is>
      </c>
      <c r="C33" s="24" t="inlineStr">
        <is>
          <t>2026-08-29T21:30Z</t>
        </is>
      </c>
      <c r="D33" s="24" t="inlineStr">
        <is>
          <t>401864577</t>
        </is>
      </c>
      <c r="E33" s="24" t="inlineStr">
        <is>
          <t>NCAAF</t>
        </is>
      </c>
      <c r="F33" s="24" t="inlineStr">
        <is>
          <t>Jacksonville State Gamecocks</t>
        </is>
      </c>
      <c r="G33" s="24" t="inlineStr">
        <is>
          <t>North Dakota State Bison</t>
        </is>
      </c>
      <c r="H33" s="24" t="inlineStr">
        <is>
          <t>total</t>
        </is>
      </c>
      <c r="I33" s="24" t="inlineStr">
        <is>
          <t>over</t>
        </is>
      </c>
      <c r="J33" s="25" t="n">
        <v>54</v>
      </c>
      <c r="K33" s="24" t="inlineStr">
        <is>
          <t>espn_consensus</t>
        </is>
      </c>
      <c r="L33" s="26" t="n">
        <v>100</v>
      </c>
      <c r="M33" s="27" t="n">
        <v>2</v>
      </c>
      <c r="N33" s="28" t="n">
        <v>0.5</v>
      </c>
      <c r="O33" s="28" t="n">
        <v>0.615133</v>
      </c>
      <c r="P33" s="28" t="n">
        <v>0.215</v>
      </c>
      <c r="Q33" s="28" t="n">
        <v>0.115133</v>
      </c>
      <c r="R33" s="26" t="n">
        <v>0</v>
      </c>
      <c r="S33" s="29" t="n">
        <v>1</v>
      </c>
      <c r="T33" s="24" t="inlineStr">
        <is>
          <t>cfb-total-v1</t>
        </is>
      </c>
      <c r="U33" s="24" t="inlineStr">
        <is>
          <t>open</t>
        </is>
      </c>
      <c r="V33" s="24" t="n"/>
      <c r="W33" s="26" t="n"/>
      <c r="X33" s="26" t="n"/>
      <c r="Y33" s="25" t="n"/>
      <c r="Z33" s="26" t="n"/>
      <c r="AA33" s="28" t="n"/>
      <c r="AB33" s="28" t="n"/>
      <c r="AC33" s="30" t="n"/>
      <c r="AD33" s="24" t="n"/>
      <c r="AE33" s="31" t="inlineStr">
        <is>
          <t>Projected total 57.3 pts (Weather adj: +0.0 pts). Total line 54.0 -&gt; P(Over)=0.615, P(Under)=0.343, P(Push)=0.042.</t>
        </is>
      </c>
      <c r="AF33" s="31" t="inlineStr">
        <is>
          <t>College football model; multi-market (moneyline, spread, total).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4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Jacksonville State Gamecocks</t>
        </is>
      </c>
      <c r="AQ33" s="24" t="inlineStr">
        <is>
          <t>Jacksonville State Gamecocks</t>
        </is>
      </c>
      <c r="AR33" s="24" t="inlineStr">
        <is>
          <t>Jacksonville State Gamecocks</t>
        </is>
      </c>
      <c r="AS33" s="24" t="inlineStr">
        <is>
          <t>North Dakota State Bison</t>
        </is>
      </c>
      <c r="AT33" s="24" t="inlineStr">
        <is>
          <t>North Dakota State Bison</t>
        </is>
      </c>
      <c r="AU33" s="24" t="inlineStr">
        <is>
          <t>North Dakota State Bison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1d168f11d221cd3c</t>
        </is>
      </c>
      <c r="BB33" s="24" t="inlineStr">
        <is>
          <t>cfb_key_number_engine</t>
        </is>
      </c>
      <c r="BC33" s="24" t="inlineStr">
        <is>
          <t>cfb-total-v1</t>
        </is>
      </c>
      <c r="BD33" s="24" t="inlineStr">
        <is>
          <t>1d168f11d221cd3c</t>
        </is>
      </c>
      <c r="BE33" s="24" t="inlineStr">
        <is>
          <t>cfb-v1</t>
        </is>
      </c>
      <c r="BF33" s="24" t="inlineStr">
        <is>
          <t>1</t>
        </is>
      </c>
      <c r="BG33" s="24" t="inlineStr">
        <is>
          <t>1d168f11d221cd3c</t>
        </is>
      </c>
      <c r="BH33" s="24" t="inlineStr">
        <is>
          <t>2026-08-29T21:15:00+00:00</t>
        </is>
      </c>
      <c r="BI33" s="24" t="inlineStr">
        <is>
          <t>["same_event","same_team_same_day","same_league_same_day"]</t>
        </is>
      </c>
      <c r="BJ33" s="25" t="n">
        <v>54</v>
      </c>
      <c r="BK33" s="26" t="n">
        <v>100</v>
      </c>
      <c r="BL33" s="27" t="n">
        <v>2</v>
      </c>
      <c r="BM33" s="28" t="n">
        <v>0.5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0.5</t>
        </is>
      </c>
      <c r="DK33" s="24" t="n"/>
      <c r="DL33" s="24" t="n"/>
      <c r="DM33" s="24" t="n"/>
      <c r="DN33" s="24" t="n"/>
      <c r="DO33" s="24" t="n"/>
      <c r="DP33" s="24" t="n"/>
    </row>
    <row r="34" ht="36" customHeight="1">
      <c r="A34" s="24" t="inlineStr">
        <is>
          <t>2b894bfbffb84213</t>
        </is>
      </c>
      <c r="B34" s="24" t="inlineStr">
        <is>
          <t>2026-08-29T22:15:00Z</t>
        </is>
      </c>
      <c r="C34" s="24" t="inlineStr">
        <is>
          <t>2026-08-29T22:30Z</t>
        </is>
      </c>
      <c r="D34" s="24" t="inlineStr">
        <is>
          <t>401866408</t>
        </is>
      </c>
      <c r="E34" s="24" t="inlineStr">
        <is>
          <t>NCAAF</t>
        </is>
      </c>
      <c r="F34" s="24" t="inlineStr">
        <is>
          <t>Sacramento State Hornets</t>
        </is>
      </c>
      <c r="G34" s="24" t="inlineStr">
        <is>
          <t>Eastern Michigan Eagles</t>
        </is>
      </c>
      <c r="H34" s="24" t="inlineStr">
        <is>
          <t>spread</t>
        </is>
      </c>
      <c r="I34" s="24" t="inlineStr">
        <is>
          <t>home</t>
        </is>
      </c>
      <c r="J34" s="25" t="n">
        <v>0</v>
      </c>
      <c r="K34" s="24" t="inlineStr">
        <is>
          <t>espn_consensus</t>
        </is>
      </c>
      <c r="L34" s="26" t="n">
        <v>100</v>
      </c>
      <c r="M34" s="27" t="n">
        <v>2</v>
      </c>
      <c r="N34" s="28" t="n">
        <v>0.5</v>
      </c>
      <c r="O34" s="28" t="n">
        <v>0.709867</v>
      </c>
      <c r="P34" s="28" t="n">
        <v>0.18</v>
      </c>
      <c r="Q34" s="28" t="n">
        <v>0.209867</v>
      </c>
      <c r="R34" s="26" t="n">
        <v>47</v>
      </c>
      <c r="S34" s="29" t="n">
        <v>1.25</v>
      </c>
      <c r="T34" s="24" t="inlineStr">
        <is>
          <t>cfb-spread-v1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Projected home margin +5.5 pts. Spread: Home +0.0 / Away -0.0 -&gt; P(Away cover)=0.253, P(Home cover)=0.710, P(Push)=0.037.</t>
        </is>
      </c>
      <c r="AF34" s="31" t="inlineStr">
        <is>
          <t>College football model; multi-market (moneyline, spread, total).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Sacramento State Hornets</t>
        </is>
      </c>
      <c r="AQ34" s="24" t="inlineStr">
        <is>
          <t>Sacramento State Hornets</t>
        </is>
      </c>
      <c r="AR34" s="24" t="inlineStr">
        <is>
          <t>Sacramento State Hornets</t>
        </is>
      </c>
      <c r="AS34" s="24" t="inlineStr">
        <is>
          <t>Eastern Michigan Eagles</t>
        </is>
      </c>
      <c r="AT34" s="24" t="inlineStr">
        <is>
          <t>Eastern Michigan Eagles</t>
        </is>
      </c>
      <c r="AU34" s="24" t="inlineStr">
        <is>
          <t>Eastern Michigan Eagles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1d168f11d221cd3c</t>
        </is>
      </c>
      <c r="BB34" s="24" t="inlineStr">
        <is>
          <t>cfb_key_number_engine</t>
        </is>
      </c>
      <c r="BC34" s="24" t="inlineStr">
        <is>
          <t>cfb-spread-v1</t>
        </is>
      </c>
      <c r="BD34" s="24" t="inlineStr">
        <is>
          <t>1d168f11d221cd3c</t>
        </is>
      </c>
      <c r="BE34" s="24" t="inlineStr">
        <is>
          <t>cfb-v1</t>
        </is>
      </c>
      <c r="BF34" s="24" t="inlineStr">
        <is>
          <t>1</t>
        </is>
      </c>
      <c r="BG34" s="24" t="inlineStr">
        <is>
          <t>1d168f11d221cd3c</t>
        </is>
      </c>
      <c r="BH34" s="24" t="inlineStr">
        <is>
          <t>2026-08-29T22:15:00+00:00</t>
        </is>
      </c>
      <c r="BI34" s="24" t="inlineStr">
        <is>
          <t>["same_event","same_team_same_day","same_league_same_day"]</t>
        </is>
      </c>
      <c r="BJ34" s="25" t="n">
        <v>0</v>
      </c>
      <c r="BK34" s="26" t="n">
        <v>100</v>
      </c>
      <c r="BL34" s="27" t="n">
        <v>2</v>
      </c>
      <c r="BM34" s="28" t="n">
        <v>0.5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0.5</t>
        </is>
      </c>
      <c r="DK34" s="24" t="n"/>
      <c r="DL34" s="24" t="n"/>
      <c r="DM34" s="24" t="n"/>
      <c r="DN34" s="24" t="n"/>
      <c r="DO34" s="24" t="n"/>
      <c r="DP34" s="24" t="n"/>
    </row>
    <row r="35" ht="36" customHeight="1">
      <c r="A35" s="24" t="inlineStr">
        <is>
          <t>7e59a753307a4883</t>
        </is>
      </c>
      <c r="B35" s="24" t="inlineStr">
        <is>
          <t>2026-08-29T22:15:00Z</t>
        </is>
      </c>
      <c r="C35" s="24" t="inlineStr">
        <is>
          <t>2026-08-29T22:30Z</t>
        </is>
      </c>
      <c r="D35" s="24" t="inlineStr">
        <is>
          <t>401866408</t>
        </is>
      </c>
      <c r="E35" s="24" t="inlineStr">
        <is>
          <t>NCAAF</t>
        </is>
      </c>
      <c r="F35" s="24" t="inlineStr">
        <is>
          <t>Sacramento State Hornets</t>
        </is>
      </c>
      <c r="G35" s="24" t="inlineStr">
        <is>
          <t>Eastern Michigan Eagles</t>
        </is>
      </c>
      <c r="H35" s="24" t="inlineStr">
        <is>
          <t>total</t>
        </is>
      </c>
      <c r="I35" s="24" t="inlineStr">
        <is>
          <t>over</t>
        </is>
      </c>
      <c r="J35" s="25" t="n">
        <v>54</v>
      </c>
      <c r="K35" s="24" t="inlineStr">
        <is>
          <t>espn_consensus</t>
        </is>
      </c>
      <c r="L35" s="26" t="n">
        <v>100</v>
      </c>
      <c r="M35" s="27" t="n">
        <v>2</v>
      </c>
      <c r="N35" s="28" t="n">
        <v>0.5</v>
      </c>
      <c r="O35" s="28" t="n">
        <v>0.680333</v>
      </c>
      <c r="P35" s="28" t="n">
        <v>0.18</v>
      </c>
      <c r="Q35" s="28" t="n">
        <v>0.180333</v>
      </c>
      <c r="R35" s="26" t="n">
        <v>32</v>
      </c>
      <c r="S35" s="29" t="n">
        <v>1</v>
      </c>
      <c r="T35" s="24" t="inlineStr">
        <is>
          <t>cfb-total-v1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Projected total 59.0 pts (Weather adj: +0.0 pts). Total line 54.0 -&gt; P(Over)=0.680, P(Under)=0.279, P(Push)=0.040.</t>
        </is>
      </c>
      <c r="AF35" s="31" t="inlineStr">
        <is>
          <t>College football model; multi-market (moneyline, spread, total).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4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Sacramento State Hornets</t>
        </is>
      </c>
      <c r="AQ35" s="24" t="inlineStr">
        <is>
          <t>Sacramento State Hornets</t>
        </is>
      </c>
      <c r="AR35" s="24" t="inlineStr">
        <is>
          <t>Sacramento State Hornets</t>
        </is>
      </c>
      <c r="AS35" s="24" t="inlineStr">
        <is>
          <t>Eastern Michigan Eagles</t>
        </is>
      </c>
      <c r="AT35" s="24" t="inlineStr">
        <is>
          <t>Eastern Michigan Eagles</t>
        </is>
      </c>
      <c r="AU35" s="24" t="inlineStr">
        <is>
          <t>Eastern Michigan Eagles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1d168f11d221cd3c</t>
        </is>
      </c>
      <c r="BB35" s="24" t="inlineStr">
        <is>
          <t>cfb_key_number_engine</t>
        </is>
      </c>
      <c r="BC35" s="24" t="inlineStr">
        <is>
          <t>cfb-total-v1</t>
        </is>
      </c>
      <c r="BD35" s="24" t="inlineStr">
        <is>
          <t>1d168f11d221cd3c</t>
        </is>
      </c>
      <c r="BE35" s="24" t="inlineStr">
        <is>
          <t>cfb-v1</t>
        </is>
      </c>
      <c r="BF35" s="24" t="inlineStr">
        <is>
          <t>1</t>
        </is>
      </c>
      <c r="BG35" s="24" t="inlineStr">
        <is>
          <t>1d168f11d221cd3c</t>
        </is>
      </c>
      <c r="BH35" s="24" t="inlineStr">
        <is>
          <t>2026-08-29T22:15:00+00:00</t>
        </is>
      </c>
      <c r="BI35" s="24" t="inlineStr">
        <is>
          <t>["same_event","same_team_same_day","same_league_same_day"]</t>
        </is>
      </c>
      <c r="BJ35" s="25" t="n">
        <v>54</v>
      </c>
      <c r="BK35" s="26" t="n">
        <v>100</v>
      </c>
      <c r="BL35" s="27" t="n">
        <v>2</v>
      </c>
      <c r="BM35" s="28" t="n">
        <v>0.5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0.5</t>
        </is>
      </c>
      <c r="DK35" s="24" t="n"/>
      <c r="DL35" s="24" t="n"/>
      <c r="DM35" s="24" t="n"/>
      <c r="DN35" s="24" t="n"/>
      <c r="DO35" s="24" t="n"/>
      <c r="DP35" s="24" t="n"/>
    </row>
    <row r="36" ht="36" customHeight="1">
      <c r="A36" s="24" t="inlineStr">
        <is>
          <t>190d7ca8ef6b44f8</t>
        </is>
      </c>
      <c r="B36" s="24" t="inlineStr">
        <is>
          <t>2026-08-29T22:45:00Z</t>
        </is>
      </c>
      <c r="C36" s="24" t="inlineStr">
        <is>
          <t>2026-08-29T23:00Z</t>
        </is>
      </c>
      <c r="D36" s="24" t="inlineStr">
        <is>
          <t>401858201</t>
        </is>
      </c>
      <c r="E36" s="24" t="inlineStr">
        <is>
          <t>NCAAF</t>
        </is>
      </c>
      <c r="F36" s="24" t="inlineStr">
        <is>
          <t>Hawai'i Rainbow Warriors</t>
        </is>
      </c>
      <c r="G36" s="24" t="inlineStr">
        <is>
          <t>Stanford Cardinal</t>
        </is>
      </c>
      <c r="H36" s="24" t="inlineStr">
        <is>
          <t>spread</t>
        </is>
      </c>
      <c r="I36" s="24" t="inlineStr">
        <is>
          <t>home</t>
        </is>
      </c>
      <c r="J36" s="25" t="n">
        <v>0</v>
      </c>
      <c r="K36" s="24" t="inlineStr">
        <is>
          <t>espn_consensus</t>
        </is>
      </c>
      <c r="L36" s="26" t="n">
        <v>100</v>
      </c>
      <c r="M36" s="27" t="n">
        <v>2</v>
      </c>
      <c r="N36" s="28" t="n">
        <v>0.5</v>
      </c>
      <c r="O36" s="28" t="n">
        <v>0.904733</v>
      </c>
      <c r="P36" s="28" t="n">
        <v>0.18</v>
      </c>
      <c r="Q36" s="28" t="n">
        <v>0.404733</v>
      </c>
      <c r="R36" s="26" t="n">
        <v>100</v>
      </c>
      <c r="S36" s="29" t="n">
        <v>2</v>
      </c>
      <c r="T36" s="24" t="inlineStr">
        <is>
          <t>cfb-spread-v1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Projected home margin +12.5 pts. Spread: Home +0.0 / Away -0.0 -&gt; P(Away cover)=0.078, P(Home cover)=0.905, P(Push)=0.017.</t>
        </is>
      </c>
      <c r="AF36" s="31" t="inlineStr">
        <is>
          <t>College football model; multi-market (moneyline, spread, total).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4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Hawai'i Rainbow Warriors</t>
        </is>
      </c>
      <c r="AQ36" s="24" t="inlineStr">
        <is>
          <t>Hawai'i Rainbow Warriors</t>
        </is>
      </c>
      <c r="AR36" s="24" t="inlineStr">
        <is>
          <t>Hawai'i Rainbow Warriors</t>
        </is>
      </c>
      <c r="AS36" s="24" t="inlineStr">
        <is>
          <t>Stanford Cardinal</t>
        </is>
      </c>
      <c r="AT36" s="24" t="inlineStr">
        <is>
          <t>Stanford Cardinal</t>
        </is>
      </c>
      <c r="AU36" s="24" t="inlineStr">
        <is>
          <t>Stanford Cardinal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1d168f11d221cd3c</t>
        </is>
      </c>
      <c r="BB36" s="24" t="inlineStr">
        <is>
          <t>cfb_key_number_engine</t>
        </is>
      </c>
      <c r="BC36" s="24" t="inlineStr">
        <is>
          <t>cfb-spread-v1</t>
        </is>
      </c>
      <c r="BD36" s="24" t="inlineStr">
        <is>
          <t>1d168f11d221cd3c</t>
        </is>
      </c>
      <c r="BE36" s="24" t="inlineStr">
        <is>
          <t>cfb-v1</t>
        </is>
      </c>
      <c r="BF36" s="24" t="inlineStr">
        <is>
          <t>1</t>
        </is>
      </c>
      <c r="BG36" s="24" t="inlineStr">
        <is>
          <t>1d168f11d221cd3c</t>
        </is>
      </c>
      <c r="BH36" s="24" t="inlineStr">
        <is>
          <t>2026-08-29T22:45:00+00:00</t>
        </is>
      </c>
      <c r="BI36" s="24" t="inlineStr">
        <is>
          <t>["same_event","same_team_same_day","same_league_same_day"]</t>
        </is>
      </c>
      <c r="BJ36" s="25" t="n">
        <v>0</v>
      </c>
      <c r="BK36" s="26" t="n">
        <v>100</v>
      </c>
      <c r="BL36" s="27" t="n">
        <v>2</v>
      </c>
      <c r="BM36" s="28" t="n">
        <v>0.5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</t>
        </is>
      </c>
      <c r="DK36" s="24" t="n"/>
      <c r="DL36" s="24" t="n"/>
      <c r="DM36" s="24" t="n"/>
      <c r="DN36" s="24" t="n"/>
      <c r="DO36" s="24" t="n"/>
      <c r="DP36" s="24" t="n"/>
    </row>
    <row r="37" ht="36" customHeight="1">
      <c r="A37" s="24" t="inlineStr">
        <is>
          <t>9111f05e819b4399</t>
        </is>
      </c>
      <c r="B37" s="24" t="inlineStr">
        <is>
          <t>2026-08-29T22:45:00Z</t>
        </is>
      </c>
      <c r="C37" s="24" t="inlineStr">
        <is>
          <t>2026-08-29T23:00Z</t>
        </is>
      </c>
      <c r="D37" s="24" t="inlineStr">
        <is>
          <t>401858201</t>
        </is>
      </c>
      <c r="E37" s="24" t="inlineStr">
        <is>
          <t>NCAAF</t>
        </is>
      </c>
      <c r="F37" s="24" t="inlineStr">
        <is>
          <t>Hawai'i Rainbow Warriors</t>
        </is>
      </c>
      <c r="G37" s="24" t="inlineStr">
        <is>
          <t>Stanford Cardinal</t>
        </is>
      </c>
      <c r="H37" s="24" t="inlineStr">
        <is>
          <t>total</t>
        </is>
      </c>
      <c r="I37" s="24" t="inlineStr">
        <is>
          <t>over</t>
        </is>
      </c>
      <c r="J37" s="25" t="n">
        <v>54</v>
      </c>
      <c r="K37" s="24" t="inlineStr">
        <is>
          <t>espn_consensus</t>
        </is>
      </c>
      <c r="L37" s="26" t="n">
        <v>100</v>
      </c>
      <c r="M37" s="27" t="n">
        <v>2</v>
      </c>
      <c r="N37" s="28" t="n">
        <v>0.5</v>
      </c>
      <c r="O37" s="28" t="n">
        <v>0.647933</v>
      </c>
      <c r="P37" s="28" t="n">
        <v>0.18</v>
      </c>
      <c r="Q37" s="28" t="n">
        <v>0.147933</v>
      </c>
      <c r="R37" s="26" t="n">
        <v>16</v>
      </c>
      <c r="S37" s="29" t="n">
        <v>1</v>
      </c>
      <c r="T37" s="24" t="inlineStr">
        <is>
          <t>cfb-total-v1</t>
        </is>
      </c>
      <c r="U37" s="24" t="inlineStr">
        <is>
          <t>open</t>
        </is>
      </c>
      <c r="V37" s="24" t="n"/>
      <c r="W37" s="26" t="n"/>
      <c r="X37" s="26" t="n"/>
      <c r="Y37" s="25" t="n"/>
      <c r="Z37" s="26" t="n"/>
      <c r="AA37" s="28" t="n"/>
      <c r="AB37" s="28" t="n"/>
      <c r="AC37" s="30" t="n"/>
      <c r="AD37" s="24" t="n"/>
      <c r="AE37" s="31" t="inlineStr">
        <is>
          <t>Projected total 58.3 pts (Weather adj: +0.0 pts). Total line 54.0 -&gt; P(Over)=0.648, P(Under)=0.311, P(Push)=0.041.</t>
        </is>
      </c>
      <c r="AF37" s="31" t="inlineStr">
        <is>
          <t>College football model; multi-market (moneyline, spread, total).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Hawai'i Rainbow Warriors</t>
        </is>
      </c>
      <c r="AQ37" s="24" t="inlineStr">
        <is>
          <t>Hawai'i Rainbow Warriors</t>
        </is>
      </c>
      <c r="AR37" s="24" t="inlineStr">
        <is>
          <t>Hawai'i Rainbow Warriors</t>
        </is>
      </c>
      <c r="AS37" s="24" t="inlineStr">
        <is>
          <t>Stanford Cardinal</t>
        </is>
      </c>
      <c r="AT37" s="24" t="inlineStr">
        <is>
          <t>Stanford Cardinal</t>
        </is>
      </c>
      <c r="AU37" s="24" t="inlineStr">
        <is>
          <t>Stanford Cardinal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1d168f11d221cd3c</t>
        </is>
      </c>
      <c r="BB37" s="24" t="inlineStr">
        <is>
          <t>cfb_key_number_engine</t>
        </is>
      </c>
      <c r="BC37" s="24" t="inlineStr">
        <is>
          <t>cfb-total-v1</t>
        </is>
      </c>
      <c r="BD37" s="24" t="inlineStr">
        <is>
          <t>1d168f11d221cd3c</t>
        </is>
      </c>
      <c r="BE37" s="24" t="inlineStr">
        <is>
          <t>cfb-v1</t>
        </is>
      </c>
      <c r="BF37" s="24" t="inlineStr">
        <is>
          <t>1</t>
        </is>
      </c>
      <c r="BG37" s="24" t="inlineStr">
        <is>
          <t>1d168f11d221cd3c</t>
        </is>
      </c>
      <c r="BH37" s="24" t="inlineStr">
        <is>
          <t>2026-08-29T22:45:00+00:00</t>
        </is>
      </c>
      <c r="BI37" s="24" t="inlineStr">
        <is>
          <t>["same_event","same_team_same_day","same_league_same_day"]</t>
        </is>
      </c>
      <c r="BJ37" s="25" t="n">
        <v>54</v>
      </c>
      <c r="BK37" s="26" t="n">
        <v>100</v>
      </c>
      <c r="BL37" s="27" t="n">
        <v>2</v>
      </c>
      <c r="BM37" s="28" t="n">
        <v>0.5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</t>
        </is>
      </c>
      <c r="DK37" s="24" t="n"/>
      <c r="DL37" s="24" t="n"/>
      <c r="DM37" s="24" t="n"/>
      <c r="DN37" s="24" t="n"/>
      <c r="DO37" s="24" t="n"/>
      <c r="DP37" s="24" t="n"/>
    </row>
    <row r="38" ht="36" customHeight="1">
      <c r="A38" s="24" t="inlineStr">
        <is>
          <t>45d5ea06c9b042f6</t>
        </is>
      </c>
      <c r="B38" s="24" t="inlineStr">
        <is>
          <t>2026-08-29T22:45:00Z</t>
        </is>
      </c>
      <c r="C38" s="24" t="inlineStr">
        <is>
          <t>2026-08-29T23:00Z</t>
        </is>
      </c>
      <c r="D38" s="24" t="inlineStr">
        <is>
          <t>401864570</t>
        </is>
      </c>
      <c r="E38" s="24" t="inlineStr">
        <is>
          <t>NCAAF</t>
        </is>
      </c>
      <c r="F38" s="24" t="inlineStr">
        <is>
          <t>New Mexico State Aggies</t>
        </is>
      </c>
      <c r="G38" s="24" t="inlineStr">
        <is>
          <t>Florida State Seminoles</t>
        </is>
      </c>
      <c r="H38" s="24" t="inlineStr">
        <is>
          <t>spread</t>
        </is>
      </c>
      <c r="I38" s="24" t="inlineStr">
        <is>
          <t>home</t>
        </is>
      </c>
      <c r="J38" s="25" t="n">
        <v>0</v>
      </c>
      <c r="K38" s="24" t="inlineStr">
        <is>
          <t>espn_consensus</t>
        </is>
      </c>
      <c r="L38" s="26" t="n">
        <v>100</v>
      </c>
      <c r="M38" s="27" t="n">
        <v>2</v>
      </c>
      <c r="N38" s="28" t="n">
        <v>0.5</v>
      </c>
      <c r="O38" s="28" t="n">
        <v>0.934133</v>
      </c>
      <c r="P38" s="28" t="n">
        <v>0.06</v>
      </c>
      <c r="Q38" s="28" t="n">
        <v>0.434133</v>
      </c>
      <c r="R38" s="26" t="n">
        <v>100</v>
      </c>
      <c r="S38" s="29" t="n">
        <v>2</v>
      </c>
      <c r="T38" s="24" t="inlineStr">
        <is>
          <t>cfb-spread-v1</t>
        </is>
      </c>
      <c r="U38" s="24" t="inlineStr">
        <is>
          <t>open</t>
        </is>
      </c>
      <c r="V38" s="24" t="n"/>
      <c r="W38" s="26" t="n"/>
      <c r="X38" s="26" t="n"/>
      <c r="Y38" s="25" t="n"/>
      <c r="Z38" s="26" t="n"/>
      <c r="AA38" s="28" t="n"/>
      <c r="AB38" s="28" t="n"/>
      <c r="AC38" s="30" t="n"/>
      <c r="AD38" s="24" t="n"/>
      <c r="AE38" s="31" t="inlineStr">
        <is>
          <t>Projected home margin +14.0 pts. Spread: Home +0.0 / Away -0.0 -&gt; P(Away cover)=0.053, P(Home cover)=0.934, P(Push)=0.013.</t>
        </is>
      </c>
      <c r="AF38" s="31" t="inlineStr">
        <is>
          <t>College football model; multi-market (moneyline, spread, total).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4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New Mexico State Aggies</t>
        </is>
      </c>
      <c r="AQ38" s="24" t="inlineStr">
        <is>
          <t>New Mexico State Aggies</t>
        </is>
      </c>
      <c r="AR38" s="24" t="inlineStr">
        <is>
          <t>New Mexico State Aggies</t>
        </is>
      </c>
      <c r="AS38" s="24" t="inlineStr">
        <is>
          <t>Florida State Seminoles</t>
        </is>
      </c>
      <c r="AT38" s="24" t="inlineStr">
        <is>
          <t>Florida State Seminoles</t>
        </is>
      </c>
      <c r="AU38" s="24" t="inlineStr">
        <is>
          <t>Florida State Seminoles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1d168f11d221cd3c</t>
        </is>
      </c>
      <c r="BB38" s="24" t="inlineStr">
        <is>
          <t>cfb_key_number_engine</t>
        </is>
      </c>
      <c r="BC38" s="24" t="inlineStr">
        <is>
          <t>cfb-spread-v1</t>
        </is>
      </c>
      <c r="BD38" s="24" t="inlineStr">
        <is>
          <t>1d168f11d221cd3c</t>
        </is>
      </c>
      <c r="BE38" s="24" t="inlineStr">
        <is>
          <t>cfb-v1</t>
        </is>
      </c>
      <c r="BF38" s="24" t="inlineStr">
        <is>
          <t>1</t>
        </is>
      </c>
      <c r="BG38" s="24" t="inlineStr">
        <is>
          <t>1d168f11d221cd3c</t>
        </is>
      </c>
      <c r="BH38" s="24" t="inlineStr">
        <is>
          <t>2026-08-29T22:45:00+00:00</t>
        </is>
      </c>
      <c r="BI38" s="24" t="inlineStr">
        <is>
          <t>["same_event","same_team_same_day","same_league_same_day"]</t>
        </is>
      </c>
      <c r="BJ38" s="25" t="n">
        <v>0</v>
      </c>
      <c r="BK38" s="26" t="n">
        <v>100</v>
      </c>
      <c r="BL38" s="27" t="n">
        <v>2</v>
      </c>
      <c r="BM38" s="28" t="n">
        <v>0.5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</t>
        </is>
      </c>
      <c r="DK38" s="24" t="n"/>
      <c r="DL38" s="24" t="n"/>
      <c r="DM38" s="24" t="n"/>
      <c r="DN38" s="24" t="n"/>
      <c r="DO38" s="24" t="n"/>
      <c r="DP38" s="24" t="n"/>
    </row>
    <row r="39" ht="36" customHeight="1">
      <c r="A39" s="24" t="inlineStr">
        <is>
          <t>448780c54f5347f3</t>
        </is>
      </c>
      <c r="B39" s="24" t="inlineStr">
        <is>
          <t>2026-08-30T01:45:00Z</t>
        </is>
      </c>
      <c r="C39" s="24" t="inlineStr">
        <is>
          <t>2026-08-30T02:00Z</t>
        </is>
      </c>
      <c r="D39" s="24" t="inlineStr">
        <is>
          <t>401862693</t>
        </is>
      </c>
      <c r="E39" s="24" t="inlineStr">
        <is>
          <t>NCAAF</t>
        </is>
      </c>
      <c r="F39" s="24" t="inlineStr">
        <is>
          <t>Memphis Tigers</t>
        </is>
      </c>
      <c r="G39" s="24" t="inlineStr">
        <is>
          <t>UNLV Rebels</t>
        </is>
      </c>
      <c r="H39" s="24" t="inlineStr">
        <is>
          <t>spread</t>
        </is>
      </c>
      <c r="I39" s="24" t="inlineStr">
        <is>
          <t>home</t>
        </is>
      </c>
      <c r="J39" s="25" t="n">
        <v>0</v>
      </c>
      <c r="K39" s="24" t="inlineStr">
        <is>
          <t>espn_consensus</t>
        </is>
      </c>
      <c r="L39" s="26" t="n">
        <v>100</v>
      </c>
      <c r="M39" s="27" t="n">
        <v>2</v>
      </c>
      <c r="N39" s="28" t="n">
        <v>0.5</v>
      </c>
      <c r="O39" s="28" t="n">
        <v>0.6098</v>
      </c>
      <c r="P39" s="28" t="n">
        <v>0.06</v>
      </c>
      <c r="Q39" s="28" t="n">
        <v>0.1098</v>
      </c>
      <c r="R39" s="26" t="n">
        <v>69</v>
      </c>
      <c r="S39" s="29" t="n">
        <v>1.25</v>
      </c>
      <c r="T39" s="24" t="inlineStr">
        <is>
          <t>cfb-spread-v1</t>
        </is>
      </c>
      <c r="U39" s="24" t="inlineStr">
        <is>
          <t>open</t>
        </is>
      </c>
      <c r="V39" s="24" t="n"/>
      <c r="W39" s="26" t="n"/>
      <c r="X39" s="26" t="n"/>
      <c r="Y39" s="25" t="n"/>
      <c r="Z39" s="26" t="n"/>
      <c r="AA39" s="28" t="n"/>
      <c r="AB39" s="28" t="n"/>
      <c r="AC39" s="30" t="n"/>
      <c r="AD39" s="24" t="n"/>
      <c r="AE39" s="31" t="inlineStr">
        <is>
          <t>Projected home margin +3.0 pts. Spread: Home +0.0 / Away -0.0 -&gt; P(Away cover)=0.347, P(Home cover)=0.610, P(Push)=0.043.</t>
        </is>
      </c>
      <c r="AF39" s="31" t="inlineStr">
        <is>
          <t>College football model; multi-market (moneyline, spread, total).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Memphis Tigers</t>
        </is>
      </c>
      <c r="AQ39" s="24" t="inlineStr">
        <is>
          <t>Memphis Tigers</t>
        </is>
      </c>
      <c r="AR39" s="24" t="inlineStr">
        <is>
          <t>Memphis Tigers</t>
        </is>
      </c>
      <c r="AS39" s="24" t="inlineStr">
        <is>
          <t>UNLV Rebels</t>
        </is>
      </c>
      <c r="AT39" s="24" t="inlineStr">
        <is>
          <t>UNLV Rebels</t>
        </is>
      </c>
      <c r="AU39" s="24" t="inlineStr">
        <is>
          <t>UNLV Rebels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1d168f11d221cd3c</t>
        </is>
      </c>
      <c r="BB39" s="24" t="inlineStr">
        <is>
          <t>cfb_key_number_engine</t>
        </is>
      </c>
      <c r="BC39" s="24" t="inlineStr">
        <is>
          <t>cfb-spread-v1</t>
        </is>
      </c>
      <c r="BD39" s="24" t="inlineStr">
        <is>
          <t>1d168f11d221cd3c</t>
        </is>
      </c>
      <c r="BE39" s="24" t="inlineStr">
        <is>
          <t>cfb-v1</t>
        </is>
      </c>
      <c r="BF39" s="24" t="inlineStr">
        <is>
          <t>1</t>
        </is>
      </c>
      <c r="BG39" s="24" t="inlineStr">
        <is>
          <t>1d168f11d221cd3c</t>
        </is>
      </c>
      <c r="BH39" s="24" t="inlineStr">
        <is>
          <t>2026-08-30T01:45:00+00:00</t>
        </is>
      </c>
      <c r="BI39" s="24" t="inlineStr">
        <is>
          <t>["same_event","same_team_same_day","same_league_same_day"]</t>
        </is>
      </c>
      <c r="BJ39" s="25" t="n">
        <v>0</v>
      </c>
      <c r="BK39" s="26" t="n">
        <v>100</v>
      </c>
      <c r="BL39" s="27" t="n">
        <v>2</v>
      </c>
      <c r="BM39" s="28" t="n">
        <v>0.5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</t>
        </is>
      </c>
      <c r="DK39" s="24" t="n"/>
      <c r="DL39" s="24" t="n"/>
      <c r="DM39" s="24" t="n"/>
      <c r="DN39" s="24" t="n"/>
      <c r="DO39" s="24" t="n"/>
      <c r="DP39" s="24" t="n"/>
    </row>
    <row r="40" ht="36" customHeight="1">
      <c r="A40" s="24" t="inlineStr">
        <is>
          <t>0acd7f9b31f44ce9</t>
        </is>
      </c>
      <c r="B40" s="24" t="inlineStr">
        <is>
          <t>2026-08-30T01:45:00Z</t>
        </is>
      </c>
      <c r="C40" s="24" t="inlineStr">
        <is>
          <t>2026-08-30T02:00Z</t>
        </is>
      </c>
      <c r="D40" s="24" t="inlineStr">
        <is>
          <t>401862693</t>
        </is>
      </c>
      <c r="E40" s="24" t="inlineStr">
        <is>
          <t>NCAAF</t>
        </is>
      </c>
      <c r="F40" s="24" t="inlineStr">
        <is>
          <t>Memphis Tigers</t>
        </is>
      </c>
      <c r="G40" s="24" t="inlineStr">
        <is>
          <t>UNLV Rebels</t>
        </is>
      </c>
      <c r="H40" s="24" t="inlineStr">
        <is>
          <t>total</t>
        </is>
      </c>
      <c r="I40" s="24" t="inlineStr">
        <is>
          <t>over</t>
        </is>
      </c>
      <c r="J40" s="25" t="n">
        <v>54</v>
      </c>
      <c r="K40" s="24" t="inlineStr">
        <is>
          <t>espn_consensus</t>
        </is>
      </c>
      <c r="L40" s="26" t="n">
        <v>100</v>
      </c>
      <c r="M40" s="27" t="n">
        <v>2</v>
      </c>
      <c r="N40" s="28" t="n">
        <v>0.5</v>
      </c>
      <c r="O40" s="28" t="n">
        <v>0.582533</v>
      </c>
      <c r="P40" s="28" t="n">
        <v>0.06</v>
      </c>
      <c r="Q40" s="28" t="n">
        <v>0.082533</v>
      </c>
      <c r="R40" s="26" t="n">
        <v>55</v>
      </c>
      <c r="S40" s="29" t="n">
        <v>1.25</v>
      </c>
      <c r="T40" s="24" t="inlineStr">
        <is>
          <t>cfb-total-v1</t>
        </is>
      </c>
      <c r="U40" s="24" t="inlineStr">
        <is>
          <t>open</t>
        </is>
      </c>
      <c r="V40" s="24" t="n"/>
      <c r="W40" s="26" t="n"/>
      <c r="X40" s="26" t="n"/>
      <c r="Y40" s="25" t="n"/>
      <c r="Z40" s="26" t="n"/>
      <c r="AA40" s="28" t="n"/>
      <c r="AB40" s="28" t="n"/>
      <c r="AC40" s="30" t="n"/>
      <c r="AD40" s="24" t="n"/>
      <c r="AE40" s="31" t="inlineStr">
        <is>
          <t>Projected total 56.6 pts (Weather adj: +0.0 pts). Total line 54.0 -&gt; P(Over)=0.583, P(Under)=0.374, P(Push)=0.044.</t>
        </is>
      </c>
      <c r="AF40" s="31" t="inlineStr">
        <is>
          <t>College football model; multi-market (moneyline, spread, total).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4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Memphis Tigers</t>
        </is>
      </c>
      <c r="AQ40" s="24" t="inlineStr">
        <is>
          <t>Memphis Tigers</t>
        </is>
      </c>
      <c r="AR40" s="24" t="inlineStr">
        <is>
          <t>Memphis Tigers</t>
        </is>
      </c>
      <c r="AS40" s="24" t="inlineStr">
        <is>
          <t>UNLV Rebels</t>
        </is>
      </c>
      <c r="AT40" s="24" t="inlineStr">
        <is>
          <t>UNLV Rebels</t>
        </is>
      </c>
      <c r="AU40" s="24" t="inlineStr">
        <is>
          <t>UNLV Rebels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1d168f11d221cd3c</t>
        </is>
      </c>
      <c r="BB40" s="24" t="inlineStr">
        <is>
          <t>cfb_key_number_engine</t>
        </is>
      </c>
      <c r="BC40" s="24" t="inlineStr">
        <is>
          <t>cfb-total-v1</t>
        </is>
      </c>
      <c r="BD40" s="24" t="inlineStr">
        <is>
          <t>1d168f11d221cd3c</t>
        </is>
      </c>
      <c r="BE40" s="24" t="inlineStr">
        <is>
          <t>cfb-v1</t>
        </is>
      </c>
      <c r="BF40" s="24" t="inlineStr">
        <is>
          <t>1</t>
        </is>
      </c>
      <c r="BG40" s="24" t="inlineStr">
        <is>
          <t>1d168f11d221cd3c</t>
        </is>
      </c>
      <c r="BH40" s="24" t="inlineStr">
        <is>
          <t>2026-08-30T01:45:00+00:00</t>
        </is>
      </c>
      <c r="BI40" s="24" t="inlineStr">
        <is>
          <t>["same_event","same_team_same_day","same_league_same_day"]</t>
        </is>
      </c>
      <c r="BJ40" s="25" t="n">
        <v>54</v>
      </c>
      <c r="BK40" s="26" t="n">
        <v>100</v>
      </c>
      <c r="BL40" s="27" t="n">
        <v>2</v>
      </c>
      <c r="BM40" s="28" t="n">
        <v>0.5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</t>
        </is>
      </c>
      <c r="DK40" s="24" t="n"/>
      <c r="DL40" s="24" t="n"/>
      <c r="DM40" s="24" t="n"/>
      <c r="DN40" s="24" t="n"/>
      <c r="DO40" s="24" t="n"/>
      <c r="DP40" s="24" t="n"/>
    </row>
    <row r="41" ht="36" customHeight="1">
      <c r="A41" s="24" t="inlineStr">
        <is>
          <t>b0188cb05e6f4242</t>
        </is>
      </c>
      <c r="B41" s="24" t="inlineStr">
        <is>
          <t>2026-08-29T22:45:00Z</t>
        </is>
      </c>
      <c r="C41" s="24" t="inlineStr">
        <is>
          <t>2026-08-29T23:00Z</t>
        </is>
      </c>
      <c r="D41" s="24" t="inlineStr">
        <is>
          <t>401864570</t>
        </is>
      </c>
      <c r="E41" s="24" t="inlineStr">
        <is>
          <t>NCAAF</t>
        </is>
      </c>
      <c r="F41" s="24" t="inlineStr">
        <is>
          <t>New Mexico State Aggies</t>
        </is>
      </c>
      <c r="G41" s="24" t="inlineStr">
        <is>
          <t>Florida State Seminoles</t>
        </is>
      </c>
      <c r="H41" s="24" t="inlineStr">
        <is>
          <t>total</t>
        </is>
      </c>
      <c r="I41" s="24" t="inlineStr">
        <is>
          <t>over</t>
        </is>
      </c>
      <c r="J41" s="25" t="n">
        <v>54</v>
      </c>
      <c r="K41" s="24" t="inlineStr">
        <is>
          <t>espn_consensus</t>
        </is>
      </c>
      <c r="L41" s="26" t="n">
        <v>100</v>
      </c>
      <c r="M41" s="27" t="n">
        <v>2</v>
      </c>
      <c r="N41" s="28" t="n">
        <v>0.5</v>
      </c>
      <c r="O41" s="28" t="n">
        <v>0.566267</v>
      </c>
      <c r="P41" s="28" t="n">
        <v>0.06</v>
      </c>
      <c r="Q41" s="28" t="n">
        <v>0.06626700000000001</v>
      </c>
      <c r="R41" s="26" t="n">
        <v>47</v>
      </c>
      <c r="S41" s="29" t="n">
        <v>1</v>
      </c>
      <c r="T41" s="24" t="inlineStr">
        <is>
          <t>cfb-total-v1</t>
        </is>
      </c>
      <c r="U41" s="24" t="inlineStr">
        <is>
          <t>open</t>
        </is>
      </c>
      <c r="V41" s="24" t="n"/>
      <c r="W41" s="26" t="n"/>
      <c r="X41" s="26" t="n"/>
      <c r="Y41" s="25" t="n"/>
      <c r="Z41" s="26" t="n"/>
      <c r="AA41" s="28" t="n"/>
      <c r="AB41" s="28" t="n"/>
      <c r="AC41" s="30" t="n"/>
      <c r="AD41" s="24" t="n"/>
      <c r="AE41" s="31" t="inlineStr">
        <is>
          <t>Projected total 56.5 pts (Weather adj: +0.0 pts). Total line 54.0 -&gt; P(Over)=0.566, P(Under)=0.391, P(Push)=0.042.</t>
        </is>
      </c>
      <c r="AF41" s="31" t="inlineStr">
        <is>
          <t>College football model; multi-market (moneyline, spread, total).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4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New Mexico State Aggies</t>
        </is>
      </c>
      <c r="AQ41" s="24" t="inlineStr">
        <is>
          <t>New Mexico State Aggies</t>
        </is>
      </c>
      <c r="AR41" s="24" t="inlineStr">
        <is>
          <t>New Mexico State Aggies</t>
        </is>
      </c>
      <c r="AS41" s="24" t="inlineStr">
        <is>
          <t>Florida State Seminoles</t>
        </is>
      </c>
      <c r="AT41" s="24" t="inlineStr">
        <is>
          <t>Florida State Seminoles</t>
        </is>
      </c>
      <c r="AU41" s="24" t="inlineStr">
        <is>
          <t>Florida State Seminoles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1d168f11d221cd3c</t>
        </is>
      </c>
      <c r="BB41" s="24" t="inlineStr">
        <is>
          <t>cfb_key_number_engine</t>
        </is>
      </c>
      <c r="BC41" s="24" t="inlineStr">
        <is>
          <t>cfb-total-v1</t>
        </is>
      </c>
      <c r="BD41" s="24" t="inlineStr">
        <is>
          <t>1d168f11d221cd3c</t>
        </is>
      </c>
      <c r="BE41" s="24" t="inlineStr">
        <is>
          <t>cfb-v1</t>
        </is>
      </c>
      <c r="BF41" s="24" t="inlineStr">
        <is>
          <t>1</t>
        </is>
      </c>
      <c r="BG41" s="24" t="inlineStr">
        <is>
          <t>1d168f11d221cd3c</t>
        </is>
      </c>
      <c r="BH41" s="24" t="inlineStr">
        <is>
          <t>2026-08-29T22:45:00+00:00</t>
        </is>
      </c>
      <c r="BI41" s="24" t="inlineStr">
        <is>
          <t>["same_event","same_team_same_day","same_league_same_day"]</t>
        </is>
      </c>
      <c r="BJ41" s="25" t="n">
        <v>54</v>
      </c>
      <c r="BK41" s="26" t="n">
        <v>100</v>
      </c>
      <c r="BL41" s="27" t="n">
        <v>2</v>
      </c>
      <c r="BM41" s="28" t="n">
        <v>0.5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2026-08-30T03:34:53Z</dcterms:created>
  <dcterms:modified xmlns:dcterms="http://purl.org/dc/terms/" xmlns:xsi="http://www.w3.org/2001/XMLSchema-instance" xsi:type="dcterms:W3CDTF">2026-08-30T03:34:53Z</dcterms:modified>
</cp:coreProperties>
</file>