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74" headerRowCount="1">
  <autoFilter ref="A1:CS74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COUNTA('Picks'!$A$2:$A$74)</f>
        <v/>
      </c>
      <c r="C4" s="6">
        <f>COUNTIF('Picks'!$U$2:$U$74,"open")</f>
        <v/>
      </c>
      <c r="E4" s="6">
        <f>COUNTIF('Picks'!$U$2:$U$74,"settled")</f>
        <v/>
      </c>
      <c r="G4" s="6">
        <f>IF(COUNTIFS('Picks'!$U$2:$U$74,"settled",'Picks'!$V$2:$V$74,"win")+COUNTIFS('Picks'!$U$2:$U$74,"settled",'Picks'!$V$2:$V$74,"loss")&gt;=$L$2,"Ready","Insufficient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COUNTIF('Picks'!$BX$2:$BX$74,"&gt;0")</f>
        <v/>
      </c>
      <c r="C7" s="6">
        <f>COUNTIFS('Picks'!$BX$2:$BX$74,"&gt;0",'Picks'!$V$2:$V$74,"win")&amp;"-"&amp;COUNTIFS('Picks'!$BX$2:$BX$74,"&gt;0",'Picks'!$V$2:$V$74,"loss")</f>
        <v/>
      </c>
      <c r="E7" s="7">
        <f>IFERROR(COUNTIFS('Picks'!$BX$2:$BX$74,"&gt;0",'Picks'!$V$2:$V$74,"win")/(COUNTIFS('Picks'!$BX$2:$BX$74,"&gt;0",'Picks'!$V$2:$V$74,"win")+COUNTIFS('Picks'!$BX$2:$BX$74,"&gt;0",'Picks'!$V$2:$V$74,"loss")),0)</f>
        <v/>
      </c>
      <c r="G7" s="7">
        <f>IFERROR(SUM('Picks'!$BY$2:$BY$74)/SUM('Picks'!$BX$2:$BX$74),0)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SUM('Picks'!$BY$2:$BY$74)</f>
        <v/>
      </c>
      <c r="C10" s="9">
        <f>IFERROR(AVERAGEIF('Picks'!$AB$2:$AB$74,"&lt;&gt;",'Picks'!$AB$2:$AB$74),0)</f>
        <v/>
      </c>
      <c r="E10" s="6">
        <f>COUNTIFS('Picks'!$AM$2:$AM$74,"QUALIFIED_SHADOW_CALL",'Picks'!$U$2:$U$74,"settled")</f>
        <v/>
      </c>
      <c r="G10" s="8">
        <f>SUMIFS('Picks'!$AC$2:$AC$74,'Picks'!$AM$2:$AM$74,"QUALIFIED_SHADOW_CALL")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COUNTIFS('Picks'!$H$2:$H$74,$A14,'Picks'!$U$2:$U$74,"settled")</f>
        <v/>
      </c>
      <c r="C14" s="13">
        <f>COUNTIFS('Picks'!$H$2:$H$74,$A14,'Picks'!$U$2:$U$74,"settled",'Picks'!$V$2:$V$74,"win")</f>
        <v/>
      </c>
      <c r="D14" s="13">
        <f>COUNTIFS('Picks'!$H$2:$H$74,$A14,'Picks'!$U$2:$U$74,"settled",'Picks'!$V$2:$V$74,"loss")</f>
        <v/>
      </c>
      <c r="E14" s="14">
        <f>IFERROR(C14/(C14+D14),0)</f>
        <v/>
      </c>
      <c r="F14" s="15">
        <f>SUMIFS('Picks'!$BY$2:$BY$74,'Picks'!$H$2:$H$74,$A14)</f>
        <v/>
      </c>
      <c r="G14" s="16">
        <f>IFERROR(AVERAGEIFS('Picks'!$AB$2:$AB$74,'Picks'!$H$2:$H$74,$A14,'Picks'!$U$2:$U$74,"settled"),0)</f>
        <v/>
      </c>
    </row>
    <row r="15">
      <c r="A15" s="17" t="inlineStr">
        <is>
          <t>spread</t>
        </is>
      </c>
      <c r="B15" s="18">
        <f>COUNTIFS('Picks'!$H$2:$H$74,$A15,'Picks'!$U$2:$U$74,"settled")</f>
        <v/>
      </c>
      <c r="C15" s="18">
        <f>COUNTIFS('Picks'!$H$2:$H$74,$A15,'Picks'!$U$2:$U$74,"settled",'Picks'!$V$2:$V$74,"win")</f>
        <v/>
      </c>
      <c r="D15" s="18">
        <f>COUNTIFS('Picks'!$H$2:$H$74,$A15,'Picks'!$U$2:$U$74,"settled",'Picks'!$V$2:$V$74,"loss")</f>
        <v/>
      </c>
      <c r="E15" s="19">
        <f>IFERROR(C15/(C15+D15),0)</f>
        <v/>
      </c>
      <c r="F15" s="20">
        <f>SUMIFS('Picks'!$BY$2:$BY$74,'Picks'!$H$2:$H$74,$A15)</f>
        <v/>
      </c>
      <c r="G15" s="21">
        <f>IFERROR(AVERAGEIFS('Picks'!$AB$2:$AB$74,'Picks'!$H$2:$H$74,$A15,'Picks'!$U$2:$U$74,"settled"),0)</f>
        <v/>
      </c>
    </row>
    <row r="16">
      <c r="A16" s="12" t="inlineStr">
        <is>
          <t>total</t>
        </is>
      </c>
      <c r="B16" s="13">
        <f>COUNTIFS('Picks'!$H$2:$H$74,$A16,'Picks'!$U$2:$U$74,"settled")</f>
        <v/>
      </c>
      <c r="C16" s="13">
        <f>COUNTIFS('Picks'!$H$2:$H$74,$A16,'Picks'!$U$2:$U$74,"settled",'Picks'!$V$2:$V$74,"win")</f>
        <v/>
      </c>
      <c r="D16" s="13">
        <f>COUNTIFS('Picks'!$H$2:$H$74,$A16,'Picks'!$U$2:$U$74,"settled",'Picks'!$V$2:$V$74,"loss")</f>
        <v/>
      </c>
      <c r="E16" s="14">
        <f>IFERROR(C16/(C16+D16),0)</f>
        <v/>
      </c>
      <c r="F16" s="15">
        <f>SUMIFS('Picks'!$BY$2:$BY$74,'Picks'!$H$2:$H$74,$A16)</f>
        <v/>
      </c>
      <c r="G16" s="16">
        <f>IFERROR(AVERAGEIFS('Picks'!$AB$2:$AB$74,'Picks'!$H$2:$H$74,$A16,'Picks'!$U$2:$U$74,"settled"),0)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c740af404ec64599</t>
        </is>
      </c>
      <c r="B2" s="24" t="inlineStr">
        <is>
          <t>2026-08-02T17:28:55.256054Z</t>
        </is>
      </c>
      <c r="C2" s="24" t="inlineStr">
        <is>
          <t>2026-08-02T17:35Z</t>
        </is>
      </c>
      <c r="D2" s="24" t="inlineStr">
        <is>
          <t>401816365</t>
        </is>
      </c>
      <c r="E2" s="24" t="inlineStr">
        <is>
          <t>MLB</t>
        </is>
      </c>
      <c r="F2" s="24" t="inlineStr">
        <is>
          <t>Philadelphia Phillies</t>
        </is>
      </c>
      <c r="G2" s="24" t="inlineStr">
        <is>
          <t>Baltimore Orioles</t>
        </is>
      </c>
      <c r="H2" s="24" t="inlineStr">
        <is>
          <t>spread</t>
        </is>
      </c>
      <c r="I2" s="24" t="inlineStr">
        <is>
          <t>home</t>
        </is>
      </c>
      <c r="J2" s="25" t="n">
        <v>1.5</v>
      </c>
      <c r="K2" s="24" t="inlineStr">
        <is>
          <t>polymarket_us</t>
        </is>
      </c>
      <c r="L2" s="26" t="n">
        <v>-130</v>
      </c>
      <c r="M2" s="27" t="n">
        <v>1.769231</v>
      </c>
      <c r="N2" s="28" t="n">
        <v>0.565217</v>
      </c>
      <c r="O2" s="28" t="n">
        <v>0.614868</v>
      </c>
      <c r="P2" s="28" t="n">
        <v>0.042131</v>
      </c>
      <c r="Q2" s="28" t="n">
        <v>0.049651</v>
      </c>
      <c r="R2" s="26" t="n">
        <v>51</v>
      </c>
      <c r="S2" s="29" t="n">
        <v>1.5</v>
      </c>
      <c r="T2" s="24" t="inlineStr">
        <is>
          <t>measured-edge-margin-v2</t>
        </is>
      </c>
      <c r="U2" s="24" t="inlineStr">
        <is>
          <t>settled</t>
        </is>
      </c>
      <c r="V2" s="24" t="inlineStr">
        <is>
          <t>loss</t>
        </is>
      </c>
      <c r="W2" s="26" t="n">
        <v>8</v>
      </c>
      <c r="X2" s="26" t="n">
        <v>0</v>
      </c>
      <c r="Y2" s="25" t="n">
        <v>1.5</v>
      </c>
      <c r="Z2" s="26" t="n">
        <v>-130</v>
      </c>
      <c r="AA2" s="28" t="n">
        <v>0.5649999999999999</v>
      </c>
      <c r="AB2" s="28" t="n">
        <v>-0.000217</v>
      </c>
      <c r="AC2" s="30" t="n">
        <v>-1.5</v>
      </c>
      <c r="AD2" s="24" t="inlineStr">
        <is>
          <t>2026-08-02T23:11:38.634889Z</t>
        </is>
      </c>
      <c r="AE2" s="31" t="inlineStr">
        <is>
          <t>Measured Edge Margin: Trend Engine projected 4.52-4.52; raw selected-side p=0.6750, calibrated p=0.6149.</t>
        </is>
      </c>
      <c r="AF2" s="31" t="inlineStr">
        <is>
          <t>Research-only; lineup, bullpen, park, weather, xFIP, and wRC+ may be neutral fallbacks; market availability and BBO depth may change before first pitch.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mlb-phi</t>
        </is>
      </c>
      <c r="AQ2" s="24" t="inlineStr">
        <is>
          <t>Philadelphia Phillies</t>
        </is>
      </c>
      <c r="AR2" s="24" t="inlineStr">
        <is>
          <t>Philadelphia Phillies</t>
        </is>
      </c>
      <c r="AS2" s="24" t="inlineStr">
        <is>
          <t>mlb-bal</t>
        </is>
      </c>
      <c r="AT2" s="24" t="inlineStr">
        <is>
          <t>Baltimore Orioles</t>
        </is>
      </c>
      <c r="AU2" s="24" t="inlineStr">
        <is>
          <t>Baltimore Orioles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8360b122264b796b0fb193095cfe4506c7e064e5f3f8c0a659aec41efd08dd25</t>
        </is>
      </c>
      <c r="BB2" s="24" t="inlineStr">
        <is>
          <t>flat_probability_shrinkage_toward_half</t>
        </is>
      </c>
      <c r="BC2" s="24" t="inlineStr">
        <is>
          <t>measured-edge-margin-v2</t>
        </is>
      </c>
      <c r="BD2" s="24" t="inlineStr">
        <is>
          <t>8360b122264b796b0fb193095cfe4506c7e064e5f3f8c0a659aec41efd08dd25</t>
        </is>
      </c>
      <c r="BE2" s="24" t="inlineStr">
        <is>
          <t>v3</t>
        </is>
      </c>
      <c r="BF2" s="24" t="inlineStr">
        <is>
          <t>1</t>
        </is>
      </c>
      <c r="BG2" s="24" t="inlineStr">
        <is>
          <t>measured-edge-paired-v1</t>
        </is>
      </c>
      <c r="BH2" s="24" t="inlineStr">
        <is>
          <t>2026-08-02T17:28:55.256054Z</t>
        </is>
      </c>
      <c r="BI2" s="24" t="inlineStr">
        <is>
          <t>["same_event","same_team_same_day","same_league_same_day"]</t>
        </is>
      </c>
      <c r="BJ2" s="25" t="n">
        <v>1.5</v>
      </c>
      <c r="BK2" s="26" t="n">
        <v>-130</v>
      </c>
      <c r="BL2" s="27" t="n">
        <v>1.769231</v>
      </c>
      <c r="BM2" s="28" t="n">
        <v>0.565217</v>
      </c>
      <c r="BN2" s="28" t="n">
        <v>0.562189</v>
      </c>
      <c r="BO2" s="28" t="n"/>
      <c r="BP2" s="25" t="n"/>
      <c r="BQ2" s="27" t="n">
        <v>1.769231</v>
      </c>
      <c r="BR2" s="28" t="n">
        <v>0.5649999999999999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</row>
    <row r="3" ht="36" customHeight="1">
      <c r="A3" s="24" t="inlineStr">
        <is>
          <t>c9e690e0dd8f4f19</t>
        </is>
      </c>
      <c r="B3" s="24" t="inlineStr">
        <is>
          <t>2026-08-02T17:28:55.256054Z</t>
        </is>
      </c>
      <c r="C3" s="24" t="inlineStr">
        <is>
          <t>2026-08-02T17:35Z</t>
        </is>
      </c>
      <c r="D3" s="24" t="inlineStr">
        <is>
          <t>401816365</t>
        </is>
      </c>
      <c r="E3" s="24" t="inlineStr">
        <is>
          <t>MLB</t>
        </is>
      </c>
      <c r="F3" s="24" t="inlineStr">
        <is>
          <t>Philadelphia Phillies</t>
        </is>
      </c>
      <c r="G3" s="24" t="inlineStr">
        <is>
          <t>Baltimore Orioles</t>
        </is>
      </c>
      <c r="H3" s="24" t="inlineStr">
        <is>
          <t>total</t>
        </is>
      </c>
      <c r="I3" s="24" t="inlineStr">
        <is>
          <t>over</t>
        </is>
      </c>
      <c r="J3" s="25" t="n">
        <v>8.5</v>
      </c>
      <c r="K3" s="24" t="inlineStr">
        <is>
          <t>polymarket_us</t>
        </is>
      </c>
      <c r="L3" s="26" t="n">
        <v>113</v>
      </c>
      <c r="M3" s="27" t="n">
        <v>2.13</v>
      </c>
      <c r="N3" s="28" t="n">
        <v>0.469484</v>
      </c>
      <c r="O3" s="28" t="n">
        <v>0.515126</v>
      </c>
      <c r="P3" s="28" t="n">
        <v>0.042131</v>
      </c>
      <c r="Q3" s="28" t="n">
        <v>0.045642</v>
      </c>
      <c r="R3" s="26" t="n">
        <v>48</v>
      </c>
      <c r="S3" s="29" t="n">
        <v>1</v>
      </c>
      <c r="T3" s="24" t="inlineStr">
        <is>
          <t>measured-edge-totals-v2</t>
        </is>
      </c>
      <c r="U3" s="24" t="inlineStr">
        <is>
          <t>settled</t>
        </is>
      </c>
      <c r="V3" s="24" t="inlineStr">
        <is>
          <t>loss</t>
        </is>
      </c>
      <c r="W3" s="26" t="n">
        <v>8</v>
      </c>
      <c r="X3" s="26" t="n">
        <v>0</v>
      </c>
      <c r="Y3" s="25" t="n">
        <v>8.5</v>
      </c>
      <c r="Z3" s="26" t="n">
        <v>113</v>
      </c>
      <c r="AA3" s="28" t="n">
        <v>0.47</v>
      </c>
      <c r="AB3" s="28" t="n">
        <v>0.000516</v>
      </c>
      <c r="AC3" s="30" t="n">
        <v>-1</v>
      </c>
      <c r="AD3" s="24" t="inlineStr">
        <is>
          <t>2026-08-02T23:11:39.085045Z</t>
        </is>
      </c>
      <c r="AE3" s="31" t="inlineStr">
        <is>
          <t>Measured Edge Totals: Trend Engine projected 4.52-4.52; raw selected-side p=0.5210, calibrated p=0.5151.</t>
        </is>
      </c>
      <c r="AF3" s="31" t="inlineStr">
        <is>
          <t>Research-only; lineup, bullpen, park, weather, xFIP, and wRC+ may be neutral fallbacks; market availability and BBO depth may change before first pitch.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mlb-phi</t>
        </is>
      </c>
      <c r="AQ3" s="24" t="inlineStr">
        <is>
          <t>Philadelphia Phillies</t>
        </is>
      </c>
      <c r="AR3" s="24" t="inlineStr">
        <is>
          <t>Philadelphia Phillies</t>
        </is>
      </c>
      <c r="AS3" s="24" t="inlineStr">
        <is>
          <t>mlb-bal</t>
        </is>
      </c>
      <c r="AT3" s="24" t="inlineStr">
        <is>
          <t>Baltimore Orioles</t>
        </is>
      </c>
      <c r="AU3" s="24" t="inlineStr">
        <is>
          <t>Baltimore Orioles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433578016242b27f9c1c7132cc6b5a2bcc7dd1b0234590c12a944455a88e71bd</t>
        </is>
      </c>
      <c r="BB3" s="24" t="inlineStr">
        <is>
          <t>flat_probability_shrinkage_toward_half</t>
        </is>
      </c>
      <c r="BC3" s="24" t="inlineStr">
        <is>
          <t>measured-edge-totals-v2</t>
        </is>
      </c>
      <c r="BD3" s="24" t="inlineStr">
        <is>
          <t>433578016242b27f9c1c7132cc6b5a2bcc7dd1b0234590c12a944455a88e71bd</t>
        </is>
      </c>
      <c r="BE3" s="24" t="inlineStr">
        <is>
          <t>v3</t>
        </is>
      </c>
      <c r="BF3" s="24" t="inlineStr">
        <is>
          <t>1</t>
        </is>
      </c>
      <c r="BG3" s="24" t="inlineStr">
        <is>
          <t>measured-edge-paired-v1</t>
        </is>
      </c>
      <c r="BH3" s="24" t="inlineStr">
        <is>
          <t>2026-08-02T17:28:55.256054Z</t>
        </is>
      </c>
      <c r="BI3" s="24" t="inlineStr">
        <is>
          <t>["same_event","same_team_same_day","same_league_same_day"]</t>
        </is>
      </c>
      <c r="BJ3" s="25" t="n">
        <v>8.5</v>
      </c>
      <c r="BK3" s="26" t="n">
        <v>113</v>
      </c>
      <c r="BL3" s="27" t="n">
        <v>2.13</v>
      </c>
      <c r="BM3" s="28" t="n">
        <v>0.469484</v>
      </c>
      <c r="BN3" s="28" t="n">
        <v>0.467662</v>
      </c>
      <c r="BO3" s="28" t="n"/>
      <c r="BP3" s="25" t="n"/>
      <c r="BQ3" s="27" t="n">
        <v>2.13</v>
      </c>
      <c r="BR3" s="28" t="n">
        <v>0.47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</row>
    <row r="4" ht="36" customHeight="1">
      <c r="A4" s="24" t="inlineStr">
        <is>
          <t>1164132b25cf4b39</t>
        </is>
      </c>
      <c r="B4" s="24" t="inlineStr">
        <is>
          <t>2026-08-02T17:28:55.256054Z</t>
        </is>
      </c>
      <c r="C4" s="24" t="inlineStr">
        <is>
          <t>2026-08-02T17:35Z</t>
        </is>
      </c>
      <c r="D4" s="24" t="inlineStr">
        <is>
          <t>401816368</t>
        </is>
      </c>
      <c r="E4" s="24" t="inlineStr">
        <is>
          <t>MLB</t>
        </is>
      </c>
      <c r="F4" s="24" t="inlineStr">
        <is>
          <t>Washington Nationals</t>
        </is>
      </c>
      <c r="G4" s="24" t="inlineStr">
        <is>
          <t>Atlanta Braves</t>
        </is>
      </c>
      <c r="H4" s="24" t="inlineStr">
        <is>
          <t>spread</t>
        </is>
      </c>
      <c r="I4" s="24" t="inlineStr">
        <is>
          <t>away</t>
        </is>
      </c>
      <c r="J4" s="25" t="n">
        <v>1.5</v>
      </c>
      <c r="K4" s="24" t="inlineStr">
        <is>
          <t>polymarket_us</t>
        </is>
      </c>
      <c r="L4" s="26" t="n">
        <v>-178</v>
      </c>
      <c r="M4" s="27" t="n">
        <v>1.561798</v>
      </c>
      <c r="N4" s="28" t="n">
        <v>0.640288</v>
      </c>
      <c r="O4" s="28" t="n">
        <v>0.612965</v>
      </c>
      <c r="P4" s="28" t="n">
        <v>0.042131</v>
      </c>
      <c r="Q4" s="28" t="n">
        <v>-0.027323</v>
      </c>
      <c r="R4" s="26" t="n">
        <v>13</v>
      </c>
      <c r="S4" s="29" t="n">
        <v>1.5</v>
      </c>
      <c r="T4" s="24" t="inlineStr">
        <is>
          <t>measured-edge-margin-v2</t>
        </is>
      </c>
      <c r="U4" s="24" t="inlineStr">
        <is>
          <t>settled</t>
        </is>
      </c>
      <c r="V4" s="24" t="inlineStr">
        <is>
          <t>loss</t>
        </is>
      </c>
      <c r="W4" s="26" t="n">
        <v>2</v>
      </c>
      <c r="X4" s="26" t="n">
        <v>4</v>
      </c>
      <c r="Y4" s="25" t="n">
        <v>1.5</v>
      </c>
      <c r="Z4" s="26" t="n">
        <v>-178</v>
      </c>
      <c r="AA4" s="28" t="n">
        <v>0.64</v>
      </c>
      <c r="AB4" s="28" t="n">
        <v>-0.000288</v>
      </c>
      <c r="AC4" s="30" t="n">
        <v>-1.5</v>
      </c>
      <c r="AD4" s="24" t="inlineStr">
        <is>
          <t>2026-08-02T23:11:39.497234Z</t>
        </is>
      </c>
      <c r="AE4" s="31" t="inlineStr">
        <is>
          <t>Measured Edge Margin: Trend Engine projected 4.45-4.46; raw selected-side p=0.6721, calibrated p=0.6130.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mlb-wsh</t>
        </is>
      </c>
      <c r="AQ4" s="24" t="inlineStr">
        <is>
          <t>Washington Nationals</t>
        </is>
      </c>
      <c r="AR4" s="24" t="inlineStr">
        <is>
          <t>Washington Nationals</t>
        </is>
      </c>
      <c r="AS4" s="24" t="inlineStr">
        <is>
          <t>mlb-atl</t>
        </is>
      </c>
      <c r="AT4" s="24" t="inlineStr">
        <is>
          <t>Atlanta Braves</t>
        </is>
      </c>
      <c r="AU4" s="24" t="inlineStr">
        <is>
          <t>Atlanta Braves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8360b122264b796b0fb193095cfe4506c7e064e5f3f8c0a659aec41efd08dd25</t>
        </is>
      </c>
      <c r="BB4" s="24" t="inlineStr">
        <is>
          <t>flat_probability_shrinkage_toward_half</t>
        </is>
      </c>
      <c r="BC4" s="24" t="inlineStr">
        <is>
          <t>measured-edge-margin-v2</t>
        </is>
      </c>
      <c r="BD4" s="24" t="inlineStr">
        <is>
          <t>8360b122264b796b0fb193095cfe4506c7e064e5f3f8c0a659aec41efd08dd25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2026-08-02T17:28:55.256054Z</t>
        </is>
      </c>
      <c r="BI4" s="24" t="inlineStr">
        <is>
          <t>["same_event","same_team_same_day","same_league_same_day"]</t>
        </is>
      </c>
      <c r="BJ4" s="25" t="n">
        <v>1.5</v>
      </c>
      <c r="BK4" s="26" t="n">
        <v>-178</v>
      </c>
      <c r="BL4" s="27" t="n">
        <v>1.561798</v>
      </c>
      <c r="BM4" s="28" t="n">
        <v>0.640288</v>
      </c>
      <c r="BN4" s="28" t="n">
        <v>0.636816</v>
      </c>
      <c r="BO4" s="28" t="n"/>
      <c r="BP4" s="25" t="n"/>
      <c r="BQ4" s="27" t="n">
        <v>1.561798</v>
      </c>
      <c r="BR4" s="28" t="n">
        <v>0.64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False</t>
        </is>
      </c>
    </row>
    <row r="5" ht="36" customHeight="1">
      <c r="A5" s="24" t="inlineStr">
        <is>
          <t>ac5cb612d538407f</t>
        </is>
      </c>
      <c r="B5" s="24" t="inlineStr">
        <is>
          <t>2026-08-02T17:28:55.256054Z</t>
        </is>
      </c>
      <c r="C5" s="24" t="inlineStr">
        <is>
          <t>2026-08-02T17:35Z</t>
        </is>
      </c>
      <c r="D5" s="24" t="inlineStr">
        <is>
          <t>401816368</t>
        </is>
      </c>
      <c r="E5" s="24" t="inlineStr">
        <is>
          <t>MLB</t>
        </is>
      </c>
      <c r="F5" s="24" t="inlineStr">
        <is>
          <t>Washington Nationals</t>
        </is>
      </c>
      <c r="G5" s="24" t="inlineStr">
        <is>
          <t>Atlanta Braves</t>
        </is>
      </c>
      <c r="H5" s="24" t="inlineStr">
        <is>
          <t>total</t>
        </is>
      </c>
      <c r="I5" s="24" t="inlineStr">
        <is>
          <t>over</t>
        </is>
      </c>
      <c r="J5" s="25" t="n">
        <v>8.5</v>
      </c>
      <c r="K5" s="24" t="inlineStr">
        <is>
          <t>polymarket_us</t>
        </is>
      </c>
      <c r="L5" s="26" t="n">
        <v>-122</v>
      </c>
      <c r="M5" s="27" t="n">
        <v>1.819672</v>
      </c>
      <c r="N5" s="28" t="n">
        <v>0.54955</v>
      </c>
      <c r="O5" s="28" t="n">
        <v>0.510393</v>
      </c>
      <c r="P5" s="28" t="n">
        <v>0.042131</v>
      </c>
      <c r="Q5" s="28" t="n">
        <v>-0.039157</v>
      </c>
      <c r="R5" s="26" t="n">
        <v>6</v>
      </c>
      <c r="S5" s="29" t="n">
        <v>1</v>
      </c>
      <c r="T5" s="24" t="inlineStr">
        <is>
          <t>measured-edge-totals-v2</t>
        </is>
      </c>
      <c r="U5" s="24" t="inlineStr">
        <is>
          <t>settled</t>
        </is>
      </c>
      <c r="V5" s="24" t="inlineStr">
        <is>
          <t>loss</t>
        </is>
      </c>
      <c r="W5" s="26" t="n">
        <v>2</v>
      </c>
      <c r="X5" s="26" t="n">
        <v>4</v>
      </c>
      <c r="Y5" s="25" t="n">
        <v>8.5</v>
      </c>
      <c r="Z5" s="26" t="n">
        <v>-122</v>
      </c>
      <c r="AA5" s="28" t="n">
        <v>0.55</v>
      </c>
      <c r="AB5" s="28" t="n">
        <v>0.00045</v>
      </c>
      <c r="AC5" s="30" t="n">
        <v>-1</v>
      </c>
      <c r="AD5" s="24" t="inlineStr">
        <is>
          <t>2026-08-02T23:11:39.915106Z</t>
        </is>
      </c>
      <c r="AE5" s="31" t="inlineStr">
        <is>
          <t>Measured Edge Totals: Trend Engine projected 4.45-4.46; raw selected-side p=0.5071, calibrated p=0.5104.</t>
        </is>
      </c>
      <c r="AF5" s="31" t="inlineStr">
        <is>
          <t>Research-only; lineup, bullpen, park, weather, xFIP, and wRC+ may be neutral fallbacks; market availability and BBO depth may change before first pitch.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mlb-wsh</t>
        </is>
      </c>
      <c r="AQ5" s="24" t="inlineStr">
        <is>
          <t>Washington Nationals</t>
        </is>
      </c>
      <c r="AR5" s="24" t="inlineStr">
        <is>
          <t>Washington Nationals</t>
        </is>
      </c>
      <c r="AS5" s="24" t="inlineStr">
        <is>
          <t>mlb-atl</t>
        </is>
      </c>
      <c r="AT5" s="24" t="inlineStr">
        <is>
          <t>Atlanta Braves</t>
        </is>
      </c>
      <c r="AU5" s="24" t="inlineStr">
        <is>
          <t>Atlanta Braves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433578016242b27f9c1c7132cc6b5a2bcc7dd1b0234590c12a944455a88e71bd</t>
        </is>
      </c>
      <c r="BB5" s="24" t="inlineStr">
        <is>
          <t>flat_probability_shrinkage_toward_half</t>
        </is>
      </c>
      <c r="BC5" s="24" t="inlineStr">
        <is>
          <t>measured-edge-totals-v2</t>
        </is>
      </c>
      <c r="BD5" s="24" t="inlineStr">
        <is>
          <t>433578016242b27f9c1c7132cc6b5a2bcc7dd1b0234590c12a944455a88e71bd</t>
        </is>
      </c>
      <c r="BE5" s="24" t="inlineStr">
        <is>
          <t>v3</t>
        </is>
      </c>
      <c r="BF5" s="24" t="inlineStr">
        <is>
          <t>1</t>
        </is>
      </c>
      <c r="BG5" s="24" t="inlineStr">
        <is>
          <t>measured-edge-paired-v1</t>
        </is>
      </c>
      <c r="BH5" s="24" t="inlineStr">
        <is>
          <t>2026-08-02T17:28:55.256054Z</t>
        </is>
      </c>
      <c r="BI5" s="24" t="inlineStr">
        <is>
          <t>["same_event","same_team_same_day","same_league_same_day"]</t>
        </is>
      </c>
      <c r="BJ5" s="25" t="n">
        <v>8.5</v>
      </c>
      <c r="BK5" s="26" t="n">
        <v>-122</v>
      </c>
      <c r="BL5" s="27" t="n">
        <v>1.819672</v>
      </c>
      <c r="BM5" s="28" t="n">
        <v>0.54955</v>
      </c>
      <c r="BN5" s="28" t="n">
        <v>0.547264</v>
      </c>
      <c r="BO5" s="28" t="n"/>
      <c r="BP5" s="25" t="n"/>
      <c r="BQ5" s="27" t="n">
        <v>1.819672</v>
      </c>
      <c r="BR5" s="28" t="n">
        <v>0.55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</row>
    <row r="6" ht="36" customHeight="1">
      <c r="A6" s="24" t="inlineStr">
        <is>
          <t>67caed1263934524</t>
        </is>
      </c>
      <c r="B6" s="24" t="inlineStr">
        <is>
          <t>2026-08-02T17:28:55.256054Z</t>
        </is>
      </c>
      <c r="C6" s="24" t="inlineStr">
        <is>
          <t>2026-08-02T17:37Z</t>
        </is>
      </c>
      <c r="D6" s="24" t="inlineStr">
        <is>
          <t>401816367</t>
        </is>
      </c>
      <c r="E6" s="24" t="inlineStr">
        <is>
          <t>MLB</t>
        </is>
      </c>
      <c r="F6" s="24" t="inlineStr">
        <is>
          <t>St. Louis Cardinals</t>
        </is>
      </c>
      <c r="G6" s="24" t="inlineStr">
        <is>
          <t>Toronto Blue Jays</t>
        </is>
      </c>
      <c r="H6" s="24" t="inlineStr">
        <is>
          <t>spread</t>
        </is>
      </c>
      <c r="I6" s="24" t="inlineStr">
        <is>
          <t>away</t>
        </is>
      </c>
      <c r="J6" s="25" t="n">
        <v>1.5</v>
      </c>
      <c r="K6" s="24" t="inlineStr">
        <is>
          <t>polymarket_us</t>
        </is>
      </c>
      <c r="L6" s="26" t="n">
        <v>-174</v>
      </c>
      <c r="M6" s="27" t="n">
        <v>1.574713</v>
      </c>
      <c r="N6" s="28" t="n">
        <v>0.635036</v>
      </c>
      <c r="O6" s="28" t="n">
        <v>0.6256930000000001</v>
      </c>
      <c r="P6" s="28" t="n">
        <v>0.05172</v>
      </c>
      <c r="Q6" s="28" t="n">
        <v>-0.009343000000000001</v>
      </c>
      <c r="R6" s="26" t="n">
        <v>16</v>
      </c>
      <c r="S6" s="29" t="n">
        <v>1.5</v>
      </c>
      <c r="T6" s="24" t="inlineStr">
        <is>
          <t>measured-edge-margin-v2</t>
        </is>
      </c>
      <c r="U6" s="24" t="inlineStr">
        <is>
          <t>settled</t>
        </is>
      </c>
      <c r="V6" s="24" t="inlineStr">
        <is>
          <t>win</t>
        </is>
      </c>
      <c r="W6" s="26" t="n">
        <v>5</v>
      </c>
      <c r="X6" s="26" t="n">
        <v>1</v>
      </c>
      <c r="Y6" s="25" t="n">
        <v>1.5</v>
      </c>
      <c r="Z6" s="26" t="n">
        <v>-174</v>
      </c>
      <c r="AA6" s="28" t="n">
        <v>0.635</v>
      </c>
      <c r="AB6" s="28" t="n">
        <v>-3.6e-05</v>
      </c>
      <c r="AC6" s="30" t="n">
        <v>0.8621</v>
      </c>
      <c r="AD6" s="24" t="inlineStr">
        <is>
          <t>2026-08-02T23:11:40.321020Z</t>
        </is>
      </c>
      <c r="AE6" s="31" t="inlineStr">
        <is>
          <t>Measured Edge Margin: Trend Engine projected 5.24-4.85; raw selected-side p=0.6915, calibrated p=0.6257.</t>
        </is>
      </c>
      <c r="AF6" s="31" t="inlineStr">
        <is>
          <t>Research-only; lineup, bullpen, park, weather, xFIP, and wRC+ may be neutral fallbacks; market availability and BBO depth may change before first pitch.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mlb-stl</t>
        </is>
      </c>
      <c r="AQ6" s="24" t="inlineStr">
        <is>
          <t>St. Louis Cardinals</t>
        </is>
      </c>
      <c r="AR6" s="24" t="inlineStr">
        <is>
          <t>St. Louis Cardinals</t>
        </is>
      </c>
      <c r="AS6" s="24" t="inlineStr">
        <is>
          <t>mlb-tor</t>
        </is>
      </c>
      <c r="AT6" s="24" t="inlineStr">
        <is>
          <t>Toronto Blue Jays</t>
        </is>
      </c>
      <c r="AU6" s="24" t="inlineStr">
        <is>
          <t>Toronto Blue Jays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8360b122264b796b0fb193095cfe4506c7e064e5f3f8c0a659aec41efd08dd25</t>
        </is>
      </c>
      <c r="BB6" s="24" t="inlineStr">
        <is>
          <t>flat_probability_shrinkage_toward_half</t>
        </is>
      </c>
      <c r="BC6" s="24" t="inlineStr">
        <is>
          <t>measured-edge-margin-v2</t>
        </is>
      </c>
      <c r="BD6" s="24" t="inlineStr">
        <is>
          <t>8360b122264b796b0fb193095cfe4506c7e064e5f3f8c0a659aec41efd08dd25</t>
        </is>
      </c>
      <c r="BE6" s="24" t="inlineStr">
        <is>
          <t>v3</t>
        </is>
      </c>
      <c r="BF6" s="24" t="inlineStr">
        <is>
          <t>1</t>
        </is>
      </c>
      <c r="BG6" s="24" t="inlineStr">
        <is>
          <t>measured-edge-paired-v1</t>
        </is>
      </c>
      <c r="BH6" s="24" t="inlineStr">
        <is>
          <t>2026-08-02T17:28:55.256054Z</t>
        </is>
      </c>
      <c r="BI6" s="24" t="inlineStr">
        <is>
          <t>["same_event","same_team_same_day","same_league_same_day"]</t>
        </is>
      </c>
      <c r="BJ6" s="25" t="n">
        <v>1.5</v>
      </c>
      <c r="BK6" s="26" t="n">
        <v>-174</v>
      </c>
      <c r="BL6" s="27" t="n">
        <v>1.574713</v>
      </c>
      <c r="BM6" s="28" t="n">
        <v>0.635036</v>
      </c>
      <c r="BN6" s="28" t="n">
        <v>0.631841</v>
      </c>
      <c r="BO6" s="28" t="n"/>
      <c r="BP6" s="25" t="n"/>
      <c r="BQ6" s="27" t="n">
        <v>1.574713</v>
      </c>
      <c r="BR6" s="28" t="n">
        <v>0.635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</row>
    <row r="7" ht="36" customHeight="1">
      <c r="A7" s="24" t="inlineStr">
        <is>
          <t>21e6aacbcab447e9</t>
        </is>
      </c>
      <c r="B7" s="24" t="inlineStr">
        <is>
          <t>2026-08-02T17:28:55.256054Z</t>
        </is>
      </c>
      <c r="C7" s="24" t="inlineStr">
        <is>
          <t>2026-08-02T17:37Z</t>
        </is>
      </c>
      <c r="D7" s="24" t="inlineStr">
        <is>
          <t>401816367</t>
        </is>
      </c>
      <c r="E7" s="24" t="inlineStr">
        <is>
          <t>MLB</t>
        </is>
      </c>
      <c r="F7" s="24" t="inlineStr">
        <is>
          <t>St. Louis Cardinals</t>
        </is>
      </c>
      <c r="G7" s="24" t="inlineStr">
        <is>
          <t>Toronto Blue Jays</t>
        </is>
      </c>
      <c r="H7" s="24" t="inlineStr">
        <is>
          <t>total</t>
        </is>
      </c>
      <c r="I7" s="24" t="inlineStr">
        <is>
          <t>over</t>
        </is>
      </c>
      <c r="J7" s="25" t="n">
        <v>8.5</v>
      </c>
      <c r="K7" s="24" t="inlineStr">
        <is>
          <t>polymarket_us</t>
        </is>
      </c>
      <c r="L7" s="26" t="n">
        <v>-106</v>
      </c>
      <c r="M7" s="27" t="n">
        <v>1.943396</v>
      </c>
      <c r="N7" s="28" t="n">
        <v>0.514563</v>
      </c>
      <c r="O7" s="28" t="n">
        <v>0.5447340000000001</v>
      </c>
      <c r="P7" s="28" t="n">
        <v>0.05172</v>
      </c>
      <c r="Q7" s="28" t="n">
        <v>0.030171</v>
      </c>
      <c r="R7" s="26" t="n">
        <v>35</v>
      </c>
      <c r="S7" s="29" t="n">
        <v>1</v>
      </c>
      <c r="T7" s="24" t="inlineStr">
        <is>
          <t>measured-edge-totals-v2</t>
        </is>
      </c>
      <c r="U7" s="24" t="inlineStr">
        <is>
          <t>settled</t>
        </is>
      </c>
      <c r="V7" s="24" t="inlineStr">
        <is>
          <t>loss</t>
        </is>
      </c>
      <c r="W7" s="26" t="n">
        <v>5</v>
      </c>
      <c r="X7" s="26" t="n">
        <v>1</v>
      </c>
      <c r="Y7" s="25" t="n">
        <v>8.5</v>
      </c>
      <c r="Z7" s="26" t="n">
        <v>-106</v>
      </c>
      <c r="AA7" s="28" t="n">
        <v>0.515</v>
      </c>
      <c r="AB7" s="28" t="n">
        <v>0.000437</v>
      </c>
      <c r="AC7" s="30" t="n">
        <v>-1</v>
      </c>
      <c r="AD7" s="24" t="inlineStr">
        <is>
          <t>2026-08-02T23:11:40.773792Z</t>
        </is>
      </c>
      <c r="AE7" s="31" t="inlineStr">
        <is>
          <t>Measured Edge Totals: Trend Engine projected 5.24-4.85; raw selected-side p=0.6077, calibrated p=0.5447.</t>
        </is>
      </c>
      <c r="AF7" s="31" t="inlineStr">
        <is>
          <t>Research-only; lineup, bullpen, park, weather, xFIP, and wRC+ may be neutral fallbacks; market availability and BBO depth may change before first pitch.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mlb-stl</t>
        </is>
      </c>
      <c r="AQ7" s="24" t="inlineStr">
        <is>
          <t>St. Louis Cardinals</t>
        </is>
      </c>
      <c r="AR7" s="24" t="inlineStr">
        <is>
          <t>St. Louis Cardinals</t>
        </is>
      </c>
      <c r="AS7" s="24" t="inlineStr">
        <is>
          <t>mlb-tor</t>
        </is>
      </c>
      <c r="AT7" s="24" t="inlineStr">
        <is>
          <t>Toronto Blue Jays</t>
        </is>
      </c>
      <c r="AU7" s="24" t="inlineStr">
        <is>
          <t>Toronto Blue Jays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433578016242b27f9c1c7132cc6b5a2bcc7dd1b0234590c12a944455a88e71bd</t>
        </is>
      </c>
      <c r="BB7" s="24" t="inlineStr">
        <is>
          <t>flat_probability_shrinkage_toward_half</t>
        </is>
      </c>
      <c r="BC7" s="24" t="inlineStr">
        <is>
          <t>measured-edge-totals-v2</t>
        </is>
      </c>
      <c r="BD7" s="24" t="inlineStr">
        <is>
          <t>433578016242b27f9c1c7132cc6b5a2bcc7dd1b0234590c12a944455a88e71bd</t>
        </is>
      </c>
      <c r="BE7" s="24" t="inlineStr">
        <is>
          <t>v3</t>
        </is>
      </c>
      <c r="BF7" s="24" t="inlineStr">
        <is>
          <t>1</t>
        </is>
      </c>
      <c r="BG7" s="24" t="inlineStr">
        <is>
          <t>measured-edge-paired-v1</t>
        </is>
      </c>
      <c r="BH7" s="24" t="inlineStr">
        <is>
          <t>2026-08-02T17:28:55.256054Z</t>
        </is>
      </c>
      <c r="BI7" s="24" t="inlineStr">
        <is>
          <t>["same_event","same_team_same_day","same_league_same_day"]</t>
        </is>
      </c>
      <c r="BJ7" s="25" t="n">
        <v>8.5</v>
      </c>
      <c r="BK7" s="26" t="n">
        <v>-106</v>
      </c>
      <c r="BL7" s="27" t="n">
        <v>1.943396</v>
      </c>
      <c r="BM7" s="28" t="n">
        <v>0.514563</v>
      </c>
      <c r="BN7" s="28" t="n">
        <v>0.5124379999999999</v>
      </c>
      <c r="BO7" s="28" t="n"/>
      <c r="BP7" s="25" t="n"/>
      <c r="BQ7" s="27" t="n">
        <v>1.943396</v>
      </c>
      <c r="BR7" s="28" t="n">
        <v>0.515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</row>
    <row r="8" ht="36" customHeight="1">
      <c r="A8" s="24" t="inlineStr">
        <is>
          <t>0aac86de8b74407b</t>
        </is>
      </c>
      <c r="B8" s="24" t="inlineStr">
        <is>
          <t>2026-08-02T18:09:31.256815Z</t>
        </is>
      </c>
      <c r="C8" s="24" t="inlineStr">
        <is>
          <t>2026-08-02T18:10Z</t>
        </is>
      </c>
      <c r="D8" s="24" t="inlineStr">
        <is>
          <t>401816370</t>
        </is>
      </c>
      <c r="E8" s="24" t="inlineStr">
        <is>
          <t>MLB</t>
        </is>
      </c>
      <c r="F8" s="24" t="inlineStr">
        <is>
          <t>Texas Rangers</t>
        </is>
      </c>
      <c r="G8" s="24" t="inlineStr">
        <is>
          <t>Houston Astros</t>
        </is>
      </c>
      <c r="H8" s="24" t="inlineStr">
        <is>
          <t>spread</t>
        </is>
      </c>
      <c r="I8" s="24" t="inlineStr">
        <is>
          <t>away</t>
        </is>
      </c>
      <c r="J8" s="25" t="n">
        <v>1.5</v>
      </c>
      <c r="K8" s="24" t="inlineStr">
        <is>
          <t>polymarket_us</t>
        </is>
      </c>
      <c r="L8" s="26" t="n">
        <v>-167</v>
      </c>
      <c r="M8" s="27" t="n">
        <v>1.598802</v>
      </c>
      <c r="N8" s="28" t="n">
        <v>0.625468</v>
      </c>
      <c r="O8" s="28" t="n">
        <v>0.580882</v>
      </c>
      <c r="P8" s="28" t="n">
        <v>0.042131</v>
      </c>
      <c r="Q8" s="28" t="n">
        <v>-0.044586</v>
      </c>
      <c r="R8" s="26" t="n">
        <v>4</v>
      </c>
      <c r="S8" s="29" t="n">
        <v>1.25</v>
      </c>
      <c r="T8" s="24" t="inlineStr">
        <is>
          <t>measured-edge-margin-v2</t>
        </is>
      </c>
      <c r="U8" s="24" t="inlineStr">
        <is>
          <t>settled</t>
        </is>
      </c>
      <c r="V8" s="24" t="inlineStr">
        <is>
          <t>loss</t>
        </is>
      </c>
      <c r="W8" s="26" t="n">
        <v>3</v>
      </c>
      <c r="X8" s="26" t="n">
        <v>7</v>
      </c>
      <c r="Y8" s="25" t="n">
        <v>1.5</v>
      </c>
      <c r="Z8" s="26" t="n">
        <v>-167</v>
      </c>
      <c r="AA8" s="28" t="n">
        <v>0.625</v>
      </c>
      <c r="AB8" s="28" t="n">
        <v>-0.000468</v>
      </c>
      <c r="AC8" s="30" t="n">
        <v>-1.25</v>
      </c>
      <c r="AD8" s="24" t="inlineStr">
        <is>
          <t>2026-08-02T23:11:47.495533Z</t>
        </is>
      </c>
      <c r="AE8" s="31" t="inlineStr">
        <is>
          <t>Measured Edge Margin: Trend Engine projected 4.10-4.64; raw selected-side p=0.6232, calibrated p=0.5809.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mlb-tex</t>
        </is>
      </c>
      <c r="AQ8" s="24" t="inlineStr">
        <is>
          <t>Texas Rangers</t>
        </is>
      </c>
      <c r="AR8" s="24" t="inlineStr">
        <is>
          <t>Texas Rangers</t>
        </is>
      </c>
      <c r="AS8" s="24" t="inlineStr">
        <is>
          <t>mlb-hou</t>
        </is>
      </c>
      <c r="AT8" s="24" t="inlineStr">
        <is>
          <t>Houston Astros</t>
        </is>
      </c>
      <c r="AU8" s="24" t="inlineStr">
        <is>
          <t>Houston Astros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8360b122264b796b0fb193095cfe4506c7e064e5f3f8c0a659aec41efd08dd25</t>
        </is>
      </c>
      <c r="BB8" s="24" t="inlineStr">
        <is>
          <t>flat_probability_shrinkage_toward_half</t>
        </is>
      </c>
      <c r="BC8" s="24" t="inlineStr">
        <is>
          <t>measured-edge-margin-v2</t>
        </is>
      </c>
      <c r="BD8" s="24" t="inlineStr">
        <is>
          <t>8360b122264b796b0fb193095cfe4506c7e064e5f3f8c0a659aec41efd08dd25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2026-08-02T18:09:31.256815Z</t>
        </is>
      </c>
      <c r="BI8" s="24" t="inlineStr">
        <is>
          <t>["same_event","same_team_same_day","same_league_same_day"]</t>
        </is>
      </c>
      <c r="BJ8" s="25" t="n">
        <v>1.5</v>
      </c>
      <c r="BK8" s="26" t="n">
        <v>-167</v>
      </c>
      <c r="BL8" s="27" t="n">
        <v>1.598802</v>
      </c>
      <c r="BM8" s="28" t="n">
        <v>0.625468</v>
      </c>
      <c r="BN8" s="28" t="n">
        <v>0.621891</v>
      </c>
      <c r="BO8" s="28" t="n"/>
      <c r="BP8" s="25" t="n"/>
      <c r="BQ8" s="27" t="n">
        <v>1.598802</v>
      </c>
      <c r="BR8" s="28" t="n">
        <v>0.625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</row>
    <row r="9" ht="36" customHeight="1">
      <c r="A9" s="24" t="inlineStr">
        <is>
          <t>46b39617345b47a6</t>
        </is>
      </c>
      <c r="B9" s="24" t="inlineStr">
        <is>
          <t>2026-08-02T18:09:31.256815Z</t>
        </is>
      </c>
      <c r="C9" s="24" t="inlineStr">
        <is>
          <t>2026-08-02T18:10Z</t>
        </is>
      </c>
      <c r="D9" s="24" t="inlineStr">
        <is>
          <t>401816370</t>
        </is>
      </c>
      <c r="E9" s="24" t="inlineStr">
        <is>
          <t>MLB</t>
        </is>
      </c>
      <c r="F9" s="24" t="inlineStr">
        <is>
          <t>Texas Rangers</t>
        </is>
      </c>
      <c r="G9" s="24" t="inlineStr">
        <is>
          <t>Houston Astros</t>
        </is>
      </c>
      <c r="H9" s="24" t="inlineStr">
        <is>
          <t>total</t>
        </is>
      </c>
      <c r="I9" s="24" t="inlineStr">
        <is>
          <t>under</t>
        </is>
      </c>
      <c r="J9" s="25" t="n">
        <v>8.5</v>
      </c>
      <c r="K9" s="24" t="inlineStr">
        <is>
          <t>polymarket_us</t>
        </is>
      </c>
      <c r="L9" s="26" t="n">
        <v>-102</v>
      </c>
      <c r="M9" s="27" t="n">
        <v>1.980392</v>
      </c>
      <c r="N9" s="28" t="n">
        <v>0.50495</v>
      </c>
      <c r="O9" s="28" t="n">
        <v>0.511521</v>
      </c>
      <c r="P9" s="28" t="n">
        <v>0.042131</v>
      </c>
      <c r="Q9" s="28" t="n">
        <v>0.006571</v>
      </c>
      <c r="R9" s="26" t="n">
        <v>29</v>
      </c>
      <c r="S9" s="29" t="n">
        <v>1</v>
      </c>
      <c r="T9" s="24" t="inlineStr">
        <is>
          <t>measured-edge-totals-v2</t>
        </is>
      </c>
      <c r="U9" s="24" t="inlineStr">
        <is>
          <t>settled</t>
        </is>
      </c>
      <c r="V9" s="24" t="inlineStr">
        <is>
          <t>loss</t>
        </is>
      </c>
      <c r="W9" s="26" t="n">
        <v>3</v>
      </c>
      <c r="X9" s="26" t="n">
        <v>7</v>
      </c>
      <c r="Y9" s="25" t="n">
        <v>8.5</v>
      </c>
      <c r="Z9" s="26" t="n">
        <v>-102</v>
      </c>
      <c r="AA9" s="28" t="n">
        <v>0.505</v>
      </c>
      <c r="AB9" s="28" t="n">
        <v>5e-05</v>
      </c>
      <c r="AC9" s="30" t="n">
        <v>-1</v>
      </c>
      <c r="AD9" s="24" t="inlineStr">
        <is>
          <t>2026-08-02T23:11:47.946163Z</t>
        </is>
      </c>
      <c r="AE9" s="31" t="inlineStr">
        <is>
          <t>Measured Edge Totals: Trend Engine projected 4.10-4.64; raw selected-side p=0.5104, calibrated p=0.5115.</t>
        </is>
      </c>
      <c r="AF9" s="31" t="inlineStr">
        <is>
          <t>Research-only; lineup, bullpen, park, weather, xFIP, and wRC+ may be neutral fallbacks; market availability and BBO depth may change before first pitch.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mlb-tex</t>
        </is>
      </c>
      <c r="AQ9" s="24" t="inlineStr">
        <is>
          <t>Texas Rangers</t>
        </is>
      </c>
      <c r="AR9" s="24" t="inlineStr">
        <is>
          <t>Texas Rangers</t>
        </is>
      </c>
      <c r="AS9" s="24" t="inlineStr">
        <is>
          <t>mlb-hou</t>
        </is>
      </c>
      <c r="AT9" s="24" t="inlineStr">
        <is>
          <t>Houston Astros</t>
        </is>
      </c>
      <c r="AU9" s="24" t="inlineStr">
        <is>
          <t>Houston Astros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433578016242b27f9c1c7132cc6b5a2bcc7dd1b0234590c12a944455a88e71bd</t>
        </is>
      </c>
      <c r="BB9" s="24" t="inlineStr">
        <is>
          <t>flat_probability_shrinkage_toward_half</t>
        </is>
      </c>
      <c r="BC9" s="24" t="inlineStr">
        <is>
          <t>measured-edge-totals-v2</t>
        </is>
      </c>
      <c r="BD9" s="24" t="inlineStr">
        <is>
          <t>433578016242b27f9c1c7132cc6b5a2bcc7dd1b0234590c12a944455a88e71bd</t>
        </is>
      </c>
      <c r="BE9" s="24" t="inlineStr">
        <is>
          <t>v3</t>
        </is>
      </c>
      <c r="BF9" s="24" t="inlineStr">
        <is>
          <t>1</t>
        </is>
      </c>
      <c r="BG9" s="24" t="inlineStr">
        <is>
          <t>measured-edge-paired-v1</t>
        </is>
      </c>
      <c r="BH9" s="24" t="inlineStr">
        <is>
          <t>2026-08-02T18:09:31.256815Z</t>
        </is>
      </c>
      <c r="BI9" s="24" t="inlineStr">
        <is>
          <t>["same_event","same_team_same_day","same_league_same_day"]</t>
        </is>
      </c>
      <c r="BJ9" s="25" t="n">
        <v>8.5</v>
      </c>
      <c r="BK9" s="26" t="n">
        <v>-102</v>
      </c>
      <c r="BL9" s="27" t="n">
        <v>1.980392</v>
      </c>
      <c r="BM9" s="28" t="n">
        <v>0.50495</v>
      </c>
      <c r="BN9" s="28" t="n">
        <v>0.502488</v>
      </c>
      <c r="BO9" s="28" t="n"/>
      <c r="BP9" s="25" t="n"/>
      <c r="BQ9" s="27" t="n">
        <v>1.980392</v>
      </c>
      <c r="BR9" s="28" t="n">
        <v>0.505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732cf8f5d9b94b6d</t>
        </is>
      </c>
      <c r="B10" s="24" t="inlineStr">
        <is>
          <t>2026-08-02T18:09:31.256815Z</t>
        </is>
      </c>
      <c r="C10" s="24" t="inlineStr">
        <is>
          <t>2026-08-02T18:20Z</t>
        </is>
      </c>
      <c r="D10" s="24" t="inlineStr">
        <is>
          <t>401816369</t>
        </is>
      </c>
      <c r="E10" s="24" t="inlineStr">
        <is>
          <t>MLB</t>
        </is>
      </c>
      <c r="F10" s="24" t="inlineStr">
        <is>
          <t>New York Yankees</t>
        </is>
      </c>
      <c r="G10" s="24" t="inlineStr">
        <is>
          <t>Chicago Cubs</t>
        </is>
      </c>
      <c r="H10" s="24" t="inlineStr">
        <is>
          <t>spread</t>
        </is>
      </c>
      <c r="I10" s="24" t="inlineStr">
        <is>
          <t>home</t>
        </is>
      </c>
      <c r="J10" s="25" t="n">
        <v>1.5</v>
      </c>
      <c r="K10" s="24" t="inlineStr">
        <is>
          <t>polymarket_us</t>
        </is>
      </c>
      <c r="L10" s="26" t="n">
        <v>-167</v>
      </c>
      <c r="M10" s="27" t="n">
        <v>1.598802</v>
      </c>
      <c r="N10" s="28" t="n">
        <v>0.625468</v>
      </c>
      <c r="O10" s="28" t="n">
        <v>0.605256</v>
      </c>
      <c r="P10" s="28" t="n">
        <v>0.042131</v>
      </c>
      <c r="Q10" s="28" t="n">
        <v>-0.020212</v>
      </c>
      <c r="R10" s="26" t="n">
        <v>16</v>
      </c>
      <c r="S10" s="29" t="n">
        <v>1.5</v>
      </c>
      <c r="T10" s="24" t="inlineStr">
        <is>
          <t>measured-edge-margin-v2</t>
        </is>
      </c>
      <c r="U10" s="24" t="inlineStr">
        <is>
          <t>settled</t>
        </is>
      </c>
      <c r="V10" s="24" t="inlineStr">
        <is>
          <t>win</t>
        </is>
      </c>
      <c r="W10" s="26" t="n">
        <v>2</v>
      </c>
      <c r="X10" s="26" t="n">
        <v>1</v>
      </c>
      <c r="Y10" s="25" t="n">
        <v>1.5</v>
      </c>
      <c r="Z10" s="26" t="n">
        <v>-167</v>
      </c>
      <c r="AA10" s="28" t="n">
        <v>0.625</v>
      </c>
      <c r="AB10" s="28" t="n">
        <v>-0.000468</v>
      </c>
      <c r="AC10" s="30" t="n">
        <v>0.8982</v>
      </c>
      <c r="AD10" s="24" t="inlineStr">
        <is>
          <t>2026-08-02T23:11:48.365817Z</t>
        </is>
      </c>
      <c r="AE10" s="31" t="inlineStr">
        <is>
          <t>Measured Edge Margin: Trend Engine projected 4.57-4.52; raw selected-side p=0.6603, calibrated p=0.6053.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mlb-nyy</t>
        </is>
      </c>
      <c r="AQ10" s="24" t="inlineStr">
        <is>
          <t>New York Yankees</t>
        </is>
      </c>
      <c r="AR10" s="24" t="inlineStr">
        <is>
          <t>New York Yankees</t>
        </is>
      </c>
      <c r="AS10" s="24" t="inlineStr">
        <is>
          <t>mlb-chc</t>
        </is>
      </c>
      <c r="AT10" s="24" t="inlineStr">
        <is>
          <t>Chicago Cubs</t>
        </is>
      </c>
      <c r="AU10" s="24" t="inlineStr">
        <is>
          <t>Chicago Cubs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8360b122264b796b0fb193095cfe4506c7e064e5f3f8c0a659aec41efd08dd25</t>
        </is>
      </c>
      <c r="BB10" s="24" t="inlineStr">
        <is>
          <t>flat_probability_shrinkage_toward_half</t>
        </is>
      </c>
      <c r="BC10" s="24" t="inlineStr">
        <is>
          <t>measured-edge-margin-v2</t>
        </is>
      </c>
      <c r="BD10" s="24" t="inlineStr">
        <is>
          <t>8360b122264b796b0fb193095cfe4506c7e064e5f3f8c0a659aec41efd08dd25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2026-08-02T18:09:31.256815Z</t>
        </is>
      </c>
      <c r="BI10" s="24" t="inlineStr">
        <is>
          <t>["same_event","same_team_same_day","same_league_same_day"]</t>
        </is>
      </c>
      <c r="BJ10" s="25" t="n">
        <v>1.5</v>
      </c>
      <c r="BK10" s="26" t="n">
        <v>-167</v>
      </c>
      <c r="BL10" s="27" t="n">
        <v>1.598802</v>
      </c>
      <c r="BM10" s="28" t="n">
        <v>0.625468</v>
      </c>
      <c r="BN10" s="28" t="n">
        <v>0.621891</v>
      </c>
      <c r="BO10" s="28" t="n"/>
      <c r="BP10" s="25" t="n"/>
      <c r="BQ10" s="27" t="n">
        <v>1.598802</v>
      </c>
      <c r="BR10" s="28" t="n">
        <v>0.625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False</t>
        </is>
      </c>
    </row>
    <row r="11" ht="36" customHeight="1">
      <c r="A11" s="24" t="inlineStr">
        <is>
          <t>4090e9468cc44150</t>
        </is>
      </c>
      <c r="B11" s="24" t="inlineStr">
        <is>
          <t>2026-08-02T18:09:31.256815Z</t>
        </is>
      </c>
      <c r="C11" s="24" t="inlineStr">
        <is>
          <t>2026-08-02T18:20Z</t>
        </is>
      </c>
      <c r="D11" s="24" t="inlineStr">
        <is>
          <t>401816369</t>
        </is>
      </c>
      <c r="E11" s="24" t="inlineStr">
        <is>
          <t>MLB</t>
        </is>
      </c>
      <c r="F11" s="24" t="inlineStr">
        <is>
          <t>New York Yankees</t>
        </is>
      </c>
      <c r="G11" s="24" t="inlineStr">
        <is>
          <t>Chicago Cubs</t>
        </is>
      </c>
      <c r="H11" s="24" t="inlineStr">
        <is>
          <t>total</t>
        </is>
      </c>
      <c r="I11" s="24" t="inlineStr">
        <is>
          <t>over</t>
        </is>
      </c>
      <c r="J11" s="25" t="n">
        <v>6.5</v>
      </c>
      <c r="K11" s="24" t="inlineStr">
        <is>
          <t>polymarket_us</t>
        </is>
      </c>
      <c r="L11" s="26" t="n">
        <v>-113</v>
      </c>
      <c r="M11" s="27" t="n">
        <v>1.884956</v>
      </c>
      <c r="N11" s="28" t="n">
        <v>0.530516</v>
      </c>
      <c r="O11" s="28" t="n">
        <v>0.584337</v>
      </c>
      <c r="P11" s="28" t="n">
        <v>0.042131</v>
      </c>
      <c r="Q11" s="28" t="n">
        <v>0.053821</v>
      </c>
      <c r="R11" s="26" t="n">
        <v>53</v>
      </c>
      <c r="S11" s="29" t="n">
        <v>1.25</v>
      </c>
      <c r="T11" s="24" t="inlineStr">
        <is>
          <t>measured-edge-totals-v2</t>
        </is>
      </c>
      <c r="U11" s="24" t="inlineStr">
        <is>
          <t>settled</t>
        </is>
      </c>
      <c r="V11" s="24" t="inlineStr">
        <is>
          <t>loss</t>
        </is>
      </c>
      <c r="W11" s="26" t="n">
        <v>2</v>
      </c>
      <c r="X11" s="26" t="n">
        <v>1</v>
      </c>
      <c r="Y11" s="25" t="n">
        <v>6.5</v>
      </c>
      <c r="Z11" s="26" t="n">
        <v>-113</v>
      </c>
      <c r="AA11" s="28" t="n">
        <v>0.53</v>
      </c>
      <c r="AB11" s="28" t="n">
        <v>-0.000516</v>
      </c>
      <c r="AC11" s="30" t="n">
        <v>-1.25</v>
      </c>
      <c r="AD11" s="24" t="inlineStr">
        <is>
          <t>2026-08-02T23:11:48.784760Z</t>
        </is>
      </c>
      <c r="AE11" s="31" t="inlineStr">
        <is>
          <t>Measured Edge Totals: Trend Engine projected 4.57-4.52; raw selected-side p=0.7236, calibrated p=0.5843.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mlb-nyy</t>
        </is>
      </c>
      <c r="AQ11" s="24" t="inlineStr">
        <is>
          <t>New York Yankees</t>
        </is>
      </c>
      <c r="AR11" s="24" t="inlineStr">
        <is>
          <t>New York Yankees</t>
        </is>
      </c>
      <c r="AS11" s="24" t="inlineStr">
        <is>
          <t>mlb-chc</t>
        </is>
      </c>
      <c r="AT11" s="24" t="inlineStr">
        <is>
          <t>Chicago Cubs</t>
        </is>
      </c>
      <c r="AU11" s="24" t="inlineStr">
        <is>
          <t>Chicago Cubs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433578016242b27f9c1c7132cc6b5a2bcc7dd1b0234590c12a944455a88e71bd</t>
        </is>
      </c>
      <c r="BB11" s="24" t="inlineStr">
        <is>
          <t>flat_probability_shrinkage_toward_half</t>
        </is>
      </c>
      <c r="BC11" s="24" t="inlineStr">
        <is>
          <t>measured-edge-totals-v2</t>
        </is>
      </c>
      <c r="BD11" s="24" t="inlineStr">
        <is>
          <t>433578016242b27f9c1c7132cc6b5a2bcc7dd1b0234590c12a944455a88e71bd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2026-08-02T18:09:31.256815Z</t>
        </is>
      </c>
      <c r="BI11" s="24" t="inlineStr">
        <is>
          <t>["same_event","same_team_same_day","same_league_same_day"]</t>
        </is>
      </c>
      <c r="BJ11" s="25" t="n">
        <v>6.5</v>
      </c>
      <c r="BK11" s="26" t="n">
        <v>-113</v>
      </c>
      <c r="BL11" s="27" t="n">
        <v>1.884956</v>
      </c>
      <c r="BM11" s="28" t="n">
        <v>0.530516</v>
      </c>
      <c r="BN11" s="28" t="n">
        <v>0.527363</v>
      </c>
      <c r="BO11" s="28" t="n"/>
      <c r="BP11" s="25" t="n"/>
      <c r="BQ11" s="27" t="n">
        <v>1.884956</v>
      </c>
      <c r="BR11" s="28" t="n">
        <v>0.53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</row>
    <row r="12" ht="36" customHeight="1">
      <c r="A12" s="24" t="inlineStr">
        <is>
          <t>97597cc81ddb427b</t>
        </is>
      </c>
      <c r="B12" s="24" t="inlineStr">
        <is>
          <t>2026-08-02T18:46:13.612768Z</t>
        </is>
      </c>
      <c r="C12" s="24" t="inlineStr">
        <is>
          <t>2026-08-02T15:15:00-0400</t>
        </is>
      </c>
      <c r="D12" s="24" t="inlineStr">
        <is>
          <t>401816374</t>
        </is>
      </c>
      <c r="E12" s="24" t="inlineStr">
        <is>
          <t>MLB</t>
        </is>
      </c>
      <c r="F12" s="24" t="inlineStr">
        <is>
          <t>Milwaukee Brewers</t>
        </is>
      </c>
      <c r="G12" s="24" t="inlineStr">
        <is>
          <t>Los Angeles Angels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-208</v>
      </c>
      <c r="M12" s="27" t="n">
        <v>1.480769</v>
      </c>
      <c r="N12" s="28" t="n">
        <v>0.675325</v>
      </c>
      <c r="O12" s="28" t="n">
        <v>0.625602</v>
      </c>
      <c r="P12" s="28" t="n"/>
      <c r="Q12" s="28" t="n">
        <v>-0.049723</v>
      </c>
      <c r="R12" s="26" t="n">
        <v>0</v>
      </c>
      <c r="S12" s="29" t="n">
        <v>1.5</v>
      </c>
      <c r="T12" s="24" t="inlineStr">
        <is>
          <t>mlb-elo-trend-lr-v7</t>
        </is>
      </c>
      <c r="U12" s="24" t="inlineStr">
        <is>
          <t>settled</t>
        </is>
      </c>
      <c r="V12" s="24" t="inlineStr">
        <is>
          <t>loss</t>
        </is>
      </c>
      <c r="W12" s="26" t="n">
        <v>0</v>
      </c>
      <c r="X12" s="26" t="n">
        <v>3</v>
      </c>
      <c r="Y12" s="25" t="n"/>
      <c r="Z12" s="26" t="n">
        <v>-208</v>
      </c>
      <c r="AA12" s="28" t="n">
        <v>0.675</v>
      </c>
      <c r="AB12" s="28" t="n">
        <v>-0.000325</v>
      </c>
      <c r="AC12" s="30" t="n">
        <v>-1.5</v>
      </c>
      <c r="AD12" s="24" t="inlineStr">
        <is>
          <t>2026-08-02T23:11:49.623572Z</t>
        </is>
      </c>
      <c r="AE12" s="31" t="inlineStr">
        <is>
          <t>Learned LR call at threshold 0.6242; executable ask 0.6750 (aec-mlb-mil-laa-2026-08-02); model edge vs ask -0.0494.</t>
        </is>
      </c>
      <c r="AF12" s="31" t="inlineStr">
        <is>
          <t>Learned model; shadow-qualified via operator override.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mlb-mil</t>
        </is>
      </c>
      <c r="AQ12" s="24" t="inlineStr">
        <is>
          <t>Milwaukee Brewers</t>
        </is>
      </c>
      <c r="AR12" s="24" t="inlineStr">
        <is>
          <t>Milwaukee Brewers</t>
        </is>
      </c>
      <c r="AS12" s="24" t="inlineStr">
        <is>
          <t>mlb-laa</t>
        </is>
      </c>
      <c r="AT12" s="24" t="inlineStr">
        <is>
          <t>Los Angeles Angels</t>
        </is>
      </c>
      <c r="AU12" s="24" t="inlineStr">
        <is>
          <t>Los Angeles Angels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464eef695bfbbdaa819ec6f5e4c5bd1068ed20b92915fb2677220ae91e20d8b6</t>
        </is>
      </c>
      <c r="BB12" s="24" t="inlineStr">
        <is>
          <t>learned_lr</t>
        </is>
      </c>
      <c r="BC12" s="24" t="inlineStr">
        <is>
          <t>mlb-elo-trend-lr-v7</t>
        </is>
      </c>
      <c r="BD12" s="24" t="inlineStr">
        <is>
          <t>464eef695bfbbdaa819ec6f5e4c5bd1068ed20b92915fb2677220ae91e20d8b6</t>
        </is>
      </c>
      <c r="BE12" s="24" t="inlineStr">
        <is>
          <t>6989455cd566cbdd</t>
        </is>
      </c>
      <c r="BF12" s="24" t="inlineStr">
        <is>
          <t>1</t>
        </is>
      </c>
      <c r="BG12" s="24" t="inlineStr">
        <is>
          <t>mlb-elo-trend-lr-v7</t>
        </is>
      </c>
      <c r="BH12" s="24" t="inlineStr">
        <is>
          <t>2026-08-02T18:44:40.713780Z</t>
        </is>
      </c>
      <c r="BI12" s="24" t="inlineStr">
        <is>
          <t>["same_event","same_team_same_day","same_league_same_day"]</t>
        </is>
      </c>
      <c r="BJ12" s="25" t="n"/>
      <c r="BK12" s="26" t="n">
        <v>-208</v>
      </c>
      <c r="BL12" s="27" t="n">
        <v>1.480769</v>
      </c>
      <c r="BM12" s="28" t="n">
        <v>0.675325</v>
      </c>
      <c r="BN12" s="28" t="n">
        <v>0.671642</v>
      </c>
      <c r="BO12" s="28" t="n"/>
      <c r="BP12" s="25" t="n"/>
      <c r="BQ12" s="27" t="n">
        <v>1.480769</v>
      </c>
      <c r="BR12" s="28" t="n">
        <v>0.675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0.3268450055</t>
        </is>
      </c>
      <c r="CD12" s="24" t="inlineStr">
        <is>
          <t>-0.59379</t>
        </is>
      </c>
      <c r="CE12" s="24" t="inlineStr">
        <is>
          <t>1.01</t>
        </is>
      </c>
      <c r="CF12" s="24" t="inlineStr">
        <is>
          <t>1.0174</t>
        </is>
      </c>
      <c r="CG12" s="24" t="inlineStr">
        <is>
          <t>0.2</t>
        </is>
      </c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inlineStr">
        <is>
          <t>0.625602</t>
        </is>
      </c>
      <c r="CS12" s="24" t="inlineStr">
        <is>
          <t>False</t>
        </is>
      </c>
    </row>
    <row r="13" ht="36" customHeight="1">
      <c r="A13" s="24" t="inlineStr">
        <is>
          <t>fe31d9f729d84cb1</t>
        </is>
      </c>
      <c r="B13" s="24" t="inlineStr">
        <is>
          <t>2026-08-02T18:46:36.549310Z</t>
        </is>
      </c>
      <c r="C13" s="24" t="inlineStr">
        <is>
          <t>2026-08-02T19:10Z</t>
        </is>
      </c>
      <c r="D13" s="24" t="inlineStr">
        <is>
          <t>401816371</t>
        </is>
      </c>
      <c r="E13" s="24" t="inlineStr">
        <is>
          <t>MLB</t>
        </is>
      </c>
      <c r="F13" s="24" t="inlineStr">
        <is>
          <t>Kansas City Royals</t>
        </is>
      </c>
      <c r="G13" s="24" t="inlineStr">
        <is>
          <t>Colorado Rockies</t>
        </is>
      </c>
      <c r="H13" s="24" t="inlineStr">
        <is>
          <t>spread</t>
        </is>
      </c>
      <c r="I13" s="24" t="inlineStr">
        <is>
          <t>away</t>
        </is>
      </c>
      <c r="J13" s="25" t="n">
        <v>1.5</v>
      </c>
      <c r="K13" s="24" t="inlineStr">
        <is>
          <t>polymarket_us</t>
        </is>
      </c>
      <c r="L13" s="26" t="n">
        <v>-163</v>
      </c>
      <c r="M13" s="27" t="n">
        <v>1.613497</v>
      </c>
      <c r="N13" s="28" t="n">
        <v>0.619772</v>
      </c>
      <c r="O13" s="28" t="n">
        <v>0.629958</v>
      </c>
      <c r="P13" s="28" t="n">
        <v>0.042131</v>
      </c>
      <c r="Q13" s="28" t="n">
        <v>0.010186</v>
      </c>
      <c r="R13" s="26" t="n">
        <v>31</v>
      </c>
      <c r="S13" s="29" t="n">
        <v>1.5</v>
      </c>
      <c r="T13" s="24" t="inlineStr">
        <is>
          <t>measured-edge-margin-v2</t>
        </is>
      </c>
      <c r="U13" s="24" t="inlineStr">
        <is>
          <t>settled</t>
        </is>
      </c>
      <c r="V13" s="24" t="inlineStr">
        <is>
          <t>loss</t>
        </is>
      </c>
      <c r="W13" s="26" t="n">
        <v>1</v>
      </c>
      <c r="X13" s="26" t="n">
        <v>8</v>
      </c>
      <c r="Y13" s="25" t="n">
        <v>1.5</v>
      </c>
      <c r="Z13" s="26" t="n">
        <v>-163</v>
      </c>
      <c r="AA13" s="28" t="n">
        <v>0.62</v>
      </c>
      <c r="AB13" s="28" t="n">
        <v>0.000228</v>
      </c>
      <c r="AC13" s="30" t="n">
        <v>-1.5</v>
      </c>
      <c r="AD13" s="24" t="inlineStr">
        <is>
          <t>2026-08-02T23:11:50.081877Z</t>
        </is>
      </c>
      <c r="AE13" s="31" t="inlineStr">
        <is>
          <t>Measured Edge Margin: Trend Engine projected 5.90-5.32; raw selected-side p=0.6980, calibrated p=0.6300.</t>
        </is>
      </c>
      <c r="AF13" s="31" t="inlineStr">
        <is>
          <t>Research-only; lineup, bullpen, park, weather, xFIP, and wRC+ may be neutral fallbacks; market availability and BBO depth may change before first pitch.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mlb-kc</t>
        </is>
      </c>
      <c r="AQ13" s="24" t="inlineStr">
        <is>
          <t>Kansas City Royals</t>
        </is>
      </c>
      <c r="AR13" s="24" t="inlineStr">
        <is>
          <t>Kansas City Royals</t>
        </is>
      </c>
      <c r="AS13" s="24" t="inlineStr">
        <is>
          <t>mlb-col</t>
        </is>
      </c>
      <c r="AT13" s="24" t="inlineStr">
        <is>
          <t>Colorado Rockies</t>
        </is>
      </c>
      <c r="AU13" s="24" t="inlineStr">
        <is>
          <t>Colorado Rockies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8360b122264b796b0fb193095cfe4506c7e064e5f3f8c0a659aec41efd08dd25</t>
        </is>
      </c>
      <c r="BB13" s="24" t="inlineStr">
        <is>
          <t>flat_probability_shrinkage_toward_half</t>
        </is>
      </c>
      <c r="BC13" s="24" t="inlineStr">
        <is>
          <t>measured-edge-margin-v2</t>
        </is>
      </c>
      <c r="BD13" s="24" t="inlineStr">
        <is>
          <t>8360b122264b796b0fb193095cfe4506c7e064e5f3f8c0a659aec41efd08dd25</t>
        </is>
      </c>
      <c r="BE13" s="24" t="inlineStr">
        <is>
          <t>v3</t>
        </is>
      </c>
      <c r="BF13" s="24" t="inlineStr">
        <is>
          <t>1</t>
        </is>
      </c>
      <c r="BG13" s="24" t="inlineStr">
        <is>
          <t>measured-edge-paired-v1</t>
        </is>
      </c>
      <c r="BH13" s="24" t="inlineStr">
        <is>
          <t>2026-08-02T18:46:36.549310Z</t>
        </is>
      </c>
      <c r="BI13" s="24" t="inlineStr">
        <is>
          <t>["same_event","same_team_same_day","same_league_same_day"]</t>
        </is>
      </c>
      <c r="BJ13" s="25" t="n">
        <v>1.5</v>
      </c>
      <c r="BK13" s="26" t="n">
        <v>-163</v>
      </c>
      <c r="BL13" s="27" t="n">
        <v>1.613497</v>
      </c>
      <c r="BM13" s="28" t="n">
        <v>0.619772</v>
      </c>
      <c r="BN13" s="28" t="n">
        <v>0.616915</v>
      </c>
      <c r="BO13" s="28" t="n"/>
      <c r="BP13" s="25" t="n"/>
      <c r="BQ13" s="27" t="n">
        <v>1.613497</v>
      </c>
      <c r="BR13" s="28" t="n">
        <v>0.62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</row>
    <row r="14" ht="36" customHeight="1">
      <c r="A14" s="24" t="inlineStr">
        <is>
          <t>d1d78de4da784181</t>
        </is>
      </c>
      <c r="B14" s="24" t="inlineStr">
        <is>
          <t>2026-08-02T18:46:36.549310Z</t>
        </is>
      </c>
      <c r="C14" s="24" t="inlineStr">
        <is>
          <t>2026-08-02T19:10Z</t>
        </is>
      </c>
      <c r="D14" s="24" t="inlineStr">
        <is>
          <t>401816371</t>
        </is>
      </c>
      <c r="E14" s="24" t="inlineStr">
        <is>
          <t>MLB</t>
        </is>
      </c>
      <c r="F14" s="24" t="inlineStr">
        <is>
          <t>Kansas City Royals</t>
        </is>
      </c>
      <c r="G14" s="24" t="inlineStr">
        <is>
          <t>Colorado Rockies</t>
        </is>
      </c>
      <c r="H14" s="24" t="inlineStr">
        <is>
          <t>total</t>
        </is>
      </c>
      <c r="I14" s="24" t="inlineStr">
        <is>
          <t>under</t>
        </is>
      </c>
      <c r="J14" s="25" t="n">
        <v>11.5</v>
      </c>
      <c r="K14" s="24" t="inlineStr">
        <is>
          <t>polymarket_us</t>
        </is>
      </c>
      <c r="L14" s="26" t="n">
        <v>-104</v>
      </c>
      <c r="M14" s="27" t="n">
        <v>1.961538</v>
      </c>
      <c r="N14" s="28" t="n">
        <v>0.509804</v>
      </c>
      <c r="O14" s="28" t="n">
        <v>0.533133</v>
      </c>
      <c r="P14" s="28" t="n">
        <v>0.042131</v>
      </c>
      <c r="Q14" s="28" t="n">
        <v>0.023329</v>
      </c>
      <c r="R14" s="26" t="n">
        <v>38</v>
      </c>
      <c r="S14" s="29" t="n">
        <v>1</v>
      </c>
      <c r="T14" s="24" t="inlineStr">
        <is>
          <t>measured-edge-totals-v2</t>
        </is>
      </c>
      <c r="U14" s="24" t="inlineStr">
        <is>
          <t>settled</t>
        </is>
      </c>
      <c r="V14" s="24" t="inlineStr">
        <is>
          <t>win</t>
        </is>
      </c>
      <c r="W14" s="26" t="n">
        <v>1</v>
      </c>
      <c r="X14" s="26" t="n">
        <v>8</v>
      </c>
      <c r="Y14" s="25" t="n">
        <v>11.5</v>
      </c>
      <c r="Z14" s="26" t="n">
        <v>-104</v>
      </c>
      <c r="AA14" s="28" t="n">
        <v>0.51</v>
      </c>
      <c r="AB14" s="28" t="n">
        <v>0.000196</v>
      </c>
      <c r="AC14" s="30" t="n">
        <v>0.9615</v>
      </c>
      <c r="AD14" s="24" t="inlineStr">
        <is>
          <t>2026-08-02T23:11:50.504306Z</t>
        </is>
      </c>
      <c r="AE14" s="31" t="inlineStr">
        <is>
          <t>Measured Edge Totals: Trend Engine projected 5.90-5.32; raw selected-side p=0.5737, calibrated p=0.5331.</t>
        </is>
      </c>
      <c r="AF14" s="31" t="inlineStr">
        <is>
          <t>Research-only; lineup, bullpen, park, weather, xFIP, and wRC+ may be neutral fallbacks; market availability and BBO depth may change before first pitch.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mlb-kc</t>
        </is>
      </c>
      <c r="AQ14" s="24" t="inlineStr">
        <is>
          <t>Kansas City Royals</t>
        </is>
      </c>
      <c r="AR14" s="24" t="inlineStr">
        <is>
          <t>Kansas City Royals</t>
        </is>
      </c>
      <c r="AS14" s="24" t="inlineStr">
        <is>
          <t>mlb-col</t>
        </is>
      </c>
      <c r="AT14" s="24" t="inlineStr">
        <is>
          <t>Colorado Rockies</t>
        </is>
      </c>
      <c r="AU14" s="24" t="inlineStr">
        <is>
          <t>Colorado Rockies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433578016242b27f9c1c7132cc6b5a2bcc7dd1b0234590c12a944455a88e71bd</t>
        </is>
      </c>
      <c r="BB14" s="24" t="inlineStr">
        <is>
          <t>flat_probability_shrinkage_toward_half</t>
        </is>
      </c>
      <c r="BC14" s="24" t="inlineStr">
        <is>
          <t>measured-edge-totals-v2</t>
        </is>
      </c>
      <c r="BD14" s="24" t="inlineStr">
        <is>
          <t>433578016242b27f9c1c7132cc6b5a2bcc7dd1b0234590c12a944455a88e71bd</t>
        </is>
      </c>
      <c r="BE14" s="24" t="inlineStr">
        <is>
          <t>v3</t>
        </is>
      </c>
      <c r="BF14" s="24" t="inlineStr">
        <is>
          <t>1</t>
        </is>
      </c>
      <c r="BG14" s="24" t="inlineStr">
        <is>
          <t>measured-edge-paired-v1</t>
        </is>
      </c>
      <c r="BH14" s="24" t="inlineStr">
        <is>
          <t>2026-08-02T18:46:36.549310Z</t>
        </is>
      </c>
      <c r="BI14" s="24" t="inlineStr">
        <is>
          <t>["same_event","same_team_same_day","same_league_same_day"]</t>
        </is>
      </c>
      <c r="BJ14" s="25" t="n">
        <v>11.5</v>
      </c>
      <c r="BK14" s="26" t="n">
        <v>-104</v>
      </c>
      <c r="BL14" s="27" t="n">
        <v>1.961538</v>
      </c>
      <c r="BM14" s="28" t="n">
        <v>0.509804</v>
      </c>
      <c r="BN14" s="28" t="n">
        <v>0.507463</v>
      </c>
      <c r="BO14" s="28" t="n"/>
      <c r="BP14" s="25" t="n"/>
      <c r="BQ14" s="27" t="n">
        <v>1.961538</v>
      </c>
      <c r="BR14" s="28" t="n">
        <v>0.51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</row>
    <row r="15" ht="36" customHeight="1">
      <c r="A15" s="24" t="inlineStr">
        <is>
          <t>ccd368805d224c34</t>
        </is>
      </c>
      <c r="B15" s="24" t="inlineStr">
        <is>
          <t>2026-08-02T18:46:36.549310Z</t>
        </is>
      </c>
      <c r="C15" s="24" t="inlineStr">
        <is>
          <t>2026-08-02T19:15Z</t>
        </is>
      </c>
      <c r="D15" s="24" t="inlineStr">
        <is>
          <t>401816374</t>
        </is>
      </c>
      <c r="E15" s="24" t="inlineStr">
        <is>
          <t>MLB</t>
        </is>
      </c>
      <c r="F15" s="24" t="inlineStr">
        <is>
          <t>Milwaukee Brewers</t>
        </is>
      </c>
      <c r="G15" s="24" t="inlineStr">
        <is>
          <t>Los Angeles Angels</t>
        </is>
      </c>
      <c r="H15" s="24" t="inlineStr">
        <is>
          <t>spread</t>
        </is>
      </c>
      <c r="I15" s="24" t="inlineStr">
        <is>
          <t>home</t>
        </is>
      </c>
      <c r="J15" s="25" t="n">
        <v>1.5</v>
      </c>
      <c r="K15" s="24" t="inlineStr">
        <is>
          <t>polymarket_us</t>
        </is>
      </c>
      <c r="L15" s="26" t="n">
        <v>117</v>
      </c>
      <c r="M15" s="27" t="n">
        <v>2.17</v>
      </c>
      <c r="N15" s="28" t="n">
        <v>0.460829</v>
      </c>
      <c r="O15" s="28" t="n">
        <v>0.5552280000000001</v>
      </c>
      <c r="P15" s="28" t="n">
        <v>0.042131</v>
      </c>
      <c r="Q15" s="28" t="n">
        <v>0.094399</v>
      </c>
      <c r="R15" s="26" t="n">
        <v>73</v>
      </c>
      <c r="S15" s="29" t="n">
        <v>1</v>
      </c>
      <c r="T15" s="24" t="inlineStr">
        <is>
          <t>measured-edge-margin-v2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3</v>
      </c>
      <c r="Y15" s="25" t="n">
        <v>1.5</v>
      </c>
      <c r="Z15" s="26" t="n">
        <v>117</v>
      </c>
      <c r="AA15" s="28" t="n">
        <v>0.46</v>
      </c>
      <c r="AB15" s="28" t="n">
        <v>-0.000829</v>
      </c>
      <c r="AC15" s="30" t="n">
        <v>1.17</v>
      </c>
      <c r="AD15" s="24" t="inlineStr">
        <is>
          <t>2026-08-02T23:11:50.925106Z</t>
        </is>
      </c>
      <c r="AE15" s="31" t="inlineStr">
        <is>
          <t>Measured Edge Margin: Trend Engine projected 4.07-3.09; raw selected-side p=0.5841, calibrated p=0.5552.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mlb-mil</t>
        </is>
      </c>
      <c r="AQ15" s="24" t="inlineStr">
        <is>
          <t>Milwaukee Brewers</t>
        </is>
      </c>
      <c r="AR15" s="24" t="inlineStr">
        <is>
          <t>Milwaukee Brewers</t>
        </is>
      </c>
      <c r="AS15" s="24" t="inlineStr">
        <is>
          <t>mlb-laa</t>
        </is>
      </c>
      <c r="AT15" s="24" t="inlineStr">
        <is>
          <t>Los Angeles Angels</t>
        </is>
      </c>
      <c r="AU15" s="24" t="inlineStr">
        <is>
          <t>Los Angeles Angels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8360b122264b796b0fb193095cfe4506c7e064e5f3f8c0a659aec41efd08dd25</t>
        </is>
      </c>
      <c r="BB15" s="24" t="inlineStr">
        <is>
          <t>flat_probability_shrinkage_toward_half</t>
        </is>
      </c>
      <c r="BC15" s="24" t="inlineStr">
        <is>
          <t>measured-edge-margin-v2</t>
        </is>
      </c>
      <c r="BD15" s="24" t="inlineStr">
        <is>
          <t>8360b122264b796b0fb193095cfe4506c7e064e5f3f8c0a659aec41efd08dd25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2026-08-02T18:46:36.549310Z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117</v>
      </c>
      <c r="BL15" s="27" t="n">
        <v>2.17</v>
      </c>
      <c r="BM15" s="28" t="n">
        <v>0.460829</v>
      </c>
      <c r="BN15" s="28" t="n">
        <v>0.457711</v>
      </c>
      <c r="BO15" s="28" t="n"/>
      <c r="BP15" s="25" t="n"/>
      <c r="BQ15" s="27" t="n">
        <v>2.17</v>
      </c>
      <c r="BR15" s="28" t="n">
        <v>0.46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</row>
    <row r="16" ht="36" customHeight="1">
      <c r="A16" s="24" t="inlineStr">
        <is>
          <t>e208b6ee6e7d4b57</t>
        </is>
      </c>
      <c r="B16" s="24" t="inlineStr">
        <is>
          <t>2026-08-02T18:46:36.549310Z</t>
        </is>
      </c>
      <c r="C16" s="24" t="inlineStr">
        <is>
          <t>2026-08-02T19:15Z</t>
        </is>
      </c>
      <c r="D16" s="24" t="inlineStr">
        <is>
          <t>401816374</t>
        </is>
      </c>
      <c r="E16" s="24" t="inlineStr">
        <is>
          <t>MLB</t>
        </is>
      </c>
      <c r="F16" s="24" t="inlineStr">
        <is>
          <t>Milwaukee Brewers</t>
        </is>
      </c>
      <c r="G16" s="24" t="inlineStr">
        <is>
          <t>Los Angeles Angels</t>
        </is>
      </c>
      <c r="H16" s="24" t="inlineStr">
        <is>
          <t>total</t>
        </is>
      </c>
      <c r="I16" s="24" t="inlineStr">
        <is>
          <t>under</t>
        </is>
      </c>
      <c r="J16" s="25" t="n">
        <v>7.5</v>
      </c>
      <c r="K16" s="24" t="inlineStr">
        <is>
          <t>polymarket_us</t>
        </is>
      </c>
      <c r="L16" s="26" t="n">
        <v>-108</v>
      </c>
      <c r="M16" s="27" t="n">
        <v>1.925926</v>
      </c>
      <c r="N16" s="28" t="n">
        <v>0.519231</v>
      </c>
      <c r="O16" s="28" t="n">
        <v>0.537285</v>
      </c>
      <c r="P16" s="28" t="n">
        <v>0.042131</v>
      </c>
      <c r="Q16" s="28" t="n">
        <v>0.018054</v>
      </c>
      <c r="R16" s="26" t="n">
        <v>35</v>
      </c>
      <c r="S16" s="29" t="n">
        <v>1</v>
      </c>
      <c r="T16" s="24" t="inlineStr">
        <is>
          <t>measured-edge-totals-v2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3</v>
      </c>
      <c r="Y16" s="25" t="n">
        <v>7.5</v>
      </c>
      <c r="Z16" s="26" t="n">
        <v>-108</v>
      </c>
      <c r="AA16" s="28" t="n">
        <v>0.52</v>
      </c>
      <c r="AB16" s="28" t="n">
        <v>0.000769</v>
      </c>
      <c r="AC16" s="30" t="n">
        <v>0.9258999999999999</v>
      </c>
      <c r="AD16" s="24" t="inlineStr">
        <is>
          <t>2026-08-02T23:11:51.341331Z</t>
        </is>
      </c>
      <c r="AE16" s="31" t="inlineStr">
        <is>
          <t>Measured Edge Totals: Trend Engine projected 4.07-3.09; raw selected-side p=0.5858, calibrated p=0.5373.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mlb-mil</t>
        </is>
      </c>
      <c r="AQ16" s="24" t="inlineStr">
        <is>
          <t>Milwaukee Brewers</t>
        </is>
      </c>
      <c r="AR16" s="24" t="inlineStr">
        <is>
          <t>Milwaukee Brewers</t>
        </is>
      </c>
      <c r="AS16" s="24" t="inlineStr">
        <is>
          <t>mlb-laa</t>
        </is>
      </c>
      <c r="AT16" s="24" t="inlineStr">
        <is>
          <t>Los Angeles Angels</t>
        </is>
      </c>
      <c r="AU16" s="24" t="inlineStr">
        <is>
          <t>Los Angeles Angels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433578016242b27f9c1c7132cc6b5a2bcc7dd1b0234590c12a944455a88e71bd</t>
        </is>
      </c>
      <c r="BB16" s="24" t="inlineStr">
        <is>
          <t>flat_probability_shrinkage_toward_half</t>
        </is>
      </c>
      <c r="BC16" s="24" t="inlineStr">
        <is>
          <t>measured-edge-totals-v2</t>
        </is>
      </c>
      <c r="BD16" s="24" t="inlineStr">
        <is>
          <t>433578016242b27f9c1c7132cc6b5a2bcc7dd1b0234590c12a944455a88e71bd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2026-08-02T18:46:36.549310Z</t>
        </is>
      </c>
      <c r="BI16" s="24" t="inlineStr">
        <is>
          <t>["same_event","same_team_same_day","same_league_same_day"]</t>
        </is>
      </c>
      <c r="BJ16" s="25" t="n">
        <v>7.5</v>
      </c>
      <c r="BK16" s="26" t="n">
        <v>-108</v>
      </c>
      <c r="BL16" s="27" t="n">
        <v>1.925926</v>
      </c>
      <c r="BM16" s="28" t="n">
        <v>0.519231</v>
      </c>
      <c r="BN16" s="28" t="n">
        <v>0.517413</v>
      </c>
      <c r="BO16" s="28" t="n"/>
      <c r="BP16" s="25" t="n"/>
      <c r="BQ16" s="27" t="n">
        <v>1.925926</v>
      </c>
      <c r="BR16" s="28" t="n">
        <v>0.52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</row>
    <row r="17" ht="36" customHeight="1">
      <c r="A17" s="24" t="inlineStr">
        <is>
          <t>268d0a10c3784eac</t>
        </is>
      </c>
      <c r="B17" s="24" t="inlineStr">
        <is>
          <t>2026-08-02T19:28:59.526399Z</t>
        </is>
      </c>
      <c r="C17" s="24" t="inlineStr">
        <is>
          <t>2026-08-02T20:05Z</t>
        </is>
      </c>
      <c r="D17" s="24" t="inlineStr">
        <is>
          <t>401816373</t>
        </is>
      </c>
      <c r="E17" s="24" t="inlineStr">
        <is>
          <t>MLB</t>
        </is>
      </c>
      <c r="F17" s="24" t="inlineStr">
        <is>
          <t>Detroit Tigers</t>
        </is>
      </c>
      <c r="G17" s="24" t="inlineStr">
        <is>
          <t>Athletics</t>
        </is>
      </c>
      <c r="H17" s="24" t="inlineStr">
        <is>
          <t>spread</t>
        </is>
      </c>
      <c r="I17" s="24" t="inlineStr">
        <is>
          <t>home</t>
        </is>
      </c>
      <c r="J17" s="25" t="n">
        <v>1.5</v>
      </c>
      <c r="K17" s="24" t="inlineStr">
        <is>
          <t>polymarket_us</t>
        </is>
      </c>
      <c r="L17" s="26" t="n">
        <v>-141</v>
      </c>
      <c r="M17" s="27" t="n">
        <v>1.70922</v>
      </c>
      <c r="N17" s="28" t="n">
        <v>0.585062</v>
      </c>
      <c r="O17" s="28" t="n">
        <v>0.522653</v>
      </c>
      <c r="P17" s="28" t="n">
        <v>0.042131</v>
      </c>
      <c r="Q17" s="28" t="n">
        <v>-0.062409</v>
      </c>
      <c r="R17" s="26" t="n">
        <v>0</v>
      </c>
      <c r="S17" s="29" t="n">
        <v>1</v>
      </c>
      <c r="T17" s="24" t="inlineStr">
        <is>
          <t>measured-edge-margin-v2</t>
        </is>
      </c>
      <c r="U17" s="24" t="inlineStr">
        <is>
          <t>settled</t>
        </is>
      </c>
      <c r="V17" s="24" t="inlineStr">
        <is>
          <t>loss</t>
        </is>
      </c>
      <c r="W17" s="26" t="n">
        <v>11</v>
      </c>
      <c r="X17" s="26" t="n">
        <v>0</v>
      </c>
      <c r="Y17" s="25" t="n">
        <v>1.5</v>
      </c>
      <c r="Z17" s="26" t="n">
        <v>-141</v>
      </c>
      <c r="AA17" s="28" t="n">
        <v>0.585</v>
      </c>
      <c r="AB17" s="28" t="n">
        <v>-6.2e-05</v>
      </c>
      <c r="AC17" s="30" t="n">
        <v>-1</v>
      </c>
      <c r="AD17" s="24" t="inlineStr">
        <is>
          <t>2026-08-03T02:34:00.199267Z</t>
        </is>
      </c>
      <c r="AE17" s="31" t="inlineStr">
        <is>
          <t>Measured Edge Margin: Trend Engine projected 5.88-4.54; raw selected-side p=0.5344, calibrated p=0.5227.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mlb-det</t>
        </is>
      </c>
      <c r="AQ17" s="24" t="inlineStr">
        <is>
          <t>Detroit Tigers</t>
        </is>
      </c>
      <c r="AR17" s="24" t="inlineStr">
        <is>
          <t>Detroit Tigers</t>
        </is>
      </c>
      <c r="AS17" s="24" t="inlineStr">
        <is>
          <t>mlb-ath</t>
        </is>
      </c>
      <c r="AT17" s="24" t="inlineStr">
        <is>
          <t>Athletics</t>
        </is>
      </c>
      <c r="AU17" s="24" t="inlineStr">
        <is>
          <t>Athletics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8360b122264b796b0fb193095cfe4506c7e064e5f3f8c0a659aec41efd08dd25</t>
        </is>
      </c>
      <c r="BB17" s="24" t="inlineStr">
        <is>
          <t>flat_probability_shrinkage_toward_half</t>
        </is>
      </c>
      <c r="BC17" s="24" t="inlineStr">
        <is>
          <t>measured-edge-margin-v2</t>
        </is>
      </c>
      <c r="BD17" s="24" t="inlineStr">
        <is>
          <t>8360b122264b796b0fb193095cfe4506c7e064e5f3f8c0a659aec41efd08dd25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2026-08-02T19:28:59.526399Z</t>
        </is>
      </c>
      <c r="BI17" s="24" t="inlineStr">
        <is>
          <t>["same_event","same_team_same_day","same_league_same_day"]</t>
        </is>
      </c>
      <c r="BJ17" s="25" t="n">
        <v>1.5</v>
      </c>
      <c r="BK17" s="26" t="n">
        <v>-141</v>
      </c>
      <c r="BL17" s="27" t="n">
        <v>1.70922</v>
      </c>
      <c r="BM17" s="28" t="n">
        <v>0.585062</v>
      </c>
      <c r="BN17" s="28" t="n">
        <v>0.58209</v>
      </c>
      <c r="BO17" s="28" t="n"/>
      <c r="BP17" s="25" t="n"/>
      <c r="BQ17" s="27" t="n">
        <v>1.70922</v>
      </c>
      <c r="BR17" s="28" t="n">
        <v>0.585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</row>
    <row r="18" ht="36" customHeight="1">
      <c r="A18" s="24" t="inlineStr">
        <is>
          <t>fba8185bd04d4604</t>
        </is>
      </c>
      <c r="B18" s="24" t="inlineStr">
        <is>
          <t>2026-08-02T19:28:59.526399Z</t>
        </is>
      </c>
      <c r="C18" s="24" t="inlineStr">
        <is>
          <t>2026-08-02T20:05Z</t>
        </is>
      </c>
      <c r="D18" s="24" t="inlineStr">
        <is>
          <t>401816373</t>
        </is>
      </c>
      <c r="E18" s="24" t="inlineStr">
        <is>
          <t>MLB</t>
        </is>
      </c>
      <c r="F18" s="24" t="inlineStr">
        <is>
          <t>Detroit Tigers</t>
        </is>
      </c>
      <c r="G18" s="24" t="inlineStr">
        <is>
          <t>Athletics</t>
        </is>
      </c>
      <c r="H18" s="24" t="inlineStr">
        <is>
          <t>total</t>
        </is>
      </c>
      <c r="I18" s="24" t="inlineStr">
        <is>
          <t>under</t>
        </is>
      </c>
      <c r="J18" s="25" t="n">
        <v>10.5</v>
      </c>
      <c r="K18" s="24" t="inlineStr">
        <is>
          <t>polymarket_us</t>
        </is>
      </c>
      <c r="L18" s="26" t="n">
        <v>-117</v>
      </c>
      <c r="M18" s="27" t="n">
        <v>1.854701</v>
      </c>
      <c r="N18" s="28" t="n">
        <v>0.539171</v>
      </c>
      <c r="O18" s="28" t="n">
        <v>0.522079</v>
      </c>
      <c r="P18" s="28" t="n">
        <v>0.042131</v>
      </c>
      <c r="Q18" s="28" t="n">
        <v>-0.017092</v>
      </c>
      <c r="R18" s="26" t="n">
        <v>17</v>
      </c>
      <c r="S18" s="29" t="n">
        <v>1</v>
      </c>
      <c r="T18" s="24" t="inlineStr">
        <is>
          <t>measured-edge-totals-v2</t>
        </is>
      </c>
      <c r="U18" s="24" t="inlineStr">
        <is>
          <t>settled</t>
        </is>
      </c>
      <c r="V18" s="24" t="inlineStr">
        <is>
          <t>loss</t>
        </is>
      </c>
      <c r="W18" s="26" t="n">
        <v>11</v>
      </c>
      <c r="X18" s="26" t="n">
        <v>0</v>
      </c>
      <c r="Y18" s="25" t="n">
        <v>10.5</v>
      </c>
      <c r="Z18" s="26" t="n">
        <v>-117</v>
      </c>
      <c r="AA18" s="28" t="n">
        <v>0.54</v>
      </c>
      <c r="AB18" s="28" t="n">
        <v>0.000829</v>
      </c>
      <c r="AC18" s="30" t="n">
        <v>-1</v>
      </c>
      <c r="AD18" s="24" t="inlineStr">
        <is>
          <t>2026-08-03T02:34:00.657240Z</t>
        </is>
      </c>
      <c r="AE18" s="31" t="inlineStr">
        <is>
          <t>Measured Edge Totals: Trend Engine projected 5.88-4.54; raw selected-side p=0.5413, calibrated p=0.5221.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mlb-det</t>
        </is>
      </c>
      <c r="AQ18" s="24" t="inlineStr">
        <is>
          <t>Detroit Tigers</t>
        </is>
      </c>
      <c r="AR18" s="24" t="inlineStr">
        <is>
          <t>Detroit Tigers</t>
        </is>
      </c>
      <c r="AS18" s="24" t="inlineStr">
        <is>
          <t>mlb-ath</t>
        </is>
      </c>
      <c r="AT18" s="24" t="inlineStr">
        <is>
          <t>Athletics</t>
        </is>
      </c>
      <c r="AU18" s="24" t="inlineStr">
        <is>
          <t>Athletics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433578016242b27f9c1c7132cc6b5a2bcc7dd1b0234590c12a944455a88e71bd</t>
        </is>
      </c>
      <c r="BB18" s="24" t="inlineStr">
        <is>
          <t>flat_probability_shrinkage_toward_half</t>
        </is>
      </c>
      <c r="BC18" s="24" t="inlineStr">
        <is>
          <t>measured-edge-totals-v2</t>
        </is>
      </c>
      <c r="BD18" s="24" t="inlineStr">
        <is>
          <t>433578016242b27f9c1c7132cc6b5a2bcc7dd1b0234590c12a944455a88e71bd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2026-08-02T19:28:59.526399Z</t>
        </is>
      </c>
      <c r="BI18" s="24" t="inlineStr">
        <is>
          <t>["same_event","same_team_same_day","same_league_same_day"]</t>
        </is>
      </c>
      <c r="BJ18" s="25" t="n">
        <v>10.5</v>
      </c>
      <c r="BK18" s="26" t="n">
        <v>-117</v>
      </c>
      <c r="BL18" s="27" t="n">
        <v>1.854701</v>
      </c>
      <c r="BM18" s="28" t="n">
        <v>0.539171</v>
      </c>
      <c r="BN18" s="28" t="n">
        <v>0.537313</v>
      </c>
      <c r="BO18" s="28" t="n"/>
      <c r="BP18" s="25" t="n"/>
      <c r="BQ18" s="27" t="n">
        <v>1.854701</v>
      </c>
      <c r="BR18" s="28" t="n">
        <v>0.54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</row>
    <row r="19" ht="36" customHeight="1">
      <c r="A19" s="24" t="inlineStr">
        <is>
          <t>551ac37b9cdd47a6</t>
        </is>
      </c>
      <c r="B19" s="24" t="inlineStr">
        <is>
          <t>2026-08-02T19:28:59.526399Z</t>
        </is>
      </c>
      <c r="C19" s="24" t="inlineStr">
        <is>
          <t>2026-08-02T20:10Z</t>
        </is>
      </c>
      <c r="D19" s="24" t="inlineStr">
        <is>
          <t>401816375</t>
        </is>
      </c>
      <c r="E19" s="24" t="inlineStr">
        <is>
          <t>MLB</t>
        </is>
      </c>
      <c r="F19" s="24" t="inlineStr">
        <is>
          <t>Minnesota Twins</t>
        </is>
      </c>
      <c r="G19" s="24" t="inlineStr">
        <is>
          <t>Seattle Mariners</t>
        </is>
      </c>
      <c r="H19" s="24" t="inlineStr">
        <is>
          <t>spread</t>
        </is>
      </c>
      <c r="I19" s="24" t="inlineStr">
        <is>
          <t>away</t>
        </is>
      </c>
      <c r="J19" s="25" t="n">
        <v>1.5</v>
      </c>
      <c r="K19" s="24" t="inlineStr">
        <is>
          <t>polymarket_us</t>
        </is>
      </c>
      <c r="L19" s="26" t="n">
        <v>-174</v>
      </c>
      <c r="M19" s="27" t="n">
        <v>1.574713</v>
      </c>
      <c r="N19" s="28" t="n">
        <v>0.635036</v>
      </c>
      <c r="O19" s="28" t="n">
        <v>0.628678</v>
      </c>
      <c r="P19" s="28" t="n">
        <v>0.042131</v>
      </c>
      <c r="Q19" s="28" t="n">
        <v>-0.006358</v>
      </c>
      <c r="R19" s="26" t="n">
        <v>23</v>
      </c>
      <c r="S19" s="29" t="n">
        <v>1.5</v>
      </c>
      <c r="T19" s="24" t="inlineStr">
        <is>
          <t>measured-edge-margin-v2</t>
        </is>
      </c>
      <c r="U19" s="24" t="inlineStr">
        <is>
          <t>settled</t>
        </is>
      </c>
      <c r="V19" s="24" t="inlineStr">
        <is>
          <t>win</t>
        </is>
      </c>
      <c r="W19" s="26" t="n">
        <v>6</v>
      </c>
      <c r="X19" s="26" t="n">
        <v>7</v>
      </c>
      <c r="Y19" s="25" t="n">
        <v>1.5</v>
      </c>
      <c r="Z19" s="26" t="n">
        <v>-174</v>
      </c>
      <c r="AA19" s="28" t="n">
        <v>0.635</v>
      </c>
      <c r="AB19" s="28" t="n">
        <v>-3.6e-05</v>
      </c>
      <c r="AC19" s="30" t="n">
        <v>0.8621</v>
      </c>
      <c r="AD19" s="24" t="inlineStr">
        <is>
          <t>2026-08-02T23:11:54.514093Z</t>
        </is>
      </c>
      <c r="AE19" s="31" t="inlineStr">
        <is>
          <t>Measured Edge Margin: Trend Engine projected 4.08-3.93; raw selected-side p=0.6960, calibrated p=0.6287.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mlb-min</t>
        </is>
      </c>
      <c r="AQ19" s="24" t="inlineStr">
        <is>
          <t>Minnesota Twins</t>
        </is>
      </c>
      <c r="AR19" s="24" t="inlineStr">
        <is>
          <t>Minnesota Twins</t>
        </is>
      </c>
      <c r="AS19" s="24" t="inlineStr">
        <is>
          <t>mlb-sea</t>
        </is>
      </c>
      <c r="AT19" s="24" t="inlineStr">
        <is>
          <t>Seattle Mariners</t>
        </is>
      </c>
      <c r="AU19" s="24" t="inlineStr">
        <is>
          <t>Seattle Mariners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8360b122264b796b0fb193095cfe4506c7e064e5f3f8c0a659aec41efd08dd25</t>
        </is>
      </c>
      <c r="BB19" s="24" t="inlineStr">
        <is>
          <t>flat_probability_shrinkage_toward_half</t>
        </is>
      </c>
      <c r="BC19" s="24" t="inlineStr">
        <is>
          <t>measured-edge-margin-v2</t>
        </is>
      </c>
      <c r="BD19" s="24" t="inlineStr">
        <is>
          <t>8360b122264b796b0fb193095cfe4506c7e064e5f3f8c0a659aec41efd08dd25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2026-08-02T19:28:59.526399Z</t>
        </is>
      </c>
      <c r="BI19" s="24" t="inlineStr">
        <is>
          <t>["same_event","same_team_same_day","same_league_same_day"]</t>
        </is>
      </c>
      <c r="BJ19" s="25" t="n">
        <v>1.5</v>
      </c>
      <c r="BK19" s="26" t="n">
        <v>-174</v>
      </c>
      <c r="BL19" s="27" t="n">
        <v>1.574713</v>
      </c>
      <c r="BM19" s="28" t="n">
        <v>0.635036</v>
      </c>
      <c r="BN19" s="28" t="n">
        <v>0.631841</v>
      </c>
      <c r="BO19" s="28" t="n"/>
      <c r="BP19" s="25" t="n"/>
      <c r="BQ19" s="27" t="n">
        <v>1.574713</v>
      </c>
      <c r="BR19" s="28" t="n">
        <v>0.635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</row>
    <row r="20" ht="36" customHeight="1">
      <c r="A20" s="24" t="inlineStr">
        <is>
          <t>90a935f06dfc4876</t>
        </is>
      </c>
      <c r="B20" s="24" t="inlineStr">
        <is>
          <t>2026-08-02T19:28:59.526399Z</t>
        </is>
      </c>
      <c r="C20" s="24" t="inlineStr">
        <is>
          <t>2026-08-02T20:10Z</t>
        </is>
      </c>
      <c r="D20" s="24" t="inlineStr">
        <is>
          <t>401816375</t>
        </is>
      </c>
      <c r="E20" s="24" t="inlineStr">
        <is>
          <t>MLB</t>
        </is>
      </c>
      <c r="F20" s="24" t="inlineStr">
        <is>
          <t>Minnesota Twins</t>
        </is>
      </c>
      <c r="G20" s="24" t="inlineStr">
        <is>
          <t>Seattle Mariners</t>
        </is>
      </c>
      <c r="H20" s="24" t="inlineStr">
        <is>
          <t>total</t>
        </is>
      </c>
      <c r="I20" s="24" t="inlineStr">
        <is>
          <t>over</t>
        </is>
      </c>
      <c r="J20" s="25" t="n">
        <v>6.5</v>
      </c>
      <c r="K20" s="24" t="inlineStr">
        <is>
          <t>polymarket_us</t>
        </is>
      </c>
      <c r="L20" s="26" t="n">
        <v>-127</v>
      </c>
      <c r="M20" s="27" t="n">
        <v>1.787402</v>
      </c>
      <c r="N20" s="28" t="n">
        <v>0.5594710000000001</v>
      </c>
      <c r="O20" s="28" t="n">
        <v>0.554985</v>
      </c>
      <c r="P20" s="28" t="n">
        <v>0.042131</v>
      </c>
      <c r="Q20" s="28" t="n">
        <v>-0.004486</v>
      </c>
      <c r="R20" s="26" t="n">
        <v>24</v>
      </c>
      <c r="S20" s="29" t="n">
        <v>1</v>
      </c>
      <c r="T20" s="24" t="inlineStr">
        <is>
          <t>measured-edge-totals-v2</t>
        </is>
      </c>
      <c r="U20" s="24" t="inlineStr">
        <is>
          <t>settled</t>
        </is>
      </c>
      <c r="V20" s="24" t="inlineStr">
        <is>
          <t>win</t>
        </is>
      </c>
      <c r="W20" s="26" t="n">
        <v>6</v>
      </c>
      <c r="X20" s="26" t="n">
        <v>7</v>
      </c>
      <c r="Y20" s="25" t="n">
        <v>6.5</v>
      </c>
      <c r="Z20" s="26" t="n">
        <v>-127</v>
      </c>
      <c r="AA20" s="28" t="n">
        <v>0.5600000000000001</v>
      </c>
      <c r="AB20" s="28" t="n">
        <v>0.000529</v>
      </c>
      <c r="AC20" s="30" t="n">
        <v>0.7874</v>
      </c>
      <c r="AD20" s="24" t="inlineStr">
        <is>
          <t>2026-08-02T23:11:54.944996Z</t>
        </is>
      </c>
      <c r="AE20" s="31" t="inlineStr">
        <is>
          <t>Measured Edge Totals: Trend Engine projected 4.08-3.93; raw selected-side p=0.6377, calibrated p=0.5550.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mlb-min</t>
        </is>
      </c>
      <c r="AQ20" s="24" t="inlineStr">
        <is>
          <t>Minnesota Twins</t>
        </is>
      </c>
      <c r="AR20" s="24" t="inlineStr">
        <is>
          <t>Minnesota Twins</t>
        </is>
      </c>
      <c r="AS20" s="24" t="inlineStr">
        <is>
          <t>mlb-sea</t>
        </is>
      </c>
      <c r="AT20" s="24" t="inlineStr">
        <is>
          <t>Seattle Mariners</t>
        </is>
      </c>
      <c r="AU20" s="24" t="inlineStr">
        <is>
          <t>Seattle Mariners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433578016242b27f9c1c7132cc6b5a2bcc7dd1b0234590c12a944455a88e71bd</t>
        </is>
      </c>
      <c r="BB20" s="24" t="inlineStr">
        <is>
          <t>flat_probability_shrinkage_toward_half</t>
        </is>
      </c>
      <c r="BC20" s="24" t="inlineStr">
        <is>
          <t>measured-edge-totals-v2</t>
        </is>
      </c>
      <c r="BD20" s="24" t="inlineStr">
        <is>
          <t>433578016242b27f9c1c7132cc6b5a2bcc7dd1b0234590c12a944455a88e71bd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2026-08-02T19:28:59.526399Z</t>
        </is>
      </c>
      <c r="BI20" s="24" t="inlineStr">
        <is>
          <t>["same_event","same_team_same_day","same_league_same_day"]</t>
        </is>
      </c>
      <c r="BJ20" s="25" t="n">
        <v>6.5</v>
      </c>
      <c r="BK20" s="26" t="n">
        <v>-127</v>
      </c>
      <c r="BL20" s="27" t="n">
        <v>1.787402</v>
      </c>
      <c r="BM20" s="28" t="n">
        <v>0.5594710000000001</v>
      </c>
      <c r="BN20" s="28" t="n">
        <v>0.557214</v>
      </c>
      <c r="BO20" s="28" t="n"/>
      <c r="BP20" s="25" t="n"/>
      <c r="BQ20" s="27" t="n">
        <v>1.787402</v>
      </c>
      <c r="BR20" s="28" t="n">
        <v>0.5600000000000001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</row>
    <row r="21" ht="36" customHeight="1">
      <c r="A21" s="24" t="inlineStr">
        <is>
          <t>5cc261330a804a9f</t>
        </is>
      </c>
      <c r="B21" s="24" t="inlineStr">
        <is>
          <t>2026-08-02T19:28:59.526399Z</t>
        </is>
      </c>
      <c r="C21" s="24" t="inlineStr">
        <is>
          <t>2026-08-02T20:10Z</t>
        </is>
      </c>
      <c r="D21" s="24" t="inlineStr">
        <is>
          <t>401816376</t>
        </is>
      </c>
      <c r="E21" s="24" t="inlineStr">
        <is>
          <t>MLB</t>
        </is>
      </c>
      <c r="F21" s="24" t="inlineStr">
        <is>
          <t>San Francisco Giants</t>
        </is>
      </c>
      <c r="G21" s="24" t="inlineStr">
        <is>
          <t>San Diego Padres</t>
        </is>
      </c>
      <c r="H21" s="24" t="inlineStr">
        <is>
          <t>spread</t>
        </is>
      </c>
      <c r="I21" s="24" t="inlineStr">
        <is>
          <t>away</t>
        </is>
      </c>
      <c r="J21" s="25" t="n">
        <v>1.5</v>
      </c>
      <c r="K21" s="24" t="inlineStr">
        <is>
          <t>polymarket_us</t>
        </is>
      </c>
      <c r="L21" s="26" t="n">
        <v>-182</v>
      </c>
      <c r="M21" s="27" t="n">
        <v>1.549451</v>
      </c>
      <c r="N21" s="28" t="n">
        <v>0.64539</v>
      </c>
      <c r="O21" s="28" t="n">
        <v>0.60355</v>
      </c>
      <c r="P21" s="28" t="n">
        <v>0.042131</v>
      </c>
      <c r="Q21" s="28" t="n">
        <v>-0.04184</v>
      </c>
      <c r="R21" s="26" t="n">
        <v>6</v>
      </c>
      <c r="S21" s="29" t="n">
        <v>1.5</v>
      </c>
      <c r="T21" s="24" t="inlineStr">
        <is>
          <t>measured-edge-margin-v2</t>
        </is>
      </c>
      <c r="U21" s="24" t="inlineStr">
        <is>
          <t>settled</t>
        </is>
      </c>
      <c r="V21" s="24" t="inlineStr">
        <is>
          <t>win</t>
        </is>
      </c>
      <c r="W21" s="26" t="n">
        <v>4</v>
      </c>
      <c r="X21" s="26" t="n">
        <v>5</v>
      </c>
      <c r="Y21" s="25" t="n">
        <v>1.5</v>
      </c>
      <c r="Z21" s="26" t="n">
        <v>-182</v>
      </c>
      <c r="AA21" s="28" t="n">
        <v>0.645</v>
      </c>
      <c r="AB21" s="28" t="n">
        <v>-0.00039</v>
      </c>
      <c r="AC21" s="30" t="n">
        <v>0.8242</v>
      </c>
      <c r="AD21" s="24" t="inlineStr">
        <is>
          <t>2026-08-03T02:34:01.066417Z</t>
        </is>
      </c>
      <c r="AE21" s="31" t="inlineStr">
        <is>
          <t>Measured Edge Margin: Trend Engine projected 4.68-4.77; raw selected-side p=0.6577, calibrated p=0.6035.</t>
        </is>
      </c>
      <c r="AF21" s="31" t="inlineStr">
        <is>
          <t>Research-only; lineup, bullpen, park, weather, xFIP, and wRC+ may be neutral fallbacks; market availability and BBO depth may change before first pitch.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mlb-sf</t>
        </is>
      </c>
      <c r="AQ21" s="24" t="inlineStr">
        <is>
          <t>San Francisco Giants</t>
        </is>
      </c>
      <c r="AR21" s="24" t="inlineStr">
        <is>
          <t>San Francisco Giants</t>
        </is>
      </c>
      <c r="AS21" s="24" t="inlineStr">
        <is>
          <t>mlb-sd</t>
        </is>
      </c>
      <c r="AT21" s="24" t="inlineStr">
        <is>
          <t>San Diego Padres</t>
        </is>
      </c>
      <c r="AU21" s="24" t="inlineStr">
        <is>
          <t>San Diego Padres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8360b122264b796b0fb193095cfe4506c7e064e5f3f8c0a659aec41efd08dd25</t>
        </is>
      </c>
      <c r="BB21" s="24" t="inlineStr">
        <is>
          <t>flat_probability_shrinkage_toward_half</t>
        </is>
      </c>
      <c r="BC21" s="24" t="inlineStr">
        <is>
          <t>measured-edge-margin-v2</t>
        </is>
      </c>
      <c r="BD21" s="24" t="inlineStr">
        <is>
          <t>8360b122264b796b0fb193095cfe4506c7e064e5f3f8c0a659aec41efd08dd25</t>
        </is>
      </c>
      <c r="BE21" s="24" t="inlineStr">
        <is>
          <t>v3</t>
        </is>
      </c>
      <c r="BF21" s="24" t="inlineStr">
        <is>
          <t>1</t>
        </is>
      </c>
      <c r="BG21" s="24" t="inlineStr">
        <is>
          <t>measured-edge-paired-v1</t>
        </is>
      </c>
      <c r="BH21" s="24" t="inlineStr">
        <is>
          <t>2026-08-02T19:28:59.526399Z</t>
        </is>
      </c>
      <c r="BI21" s="24" t="inlineStr">
        <is>
          <t>["same_event","same_team_same_day","same_league_same_day"]</t>
        </is>
      </c>
      <c r="BJ21" s="25" t="n">
        <v>1.5</v>
      </c>
      <c r="BK21" s="26" t="n">
        <v>-182</v>
      </c>
      <c r="BL21" s="27" t="n">
        <v>1.549451</v>
      </c>
      <c r="BM21" s="28" t="n">
        <v>0.64539</v>
      </c>
      <c r="BN21" s="28" t="n">
        <v>0.641791</v>
      </c>
      <c r="BO21" s="28" t="n"/>
      <c r="BP21" s="25" t="n"/>
      <c r="BQ21" s="27" t="n">
        <v>1.549451</v>
      </c>
      <c r="BR21" s="28" t="n">
        <v>0.645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</row>
    <row r="22" ht="36" customHeight="1">
      <c r="A22" s="24" t="inlineStr">
        <is>
          <t>892fbebb535e481f</t>
        </is>
      </c>
      <c r="B22" s="24" t="inlineStr">
        <is>
          <t>2026-08-02T19:28:59.526399Z</t>
        </is>
      </c>
      <c r="C22" s="24" t="inlineStr">
        <is>
          <t>2026-08-02T20:10Z</t>
        </is>
      </c>
      <c r="D22" s="24" t="inlineStr">
        <is>
          <t>401816376</t>
        </is>
      </c>
      <c r="E22" s="24" t="inlineStr">
        <is>
          <t>MLB</t>
        </is>
      </c>
      <c r="F22" s="24" t="inlineStr">
        <is>
          <t>San Francisco Giants</t>
        </is>
      </c>
      <c r="G22" s="24" t="inlineStr">
        <is>
          <t>San Diego Padres</t>
        </is>
      </c>
      <c r="H22" s="24" t="inlineStr">
        <is>
          <t>total</t>
        </is>
      </c>
      <c r="I22" s="24" t="inlineStr">
        <is>
          <t>over</t>
        </is>
      </c>
      <c r="J22" s="25" t="n">
        <v>7.5</v>
      </c>
      <c r="K22" s="24" t="inlineStr">
        <is>
          <t>polymarket_us</t>
        </is>
      </c>
      <c r="L22" s="26" t="n">
        <v>-120</v>
      </c>
      <c r="M22" s="27" t="n">
        <v>1.833333</v>
      </c>
      <c r="N22" s="28" t="n">
        <v>0.545455</v>
      </c>
      <c r="O22" s="28" t="n">
        <v>0.553687</v>
      </c>
      <c r="P22" s="28" t="n">
        <v>0.042131</v>
      </c>
      <c r="Q22" s="28" t="n">
        <v>0.008232</v>
      </c>
      <c r="R22" s="26" t="n">
        <v>30</v>
      </c>
      <c r="S22" s="29" t="n">
        <v>1</v>
      </c>
      <c r="T22" s="24" t="inlineStr">
        <is>
          <t>measured-edge-totals-v2</t>
        </is>
      </c>
      <c r="U22" s="24" t="inlineStr">
        <is>
          <t>settled</t>
        </is>
      </c>
      <c r="V22" s="24" t="inlineStr">
        <is>
          <t>win</t>
        </is>
      </c>
      <c r="W22" s="26" t="n">
        <v>4</v>
      </c>
      <c r="X22" s="26" t="n">
        <v>5</v>
      </c>
      <c r="Y22" s="25" t="n">
        <v>7.5</v>
      </c>
      <c r="Z22" s="26" t="n">
        <v>-120</v>
      </c>
      <c r="AA22" s="28" t="n">
        <v>0.545</v>
      </c>
      <c r="AB22" s="28" t="n">
        <v>-0.000455</v>
      </c>
      <c r="AC22" s="30" t="n">
        <v>0.8333</v>
      </c>
      <c r="AD22" s="24" t="inlineStr">
        <is>
          <t>2026-08-03T02:34:01.483858Z</t>
        </is>
      </c>
      <c r="AE22" s="31" t="inlineStr">
        <is>
          <t>Measured Edge Totals: Trend Engine projected 4.68-4.77; raw selected-side p=0.6339, calibrated p=0.5537.</t>
        </is>
      </c>
      <c r="AF22" s="31" t="inlineStr">
        <is>
          <t>Research-only; lineup, bullpen, park, weather, xFIP, and wRC+ may be neutral fallbacks; market availability and BBO depth may change before first pitch.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mlb-sf</t>
        </is>
      </c>
      <c r="AQ22" s="24" t="inlineStr">
        <is>
          <t>San Francisco Giants</t>
        </is>
      </c>
      <c r="AR22" s="24" t="inlineStr">
        <is>
          <t>San Francisco Giants</t>
        </is>
      </c>
      <c r="AS22" s="24" t="inlineStr">
        <is>
          <t>mlb-sd</t>
        </is>
      </c>
      <c r="AT22" s="24" t="inlineStr">
        <is>
          <t>San Diego Padres</t>
        </is>
      </c>
      <c r="AU22" s="24" t="inlineStr">
        <is>
          <t>San Diego Padres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433578016242b27f9c1c7132cc6b5a2bcc7dd1b0234590c12a944455a88e71bd</t>
        </is>
      </c>
      <c r="BB22" s="24" t="inlineStr">
        <is>
          <t>flat_probability_shrinkage_toward_half</t>
        </is>
      </c>
      <c r="BC22" s="24" t="inlineStr">
        <is>
          <t>measured-edge-totals-v2</t>
        </is>
      </c>
      <c r="BD22" s="24" t="inlineStr">
        <is>
          <t>433578016242b27f9c1c7132cc6b5a2bcc7dd1b0234590c12a944455a88e71bd</t>
        </is>
      </c>
      <c r="BE22" s="24" t="inlineStr">
        <is>
          <t>v3</t>
        </is>
      </c>
      <c r="BF22" s="24" t="inlineStr">
        <is>
          <t>1</t>
        </is>
      </c>
      <c r="BG22" s="24" t="inlineStr">
        <is>
          <t>measured-edge-paired-v1</t>
        </is>
      </c>
      <c r="BH22" s="24" t="inlineStr">
        <is>
          <t>2026-08-02T19:28:59.526399Z</t>
        </is>
      </c>
      <c r="BI22" s="24" t="inlineStr">
        <is>
          <t>["same_event","same_team_same_day","same_league_same_day"]</t>
        </is>
      </c>
      <c r="BJ22" s="25" t="n">
        <v>7.5</v>
      </c>
      <c r="BK22" s="26" t="n">
        <v>-120</v>
      </c>
      <c r="BL22" s="27" t="n">
        <v>1.833333</v>
      </c>
      <c r="BM22" s="28" t="n">
        <v>0.545455</v>
      </c>
      <c r="BN22" s="28" t="n">
        <v>0.542289</v>
      </c>
      <c r="BO22" s="28" t="n"/>
      <c r="BP22" s="25" t="n"/>
      <c r="BQ22" s="27" t="n">
        <v>1.833333</v>
      </c>
      <c r="BR22" s="28" t="n">
        <v>0.545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</row>
    <row r="23" ht="36" customHeight="1">
      <c r="A23" s="24" t="inlineStr">
        <is>
          <t>5664b4ba17534427</t>
        </is>
      </c>
      <c r="B23" s="24" t="inlineStr">
        <is>
          <t>2026-08-02T23:14:42.456082Z</t>
        </is>
      </c>
      <c r="C23" s="24" t="inlineStr">
        <is>
          <t>2026-08-02T23:20Z</t>
        </is>
      </c>
      <c r="D23" s="24" t="inlineStr">
        <is>
          <t>401816372</t>
        </is>
      </c>
      <c r="E23" s="24" t="inlineStr">
        <is>
          <t>MLB</t>
        </is>
      </c>
      <c r="F23" s="24" t="inlineStr">
        <is>
          <t>Boston Red Sox</t>
        </is>
      </c>
      <c r="G23" s="24" t="inlineStr">
        <is>
          <t>Los Angeles Dodgers</t>
        </is>
      </c>
      <c r="H23" s="24" t="inlineStr">
        <is>
          <t>spread</t>
        </is>
      </c>
      <c r="I23" s="24" t="inlineStr">
        <is>
          <t>away</t>
        </is>
      </c>
      <c r="J23" s="25" t="n">
        <v>1.5</v>
      </c>
      <c r="K23" s="24" t="inlineStr">
        <is>
          <t>polymarket_us</t>
        </is>
      </c>
      <c r="L23" s="26" t="n">
        <v>-130</v>
      </c>
      <c r="M23" s="27" t="n">
        <v>1.769231</v>
      </c>
      <c r="N23" s="28" t="n">
        <v>0.565217</v>
      </c>
      <c r="O23" s="28" t="n">
        <v>0.660959</v>
      </c>
      <c r="P23" s="28" t="n">
        <v>0.042131</v>
      </c>
      <c r="Q23" s="28" t="n">
        <v>0.09574199999999999</v>
      </c>
      <c r="R23" s="26" t="n">
        <v>74</v>
      </c>
      <c r="S23" s="29" t="n">
        <v>1.75</v>
      </c>
      <c r="T23" s="24" t="inlineStr">
        <is>
          <t>measured-edge-margin-v2</t>
        </is>
      </c>
      <c r="U23" s="24" t="inlineStr">
        <is>
          <t>settled</t>
        </is>
      </c>
      <c r="V23" s="24" t="inlineStr">
        <is>
          <t>win</t>
        </is>
      </c>
      <c r="W23" s="26" t="n">
        <v>8</v>
      </c>
      <c r="X23" s="26" t="n">
        <v>4</v>
      </c>
      <c r="Y23" s="25" t="n">
        <v>1.5</v>
      </c>
      <c r="Z23" s="26" t="n">
        <v>-130</v>
      </c>
      <c r="AA23" s="28" t="n">
        <v>0.5649999999999999</v>
      </c>
      <c r="AB23" s="28" t="n">
        <v>-0.000217</v>
      </c>
      <c r="AC23" s="30" t="n">
        <v>1.3462</v>
      </c>
      <c r="AD23" s="24" t="inlineStr">
        <is>
          <t>2026-08-03T02:34:07.329140Z</t>
        </is>
      </c>
      <c r="AE23" s="31" t="inlineStr">
        <is>
          <t>Measured Edge Margin: Trend Engine projected 4.69-3.91; raw selected-side p=0.7452, calibrated p=0.6610.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mlb-bos</t>
        </is>
      </c>
      <c r="AQ23" s="24" t="inlineStr">
        <is>
          <t>Boston Red Sox</t>
        </is>
      </c>
      <c r="AR23" s="24" t="inlineStr">
        <is>
          <t>Boston Red Sox</t>
        </is>
      </c>
      <c r="AS23" s="24" t="inlineStr">
        <is>
          <t>mlb-lad</t>
        </is>
      </c>
      <c r="AT23" s="24" t="inlineStr">
        <is>
          <t>Los Angeles Dodgers</t>
        </is>
      </c>
      <c r="AU23" s="24" t="inlineStr">
        <is>
          <t>Los Angeles Dodgers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8360b122264b796b0fb193095cfe4506c7e064e5f3f8c0a659aec41efd08dd25</t>
        </is>
      </c>
      <c r="BB23" s="24" t="inlineStr">
        <is>
          <t>flat_probability_shrinkage_toward_half</t>
        </is>
      </c>
      <c r="BC23" s="24" t="inlineStr">
        <is>
          <t>measured-edge-margin-v2</t>
        </is>
      </c>
      <c r="BD23" s="24" t="inlineStr">
        <is>
          <t>8360b122264b796b0fb193095cfe4506c7e064e5f3f8c0a659aec41efd08dd25</t>
        </is>
      </c>
      <c r="BE23" s="24" t="inlineStr">
        <is>
          <t>v3</t>
        </is>
      </c>
      <c r="BF23" s="24" t="inlineStr">
        <is>
          <t>1</t>
        </is>
      </c>
      <c r="BG23" s="24" t="inlineStr">
        <is>
          <t>measured-edge-paired-v1</t>
        </is>
      </c>
      <c r="BH23" s="24" t="inlineStr">
        <is>
          <t>2026-08-02T23:14:42.456082Z</t>
        </is>
      </c>
      <c r="BI23" s="24" t="inlineStr">
        <is>
          <t>["same_event","same_team_same_day","same_league_same_day"]</t>
        </is>
      </c>
      <c r="BJ23" s="25" t="n">
        <v>1.5</v>
      </c>
      <c r="BK23" s="26" t="n">
        <v>-130</v>
      </c>
      <c r="BL23" s="27" t="n">
        <v>1.769231</v>
      </c>
      <c r="BM23" s="28" t="n">
        <v>0.565217</v>
      </c>
      <c r="BN23" s="28" t="n">
        <v>0.562189</v>
      </c>
      <c r="BO23" s="28" t="n"/>
      <c r="BP23" s="25" t="n"/>
      <c r="BQ23" s="27" t="n">
        <v>1.769231</v>
      </c>
      <c r="BR23" s="28" t="n">
        <v>0.5649999999999999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</row>
    <row r="24" ht="36" customHeight="1">
      <c r="A24" s="24" t="inlineStr">
        <is>
          <t>1efe503acb9444bb</t>
        </is>
      </c>
      <c r="B24" s="24" t="inlineStr">
        <is>
          <t>2026-08-02T23:14:42.456082Z</t>
        </is>
      </c>
      <c r="C24" s="24" t="inlineStr">
        <is>
          <t>2026-08-02T23:20Z</t>
        </is>
      </c>
      <c r="D24" s="24" t="inlineStr">
        <is>
          <t>401816372</t>
        </is>
      </c>
      <c r="E24" s="24" t="inlineStr">
        <is>
          <t>MLB</t>
        </is>
      </c>
      <c r="F24" s="24" t="inlineStr">
        <is>
          <t>Boston Red Sox</t>
        </is>
      </c>
      <c r="G24" s="24" t="inlineStr">
        <is>
          <t>Los Angeles Dodgers</t>
        </is>
      </c>
      <c r="H24" s="24" t="inlineStr">
        <is>
          <t>total</t>
        </is>
      </c>
      <c r="I24" s="24" t="inlineStr">
        <is>
          <t>under</t>
        </is>
      </c>
      <c r="J24" s="25" t="n">
        <v>8.5</v>
      </c>
      <c r="K24" s="24" t="inlineStr">
        <is>
          <t>polymarket_us</t>
        </is>
      </c>
      <c r="L24" s="26" t="n">
        <v>-102</v>
      </c>
      <c r="M24" s="27" t="n">
        <v>1.980392</v>
      </c>
      <c r="N24" s="28" t="n">
        <v>0.50495</v>
      </c>
      <c r="O24" s="28" t="n">
        <v>0.516783</v>
      </c>
      <c r="P24" s="28" t="n">
        <v>0.042131</v>
      </c>
      <c r="Q24" s="28" t="n">
        <v>0.011833</v>
      </c>
      <c r="R24" s="26" t="n">
        <v>32</v>
      </c>
      <c r="S24" s="29" t="n">
        <v>1</v>
      </c>
      <c r="T24" s="24" t="inlineStr">
        <is>
          <t>measured-edge-totals-v2</t>
        </is>
      </c>
      <c r="U24" s="24" t="inlineStr">
        <is>
          <t>settled</t>
        </is>
      </c>
      <c r="V24" s="24" t="inlineStr">
        <is>
          <t>loss</t>
        </is>
      </c>
      <c r="W24" s="26" t="n">
        <v>8</v>
      </c>
      <c r="X24" s="26" t="n">
        <v>4</v>
      </c>
      <c r="Y24" s="25" t="n">
        <v>8.5</v>
      </c>
      <c r="Z24" s="26" t="n">
        <v>-102</v>
      </c>
      <c r="AA24" s="28" t="n">
        <v>0.505</v>
      </c>
      <c r="AB24" s="28" t="n">
        <v>5e-05</v>
      </c>
      <c r="AC24" s="30" t="n">
        <v>-1</v>
      </c>
      <c r="AD24" s="24" t="inlineStr">
        <is>
          <t>2026-08-03T02:34:07.740891Z</t>
        </is>
      </c>
      <c r="AE24" s="31" t="inlineStr">
        <is>
          <t>Measured Edge Totals: Trend Engine projected 4.69-3.91; raw selected-side p=0.5259, calibrated p=0.5168.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mlb-bos</t>
        </is>
      </c>
      <c r="AQ24" s="24" t="inlineStr">
        <is>
          <t>Boston Red Sox</t>
        </is>
      </c>
      <c r="AR24" s="24" t="inlineStr">
        <is>
          <t>Boston Red Sox</t>
        </is>
      </c>
      <c r="AS24" s="24" t="inlineStr">
        <is>
          <t>mlb-lad</t>
        </is>
      </c>
      <c r="AT24" s="24" t="inlineStr">
        <is>
          <t>Los Angeles Dodgers</t>
        </is>
      </c>
      <c r="AU24" s="24" t="inlineStr">
        <is>
          <t>Los Angeles Dodgers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433578016242b27f9c1c7132cc6b5a2bcc7dd1b0234590c12a944455a88e71bd</t>
        </is>
      </c>
      <c r="BB24" s="24" t="inlineStr">
        <is>
          <t>flat_probability_shrinkage_toward_half</t>
        </is>
      </c>
      <c r="BC24" s="24" t="inlineStr">
        <is>
          <t>measured-edge-totals-v2</t>
        </is>
      </c>
      <c r="BD24" s="24" t="inlineStr">
        <is>
          <t>433578016242b27f9c1c7132cc6b5a2bcc7dd1b0234590c12a944455a88e71bd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2026-08-02T23:14:42.456082Z</t>
        </is>
      </c>
      <c r="BI24" s="24" t="inlineStr">
        <is>
          <t>["same_event","same_team_same_day","same_league_same_day"]</t>
        </is>
      </c>
      <c r="BJ24" s="25" t="n">
        <v>8.5</v>
      </c>
      <c r="BK24" s="26" t="n">
        <v>-102</v>
      </c>
      <c r="BL24" s="27" t="n">
        <v>1.980392</v>
      </c>
      <c r="BM24" s="28" t="n">
        <v>0.50495</v>
      </c>
      <c r="BN24" s="28" t="n">
        <v>0.502488</v>
      </c>
      <c r="BO24" s="28" t="n"/>
      <c r="BP24" s="25" t="n"/>
      <c r="BQ24" s="27" t="n">
        <v>1.980392</v>
      </c>
      <c r="BR24" s="28" t="n">
        <v>0.505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</row>
    <row r="25" ht="36" customHeight="1">
      <c r="A25" s="24" t="inlineStr">
        <is>
          <t>fa92044f1cb64a9b</t>
        </is>
      </c>
      <c r="B25" s="24" t="inlineStr">
        <is>
          <t>2026-08-03T19:53:28.238725Z</t>
        </is>
      </c>
      <c r="C25" s="24" t="inlineStr">
        <is>
          <t>2026-08-03T22:40Z</t>
        </is>
      </c>
      <c r="D25" s="24" t="inlineStr">
        <is>
          <t>401816378</t>
        </is>
      </c>
      <c r="E25" s="24" t="inlineStr">
        <is>
          <t>MLB</t>
        </is>
      </c>
      <c r="F25" s="24" t="inlineStr">
        <is>
          <t>Washington Nationals</t>
        </is>
      </c>
      <c r="G25" s="24" t="inlineStr">
        <is>
          <t>Philadelphia Phillies</t>
        </is>
      </c>
      <c r="H25" s="24" t="inlineStr">
        <is>
          <t>spread</t>
        </is>
      </c>
      <c r="I25" s="24" t="inlineStr">
        <is>
          <t>away</t>
        </is>
      </c>
      <c r="J25" s="25" t="n">
        <v>1.5</v>
      </c>
      <c r="K25" s="24" t="inlineStr">
        <is>
          <t>polymarket_us</t>
        </is>
      </c>
      <c r="L25" s="26" t="n">
        <v>-147</v>
      </c>
      <c r="M25" s="27" t="n">
        <v>1.680272</v>
      </c>
      <c r="N25" s="28" t="n">
        <v>0.5951419999999999</v>
      </c>
      <c r="O25" s="28" t="n">
        <v>0.590231</v>
      </c>
      <c r="P25" s="28" t="n">
        <v>0.042131</v>
      </c>
      <c r="Q25" s="28" t="n">
        <v>-0.004911</v>
      </c>
      <c r="R25" s="26" t="n">
        <v>24</v>
      </c>
      <c r="S25" s="29" t="n">
        <v>1.25</v>
      </c>
      <c r="T25" s="24" t="inlineStr">
        <is>
          <t>measured-edge-margin-v2</t>
        </is>
      </c>
      <c r="U25" s="24" t="inlineStr">
        <is>
          <t>settled</t>
        </is>
      </c>
      <c r="V25" s="24" t="inlineStr">
        <is>
          <t>loss</t>
        </is>
      </c>
      <c r="W25" s="26" t="n">
        <v>3</v>
      </c>
      <c r="X25" s="26" t="n">
        <v>6</v>
      </c>
      <c r="Y25" s="25" t="n">
        <v>1.5</v>
      </c>
      <c r="Z25" s="26" t="n">
        <v>-147</v>
      </c>
      <c r="AA25" s="28" t="n">
        <v>0.595</v>
      </c>
      <c r="AB25" s="28" t="n">
        <v>-0.000142</v>
      </c>
      <c r="AC25" s="30" t="n">
        <v>-1.25</v>
      </c>
      <c r="AD25" s="24" t="inlineStr">
        <is>
          <t>2026-08-04T01:58:21.487336Z</t>
        </is>
      </c>
      <c r="AE25" s="31" t="inlineStr">
        <is>
          <t>Measured Edge Margin: Trend Engine projected 4.77-5.05; raw selected-side p=0.6374, calibrated p=0.5902.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mlb-wsh</t>
        </is>
      </c>
      <c r="AQ25" s="24" t="inlineStr">
        <is>
          <t>Washington Nationals</t>
        </is>
      </c>
      <c r="AR25" s="24" t="inlineStr">
        <is>
          <t>Washington Nationals</t>
        </is>
      </c>
      <c r="AS25" s="24" t="inlineStr">
        <is>
          <t>mlb-phi</t>
        </is>
      </c>
      <c r="AT25" s="24" t="inlineStr">
        <is>
          <t>Philadelphia Phillies</t>
        </is>
      </c>
      <c r="AU25" s="24" t="inlineStr">
        <is>
          <t>Philadelphia Phillies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8360b122264b796b0fb193095cfe4506c7e064e5f3f8c0a659aec41efd08dd25</t>
        </is>
      </c>
      <c r="BB25" s="24" t="inlineStr">
        <is>
          <t>flat_probability_shrinkage_toward_half</t>
        </is>
      </c>
      <c r="BC25" s="24" t="inlineStr">
        <is>
          <t>measured-edge-margin-v2</t>
        </is>
      </c>
      <c r="BD25" s="24" t="inlineStr">
        <is>
          <t>8360b122264b796b0fb193095cfe4506c7e064e5f3f8c0a659aec41efd08dd25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2026-08-03T19:53:28.238725Z</t>
        </is>
      </c>
      <c r="BI25" s="24" t="inlineStr">
        <is>
          <t>["same_event","same_team_same_day","same_league_same_day"]</t>
        </is>
      </c>
      <c r="BJ25" s="25" t="n">
        <v>1.5</v>
      </c>
      <c r="BK25" s="26" t="n">
        <v>-147</v>
      </c>
      <c r="BL25" s="27" t="n">
        <v>1.680272</v>
      </c>
      <c r="BM25" s="28" t="n">
        <v>0.5951419999999999</v>
      </c>
      <c r="BN25" s="28" t="n">
        <v>0.59204</v>
      </c>
      <c r="BO25" s="28" t="n"/>
      <c r="BP25" s="25" t="n"/>
      <c r="BQ25" s="27" t="n">
        <v>1.680272</v>
      </c>
      <c r="BR25" s="28" t="n">
        <v>0.595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</row>
    <row r="26" ht="36" customHeight="1">
      <c r="A26" s="24" t="inlineStr">
        <is>
          <t>0275e417eb754ad6</t>
        </is>
      </c>
      <c r="B26" s="24" t="inlineStr">
        <is>
          <t>2026-08-03T19:53:28.238725Z</t>
        </is>
      </c>
      <c r="C26" s="24" t="inlineStr">
        <is>
          <t>2026-08-03T22:40Z</t>
        </is>
      </c>
      <c r="D26" s="24" t="inlineStr">
        <is>
          <t>401816378</t>
        </is>
      </c>
      <c r="E26" s="24" t="inlineStr">
        <is>
          <t>MLB</t>
        </is>
      </c>
      <c r="F26" s="24" t="inlineStr">
        <is>
          <t>Washington Nationals</t>
        </is>
      </c>
      <c r="G26" s="24" t="inlineStr">
        <is>
          <t>Philadelphia Phillies</t>
        </is>
      </c>
      <c r="H26" s="24" t="inlineStr">
        <is>
          <t>total</t>
        </is>
      </c>
      <c r="I26" s="24" t="inlineStr">
        <is>
          <t>under</t>
        </is>
      </c>
      <c r="J26" s="25" t="n">
        <v>9.5</v>
      </c>
      <c r="K26" s="24" t="inlineStr">
        <is>
          <t>polymarket_us</t>
        </is>
      </c>
      <c r="L26" s="26" t="n">
        <v>-115</v>
      </c>
      <c r="M26" s="27" t="n">
        <v>1.869565</v>
      </c>
      <c r="N26" s="28" t="n">
        <v>0.534884</v>
      </c>
      <c r="O26" s="28" t="n">
        <v>0.514391</v>
      </c>
      <c r="P26" s="28" t="n">
        <v>0.042131</v>
      </c>
      <c r="Q26" s="28" t="n">
        <v>-0.020493</v>
      </c>
      <c r="R26" s="26" t="n">
        <v>16</v>
      </c>
      <c r="S26" s="29" t="n">
        <v>1</v>
      </c>
      <c r="T26" s="24" t="inlineStr">
        <is>
          <t>measured-edge-totals-v2</t>
        </is>
      </c>
      <c r="U26" s="24" t="inlineStr">
        <is>
          <t>settled</t>
        </is>
      </c>
      <c r="V26" s="24" t="inlineStr">
        <is>
          <t>win</t>
        </is>
      </c>
      <c r="W26" s="26" t="n">
        <v>3</v>
      </c>
      <c r="X26" s="26" t="n">
        <v>6</v>
      </c>
      <c r="Y26" s="25" t="n">
        <v>9.5</v>
      </c>
      <c r="Z26" s="26" t="n">
        <v>-115</v>
      </c>
      <c r="AA26" s="28" t="n">
        <v>0.535</v>
      </c>
      <c r="AB26" s="28" t="n">
        <v>0.000116</v>
      </c>
      <c r="AC26" s="30" t="n">
        <v>0.8696</v>
      </c>
      <c r="AD26" s="24" t="inlineStr">
        <is>
          <t>2026-08-04T01:58:21.725818Z</t>
        </is>
      </c>
      <c r="AE26" s="31" t="inlineStr">
        <is>
          <t>Measured Edge Totals: Trend Engine projected 4.77-5.05; raw selected-side p=0.5189, calibrated p=0.5144.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mlb-wsh</t>
        </is>
      </c>
      <c r="AQ26" s="24" t="inlineStr">
        <is>
          <t>Washington Nationals</t>
        </is>
      </c>
      <c r="AR26" s="24" t="inlineStr">
        <is>
          <t>Washington Nationals</t>
        </is>
      </c>
      <c r="AS26" s="24" t="inlineStr">
        <is>
          <t>mlb-phi</t>
        </is>
      </c>
      <c r="AT26" s="24" t="inlineStr">
        <is>
          <t>Philadelphia Phillies</t>
        </is>
      </c>
      <c r="AU26" s="24" t="inlineStr">
        <is>
          <t>Philadelphia Phillies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433578016242b27f9c1c7132cc6b5a2bcc7dd1b0234590c12a944455a88e71bd</t>
        </is>
      </c>
      <c r="BB26" s="24" t="inlineStr">
        <is>
          <t>flat_probability_shrinkage_toward_half</t>
        </is>
      </c>
      <c r="BC26" s="24" t="inlineStr">
        <is>
          <t>measured-edge-totals-v2</t>
        </is>
      </c>
      <c r="BD26" s="24" t="inlineStr">
        <is>
          <t>433578016242b27f9c1c7132cc6b5a2bcc7dd1b0234590c12a944455a88e71bd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2026-08-03T19:53:28.238725Z</t>
        </is>
      </c>
      <c r="BI26" s="24" t="inlineStr">
        <is>
          <t>["same_event","same_team_same_day","same_league_same_day"]</t>
        </is>
      </c>
      <c r="BJ26" s="25" t="n">
        <v>9.5</v>
      </c>
      <c r="BK26" s="26" t="n">
        <v>-115</v>
      </c>
      <c r="BL26" s="27" t="n">
        <v>1.869565</v>
      </c>
      <c r="BM26" s="28" t="n">
        <v>0.534884</v>
      </c>
      <c r="BN26" s="28" t="n">
        <v>0.532338</v>
      </c>
      <c r="BO26" s="28" t="n"/>
      <c r="BP26" s="25" t="n"/>
      <c r="BQ26" s="27" t="n">
        <v>1.869565</v>
      </c>
      <c r="BR26" s="28" t="n">
        <v>0.535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</row>
    <row r="27" ht="36" customHeight="1">
      <c r="A27" s="24" t="inlineStr">
        <is>
          <t>d730a06555014c54</t>
        </is>
      </c>
      <c r="B27" s="24" t="inlineStr">
        <is>
          <t>2026-08-03T22:56:28.208831Z</t>
        </is>
      </c>
      <c r="C27" s="24" t="inlineStr">
        <is>
          <t>2026-08-03T20:40:00-0400</t>
        </is>
      </c>
      <c r="D27" s="24" t="inlineStr">
        <is>
          <t>401816383</t>
        </is>
      </c>
      <c r="E27" s="24" t="inlineStr">
        <is>
          <t>MLB</t>
        </is>
      </c>
      <c r="F27" s="24" t="inlineStr">
        <is>
          <t>Tampa Bay Rays</t>
        </is>
      </c>
      <c r="G27" s="24" t="inlineStr">
        <is>
          <t>Colorado Rockies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-170</v>
      </c>
      <c r="M27" s="27" t="n">
        <v>1.588235</v>
      </c>
      <c r="N27" s="28" t="n">
        <v>0.62963</v>
      </c>
      <c r="O27" s="28" t="n">
        <v>0.6482059999999999</v>
      </c>
      <c r="P27" s="28" t="n"/>
      <c r="Q27" s="28" t="n">
        <v>0.018576</v>
      </c>
      <c r="R27" s="26" t="n">
        <v>31</v>
      </c>
      <c r="S27" s="29" t="n">
        <v>1.75</v>
      </c>
      <c r="T27" s="24" t="inlineStr">
        <is>
          <t>mlb-elo-trend-lr-v7</t>
        </is>
      </c>
      <c r="U27" s="24" t="inlineStr">
        <is>
          <t>settled</t>
        </is>
      </c>
      <c r="V27" s="24" t="inlineStr">
        <is>
          <t>win</t>
        </is>
      </c>
      <c r="W27" s="26" t="n">
        <v>13</v>
      </c>
      <c r="X27" s="26" t="n">
        <v>9</v>
      </c>
      <c r="Y27" s="25" t="n"/>
      <c r="Z27" s="26" t="n">
        <v>-170</v>
      </c>
      <c r="AA27" s="28" t="n">
        <v>0.63</v>
      </c>
      <c r="AB27" s="28" t="n">
        <v>0.00037</v>
      </c>
      <c r="AC27" s="30" t="n">
        <v>1.0294</v>
      </c>
      <c r="AD27" s="24" t="inlineStr">
        <is>
          <t>2026-08-04T03:57:43.617747Z</t>
        </is>
      </c>
      <c r="AE27" s="31" t="inlineStr">
        <is>
          <t>Learned LR call at threshold 0.6242; executable ask 0.6300 (aec-mlb-tb-col-2026-08-03); model edge vs ask +0.0182.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mlb-tb</t>
        </is>
      </c>
      <c r="AQ27" s="24" t="inlineStr">
        <is>
          <t>Tampa Bay Rays</t>
        </is>
      </c>
      <c r="AR27" s="24" t="inlineStr">
        <is>
          <t>Tampa Bay Rays</t>
        </is>
      </c>
      <c r="AS27" s="24" t="inlineStr">
        <is>
          <t>mlb-col</t>
        </is>
      </c>
      <c r="AT27" s="24" t="inlineStr">
        <is>
          <t>Colorado Rockies</t>
        </is>
      </c>
      <c r="AU27" s="24" t="inlineStr">
        <is>
          <t>Colorado Rockies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464eef695bfbbdaa819ec6f5e4c5bd1068ed20b92915fb2677220ae91e20d8b6</t>
        </is>
      </c>
      <c r="BB27" s="24" t="inlineStr">
        <is>
          <t>learned_lr</t>
        </is>
      </c>
      <c r="BC27" s="24" t="inlineStr">
        <is>
          <t>mlb-elo-trend-lr-v7</t>
        </is>
      </c>
      <c r="BD27" s="24" t="inlineStr">
        <is>
          <t>464eef695bfbbdaa819ec6f5e4c5bd1068ed20b92915fb2677220ae91e20d8b6</t>
        </is>
      </c>
      <c r="BE27" s="24" t="inlineStr">
        <is>
          <t>d8aa2e63047d9809</t>
        </is>
      </c>
      <c r="BF27" s="24" t="inlineStr">
        <is>
          <t>1</t>
        </is>
      </c>
      <c r="BG27" s="24" t="inlineStr">
        <is>
          <t>mlb-elo-trend-lr-v7</t>
        </is>
      </c>
      <c r="BH27" s="24" t="inlineStr">
        <is>
          <t>2026-08-03T22:56:01.752802Z</t>
        </is>
      </c>
      <c r="BI27" s="24" t="inlineStr">
        <is>
          <t>["same_event","same_team_same_day","same_league_same_day"]</t>
        </is>
      </c>
      <c r="BJ27" s="25" t="n"/>
      <c r="BK27" s="26" t="n">
        <v>-170</v>
      </c>
      <c r="BL27" s="27" t="n">
        <v>1.588235</v>
      </c>
      <c r="BM27" s="28" t="n">
        <v>0.62963</v>
      </c>
      <c r="BN27" s="28" t="n">
        <v>0.626866</v>
      </c>
      <c r="BO27" s="28" t="n"/>
      <c r="BP27" s="25" t="n"/>
      <c r="BQ27" s="27" t="n">
        <v>1.588235</v>
      </c>
      <c r="BR27" s="28" t="n">
        <v>0.63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0.3824194159</t>
        </is>
      </c>
      <c r="CD27" s="24" t="inlineStr">
        <is>
          <t>2.647689</t>
        </is>
      </c>
      <c r="CE27" s="24" t="inlineStr">
        <is>
          <t>1.193</t>
        </is>
      </c>
      <c r="CF27" s="24" t="inlineStr">
        <is>
          <t>1.0225</t>
        </is>
      </c>
      <c r="CG27" s="24" t="inlineStr">
        <is>
          <t>0.4</t>
        </is>
      </c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inlineStr">
        <is>
          <t>0.648206</t>
        </is>
      </c>
      <c r="CS27" s="24" t="inlineStr">
        <is>
          <t>True</t>
        </is>
      </c>
    </row>
    <row r="28" ht="36" customHeight="1">
      <c r="A28" s="24" t="inlineStr">
        <is>
          <t>dffae253268445c2</t>
        </is>
      </c>
      <c r="B28" s="24" t="inlineStr">
        <is>
          <t>2026-08-03T22:56:38.586421Z</t>
        </is>
      </c>
      <c r="C28" s="24" t="inlineStr">
        <is>
          <t>2026-08-03T23:05Z</t>
        </is>
      </c>
      <c r="D28" s="24" t="inlineStr">
        <is>
          <t>401816377</t>
        </is>
      </c>
      <c r="E28" s="24" t="inlineStr">
        <is>
          <t>MLB</t>
        </is>
      </c>
      <c r="F28" s="24" t="inlineStr">
        <is>
          <t>St. Louis Cardinals</t>
        </is>
      </c>
      <c r="G28" s="24" t="inlineStr">
        <is>
          <t>New York Yankees</t>
        </is>
      </c>
      <c r="H28" s="24" t="inlineStr">
        <is>
          <t>spread</t>
        </is>
      </c>
      <c r="I28" s="24" t="inlineStr">
        <is>
          <t>away</t>
        </is>
      </c>
      <c r="J28" s="25" t="n">
        <v>1.5</v>
      </c>
      <c r="K28" s="24" t="inlineStr">
        <is>
          <t>polymarket_us</t>
        </is>
      </c>
      <c r="L28" s="26" t="n">
        <v>106</v>
      </c>
      <c r="M28" s="27" t="n">
        <v>2.06</v>
      </c>
      <c r="N28" s="28" t="n">
        <v>0.485437</v>
      </c>
      <c r="O28" s="28" t="n">
        <v>0.522193</v>
      </c>
      <c r="P28" s="28" t="n">
        <v>0.042131</v>
      </c>
      <c r="Q28" s="28" t="n">
        <v>0.036756</v>
      </c>
      <c r="R28" s="26" t="n">
        <v>45</v>
      </c>
      <c r="S28" s="29" t="n">
        <v>1</v>
      </c>
      <c r="T28" s="24" t="inlineStr">
        <is>
          <t>measured-edge-margin-v2</t>
        </is>
      </c>
      <c r="U28" s="24" t="inlineStr">
        <is>
          <t>settled</t>
        </is>
      </c>
      <c r="V28" s="24" t="inlineStr">
        <is>
          <t>win</t>
        </is>
      </c>
      <c r="W28" s="26" t="n">
        <v>13</v>
      </c>
      <c r="X28" s="26" t="n">
        <v>7</v>
      </c>
      <c r="Y28" s="25" t="n">
        <v>1.5</v>
      </c>
      <c r="Z28" s="26" t="n">
        <v>106</v>
      </c>
      <c r="AA28" s="28" t="n">
        <v>0.485</v>
      </c>
      <c r="AB28" s="28" t="n">
        <v>-0.000437</v>
      </c>
      <c r="AC28" s="30" t="n">
        <v>1.06</v>
      </c>
      <c r="AD28" s="24" t="inlineStr">
        <is>
          <t>2026-08-04T03:57:44.308486Z</t>
        </is>
      </c>
      <c r="AE28" s="31" t="inlineStr">
        <is>
          <t>Measured Edge Margin: Trend Engine projected 3.04-4.45; raw selected-side p=0.5337, calibrated p=0.5222.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mlb-stl</t>
        </is>
      </c>
      <c r="AQ28" s="24" t="inlineStr">
        <is>
          <t>St. Louis Cardinals</t>
        </is>
      </c>
      <c r="AR28" s="24" t="inlineStr">
        <is>
          <t>St. Louis Cardinals</t>
        </is>
      </c>
      <c r="AS28" s="24" t="inlineStr">
        <is>
          <t>mlb-nyy</t>
        </is>
      </c>
      <c r="AT28" s="24" t="inlineStr">
        <is>
          <t>New York Yankees</t>
        </is>
      </c>
      <c r="AU28" s="24" t="inlineStr">
        <is>
          <t>New York Yankees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8360b122264b796b0fb193095cfe4506c7e064e5f3f8c0a659aec41efd08dd25</t>
        </is>
      </c>
      <c r="BB28" s="24" t="inlineStr">
        <is>
          <t>flat_probability_shrinkage_toward_half</t>
        </is>
      </c>
      <c r="BC28" s="24" t="inlineStr">
        <is>
          <t>measured-edge-margin-v2</t>
        </is>
      </c>
      <c r="BD28" s="24" t="inlineStr">
        <is>
          <t>8360b122264b796b0fb193095cfe4506c7e064e5f3f8c0a659aec41efd08dd25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2026-08-03T22:56:38.586421Z</t>
        </is>
      </c>
      <c r="BI28" s="24" t="inlineStr">
        <is>
          <t>["same_event","same_team_same_day","same_league_same_day"]</t>
        </is>
      </c>
      <c r="BJ28" s="25" t="n">
        <v>1.5</v>
      </c>
      <c r="BK28" s="26" t="n">
        <v>106</v>
      </c>
      <c r="BL28" s="27" t="n">
        <v>2.06</v>
      </c>
      <c r="BM28" s="28" t="n">
        <v>0.485437</v>
      </c>
      <c r="BN28" s="28" t="n">
        <v>0.482587</v>
      </c>
      <c r="BO28" s="28" t="n"/>
      <c r="BP28" s="25" t="n"/>
      <c r="BQ28" s="27" t="n">
        <v>2.06</v>
      </c>
      <c r="BR28" s="28" t="n">
        <v>0.485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</row>
    <row r="29" ht="36" customHeight="1">
      <c r="A29" s="24" t="inlineStr">
        <is>
          <t>ecf02b66bf964ec1</t>
        </is>
      </c>
      <c r="B29" s="24" t="inlineStr">
        <is>
          <t>2026-08-03T22:56:38.586421Z</t>
        </is>
      </c>
      <c r="C29" s="24" t="inlineStr">
        <is>
          <t>2026-08-03T23:05Z</t>
        </is>
      </c>
      <c r="D29" s="24" t="inlineStr">
        <is>
          <t>401816377</t>
        </is>
      </c>
      <c r="E29" s="24" t="inlineStr">
        <is>
          <t>MLB</t>
        </is>
      </c>
      <c r="F29" s="24" t="inlineStr">
        <is>
          <t>St. Louis Cardinals</t>
        </is>
      </c>
      <c r="G29" s="24" t="inlineStr">
        <is>
          <t>New York Yankees</t>
        </is>
      </c>
      <c r="H29" s="24" t="inlineStr">
        <is>
          <t>total</t>
        </is>
      </c>
      <c r="I29" s="24" t="inlineStr">
        <is>
          <t>under</t>
        </is>
      </c>
      <c r="J29" s="25" t="n">
        <v>7.5</v>
      </c>
      <c r="K29" s="24" t="inlineStr">
        <is>
          <t>polymarket_us</t>
        </is>
      </c>
      <c r="L29" s="26" t="n">
        <v>115</v>
      </c>
      <c r="M29" s="27" t="n">
        <v>2.15</v>
      </c>
      <c r="N29" s="28" t="n">
        <v>0.465116</v>
      </c>
      <c r="O29" s="28" t="n">
        <v>0.526111</v>
      </c>
      <c r="P29" s="28" t="n">
        <v>0.042131</v>
      </c>
      <c r="Q29" s="28" t="n">
        <v>0.060995</v>
      </c>
      <c r="R29" s="26" t="n">
        <v>56</v>
      </c>
      <c r="S29" s="29" t="n">
        <v>1</v>
      </c>
      <c r="T29" s="24" t="inlineStr">
        <is>
          <t>measured-edge-totals-v2</t>
        </is>
      </c>
      <c r="U29" s="24" t="inlineStr">
        <is>
          <t>settled</t>
        </is>
      </c>
      <c r="V29" s="24" t="inlineStr">
        <is>
          <t>loss</t>
        </is>
      </c>
      <c r="W29" s="26" t="n">
        <v>13</v>
      </c>
      <c r="X29" s="26" t="n">
        <v>7</v>
      </c>
      <c r="Y29" s="25" t="n">
        <v>7.5</v>
      </c>
      <c r="Z29" s="26" t="n">
        <v>115</v>
      </c>
      <c r="AA29" s="28" t="n">
        <v>0.465</v>
      </c>
      <c r="AB29" s="28" t="n">
        <v>-0.000116</v>
      </c>
      <c r="AC29" s="30" t="n">
        <v>-1</v>
      </c>
      <c r="AD29" s="24" t="inlineStr">
        <is>
          <t>2026-08-04T03:57:44.569551Z</t>
        </is>
      </c>
      <c r="AE29" s="31" t="inlineStr">
        <is>
          <t>Measured Edge Totals: Trend Engine projected 3.04-4.45; raw selected-side p=0.5532, calibrated p=0.5261.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mlb-stl</t>
        </is>
      </c>
      <c r="AQ29" s="24" t="inlineStr">
        <is>
          <t>St. Louis Cardinals</t>
        </is>
      </c>
      <c r="AR29" s="24" t="inlineStr">
        <is>
          <t>St. Louis Cardinals</t>
        </is>
      </c>
      <c r="AS29" s="24" t="inlineStr">
        <is>
          <t>mlb-nyy</t>
        </is>
      </c>
      <c r="AT29" s="24" t="inlineStr">
        <is>
          <t>New York Yankees</t>
        </is>
      </c>
      <c r="AU29" s="24" t="inlineStr">
        <is>
          <t>New York Yankees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433578016242b27f9c1c7132cc6b5a2bcc7dd1b0234590c12a944455a88e71bd</t>
        </is>
      </c>
      <c r="BB29" s="24" t="inlineStr">
        <is>
          <t>flat_probability_shrinkage_toward_half</t>
        </is>
      </c>
      <c r="BC29" s="24" t="inlineStr">
        <is>
          <t>measured-edge-totals-v2</t>
        </is>
      </c>
      <c r="BD29" s="24" t="inlineStr">
        <is>
          <t>433578016242b27f9c1c7132cc6b5a2bcc7dd1b0234590c12a944455a88e71bd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2026-08-03T22:56:38.586421Z</t>
        </is>
      </c>
      <c r="BI29" s="24" t="inlineStr">
        <is>
          <t>["same_event","same_team_same_day","same_league_same_day"]</t>
        </is>
      </c>
      <c r="BJ29" s="25" t="n">
        <v>7.5</v>
      </c>
      <c r="BK29" s="26" t="n">
        <v>115</v>
      </c>
      <c r="BL29" s="27" t="n">
        <v>2.15</v>
      </c>
      <c r="BM29" s="28" t="n">
        <v>0.465116</v>
      </c>
      <c r="BN29" s="28" t="n">
        <v>0.462687</v>
      </c>
      <c r="BO29" s="28" t="n"/>
      <c r="BP29" s="25" t="n"/>
      <c r="BQ29" s="27" t="n">
        <v>2.15</v>
      </c>
      <c r="BR29" s="28" t="n">
        <v>0.465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</row>
    <row r="30" ht="36" customHeight="1">
      <c r="A30" s="24" t="inlineStr">
        <is>
          <t>84aa0f06755f4b61</t>
        </is>
      </c>
      <c r="B30" s="24" t="inlineStr">
        <is>
          <t>2026-08-03T22:56:38.586421Z</t>
        </is>
      </c>
      <c r="C30" s="24" t="inlineStr">
        <is>
          <t>2026-08-03T23:40Z</t>
        </is>
      </c>
      <c r="D30" s="24" t="inlineStr">
        <is>
          <t>401816380</t>
        </is>
      </c>
      <c r="E30" s="24" t="inlineStr">
        <is>
          <t>MLB</t>
        </is>
      </c>
      <c r="F30" s="24" t="inlineStr">
        <is>
          <t>Pittsburgh Pirates</t>
        </is>
      </c>
      <c r="G30" s="24" t="inlineStr">
        <is>
          <t>Milwaukee Brewers</t>
        </is>
      </c>
      <c r="H30" s="24" t="inlineStr">
        <is>
          <t>spread</t>
        </is>
      </c>
      <c r="I30" s="24" t="inlineStr">
        <is>
          <t>away</t>
        </is>
      </c>
      <c r="J30" s="25" t="n">
        <v>1.5</v>
      </c>
      <c r="K30" s="24" t="inlineStr">
        <is>
          <t>polymarket_us</t>
        </is>
      </c>
      <c r="L30" s="26" t="n">
        <v>-153</v>
      </c>
      <c r="M30" s="27" t="n">
        <v>1.653595</v>
      </c>
      <c r="N30" s="28" t="n">
        <v>0.604743</v>
      </c>
      <c r="O30" s="28" t="n">
        <v>0.579668</v>
      </c>
      <c r="P30" s="28" t="n">
        <v>0.042131</v>
      </c>
      <c r="Q30" s="28" t="n">
        <v>-0.025075</v>
      </c>
      <c r="R30" s="26" t="n">
        <v>14</v>
      </c>
      <c r="S30" s="29" t="n">
        <v>1.25</v>
      </c>
      <c r="T30" s="24" t="inlineStr">
        <is>
          <t>measured-edge-margin-v2</t>
        </is>
      </c>
      <c r="U30" s="24" t="inlineStr">
        <is>
          <t>settled</t>
        </is>
      </c>
      <c r="V30" s="24" t="inlineStr">
        <is>
          <t>win</t>
        </is>
      </c>
      <c r="W30" s="26" t="n">
        <v>4</v>
      </c>
      <c r="X30" s="26" t="n">
        <v>3</v>
      </c>
      <c r="Y30" s="25" t="n">
        <v>1.5</v>
      </c>
      <c r="Z30" s="26" t="n">
        <v>-153</v>
      </c>
      <c r="AA30" s="28" t="n">
        <v>0.605</v>
      </c>
      <c r="AB30" s="28" t="n">
        <v>0.000257</v>
      </c>
      <c r="AC30" s="30" t="n">
        <v>0.8169999999999999</v>
      </c>
      <c r="AD30" s="24" t="inlineStr">
        <is>
          <t>2026-08-04T03:57:44.819685Z</t>
        </is>
      </c>
      <c r="AE30" s="31" t="inlineStr">
        <is>
          <t>Measured Edge Margin: Trend Engine projected 4.45-4.93; raw selected-side p=0.6213, calibrated p=0.5797.</t>
        </is>
      </c>
      <c r="AF30" s="31" t="inlineStr">
        <is>
          <t>Research-only; lineup, bullpen, park, weather, xFIP, and wRC+ may be neutral fallbacks; market availability and BBO depth may change before first pitch.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mlb-pit</t>
        </is>
      </c>
      <c r="AQ30" s="24" t="inlineStr">
        <is>
          <t>Pittsburgh Pirates</t>
        </is>
      </c>
      <c r="AR30" s="24" t="inlineStr">
        <is>
          <t>Pittsburgh Pirates</t>
        </is>
      </c>
      <c r="AS30" s="24" t="inlineStr">
        <is>
          <t>mlb-mil</t>
        </is>
      </c>
      <c r="AT30" s="24" t="inlineStr">
        <is>
          <t>Milwaukee Brewers</t>
        </is>
      </c>
      <c r="AU30" s="24" t="inlineStr">
        <is>
          <t>Milwaukee Brewers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8360b122264b796b0fb193095cfe4506c7e064e5f3f8c0a659aec41efd08dd25</t>
        </is>
      </c>
      <c r="BB30" s="24" t="inlineStr">
        <is>
          <t>flat_probability_shrinkage_toward_half</t>
        </is>
      </c>
      <c r="BC30" s="24" t="inlineStr">
        <is>
          <t>measured-edge-margin-v2</t>
        </is>
      </c>
      <c r="BD30" s="24" t="inlineStr">
        <is>
          <t>8360b122264b796b0fb193095cfe4506c7e064e5f3f8c0a659aec41efd08dd25</t>
        </is>
      </c>
      <c r="BE30" s="24" t="inlineStr">
        <is>
          <t>v3</t>
        </is>
      </c>
      <c r="BF30" s="24" t="inlineStr">
        <is>
          <t>1</t>
        </is>
      </c>
      <c r="BG30" s="24" t="inlineStr">
        <is>
          <t>measured-edge-paired-v1</t>
        </is>
      </c>
      <c r="BH30" s="24" t="inlineStr">
        <is>
          <t>2026-08-03T22:56:38.586421Z</t>
        </is>
      </c>
      <c r="BI30" s="24" t="inlineStr">
        <is>
          <t>["same_event","same_team_same_day","same_league_same_day"]</t>
        </is>
      </c>
      <c r="BJ30" s="25" t="n">
        <v>1.5</v>
      </c>
      <c r="BK30" s="26" t="n">
        <v>-153</v>
      </c>
      <c r="BL30" s="27" t="n">
        <v>1.653595</v>
      </c>
      <c r="BM30" s="28" t="n">
        <v>0.604743</v>
      </c>
      <c r="BN30" s="28" t="n">
        <v>0.60199</v>
      </c>
      <c r="BO30" s="28" t="n"/>
      <c r="BP30" s="25" t="n"/>
      <c r="BQ30" s="27" t="n">
        <v>1.653595</v>
      </c>
      <c r="BR30" s="28" t="n">
        <v>0.605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</row>
    <row r="31" ht="36" customHeight="1">
      <c r="A31" s="24" t="inlineStr">
        <is>
          <t>b04b32b8a9f34d93</t>
        </is>
      </c>
      <c r="B31" s="24" t="inlineStr">
        <is>
          <t>2026-08-03T22:56:38.586421Z</t>
        </is>
      </c>
      <c r="C31" s="24" t="inlineStr">
        <is>
          <t>2026-08-03T23:40Z</t>
        </is>
      </c>
      <c r="D31" s="24" t="inlineStr">
        <is>
          <t>401816380</t>
        </is>
      </c>
      <c r="E31" s="24" t="inlineStr">
        <is>
          <t>MLB</t>
        </is>
      </c>
      <c r="F31" s="24" t="inlineStr">
        <is>
          <t>Pittsburgh Pirates</t>
        </is>
      </c>
      <c r="G31" s="24" t="inlineStr">
        <is>
          <t>Milwaukee Brewers</t>
        </is>
      </c>
      <c r="H31" s="24" t="inlineStr">
        <is>
          <t>total</t>
        </is>
      </c>
      <c r="I31" s="24" t="inlineStr">
        <is>
          <t>over</t>
        </is>
      </c>
      <c r="J31" s="25" t="n">
        <v>8.5</v>
      </c>
      <c r="K31" s="24" t="inlineStr">
        <is>
          <t>polymarket_us</t>
        </is>
      </c>
      <c r="L31" s="26" t="n">
        <v>104</v>
      </c>
      <c r="M31" s="27" t="n">
        <v>2.04</v>
      </c>
      <c r="N31" s="28" t="n">
        <v>0.490196</v>
      </c>
      <c r="O31" s="28" t="n">
        <v>0.522643</v>
      </c>
      <c r="P31" s="28" t="n">
        <v>0.042131</v>
      </c>
      <c r="Q31" s="28" t="n">
        <v>0.032447</v>
      </c>
      <c r="R31" s="26" t="n">
        <v>42</v>
      </c>
      <c r="S31" s="29" t="n">
        <v>1</v>
      </c>
      <c r="T31" s="24" t="inlineStr">
        <is>
          <t>measured-edge-totals-v2</t>
        </is>
      </c>
      <c r="U31" s="24" t="inlineStr">
        <is>
          <t>settled</t>
        </is>
      </c>
      <c r="V31" s="24" t="inlineStr">
        <is>
          <t>loss</t>
        </is>
      </c>
      <c r="W31" s="26" t="n">
        <v>4</v>
      </c>
      <c r="X31" s="26" t="n">
        <v>3</v>
      </c>
      <c r="Y31" s="25" t="n">
        <v>8.5</v>
      </c>
      <c r="Z31" s="26" t="n">
        <v>104</v>
      </c>
      <c r="AA31" s="28" t="n">
        <v>0.49</v>
      </c>
      <c r="AB31" s="28" t="n">
        <v>-0.000196</v>
      </c>
      <c r="AC31" s="30" t="n">
        <v>-1</v>
      </c>
      <c r="AD31" s="24" t="inlineStr">
        <is>
          <t>2026-08-04T03:57:45.088563Z</t>
        </is>
      </c>
      <c r="AE31" s="31" t="inlineStr">
        <is>
          <t>Measured Edge Totals: Trend Engine projected 4.45-4.93; raw selected-side p=0.5430, calibrated p=0.5226.</t>
        </is>
      </c>
      <c r="AF31" s="31" t="inlineStr">
        <is>
          <t>Research-only; lineup, bullpen, park, weather, xFIP, and wRC+ may be neutral fallbacks; market availability and BBO depth may change before first pitch.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mlb-pit</t>
        </is>
      </c>
      <c r="AQ31" s="24" t="inlineStr">
        <is>
          <t>Pittsburgh Pirates</t>
        </is>
      </c>
      <c r="AR31" s="24" t="inlineStr">
        <is>
          <t>Pittsburgh Pirates</t>
        </is>
      </c>
      <c r="AS31" s="24" t="inlineStr">
        <is>
          <t>mlb-mil</t>
        </is>
      </c>
      <c r="AT31" s="24" t="inlineStr">
        <is>
          <t>Milwaukee Brewers</t>
        </is>
      </c>
      <c r="AU31" s="24" t="inlineStr">
        <is>
          <t>Milwaukee Brewers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433578016242b27f9c1c7132cc6b5a2bcc7dd1b0234590c12a944455a88e71bd</t>
        </is>
      </c>
      <c r="BB31" s="24" t="inlineStr">
        <is>
          <t>flat_probability_shrinkage_toward_half</t>
        </is>
      </c>
      <c r="BC31" s="24" t="inlineStr">
        <is>
          <t>measured-edge-totals-v2</t>
        </is>
      </c>
      <c r="BD31" s="24" t="inlineStr">
        <is>
          <t>433578016242b27f9c1c7132cc6b5a2bcc7dd1b0234590c12a944455a88e71bd</t>
        </is>
      </c>
      <c r="BE31" s="24" t="inlineStr">
        <is>
          <t>v3</t>
        </is>
      </c>
      <c r="BF31" s="24" t="inlineStr">
        <is>
          <t>1</t>
        </is>
      </c>
      <c r="BG31" s="24" t="inlineStr">
        <is>
          <t>measured-edge-paired-v1</t>
        </is>
      </c>
      <c r="BH31" s="24" t="inlineStr">
        <is>
          <t>2026-08-03T22:56:38.586421Z</t>
        </is>
      </c>
      <c r="BI31" s="24" t="inlineStr">
        <is>
          <t>["same_event","same_team_same_day","same_league_same_day"]</t>
        </is>
      </c>
      <c r="BJ31" s="25" t="n">
        <v>8.5</v>
      </c>
      <c r="BK31" s="26" t="n">
        <v>104</v>
      </c>
      <c r="BL31" s="27" t="n">
        <v>2.04</v>
      </c>
      <c r="BM31" s="28" t="n">
        <v>0.490196</v>
      </c>
      <c r="BN31" s="28" t="n">
        <v>0.487562</v>
      </c>
      <c r="BO31" s="28" t="n"/>
      <c r="BP31" s="25" t="n"/>
      <c r="BQ31" s="27" t="n">
        <v>2.04</v>
      </c>
      <c r="BR31" s="28" t="n">
        <v>0.49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</row>
    <row r="32" ht="36" customHeight="1">
      <c r="A32" s="24" t="inlineStr">
        <is>
          <t>e5550177d4be418a</t>
        </is>
      </c>
      <c r="B32" s="24" t="inlineStr">
        <is>
          <t>2026-08-03T22:56:38.586421Z</t>
        </is>
      </c>
      <c r="C32" s="24" t="inlineStr">
        <is>
          <t>2026-08-04T00:00Z</t>
        </is>
      </c>
      <c r="D32" s="24" t="inlineStr">
        <is>
          <t>401816381</t>
        </is>
      </c>
      <c r="E32" s="24" t="inlineStr">
        <is>
          <t>MLB</t>
        </is>
      </c>
      <c r="F32" s="24" t="inlineStr">
        <is>
          <t>San Francisco Giants</t>
        </is>
      </c>
      <c r="G32" s="24" t="inlineStr">
        <is>
          <t>Texas Rangers</t>
        </is>
      </c>
      <c r="H32" s="24" t="inlineStr">
        <is>
          <t>spread</t>
        </is>
      </c>
      <c r="I32" s="24" t="inlineStr">
        <is>
          <t>away</t>
        </is>
      </c>
      <c r="J32" s="25" t="n">
        <v>1.5</v>
      </c>
      <c r="K32" s="24" t="inlineStr">
        <is>
          <t>polymarket_us</t>
        </is>
      </c>
      <c r="L32" s="26" t="n">
        <v>-186</v>
      </c>
      <c r="M32" s="27" t="n">
        <v>1.537634</v>
      </c>
      <c r="N32" s="28" t="n">
        <v>0.65035</v>
      </c>
      <c r="O32" s="28" t="n">
        <v>0.596234</v>
      </c>
      <c r="P32" s="28" t="n">
        <v>0.042131</v>
      </c>
      <c r="Q32" s="28" t="n">
        <v>-0.054116</v>
      </c>
      <c r="R32" s="26" t="n">
        <v>0</v>
      </c>
      <c r="S32" s="29" t="n">
        <v>1.25</v>
      </c>
      <c r="T32" s="24" t="inlineStr">
        <is>
          <t>measured-edge-margin-v2</t>
        </is>
      </c>
      <c r="U32" s="24" t="inlineStr">
        <is>
          <t>settled</t>
        </is>
      </c>
      <c r="V32" s="24" t="inlineStr">
        <is>
          <t>win</t>
        </is>
      </c>
      <c r="W32" s="26" t="n">
        <v>5</v>
      </c>
      <c r="X32" s="26" t="n">
        <v>1</v>
      </c>
      <c r="Y32" s="25" t="n">
        <v>1.5</v>
      </c>
      <c r="Z32" s="26" t="n">
        <v>-186</v>
      </c>
      <c r="AA32" s="28" t="n">
        <v>0.65</v>
      </c>
      <c r="AB32" s="28" t="n">
        <v>-0.00035</v>
      </c>
      <c r="AC32" s="30" t="n">
        <v>0.672</v>
      </c>
      <c r="AD32" s="24" t="inlineStr">
        <is>
          <t>2026-08-04T03:57:45.428184Z</t>
        </is>
      </c>
      <c r="AE32" s="31" t="inlineStr">
        <is>
          <t>Measured Edge Margin: Trend Engine projected 4.50-4.74; raw selected-side p=0.6466, calibrated p=0.5962.</t>
        </is>
      </c>
      <c r="AF32" s="31" t="inlineStr">
        <is>
          <t>Research-only; lineup, bullpen, park, weather, xFIP, and wRC+ may be neutral fallbacks; market availability and BBO depth may change before first pitch.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mlb-sf</t>
        </is>
      </c>
      <c r="AQ32" s="24" t="inlineStr">
        <is>
          <t>San Francisco Giants</t>
        </is>
      </c>
      <c r="AR32" s="24" t="inlineStr">
        <is>
          <t>San Francisco Giants</t>
        </is>
      </c>
      <c r="AS32" s="24" t="inlineStr">
        <is>
          <t>mlb-tex</t>
        </is>
      </c>
      <c r="AT32" s="24" t="inlineStr">
        <is>
          <t>Texas Rangers</t>
        </is>
      </c>
      <c r="AU32" s="24" t="inlineStr">
        <is>
          <t>Texas Rangers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8360b122264b796b0fb193095cfe4506c7e064e5f3f8c0a659aec41efd08dd25</t>
        </is>
      </c>
      <c r="BB32" s="24" t="inlineStr">
        <is>
          <t>flat_probability_shrinkage_toward_half</t>
        </is>
      </c>
      <c r="BC32" s="24" t="inlineStr">
        <is>
          <t>measured-edge-margin-v2</t>
        </is>
      </c>
      <c r="BD32" s="24" t="inlineStr">
        <is>
          <t>8360b122264b796b0fb193095cfe4506c7e064e5f3f8c0a659aec41efd08dd25</t>
        </is>
      </c>
      <c r="BE32" s="24" t="inlineStr">
        <is>
          <t>v3</t>
        </is>
      </c>
      <c r="BF32" s="24" t="inlineStr">
        <is>
          <t>1</t>
        </is>
      </c>
      <c r="BG32" s="24" t="inlineStr">
        <is>
          <t>measured-edge-paired-v1</t>
        </is>
      </c>
      <c r="BH32" s="24" t="inlineStr">
        <is>
          <t>2026-08-03T22:56:38.586421Z</t>
        </is>
      </c>
      <c r="BI32" s="24" t="inlineStr">
        <is>
          <t>["same_event","same_team_same_day","same_league_same_day"]</t>
        </is>
      </c>
      <c r="BJ32" s="25" t="n">
        <v>1.5</v>
      </c>
      <c r="BK32" s="26" t="n">
        <v>-186</v>
      </c>
      <c r="BL32" s="27" t="n">
        <v>1.537634</v>
      </c>
      <c r="BM32" s="28" t="n">
        <v>0.65035</v>
      </c>
      <c r="BN32" s="28" t="n">
        <v>0.646766</v>
      </c>
      <c r="BO32" s="28" t="n"/>
      <c r="BP32" s="25" t="n"/>
      <c r="BQ32" s="27" t="n">
        <v>1.537634</v>
      </c>
      <c r="BR32" s="28" t="n">
        <v>0.65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</row>
    <row r="33" ht="36" customHeight="1">
      <c r="A33" s="24" t="inlineStr">
        <is>
          <t>8e3ca78082aa49c0</t>
        </is>
      </c>
      <c r="B33" s="24" t="inlineStr">
        <is>
          <t>2026-08-03T22:56:38.586421Z</t>
        </is>
      </c>
      <c r="C33" s="24" t="inlineStr">
        <is>
          <t>2026-08-04T00:00Z</t>
        </is>
      </c>
      <c r="D33" s="24" t="inlineStr">
        <is>
          <t>401816381</t>
        </is>
      </c>
      <c r="E33" s="24" t="inlineStr">
        <is>
          <t>MLB</t>
        </is>
      </c>
      <c r="F33" s="24" t="inlineStr">
        <is>
          <t>San Francisco Giants</t>
        </is>
      </c>
      <c r="G33" s="24" t="inlineStr">
        <is>
          <t>Texas Rangers</t>
        </is>
      </c>
      <c r="H33" s="24" t="inlineStr">
        <is>
          <t>total</t>
        </is>
      </c>
      <c r="I33" s="24" t="inlineStr">
        <is>
          <t>over</t>
        </is>
      </c>
      <c r="J33" s="25" t="n">
        <v>7.5</v>
      </c>
      <c r="K33" s="24" t="inlineStr">
        <is>
          <t>polymarket_us</t>
        </is>
      </c>
      <c r="L33" s="26" t="n">
        <v>-120</v>
      </c>
      <c r="M33" s="27" t="n">
        <v>1.833333</v>
      </c>
      <c r="N33" s="28" t="n">
        <v>0.545455</v>
      </c>
      <c r="O33" s="28" t="n">
        <v>0.5452979999999999</v>
      </c>
      <c r="P33" s="28" t="n">
        <v>0.042131</v>
      </c>
      <c r="Q33" s="28" t="n">
        <v>-0.000157</v>
      </c>
      <c r="R33" s="26" t="n">
        <v>26</v>
      </c>
      <c r="S33" s="29" t="n">
        <v>1</v>
      </c>
      <c r="T33" s="24" t="inlineStr">
        <is>
          <t>measured-edge-totals-v2</t>
        </is>
      </c>
      <c r="U33" s="24" t="inlineStr">
        <is>
          <t>settled</t>
        </is>
      </c>
      <c r="V33" s="24" t="inlineStr">
        <is>
          <t>loss</t>
        </is>
      </c>
      <c r="W33" s="26" t="n">
        <v>5</v>
      </c>
      <c r="X33" s="26" t="n">
        <v>1</v>
      </c>
      <c r="Y33" s="25" t="n">
        <v>7.5</v>
      </c>
      <c r="Z33" s="26" t="n">
        <v>-120</v>
      </c>
      <c r="AA33" s="28" t="n">
        <v>0.545</v>
      </c>
      <c r="AB33" s="28" t="n">
        <v>-0.000455</v>
      </c>
      <c r="AC33" s="30" t="n">
        <v>-1</v>
      </c>
      <c r="AD33" s="24" t="inlineStr">
        <is>
          <t>2026-08-04T03:57:45.692831Z</t>
        </is>
      </c>
      <c r="AE33" s="31" t="inlineStr">
        <is>
          <t>Measured Edge Totals: Trend Engine projected 4.50-4.74; raw selected-side p=0.6093, calibrated p=0.5453.</t>
        </is>
      </c>
      <c r="AF33" s="31" t="inlineStr">
        <is>
          <t>Research-only; lineup, bullpen, park, weather, xFIP, and wRC+ may be neutral fallbacks; market availability and BBO depth may change before first pitch.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mlb-sf</t>
        </is>
      </c>
      <c r="AQ33" s="24" t="inlineStr">
        <is>
          <t>San Francisco Giants</t>
        </is>
      </c>
      <c r="AR33" s="24" t="inlineStr">
        <is>
          <t>San Francisco Giants</t>
        </is>
      </c>
      <c r="AS33" s="24" t="inlineStr">
        <is>
          <t>mlb-tex</t>
        </is>
      </c>
      <c r="AT33" s="24" t="inlineStr">
        <is>
          <t>Texas Rangers</t>
        </is>
      </c>
      <c r="AU33" s="24" t="inlineStr">
        <is>
          <t>Texas Rangers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433578016242b27f9c1c7132cc6b5a2bcc7dd1b0234590c12a944455a88e71bd</t>
        </is>
      </c>
      <c r="BB33" s="24" t="inlineStr">
        <is>
          <t>flat_probability_shrinkage_toward_half</t>
        </is>
      </c>
      <c r="BC33" s="24" t="inlineStr">
        <is>
          <t>measured-edge-totals-v2</t>
        </is>
      </c>
      <c r="BD33" s="24" t="inlineStr">
        <is>
          <t>433578016242b27f9c1c7132cc6b5a2bcc7dd1b0234590c12a944455a88e71bd</t>
        </is>
      </c>
      <c r="BE33" s="24" t="inlineStr">
        <is>
          <t>v3</t>
        </is>
      </c>
      <c r="BF33" s="24" t="inlineStr">
        <is>
          <t>1</t>
        </is>
      </c>
      <c r="BG33" s="24" t="inlineStr">
        <is>
          <t>measured-edge-paired-v1</t>
        </is>
      </c>
      <c r="BH33" s="24" t="inlineStr">
        <is>
          <t>2026-08-03T22:56:38.586421Z</t>
        </is>
      </c>
      <c r="BI33" s="24" t="inlineStr">
        <is>
          <t>["same_event","same_team_same_day","same_league_same_day"]</t>
        </is>
      </c>
      <c r="BJ33" s="25" t="n">
        <v>7.5</v>
      </c>
      <c r="BK33" s="26" t="n">
        <v>-120</v>
      </c>
      <c r="BL33" s="27" t="n">
        <v>1.833333</v>
      </c>
      <c r="BM33" s="28" t="n">
        <v>0.545455</v>
      </c>
      <c r="BN33" s="28" t="n">
        <v>0.542289</v>
      </c>
      <c r="BO33" s="28" t="n"/>
      <c r="BP33" s="25" t="n"/>
      <c r="BQ33" s="27" t="n">
        <v>1.833333</v>
      </c>
      <c r="BR33" s="28" t="n">
        <v>0.545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False</t>
        </is>
      </c>
    </row>
    <row r="34" ht="36" customHeight="1">
      <c r="A34" s="24" t="inlineStr">
        <is>
          <t>5bb1f88231474692</t>
        </is>
      </c>
      <c r="B34" s="24" t="inlineStr">
        <is>
          <t>2026-08-03T22:56:38.586421Z</t>
        </is>
      </c>
      <c r="C34" s="24" t="inlineStr">
        <is>
          <t>2026-08-04T00:05Z</t>
        </is>
      </c>
      <c r="D34" s="24" t="inlineStr">
        <is>
          <t>401816379</t>
        </is>
      </c>
      <c r="E34" s="24" t="inlineStr">
        <is>
          <t>MLB</t>
        </is>
      </c>
      <c r="F34" s="24" t="inlineStr">
        <is>
          <t>Los Angeles Dodgers</t>
        </is>
      </c>
      <c r="G34" s="24" t="inlineStr">
        <is>
          <t>Chicago Cubs</t>
        </is>
      </c>
      <c r="H34" s="24" t="inlineStr">
        <is>
          <t>spread</t>
        </is>
      </c>
      <c r="I34" s="24" t="inlineStr">
        <is>
          <t>home</t>
        </is>
      </c>
      <c r="J34" s="25" t="n">
        <v>1.5</v>
      </c>
      <c r="K34" s="24" t="inlineStr">
        <is>
          <t>polymarket_us</t>
        </is>
      </c>
      <c r="L34" s="26" t="n">
        <v>-147</v>
      </c>
      <c r="M34" s="27" t="n">
        <v>1.680272</v>
      </c>
      <c r="N34" s="28" t="n">
        <v>0.5951419999999999</v>
      </c>
      <c r="O34" s="28" t="n">
        <v>0.651609</v>
      </c>
      <c r="P34" s="28" t="n">
        <v>0.042131</v>
      </c>
      <c r="Q34" s="28" t="n">
        <v>0.056467</v>
      </c>
      <c r="R34" s="26" t="n">
        <v>55</v>
      </c>
      <c r="S34" s="29" t="n">
        <v>1.75</v>
      </c>
      <c r="T34" s="24" t="inlineStr">
        <is>
          <t>measured-edge-margin-v2</t>
        </is>
      </c>
      <c r="U34" s="24" t="inlineStr">
        <is>
          <t>settled</t>
        </is>
      </c>
      <c r="V34" s="24" t="inlineStr">
        <is>
          <t>win</t>
        </is>
      </c>
      <c r="W34" s="26" t="n">
        <v>5</v>
      </c>
      <c r="X34" s="26" t="n">
        <v>10</v>
      </c>
      <c r="Y34" s="25" t="n">
        <v>1.5</v>
      </c>
      <c r="Z34" s="26" t="n">
        <v>-147</v>
      </c>
      <c r="AA34" s="28" t="n">
        <v>0.595</v>
      </c>
      <c r="AB34" s="28" t="n">
        <v>-0.000142</v>
      </c>
      <c r="AC34" s="30" t="n">
        <v>1.1905</v>
      </c>
      <c r="AD34" s="24" t="inlineStr">
        <is>
          <t>2026-08-04T03:57:45.968001Z</t>
        </is>
      </c>
      <c r="AE34" s="31" t="inlineStr">
        <is>
          <t>Measured Edge Margin: Trend Engine projected 3.69-4.17; raw selected-side p=0.7310, calibrated p=0.6516.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mlb-lad</t>
        </is>
      </c>
      <c r="AQ34" s="24" t="inlineStr">
        <is>
          <t>Los Angeles Dodgers</t>
        </is>
      </c>
      <c r="AR34" s="24" t="inlineStr">
        <is>
          <t>Los Angeles Dodgers</t>
        </is>
      </c>
      <c r="AS34" s="24" t="inlineStr">
        <is>
          <t>mlb-chc</t>
        </is>
      </c>
      <c r="AT34" s="24" t="inlineStr">
        <is>
          <t>Chicago Cubs</t>
        </is>
      </c>
      <c r="AU34" s="24" t="inlineStr">
        <is>
          <t>Chicago Cubs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8360b122264b796b0fb193095cfe4506c7e064e5f3f8c0a659aec41efd08dd25</t>
        </is>
      </c>
      <c r="BB34" s="24" t="inlineStr">
        <is>
          <t>flat_probability_shrinkage_toward_half</t>
        </is>
      </c>
      <c r="BC34" s="24" t="inlineStr">
        <is>
          <t>measured-edge-margin-v2</t>
        </is>
      </c>
      <c r="BD34" s="24" t="inlineStr">
        <is>
          <t>8360b122264b796b0fb193095cfe4506c7e064e5f3f8c0a659aec41efd08dd25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2026-08-03T22:56:38.586421Z</t>
        </is>
      </c>
      <c r="BI34" s="24" t="inlineStr">
        <is>
          <t>["same_event","same_team_same_day","same_league_same_day"]</t>
        </is>
      </c>
      <c r="BJ34" s="25" t="n">
        <v>1.5</v>
      </c>
      <c r="BK34" s="26" t="n">
        <v>-147</v>
      </c>
      <c r="BL34" s="27" t="n">
        <v>1.680272</v>
      </c>
      <c r="BM34" s="28" t="n">
        <v>0.5951419999999999</v>
      </c>
      <c r="BN34" s="28" t="n">
        <v>0.59204</v>
      </c>
      <c r="BO34" s="28" t="n"/>
      <c r="BP34" s="25" t="n"/>
      <c r="BQ34" s="27" t="n">
        <v>1.680272</v>
      </c>
      <c r="BR34" s="28" t="n">
        <v>0.595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</row>
    <row r="35" ht="36" customHeight="1">
      <c r="A35" s="24" t="inlineStr">
        <is>
          <t>bf796868ef09489c</t>
        </is>
      </c>
      <c r="B35" s="24" t="inlineStr">
        <is>
          <t>2026-08-03T22:56:38.586421Z</t>
        </is>
      </c>
      <c r="C35" s="24" t="inlineStr">
        <is>
          <t>2026-08-04T00:05Z</t>
        </is>
      </c>
      <c r="D35" s="24" t="inlineStr">
        <is>
          <t>401816379</t>
        </is>
      </c>
      <c r="E35" s="24" t="inlineStr">
        <is>
          <t>MLB</t>
        </is>
      </c>
      <c r="F35" s="24" t="inlineStr">
        <is>
          <t>Los Angeles Dodgers</t>
        </is>
      </c>
      <c r="G35" s="24" t="inlineStr">
        <is>
          <t>Chicago Cubs</t>
        </is>
      </c>
      <c r="H35" s="24" t="inlineStr">
        <is>
          <t>total</t>
        </is>
      </c>
      <c r="I35" s="24" t="inlineStr">
        <is>
          <t>under</t>
        </is>
      </c>
      <c r="J35" s="25" t="n">
        <v>7.5</v>
      </c>
      <c r="K35" s="24" t="inlineStr">
        <is>
          <t>polymarket_us</t>
        </is>
      </c>
      <c r="L35" s="26" t="n">
        <v>120</v>
      </c>
      <c r="M35" s="27" t="n">
        <v>2.2</v>
      </c>
      <c r="N35" s="28" t="n">
        <v>0.454545</v>
      </c>
      <c r="O35" s="28" t="n">
        <v>0.514357</v>
      </c>
      <c r="P35" s="28" t="n">
        <v>0.042131</v>
      </c>
      <c r="Q35" s="28" t="n">
        <v>0.059812</v>
      </c>
      <c r="R35" s="26" t="n">
        <v>56</v>
      </c>
      <c r="S35" s="29" t="n">
        <v>1</v>
      </c>
      <c r="T35" s="24" t="inlineStr">
        <is>
          <t>measured-edge-totals-v2</t>
        </is>
      </c>
      <c r="U35" s="24" t="inlineStr">
        <is>
          <t>settled</t>
        </is>
      </c>
      <c r="V35" s="24" t="inlineStr">
        <is>
          <t>loss</t>
        </is>
      </c>
      <c r="W35" s="26" t="n">
        <v>5</v>
      </c>
      <c r="X35" s="26" t="n">
        <v>10</v>
      </c>
      <c r="Y35" s="25" t="n">
        <v>7.5</v>
      </c>
      <c r="Z35" s="26" t="n">
        <v>120</v>
      </c>
      <c r="AA35" s="28" t="n">
        <v>0.455</v>
      </c>
      <c r="AB35" s="28" t="n">
        <v>0.000455</v>
      </c>
      <c r="AC35" s="30" t="n">
        <v>-1</v>
      </c>
      <c r="AD35" s="24" t="inlineStr">
        <is>
          <t>2026-08-04T03:57:46.248916Z</t>
        </is>
      </c>
      <c r="AE35" s="31" t="inlineStr">
        <is>
          <t>Measured Edge Totals: Trend Engine projected 3.69-4.17; raw selected-side p=0.5188, calibrated p=0.5144.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mlb-lad</t>
        </is>
      </c>
      <c r="AQ35" s="24" t="inlineStr">
        <is>
          <t>Los Angeles Dodgers</t>
        </is>
      </c>
      <c r="AR35" s="24" t="inlineStr">
        <is>
          <t>Los Angeles Dodgers</t>
        </is>
      </c>
      <c r="AS35" s="24" t="inlineStr">
        <is>
          <t>mlb-chc</t>
        </is>
      </c>
      <c r="AT35" s="24" t="inlineStr">
        <is>
          <t>Chicago Cubs</t>
        </is>
      </c>
      <c r="AU35" s="24" t="inlineStr">
        <is>
          <t>Chicago Cubs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433578016242b27f9c1c7132cc6b5a2bcc7dd1b0234590c12a944455a88e71bd</t>
        </is>
      </c>
      <c r="BB35" s="24" t="inlineStr">
        <is>
          <t>flat_probability_shrinkage_toward_half</t>
        </is>
      </c>
      <c r="BC35" s="24" t="inlineStr">
        <is>
          <t>measured-edge-totals-v2</t>
        </is>
      </c>
      <c r="BD35" s="24" t="inlineStr">
        <is>
          <t>433578016242b27f9c1c7132cc6b5a2bcc7dd1b0234590c12a944455a88e71bd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2026-08-03T22:56:38.586421Z</t>
        </is>
      </c>
      <c r="BI35" s="24" t="inlineStr">
        <is>
          <t>["same_event","same_team_same_day","same_league_same_day"]</t>
        </is>
      </c>
      <c r="BJ35" s="25" t="n">
        <v>7.5</v>
      </c>
      <c r="BK35" s="26" t="n">
        <v>120</v>
      </c>
      <c r="BL35" s="27" t="n">
        <v>2.2</v>
      </c>
      <c r="BM35" s="28" t="n">
        <v>0.454545</v>
      </c>
      <c r="BN35" s="28" t="n">
        <v>0.452736</v>
      </c>
      <c r="BO35" s="28" t="n"/>
      <c r="BP35" s="25" t="n"/>
      <c r="BQ35" s="27" t="n">
        <v>2.2</v>
      </c>
      <c r="BR35" s="28" t="n">
        <v>0.455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</row>
    <row r="36" ht="36" customHeight="1">
      <c r="A36" s="24" t="inlineStr">
        <is>
          <t>fea223a733ef436b</t>
        </is>
      </c>
      <c r="B36" s="24" t="inlineStr">
        <is>
          <t>2026-08-03T22:56:38.586421Z</t>
        </is>
      </c>
      <c r="C36" s="24" t="inlineStr">
        <is>
          <t>2026-08-04T00:10Z</t>
        </is>
      </c>
      <c r="D36" s="24" t="inlineStr">
        <is>
          <t>401816382</t>
        </is>
      </c>
      <c r="E36" s="24" t="inlineStr">
        <is>
          <t>MLB</t>
        </is>
      </c>
      <c r="F36" s="24" t="inlineStr">
        <is>
          <t>Toronto Blue Jays</t>
        </is>
      </c>
      <c r="G36" s="24" t="inlineStr">
        <is>
          <t>Houston Astros</t>
        </is>
      </c>
      <c r="H36" s="24" t="inlineStr">
        <is>
          <t>spread</t>
        </is>
      </c>
      <c r="I36" s="24" t="inlineStr">
        <is>
          <t>away</t>
        </is>
      </c>
      <c r="J36" s="25" t="n">
        <v>1.5</v>
      </c>
      <c r="K36" s="24" t="inlineStr">
        <is>
          <t>polymarket_us</t>
        </is>
      </c>
      <c r="L36" s="26" t="n">
        <v>-156</v>
      </c>
      <c r="M36" s="27" t="n">
        <v>1.641026</v>
      </c>
      <c r="N36" s="28" t="n">
        <v>0.609375</v>
      </c>
      <c r="O36" s="28" t="n">
        <v>0.533577</v>
      </c>
      <c r="P36" s="28" t="n">
        <v>0.05172</v>
      </c>
      <c r="Q36" s="28" t="n">
        <v>-0.075798</v>
      </c>
      <c r="R36" s="26" t="n">
        <v>0</v>
      </c>
      <c r="S36" s="29" t="n">
        <v>1</v>
      </c>
      <c r="T36" s="24" t="inlineStr">
        <is>
          <t>measured-edge-margin-v2</t>
        </is>
      </c>
      <c r="U36" s="24" t="inlineStr">
        <is>
          <t>settled</t>
        </is>
      </c>
      <c r="V36" s="24" t="inlineStr">
        <is>
          <t>win</t>
        </is>
      </c>
      <c r="W36" s="26" t="n">
        <v>3</v>
      </c>
      <c r="X36" s="26" t="n">
        <v>1</v>
      </c>
      <c r="Y36" s="25" t="n">
        <v>1.5</v>
      </c>
      <c r="Z36" s="26" t="n">
        <v>-156</v>
      </c>
      <c r="AA36" s="28" t="n">
        <v>0.61</v>
      </c>
      <c r="AB36" s="28" t="n">
        <v>0.000625</v>
      </c>
      <c r="AC36" s="30" t="n">
        <v>0.641</v>
      </c>
      <c r="AD36" s="24" t="inlineStr">
        <is>
          <t>2026-08-04T03:57:46.525739Z</t>
        </is>
      </c>
      <c r="AE36" s="31" t="inlineStr">
        <is>
          <t>Measured Edge Margin: Trend Engine projected 4.45-5.54; raw selected-side p=0.5511, calibrated p=0.5336.</t>
        </is>
      </c>
      <c r="AF36" s="31" t="inlineStr">
        <is>
          <t>Research-only; lineup, bullpen, park, weather, xFIP, and wRC+ may be neutral fallbacks; market availability and BBO depth may change before first pitch.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mlb-tor</t>
        </is>
      </c>
      <c r="AQ36" s="24" t="inlineStr">
        <is>
          <t>Toronto Blue Jays</t>
        </is>
      </c>
      <c r="AR36" s="24" t="inlineStr">
        <is>
          <t>Toronto Blue Jays</t>
        </is>
      </c>
      <c r="AS36" s="24" t="inlineStr">
        <is>
          <t>mlb-hou</t>
        </is>
      </c>
      <c r="AT36" s="24" t="inlineStr">
        <is>
          <t>Houston Astros</t>
        </is>
      </c>
      <c r="AU36" s="24" t="inlineStr">
        <is>
          <t>Houston Astros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8360b122264b796b0fb193095cfe4506c7e064e5f3f8c0a659aec41efd08dd25</t>
        </is>
      </c>
      <c r="BB36" s="24" t="inlineStr">
        <is>
          <t>flat_probability_shrinkage_toward_half</t>
        </is>
      </c>
      <c r="BC36" s="24" t="inlineStr">
        <is>
          <t>measured-edge-margin-v2</t>
        </is>
      </c>
      <c r="BD36" s="24" t="inlineStr">
        <is>
          <t>8360b122264b796b0fb193095cfe4506c7e064e5f3f8c0a659aec41efd08dd25</t>
        </is>
      </c>
      <c r="BE36" s="24" t="inlineStr">
        <is>
          <t>v3</t>
        </is>
      </c>
      <c r="BF36" s="24" t="inlineStr">
        <is>
          <t>1</t>
        </is>
      </c>
      <c r="BG36" s="24" t="inlineStr">
        <is>
          <t>measured-edge-paired-v1</t>
        </is>
      </c>
      <c r="BH36" s="24" t="inlineStr">
        <is>
          <t>2026-08-03T22:56:38.586421Z</t>
        </is>
      </c>
      <c r="BI36" s="24" t="inlineStr">
        <is>
          <t>["same_event","same_team_same_day","same_league_same_day"]</t>
        </is>
      </c>
      <c r="BJ36" s="25" t="n">
        <v>1.5</v>
      </c>
      <c r="BK36" s="26" t="n">
        <v>-156</v>
      </c>
      <c r="BL36" s="27" t="n">
        <v>1.641026</v>
      </c>
      <c r="BM36" s="28" t="n">
        <v>0.609375</v>
      </c>
      <c r="BN36" s="28" t="n">
        <v>0.606965</v>
      </c>
      <c r="BO36" s="28" t="n"/>
      <c r="BP36" s="25" t="n"/>
      <c r="BQ36" s="27" t="n">
        <v>1.641026</v>
      </c>
      <c r="BR36" s="28" t="n">
        <v>0.61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</row>
    <row r="37" ht="36" customHeight="1">
      <c r="A37" s="24" t="inlineStr">
        <is>
          <t>7138c887afdb41a3</t>
        </is>
      </c>
      <c r="B37" s="24" t="inlineStr">
        <is>
          <t>2026-08-03T22:56:38.586421Z</t>
        </is>
      </c>
      <c r="C37" s="24" t="inlineStr">
        <is>
          <t>2026-08-04T00:10Z</t>
        </is>
      </c>
      <c r="D37" s="24" t="inlineStr">
        <is>
          <t>401816382</t>
        </is>
      </c>
      <c r="E37" s="24" t="inlineStr">
        <is>
          <t>MLB</t>
        </is>
      </c>
      <c r="F37" s="24" t="inlineStr">
        <is>
          <t>Toronto Blue Jays</t>
        </is>
      </c>
      <c r="G37" s="24" t="inlineStr">
        <is>
          <t>Houston Astros</t>
        </is>
      </c>
      <c r="H37" s="24" t="inlineStr">
        <is>
          <t>total</t>
        </is>
      </c>
      <c r="I37" s="24" t="inlineStr">
        <is>
          <t>under</t>
        </is>
      </c>
      <c r="J37" s="25" t="n">
        <v>9.5</v>
      </c>
      <c r="K37" s="24" t="inlineStr">
        <is>
          <t>polymarket_us</t>
        </is>
      </c>
      <c r="L37" s="26" t="n">
        <v>-115</v>
      </c>
      <c r="M37" s="27" t="n">
        <v>1.869565</v>
      </c>
      <c r="N37" s="28" t="n">
        <v>0.534884</v>
      </c>
      <c r="O37" s="28" t="n">
        <v>0.511777</v>
      </c>
      <c r="P37" s="28" t="n">
        <v>0.05172</v>
      </c>
      <c r="Q37" s="28" t="n">
        <v>-0.023107</v>
      </c>
      <c r="R37" s="26" t="n">
        <v>9</v>
      </c>
      <c r="S37" s="29" t="n">
        <v>1</v>
      </c>
      <c r="T37" s="24" t="inlineStr">
        <is>
          <t>measured-edge-totals-v2</t>
        </is>
      </c>
      <c r="U37" s="24" t="inlineStr">
        <is>
          <t>settled</t>
        </is>
      </c>
      <c r="V37" s="24" t="inlineStr">
        <is>
          <t>win</t>
        </is>
      </c>
      <c r="W37" s="26" t="n">
        <v>3</v>
      </c>
      <c r="X37" s="26" t="n">
        <v>1</v>
      </c>
      <c r="Y37" s="25" t="n">
        <v>9.5</v>
      </c>
      <c r="Z37" s="26" t="n">
        <v>-115</v>
      </c>
      <c r="AA37" s="28" t="n">
        <v>0.535</v>
      </c>
      <c r="AB37" s="28" t="n">
        <v>0.000116</v>
      </c>
      <c r="AC37" s="30" t="n">
        <v>0.8696</v>
      </c>
      <c r="AD37" s="24" t="inlineStr">
        <is>
          <t>2026-08-04T03:57:46.804857Z</t>
        </is>
      </c>
      <c r="AE37" s="31" t="inlineStr">
        <is>
          <t>Measured Edge Totals: Trend Engine projected 4.45-5.54; raw selected-side p=0.5112, calibrated p=0.5118.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mlb-tor</t>
        </is>
      </c>
      <c r="AQ37" s="24" t="inlineStr">
        <is>
          <t>Toronto Blue Jays</t>
        </is>
      </c>
      <c r="AR37" s="24" t="inlineStr">
        <is>
          <t>Toronto Blue Jays</t>
        </is>
      </c>
      <c r="AS37" s="24" t="inlineStr">
        <is>
          <t>mlb-hou</t>
        </is>
      </c>
      <c r="AT37" s="24" t="inlineStr">
        <is>
          <t>Houston Astros</t>
        </is>
      </c>
      <c r="AU37" s="24" t="inlineStr">
        <is>
          <t>Houston Astros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433578016242b27f9c1c7132cc6b5a2bcc7dd1b0234590c12a944455a88e71bd</t>
        </is>
      </c>
      <c r="BB37" s="24" t="inlineStr">
        <is>
          <t>flat_probability_shrinkage_toward_half</t>
        </is>
      </c>
      <c r="BC37" s="24" t="inlineStr">
        <is>
          <t>measured-edge-totals-v2</t>
        </is>
      </c>
      <c r="BD37" s="24" t="inlineStr">
        <is>
          <t>433578016242b27f9c1c7132cc6b5a2bcc7dd1b0234590c12a944455a88e71bd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2026-08-03T22:56:38.586421Z</t>
        </is>
      </c>
      <c r="BI37" s="24" t="inlineStr">
        <is>
          <t>["same_event","same_team_same_day","same_league_same_day"]</t>
        </is>
      </c>
      <c r="BJ37" s="25" t="n">
        <v>9.5</v>
      </c>
      <c r="BK37" s="26" t="n">
        <v>-115</v>
      </c>
      <c r="BL37" s="27" t="n">
        <v>1.869565</v>
      </c>
      <c r="BM37" s="28" t="n">
        <v>0.534884</v>
      </c>
      <c r="BN37" s="28" t="n">
        <v>0.532338</v>
      </c>
      <c r="BO37" s="28" t="n"/>
      <c r="BP37" s="25" t="n"/>
      <c r="BQ37" s="27" t="n">
        <v>1.869565</v>
      </c>
      <c r="BR37" s="28" t="n">
        <v>0.535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</row>
    <row r="38" ht="36" customHeight="1">
      <c r="A38" s="24" t="inlineStr">
        <is>
          <t>6ebdd1f162854a64</t>
        </is>
      </c>
      <c r="B38" s="24" t="inlineStr">
        <is>
          <t>2026-08-03T22:56:38.586421Z</t>
        </is>
      </c>
      <c r="C38" s="24" t="inlineStr">
        <is>
          <t>2026-08-04T00:40Z</t>
        </is>
      </c>
      <c r="D38" s="24" t="inlineStr">
        <is>
          <t>401816383</t>
        </is>
      </c>
      <c r="E38" s="24" t="inlineStr">
        <is>
          <t>MLB</t>
        </is>
      </c>
      <c r="F38" s="24" t="inlineStr">
        <is>
          <t>Tampa Bay Rays</t>
        </is>
      </c>
      <c r="G38" s="24" t="inlineStr">
        <is>
          <t>Colorado Rockies</t>
        </is>
      </c>
      <c r="H38" s="24" t="inlineStr">
        <is>
          <t>spread</t>
        </is>
      </c>
      <c r="I38" s="24" t="inlineStr">
        <is>
          <t>home</t>
        </is>
      </c>
      <c r="J38" s="25" t="n">
        <v>1.5</v>
      </c>
      <c r="K38" s="24" t="inlineStr">
        <is>
          <t>polymarket_us</t>
        </is>
      </c>
      <c r="L38" s="26" t="n">
        <v>108</v>
      </c>
      <c r="M38" s="27" t="n">
        <v>2.08</v>
      </c>
      <c r="N38" s="28" t="n">
        <v>0.480769</v>
      </c>
      <c r="O38" s="28" t="n">
        <v>0.623102</v>
      </c>
      <c r="P38" s="28" t="n">
        <v>0.042131</v>
      </c>
      <c r="Q38" s="28" t="n">
        <v>0.142333</v>
      </c>
      <c r="R38" s="26" t="n">
        <v>97</v>
      </c>
      <c r="S38" s="29" t="n">
        <v>1.5</v>
      </c>
      <c r="T38" s="24" t="inlineStr">
        <is>
          <t>measured-edge-margin-v2</t>
        </is>
      </c>
      <c r="U38" s="24" t="inlineStr">
        <is>
          <t>settled</t>
        </is>
      </c>
      <c r="V38" s="24" t="inlineStr">
        <is>
          <t>loss</t>
        </is>
      </c>
      <c r="W38" s="26" t="n">
        <v>13</v>
      </c>
      <c r="X38" s="26" t="n">
        <v>9</v>
      </c>
      <c r="Y38" s="25" t="n">
        <v>1.5</v>
      </c>
      <c r="Z38" s="26" t="n">
        <v>108</v>
      </c>
      <c r="AA38" s="28" t="n">
        <v>0.48</v>
      </c>
      <c r="AB38" s="28" t="n">
        <v>-0.000769</v>
      </c>
      <c r="AC38" s="30" t="n">
        <v>-1.5</v>
      </c>
      <c r="AD38" s="24" t="inlineStr">
        <is>
          <t>2026-08-04T03:57:47.083625Z</t>
        </is>
      </c>
      <c r="AE38" s="31" t="inlineStr">
        <is>
          <t>Measured Edge Margin: Trend Engine projected 5.20-5.67; raw selected-side p=0.6875, calibrated p=0.6231.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mlb-tb</t>
        </is>
      </c>
      <c r="AQ38" s="24" t="inlineStr">
        <is>
          <t>Tampa Bay Rays</t>
        </is>
      </c>
      <c r="AR38" s="24" t="inlineStr">
        <is>
          <t>Tampa Bay Rays</t>
        </is>
      </c>
      <c r="AS38" s="24" t="inlineStr">
        <is>
          <t>mlb-col</t>
        </is>
      </c>
      <c r="AT38" s="24" t="inlineStr">
        <is>
          <t>Colorado Rockies</t>
        </is>
      </c>
      <c r="AU38" s="24" t="inlineStr">
        <is>
          <t>Colorado Rockies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8360b122264b796b0fb193095cfe4506c7e064e5f3f8c0a659aec41efd08dd25</t>
        </is>
      </c>
      <c r="BB38" s="24" t="inlineStr">
        <is>
          <t>flat_probability_shrinkage_toward_half</t>
        </is>
      </c>
      <c r="BC38" s="24" t="inlineStr">
        <is>
          <t>measured-edge-margin-v2</t>
        </is>
      </c>
      <c r="BD38" s="24" t="inlineStr">
        <is>
          <t>8360b122264b796b0fb193095cfe4506c7e064e5f3f8c0a659aec41efd08dd25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2026-08-03T22:56:38.586421Z</t>
        </is>
      </c>
      <c r="BI38" s="24" t="inlineStr">
        <is>
          <t>["same_event","same_team_same_day","same_league_same_day"]</t>
        </is>
      </c>
      <c r="BJ38" s="25" t="n">
        <v>1.5</v>
      </c>
      <c r="BK38" s="26" t="n">
        <v>108</v>
      </c>
      <c r="BL38" s="27" t="n">
        <v>2.08</v>
      </c>
      <c r="BM38" s="28" t="n">
        <v>0.480769</v>
      </c>
      <c r="BN38" s="28" t="n">
        <v>0.477612</v>
      </c>
      <c r="BO38" s="28" t="n"/>
      <c r="BP38" s="25" t="n"/>
      <c r="BQ38" s="27" t="n">
        <v>2.08</v>
      </c>
      <c r="BR38" s="28" t="n">
        <v>0.48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</row>
    <row r="39" ht="36" customHeight="1">
      <c r="A39" s="24" t="inlineStr">
        <is>
          <t>eddda04cc2ed417b</t>
        </is>
      </c>
      <c r="B39" s="24" t="inlineStr">
        <is>
          <t>2026-08-03T22:56:38.586421Z</t>
        </is>
      </c>
      <c r="C39" s="24" t="inlineStr">
        <is>
          <t>2026-08-04T00:40Z</t>
        </is>
      </c>
      <c r="D39" s="24" t="inlineStr">
        <is>
          <t>401816383</t>
        </is>
      </c>
      <c r="E39" s="24" t="inlineStr">
        <is>
          <t>MLB</t>
        </is>
      </c>
      <c r="F39" s="24" t="inlineStr">
        <is>
          <t>Tampa Bay Rays</t>
        </is>
      </c>
      <c r="G39" s="24" t="inlineStr">
        <is>
          <t>Colorado Rockies</t>
        </is>
      </c>
      <c r="H39" s="24" t="inlineStr">
        <is>
          <t>total</t>
        </is>
      </c>
      <c r="I39" s="24" t="inlineStr">
        <is>
          <t>under</t>
        </is>
      </c>
      <c r="J39" s="25" t="n">
        <v>11.5</v>
      </c>
      <c r="K39" s="24" t="inlineStr">
        <is>
          <t>polymarket_us</t>
        </is>
      </c>
      <c r="L39" s="26" t="n">
        <v>-111</v>
      </c>
      <c r="M39" s="27" t="n">
        <v>1.900901</v>
      </c>
      <c r="N39" s="28" t="n">
        <v>0.526066</v>
      </c>
      <c r="O39" s="28" t="n">
        <v>0.542428</v>
      </c>
      <c r="P39" s="28" t="n">
        <v>0.042131</v>
      </c>
      <c r="Q39" s="28" t="n">
        <v>0.016362</v>
      </c>
      <c r="R39" s="26" t="n">
        <v>35</v>
      </c>
      <c r="S39" s="29" t="n">
        <v>1</v>
      </c>
      <c r="T39" s="24" t="inlineStr">
        <is>
          <t>measured-edge-totals-v2</t>
        </is>
      </c>
      <c r="U39" s="24" t="inlineStr">
        <is>
          <t>settled</t>
        </is>
      </c>
      <c r="V39" s="24" t="inlineStr">
        <is>
          <t>loss</t>
        </is>
      </c>
      <c r="W39" s="26" t="n">
        <v>13</v>
      </c>
      <c r="X39" s="26" t="n">
        <v>9</v>
      </c>
      <c r="Y39" s="25" t="n">
        <v>11.5</v>
      </c>
      <c r="Z39" s="26" t="n">
        <v>-111</v>
      </c>
      <c r="AA39" s="28" t="n">
        <v>0.525</v>
      </c>
      <c r="AB39" s="28" t="n">
        <v>-0.001066</v>
      </c>
      <c r="AC39" s="30" t="n">
        <v>-1</v>
      </c>
      <c r="AD39" s="24" t="inlineStr">
        <is>
          <t>2026-08-04T03:57:47.365427Z</t>
        </is>
      </c>
      <c r="AE39" s="31" t="inlineStr">
        <is>
          <t>Measured Edge Totals: Trend Engine projected 5.20-5.67; raw selected-side p=0.6009, calibrated p=0.5424.</t>
        </is>
      </c>
      <c r="AF39" s="31" t="inlineStr">
        <is>
          <t>Research-only; lineup, bullpen, park, weather, xFIP, and wRC+ may be neutral fallbacks; market availability and BBO depth may change before first pitch.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mlb-tb</t>
        </is>
      </c>
      <c r="AQ39" s="24" t="inlineStr">
        <is>
          <t>Tampa Bay Rays</t>
        </is>
      </c>
      <c r="AR39" s="24" t="inlineStr">
        <is>
          <t>Tampa Bay Rays</t>
        </is>
      </c>
      <c r="AS39" s="24" t="inlineStr">
        <is>
          <t>mlb-col</t>
        </is>
      </c>
      <c r="AT39" s="24" t="inlineStr">
        <is>
          <t>Colorado Rockies</t>
        </is>
      </c>
      <c r="AU39" s="24" t="inlineStr">
        <is>
          <t>Colorado Rockies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433578016242b27f9c1c7132cc6b5a2bcc7dd1b0234590c12a944455a88e71bd</t>
        </is>
      </c>
      <c r="BB39" s="24" t="inlineStr">
        <is>
          <t>flat_probability_shrinkage_toward_half</t>
        </is>
      </c>
      <c r="BC39" s="24" t="inlineStr">
        <is>
          <t>measured-edge-totals-v2</t>
        </is>
      </c>
      <c r="BD39" s="24" t="inlineStr">
        <is>
          <t>433578016242b27f9c1c7132cc6b5a2bcc7dd1b0234590c12a944455a88e71bd</t>
        </is>
      </c>
      <c r="BE39" s="24" t="inlineStr">
        <is>
          <t>v3</t>
        </is>
      </c>
      <c r="BF39" s="24" t="inlineStr">
        <is>
          <t>1</t>
        </is>
      </c>
      <c r="BG39" s="24" t="inlineStr">
        <is>
          <t>measured-edge-paired-v1</t>
        </is>
      </c>
      <c r="BH39" s="24" t="inlineStr">
        <is>
          <t>2026-08-03T22:56:38.586421Z</t>
        </is>
      </c>
      <c r="BI39" s="24" t="inlineStr">
        <is>
          <t>["same_event","same_team_same_day","same_league_same_day"]</t>
        </is>
      </c>
      <c r="BJ39" s="25" t="n">
        <v>11.5</v>
      </c>
      <c r="BK39" s="26" t="n">
        <v>-111</v>
      </c>
      <c r="BL39" s="27" t="n">
        <v>1.900901</v>
      </c>
      <c r="BM39" s="28" t="n">
        <v>0.526066</v>
      </c>
      <c r="BN39" s="28" t="n">
        <v>0.522388</v>
      </c>
      <c r="BO39" s="28" t="n"/>
      <c r="BP39" s="25" t="n"/>
      <c r="BQ39" s="27" t="n">
        <v>1.900901</v>
      </c>
      <c r="BR39" s="28" t="n">
        <v>0.525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</row>
    <row r="40" ht="36" customHeight="1">
      <c r="A40" s="24" t="inlineStr">
        <is>
          <t>27ed6f735b404859</t>
        </is>
      </c>
      <c r="B40" s="24" t="inlineStr">
        <is>
          <t>2026-08-03T22:56:38.586421Z</t>
        </is>
      </c>
      <c r="C40" s="24" t="inlineStr">
        <is>
          <t>2026-08-04T01:40Z</t>
        </is>
      </c>
      <c r="D40" s="24" t="inlineStr">
        <is>
          <t>401815079</t>
        </is>
      </c>
      <c r="E40" s="24" t="inlineStr">
        <is>
          <t>MLB</t>
        </is>
      </c>
      <c r="F40" s="24" t="inlineStr">
        <is>
          <t>San Diego Padres</t>
        </is>
      </c>
      <c r="G40" s="24" t="inlineStr">
        <is>
          <t>Arizona Diamondbacks</t>
        </is>
      </c>
      <c r="H40" s="24" t="inlineStr">
        <is>
          <t>spread</t>
        </is>
      </c>
      <c r="I40" s="24" t="inlineStr">
        <is>
          <t>home</t>
        </is>
      </c>
      <c r="J40" s="25" t="n">
        <v>1.5</v>
      </c>
      <c r="K40" s="24" t="inlineStr">
        <is>
          <t>polymarket_us</t>
        </is>
      </c>
      <c r="L40" s="26" t="n">
        <v>-174</v>
      </c>
      <c r="M40" s="27" t="n">
        <v>1.574713</v>
      </c>
      <c r="N40" s="28" t="n">
        <v>0.635036</v>
      </c>
      <c r="O40" s="28" t="n">
        <v>0.625824</v>
      </c>
      <c r="P40" s="28" t="n">
        <v>0.042131</v>
      </c>
      <c r="Q40" s="28" t="n">
        <v>-0.009212</v>
      </c>
      <c r="R40" s="26" t="n">
        <v>22</v>
      </c>
      <c r="S40" s="29" t="n">
        <v>1.5</v>
      </c>
      <c r="T40" s="24" t="inlineStr">
        <is>
          <t>measured-edge-margin-v2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5</v>
      </c>
      <c r="Y40" s="25" t="n">
        <v>1.5</v>
      </c>
      <c r="Z40" s="26" t="n">
        <v>-174</v>
      </c>
      <c r="AA40" s="28" t="n">
        <v>0.635</v>
      </c>
      <c r="AB40" s="28" t="n">
        <v>-3.6e-05</v>
      </c>
      <c r="AC40" s="30" t="n">
        <v>0.8621</v>
      </c>
      <c r="AD40" s="24" t="inlineStr">
        <is>
          <t>2026-08-04T05:15:15.052080Z</t>
        </is>
      </c>
      <c r="AE40" s="31" t="inlineStr">
        <is>
          <t>Measured Edge Margin: Trend Engine projected 4.26-4.48; raw selected-side p=0.6917, calibrated p=0.6258.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mlb-sd</t>
        </is>
      </c>
      <c r="AQ40" s="24" t="inlineStr">
        <is>
          <t>San Diego Padres</t>
        </is>
      </c>
      <c r="AR40" s="24" t="inlineStr">
        <is>
          <t>San Diego Padres</t>
        </is>
      </c>
      <c r="AS40" s="24" t="inlineStr">
        <is>
          <t>mlb-ari</t>
        </is>
      </c>
      <c r="AT40" s="24" t="inlineStr">
        <is>
          <t>Arizona Diamondbacks</t>
        </is>
      </c>
      <c r="AU40" s="24" t="inlineStr">
        <is>
          <t>Arizona Diamondbacks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8360b122264b796b0fb193095cfe4506c7e064e5f3f8c0a659aec41efd08dd25</t>
        </is>
      </c>
      <c r="BB40" s="24" t="inlineStr">
        <is>
          <t>flat_probability_shrinkage_toward_half</t>
        </is>
      </c>
      <c r="BC40" s="24" t="inlineStr">
        <is>
          <t>measured-edge-margin-v2</t>
        </is>
      </c>
      <c r="BD40" s="24" t="inlineStr">
        <is>
          <t>8360b122264b796b0fb193095cfe4506c7e064e5f3f8c0a659aec41efd08dd25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2026-08-03T22:56:38.586421Z</t>
        </is>
      </c>
      <c r="BI40" s="24" t="inlineStr">
        <is>
          <t>["same_event","same_team_same_day","same_league_same_day"]</t>
        </is>
      </c>
      <c r="BJ40" s="25" t="n">
        <v>1.5</v>
      </c>
      <c r="BK40" s="26" t="n">
        <v>-174</v>
      </c>
      <c r="BL40" s="27" t="n">
        <v>1.574713</v>
      </c>
      <c r="BM40" s="28" t="n">
        <v>0.635036</v>
      </c>
      <c r="BN40" s="28" t="n">
        <v>0.631841</v>
      </c>
      <c r="BO40" s="28" t="n"/>
      <c r="BP40" s="25" t="n"/>
      <c r="BQ40" s="27" t="n">
        <v>1.574713</v>
      </c>
      <c r="BR40" s="28" t="n">
        <v>0.635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False</t>
        </is>
      </c>
    </row>
    <row r="41" ht="36" customHeight="1">
      <c r="A41" s="24" t="inlineStr">
        <is>
          <t>5d4258fa4e1d4177</t>
        </is>
      </c>
      <c r="B41" s="24" t="inlineStr">
        <is>
          <t>2026-08-03T22:56:38.586421Z</t>
        </is>
      </c>
      <c r="C41" s="24" t="inlineStr">
        <is>
          <t>2026-08-04T01:40Z</t>
        </is>
      </c>
      <c r="D41" s="24" t="inlineStr">
        <is>
          <t>401815079</t>
        </is>
      </c>
      <c r="E41" s="24" t="inlineStr">
        <is>
          <t>MLB</t>
        </is>
      </c>
      <c r="F41" s="24" t="inlineStr">
        <is>
          <t>San Diego Padres</t>
        </is>
      </c>
      <c r="G41" s="24" t="inlineStr">
        <is>
          <t>Arizona Diamondbacks</t>
        </is>
      </c>
      <c r="H41" s="24" t="inlineStr">
        <is>
          <t>total</t>
        </is>
      </c>
      <c r="I41" s="24" t="inlineStr">
        <is>
          <t>under</t>
        </is>
      </c>
      <c r="J41" s="25" t="n">
        <v>8.5</v>
      </c>
      <c r="K41" s="24" t="inlineStr">
        <is>
          <t>polymarket_us</t>
        </is>
      </c>
      <c r="L41" s="26" t="n">
        <v>115</v>
      </c>
      <c r="M41" s="27" t="n">
        <v>2.15</v>
      </c>
      <c r="N41" s="28" t="n">
        <v>0.465116</v>
      </c>
      <c r="O41" s="28" t="n">
        <v>0.510872</v>
      </c>
      <c r="P41" s="28" t="n">
        <v>0.042131</v>
      </c>
      <c r="Q41" s="28" t="n">
        <v>0.045756</v>
      </c>
      <c r="R41" s="26" t="n">
        <v>49</v>
      </c>
      <c r="S41" s="29" t="n">
        <v>1</v>
      </c>
      <c r="T41" s="24" t="inlineStr">
        <is>
          <t>measured-edge-totals-v2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5</v>
      </c>
      <c r="Y41" s="25" t="n">
        <v>8.5</v>
      </c>
      <c r="Z41" s="26" t="n">
        <v>115</v>
      </c>
      <c r="AA41" s="28" t="n">
        <v>0.465</v>
      </c>
      <c r="AB41" s="28" t="n">
        <v>-0.000116</v>
      </c>
      <c r="AC41" s="30" t="n">
        <v>1.15</v>
      </c>
      <c r="AD41" s="24" t="inlineStr">
        <is>
          <t>2026-08-04T05:15:15.302651Z</t>
        </is>
      </c>
      <c r="AE41" s="31" t="inlineStr">
        <is>
          <t>Measured Edge Totals: Trend Engine projected 4.26-4.48; raw selected-side p=0.5085, calibrated p=0.5109.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mlb-sd</t>
        </is>
      </c>
      <c r="AQ41" s="24" t="inlineStr">
        <is>
          <t>San Diego Padres</t>
        </is>
      </c>
      <c r="AR41" s="24" t="inlineStr">
        <is>
          <t>San Diego Padres</t>
        </is>
      </c>
      <c r="AS41" s="24" t="inlineStr">
        <is>
          <t>mlb-ari</t>
        </is>
      </c>
      <c r="AT41" s="24" t="inlineStr">
        <is>
          <t>Arizona Diamondbacks</t>
        </is>
      </c>
      <c r="AU41" s="24" t="inlineStr">
        <is>
          <t>Arizona Diamondbacks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433578016242b27f9c1c7132cc6b5a2bcc7dd1b0234590c12a944455a88e71bd</t>
        </is>
      </c>
      <c r="BB41" s="24" t="inlineStr">
        <is>
          <t>flat_probability_shrinkage_toward_half</t>
        </is>
      </c>
      <c r="BC41" s="24" t="inlineStr">
        <is>
          <t>measured-edge-totals-v2</t>
        </is>
      </c>
      <c r="BD41" s="24" t="inlineStr">
        <is>
          <t>433578016242b27f9c1c7132cc6b5a2bcc7dd1b0234590c12a944455a88e71bd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2026-08-03T22:56:38.586421Z</t>
        </is>
      </c>
      <c r="BI41" s="24" t="inlineStr">
        <is>
          <t>["same_event","same_team_same_day","same_league_same_day"]</t>
        </is>
      </c>
      <c r="BJ41" s="25" t="n">
        <v>8.5</v>
      </c>
      <c r="BK41" s="26" t="n">
        <v>115</v>
      </c>
      <c r="BL41" s="27" t="n">
        <v>2.15</v>
      </c>
      <c r="BM41" s="28" t="n">
        <v>0.465116</v>
      </c>
      <c r="BN41" s="28" t="n">
        <v>0.462687</v>
      </c>
      <c r="BO41" s="28" t="n"/>
      <c r="BP41" s="25" t="n"/>
      <c r="BQ41" s="27" t="n">
        <v>2.15</v>
      </c>
      <c r="BR41" s="28" t="n">
        <v>0.465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</row>
    <row r="42" ht="36" customHeight="1">
      <c r="A42" s="24" t="inlineStr">
        <is>
          <t>bcb6241cb2b04b99</t>
        </is>
      </c>
      <c r="B42" s="24" t="inlineStr">
        <is>
          <t>2026-08-05T01:08:02.646600Z</t>
        </is>
      </c>
      <c r="C42" s="24" t="inlineStr">
        <is>
          <t>2026-08-05T01:40Z</t>
        </is>
      </c>
      <c r="D42" s="24" t="inlineStr">
        <is>
          <t>401816397</t>
        </is>
      </c>
      <c r="E42" s="24" t="inlineStr">
        <is>
          <t>MLB</t>
        </is>
      </c>
      <c r="F42" s="24" t="inlineStr">
        <is>
          <t>Detroit Tigers</t>
        </is>
      </c>
      <c r="G42" s="24" t="inlineStr">
        <is>
          <t>Seattle Mariners</t>
        </is>
      </c>
      <c r="H42" s="24" t="inlineStr">
        <is>
          <t>spread</t>
        </is>
      </c>
      <c r="I42" s="24" t="inlineStr">
        <is>
          <t>away</t>
        </is>
      </c>
      <c r="J42" s="25" t="n">
        <v>1.5</v>
      </c>
      <c r="K42" s="24" t="inlineStr">
        <is>
          <t>polymarket_us</t>
        </is>
      </c>
      <c r="L42" s="26" t="n">
        <v>-186</v>
      </c>
      <c r="M42" s="27" t="n">
        <v>1.537634</v>
      </c>
      <c r="N42" s="28" t="n">
        <v>0.65035</v>
      </c>
      <c r="O42" s="28" t="n">
        <v>0.657369</v>
      </c>
      <c r="P42" s="28" t="n">
        <v>0.042131</v>
      </c>
      <c r="Q42" s="28" t="n">
        <v>0.007019</v>
      </c>
      <c r="R42" s="26" t="n">
        <v>30</v>
      </c>
      <c r="S42" s="29" t="n">
        <v>1.75</v>
      </c>
      <c r="T42" s="24" t="inlineStr">
        <is>
          <t>measured-edge-margin-v3</t>
        </is>
      </c>
      <c r="U42" s="24" t="inlineStr">
        <is>
          <t>settled</t>
        </is>
      </c>
      <c r="V42" s="24" t="inlineStr">
        <is>
          <t>win</t>
        </is>
      </c>
      <c r="W42" s="26" t="n">
        <v>8</v>
      </c>
      <c r="X42" s="26" t="n">
        <v>0</v>
      </c>
      <c r="Y42" s="25" t="n">
        <v>1.5</v>
      </c>
      <c r="Z42" s="26" t="n">
        <v>-186</v>
      </c>
      <c r="AA42" s="28" t="n">
        <v>0.65</v>
      </c>
      <c r="AB42" s="28" t="n">
        <v>-0.00035</v>
      </c>
      <c r="AC42" s="30" t="n">
        <v>0.9409</v>
      </c>
      <c r="AD42" s="24" t="inlineStr">
        <is>
          <t>2026-08-05T04:21:26.372391Z</t>
        </is>
      </c>
      <c r="AE42" s="31" t="inlineStr">
        <is>
          <t>Measured Edge Margin: Trend Engine projected 4.19-3.76; raw selected-side p=0.7309, calibrated p=0.6574.</t>
        </is>
      </c>
      <c r="AF42" s="31" t="inlineStr">
        <is>
          <t>Research-only; lineup, bullpen, park, weather, xFIP, and wRC+ may be neutral fallbacks; market availability and BBO depth may change before first pitch.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mlb-det</t>
        </is>
      </c>
      <c r="AQ42" s="24" t="inlineStr">
        <is>
          <t>Detroit Tigers</t>
        </is>
      </c>
      <c r="AR42" s="24" t="inlineStr">
        <is>
          <t>Detroit Tigers</t>
        </is>
      </c>
      <c r="AS42" s="24" t="inlineStr">
        <is>
          <t>mlb-sea</t>
        </is>
      </c>
      <c r="AT42" s="24" t="inlineStr">
        <is>
          <t>Seattle Mariners</t>
        </is>
      </c>
      <c r="AU42" s="24" t="inlineStr">
        <is>
          <t>Seattle Mariners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dd339a2eed50d7d83ab2127837995ddab82e879afd27f5414bb6c1f9cd60ba4c</t>
        </is>
      </c>
      <c r="BB42" s="24" t="inlineStr">
        <is>
          <t>flat_probability_shrinkage_toward_half</t>
        </is>
      </c>
      <c r="BC42" s="24" t="inlineStr">
        <is>
          <t>measured-edge-margin-v3</t>
        </is>
      </c>
      <c r="BD42" s="24" t="inlineStr">
        <is>
          <t>dd339a2eed50d7d83ab2127837995ddab82e879afd27f5414bb6c1f9cd60ba4c</t>
        </is>
      </c>
      <c r="BE42" s="24" t="inlineStr">
        <is>
          <t>v3</t>
        </is>
      </c>
      <c r="BF42" s="24" t="inlineStr">
        <is>
          <t>1</t>
        </is>
      </c>
      <c r="BG42" s="24" t="inlineStr">
        <is>
          <t>measured-edge-paired-v1</t>
        </is>
      </c>
      <c r="BH42" s="24" t="inlineStr">
        <is>
          <t>2026-08-05T01:08:02.646600Z</t>
        </is>
      </c>
      <c r="BI42" s="24" t="inlineStr">
        <is>
          <t>["same_event","same_team_same_day","same_league_same_day"]</t>
        </is>
      </c>
      <c r="BJ42" s="25" t="n">
        <v>1.5</v>
      </c>
      <c r="BK42" s="26" t="n">
        <v>-186</v>
      </c>
      <c r="BL42" s="27" t="n">
        <v>1.537634</v>
      </c>
      <c r="BM42" s="28" t="n">
        <v>0.65035</v>
      </c>
      <c r="BN42" s="28" t="n">
        <v>0.646766</v>
      </c>
      <c r="BO42" s="28" t="n"/>
      <c r="BP42" s="25" t="n"/>
      <c r="BQ42" s="27" t="n">
        <v>1.537634</v>
      </c>
      <c r="BR42" s="28" t="n">
        <v>0.65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</row>
    <row r="43" ht="36" customHeight="1">
      <c r="A43" s="24" t="inlineStr">
        <is>
          <t>ce99df3a66214167</t>
        </is>
      </c>
      <c r="B43" s="24" t="inlineStr">
        <is>
          <t>2026-08-05T01:08:02.646600Z</t>
        </is>
      </c>
      <c r="C43" s="24" t="inlineStr">
        <is>
          <t>2026-08-05T01:40Z</t>
        </is>
      </c>
      <c r="D43" s="24" t="inlineStr">
        <is>
          <t>401816397</t>
        </is>
      </c>
      <c r="E43" s="24" t="inlineStr">
        <is>
          <t>MLB</t>
        </is>
      </c>
      <c r="F43" s="24" t="inlineStr">
        <is>
          <t>Detroit Tigers</t>
        </is>
      </c>
      <c r="G43" s="24" t="inlineStr">
        <is>
          <t>Seattle Mariners</t>
        </is>
      </c>
      <c r="H43" s="24" t="inlineStr">
        <is>
          <t>total</t>
        </is>
      </c>
      <c r="I43" s="24" t="inlineStr">
        <is>
          <t>under</t>
        </is>
      </c>
      <c r="J43" s="25" t="n">
        <v>7.5</v>
      </c>
      <c r="K43" s="24" t="inlineStr">
        <is>
          <t>polymarket_us</t>
        </is>
      </c>
      <c r="L43" s="26" t="n">
        <v>108</v>
      </c>
      <c r="M43" s="27" t="n">
        <v>2.08</v>
      </c>
      <c r="N43" s="28" t="n">
        <v>0.480769</v>
      </c>
      <c r="O43" s="28" t="n">
        <v>0.506992</v>
      </c>
      <c r="P43" s="28" t="n">
        <v>0.042131</v>
      </c>
      <c r="Q43" s="28" t="n">
        <v>0.026223</v>
      </c>
      <c r="R43" s="26" t="n">
        <v>39</v>
      </c>
      <c r="S43" s="29" t="n">
        <v>1</v>
      </c>
      <c r="T43" s="24" t="inlineStr">
        <is>
          <t>measured-edge-totals-v3</t>
        </is>
      </c>
      <c r="U43" s="24" t="inlineStr">
        <is>
          <t>settled</t>
        </is>
      </c>
      <c r="V43" s="24" t="inlineStr">
        <is>
          <t>loss</t>
        </is>
      </c>
      <c r="W43" s="26" t="n">
        <v>8</v>
      </c>
      <c r="X43" s="26" t="n">
        <v>0</v>
      </c>
      <c r="Y43" s="25" t="n">
        <v>7.5</v>
      </c>
      <c r="Z43" s="26" t="n">
        <v>108</v>
      </c>
      <c r="AA43" s="28" t="n">
        <v>0.48</v>
      </c>
      <c r="AB43" s="28" t="n">
        <v>-0.000769</v>
      </c>
      <c r="AC43" s="30" t="n">
        <v>-1</v>
      </c>
      <c r="AD43" s="24" t="inlineStr">
        <is>
          <t>2026-08-05T04:21:26.662275Z</t>
        </is>
      </c>
      <c r="AE43" s="31" t="inlineStr">
        <is>
          <t>Measured Edge Totals: Trend Engine projected 4.19-3.76; raw selected-side p=0.5048, calibrated p=0.5070.</t>
        </is>
      </c>
      <c r="AF43" s="31" t="inlineStr">
        <is>
          <t>Research-only; lineup, bullpen, park, weather, xFIP, and wRC+ may be neutral fallbacks; market availability and BBO depth may change before first pitch.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mlb-det</t>
        </is>
      </c>
      <c r="AQ43" s="24" t="inlineStr">
        <is>
          <t>Detroit Tigers</t>
        </is>
      </c>
      <c r="AR43" s="24" t="inlineStr">
        <is>
          <t>Detroit Tigers</t>
        </is>
      </c>
      <c r="AS43" s="24" t="inlineStr">
        <is>
          <t>mlb-sea</t>
        </is>
      </c>
      <c r="AT43" s="24" t="inlineStr">
        <is>
          <t>Seattle Mariners</t>
        </is>
      </c>
      <c r="AU43" s="24" t="inlineStr">
        <is>
          <t>Seattle Mariners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95b84332c75d2ce54036eb8de6ada9c78d0f80228c50825c0347281a8b9b49c7</t>
        </is>
      </c>
      <c r="BB43" s="24" t="inlineStr">
        <is>
          <t>flat_probability_shrinkage_toward_half</t>
        </is>
      </c>
      <c r="BC43" s="24" t="inlineStr">
        <is>
          <t>measured-edge-totals-v3</t>
        </is>
      </c>
      <c r="BD43" s="24" t="inlineStr">
        <is>
          <t>95b84332c75d2ce54036eb8de6ada9c78d0f80228c50825c0347281a8b9b49c7</t>
        </is>
      </c>
      <c r="BE43" s="24" t="inlineStr">
        <is>
          <t>v3</t>
        </is>
      </c>
      <c r="BF43" s="24" t="inlineStr">
        <is>
          <t>1</t>
        </is>
      </c>
      <c r="BG43" s="24" t="inlineStr">
        <is>
          <t>measured-edge-paired-v1</t>
        </is>
      </c>
      <c r="BH43" s="24" t="inlineStr">
        <is>
          <t>2026-08-05T01:08:02.646600Z</t>
        </is>
      </c>
      <c r="BI43" s="24" t="inlineStr">
        <is>
          <t>["same_event","same_team_same_day","same_league_same_day"]</t>
        </is>
      </c>
      <c r="BJ43" s="25" t="n">
        <v>7.5</v>
      </c>
      <c r="BK43" s="26" t="n">
        <v>108</v>
      </c>
      <c r="BL43" s="27" t="n">
        <v>2.08</v>
      </c>
      <c r="BM43" s="28" t="n">
        <v>0.480769</v>
      </c>
      <c r="BN43" s="28" t="n">
        <v>0.477612</v>
      </c>
      <c r="BO43" s="28" t="n"/>
      <c r="BP43" s="25" t="n"/>
      <c r="BQ43" s="27" t="n">
        <v>2.08</v>
      </c>
      <c r="BR43" s="28" t="n">
        <v>0.48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</row>
    <row r="44" ht="36" customHeight="1">
      <c r="A44" s="24" t="inlineStr">
        <is>
          <t>67f54f960d2240f2</t>
        </is>
      </c>
      <c r="B44" s="24" t="inlineStr">
        <is>
          <t>2026-08-05T01:08:02.646600Z</t>
        </is>
      </c>
      <c r="C44" s="24" t="inlineStr">
        <is>
          <t>2026-08-05T01:40Z</t>
        </is>
      </c>
      <c r="D44" s="24" t="inlineStr">
        <is>
          <t>401816398</t>
        </is>
      </c>
      <c r="E44" s="24" t="inlineStr">
        <is>
          <t>MLB</t>
        </is>
      </c>
      <c r="F44" s="24" t="inlineStr">
        <is>
          <t>San Diego Padres</t>
        </is>
      </c>
      <c r="G44" s="24" t="inlineStr">
        <is>
          <t>Arizona Diamondbacks</t>
        </is>
      </c>
      <c r="H44" s="24" t="inlineStr">
        <is>
          <t>spread</t>
        </is>
      </c>
      <c r="I44" s="24" t="inlineStr">
        <is>
          <t>home</t>
        </is>
      </c>
      <c r="J44" s="25" t="n">
        <v>1.5</v>
      </c>
      <c r="K44" s="24" t="inlineStr">
        <is>
          <t>polymarket_us</t>
        </is>
      </c>
      <c r="L44" s="26" t="n">
        <v>-182</v>
      </c>
      <c r="M44" s="27" t="n">
        <v>1.549451</v>
      </c>
      <c r="N44" s="28" t="n">
        <v>0.64539</v>
      </c>
      <c r="O44" s="28" t="n">
        <v>0.655325</v>
      </c>
      <c r="P44" s="28" t="n">
        <v>0.042131</v>
      </c>
      <c r="Q44" s="28" t="n">
        <v>0.009934999999999999</v>
      </c>
      <c r="R44" s="26" t="n">
        <v>31</v>
      </c>
      <c r="S44" s="29" t="n">
        <v>1.75</v>
      </c>
      <c r="T44" s="24" t="inlineStr">
        <is>
          <t>measured-edge-margin-v3</t>
        </is>
      </c>
      <c r="U44" s="24" t="inlineStr">
        <is>
          <t>settled</t>
        </is>
      </c>
      <c r="V44" s="24" t="inlineStr">
        <is>
          <t>loss</t>
        </is>
      </c>
      <c r="W44" s="26" t="n">
        <v>9</v>
      </c>
      <c r="X44" s="26" t="n">
        <v>4</v>
      </c>
      <c r="Y44" s="25" t="n">
        <v>1.5</v>
      </c>
      <c r="Z44" s="26" t="n">
        <v>-182</v>
      </c>
      <c r="AA44" s="28" t="n">
        <v>0.645</v>
      </c>
      <c r="AB44" s="28" t="n">
        <v>-0.00039</v>
      </c>
      <c r="AC44" s="30" t="n">
        <v>-1.75</v>
      </c>
      <c r="AD44" s="24" t="inlineStr">
        <is>
          <t>2026-08-05T04:33:02.754328Z</t>
        </is>
      </c>
      <c r="AE44" s="31" t="inlineStr">
        <is>
          <t>Measured Edge Margin: Trend Engine projected 4.22-4.93; raw selected-side p=0.7279, calibrated p=0.6553.</t>
        </is>
      </c>
      <c r="AF44" s="31" t="inlineStr">
        <is>
          <t>Research-only; lineup, bullpen, park, weather, xFIP, and wRC+ may be neutral fallbacks; market availability and BBO depth may change before first pitch.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mlb-sd</t>
        </is>
      </c>
      <c r="AQ44" s="24" t="inlineStr">
        <is>
          <t>San Diego Padres</t>
        </is>
      </c>
      <c r="AR44" s="24" t="inlineStr">
        <is>
          <t>San Diego Padres</t>
        </is>
      </c>
      <c r="AS44" s="24" t="inlineStr">
        <is>
          <t>mlb-ari</t>
        </is>
      </c>
      <c r="AT44" s="24" t="inlineStr">
        <is>
          <t>Arizona Diamondbacks</t>
        </is>
      </c>
      <c r="AU44" s="24" t="inlineStr">
        <is>
          <t>Arizona Diamondbacks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dd339a2eed50d7d83ab2127837995ddab82e879afd27f5414bb6c1f9cd60ba4c</t>
        </is>
      </c>
      <c r="BB44" s="24" t="inlineStr">
        <is>
          <t>flat_probability_shrinkage_toward_half</t>
        </is>
      </c>
      <c r="BC44" s="24" t="inlineStr">
        <is>
          <t>measured-edge-margin-v3</t>
        </is>
      </c>
      <c r="BD44" s="24" t="inlineStr">
        <is>
          <t>dd339a2eed50d7d83ab2127837995ddab82e879afd27f5414bb6c1f9cd60ba4c</t>
        </is>
      </c>
      <c r="BE44" s="24" t="inlineStr">
        <is>
          <t>v3</t>
        </is>
      </c>
      <c r="BF44" s="24" t="inlineStr">
        <is>
          <t>1</t>
        </is>
      </c>
      <c r="BG44" s="24" t="inlineStr">
        <is>
          <t>measured-edge-paired-v1</t>
        </is>
      </c>
      <c r="BH44" s="24" t="inlineStr">
        <is>
          <t>2026-08-05T01:08:02.646600Z</t>
        </is>
      </c>
      <c r="BI44" s="24" t="inlineStr">
        <is>
          <t>["same_event","same_team_same_day","same_league_same_day"]</t>
        </is>
      </c>
      <c r="BJ44" s="25" t="n">
        <v>1.5</v>
      </c>
      <c r="BK44" s="26" t="n">
        <v>-182</v>
      </c>
      <c r="BL44" s="27" t="n">
        <v>1.549451</v>
      </c>
      <c r="BM44" s="28" t="n">
        <v>0.64539</v>
      </c>
      <c r="BN44" s="28" t="n">
        <v>0.641791</v>
      </c>
      <c r="BO44" s="28" t="n"/>
      <c r="BP44" s="25" t="n"/>
      <c r="BQ44" s="27" t="n">
        <v>1.549451</v>
      </c>
      <c r="BR44" s="28" t="n">
        <v>0.645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</row>
    <row r="45" ht="36" customHeight="1">
      <c r="A45" s="24" t="inlineStr">
        <is>
          <t>44764b238eb747c7</t>
        </is>
      </c>
      <c r="B45" s="24" t="inlineStr">
        <is>
          <t>2026-08-05T01:08:02.646600Z</t>
        </is>
      </c>
      <c r="C45" s="24" t="inlineStr">
        <is>
          <t>2026-08-05T01:40Z</t>
        </is>
      </c>
      <c r="D45" s="24" t="inlineStr">
        <is>
          <t>401816398</t>
        </is>
      </c>
      <c r="E45" s="24" t="inlineStr">
        <is>
          <t>MLB</t>
        </is>
      </c>
      <c r="F45" s="24" t="inlineStr">
        <is>
          <t>San Diego Padres</t>
        </is>
      </c>
      <c r="G45" s="24" t="inlineStr">
        <is>
          <t>Arizona Diamondbacks</t>
        </is>
      </c>
      <c r="H45" s="24" t="inlineStr">
        <is>
          <t>total</t>
        </is>
      </c>
      <c r="I45" s="24" t="inlineStr">
        <is>
          <t>over</t>
        </is>
      </c>
      <c r="J45" s="25" t="n">
        <v>8.5</v>
      </c>
      <c r="K45" s="24" t="inlineStr">
        <is>
          <t>polymarket_us</t>
        </is>
      </c>
      <c r="L45" s="26" t="n">
        <v>-117</v>
      </c>
      <c r="M45" s="27" t="n">
        <v>1.854701</v>
      </c>
      <c r="N45" s="28" t="n">
        <v>0.539171</v>
      </c>
      <c r="O45" s="28" t="n">
        <v>0.512594</v>
      </c>
      <c r="P45" s="28" t="n">
        <v>0.042131</v>
      </c>
      <c r="Q45" s="28" t="n">
        <v>-0.026577</v>
      </c>
      <c r="R45" s="26" t="n">
        <v>12</v>
      </c>
      <c r="S45" s="29" t="n">
        <v>1</v>
      </c>
      <c r="T45" s="24" t="inlineStr">
        <is>
          <t>measured-edge-totals-v3</t>
        </is>
      </c>
      <c r="U45" s="24" t="inlineStr">
        <is>
          <t>settled</t>
        </is>
      </c>
      <c r="V45" s="24" t="inlineStr">
        <is>
          <t>win</t>
        </is>
      </c>
      <c r="W45" s="26" t="n">
        <v>9</v>
      </c>
      <c r="X45" s="26" t="n">
        <v>4</v>
      </c>
      <c r="Y45" s="25" t="n">
        <v>8.5</v>
      </c>
      <c r="Z45" s="26" t="n">
        <v>-117</v>
      </c>
      <c r="AA45" s="28" t="n">
        <v>0.54</v>
      </c>
      <c r="AB45" s="28" t="n">
        <v>0.000829</v>
      </c>
      <c r="AC45" s="30" t="n">
        <v>0.8547</v>
      </c>
      <c r="AD45" s="24" t="inlineStr">
        <is>
          <t>2026-08-05T04:33:03.225054Z</t>
        </is>
      </c>
      <c r="AE45" s="31" t="inlineStr">
        <is>
          <t>Measured Edge Totals: Trend Engine projected 4.22-4.93; raw selected-side p=0.5273, calibrated p=0.5126.</t>
        </is>
      </c>
      <c r="AF45" s="31" t="inlineStr">
        <is>
          <t>Research-only; lineup, bullpen, park, weather, xFIP, and wRC+ may be neutral fallbacks; market availability and BBO depth may change before first pitch.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mlb-sd</t>
        </is>
      </c>
      <c r="AQ45" s="24" t="inlineStr">
        <is>
          <t>San Diego Padres</t>
        </is>
      </c>
      <c r="AR45" s="24" t="inlineStr">
        <is>
          <t>San Diego Padres</t>
        </is>
      </c>
      <c r="AS45" s="24" t="inlineStr">
        <is>
          <t>mlb-ari</t>
        </is>
      </c>
      <c r="AT45" s="24" t="inlineStr">
        <is>
          <t>Arizona Diamondbacks</t>
        </is>
      </c>
      <c r="AU45" s="24" t="inlineStr">
        <is>
          <t>Arizona Diamondbacks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95b84332c75d2ce54036eb8de6ada9c78d0f80228c50825c0347281a8b9b49c7</t>
        </is>
      </c>
      <c r="BB45" s="24" t="inlineStr">
        <is>
          <t>flat_probability_shrinkage_toward_half</t>
        </is>
      </c>
      <c r="BC45" s="24" t="inlineStr">
        <is>
          <t>measured-edge-totals-v3</t>
        </is>
      </c>
      <c r="BD45" s="24" t="inlineStr">
        <is>
          <t>95b84332c75d2ce54036eb8de6ada9c78d0f80228c50825c0347281a8b9b49c7</t>
        </is>
      </c>
      <c r="BE45" s="24" t="inlineStr">
        <is>
          <t>v3</t>
        </is>
      </c>
      <c r="BF45" s="24" t="inlineStr">
        <is>
          <t>1</t>
        </is>
      </c>
      <c r="BG45" s="24" t="inlineStr">
        <is>
          <t>measured-edge-paired-v1</t>
        </is>
      </c>
      <c r="BH45" s="24" t="inlineStr">
        <is>
          <t>2026-08-05T01:08:02.646600Z</t>
        </is>
      </c>
      <c r="BI45" s="24" t="inlineStr">
        <is>
          <t>["same_event","same_team_same_day","same_league_same_day"]</t>
        </is>
      </c>
      <c r="BJ45" s="25" t="n">
        <v>8.5</v>
      </c>
      <c r="BK45" s="26" t="n">
        <v>-117</v>
      </c>
      <c r="BL45" s="27" t="n">
        <v>1.854701</v>
      </c>
      <c r="BM45" s="28" t="n">
        <v>0.539171</v>
      </c>
      <c r="BN45" s="28" t="n">
        <v>0.537313</v>
      </c>
      <c r="BO45" s="28" t="n"/>
      <c r="BP45" s="25" t="n"/>
      <c r="BQ45" s="27" t="n">
        <v>1.854701</v>
      </c>
      <c r="BR45" s="28" t="n">
        <v>0.54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</row>
    <row r="46" ht="36" customHeight="1">
      <c r="A46" s="24" t="inlineStr">
        <is>
          <t>2a3c60fe55c84636</t>
        </is>
      </c>
      <c r="B46" s="24" t="inlineStr">
        <is>
          <t>2026-08-05T21:01:36.734850Z</t>
        </is>
      </c>
      <c r="C46" s="24" t="inlineStr">
        <is>
          <t>2026-08-05T23:30Z</t>
        </is>
      </c>
      <c r="D46" s="24" t="inlineStr">
        <is>
          <t>401816408</t>
        </is>
      </c>
      <c r="E46" s="24" t="inlineStr">
        <is>
          <t>MLB</t>
        </is>
      </c>
      <c r="F46" s="24" t="inlineStr">
        <is>
          <t>Pittsburgh Pirates</t>
        </is>
      </c>
      <c r="G46" s="24" t="inlineStr">
        <is>
          <t>Milwaukee Brewers</t>
        </is>
      </c>
      <c r="H46" s="24" t="inlineStr">
        <is>
          <t>total</t>
        </is>
      </c>
      <c r="I46" s="24" t="inlineStr">
        <is>
          <t>over</t>
        </is>
      </c>
      <c r="J46" s="25" t="n">
        <v>7.5</v>
      </c>
      <c r="K46" s="24" t="inlineStr">
        <is>
          <t>polymarket_us</t>
        </is>
      </c>
      <c r="L46" s="26" t="n">
        <v>127</v>
      </c>
      <c r="M46" s="27" t="n">
        <v>2.27</v>
      </c>
      <c r="N46" s="28" t="n">
        <v>0.440529</v>
      </c>
      <c r="O46" s="28" t="n">
        <v>0.527212</v>
      </c>
      <c r="P46" s="28" t="n">
        <v>0.042131</v>
      </c>
      <c r="Q46" s="28" t="n">
        <v>0.086683</v>
      </c>
      <c r="R46" s="26" t="n">
        <v>69</v>
      </c>
      <c r="S46" s="29" t="n">
        <v>1</v>
      </c>
      <c r="T46" s="24" t="inlineStr">
        <is>
          <t>measured-edge-totals-v3</t>
        </is>
      </c>
      <c r="U46" s="24" t="inlineStr">
        <is>
          <t>settled</t>
        </is>
      </c>
      <c r="V46" s="24" t="inlineStr">
        <is>
          <t>loss</t>
        </is>
      </c>
      <c r="W46" s="26" t="n">
        <v>2</v>
      </c>
      <c r="X46" s="26" t="n">
        <v>4</v>
      </c>
      <c r="Y46" s="25" t="n">
        <v>7.5</v>
      </c>
      <c r="Z46" s="26" t="n">
        <v>127</v>
      </c>
      <c r="AA46" s="28" t="n">
        <v>0.44</v>
      </c>
      <c r="AB46" s="28" t="n">
        <v>-0.000529</v>
      </c>
      <c r="AC46" s="30" t="n">
        <v>-1</v>
      </c>
      <c r="AD46" s="24" t="inlineStr">
        <is>
          <t>2026-08-06T03:25:25.925315Z</t>
        </is>
      </c>
      <c r="AE46" s="31" t="inlineStr">
        <is>
          <t>Measured Edge Totals: Trend Engine projected 4.27-4.68; raw selected-side p=0.5862, calibrated p=0.5272.</t>
        </is>
      </c>
      <c r="AF46" s="31" t="inlineStr">
        <is>
          <t>Research-only; lineup, bullpen, park, weather, xFIP, and wRC+ may be neutral fallbacks; market availability and BBO depth may change before first pitch.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mlb-pit</t>
        </is>
      </c>
      <c r="AQ46" s="24" t="inlineStr">
        <is>
          <t>Pittsburgh Pirates</t>
        </is>
      </c>
      <c r="AR46" s="24" t="inlineStr">
        <is>
          <t>Pittsburgh Pirates</t>
        </is>
      </c>
      <c r="AS46" s="24" t="inlineStr">
        <is>
          <t>mlb-mil</t>
        </is>
      </c>
      <c r="AT46" s="24" t="inlineStr">
        <is>
          <t>Milwaukee Brewers</t>
        </is>
      </c>
      <c r="AU46" s="24" t="inlineStr">
        <is>
          <t>Milwaukee Brewers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95b84332c75d2ce54036eb8de6ada9c78d0f80228c50825c0347281a8b9b49c7</t>
        </is>
      </c>
      <c r="BB46" s="24" t="inlineStr">
        <is>
          <t>flat_probability_shrinkage_toward_half</t>
        </is>
      </c>
      <c r="BC46" s="24" t="inlineStr">
        <is>
          <t>measured-edge-totals-v3</t>
        </is>
      </c>
      <c r="BD46" s="24" t="inlineStr">
        <is>
          <t>95b84332c75d2ce54036eb8de6ada9c78d0f80228c50825c0347281a8b9b49c7</t>
        </is>
      </c>
      <c r="BE46" s="24" t="inlineStr">
        <is>
          <t>v3</t>
        </is>
      </c>
      <c r="BF46" s="24" t="inlineStr">
        <is>
          <t>1</t>
        </is>
      </c>
      <c r="BG46" s="24" t="inlineStr">
        <is>
          <t>measured-edge-paired-v1</t>
        </is>
      </c>
      <c r="BH46" s="24" t="inlineStr">
        <is>
          <t>2026-08-05T21:01:36.734850Z</t>
        </is>
      </c>
      <c r="BI46" s="24" t="inlineStr">
        <is>
          <t>["same_event","same_team_same_day","same_league_same_day"]</t>
        </is>
      </c>
      <c r="BJ46" s="25" t="n">
        <v>7.5</v>
      </c>
      <c r="BK46" s="26" t="n">
        <v>127</v>
      </c>
      <c r="BL46" s="27" t="n">
        <v>2.27</v>
      </c>
      <c r="BM46" s="28" t="n">
        <v>0.440529</v>
      </c>
      <c r="BN46" s="28" t="n">
        <v>0.437811</v>
      </c>
      <c r="BO46" s="28" t="n"/>
      <c r="BP46" s="25" t="n"/>
      <c r="BQ46" s="27" t="n">
        <v>2.27</v>
      </c>
      <c r="BR46" s="28" t="n">
        <v>0.44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</row>
    <row r="47" ht="36" customHeight="1">
      <c r="A47" s="24" t="inlineStr">
        <is>
          <t>277d52e1aa3241e2</t>
        </is>
      </c>
      <c r="B47" s="24" t="inlineStr">
        <is>
          <t>2026-08-07T21:56:47.081526Z</t>
        </is>
      </c>
      <c r="C47" s="24" t="inlineStr">
        <is>
          <t>2026-08-08T00:10Z</t>
        </is>
      </c>
      <c r="D47" s="24" t="inlineStr">
        <is>
          <t>401816431</t>
        </is>
      </c>
      <c r="E47" s="24" t="inlineStr">
        <is>
          <t>MLB</t>
        </is>
      </c>
      <c r="F47" s="24" t="inlineStr">
        <is>
          <t>Chicago Cubs</t>
        </is>
      </c>
      <c r="G47" s="24" t="inlineStr">
        <is>
          <t>Kansas City Royals</t>
        </is>
      </c>
      <c r="H47" s="24" t="inlineStr">
        <is>
          <t>spread</t>
        </is>
      </c>
      <c r="I47" s="24" t="inlineStr">
        <is>
          <t>home</t>
        </is>
      </c>
      <c r="J47" s="25" t="n">
        <v>1.5</v>
      </c>
      <c r="K47" s="24" t="inlineStr">
        <is>
          <t>polymarket_us</t>
        </is>
      </c>
      <c r="L47" s="26" t="n">
        <v>-102</v>
      </c>
      <c r="M47" s="27" t="n">
        <v>1.980392</v>
      </c>
      <c r="N47" s="28" t="n">
        <v>0.50495</v>
      </c>
      <c r="O47" s="28" t="n">
        <v>0.658426</v>
      </c>
      <c r="P47" s="28" t="n">
        <v>0.042131</v>
      </c>
      <c r="Q47" s="28" t="n">
        <v>0.153476</v>
      </c>
      <c r="R47" s="26" t="n">
        <v>100</v>
      </c>
      <c r="S47" s="29" t="n">
        <v>1.75</v>
      </c>
      <c r="T47" s="24" t="inlineStr">
        <is>
          <t>measured-edge-margin-v3</t>
        </is>
      </c>
      <c r="U47" s="24" t="inlineStr">
        <is>
          <t>settled</t>
        </is>
      </c>
      <c r="V47" s="24" t="inlineStr">
        <is>
          <t>loss</t>
        </is>
      </c>
      <c r="W47" s="26" t="n">
        <v>6</v>
      </c>
      <c r="X47" s="26" t="n">
        <v>4</v>
      </c>
      <c r="Y47" s="25" t="n">
        <v>1.5</v>
      </c>
      <c r="Z47" s="26" t="n">
        <v>-102</v>
      </c>
      <c r="AA47" s="28" t="n">
        <v>0.505</v>
      </c>
      <c r="AB47" s="28" t="n">
        <v>5e-05</v>
      </c>
      <c r="AC47" s="30" t="n">
        <v>-1.75</v>
      </c>
      <c r="AD47" s="24" t="inlineStr">
        <is>
          <t>2026-08-08T04:03:10.114865Z</t>
        </is>
      </c>
      <c r="AE47" s="31" t="inlineStr">
        <is>
          <t>Measured Edge Margin: Trend Engine projected 4.08-4.72; raw selected-side p=0.7325, calibrated p=0.6584.</t>
        </is>
      </c>
      <c r="AF47" s="31" t="inlineStr">
        <is>
          <t>Research-only; lineup, bullpen, park, weather, xFIP, and wRC+ may be neutral fallbacks; market availability and BBO depth may change before first pitch.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mlb-chc</t>
        </is>
      </c>
      <c r="AQ47" s="24" t="inlineStr">
        <is>
          <t>Chicago Cubs</t>
        </is>
      </c>
      <c r="AR47" s="24" t="inlineStr">
        <is>
          <t>Chicago Cubs</t>
        </is>
      </c>
      <c r="AS47" s="24" t="inlineStr">
        <is>
          <t>mlb-kc</t>
        </is>
      </c>
      <c r="AT47" s="24" t="inlineStr">
        <is>
          <t>Kansas City Royals</t>
        </is>
      </c>
      <c r="AU47" s="24" t="inlineStr">
        <is>
          <t>Kansas City Royals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dd339a2eed50d7d83ab2127837995ddab82e879afd27f5414bb6c1f9cd60ba4c</t>
        </is>
      </c>
      <c r="BB47" s="24" t="inlineStr">
        <is>
          <t>flat_probability_shrinkage_toward_half</t>
        </is>
      </c>
      <c r="BC47" s="24" t="inlineStr">
        <is>
          <t>measured-edge-margin-v3</t>
        </is>
      </c>
      <c r="BD47" s="24" t="inlineStr">
        <is>
          <t>dd339a2eed50d7d83ab2127837995ddab82e879afd27f5414bb6c1f9cd60ba4c</t>
        </is>
      </c>
      <c r="BE47" s="24" t="inlineStr">
        <is>
          <t>v3</t>
        </is>
      </c>
      <c r="BF47" s="24" t="inlineStr">
        <is>
          <t>1</t>
        </is>
      </c>
      <c r="BG47" s="24" t="inlineStr">
        <is>
          <t>measured-edge-paired-v1</t>
        </is>
      </c>
      <c r="BH47" s="24" t="inlineStr">
        <is>
          <t>2026-08-07T21:56:47.081526Z</t>
        </is>
      </c>
      <c r="BI47" s="24" t="inlineStr">
        <is>
          <t>["same_event","same_team_same_day","same_league_same_day"]</t>
        </is>
      </c>
      <c r="BJ47" s="25" t="n">
        <v>1.5</v>
      </c>
      <c r="BK47" s="26" t="n">
        <v>-102</v>
      </c>
      <c r="BL47" s="27" t="n">
        <v>1.980392</v>
      </c>
      <c r="BM47" s="28" t="n">
        <v>0.50495</v>
      </c>
      <c r="BN47" s="28" t="n">
        <v>0.502488</v>
      </c>
      <c r="BO47" s="28" t="n"/>
      <c r="BP47" s="25" t="n"/>
      <c r="BQ47" s="27" t="n">
        <v>1.980392</v>
      </c>
      <c r="BR47" s="28" t="n">
        <v>0.505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</row>
    <row r="48" ht="36" customHeight="1">
      <c r="A48" s="24" t="inlineStr">
        <is>
          <t>9b3f4b2e5f574017</t>
        </is>
      </c>
      <c r="B48" s="24" t="inlineStr">
        <is>
          <t>2026-08-08T01:01:06.197155Z</t>
        </is>
      </c>
      <c r="C48" s="24" t="inlineStr">
        <is>
          <t>2026-08-08T01:40Z</t>
        </is>
      </c>
      <c r="D48" s="24" t="inlineStr">
        <is>
          <t>401816437</t>
        </is>
      </c>
      <c r="E48" s="24" t="inlineStr">
        <is>
          <t>MLB</t>
        </is>
      </c>
      <c r="F48" s="24" t="inlineStr">
        <is>
          <t>Los Angeles Dodgers</t>
        </is>
      </c>
      <c r="G48" s="24" t="inlineStr">
        <is>
          <t>Arizona Diamondbacks</t>
        </is>
      </c>
      <c r="H48" s="24" t="inlineStr">
        <is>
          <t>spread</t>
        </is>
      </c>
      <c r="I48" s="24" t="inlineStr">
        <is>
          <t>home</t>
        </is>
      </c>
      <c r="J48" s="25" t="n">
        <v>1.5</v>
      </c>
      <c r="K48" s="24" t="inlineStr">
        <is>
          <t>polymarket_us</t>
        </is>
      </c>
      <c r="L48" s="26" t="n">
        <v>100</v>
      </c>
      <c r="M48" s="27" t="n">
        <v>2</v>
      </c>
      <c r="N48" s="28" t="n">
        <v>0.5</v>
      </c>
      <c r="O48" s="28" t="n">
        <v>0.631578</v>
      </c>
      <c r="P48" s="28" t="n">
        <v>0.042131</v>
      </c>
      <c r="Q48" s="28" t="n">
        <v>0.131578</v>
      </c>
      <c r="R48" s="26" t="n">
        <v>92</v>
      </c>
      <c r="S48" s="29" t="n">
        <v>1.5</v>
      </c>
      <c r="T48" s="24" t="inlineStr">
        <is>
          <t>measured-edge-margin-v3</t>
        </is>
      </c>
      <c r="U48" s="24" t="inlineStr">
        <is>
          <t>settled</t>
        </is>
      </c>
      <c r="V48" s="24" t="inlineStr">
        <is>
          <t>win</t>
        </is>
      </c>
      <c r="W48" s="26" t="n">
        <v>3</v>
      </c>
      <c r="X48" s="26" t="n">
        <v>4</v>
      </c>
      <c r="Y48" s="25" t="n">
        <v>1.5</v>
      </c>
      <c r="Z48" s="26" t="n">
        <v>100</v>
      </c>
      <c r="AA48" s="28" t="n">
        <v>0.5</v>
      </c>
      <c r="AB48" s="28" t="n">
        <v>0</v>
      </c>
      <c r="AC48" s="30" t="n">
        <v>1.5</v>
      </c>
      <c r="AD48" s="24" t="inlineStr">
        <is>
          <t>2026-08-08T18:32:57.528646Z</t>
        </is>
      </c>
      <c r="AE48" s="31" t="inlineStr">
        <is>
          <t>Measured Edge Margin: Trend Engine projected 4.62-4.87; raw selected-side p=0.6931, calibrated p=0.6316.</t>
        </is>
      </c>
      <c r="AF48" s="31" t="inlineStr">
        <is>
          <t>Research-only; lineup, bullpen, park, weather, xFIP, and wRC+ may be neutral fallbacks; market availability and BBO depth may change before first pitch.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mlb-lad</t>
        </is>
      </c>
      <c r="AQ48" s="24" t="inlineStr">
        <is>
          <t>Los Angeles Dodgers</t>
        </is>
      </c>
      <c r="AR48" s="24" t="inlineStr">
        <is>
          <t>Los Angeles Dodgers</t>
        </is>
      </c>
      <c r="AS48" s="24" t="inlineStr">
        <is>
          <t>mlb-ari</t>
        </is>
      </c>
      <c r="AT48" s="24" t="inlineStr">
        <is>
          <t>Arizona Diamondbacks</t>
        </is>
      </c>
      <c r="AU48" s="24" t="inlineStr">
        <is>
          <t>Arizona Diamondbacks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dd339a2eed50d7d83ab2127837995ddab82e879afd27f5414bb6c1f9cd60ba4c</t>
        </is>
      </c>
      <c r="BB48" s="24" t="inlineStr">
        <is>
          <t>flat_probability_shrinkage_toward_half</t>
        </is>
      </c>
      <c r="BC48" s="24" t="inlineStr">
        <is>
          <t>measured-edge-margin-v3</t>
        </is>
      </c>
      <c r="BD48" s="24" t="inlineStr">
        <is>
          <t>dd339a2eed50d7d83ab2127837995ddab82e879afd27f5414bb6c1f9cd60ba4c</t>
        </is>
      </c>
      <c r="BE48" s="24" t="inlineStr">
        <is>
          <t>v3</t>
        </is>
      </c>
      <c r="BF48" s="24" t="inlineStr">
        <is>
          <t>1</t>
        </is>
      </c>
      <c r="BG48" s="24" t="inlineStr">
        <is>
          <t>measured-edge-paired-v1</t>
        </is>
      </c>
      <c r="BH48" s="24" t="inlineStr">
        <is>
          <t>2026-08-08T01:01:06.197155Z</t>
        </is>
      </c>
      <c r="BI48" s="24" t="inlineStr">
        <is>
          <t>["same_event","same_team_same_day","same_league_same_day"]</t>
        </is>
      </c>
      <c r="BJ48" s="25" t="n">
        <v>1.5</v>
      </c>
      <c r="BK48" s="26" t="n">
        <v>100</v>
      </c>
      <c r="BL48" s="27" t="n">
        <v>2</v>
      </c>
      <c r="BM48" s="28" t="n">
        <v>0.5</v>
      </c>
      <c r="BN48" s="28" t="n">
        <v>0.497512</v>
      </c>
      <c r="BO48" s="28" t="n"/>
      <c r="BP48" s="25" t="n"/>
      <c r="BQ48" s="27" t="n">
        <v>2</v>
      </c>
      <c r="BR48" s="28" t="n">
        <v>0.5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</row>
    <row r="49" ht="36" customHeight="1">
      <c r="A49" s="24" t="inlineStr">
        <is>
          <t>dd4b5a7fed1644da</t>
        </is>
      </c>
      <c r="B49" s="24" t="inlineStr">
        <is>
          <t>2026-08-09T17:06:46.891600Z</t>
        </is>
      </c>
      <c r="C49" s="24" t="inlineStr">
        <is>
          <t>2026-08-09T18:10Z</t>
        </is>
      </c>
      <c r="D49" s="24" t="inlineStr">
        <is>
          <t>401816461</t>
        </is>
      </c>
      <c r="E49" s="24" t="inlineStr">
        <is>
          <t>MLB</t>
        </is>
      </c>
      <c r="F49" s="24" t="inlineStr">
        <is>
          <t>Chicago Cubs</t>
        </is>
      </c>
      <c r="G49" s="24" t="inlineStr">
        <is>
          <t>Kansas City Royals</t>
        </is>
      </c>
      <c r="H49" s="24" t="inlineStr">
        <is>
          <t>spread</t>
        </is>
      </c>
      <c r="I49" s="24" t="inlineStr">
        <is>
          <t>home</t>
        </is>
      </c>
      <c r="J49" s="25" t="n">
        <v>1.5</v>
      </c>
      <c r="K49" s="24" t="inlineStr">
        <is>
          <t>polymarket_us</t>
        </is>
      </c>
      <c r="L49" s="26" t="n">
        <v>-102</v>
      </c>
      <c r="M49" s="27" t="n">
        <v>1.980392</v>
      </c>
      <c r="N49" s="28" t="n">
        <v>0.50495</v>
      </c>
      <c r="O49" s="28" t="n">
        <v>0.66173</v>
      </c>
      <c r="P49" s="28" t="n">
        <v>0.05172</v>
      </c>
      <c r="Q49" s="28" t="n">
        <v>0.15678</v>
      </c>
      <c r="R49" s="26" t="n">
        <v>99</v>
      </c>
      <c r="S49" s="29" t="n">
        <v>1.75</v>
      </c>
      <c r="T49" s="24" t="inlineStr">
        <is>
          <t>measured-edge-margin-v3</t>
        </is>
      </c>
      <c r="U49" s="24" t="inlineStr">
        <is>
          <t>settled</t>
        </is>
      </c>
      <c r="V49" s="24" t="inlineStr">
        <is>
          <t>loss</t>
        </is>
      </c>
      <c r="W49" s="26" t="n">
        <v>10</v>
      </c>
      <c r="X49" s="26" t="n">
        <v>2</v>
      </c>
      <c r="Y49" s="25" t="n">
        <v>1.5</v>
      </c>
      <c r="Z49" s="26" t="n">
        <v>-102</v>
      </c>
      <c r="AA49" s="28" t="n">
        <v>0.505</v>
      </c>
      <c r="AB49" s="28" t="n">
        <v>5e-05</v>
      </c>
      <c r="AC49" s="30" t="n">
        <v>-1.75</v>
      </c>
      <c r="AD49" s="24" t="inlineStr">
        <is>
          <t>2026-08-09T23:28:57.823411Z</t>
        </is>
      </c>
      <c r="AE49" s="31" t="inlineStr">
        <is>
          <t>Measured Edge Margin: Trend Engine projected 3.78-4.36; raw selected-side p=0.7373, calibrated p=0.6617.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mlb-chc</t>
        </is>
      </c>
      <c r="AQ49" s="24" t="inlineStr">
        <is>
          <t>Chicago Cubs</t>
        </is>
      </c>
      <c r="AR49" s="24" t="inlineStr">
        <is>
          <t>Chicago Cubs</t>
        </is>
      </c>
      <c r="AS49" s="24" t="inlineStr">
        <is>
          <t>mlb-kc</t>
        </is>
      </c>
      <c r="AT49" s="24" t="inlineStr">
        <is>
          <t>Kansas City Royals</t>
        </is>
      </c>
      <c r="AU49" s="24" t="inlineStr">
        <is>
          <t>Kansas City Royals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dd339a2eed50d7d83ab2127837995ddab82e879afd27f5414bb6c1f9cd60ba4c</t>
        </is>
      </c>
      <c r="BB49" s="24" t="inlineStr">
        <is>
          <t>flat_probability_shrinkage_toward_half</t>
        </is>
      </c>
      <c r="BC49" s="24" t="inlineStr">
        <is>
          <t>measured-edge-margin-v3</t>
        </is>
      </c>
      <c r="BD49" s="24" t="inlineStr">
        <is>
          <t>dd339a2eed50d7d83ab2127837995ddab82e879afd27f5414bb6c1f9cd60ba4c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2026-08-09T17:06:46.891600Z</t>
        </is>
      </c>
      <c r="BI49" s="24" t="inlineStr">
        <is>
          <t>["same_event","same_team_same_day","same_league_same_day"]</t>
        </is>
      </c>
      <c r="BJ49" s="25" t="n">
        <v>1.5</v>
      </c>
      <c r="BK49" s="26" t="n">
        <v>-102</v>
      </c>
      <c r="BL49" s="27" t="n">
        <v>1.980392</v>
      </c>
      <c r="BM49" s="28" t="n">
        <v>0.50495</v>
      </c>
      <c r="BN49" s="28" t="n">
        <v>0.502488</v>
      </c>
      <c r="BO49" s="28" t="n"/>
      <c r="BP49" s="25" t="n"/>
      <c r="BQ49" s="27" t="n">
        <v>1.980392</v>
      </c>
      <c r="BR49" s="28" t="n">
        <v>0.505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</row>
    <row r="50" ht="36" customHeight="1">
      <c r="A50" s="24" t="inlineStr">
        <is>
          <t>d2207aef672c4f42</t>
        </is>
      </c>
      <c r="B50" s="24" t="inlineStr">
        <is>
          <t>2026-08-09T17:06:46.891600Z</t>
        </is>
      </c>
      <c r="C50" s="24" t="inlineStr">
        <is>
          <t>2026-08-09T20:10Z</t>
        </is>
      </c>
      <c r="D50" s="24" t="inlineStr">
        <is>
          <t>401816467</t>
        </is>
      </c>
      <c r="E50" s="24" t="inlineStr">
        <is>
          <t>MLB</t>
        </is>
      </c>
      <c r="F50" s="24" t="inlineStr">
        <is>
          <t>Los Angeles Dodgers</t>
        </is>
      </c>
      <c r="G50" s="24" t="inlineStr">
        <is>
          <t>Arizona Diamondbacks</t>
        </is>
      </c>
      <c r="H50" s="24" t="inlineStr">
        <is>
          <t>spread</t>
        </is>
      </c>
      <c r="I50" s="24" t="inlineStr">
        <is>
          <t>home</t>
        </is>
      </c>
      <c r="J50" s="25" t="n">
        <v>1.5</v>
      </c>
      <c r="K50" s="24" t="inlineStr">
        <is>
          <t>polymarket_us</t>
        </is>
      </c>
      <c r="L50" s="26" t="n">
        <v>-117</v>
      </c>
      <c r="M50" s="27" t="n">
        <v>1.854701</v>
      </c>
      <c r="N50" s="28" t="n">
        <v>0.539171</v>
      </c>
      <c r="O50" s="28" t="n">
        <v>0.63519</v>
      </c>
      <c r="P50" s="28" t="n">
        <v>0.042131</v>
      </c>
      <c r="Q50" s="28" t="n">
        <v>0.09601899999999999</v>
      </c>
      <c r="R50" s="26" t="n">
        <v>74</v>
      </c>
      <c r="S50" s="29" t="n">
        <v>1.5</v>
      </c>
      <c r="T50" s="24" t="inlineStr">
        <is>
          <t>measured-edge-margin-v3</t>
        </is>
      </c>
      <c r="U50" s="24" t="inlineStr">
        <is>
          <t>settled</t>
        </is>
      </c>
      <c r="V50" s="24" t="inlineStr">
        <is>
          <t>win</t>
        </is>
      </c>
      <c r="W50" s="26" t="n">
        <v>2</v>
      </c>
      <c r="X50" s="26" t="n">
        <v>4</v>
      </c>
      <c r="Y50" s="25" t="n">
        <v>1.5</v>
      </c>
      <c r="Z50" s="26" t="n">
        <v>-117</v>
      </c>
      <c r="AA50" s="28" t="n">
        <v>0.54</v>
      </c>
      <c r="AB50" s="28" t="n">
        <v>0.000829</v>
      </c>
      <c r="AC50" s="30" t="n">
        <v>1.2821</v>
      </c>
      <c r="AD50" s="24" t="inlineStr">
        <is>
          <t>2026-08-09T23:28:58.193017Z</t>
        </is>
      </c>
      <c r="AE50" s="31" t="inlineStr">
        <is>
          <t>Measured Edge Margin: Trend Engine projected 4.48-4.80; raw selected-side p=0.6984, calibrated p=0.6352.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mlb-lad</t>
        </is>
      </c>
      <c r="AQ50" s="24" t="inlineStr">
        <is>
          <t>Los Angeles Dodgers</t>
        </is>
      </c>
      <c r="AR50" s="24" t="inlineStr">
        <is>
          <t>Los Angeles Dodgers</t>
        </is>
      </c>
      <c r="AS50" s="24" t="inlineStr">
        <is>
          <t>mlb-ari</t>
        </is>
      </c>
      <c r="AT50" s="24" t="inlineStr">
        <is>
          <t>Arizona Diamondbacks</t>
        </is>
      </c>
      <c r="AU50" s="24" t="inlineStr">
        <is>
          <t>Arizona Diamondbacks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dd339a2eed50d7d83ab2127837995ddab82e879afd27f5414bb6c1f9cd60ba4c</t>
        </is>
      </c>
      <c r="BB50" s="24" t="inlineStr">
        <is>
          <t>flat_probability_shrinkage_toward_half</t>
        </is>
      </c>
      <c r="BC50" s="24" t="inlineStr">
        <is>
          <t>measured-edge-margin-v3</t>
        </is>
      </c>
      <c r="BD50" s="24" t="inlineStr">
        <is>
          <t>dd339a2eed50d7d83ab2127837995ddab82e879afd27f5414bb6c1f9cd60ba4c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2026-08-09T17:06:46.891600Z</t>
        </is>
      </c>
      <c r="BI50" s="24" t="inlineStr">
        <is>
          <t>["same_event","same_team_same_day","same_league_same_day"]</t>
        </is>
      </c>
      <c r="BJ50" s="25" t="n">
        <v>1.5</v>
      </c>
      <c r="BK50" s="26" t="n">
        <v>-117</v>
      </c>
      <c r="BL50" s="27" t="n">
        <v>1.854701</v>
      </c>
      <c r="BM50" s="28" t="n">
        <v>0.539171</v>
      </c>
      <c r="BN50" s="28" t="n">
        <v>0.537313</v>
      </c>
      <c r="BO50" s="28" t="n"/>
      <c r="BP50" s="25" t="n"/>
      <c r="BQ50" s="27" t="n">
        <v>1.854701</v>
      </c>
      <c r="BR50" s="28" t="n">
        <v>0.54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</row>
    <row r="51" ht="36" customHeight="1">
      <c r="A51" s="24" t="inlineStr">
        <is>
          <t>1ce29fb29b204ce1</t>
        </is>
      </c>
      <c r="B51" s="24" t="inlineStr">
        <is>
          <t>2026-08-09T23:32:16.171272Z</t>
        </is>
      </c>
      <c r="C51" s="24" t="inlineStr">
        <is>
          <t>2026-08-10T00:20Z</t>
        </is>
      </c>
      <c r="D51" s="24" t="inlineStr">
        <is>
          <t>401816466</t>
        </is>
      </c>
      <c r="E51" s="24" t="inlineStr">
        <is>
          <t>MLB</t>
        </is>
      </c>
      <c r="F51" s="24" t="inlineStr">
        <is>
          <t>Houston Astros</t>
        </is>
      </c>
      <c r="G51" s="24" t="inlineStr">
        <is>
          <t>San Diego Padres</t>
        </is>
      </c>
      <c r="H51" s="24" t="inlineStr">
        <is>
          <t>spread</t>
        </is>
      </c>
      <c r="I51" s="24" t="inlineStr">
        <is>
          <t>away</t>
        </is>
      </c>
      <c r="J51" s="25" t="n">
        <v>1.5</v>
      </c>
      <c r="K51" s="24" t="inlineStr">
        <is>
          <t>polymarket_us</t>
        </is>
      </c>
      <c r="L51" s="26" t="n">
        <v>-178</v>
      </c>
      <c r="M51" s="27" t="n">
        <v>1.561798</v>
      </c>
      <c r="N51" s="28" t="n">
        <v>0.640288</v>
      </c>
      <c r="O51" s="28" t="n">
        <v>0.5895359999999999</v>
      </c>
      <c r="P51" s="28" t="n">
        <v>0.05172</v>
      </c>
      <c r="Q51" s="28" t="n">
        <v>-0.050752</v>
      </c>
      <c r="R51" s="26" t="n">
        <v>0</v>
      </c>
      <c r="S51" s="29" t="n">
        <v>1.25</v>
      </c>
      <c r="T51" s="24" t="inlineStr">
        <is>
          <t>measured-edge-margin-v3</t>
        </is>
      </c>
      <c r="U51" s="24" t="inlineStr">
        <is>
          <t>settled</t>
        </is>
      </c>
      <c r="V51" s="24" t="inlineStr">
        <is>
          <t>loss</t>
        </is>
      </c>
      <c r="W51" s="26" t="n">
        <v>2</v>
      </c>
      <c r="X51" s="26" t="n">
        <v>7</v>
      </c>
      <c r="Y51" s="25" t="n">
        <v>1.5</v>
      </c>
      <c r="Z51" s="26" t="n">
        <v>-178</v>
      </c>
      <c r="AA51" s="28" t="n">
        <v>0.64</v>
      </c>
      <c r="AB51" s="28" t="n">
        <v>-0.000288</v>
      </c>
      <c r="AC51" s="30" t="n">
        <v>-1.25</v>
      </c>
      <c r="AD51" s="24" t="inlineStr">
        <is>
          <t>2026-08-10T05:37:28.508521Z</t>
        </is>
      </c>
      <c r="AE51" s="31" t="inlineStr">
        <is>
          <t>Measured Edge Margin: Trend Engine projected 4.24-4.65; raw selected-side p=0.6314, calibrated p=0.5895.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mlb-hou</t>
        </is>
      </c>
      <c r="AQ51" s="24" t="inlineStr">
        <is>
          <t>Houston Astros</t>
        </is>
      </c>
      <c r="AR51" s="24" t="inlineStr">
        <is>
          <t>Houston Astros</t>
        </is>
      </c>
      <c r="AS51" s="24" t="inlineStr">
        <is>
          <t>mlb-sd</t>
        </is>
      </c>
      <c r="AT51" s="24" t="inlineStr">
        <is>
          <t>San Diego Padres</t>
        </is>
      </c>
      <c r="AU51" s="24" t="inlineStr">
        <is>
          <t>San Diego Padres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dd339a2eed50d7d83ab2127837995ddab82e879afd27f5414bb6c1f9cd60ba4c</t>
        </is>
      </c>
      <c r="BB51" s="24" t="inlineStr">
        <is>
          <t>flat_probability_shrinkage_toward_half</t>
        </is>
      </c>
      <c r="BC51" s="24" t="inlineStr">
        <is>
          <t>measured-edge-margin-v3</t>
        </is>
      </c>
      <c r="BD51" s="24" t="inlineStr">
        <is>
          <t>dd339a2eed50d7d83ab2127837995ddab82e879afd27f5414bb6c1f9cd60ba4c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2026-08-09T23:32:16.171272Z</t>
        </is>
      </c>
      <c r="BI51" s="24" t="inlineStr">
        <is>
          <t>["same_event","same_team_same_day","same_league_same_day"]</t>
        </is>
      </c>
      <c r="BJ51" s="25" t="n">
        <v>1.5</v>
      </c>
      <c r="BK51" s="26" t="n">
        <v>-178</v>
      </c>
      <c r="BL51" s="27" t="n">
        <v>1.561798</v>
      </c>
      <c r="BM51" s="28" t="n">
        <v>0.640288</v>
      </c>
      <c r="BN51" s="28" t="n">
        <v>0.636816</v>
      </c>
      <c r="BO51" s="28" t="n"/>
      <c r="BP51" s="25" t="n"/>
      <c r="BQ51" s="27" t="n">
        <v>1.561798</v>
      </c>
      <c r="BR51" s="28" t="n">
        <v>0.64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</row>
    <row r="52" ht="36" customHeight="1">
      <c r="A52" s="24" t="inlineStr">
        <is>
          <t>5b674284b4144ae4</t>
        </is>
      </c>
      <c r="B52" s="24" t="inlineStr">
        <is>
          <t>2026-08-09T23:32:16.171272Z</t>
        </is>
      </c>
      <c r="C52" s="24" t="inlineStr">
        <is>
          <t>2026-08-10T00:20Z</t>
        </is>
      </c>
      <c r="D52" s="24" t="inlineStr">
        <is>
          <t>401816466</t>
        </is>
      </c>
      <c r="E52" s="24" t="inlineStr">
        <is>
          <t>MLB</t>
        </is>
      </c>
      <c r="F52" s="24" t="inlineStr">
        <is>
          <t>Houston Astros</t>
        </is>
      </c>
      <c r="G52" s="24" t="inlineStr">
        <is>
          <t>San Diego Padres</t>
        </is>
      </c>
      <c r="H52" s="24" t="inlineStr">
        <is>
          <t>total</t>
        </is>
      </c>
      <c r="I52" s="24" t="inlineStr">
        <is>
          <t>over</t>
        </is>
      </c>
      <c r="J52" s="25" t="n">
        <v>8.5</v>
      </c>
      <c r="K52" s="24" t="inlineStr">
        <is>
          <t>polymarket_us</t>
        </is>
      </c>
      <c r="L52" s="26" t="n">
        <v>-125</v>
      </c>
      <c r="M52" s="27" t="n">
        <v>1.8</v>
      </c>
      <c r="N52" s="28" t="n">
        <v>0.555556</v>
      </c>
      <c r="O52" s="28" t="n">
        <v>0.5072410000000001</v>
      </c>
      <c r="P52" s="28" t="n">
        <v>0.05172</v>
      </c>
      <c r="Q52" s="28" t="n">
        <v>-0.048315</v>
      </c>
      <c r="R52" s="26" t="n">
        <v>0</v>
      </c>
      <c r="S52" s="29" t="n">
        <v>1</v>
      </c>
      <c r="T52" s="24" t="inlineStr">
        <is>
          <t>measured-edge-totals-v3</t>
        </is>
      </c>
      <c r="U52" s="24" t="inlineStr">
        <is>
          <t>settled</t>
        </is>
      </c>
      <c r="V52" s="24" t="inlineStr">
        <is>
          <t>win</t>
        </is>
      </c>
      <c r="W52" s="26" t="n">
        <v>2</v>
      </c>
      <c r="X52" s="26" t="n">
        <v>7</v>
      </c>
      <c r="Y52" s="25" t="n">
        <v>8.5</v>
      </c>
      <c r="Z52" s="26" t="n">
        <v>-125</v>
      </c>
      <c r="AA52" s="28" t="n">
        <v>0.555</v>
      </c>
      <c r="AB52" s="28" t="n">
        <v>-0.000556</v>
      </c>
      <c r="AC52" s="30" t="n">
        <v>0.8</v>
      </c>
      <c r="AD52" s="24" t="inlineStr">
        <is>
          <t>2026-08-10T05:37:28.912292Z</t>
        </is>
      </c>
      <c r="AE52" s="31" t="inlineStr">
        <is>
          <t>Measured Edge Totals: Trend Engine projected 4.24-4.65; raw selected-side p=0.5058, calibrated p=0.5072.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mlb-hou</t>
        </is>
      </c>
      <c r="AQ52" s="24" t="inlineStr">
        <is>
          <t>Houston Astros</t>
        </is>
      </c>
      <c r="AR52" s="24" t="inlineStr">
        <is>
          <t>Houston Astros</t>
        </is>
      </c>
      <c r="AS52" s="24" t="inlineStr">
        <is>
          <t>mlb-sd</t>
        </is>
      </c>
      <c r="AT52" s="24" t="inlineStr">
        <is>
          <t>San Diego Padres</t>
        </is>
      </c>
      <c r="AU52" s="24" t="inlineStr">
        <is>
          <t>San Diego Padres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95b84332c75d2ce54036eb8de6ada9c78d0f80228c50825c0347281a8b9b49c7</t>
        </is>
      </c>
      <c r="BB52" s="24" t="inlineStr">
        <is>
          <t>flat_probability_shrinkage_toward_half</t>
        </is>
      </c>
      <c r="BC52" s="24" t="inlineStr">
        <is>
          <t>measured-edge-totals-v3</t>
        </is>
      </c>
      <c r="BD52" s="24" t="inlineStr">
        <is>
          <t>95b84332c75d2ce54036eb8de6ada9c78d0f80228c50825c0347281a8b9b49c7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2026-08-09T23:32:16.171272Z</t>
        </is>
      </c>
      <c r="BI52" s="24" t="inlineStr">
        <is>
          <t>["same_event","same_team_same_day","same_league_same_day"]</t>
        </is>
      </c>
      <c r="BJ52" s="25" t="n">
        <v>8.5</v>
      </c>
      <c r="BK52" s="26" t="n">
        <v>-125</v>
      </c>
      <c r="BL52" s="27" t="n">
        <v>1.8</v>
      </c>
      <c r="BM52" s="28" t="n">
        <v>0.555556</v>
      </c>
      <c r="BN52" s="28" t="n">
        <v>0.552239</v>
      </c>
      <c r="BO52" s="28" t="n"/>
      <c r="BP52" s="25" t="n"/>
      <c r="BQ52" s="27" t="n">
        <v>1.8</v>
      </c>
      <c r="BR52" s="28" t="n">
        <v>0.555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</row>
    <row r="53" ht="36" customHeight="1">
      <c r="A53" s="24" t="inlineStr">
        <is>
          <t>dd6c65cefda246bb</t>
        </is>
      </c>
      <c r="B53" s="24" t="inlineStr">
        <is>
          <t>2026-08-10T16:34:47.251195Z</t>
        </is>
      </c>
      <c r="C53" s="24" t="inlineStr">
        <is>
          <t>2026-08-10T21:40:00-0400</t>
        </is>
      </c>
      <c r="D53" s="24" t="inlineStr">
        <is>
          <t>401816473</t>
        </is>
      </c>
      <c r="E53" s="24" t="inlineStr">
        <is>
          <t>MLB</t>
        </is>
      </c>
      <c r="F53" s="24" t="inlineStr">
        <is>
          <t>Colorado Rockies</t>
        </is>
      </c>
      <c r="G53" s="24" t="inlineStr">
        <is>
          <t>Arizona Diamondbacks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-186</v>
      </c>
      <c r="M53" s="27" t="n">
        <v>1.537634</v>
      </c>
      <c r="N53" s="28" t="n">
        <v>0.65035</v>
      </c>
      <c r="O53" s="28" t="n">
        <v>0.651088</v>
      </c>
      <c r="P53" s="28" t="n"/>
      <c r="Q53" s="28" t="n">
        <v>0.000738</v>
      </c>
      <c r="R53" s="26" t="n">
        <v>22</v>
      </c>
      <c r="S53" s="29" t="n">
        <v>1.75</v>
      </c>
      <c r="T53" s="24" t="inlineStr">
        <is>
          <t>mlb-elo-trend-lr-v8</t>
        </is>
      </c>
      <c r="U53" s="24" t="inlineStr">
        <is>
          <t>open</t>
        </is>
      </c>
      <c r="V53" s="24" t="n"/>
      <c r="W53" s="26" t="n"/>
      <c r="X53" s="26" t="n"/>
      <c r="Y53" s="25" t="n"/>
      <c r="Z53" s="26" t="n"/>
      <c r="AA53" s="28" t="n"/>
      <c r="AB53" s="28" t="n"/>
      <c r="AC53" s="30" t="n"/>
      <c r="AD53" s="24" t="n"/>
      <c r="AE53" s="31" t="inlineStr">
        <is>
          <t>Learned LR call at threshold 0.6197; executable ask 0.6500 (aec-mlb-col-az-2026-08-10); model edge vs ask +0.0011.</t>
        </is>
      </c>
      <c r="AF53" s="31" t="inlineStr">
        <is>
          <t>Learned model; shadow-qualified via operator override.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mlb-col</t>
        </is>
      </c>
      <c r="AQ53" s="24" t="inlineStr">
        <is>
          <t>Colorado Rockies</t>
        </is>
      </c>
      <c r="AR53" s="24" t="inlineStr">
        <is>
          <t>Colorado Rockies</t>
        </is>
      </c>
      <c r="AS53" s="24" t="inlineStr">
        <is>
          <t>mlb-ari</t>
        </is>
      </c>
      <c r="AT53" s="24" t="inlineStr">
        <is>
          <t>Arizona Diamondbacks</t>
        </is>
      </c>
      <c r="AU53" s="24" t="inlineStr">
        <is>
          <t>Arizona Diamondbacks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3b345499bd6bad9bcf65367a07fe0c668fb5817d4f016a0a865c01d9212fdeb8</t>
        </is>
      </c>
      <c r="BB53" s="24" t="inlineStr">
        <is>
          <t>learned_lr</t>
        </is>
      </c>
      <c r="BC53" s="24" t="inlineStr">
        <is>
          <t>mlb-elo-trend-lr-v8</t>
        </is>
      </c>
      <c r="BD53" s="24" t="inlineStr">
        <is>
          <t>3b345499bd6bad9bcf65367a07fe0c668fb5817d4f016a0a865c01d9212fdeb8</t>
        </is>
      </c>
      <c r="BE53" s="24" t="inlineStr">
        <is>
          <t>b4a698ea92aeb5d0</t>
        </is>
      </c>
      <c r="BF53" s="24" t="inlineStr">
        <is>
          <t>1</t>
        </is>
      </c>
      <c r="BG53" s="24" t="inlineStr">
        <is>
          <t>mlb-elo-trend-lr-v8</t>
        </is>
      </c>
      <c r="BH53" s="24" t="inlineStr">
        <is>
          <t>2026-08-10T16:34:11.790019Z</t>
        </is>
      </c>
      <c r="BI53" s="24" t="inlineStr">
        <is>
          <t>["same_event","same_team_same_day","same_league_same_day"]</t>
        </is>
      </c>
      <c r="BJ53" s="25" t="n"/>
      <c r="BK53" s="26" t="n">
        <v>-186</v>
      </c>
      <c r="BL53" s="27" t="n">
        <v>1.537634</v>
      </c>
      <c r="BM53" s="28" t="n">
        <v>0.65035</v>
      </c>
      <c r="BN53" s="28" t="n">
        <v>0.646766</v>
      </c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inlineStr">
        <is>
          <t>0.6941730683</t>
        </is>
      </c>
      <c r="CD53" s="24" t="inlineStr">
        <is>
          <t>-0.291055</t>
        </is>
      </c>
      <c r="CE53" s="24" t="inlineStr">
        <is>
          <t>1.097</t>
        </is>
      </c>
      <c r="CF53" s="24" t="inlineStr">
        <is>
          <t>1.0</t>
        </is>
      </c>
      <c r="CG53" s="24" t="n"/>
      <c r="CH53" s="24" t="n"/>
      <c r="CI53" s="24" t="n"/>
      <c r="CJ53" s="24" t="inlineStr">
        <is>
          <t>1.199176</t>
        </is>
      </c>
      <c r="CK53" s="24" t="n"/>
      <c r="CL53" s="24" t="inlineStr">
        <is>
          <t>0.159831</t>
        </is>
      </c>
      <c r="CM53" s="24" t="inlineStr">
        <is>
          <t>-2.7333</t>
        </is>
      </c>
      <c r="CN53" s="24" t="n"/>
      <c r="CO53" s="24" t="n"/>
      <c r="CP53" s="24" t="n"/>
      <c r="CQ53" s="24" t="n"/>
      <c r="CR53" s="24" t="inlineStr">
        <is>
          <t>0.651088</t>
        </is>
      </c>
      <c r="CS53" s="24" t="inlineStr">
        <is>
          <t>True</t>
        </is>
      </c>
    </row>
    <row r="54" ht="36" customHeight="1">
      <c r="A54" s="24" t="inlineStr">
        <is>
          <t>4569f4acab14488c</t>
        </is>
      </c>
      <c r="B54" s="24" t="inlineStr">
        <is>
          <t>2026-08-10T16:34:47.251195Z</t>
        </is>
      </c>
      <c r="C54" s="24" t="inlineStr">
        <is>
          <t>2026-08-10T22:10:00-0400</t>
        </is>
      </c>
      <c r="D54" s="24" t="inlineStr">
        <is>
          <t>401816475</t>
        </is>
      </c>
      <c r="E54" s="24" t="inlineStr">
        <is>
          <t>MLB</t>
        </is>
      </c>
      <c r="F54" s="24" t="inlineStr">
        <is>
          <t>Kansas City Royals</t>
        </is>
      </c>
      <c r="G54" s="24" t="inlineStr">
        <is>
          <t>Los Angeles Dodgers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-251</v>
      </c>
      <c r="M54" s="27" t="n">
        <v>1.398406</v>
      </c>
      <c r="N54" s="28" t="n">
        <v>0.7151</v>
      </c>
      <c r="O54" s="28" t="n">
        <v>0.634885</v>
      </c>
      <c r="P54" s="28" t="n"/>
      <c r="Q54" s="28" t="n">
        <v>-0.08021499999999999</v>
      </c>
      <c r="R54" s="26" t="n">
        <v>0</v>
      </c>
      <c r="S54" s="29" t="n">
        <v>1.5</v>
      </c>
      <c r="T54" s="24" t="inlineStr">
        <is>
          <t>mlb-elo-trend-lr-v8</t>
        </is>
      </c>
      <c r="U54" s="24" t="inlineStr">
        <is>
          <t>open</t>
        </is>
      </c>
      <c r="V54" s="24" t="n"/>
      <c r="W54" s="26" t="n"/>
      <c r="X54" s="26" t="n"/>
      <c r="Y54" s="25" t="n"/>
      <c r="Z54" s="26" t="n"/>
      <c r="AA54" s="28" t="n"/>
      <c r="AB54" s="28" t="n"/>
      <c r="AC54" s="30" t="n"/>
      <c r="AD54" s="24" t="n"/>
      <c r="AE54" s="31" t="inlineStr">
        <is>
          <t>Learned LR call at threshold 0.6197; executable ask 0.7150 (aec-mlb-kc-lad-2026-08-10); model edge vs ask -0.0801.</t>
        </is>
      </c>
      <c r="AF54" s="31" t="inlineStr">
        <is>
          <t>Learned model; shadow-qualified via operator override.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mlb-kc</t>
        </is>
      </c>
      <c r="AQ54" s="24" t="inlineStr">
        <is>
          <t>Kansas City Royals</t>
        </is>
      </c>
      <c r="AR54" s="24" t="inlineStr">
        <is>
          <t>Kansas City Royals</t>
        </is>
      </c>
      <c r="AS54" s="24" t="inlineStr">
        <is>
          <t>mlb-lad</t>
        </is>
      </c>
      <c r="AT54" s="24" t="inlineStr">
        <is>
          <t>Los Angeles Dodgers</t>
        </is>
      </c>
      <c r="AU54" s="24" t="inlineStr">
        <is>
          <t>Los Angeles Dodgers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3b345499bd6bad9bcf65367a07fe0c668fb5817d4f016a0a865c01d9212fdeb8</t>
        </is>
      </c>
      <c r="BB54" s="24" t="inlineStr">
        <is>
          <t>learned_lr</t>
        </is>
      </c>
      <c r="BC54" s="24" t="inlineStr">
        <is>
          <t>mlb-elo-trend-lr-v8</t>
        </is>
      </c>
      <c r="BD54" s="24" t="inlineStr">
        <is>
          <t>3b345499bd6bad9bcf65367a07fe0c668fb5817d4f016a0a865c01d9212fdeb8</t>
        </is>
      </c>
      <c r="BE54" s="24" t="inlineStr">
        <is>
          <t>19d07a09c729d869</t>
        </is>
      </c>
      <c r="BF54" s="24" t="inlineStr">
        <is>
          <t>1</t>
        </is>
      </c>
      <c r="BG54" s="24" t="inlineStr">
        <is>
          <t>mlb-elo-trend-lr-v8</t>
        </is>
      </c>
      <c r="BH54" s="24" t="inlineStr">
        <is>
          <t>2026-08-10T16:34:13.862219Z</t>
        </is>
      </c>
      <c r="BI54" s="24" t="inlineStr">
        <is>
          <t>["same_event","same_team_same_day","same_league_same_day"]</t>
        </is>
      </c>
      <c r="BJ54" s="25" t="n"/>
      <c r="BK54" s="26" t="n">
        <v>-251</v>
      </c>
      <c r="BL54" s="27" t="n">
        <v>1.398406</v>
      </c>
      <c r="BM54" s="28" t="n">
        <v>0.7151</v>
      </c>
      <c r="BN54" s="28" t="n">
        <v>0.711443</v>
      </c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inlineStr">
        <is>
          <t>0.6689872193</t>
        </is>
      </c>
      <c r="CD54" s="24" t="inlineStr">
        <is>
          <t>-0.660466</t>
        </is>
      </c>
      <c r="CE54" s="24" t="inlineStr">
        <is>
          <t>1.026</t>
        </is>
      </c>
      <c r="CF54" s="24" t="inlineStr">
        <is>
          <t>1.0042</t>
        </is>
      </c>
      <c r="CG54" s="24" t="n"/>
      <c r="CH54" s="24" t="n"/>
      <c r="CI54" s="24" t="n"/>
      <c r="CJ54" s="24" t="inlineStr">
        <is>
          <t>-0.432411</t>
        </is>
      </c>
      <c r="CK54" s="24" t="n"/>
      <c r="CL54" s="24" t="inlineStr">
        <is>
          <t>-0.485019</t>
        </is>
      </c>
      <c r="CM54" s="24" t="inlineStr">
        <is>
          <t>-4.417</t>
        </is>
      </c>
      <c r="CN54" s="24" t="n"/>
      <c r="CO54" s="24" t="n"/>
      <c r="CP54" s="24" t="n"/>
      <c r="CQ54" s="24" t="n"/>
      <c r="CR54" s="24" t="inlineStr">
        <is>
          <t>0.634885</t>
        </is>
      </c>
      <c r="CS54" s="24" t="inlineStr">
        <is>
          <t>False</t>
        </is>
      </c>
    </row>
    <row r="55" ht="36" customHeight="1">
      <c r="A55" s="24" t="inlineStr">
        <is>
          <t>1a685892bc8d4f32</t>
        </is>
      </c>
      <c r="B55" s="24" t="inlineStr">
        <is>
          <t>2026-08-10T16:35:10.426686Z</t>
        </is>
      </c>
      <c r="C55" s="24" t="inlineStr">
        <is>
          <t>2026-08-10T23:07Z</t>
        </is>
      </c>
      <c r="D55" s="24" t="inlineStr">
        <is>
          <t>401816469</t>
        </is>
      </c>
      <c r="E55" s="24" t="inlineStr">
        <is>
          <t>MLB</t>
        </is>
      </c>
      <c r="F55" s="24" t="inlineStr">
        <is>
          <t>Boston Red Sox</t>
        </is>
      </c>
      <c r="G55" s="24" t="inlineStr">
        <is>
          <t>Toronto Blue Jays</t>
        </is>
      </c>
      <c r="H55" s="24" t="inlineStr">
        <is>
          <t>spread</t>
        </is>
      </c>
      <c r="I55" s="24" t="inlineStr">
        <is>
          <t>home</t>
        </is>
      </c>
      <c r="J55" s="25" t="n">
        <v>1.5</v>
      </c>
      <c r="K55" s="24" t="inlineStr">
        <is>
          <t>polymarket_us</t>
        </is>
      </c>
      <c r="L55" s="26" t="n">
        <v>-120</v>
      </c>
      <c r="M55" s="27" t="n">
        <v>1.833333</v>
      </c>
      <c r="N55" s="28" t="n">
        <v>0.545455</v>
      </c>
      <c r="O55" s="28" t="n">
        <v>0.557987</v>
      </c>
      <c r="P55" s="28" t="n">
        <v>0.042131</v>
      </c>
      <c r="Q55" s="28" t="n">
        <v>0.012532</v>
      </c>
      <c r="R55" s="26" t="n">
        <v>33</v>
      </c>
      <c r="S55" s="29" t="n">
        <v>1</v>
      </c>
      <c r="T55" s="24" t="inlineStr">
        <is>
          <t>measured-edge-margin-v3</t>
        </is>
      </c>
      <c r="U55" s="24" t="inlineStr">
        <is>
          <t>open</t>
        </is>
      </c>
      <c r="V55" s="24" t="n"/>
      <c r="W55" s="26" t="n"/>
      <c r="X55" s="26" t="n"/>
      <c r="Y55" s="25" t="n"/>
      <c r="Z55" s="26" t="n"/>
      <c r="AA55" s="28" t="n"/>
      <c r="AB55" s="28" t="n"/>
      <c r="AC55" s="30" t="n"/>
      <c r="AD55" s="24" t="n"/>
      <c r="AE55" s="31" t="inlineStr">
        <is>
          <t>Measured Edge Margin: Trend Engine projected 5.15-4.30; raw selected-side p=0.5851, calibrated p=0.5580.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mlb-bos</t>
        </is>
      </c>
      <c r="AQ55" s="24" t="inlineStr">
        <is>
          <t>Boston Red Sox</t>
        </is>
      </c>
      <c r="AR55" s="24" t="inlineStr">
        <is>
          <t>Boston Red Sox</t>
        </is>
      </c>
      <c r="AS55" s="24" t="inlineStr">
        <is>
          <t>mlb-tor</t>
        </is>
      </c>
      <c r="AT55" s="24" t="inlineStr">
        <is>
          <t>Toronto Blue Jays</t>
        </is>
      </c>
      <c r="AU55" s="24" t="inlineStr">
        <is>
          <t>Toronto Blue Jays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dd339a2eed50d7d83ab2127837995ddab82e879afd27f5414bb6c1f9cd60ba4c</t>
        </is>
      </c>
      <c r="BB55" s="24" t="inlineStr">
        <is>
          <t>flat_probability_shrinkage_toward_half</t>
        </is>
      </c>
      <c r="BC55" s="24" t="inlineStr">
        <is>
          <t>measured-edge-margin-v3</t>
        </is>
      </c>
      <c r="BD55" s="24" t="inlineStr">
        <is>
          <t>dd339a2eed50d7d83ab2127837995ddab82e879afd27f5414bb6c1f9cd60ba4c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2026-08-10T16:35:10.426686Z</t>
        </is>
      </c>
      <c r="BI55" s="24" t="inlineStr">
        <is>
          <t>["same_event","same_team_same_day","same_league_same_day"]</t>
        </is>
      </c>
      <c r="BJ55" s="25" t="n">
        <v>1.5</v>
      </c>
      <c r="BK55" s="26" t="n">
        <v>-120</v>
      </c>
      <c r="BL55" s="27" t="n">
        <v>1.833333</v>
      </c>
      <c r="BM55" s="28" t="n">
        <v>0.545455</v>
      </c>
      <c r="BN55" s="28" t="n">
        <v>0.542289</v>
      </c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True</t>
        </is>
      </c>
    </row>
    <row r="56" ht="36" customHeight="1">
      <c r="A56" s="24" t="inlineStr">
        <is>
          <t>00829b16f9304859</t>
        </is>
      </c>
      <c r="B56" s="24" t="inlineStr">
        <is>
          <t>2026-08-10T16:35:10.426686Z</t>
        </is>
      </c>
      <c r="C56" s="24" t="inlineStr">
        <is>
          <t>2026-08-10T23:07Z</t>
        </is>
      </c>
      <c r="D56" s="24" t="inlineStr">
        <is>
          <t>401816469</t>
        </is>
      </c>
      <c r="E56" s="24" t="inlineStr">
        <is>
          <t>MLB</t>
        </is>
      </c>
      <c r="F56" s="24" t="inlineStr">
        <is>
          <t>Boston Red Sox</t>
        </is>
      </c>
      <c r="G56" s="24" t="inlineStr">
        <is>
          <t>Toronto Blue Jays</t>
        </is>
      </c>
      <c r="H56" s="24" t="inlineStr">
        <is>
          <t>total</t>
        </is>
      </c>
      <c r="I56" s="24" t="inlineStr">
        <is>
          <t>over</t>
        </is>
      </c>
      <c r="J56" s="25" t="n">
        <v>8.5</v>
      </c>
      <c r="K56" s="24" t="inlineStr">
        <is>
          <t>polymarket_us</t>
        </is>
      </c>
      <c r="L56" s="26" t="n">
        <v>106</v>
      </c>
      <c r="M56" s="27" t="n">
        <v>2.06</v>
      </c>
      <c r="N56" s="28" t="n">
        <v>0.485437</v>
      </c>
      <c r="O56" s="28" t="n">
        <v>0.520282</v>
      </c>
      <c r="P56" s="28" t="n">
        <v>0.042131</v>
      </c>
      <c r="Q56" s="28" t="n">
        <v>0.034845</v>
      </c>
      <c r="R56" s="26" t="n">
        <v>44</v>
      </c>
      <c r="S56" s="29" t="n">
        <v>1</v>
      </c>
      <c r="T56" s="24" t="inlineStr">
        <is>
          <t>measured-edge-totals-v3</t>
        </is>
      </c>
      <c r="U56" s="24" t="inlineStr">
        <is>
          <t>open</t>
        </is>
      </c>
      <c r="V56" s="24" t="n"/>
      <c r="W56" s="26" t="n"/>
      <c r="X56" s="26" t="n"/>
      <c r="Y56" s="25" t="n"/>
      <c r="Z56" s="26" t="n"/>
      <c r="AA56" s="28" t="n"/>
      <c r="AB56" s="28" t="n"/>
      <c r="AC56" s="30" t="n"/>
      <c r="AD56" s="24" t="n"/>
      <c r="AE56" s="31" t="inlineStr">
        <is>
          <t>Measured Edge Totals: Trend Engine projected 5.15-4.30; raw selected-side p=0.5583, calibrated p=0.5203.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mlb-bos</t>
        </is>
      </c>
      <c r="AQ56" s="24" t="inlineStr">
        <is>
          <t>Boston Red Sox</t>
        </is>
      </c>
      <c r="AR56" s="24" t="inlineStr">
        <is>
          <t>Boston Red Sox</t>
        </is>
      </c>
      <c r="AS56" s="24" t="inlineStr">
        <is>
          <t>mlb-tor</t>
        </is>
      </c>
      <c r="AT56" s="24" t="inlineStr">
        <is>
          <t>Toronto Blue Jays</t>
        </is>
      </c>
      <c r="AU56" s="24" t="inlineStr">
        <is>
          <t>Toronto Blue Jays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95b84332c75d2ce54036eb8de6ada9c78d0f80228c50825c0347281a8b9b49c7</t>
        </is>
      </c>
      <c r="BB56" s="24" t="inlineStr">
        <is>
          <t>flat_probability_shrinkage_toward_half</t>
        </is>
      </c>
      <c r="BC56" s="24" t="inlineStr">
        <is>
          <t>measured-edge-totals-v3</t>
        </is>
      </c>
      <c r="BD56" s="24" t="inlineStr">
        <is>
          <t>95b84332c75d2ce54036eb8de6ada9c78d0f80228c50825c0347281a8b9b49c7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2026-08-10T16:35:10.426686Z</t>
        </is>
      </c>
      <c r="BI56" s="24" t="inlineStr">
        <is>
          <t>["same_event","same_team_same_day","same_league_same_day"]</t>
        </is>
      </c>
      <c r="BJ56" s="25" t="n">
        <v>8.5</v>
      </c>
      <c r="BK56" s="26" t="n">
        <v>106</v>
      </c>
      <c r="BL56" s="27" t="n">
        <v>2.06</v>
      </c>
      <c r="BM56" s="28" t="n">
        <v>0.485437</v>
      </c>
      <c r="BN56" s="28" t="n">
        <v>0.482587</v>
      </c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</row>
    <row r="57" ht="36" customHeight="1">
      <c r="A57" s="24" t="inlineStr">
        <is>
          <t>620d1a1a74724f8f</t>
        </is>
      </c>
      <c r="B57" s="24" t="inlineStr">
        <is>
          <t>2026-08-10T16:35:10.426686Z</t>
        </is>
      </c>
      <c r="C57" s="24" t="inlineStr">
        <is>
          <t>2026-08-10T23:15Z</t>
        </is>
      </c>
      <c r="D57" s="24" t="inlineStr">
        <is>
          <t>401816470</t>
        </is>
      </c>
      <c r="E57" s="24" t="inlineStr">
        <is>
          <t>MLB</t>
        </is>
      </c>
      <c r="F57" s="24" t="inlineStr">
        <is>
          <t>New York Mets</t>
        </is>
      </c>
      <c r="G57" s="24" t="inlineStr">
        <is>
          <t>Atlanta Braves</t>
        </is>
      </c>
      <c r="H57" s="24" t="inlineStr">
        <is>
          <t>spread</t>
        </is>
      </c>
      <c r="I57" s="24" t="inlineStr">
        <is>
          <t>away</t>
        </is>
      </c>
      <c r="J57" s="25" t="n">
        <v>1.5</v>
      </c>
      <c r="K57" s="24" t="inlineStr">
        <is>
          <t>polymarket_us</t>
        </is>
      </c>
      <c r="L57" s="26" t="n">
        <v>-150</v>
      </c>
      <c r="M57" s="27" t="n">
        <v>1.666667</v>
      </c>
      <c r="N57" s="28" t="n">
        <v>0.6</v>
      </c>
      <c r="O57" s="28" t="n">
        <v>0.619313</v>
      </c>
      <c r="P57" s="28" t="n">
        <v>0.042131</v>
      </c>
      <c r="Q57" s="28" t="n">
        <v>0.019313</v>
      </c>
      <c r="R57" s="26" t="n">
        <v>36</v>
      </c>
      <c r="S57" s="29" t="n">
        <v>1.5</v>
      </c>
      <c r="T57" s="24" t="inlineStr">
        <is>
          <t>measured-edge-margin-v3</t>
        </is>
      </c>
      <c r="U57" s="24" t="inlineStr">
        <is>
          <t>open</t>
        </is>
      </c>
      <c r="V57" s="24" t="n"/>
      <c r="W57" s="26" t="n"/>
      <c r="X57" s="26" t="n"/>
      <c r="Y57" s="25" t="n"/>
      <c r="Z57" s="26" t="n"/>
      <c r="AA57" s="28" t="n"/>
      <c r="AB57" s="28" t="n"/>
      <c r="AC57" s="30" t="n"/>
      <c r="AD57" s="24" t="n"/>
      <c r="AE57" s="31" t="inlineStr">
        <is>
          <t>Measured Edge Margin: Trend Engine projected 4.23-4.22; raw selected-side p=0.6751, calibrated p=0.6193.</t>
        </is>
      </c>
      <c r="AF57" s="31" t="inlineStr">
        <is>
          <t>Research-only; lineup, bullpen, park, weather, xFIP, and wRC+ may be neutral fallbacks; market availability and BBO depth may change before first pitch.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mlb-nym</t>
        </is>
      </c>
      <c r="AQ57" s="24" t="inlineStr">
        <is>
          <t>New York Mets</t>
        </is>
      </c>
      <c r="AR57" s="24" t="inlineStr">
        <is>
          <t>New York Mets</t>
        </is>
      </c>
      <c r="AS57" s="24" t="inlineStr">
        <is>
          <t>mlb-atl</t>
        </is>
      </c>
      <c r="AT57" s="24" t="inlineStr">
        <is>
          <t>Atlanta Braves</t>
        </is>
      </c>
      <c r="AU57" s="24" t="inlineStr">
        <is>
          <t>Atlanta Braves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dd339a2eed50d7d83ab2127837995ddab82e879afd27f5414bb6c1f9cd60ba4c</t>
        </is>
      </c>
      <c r="BB57" s="24" t="inlineStr">
        <is>
          <t>flat_probability_shrinkage_toward_half</t>
        </is>
      </c>
      <c r="BC57" s="24" t="inlineStr">
        <is>
          <t>measured-edge-margin-v3</t>
        </is>
      </c>
      <c r="BD57" s="24" t="inlineStr">
        <is>
          <t>dd339a2eed50d7d83ab2127837995ddab82e879afd27f5414bb6c1f9cd60ba4c</t>
        </is>
      </c>
      <c r="BE57" s="24" t="inlineStr">
        <is>
          <t>v3</t>
        </is>
      </c>
      <c r="BF57" s="24" t="inlineStr">
        <is>
          <t>1</t>
        </is>
      </c>
      <c r="BG57" s="24" t="inlineStr">
        <is>
          <t>measured-edge-paired-v1</t>
        </is>
      </c>
      <c r="BH57" s="24" t="inlineStr">
        <is>
          <t>2026-08-10T16:35:10.426686Z</t>
        </is>
      </c>
      <c r="BI57" s="24" t="inlineStr">
        <is>
          <t>["same_event","same_team_same_day","same_league_same_day"]</t>
        </is>
      </c>
      <c r="BJ57" s="25" t="n">
        <v>1.5</v>
      </c>
      <c r="BK57" s="26" t="n">
        <v>-150</v>
      </c>
      <c r="BL57" s="27" t="n">
        <v>1.666667</v>
      </c>
      <c r="BM57" s="28" t="n">
        <v>0.6</v>
      </c>
      <c r="BN57" s="28" t="n">
        <v>0.597015</v>
      </c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</row>
    <row r="58" ht="36" customHeight="1">
      <c r="A58" s="24" t="inlineStr">
        <is>
          <t>159cc49b92fe48a8</t>
        </is>
      </c>
      <c r="B58" s="24" t="inlineStr">
        <is>
          <t>2026-08-10T16:35:10.426686Z</t>
        </is>
      </c>
      <c r="C58" s="24" t="inlineStr">
        <is>
          <t>2026-08-10T23:15Z</t>
        </is>
      </c>
      <c r="D58" s="24" t="inlineStr">
        <is>
          <t>401816470</t>
        </is>
      </c>
      <c r="E58" s="24" t="inlineStr">
        <is>
          <t>MLB</t>
        </is>
      </c>
      <c r="F58" s="24" t="inlineStr">
        <is>
          <t>New York Mets</t>
        </is>
      </c>
      <c r="G58" s="24" t="inlineStr">
        <is>
          <t>Atlanta Braves</t>
        </is>
      </c>
      <c r="H58" s="24" t="inlineStr">
        <is>
          <t>total</t>
        </is>
      </c>
      <c r="I58" s="24" t="inlineStr">
        <is>
          <t>under</t>
        </is>
      </c>
      <c r="J58" s="25" t="n">
        <v>8.5</v>
      </c>
      <c r="K58" s="24" t="inlineStr">
        <is>
          <t>polymarket_us</t>
        </is>
      </c>
      <c r="L58" s="26" t="n">
        <v>-104</v>
      </c>
      <c r="M58" s="27" t="n">
        <v>1.961538</v>
      </c>
      <c r="N58" s="28" t="n">
        <v>0.509804</v>
      </c>
      <c r="O58" s="28" t="n">
        <v>0.514954</v>
      </c>
      <c r="P58" s="28" t="n">
        <v>0.042131</v>
      </c>
      <c r="Q58" s="28" t="n">
        <v>0.00515</v>
      </c>
      <c r="R58" s="26" t="n">
        <v>28</v>
      </c>
      <c r="S58" s="29" t="n">
        <v>1</v>
      </c>
      <c r="T58" s="24" t="inlineStr">
        <is>
          <t>measured-edge-totals-v3</t>
        </is>
      </c>
      <c r="U58" s="24" t="inlineStr">
        <is>
          <t>open</t>
        </is>
      </c>
      <c r="V58" s="24" t="n"/>
      <c r="W58" s="26" t="n"/>
      <c r="X58" s="26" t="n"/>
      <c r="Y58" s="25" t="n"/>
      <c r="Z58" s="26" t="n"/>
      <c r="AA58" s="28" t="n"/>
      <c r="AB58" s="28" t="n"/>
      <c r="AC58" s="30" t="n"/>
      <c r="AD58" s="24" t="n"/>
      <c r="AE58" s="31" t="inlineStr">
        <is>
          <t>Measured Edge Totals: Trend Engine projected 4.23-4.22; raw selected-side p=0.5369, calibrated p=0.5150.</t>
        </is>
      </c>
      <c r="AF58" s="31" t="inlineStr">
        <is>
          <t>Research-only; lineup, bullpen, park, weather, xFIP, and wRC+ may be neutral fallbacks; market availability and BBO depth may change before first pitch.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mlb-nym</t>
        </is>
      </c>
      <c r="AQ58" s="24" t="inlineStr">
        <is>
          <t>New York Mets</t>
        </is>
      </c>
      <c r="AR58" s="24" t="inlineStr">
        <is>
          <t>New York Mets</t>
        </is>
      </c>
      <c r="AS58" s="24" t="inlineStr">
        <is>
          <t>mlb-atl</t>
        </is>
      </c>
      <c r="AT58" s="24" t="inlineStr">
        <is>
          <t>Atlanta Braves</t>
        </is>
      </c>
      <c r="AU58" s="24" t="inlineStr">
        <is>
          <t>Atlanta Braves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95b84332c75d2ce54036eb8de6ada9c78d0f80228c50825c0347281a8b9b49c7</t>
        </is>
      </c>
      <c r="BB58" s="24" t="inlineStr">
        <is>
          <t>flat_probability_shrinkage_toward_half</t>
        </is>
      </c>
      <c r="BC58" s="24" t="inlineStr">
        <is>
          <t>measured-edge-totals-v3</t>
        </is>
      </c>
      <c r="BD58" s="24" t="inlineStr">
        <is>
          <t>95b84332c75d2ce54036eb8de6ada9c78d0f80228c50825c0347281a8b9b49c7</t>
        </is>
      </c>
      <c r="BE58" s="24" t="inlineStr">
        <is>
          <t>v3</t>
        </is>
      </c>
      <c r="BF58" s="24" t="inlineStr">
        <is>
          <t>1</t>
        </is>
      </c>
      <c r="BG58" s="24" t="inlineStr">
        <is>
          <t>measured-edge-paired-v1</t>
        </is>
      </c>
      <c r="BH58" s="24" t="inlineStr">
        <is>
          <t>2026-08-10T16:35:10.426686Z</t>
        </is>
      </c>
      <c r="BI58" s="24" t="inlineStr">
        <is>
          <t>["same_event","same_team_same_day","same_league_same_day"]</t>
        </is>
      </c>
      <c r="BJ58" s="25" t="n">
        <v>8.5</v>
      </c>
      <c r="BK58" s="26" t="n">
        <v>-104</v>
      </c>
      <c r="BL58" s="27" t="n">
        <v>1.961538</v>
      </c>
      <c r="BM58" s="28" t="n">
        <v>0.509804</v>
      </c>
      <c r="BN58" s="28" t="n">
        <v>0.507463</v>
      </c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True</t>
        </is>
      </c>
    </row>
    <row r="59" ht="36" customHeight="1">
      <c r="A59" s="24" t="inlineStr">
        <is>
          <t>6ffd04e822644064</t>
        </is>
      </c>
      <c r="B59" s="24" t="inlineStr">
        <is>
          <t>2026-08-10T16:35:10.426686Z</t>
        </is>
      </c>
      <c r="C59" s="24" t="inlineStr">
        <is>
          <t>2026-08-10T23:40Z</t>
        </is>
      </c>
      <c r="D59" s="24" t="inlineStr">
        <is>
          <t>401816471</t>
        </is>
      </c>
      <c r="E59" s="24" t="inlineStr">
        <is>
          <t>MLB</t>
        </is>
      </c>
      <c r="F59" s="24" t="inlineStr">
        <is>
          <t>Baltimore Orioles</t>
        </is>
      </c>
      <c r="G59" s="24" t="inlineStr">
        <is>
          <t>Minnesota Twins</t>
        </is>
      </c>
      <c r="H59" s="24" t="inlineStr">
        <is>
          <t>spread</t>
        </is>
      </c>
      <c r="I59" s="24" t="inlineStr">
        <is>
          <t>home</t>
        </is>
      </c>
      <c r="J59" s="25" t="n">
        <v>1.5</v>
      </c>
      <c r="K59" s="24" t="inlineStr">
        <is>
          <t>polymarket_us</t>
        </is>
      </c>
      <c r="L59" s="26" t="n">
        <v>-156</v>
      </c>
      <c r="M59" s="27" t="n">
        <v>1.641026</v>
      </c>
      <c r="N59" s="28" t="n">
        <v>0.609375</v>
      </c>
      <c r="O59" s="28" t="n">
        <v>0.581972</v>
      </c>
      <c r="P59" s="28" t="n">
        <v>0.05172</v>
      </c>
      <c r="Q59" s="28" t="n">
        <v>-0.027403</v>
      </c>
      <c r="R59" s="26" t="n">
        <v>6</v>
      </c>
      <c r="S59" s="29" t="n">
        <v>1.25</v>
      </c>
      <c r="T59" s="24" t="inlineStr">
        <is>
          <t>measured-edge-margin-v3</t>
        </is>
      </c>
      <c r="U59" s="24" t="inlineStr">
        <is>
          <t>open</t>
        </is>
      </c>
      <c r="V59" s="24" t="n"/>
      <c r="W59" s="26" t="n"/>
      <c r="X59" s="26" t="n"/>
      <c r="Y59" s="25" t="n"/>
      <c r="Z59" s="26" t="n"/>
      <c r="AA59" s="28" t="n"/>
      <c r="AB59" s="28" t="n"/>
      <c r="AC59" s="30" t="n"/>
      <c r="AD59" s="24" t="n"/>
      <c r="AE59" s="31" t="inlineStr">
        <is>
          <t>Measured Edge Margin: Trend Engine projected 5.02-4.58; raw selected-side p=0.6203, calibrated p=0.5820.</t>
        </is>
      </c>
      <c r="AF59" s="31" t="inlineStr">
        <is>
          <t>Research-only; lineup, bullpen, park, weather, xFIP, and wRC+ may be neutral fallbacks; market availability and BBO depth may change before first pitch.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mlb-bal</t>
        </is>
      </c>
      <c r="AQ59" s="24" t="inlineStr">
        <is>
          <t>Baltimore Orioles</t>
        </is>
      </c>
      <c r="AR59" s="24" t="inlineStr">
        <is>
          <t>Baltimore Orioles</t>
        </is>
      </c>
      <c r="AS59" s="24" t="inlineStr">
        <is>
          <t>mlb-min</t>
        </is>
      </c>
      <c r="AT59" s="24" t="inlineStr">
        <is>
          <t>Minnesota Twins</t>
        </is>
      </c>
      <c r="AU59" s="24" t="inlineStr">
        <is>
          <t>Minnesota Twins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dd339a2eed50d7d83ab2127837995ddab82e879afd27f5414bb6c1f9cd60ba4c</t>
        </is>
      </c>
      <c r="BB59" s="24" t="inlineStr">
        <is>
          <t>flat_probability_shrinkage_toward_half</t>
        </is>
      </c>
      <c r="BC59" s="24" t="inlineStr">
        <is>
          <t>measured-edge-margin-v3</t>
        </is>
      </c>
      <c r="BD59" s="24" t="inlineStr">
        <is>
          <t>dd339a2eed50d7d83ab2127837995ddab82e879afd27f5414bb6c1f9cd60ba4c</t>
        </is>
      </c>
      <c r="BE59" s="24" t="inlineStr">
        <is>
          <t>v3</t>
        </is>
      </c>
      <c r="BF59" s="24" t="inlineStr">
        <is>
          <t>1</t>
        </is>
      </c>
      <c r="BG59" s="24" t="inlineStr">
        <is>
          <t>measured-edge-paired-v1</t>
        </is>
      </c>
      <c r="BH59" s="24" t="inlineStr">
        <is>
          <t>2026-08-10T16:35:10.426686Z</t>
        </is>
      </c>
      <c r="BI59" s="24" t="inlineStr">
        <is>
          <t>["same_event","same_team_same_day","same_league_same_day"]</t>
        </is>
      </c>
      <c r="BJ59" s="25" t="n">
        <v>1.5</v>
      </c>
      <c r="BK59" s="26" t="n">
        <v>-156</v>
      </c>
      <c r="BL59" s="27" t="n">
        <v>1.641026</v>
      </c>
      <c r="BM59" s="28" t="n">
        <v>0.609375</v>
      </c>
      <c r="BN59" s="28" t="n">
        <v>0.606965</v>
      </c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False</t>
        </is>
      </c>
    </row>
    <row r="60" ht="36" customHeight="1">
      <c r="A60" s="24" t="inlineStr">
        <is>
          <t>9a74e7c2c6f64669</t>
        </is>
      </c>
      <c r="B60" s="24" t="inlineStr">
        <is>
          <t>2026-08-10T16:35:10.426686Z</t>
        </is>
      </c>
      <c r="C60" s="24" t="inlineStr">
        <is>
          <t>2026-08-10T23:40Z</t>
        </is>
      </c>
      <c r="D60" s="24" t="inlineStr">
        <is>
          <t>401816471</t>
        </is>
      </c>
      <c r="E60" s="24" t="inlineStr">
        <is>
          <t>MLB</t>
        </is>
      </c>
      <c r="F60" s="24" t="inlineStr">
        <is>
          <t>Baltimore Orioles</t>
        </is>
      </c>
      <c r="G60" s="24" t="inlineStr">
        <is>
          <t>Minnesota Twins</t>
        </is>
      </c>
      <c r="H60" s="24" t="inlineStr">
        <is>
          <t>total</t>
        </is>
      </c>
      <c r="I60" s="24" t="inlineStr">
        <is>
          <t>over</t>
        </is>
      </c>
      <c r="J60" s="25" t="n">
        <v>8.5</v>
      </c>
      <c r="K60" s="24" t="inlineStr">
        <is>
          <t>polymarket_us</t>
        </is>
      </c>
      <c r="L60" s="26" t="n">
        <v>102</v>
      </c>
      <c r="M60" s="27" t="n">
        <v>2.02</v>
      </c>
      <c r="N60" s="28" t="n">
        <v>0.49505</v>
      </c>
      <c r="O60" s="28" t="n">
        <v>0.522406</v>
      </c>
      <c r="P60" s="28" t="n">
        <v>0.05172</v>
      </c>
      <c r="Q60" s="28" t="n">
        <v>0.027356</v>
      </c>
      <c r="R60" s="26" t="n">
        <v>34</v>
      </c>
      <c r="S60" s="29" t="n">
        <v>1</v>
      </c>
      <c r="T60" s="24" t="inlineStr">
        <is>
          <t>measured-edge-totals-v3</t>
        </is>
      </c>
      <c r="U60" s="24" t="inlineStr">
        <is>
          <t>open</t>
        </is>
      </c>
      <c r="V60" s="24" t="n"/>
      <c r="W60" s="26" t="n"/>
      <c r="X60" s="26" t="n"/>
      <c r="Y60" s="25" t="n"/>
      <c r="Z60" s="26" t="n"/>
      <c r="AA60" s="28" t="n"/>
      <c r="AB60" s="28" t="n"/>
      <c r="AC60" s="30" t="n"/>
      <c r="AD60" s="24" t="n"/>
      <c r="AE60" s="31" t="inlineStr">
        <is>
          <t>Measured Edge Totals: Trend Engine projected 5.02-4.58; raw selected-side p=0.5668, calibrated p=0.5224.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mlb-bal</t>
        </is>
      </c>
      <c r="AQ60" s="24" t="inlineStr">
        <is>
          <t>Baltimore Orioles</t>
        </is>
      </c>
      <c r="AR60" s="24" t="inlineStr">
        <is>
          <t>Baltimore Orioles</t>
        </is>
      </c>
      <c r="AS60" s="24" t="inlineStr">
        <is>
          <t>mlb-min</t>
        </is>
      </c>
      <c r="AT60" s="24" t="inlineStr">
        <is>
          <t>Minnesota Twins</t>
        </is>
      </c>
      <c r="AU60" s="24" t="inlineStr">
        <is>
          <t>Minnesota Twins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95b84332c75d2ce54036eb8de6ada9c78d0f80228c50825c0347281a8b9b49c7</t>
        </is>
      </c>
      <c r="BB60" s="24" t="inlineStr">
        <is>
          <t>flat_probability_shrinkage_toward_half</t>
        </is>
      </c>
      <c r="BC60" s="24" t="inlineStr">
        <is>
          <t>measured-edge-totals-v3</t>
        </is>
      </c>
      <c r="BD60" s="24" t="inlineStr">
        <is>
          <t>95b84332c75d2ce54036eb8de6ada9c78d0f80228c50825c0347281a8b9b49c7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2026-08-10T16:35:10.426686Z</t>
        </is>
      </c>
      <c r="BI60" s="24" t="inlineStr">
        <is>
          <t>["same_event","same_team_same_day","same_league_same_day"]</t>
        </is>
      </c>
      <c r="BJ60" s="25" t="n">
        <v>8.5</v>
      </c>
      <c r="BK60" s="26" t="n">
        <v>102</v>
      </c>
      <c r="BL60" s="27" t="n">
        <v>2.02</v>
      </c>
      <c r="BM60" s="28" t="n">
        <v>0.49505</v>
      </c>
      <c r="BN60" s="28" t="n">
        <v>0.492537</v>
      </c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</row>
    <row r="61" ht="36" customHeight="1">
      <c r="A61" s="24" t="inlineStr">
        <is>
          <t>05a17390bf5f45aa</t>
        </is>
      </c>
      <c r="B61" s="24" t="inlineStr">
        <is>
          <t>2026-08-10T16:35:10.426686Z</t>
        </is>
      </c>
      <c r="C61" s="24" t="inlineStr">
        <is>
          <t>2026-08-10T23:45Z</t>
        </is>
      </c>
      <c r="D61" s="24" t="inlineStr">
        <is>
          <t>401816472</t>
        </is>
      </c>
      <c r="E61" s="24" t="inlineStr">
        <is>
          <t>MLB</t>
        </is>
      </c>
      <c r="F61" s="24" t="inlineStr">
        <is>
          <t>Philadelphia Phillies</t>
        </is>
      </c>
      <c r="G61" s="24" t="inlineStr">
        <is>
          <t>St. Louis Cardinals</t>
        </is>
      </c>
      <c r="H61" s="24" t="inlineStr">
        <is>
          <t>spread</t>
        </is>
      </c>
      <c r="I61" s="24" t="inlineStr">
        <is>
          <t>home</t>
        </is>
      </c>
      <c r="J61" s="25" t="n">
        <v>1.5</v>
      </c>
      <c r="K61" s="24" t="inlineStr">
        <is>
          <t>polymarket_us</t>
        </is>
      </c>
      <c r="L61" s="26" t="n">
        <v>-153</v>
      </c>
      <c r="M61" s="27" t="n">
        <v>1.653595</v>
      </c>
      <c r="N61" s="28" t="n">
        <v>0.604743</v>
      </c>
      <c r="O61" s="28" t="n">
        <v>0.660674</v>
      </c>
      <c r="P61" s="28" t="n">
        <v>0.05172</v>
      </c>
      <c r="Q61" s="28" t="n">
        <v>0.055931</v>
      </c>
      <c r="R61" s="26" t="n">
        <v>48</v>
      </c>
      <c r="S61" s="29" t="n">
        <v>1.75</v>
      </c>
      <c r="T61" s="24" t="inlineStr">
        <is>
          <t>measured-edge-margin-v3</t>
        </is>
      </c>
      <c r="U61" s="24" t="inlineStr">
        <is>
          <t>open</t>
        </is>
      </c>
      <c r="V61" s="24" t="n"/>
      <c r="W61" s="26" t="n"/>
      <c r="X61" s="26" t="n"/>
      <c r="Y61" s="25" t="n"/>
      <c r="Z61" s="26" t="n"/>
      <c r="AA61" s="28" t="n"/>
      <c r="AB61" s="28" t="n"/>
      <c r="AC61" s="30" t="n"/>
      <c r="AD61" s="24" t="n"/>
      <c r="AE61" s="31" t="inlineStr">
        <is>
          <t>Measured Edge Margin: Trend Engine projected 4.48-5.28; raw selected-side p=0.7358, calibrated p=0.6607.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mlb-phi</t>
        </is>
      </c>
      <c r="AQ61" s="24" t="inlineStr">
        <is>
          <t>Philadelphia Phillies</t>
        </is>
      </c>
      <c r="AR61" s="24" t="inlineStr">
        <is>
          <t>Philadelphia Phillies</t>
        </is>
      </c>
      <c r="AS61" s="24" t="inlineStr">
        <is>
          <t>mlb-stl</t>
        </is>
      </c>
      <c r="AT61" s="24" t="inlineStr">
        <is>
          <t>St. Louis Cardinals</t>
        </is>
      </c>
      <c r="AU61" s="24" t="inlineStr">
        <is>
          <t>St. Louis Cardinals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dd339a2eed50d7d83ab2127837995ddab82e879afd27f5414bb6c1f9cd60ba4c</t>
        </is>
      </c>
      <c r="BB61" s="24" t="inlineStr">
        <is>
          <t>flat_probability_shrinkage_toward_half</t>
        </is>
      </c>
      <c r="BC61" s="24" t="inlineStr">
        <is>
          <t>measured-edge-margin-v3</t>
        </is>
      </c>
      <c r="BD61" s="24" t="inlineStr">
        <is>
          <t>dd339a2eed50d7d83ab2127837995ddab82e879afd27f5414bb6c1f9cd60ba4c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2026-08-10T16:35:10.426686Z</t>
        </is>
      </c>
      <c r="BI61" s="24" t="inlineStr">
        <is>
          <t>["same_event","same_team_same_day","same_league_same_day"]</t>
        </is>
      </c>
      <c r="BJ61" s="25" t="n">
        <v>1.5</v>
      </c>
      <c r="BK61" s="26" t="n">
        <v>-153</v>
      </c>
      <c r="BL61" s="27" t="n">
        <v>1.653595</v>
      </c>
      <c r="BM61" s="28" t="n">
        <v>0.604743</v>
      </c>
      <c r="BN61" s="28" t="n">
        <v>0.60199</v>
      </c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</row>
    <row r="62" ht="36" customHeight="1">
      <c r="A62" s="24" t="inlineStr">
        <is>
          <t>28da1b67f4364356</t>
        </is>
      </c>
      <c r="B62" s="24" t="inlineStr">
        <is>
          <t>2026-08-10T16:35:10.426686Z</t>
        </is>
      </c>
      <c r="C62" s="24" t="inlineStr">
        <is>
          <t>2026-08-10T23:45Z</t>
        </is>
      </c>
      <c r="D62" s="24" t="inlineStr">
        <is>
          <t>401816472</t>
        </is>
      </c>
      <c r="E62" s="24" t="inlineStr">
        <is>
          <t>MLB</t>
        </is>
      </c>
      <c r="F62" s="24" t="inlineStr">
        <is>
          <t>Philadelphia Phillies</t>
        </is>
      </c>
      <c r="G62" s="24" t="inlineStr">
        <is>
          <t>St. Louis Cardinals</t>
        </is>
      </c>
      <c r="H62" s="24" t="inlineStr">
        <is>
          <t>total</t>
        </is>
      </c>
      <c r="I62" s="24" t="inlineStr">
        <is>
          <t>under</t>
        </is>
      </c>
      <c r="J62" s="25" t="n">
        <v>9.5</v>
      </c>
      <c r="K62" s="24" t="inlineStr">
        <is>
          <t>polymarket_us</t>
        </is>
      </c>
      <c r="L62" s="26" t="n">
        <v>-125</v>
      </c>
      <c r="M62" s="27" t="n">
        <v>1.8</v>
      </c>
      <c r="N62" s="28" t="n">
        <v>0.555556</v>
      </c>
      <c r="O62" s="28" t="n">
        <v>0.513587</v>
      </c>
      <c r="P62" s="28" t="n">
        <v>0.05172</v>
      </c>
      <c r="Q62" s="28" t="n">
        <v>-0.041969</v>
      </c>
      <c r="R62" s="26" t="n">
        <v>0</v>
      </c>
      <c r="S62" s="29" t="n">
        <v>1</v>
      </c>
      <c r="T62" s="24" t="inlineStr">
        <is>
          <t>measured-edge-totals-v3</t>
        </is>
      </c>
      <c r="U62" s="24" t="inlineStr">
        <is>
          <t>open</t>
        </is>
      </c>
      <c r="V62" s="24" t="n"/>
      <c r="W62" s="26" t="n"/>
      <c r="X62" s="26" t="n"/>
      <c r="Y62" s="25" t="n"/>
      <c r="Z62" s="26" t="n"/>
      <c r="AA62" s="28" t="n"/>
      <c r="AB62" s="28" t="n"/>
      <c r="AC62" s="30" t="n"/>
      <c r="AD62" s="24" t="n"/>
      <c r="AE62" s="31" t="inlineStr">
        <is>
          <t>Measured Edge Totals: Trend Engine projected 4.48-5.28; raw selected-side p=0.5313, calibrated p=0.5136.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mlb-phi</t>
        </is>
      </c>
      <c r="AQ62" s="24" t="inlineStr">
        <is>
          <t>Philadelphia Phillies</t>
        </is>
      </c>
      <c r="AR62" s="24" t="inlineStr">
        <is>
          <t>Philadelphia Phillies</t>
        </is>
      </c>
      <c r="AS62" s="24" t="inlineStr">
        <is>
          <t>mlb-stl</t>
        </is>
      </c>
      <c r="AT62" s="24" t="inlineStr">
        <is>
          <t>St. Louis Cardinals</t>
        </is>
      </c>
      <c r="AU62" s="24" t="inlineStr">
        <is>
          <t>St. Louis Cardinals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95b84332c75d2ce54036eb8de6ada9c78d0f80228c50825c0347281a8b9b49c7</t>
        </is>
      </c>
      <c r="BB62" s="24" t="inlineStr">
        <is>
          <t>flat_probability_shrinkage_toward_half</t>
        </is>
      </c>
      <c r="BC62" s="24" t="inlineStr">
        <is>
          <t>measured-edge-totals-v3</t>
        </is>
      </c>
      <c r="BD62" s="24" t="inlineStr">
        <is>
          <t>95b84332c75d2ce54036eb8de6ada9c78d0f80228c50825c0347281a8b9b49c7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2026-08-10T16:35:10.426686Z</t>
        </is>
      </c>
      <c r="BI62" s="24" t="inlineStr">
        <is>
          <t>["same_event","same_team_same_day","same_league_same_day"]</t>
        </is>
      </c>
      <c r="BJ62" s="25" t="n">
        <v>9.5</v>
      </c>
      <c r="BK62" s="26" t="n">
        <v>-125</v>
      </c>
      <c r="BL62" s="27" t="n">
        <v>1.8</v>
      </c>
      <c r="BM62" s="28" t="n">
        <v>0.555556</v>
      </c>
      <c r="BN62" s="28" t="n">
        <v>0.552239</v>
      </c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False</t>
        </is>
      </c>
    </row>
    <row r="63" ht="36" customHeight="1">
      <c r="A63" s="24" t="inlineStr">
        <is>
          <t>333fb38f8c60430b</t>
        </is>
      </c>
      <c r="B63" s="24" t="inlineStr">
        <is>
          <t>2026-08-10T16:35:10.426686Z</t>
        </is>
      </c>
      <c r="C63" s="24" t="inlineStr">
        <is>
          <t>2026-08-11T01:38Z</t>
        </is>
      </c>
      <c r="D63" s="24" t="inlineStr">
        <is>
          <t>401816478</t>
        </is>
      </c>
      <c r="E63" s="24" t="inlineStr">
        <is>
          <t>MLB</t>
        </is>
      </c>
      <c r="F63" s="24" t="inlineStr">
        <is>
          <t>Texas Rangers</t>
        </is>
      </c>
      <c r="G63" s="24" t="inlineStr">
        <is>
          <t>Los Angeles Angels</t>
        </is>
      </c>
      <c r="H63" s="24" t="inlineStr">
        <is>
          <t>spread</t>
        </is>
      </c>
      <c r="I63" s="24" t="inlineStr">
        <is>
          <t>home</t>
        </is>
      </c>
      <c r="J63" s="25" t="n">
        <v>1.5</v>
      </c>
      <c r="K63" s="24" t="inlineStr">
        <is>
          <t>polymarket_us</t>
        </is>
      </c>
      <c r="L63" s="26" t="n">
        <v>-156</v>
      </c>
      <c r="M63" s="27" t="n">
        <v>1.641026</v>
      </c>
      <c r="N63" s="28" t="n">
        <v>0.609375</v>
      </c>
      <c r="O63" s="28" t="n">
        <v>0.624526</v>
      </c>
      <c r="P63" s="28" t="n">
        <v>0.042131</v>
      </c>
      <c r="Q63" s="28" t="n">
        <v>0.015151</v>
      </c>
      <c r="R63" s="26" t="n">
        <v>34</v>
      </c>
      <c r="S63" s="29" t="n">
        <v>1.5</v>
      </c>
      <c r="T63" s="24" t="inlineStr">
        <is>
          <t>measured-edge-margin-v3</t>
        </is>
      </c>
      <c r="U63" s="24" t="inlineStr">
        <is>
          <t>open</t>
        </is>
      </c>
      <c r="V63" s="24" t="n"/>
      <c r="W63" s="26" t="n"/>
      <c r="X63" s="26" t="n"/>
      <c r="Y63" s="25" t="n"/>
      <c r="Z63" s="26" t="n"/>
      <c r="AA63" s="28" t="n"/>
      <c r="AB63" s="28" t="n"/>
      <c r="AC63" s="30" t="n"/>
      <c r="AD63" s="24" t="n"/>
      <c r="AE63" s="31" t="inlineStr">
        <is>
          <t>Measured Edge Margin: Trend Engine projected 4.49-4.65; raw selected-side p=0.6827, calibrated p=0.6245.</t>
        </is>
      </c>
      <c r="AF63" s="31" t="inlineStr">
        <is>
          <t>Research-only; lineup, bullpen, park, weather, xFIP, and wRC+ may be neutral fallbacks; market availability and BBO depth may change before first pitch.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mlb-tex</t>
        </is>
      </c>
      <c r="AQ63" s="24" t="inlineStr">
        <is>
          <t>Texas Rangers</t>
        </is>
      </c>
      <c r="AR63" s="24" t="inlineStr">
        <is>
          <t>Texas Rangers</t>
        </is>
      </c>
      <c r="AS63" s="24" t="inlineStr">
        <is>
          <t>mlb-laa</t>
        </is>
      </c>
      <c r="AT63" s="24" t="inlineStr">
        <is>
          <t>Los Angeles Angels</t>
        </is>
      </c>
      <c r="AU63" s="24" t="inlineStr">
        <is>
          <t>Los Angeles Angels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dd339a2eed50d7d83ab2127837995ddab82e879afd27f5414bb6c1f9cd60ba4c</t>
        </is>
      </c>
      <c r="BB63" s="24" t="inlineStr">
        <is>
          <t>flat_probability_shrinkage_toward_half</t>
        </is>
      </c>
      <c r="BC63" s="24" t="inlineStr">
        <is>
          <t>measured-edge-margin-v3</t>
        </is>
      </c>
      <c r="BD63" s="24" t="inlineStr">
        <is>
          <t>dd339a2eed50d7d83ab2127837995ddab82e879afd27f5414bb6c1f9cd60ba4c</t>
        </is>
      </c>
      <c r="BE63" s="24" t="inlineStr">
        <is>
          <t>v3</t>
        </is>
      </c>
      <c r="BF63" s="24" t="inlineStr">
        <is>
          <t>1</t>
        </is>
      </c>
      <c r="BG63" s="24" t="inlineStr">
        <is>
          <t>measured-edge-paired-v1</t>
        </is>
      </c>
      <c r="BH63" s="24" t="inlineStr">
        <is>
          <t>2026-08-10T16:35:10.426686Z</t>
        </is>
      </c>
      <c r="BI63" s="24" t="inlineStr">
        <is>
          <t>["same_event","same_team_same_day","same_league_same_day"]</t>
        </is>
      </c>
      <c r="BJ63" s="25" t="n">
        <v>1.5</v>
      </c>
      <c r="BK63" s="26" t="n">
        <v>-156</v>
      </c>
      <c r="BL63" s="27" t="n">
        <v>1.641026</v>
      </c>
      <c r="BM63" s="28" t="n">
        <v>0.609375</v>
      </c>
      <c r="BN63" s="28" t="n">
        <v>0.606965</v>
      </c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</row>
    <row r="64" ht="36" customHeight="1">
      <c r="A64" s="24" t="inlineStr">
        <is>
          <t>8bc5d5c325484816</t>
        </is>
      </c>
      <c r="B64" s="24" t="inlineStr">
        <is>
          <t>2026-08-10T16:35:10.426686Z</t>
        </is>
      </c>
      <c r="C64" s="24" t="inlineStr">
        <is>
          <t>2026-08-11T01:38Z</t>
        </is>
      </c>
      <c r="D64" s="24" t="inlineStr">
        <is>
          <t>401816478</t>
        </is>
      </c>
      <c r="E64" s="24" t="inlineStr">
        <is>
          <t>MLB</t>
        </is>
      </c>
      <c r="F64" s="24" t="inlineStr">
        <is>
          <t>Texas Rangers</t>
        </is>
      </c>
      <c r="G64" s="24" t="inlineStr">
        <is>
          <t>Los Angeles Angels</t>
        </is>
      </c>
      <c r="H64" s="24" t="inlineStr">
        <is>
          <t>total</t>
        </is>
      </c>
      <c r="I64" s="24" t="inlineStr">
        <is>
          <t>over</t>
        </is>
      </c>
      <c r="J64" s="25" t="n">
        <v>7.5</v>
      </c>
      <c r="K64" s="24" t="inlineStr">
        <is>
          <t>polymarket_us</t>
        </is>
      </c>
      <c r="L64" s="26" t="n">
        <v>-115</v>
      </c>
      <c r="M64" s="27" t="n">
        <v>1.869565</v>
      </c>
      <c r="N64" s="28" t="n">
        <v>0.534884</v>
      </c>
      <c r="O64" s="28" t="n">
        <v>0.533074</v>
      </c>
      <c r="P64" s="28" t="n">
        <v>0.042131</v>
      </c>
      <c r="Q64" s="28" t="n">
        <v>-0.00181</v>
      </c>
      <c r="R64" s="26" t="n">
        <v>25</v>
      </c>
      <c r="S64" s="29" t="n">
        <v>1</v>
      </c>
      <c r="T64" s="24" t="inlineStr">
        <is>
          <t>measured-edge-totals-v3</t>
        </is>
      </c>
      <c r="U64" s="24" t="inlineStr">
        <is>
          <t>open</t>
        </is>
      </c>
      <c r="V64" s="24" t="n"/>
      <c r="W64" s="26" t="n"/>
      <c r="X64" s="26" t="n"/>
      <c r="Y64" s="25" t="n"/>
      <c r="Z64" s="26" t="n"/>
      <c r="AA64" s="28" t="n"/>
      <c r="AB64" s="28" t="n"/>
      <c r="AC64" s="30" t="n"/>
      <c r="AD64" s="24" t="n"/>
      <c r="AE64" s="31" t="inlineStr">
        <is>
          <t>Measured Edge Totals: Trend Engine projected 4.49-4.65; raw selected-side p=0.6098, calibrated p=0.5331.</t>
        </is>
      </c>
      <c r="AF64" s="31" t="inlineStr">
        <is>
          <t>Research-only; lineup, bullpen, park, weather, xFIP, and wRC+ may be neutral fallbacks; market availability and BBO depth may change before first pitch.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mlb-tex</t>
        </is>
      </c>
      <c r="AQ64" s="24" t="inlineStr">
        <is>
          <t>Texas Rangers</t>
        </is>
      </c>
      <c r="AR64" s="24" t="inlineStr">
        <is>
          <t>Texas Rangers</t>
        </is>
      </c>
      <c r="AS64" s="24" t="inlineStr">
        <is>
          <t>mlb-laa</t>
        </is>
      </c>
      <c r="AT64" s="24" t="inlineStr">
        <is>
          <t>Los Angeles Angels</t>
        </is>
      </c>
      <c r="AU64" s="24" t="inlineStr">
        <is>
          <t>Los Angeles Angels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95b84332c75d2ce54036eb8de6ada9c78d0f80228c50825c0347281a8b9b49c7</t>
        </is>
      </c>
      <c r="BB64" s="24" t="inlineStr">
        <is>
          <t>flat_probability_shrinkage_toward_half</t>
        </is>
      </c>
      <c r="BC64" s="24" t="inlineStr">
        <is>
          <t>measured-edge-totals-v3</t>
        </is>
      </c>
      <c r="BD64" s="24" t="inlineStr">
        <is>
          <t>95b84332c75d2ce54036eb8de6ada9c78d0f80228c50825c0347281a8b9b49c7</t>
        </is>
      </c>
      <c r="BE64" s="24" t="inlineStr">
        <is>
          <t>v3</t>
        </is>
      </c>
      <c r="BF64" s="24" t="inlineStr">
        <is>
          <t>1</t>
        </is>
      </c>
      <c r="BG64" s="24" t="inlineStr">
        <is>
          <t>measured-edge-paired-v1</t>
        </is>
      </c>
      <c r="BH64" s="24" t="inlineStr">
        <is>
          <t>2026-08-10T16:35:10.426686Z</t>
        </is>
      </c>
      <c r="BI64" s="24" t="inlineStr">
        <is>
          <t>["same_event","same_team_same_day","same_league_same_day"]</t>
        </is>
      </c>
      <c r="BJ64" s="25" t="n">
        <v>7.5</v>
      </c>
      <c r="BK64" s="26" t="n">
        <v>-115</v>
      </c>
      <c r="BL64" s="27" t="n">
        <v>1.869565</v>
      </c>
      <c r="BM64" s="28" t="n">
        <v>0.534884</v>
      </c>
      <c r="BN64" s="28" t="n">
        <v>0.532338</v>
      </c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</row>
    <row r="65" ht="36" customHeight="1">
      <c r="A65" s="24" t="inlineStr">
        <is>
          <t>68a261682a5d40c4</t>
        </is>
      </c>
      <c r="B65" s="24" t="inlineStr">
        <is>
          <t>2026-08-10T16:35:10.426686Z</t>
        </is>
      </c>
      <c r="C65" s="24" t="inlineStr">
        <is>
          <t>2026-08-11T01:40Z</t>
        </is>
      </c>
      <c r="D65" s="24" t="inlineStr">
        <is>
          <t>401816473</t>
        </is>
      </c>
      <c r="E65" s="24" t="inlineStr">
        <is>
          <t>MLB</t>
        </is>
      </c>
      <c r="F65" s="24" t="inlineStr">
        <is>
          <t>Colorado Rockies</t>
        </is>
      </c>
      <c r="G65" s="24" t="inlineStr">
        <is>
          <t>Arizona Diamondbacks</t>
        </is>
      </c>
      <c r="H65" s="24" t="inlineStr">
        <is>
          <t>spread</t>
        </is>
      </c>
      <c r="I65" s="24" t="inlineStr">
        <is>
          <t>away</t>
        </is>
      </c>
      <c r="J65" s="25" t="n">
        <v>1.5</v>
      </c>
      <c r="K65" s="24" t="inlineStr">
        <is>
          <t>polymarket_us</t>
        </is>
      </c>
      <c r="L65" s="26" t="n">
        <v>-111</v>
      </c>
      <c r="M65" s="27" t="n">
        <v>1.900901</v>
      </c>
      <c r="N65" s="28" t="n">
        <v>0.526066</v>
      </c>
      <c r="O65" s="28" t="n">
        <v>0.578395</v>
      </c>
      <c r="P65" s="28" t="n">
        <v>0.05172</v>
      </c>
      <c r="Q65" s="28" t="n">
        <v>0.052329</v>
      </c>
      <c r="R65" s="26" t="n">
        <v>47</v>
      </c>
      <c r="S65" s="29" t="n">
        <v>1.25</v>
      </c>
      <c r="T65" s="24" t="inlineStr">
        <is>
          <t>measured-edge-margin-v3</t>
        </is>
      </c>
      <c r="U65" s="24" t="inlineStr">
        <is>
          <t>open</t>
        </is>
      </c>
      <c r="V65" s="24" t="n"/>
      <c r="W65" s="26" t="n"/>
      <c r="X65" s="26" t="n"/>
      <c r="Y65" s="25" t="n"/>
      <c r="Z65" s="26" t="n"/>
      <c r="AA65" s="28" t="n"/>
      <c r="AB65" s="28" t="n"/>
      <c r="AC65" s="30" t="n"/>
      <c r="AD65" s="24" t="n"/>
      <c r="AE65" s="31" t="inlineStr">
        <is>
          <t>Measured Edge Margin: Trend Engine projected 4.36-4.90; raw selected-side p=0.6150, calibrated p=0.5784.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mlb-col</t>
        </is>
      </c>
      <c r="AQ65" s="24" t="inlineStr">
        <is>
          <t>Colorado Rockies</t>
        </is>
      </c>
      <c r="AR65" s="24" t="inlineStr">
        <is>
          <t>Colorado Rockies</t>
        </is>
      </c>
      <c r="AS65" s="24" t="inlineStr">
        <is>
          <t>mlb-ari</t>
        </is>
      </c>
      <c r="AT65" s="24" t="inlineStr">
        <is>
          <t>Arizona Diamondbacks</t>
        </is>
      </c>
      <c r="AU65" s="24" t="inlineStr">
        <is>
          <t>Arizona Diamondbacks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dd339a2eed50d7d83ab2127837995ddab82e879afd27f5414bb6c1f9cd60ba4c</t>
        </is>
      </c>
      <c r="BB65" s="24" t="inlineStr">
        <is>
          <t>flat_probability_shrinkage_toward_half</t>
        </is>
      </c>
      <c r="BC65" s="24" t="inlineStr">
        <is>
          <t>measured-edge-margin-v3</t>
        </is>
      </c>
      <c r="BD65" s="24" t="inlineStr">
        <is>
          <t>dd339a2eed50d7d83ab2127837995ddab82e879afd27f5414bb6c1f9cd60ba4c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2026-08-10T16:35:10.426686Z</t>
        </is>
      </c>
      <c r="BI65" s="24" t="inlineStr">
        <is>
          <t>["same_event","same_team_same_day","same_league_same_day"]</t>
        </is>
      </c>
      <c r="BJ65" s="25" t="n">
        <v>1.5</v>
      </c>
      <c r="BK65" s="26" t="n">
        <v>-111</v>
      </c>
      <c r="BL65" s="27" t="n">
        <v>1.900901</v>
      </c>
      <c r="BM65" s="28" t="n">
        <v>0.526066</v>
      </c>
      <c r="BN65" s="28" t="n">
        <v>0.522388</v>
      </c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</row>
    <row r="66" ht="36" customHeight="1">
      <c r="A66" s="24" t="inlineStr">
        <is>
          <t>3993bbda7f5843c3</t>
        </is>
      </c>
      <c r="B66" s="24" t="inlineStr">
        <is>
          <t>2026-08-10T16:35:10.426686Z</t>
        </is>
      </c>
      <c r="C66" s="24" t="inlineStr">
        <is>
          <t>2026-08-11T01:40Z</t>
        </is>
      </c>
      <c r="D66" s="24" t="inlineStr">
        <is>
          <t>401816473</t>
        </is>
      </c>
      <c r="E66" s="24" t="inlineStr">
        <is>
          <t>MLB</t>
        </is>
      </c>
      <c r="F66" s="24" t="inlineStr">
        <is>
          <t>Colorado Rockies</t>
        </is>
      </c>
      <c r="G66" s="24" t="inlineStr">
        <is>
          <t>Arizona Diamondbacks</t>
        </is>
      </c>
      <c r="H66" s="24" t="inlineStr">
        <is>
          <t>total</t>
        </is>
      </c>
      <c r="I66" s="24" t="inlineStr">
        <is>
          <t>over</t>
        </is>
      </c>
      <c r="J66" s="25" t="n">
        <v>8.5</v>
      </c>
      <c r="K66" s="24" t="inlineStr">
        <is>
          <t>polymarket_us</t>
        </is>
      </c>
      <c r="L66" s="26" t="n">
        <v>-113</v>
      </c>
      <c r="M66" s="27" t="n">
        <v>1.884956</v>
      </c>
      <c r="N66" s="28" t="n">
        <v>0.530516</v>
      </c>
      <c r="O66" s="28" t="n">
        <v>0.514618</v>
      </c>
      <c r="P66" s="28" t="n">
        <v>0.05172</v>
      </c>
      <c r="Q66" s="28" t="n">
        <v>-0.015898</v>
      </c>
      <c r="R66" s="26" t="n">
        <v>13</v>
      </c>
      <c r="S66" s="29" t="n">
        <v>1</v>
      </c>
      <c r="T66" s="24" t="inlineStr">
        <is>
          <t>measured-edge-totals-v3</t>
        </is>
      </c>
      <c r="U66" s="24" t="inlineStr">
        <is>
          <t>open</t>
        </is>
      </c>
      <c r="V66" s="24" t="n"/>
      <c r="W66" s="26" t="n"/>
      <c r="X66" s="26" t="n"/>
      <c r="Y66" s="25" t="n"/>
      <c r="Z66" s="26" t="n"/>
      <c r="AA66" s="28" t="n"/>
      <c r="AB66" s="28" t="n"/>
      <c r="AC66" s="30" t="n"/>
      <c r="AD66" s="24" t="n"/>
      <c r="AE66" s="31" t="inlineStr">
        <is>
          <t>Measured Edge Totals: Trend Engine projected 4.36-4.90; raw selected-side p=0.5355, calibrated p=0.5146.</t>
        </is>
      </c>
      <c r="AF66" s="31" t="inlineStr">
        <is>
          <t>Research-only; lineup, bullpen, park, weather, xFIP, and wRC+ may be neutral fallbacks; market availability and BBO depth may change before first pitch.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mlb-col</t>
        </is>
      </c>
      <c r="AQ66" s="24" t="inlineStr">
        <is>
          <t>Colorado Rockies</t>
        </is>
      </c>
      <c r="AR66" s="24" t="inlineStr">
        <is>
          <t>Colorado Rockies</t>
        </is>
      </c>
      <c r="AS66" s="24" t="inlineStr">
        <is>
          <t>mlb-ari</t>
        </is>
      </c>
      <c r="AT66" s="24" t="inlineStr">
        <is>
          <t>Arizona Diamondbacks</t>
        </is>
      </c>
      <c r="AU66" s="24" t="inlineStr">
        <is>
          <t>Arizona Diamondbacks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95b84332c75d2ce54036eb8de6ada9c78d0f80228c50825c0347281a8b9b49c7</t>
        </is>
      </c>
      <c r="BB66" s="24" t="inlineStr">
        <is>
          <t>flat_probability_shrinkage_toward_half</t>
        </is>
      </c>
      <c r="BC66" s="24" t="inlineStr">
        <is>
          <t>measured-edge-totals-v3</t>
        </is>
      </c>
      <c r="BD66" s="24" t="inlineStr">
        <is>
          <t>95b84332c75d2ce54036eb8de6ada9c78d0f80228c50825c0347281a8b9b49c7</t>
        </is>
      </c>
      <c r="BE66" s="24" t="inlineStr">
        <is>
          <t>v3</t>
        </is>
      </c>
      <c r="BF66" s="24" t="inlineStr">
        <is>
          <t>1</t>
        </is>
      </c>
      <c r="BG66" s="24" t="inlineStr">
        <is>
          <t>measured-edge-paired-v1</t>
        </is>
      </c>
      <c r="BH66" s="24" t="inlineStr">
        <is>
          <t>2026-08-10T16:35:10.426686Z</t>
        </is>
      </c>
      <c r="BI66" s="24" t="inlineStr">
        <is>
          <t>["same_event","same_team_same_day","same_league_same_day"]</t>
        </is>
      </c>
      <c r="BJ66" s="25" t="n">
        <v>8.5</v>
      </c>
      <c r="BK66" s="26" t="n">
        <v>-113</v>
      </c>
      <c r="BL66" s="27" t="n">
        <v>1.884956</v>
      </c>
      <c r="BM66" s="28" t="n">
        <v>0.530516</v>
      </c>
      <c r="BN66" s="28" t="n">
        <v>0.527363</v>
      </c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</row>
    <row r="67" ht="36" customHeight="1">
      <c r="A67" s="24" t="inlineStr">
        <is>
          <t>2063c081a59d43be</t>
        </is>
      </c>
      <c r="B67" s="24" t="inlineStr">
        <is>
          <t>2026-08-10T16:35:10.426686Z</t>
        </is>
      </c>
      <c r="C67" s="24" t="inlineStr">
        <is>
          <t>2026-08-11T01:40Z</t>
        </is>
      </c>
      <c r="D67" s="24" t="inlineStr">
        <is>
          <t>401816476</t>
        </is>
      </c>
      <c r="E67" s="24" t="inlineStr">
        <is>
          <t>MLB</t>
        </is>
      </c>
      <c r="F67" s="24" t="inlineStr">
        <is>
          <t>Milwaukee Brewers</t>
        </is>
      </c>
      <c r="G67" s="24" t="inlineStr">
        <is>
          <t>San Diego Padres</t>
        </is>
      </c>
      <c r="H67" s="24" t="inlineStr">
        <is>
          <t>spread</t>
        </is>
      </c>
      <c r="I67" s="24" t="inlineStr">
        <is>
          <t>home</t>
        </is>
      </c>
      <c r="J67" s="25" t="n">
        <v>1.5</v>
      </c>
      <c r="K67" s="24" t="inlineStr">
        <is>
          <t>polymarket_us</t>
        </is>
      </c>
      <c r="L67" s="26" t="n">
        <v>-163</v>
      </c>
      <c r="M67" s="27" t="n">
        <v>1.613497</v>
      </c>
      <c r="N67" s="28" t="n">
        <v>0.619772</v>
      </c>
      <c r="O67" s="28" t="n">
        <v>0.591614</v>
      </c>
      <c r="P67" s="28" t="n">
        <v>0.042131</v>
      </c>
      <c r="Q67" s="28" t="n">
        <v>-0.028158</v>
      </c>
      <c r="R67" s="26" t="n">
        <v>12</v>
      </c>
      <c r="S67" s="29" t="n">
        <v>1.25</v>
      </c>
      <c r="T67" s="24" t="inlineStr">
        <is>
          <t>measured-edge-margin-v3</t>
        </is>
      </c>
      <c r="U67" s="24" t="inlineStr">
        <is>
          <t>open</t>
        </is>
      </c>
      <c r="V67" s="24" t="n"/>
      <c r="W67" s="26" t="n"/>
      <c r="X67" s="26" t="n"/>
      <c r="Y67" s="25" t="n"/>
      <c r="Z67" s="26" t="n"/>
      <c r="AA67" s="28" t="n"/>
      <c r="AB67" s="28" t="n"/>
      <c r="AC67" s="30" t="n"/>
      <c r="AD67" s="24" t="n"/>
      <c r="AE67" s="31" t="inlineStr">
        <is>
          <t>Measured Edge Margin: Trend Engine projected 4.48-4.13; raw selected-side p=0.6344, calibrated p=0.5916.</t>
        </is>
      </c>
      <c r="AF67" s="31" t="inlineStr">
        <is>
          <t>Research-only; lineup, bullpen, park, weather, xFIP, and wRC+ may be neutral fallbacks; market availability and BBO depth may change before first pitch.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mlb-mil</t>
        </is>
      </c>
      <c r="AQ67" s="24" t="inlineStr">
        <is>
          <t>Milwaukee Brewers</t>
        </is>
      </c>
      <c r="AR67" s="24" t="inlineStr">
        <is>
          <t>Milwaukee Brewers</t>
        </is>
      </c>
      <c r="AS67" s="24" t="inlineStr">
        <is>
          <t>mlb-sd</t>
        </is>
      </c>
      <c r="AT67" s="24" t="inlineStr">
        <is>
          <t>San Diego Padres</t>
        </is>
      </c>
      <c r="AU67" s="24" t="inlineStr">
        <is>
          <t>San Diego Padres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dd339a2eed50d7d83ab2127837995ddab82e879afd27f5414bb6c1f9cd60ba4c</t>
        </is>
      </c>
      <c r="BB67" s="24" t="inlineStr">
        <is>
          <t>flat_probability_shrinkage_toward_half</t>
        </is>
      </c>
      <c r="BC67" s="24" t="inlineStr">
        <is>
          <t>measured-edge-margin-v3</t>
        </is>
      </c>
      <c r="BD67" s="24" t="inlineStr">
        <is>
          <t>dd339a2eed50d7d83ab2127837995ddab82e879afd27f5414bb6c1f9cd60ba4c</t>
        </is>
      </c>
      <c r="BE67" s="24" t="inlineStr">
        <is>
          <t>v3</t>
        </is>
      </c>
      <c r="BF67" s="24" t="inlineStr">
        <is>
          <t>1</t>
        </is>
      </c>
      <c r="BG67" s="24" t="inlineStr">
        <is>
          <t>measured-edge-paired-v1</t>
        </is>
      </c>
      <c r="BH67" s="24" t="inlineStr">
        <is>
          <t>2026-08-10T16:35:10.426686Z</t>
        </is>
      </c>
      <c r="BI67" s="24" t="inlineStr">
        <is>
          <t>["same_event","same_team_same_day","same_league_same_day"]</t>
        </is>
      </c>
      <c r="BJ67" s="25" t="n">
        <v>1.5</v>
      </c>
      <c r="BK67" s="26" t="n">
        <v>-163</v>
      </c>
      <c r="BL67" s="27" t="n">
        <v>1.613497</v>
      </c>
      <c r="BM67" s="28" t="n">
        <v>0.619772</v>
      </c>
      <c r="BN67" s="28" t="n">
        <v>0.616915</v>
      </c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False</t>
        </is>
      </c>
    </row>
    <row r="68" ht="36" customHeight="1">
      <c r="A68" s="24" t="inlineStr">
        <is>
          <t>e8120b117d2c438c</t>
        </is>
      </c>
      <c r="B68" s="24" t="inlineStr">
        <is>
          <t>2026-08-10T16:35:10.426686Z</t>
        </is>
      </c>
      <c r="C68" s="24" t="inlineStr">
        <is>
          <t>2026-08-11T01:40Z</t>
        </is>
      </c>
      <c r="D68" s="24" t="inlineStr">
        <is>
          <t>401816476</t>
        </is>
      </c>
      <c r="E68" s="24" t="inlineStr">
        <is>
          <t>MLB</t>
        </is>
      </c>
      <c r="F68" s="24" t="inlineStr">
        <is>
          <t>Milwaukee Brewers</t>
        </is>
      </c>
      <c r="G68" s="24" t="inlineStr">
        <is>
          <t>San Diego Padres</t>
        </is>
      </c>
      <c r="H68" s="24" t="inlineStr">
        <is>
          <t>total</t>
        </is>
      </c>
      <c r="I68" s="24" t="inlineStr">
        <is>
          <t>over</t>
        </is>
      </c>
      <c r="J68" s="25" t="n">
        <v>7.5</v>
      </c>
      <c r="K68" s="24" t="inlineStr">
        <is>
          <t>polymarket_us</t>
        </is>
      </c>
      <c r="L68" s="26" t="n">
        <v>122</v>
      </c>
      <c r="M68" s="27" t="n">
        <v>2.22</v>
      </c>
      <c r="N68" s="28" t="n">
        <v>0.45045</v>
      </c>
      <c r="O68" s="28" t="n">
        <v>0.520903</v>
      </c>
      <c r="P68" s="28" t="n">
        <v>0.042131</v>
      </c>
      <c r="Q68" s="28" t="n">
        <v>0.070453</v>
      </c>
      <c r="R68" s="26" t="n">
        <v>61</v>
      </c>
      <c r="S68" s="29" t="n">
        <v>1</v>
      </c>
      <c r="T68" s="24" t="inlineStr">
        <is>
          <t>measured-edge-totals-v3</t>
        </is>
      </c>
      <c r="U68" s="24" t="inlineStr">
        <is>
          <t>open</t>
        </is>
      </c>
      <c r="V68" s="24" t="n"/>
      <c r="W68" s="26" t="n"/>
      <c r="X68" s="26" t="n"/>
      <c r="Y68" s="25" t="n"/>
      <c r="Z68" s="26" t="n"/>
      <c r="AA68" s="28" t="n"/>
      <c r="AB68" s="28" t="n"/>
      <c r="AC68" s="30" t="n"/>
      <c r="AD68" s="24" t="n"/>
      <c r="AE68" s="31" t="inlineStr">
        <is>
          <t>Measured Edge Totals: Trend Engine projected 4.48-4.13; raw selected-side p=0.5608, calibrated p=0.5209.</t>
        </is>
      </c>
      <c r="AF68" s="31" t="inlineStr">
        <is>
          <t>Research-only; lineup, bullpen, park, weather, xFIP, and wRC+ may be neutral fallbacks; market availability and BBO depth may change before first pitch.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mlb-mil</t>
        </is>
      </c>
      <c r="AQ68" s="24" t="inlineStr">
        <is>
          <t>Milwaukee Brewers</t>
        </is>
      </c>
      <c r="AR68" s="24" t="inlineStr">
        <is>
          <t>Milwaukee Brewers</t>
        </is>
      </c>
      <c r="AS68" s="24" t="inlineStr">
        <is>
          <t>mlb-sd</t>
        </is>
      </c>
      <c r="AT68" s="24" t="inlineStr">
        <is>
          <t>San Diego Padres</t>
        </is>
      </c>
      <c r="AU68" s="24" t="inlineStr">
        <is>
          <t>San Diego Padres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95b84332c75d2ce54036eb8de6ada9c78d0f80228c50825c0347281a8b9b49c7</t>
        </is>
      </c>
      <c r="BB68" s="24" t="inlineStr">
        <is>
          <t>flat_probability_shrinkage_toward_half</t>
        </is>
      </c>
      <c r="BC68" s="24" t="inlineStr">
        <is>
          <t>measured-edge-totals-v3</t>
        </is>
      </c>
      <c r="BD68" s="24" t="inlineStr">
        <is>
          <t>95b84332c75d2ce54036eb8de6ada9c78d0f80228c50825c0347281a8b9b49c7</t>
        </is>
      </c>
      <c r="BE68" s="24" t="inlineStr">
        <is>
          <t>v3</t>
        </is>
      </c>
      <c r="BF68" s="24" t="inlineStr">
        <is>
          <t>1</t>
        </is>
      </c>
      <c r="BG68" s="24" t="inlineStr">
        <is>
          <t>measured-edge-paired-v1</t>
        </is>
      </c>
      <c r="BH68" s="24" t="inlineStr">
        <is>
          <t>2026-08-10T16:35:10.426686Z</t>
        </is>
      </c>
      <c r="BI68" s="24" t="inlineStr">
        <is>
          <t>["same_event","same_team_same_day","same_league_same_day"]</t>
        </is>
      </c>
      <c r="BJ68" s="25" t="n">
        <v>7.5</v>
      </c>
      <c r="BK68" s="26" t="n">
        <v>122</v>
      </c>
      <c r="BL68" s="27" t="n">
        <v>2.22</v>
      </c>
      <c r="BM68" s="28" t="n">
        <v>0.45045</v>
      </c>
      <c r="BN68" s="28" t="n">
        <v>0.447761</v>
      </c>
      <c r="BO68" s="28" t="n"/>
      <c r="BP68" s="25" t="n"/>
      <c r="BQ68" s="27" t="n"/>
      <c r="BR68" s="28" t="n"/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</row>
    <row r="69" ht="36" customHeight="1">
      <c r="A69" s="24" t="inlineStr">
        <is>
          <t>41fda822265d4e50</t>
        </is>
      </c>
      <c r="B69" s="24" t="inlineStr">
        <is>
          <t>2026-08-10T16:35:10.426686Z</t>
        </is>
      </c>
      <c r="C69" s="24" t="inlineStr">
        <is>
          <t>2026-08-11T01:40Z</t>
        </is>
      </c>
      <c r="D69" s="24" t="inlineStr">
        <is>
          <t>401816477</t>
        </is>
      </c>
      <c r="E69" s="24" t="inlineStr">
        <is>
          <t>MLB</t>
        </is>
      </c>
      <c r="F69" s="24" t="inlineStr">
        <is>
          <t>Tampa Bay Rays</t>
        </is>
      </c>
      <c r="G69" s="24" t="inlineStr">
        <is>
          <t>Athletics</t>
        </is>
      </c>
      <c r="H69" s="24" t="inlineStr">
        <is>
          <t>spread</t>
        </is>
      </c>
      <c r="I69" s="24" t="inlineStr">
        <is>
          <t>home</t>
        </is>
      </c>
      <c r="J69" s="25" t="n">
        <v>1.5</v>
      </c>
      <c r="K69" s="24" t="inlineStr">
        <is>
          <t>polymarket_us</t>
        </is>
      </c>
      <c r="L69" s="26" t="n">
        <v>-106</v>
      </c>
      <c r="M69" s="27" t="n">
        <v>1.943396</v>
      </c>
      <c r="N69" s="28" t="n">
        <v>0.514563</v>
      </c>
      <c r="O69" s="28" t="n">
        <v>0.645922</v>
      </c>
      <c r="P69" s="28" t="n">
        <v>0.042131</v>
      </c>
      <c r="Q69" s="28" t="n">
        <v>0.131359</v>
      </c>
      <c r="R69" s="26" t="n">
        <v>91</v>
      </c>
      <c r="S69" s="29" t="n">
        <v>1.75</v>
      </c>
      <c r="T69" s="24" t="inlineStr">
        <is>
          <t>measured-edge-margin-v3</t>
        </is>
      </c>
      <c r="U69" s="24" t="inlineStr">
        <is>
          <t>open</t>
        </is>
      </c>
      <c r="V69" s="24" t="n"/>
      <c r="W69" s="26" t="n"/>
      <c r="X69" s="26" t="n"/>
      <c r="Y69" s="25" t="n"/>
      <c r="Z69" s="26" t="n"/>
      <c r="AA69" s="28" t="n"/>
      <c r="AB69" s="28" t="n"/>
      <c r="AC69" s="30" t="n"/>
      <c r="AD69" s="24" t="n"/>
      <c r="AE69" s="31" t="inlineStr">
        <is>
          <t>Measured Edge Margin: Trend Engine projected 4.71-5.38; raw selected-side p=0.7141, calibrated p=0.6459.</t>
        </is>
      </c>
      <c r="AF69" s="31" t="inlineStr">
        <is>
          <t>Research-only; lineup, bullpen, park, weather, xFIP, and wRC+ may be neutral fallbacks; market availability and BBO depth may change before first pitch.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mlb-tb</t>
        </is>
      </c>
      <c r="AQ69" s="24" t="inlineStr">
        <is>
          <t>Tampa Bay Rays</t>
        </is>
      </c>
      <c r="AR69" s="24" t="inlineStr">
        <is>
          <t>Tampa Bay Rays</t>
        </is>
      </c>
      <c r="AS69" s="24" t="inlineStr">
        <is>
          <t>mlb-ath</t>
        </is>
      </c>
      <c r="AT69" s="24" t="inlineStr">
        <is>
          <t>Athletics</t>
        </is>
      </c>
      <c r="AU69" s="24" t="inlineStr">
        <is>
          <t>Athletics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dd339a2eed50d7d83ab2127837995ddab82e879afd27f5414bb6c1f9cd60ba4c</t>
        </is>
      </c>
      <c r="BB69" s="24" t="inlineStr">
        <is>
          <t>flat_probability_shrinkage_toward_half</t>
        </is>
      </c>
      <c r="BC69" s="24" t="inlineStr">
        <is>
          <t>measured-edge-margin-v3</t>
        </is>
      </c>
      <c r="BD69" s="24" t="inlineStr">
        <is>
          <t>dd339a2eed50d7d83ab2127837995ddab82e879afd27f5414bb6c1f9cd60ba4c</t>
        </is>
      </c>
      <c r="BE69" s="24" t="inlineStr">
        <is>
          <t>v3</t>
        </is>
      </c>
      <c r="BF69" s="24" t="inlineStr">
        <is>
          <t>1</t>
        </is>
      </c>
      <c r="BG69" s="24" t="inlineStr">
        <is>
          <t>measured-edge-paired-v1</t>
        </is>
      </c>
      <c r="BH69" s="24" t="inlineStr">
        <is>
          <t>2026-08-10T16:35:10.426686Z</t>
        </is>
      </c>
      <c r="BI69" s="24" t="inlineStr">
        <is>
          <t>["same_event","same_team_same_day","same_league_same_day"]</t>
        </is>
      </c>
      <c r="BJ69" s="25" t="n">
        <v>1.5</v>
      </c>
      <c r="BK69" s="26" t="n">
        <v>-106</v>
      </c>
      <c r="BL69" s="27" t="n">
        <v>1.943396</v>
      </c>
      <c r="BM69" s="28" t="n">
        <v>0.514563</v>
      </c>
      <c r="BN69" s="28" t="n">
        <v>0.5124379999999999</v>
      </c>
      <c r="BO69" s="28" t="n"/>
      <c r="BP69" s="25" t="n"/>
      <c r="BQ69" s="27" t="n"/>
      <c r="BR69" s="28" t="n"/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</row>
    <row r="70" ht="36" customHeight="1">
      <c r="A70" s="24" t="inlineStr">
        <is>
          <t>67eb2e89c4774b3d</t>
        </is>
      </c>
      <c r="B70" s="24" t="inlineStr">
        <is>
          <t>2026-08-10T16:35:10.426686Z</t>
        </is>
      </c>
      <c r="C70" s="24" t="inlineStr">
        <is>
          <t>2026-08-11T01:40Z</t>
        </is>
      </c>
      <c r="D70" s="24" t="inlineStr">
        <is>
          <t>401816477</t>
        </is>
      </c>
      <c r="E70" s="24" t="inlineStr">
        <is>
          <t>MLB</t>
        </is>
      </c>
      <c r="F70" s="24" t="inlineStr">
        <is>
          <t>Tampa Bay Rays</t>
        </is>
      </c>
      <c r="G70" s="24" t="inlineStr">
        <is>
          <t>Athletics</t>
        </is>
      </c>
      <c r="H70" s="24" t="inlineStr">
        <is>
          <t>total</t>
        </is>
      </c>
      <c r="I70" s="24" t="inlineStr">
        <is>
          <t>over</t>
        </is>
      </c>
      <c r="J70" s="25" t="n">
        <v>9.5</v>
      </c>
      <c r="K70" s="24" t="inlineStr">
        <is>
          <t>polymarket_us</t>
        </is>
      </c>
      <c r="L70" s="26" t="n">
        <v>-113</v>
      </c>
      <c r="M70" s="27" t="n">
        <v>1.884956</v>
      </c>
      <c r="N70" s="28" t="n">
        <v>0.530516</v>
      </c>
      <c r="O70" s="28" t="n">
        <v>0.505862</v>
      </c>
      <c r="P70" s="28" t="n">
        <v>0.042131</v>
      </c>
      <c r="Q70" s="28" t="n">
        <v>-0.024654</v>
      </c>
      <c r="R70" s="26" t="n">
        <v>15</v>
      </c>
      <c r="S70" s="29" t="n">
        <v>1</v>
      </c>
      <c r="T70" s="24" t="inlineStr">
        <is>
          <t>measured-edge-totals-v3</t>
        </is>
      </c>
      <c r="U70" s="24" t="inlineStr">
        <is>
          <t>open</t>
        </is>
      </c>
      <c r="V70" s="24" t="n"/>
      <c r="W70" s="26" t="n"/>
      <c r="X70" s="26" t="n"/>
      <c r="Y70" s="25" t="n"/>
      <c r="Z70" s="26" t="n"/>
      <c r="AA70" s="28" t="n"/>
      <c r="AB70" s="28" t="n"/>
      <c r="AC70" s="30" t="n"/>
      <c r="AD70" s="24" t="n"/>
      <c r="AE70" s="31" t="inlineStr">
        <is>
          <t>Measured Edge Totals: Trend Engine projected 4.71-5.38; raw selected-side p=0.5002, calibrated p=0.5059.</t>
        </is>
      </c>
      <c r="AF70" s="31" t="inlineStr">
        <is>
          <t>Research-only; lineup, bullpen, park, weather, xFIP, and wRC+ may be neutral fallbacks; market availability and BBO depth may change before first pitch.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mlb-tb</t>
        </is>
      </c>
      <c r="AQ70" s="24" t="inlineStr">
        <is>
          <t>Tampa Bay Rays</t>
        </is>
      </c>
      <c r="AR70" s="24" t="inlineStr">
        <is>
          <t>Tampa Bay Rays</t>
        </is>
      </c>
      <c r="AS70" s="24" t="inlineStr">
        <is>
          <t>mlb-ath</t>
        </is>
      </c>
      <c r="AT70" s="24" t="inlineStr">
        <is>
          <t>Athletics</t>
        </is>
      </c>
      <c r="AU70" s="24" t="inlineStr">
        <is>
          <t>Athletics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95b84332c75d2ce54036eb8de6ada9c78d0f80228c50825c0347281a8b9b49c7</t>
        </is>
      </c>
      <c r="BB70" s="24" t="inlineStr">
        <is>
          <t>flat_probability_shrinkage_toward_half</t>
        </is>
      </c>
      <c r="BC70" s="24" t="inlineStr">
        <is>
          <t>measured-edge-totals-v3</t>
        </is>
      </c>
      <c r="BD70" s="24" t="inlineStr">
        <is>
          <t>95b84332c75d2ce54036eb8de6ada9c78d0f80228c50825c0347281a8b9b49c7</t>
        </is>
      </c>
      <c r="BE70" s="24" t="inlineStr">
        <is>
          <t>v3</t>
        </is>
      </c>
      <c r="BF70" s="24" t="inlineStr">
        <is>
          <t>1</t>
        </is>
      </c>
      <c r="BG70" s="24" t="inlineStr">
        <is>
          <t>measured-edge-paired-v1</t>
        </is>
      </c>
      <c r="BH70" s="24" t="inlineStr">
        <is>
          <t>2026-08-10T16:35:10.426686Z</t>
        </is>
      </c>
      <c r="BI70" s="24" t="inlineStr">
        <is>
          <t>["same_event","same_team_same_day","same_league_same_day"]</t>
        </is>
      </c>
      <c r="BJ70" s="25" t="n">
        <v>9.5</v>
      </c>
      <c r="BK70" s="26" t="n">
        <v>-113</v>
      </c>
      <c r="BL70" s="27" t="n">
        <v>1.884956</v>
      </c>
      <c r="BM70" s="28" t="n">
        <v>0.530516</v>
      </c>
      <c r="BN70" s="28" t="n">
        <v>0.524752</v>
      </c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False</t>
        </is>
      </c>
    </row>
    <row r="71" ht="36" customHeight="1">
      <c r="A71" s="24" t="inlineStr">
        <is>
          <t>830c9632059c42c9</t>
        </is>
      </c>
      <c r="B71" s="24" t="inlineStr">
        <is>
          <t>2026-08-10T16:35:10.426686Z</t>
        </is>
      </c>
      <c r="C71" s="24" t="inlineStr">
        <is>
          <t>2026-08-11T01:45Z</t>
        </is>
      </c>
      <c r="D71" s="24" t="inlineStr">
        <is>
          <t>401816474</t>
        </is>
      </c>
      <c r="E71" s="24" t="inlineStr">
        <is>
          <t>MLB</t>
        </is>
      </c>
      <c r="F71" s="24" t="inlineStr">
        <is>
          <t>Houston Astros</t>
        </is>
      </c>
      <c r="G71" s="24" t="inlineStr">
        <is>
          <t>San Francisco Giants</t>
        </is>
      </c>
      <c r="H71" s="24" t="inlineStr">
        <is>
          <t>spread</t>
        </is>
      </c>
      <c r="I71" s="24" t="inlineStr">
        <is>
          <t>home</t>
        </is>
      </c>
      <c r="J71" s="25" t="n">
        <v>1.5</v>
      </c>
      <c r="K71" s="24" t="inlineStr">
        <is>
          <t>polymarket_us</t>
        </is>
      </c>
      <c r="L71" s="26" t="n">
        <v>-127</v>
      </c>
      <c r="M71" s="27" t="n">
        <v>1.787402</v>
      </c>
      <c r="N71" s="28" t="n">
        <v>0.5594710000000001</v>
      </c>
      <c r="O71" s="28" t="n">
        <v>0.621289</v>
      </c>
      <c r="P71" s="28" t="n">
        <v>0.05172</v>
      </c>
      <c r="Q71" s="28" t="n">
        <v>0.061818</v>
      </c>
      <c r="R71" s="26" t="n">
        <v>51</v>
      </c>
      <c r="S71" s="29" t="n">
        <v>1.5</v>
      </c>
      <c r="T71" s="24" t="inlineStr">
        <is>
          <t>measured-edge-margin-v3</t>
        </is>
      </c>
      <c r="U71" s="24" t="inlineStr">
        <is>
          <t>open</t>
        </is>
      </c>
      <c r="V71" s="24" t="n"/>
      <c r="W71" s="26" t="n"/>
      <c r="X71" s="26" t="n"/>
      <c r="Y71" s="25" t="n"/>
      <c r="Z71" s="26" t="n"/>
      <c r="AA71" s="28" t="n"/>
      <c r="AB71" s="28" t="n"/>
      <c r="AC71" s="30" t="n"/>
      <c r="AD71" s="24" t="n"/>
      <c r="AE71" s="31" t="inlineStr">
        <is>
          <t>Measured Edge Margin: Trend Engine projected 4.41-4.47; raw selected-side p=0.6780, calibrated p=0.6213.</t>
        </is>
      </c>
      <c r="AF71" s="31" t="inlineStr">
        <is>
          <t>Research-only; lineup, bullpen, park, weather, xFIP, and wRC+ may be neutral fallbacks; market availability and BBO depth may change before first pitch.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mlb-hou</t>
        </is>
      </c>
      <c r="AQ71" s="24" t="inlineStr">
        <is>
          <t>Houston Astros</t>
        </is>
      </c>
      <c r="AR71" s="24" t="inlineStr">
        <is>
          <t>Houston Astros</t>
        </is>
      </c>
      <c r="AS71" s="24" t="inlineStr">
        <is>
          <t>mlb-sf</t>
        </is>
      </c>
      <c r="AT71" s="24" t="inlineStr">
        <is>
          <t>San Francisco Giants</t>
        </is>
      </c>
      <c r="AU71" s="24" t="inlineStr">
        <is>
          <t>San Francisco Giants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dd339a2eed50d7d83ab2127837995ddab82e879afd27f5414bb6c1f9cd60ba4c</t>
        </is>
      </c>
      <c r="BB71" s="24" t="inlineStr">
        <is>
          <t>flat_probability_shrinkage_toward_half</t>
        </is>
      </c>
      <c r="BC71" s="24" t="inlineStr">
        <is>
          <t>measured-edge-margin-v3</t>
        </is>
      </c>
      <c r="BD71" s="24" t="inlineStr">
        <is>
          <t>dd339a2eed50d7d83ab2127837995ddab82e879afd27f5414bb6c1f9cd60ba4c</t>
        </is>
      </c>
      <c r="BE71" s="24" t="inlineStr">
        <is>
          <t>v3</t>
        </is>
      </c>
      <c r="BF71" s="24" t="inlineStr">
        <is>
          <t>1</t>
        </is>
      </c>
      <c r="BG71" s="24" t="inlineStr">
        <is>
          <t>measured-edge-paired-v1</t>
        </is>
      </c>
      <c r="BH71" s="24" t="inlineStr">
        <is>
          <t>2026-08-10T16:35:10.426686Z</t>
        </is>
      </c>
      <c r="BI71" s="24" t="inlineStr">
        <is>
          <t>["same_event","same_team_same_day","same_league_same_day"]</t>
        </is>
      </c>
      <c r="BJ71" s="25" t="n">
        <v>1.5</v>
      </c>
      <c r="BK71" s="26" t="n">
        <v>-127</v>
      </c>
      <c r="BL71" s="27" t="n">
        <v>1.787402</v>
      </c>
      <c r="BM71" s="28" t="n">
        <v>0.5594710000000001</v>
      </c>
      <c r="BN71" s="28" t="n">
        <v>0.557214</v>
      </c>
      <c r="BO71" s="28" t="n"/>
      <c r="BP71" s="25" t="n"/>
      <c r="BQ71" s="27" t="n"/>
      <c r="BR71" s="28" t="n"/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</row>
    <row r="72" ht="36" customHeight="1">
      <c r="A72" s="24" t="inlineStr">
        <is>
          <t>f04ad344d9194687</t>
        </is>
      </c>
      <c r="B72" s="24" t="inlineStr">
        <is>
          <t>2026-08-10T16:35:10.426686Z</t>
        </is>
      </c>
      <c r="C72" s="24" t="inlineStr">
        <is>
          <t>2026-08-11T01:45Z</t>
        </is>
      </c>
      <c r="D72" s="24" t="inlineStr">
        <is>
          <t>401816474</t>
        </is>
      </c>
      <c r="E72" s="24" t="inlineStr">
        <is>
          <t>MLB</t>
        </is>
      </c>
      <c r="F72" s="24" t="inlineStr">
        <is>
          <t>Houston Astros</t>
        </is>
      </c>
      <c r="G72" s="24" t="inlineStr">
        <is>
          <t>San Francisco Giants</t>
        </is>
      </c>
      <c r="H72" s="24" t="inlineStr">
        <is>
          <t>total</t>
        </is>
      </c>
      <c r="I72" s="24" t="inlineStr">
        <is>
          <t>over</t>
        </is>
      </c>
      <c r="J72" s="25" t="n">
        <v>8.5</v>
      </c>
      <c r="K72" s="24" t="inlineStr">
        <is>
          <t>polymarket_us</t>
        </is>
      </c>
      <c r="L72" s="26" t="n">
        <v>108</v>
      </c>
      <c r="M72" s="27" t="n">
        <v>2.08</v>
      </c>
      <c r="N72" s="28" t="n">
        <v>0.480769</v>
      </c>
      <c r="O72" s="28" t="n">
        <v>0.507502</v>
      </c>
      <c r="P72" s="28" t="n">
        <v>0.05172</v>
      </c>
      <c r="Q72" s="28" t="n">
        <v>0.026733</v>
      </c>
      <c r="R72" s="26" t="n">
        <v>34</v>
      </c>
      <c r="S72" s="29" t="n">
        <v>1</v>
      </c>
      <c r="T72" s="24" t="inlineStr">
        <is>
          <t>measured-edge-totals-v3</t>
        </is>
      </c>
      <c r="U72" s="24" t="inlineStr">
        <is>
          <t>open</t>
        </is>
      </c>
      <c r="V72" s="24" t="n"/>
      <c r="W72" s="26" t="n"/>
      <c r="X72" s="26" t="n"/>
      <c r="Y72" s="25" t="n"/>
      <c r="Z72" s="26" t="n"/>
      <c r="AA72" s="28" t="n"/>
      <c r="AB72" s="28" t="n"/>
      <c r="AC72" s="30" t="n"/>
      <c r="AD72" s="24" t="n"/>
      <c r="AE72" s="31" t="inlineStr">
        <is>
          <t>Measured Edge Totals: Trend Engine projected 4.41-4.47; raw selected-side p=0.5069, calibrated p=0.5075.</t>
        </is>
      </c>
      <c r="AF72" s="31" t="inlineStr">
        <is>
          <t>Research-only; lineup, bullpen, park, weather, xFIP, and wRC+ may be neutral fallbacks; market availability and BBO depth may change before first pitch.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mlb-hou</t>
        </is>
      </c>
      <c r="AQ72" s="24" t="inlineStr">
        <is>
          <t>Houston Astros</t>
        </is>
      </c>
      <c r="AR72" s="24" t="inlineStr">
        <is>
          <t>Houston Astros</t>
        </is>
      </c>
      <c r="AS72" s="24" t="inlineStr">
        <is>
          <t>mlb-sf</t>
        </is>
      </c>
      <c r="AT72" s="24" t="inlineStr">
        <is>
          <t>San Francisco Giants</t>
        </is>
      </c>
      <c r="AU72" s="24" t="inlineStr">
        <is>
          <t>San Francisco Giants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95b84332c75d2ce54036eb8de6ada9c78d0f80228c50825c0347281a8b9b49c7</t>
        </is>
      </c>
      <c r="BB72" s="24" t="inlineStr">
        <is>
          <t>flat_probability_shrinkage_toward_half</t>
        </is>
      </c>
      <c r="BC72" s="24" t="inlineStr">
        <is>
          <t>measured-edge-totals-v3</t>
        </is>
      </c>
      <c r="BD72" s="24" t="inlineStr">
        <is>
          <t>95b84332c75d2ce54036eb8de6ada9c78d0f80228c50825c0347281a8b9b49c7</t>
        </is>
      </c>
      <c r="BE72" s="24" t="inlineStr">
        <is>
          <t>v3</t>
        </is>
      </c>
      <c r="BF72" s="24" t="inlineStr">
        <is>
          <t>1</t>
        </is>
      </c>
      <c r="BG72" s="24" t="inlineStr">
        <is>
          <t>measured-edge-paired-v1</t>
        </is>
      </c>
      <c r="BH72" s="24" t="inlineStr">
        <is>
          <t>2026-08-10T16:35:10.426686Z</t>
        </is>
      </c>
      <c r="BI72" s="24" t="inlineStr">
        <is>
          <t>["same_event","same_team_same_day","same_league_same_day"]</t>
        </is>
      </c>
      <c r="BJ72" s="25" t="n">
        <v>8.5</v>
      </c>
      <c r="BK72" s="26" t="n">
        <v>108</v>
      </c>
      <c r="BL72" s="27" t="n">
        <v>2.08</v>
      </c>
      <c r="BM72" s="28" t="n">
        <v>0.480769</v>
      </c>
      <c r="BN72" s="28" t="n">
        <v>0.477612</v>
      </c>
      <c r="BO72" s="28" t="n"/>
      <c r="BP72" s="25" t="n"/>
      <c r="BQ72" s="27" t="n"/>
      <c r="BR72" s="28" t="n"/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</row>
    <row r="73" ht="36" customHeight="1">
      <c r="A73" s="24" t="inlineStr">
        <is>
          <t>655b4376df724abd</t>
        </is>
      </c>
      <c r="B73" s="24" t="inlineStr">
        <is>
          <t>2026-08-10T16:35:10.426686Z</t>
        </is>
      </c>
      <c r="C73" s="24" t="inlineStr">
        <is>
          <t>2026-08-11T02:10Z</t>
        </is>
      </c>
      <c r="D73" s="24" t="inlineStr">
        <is>
          <t>401816475</t>
        </is>
      </c>
      <c r="E73" s="24" t="inlineStr">
        <is>
          <t>MLB</t>
        </is>
      </c>
      <c r="F73" s="24" t="inlineStr">
        <is>
          <t>Kansas City Royals</t>
        </is>
      </c>
      <c r="G73" s="24" t="inlineStr">
        <is>
          <t>Los Angeles Dodgers</t>
        </is>
      </c>
      <c r="H73" s="24" t="inlineStr">
        <is>
          <t>spread</t>
        </is>
      </c>
      <c r="I73" s="24" t="inlineStr">
        <is>
          <t>away</t>
        </is>
      </c>
      <c r="J73" s="25" t="n">
        <v>1.5</v>
      </c>
      <c r="K73" s="24" t="inlineStr">
        <is>
          <t>polymarket_us</t>
        </is>
      </c>
      <c r="L73" s="26" t="n">
        <v>113</v>
      </c>
      <c r="M73" s="27" t="n">
        <v>2.13</v>
      </c>
      <c r="N73" s="28" t="n">
        <v>0.469484</v>
      </c>
      <c r="O73" s="28" t="n">
        <v>0.570286</v>
      </c>
      <c r="P73" s="28" t="n">
        <v>0.042131</v>
      </c>
      <c r="Q73" s="28" t="n">
        <v>0.100802</v>
      </c>
      <c r="R73" s="26" t="n">
        <v>76</v>
      </c>
      <c r="S73" s="29" t="n">
        <v>1.25</v>
      </c>
      <c r="T73" s="24" t="inlineStr">
        <is>
          <t>measured-edge-margin-v3</t>
        </is>
      </c>
      <c r="U73" s="24" t="inlineStr">
        <is>
          <t>open</t>
        </is>
      </c>
      <c r="V73" s="24" t="n"/>
      <c r="W73" s="26" t="n"/>
      <c r="X73" s="26" t="n"/>
      <c r="Y73" s="25" t="n"/>
      <c r="Z73" s="26" t="n"/>
      <c r="AA73" s="28" t="n"/>
      <c r="AB73" s="28" t="n"/>
      <c r="AC73" s="30" t="n"/>
      <c r="AD73" s="24" t="n"/>
      <c r="AE73" s="31" t="inlineStr">
        <is>
          <t>Measured Edge Margin: Trend Engine projected 4.01-4.71; raw selected-side p=0.6031, calibrated p=0.5703.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mlb-kc</t>
        </is>
      </c>
      <c r="AQ73" s="24" t="inlineStr">
        <is>
          <t>Kansas City Royals</t>
        </is>
      </c>
      <c r="AR73" s="24" t="inlineStr">
        <is>
          <t>Kansas City Royals</t>
        </is>
      </c>
      <c r="AS73" s="24" t="inlineStr">
        <is>
          <t>mlb-lad</t>
        </is>
      </c>
      <c r="AT73" s="24" t="inlineStr">
        <is>
          <t>Los Angeles Dodgers</t>
        </is>
      </c>
      <c r="AU73" s="24" t="inlineStr">
        <is>
          <t>Los Angeles Dodgers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dd339a2eed50d7d83ab2127837995ddab82e879afd27f5414bb6c1f9cd60ba4c</t>
        </is>
      </c>
      <c r="BB73" s="24" t="inlineStr">
        <is>
          <t>flat_probability_shrinkage_toward_half</t>
        </is>
      </c>
      <c r="BC73" s="24" t="inlineStr">
        <is>
          <t>measured-edge-margin-v3</t>
        </is>
      </c>
      <c r="BD73" s="24" t="inlineStr">
        <is>
          <t>dd339a2eed50d7d83ab2127837995ddab82e879afd27f5414bb6c1f9cd60ba4c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2026-08-10T16:35:10.426686Z</t>
        </is>
      </c>
      <c r="BI73" s="24" t="inlineStr">
        <is>
          <t>["same_event","same_team_same_day","same_league_same_day"]</t>
        </is>
      </c>
      <c r="BJ73" s="25" t="n">
        <v>1.5</v>
      </c>
      <c r="BK73" s="26" t="n">
        <v>113</v>
      </c>
      <c r="BL73" s="27" t="n">
        <v>2.13</v>
      </c>
      <c r="BM73" s="28" t="n">
        <v>0.469484</v>
      </c>
      <c r="BN73" s="28" t="n">
        <v>0.467662</v>
      </c>
      <c r="BO73" s="28" t="n"/>
      <c r="BP73" s="25" t="n"/>
      <c r="BQ73" s="27" t="n"/>
      <c r="BR73" s="28" t="n"/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</row>
    <row r="74" ht="36" customHeight="1">
      <c r="A74" s="24" t="inlineStr">
        <is>
          <t>d6a49e6055564cc1</t>
        </is>
      </c>
      <c r="B74" s="24" t="inlineStr">
        <is>
          <t>2026-08-10T16:35:10.426686Z</t>
        </is>
      </c>
      <c r="C74" s="24" t="inlineStr">
        <is>
          <t>2026-08-11T02:10Z</t>
        </is>
      </c>
      <c r="D74" s="24" t="inlineStr">
        <is>
          <t>401816475</t>
        </is>
      </c>
      <c r="E74" s="24" t="inlineStr">
        <is>
          <t>MLB</t>
        </is>
      </c>
      <c r="F74" s="24" t="inlineStr">
        <is>
          <t>Kansas City Royals</t>
        </is>
      </c>
      <c r="G74" s="24" t="inlineStr">
        <is>
          <t>Los Angeles Dodgers</t>
        </is>
      </c>
      <c r="H74" s="24" t="inlineStr">
        <is>
          <t>total</t>
        </is>
      </c>
      <c r="I74" s="24" t="inlineStr">
        <is>
          <t>over</t>
        </is>
      </c>
      <c r="J74" s="25" t="n">
        <v>7.5</v>
      </c>
      <c r="K74" s="24" t="inlineStr">
        <is>
          <t>polymarket_us</t>
        </is>
      </c>
      <c r="L74" s="26" t="n">
        <v>115</v>
      </c>
      <c r="M74" s="27" t="n">
        <v>2.15</v>
      </c>
      <c r="N74" s="28" t="n">
        <v>0.465116</v>
      </c>
      <c r="O74" s="28" t="n">
        <v>0.522468</v>
      </c>
      <c r="P74" s="28" t="n">
        <v>0.042131</v>
      </c>
      <c r="Q74" s="28" t="n">
        <v>0.057352</v>
      </c>
      <c r="R74" s="26" t="n">
        <v>55</v>
      </c>
      <c r="S74" s="29" t="n">
        <v>1</v>
      </c>
      <c r="T74" s="24" t="inlineStr">
        <is>
          <t>measured-edge-totals-v3</t>
        </is>
      </c>
      <c r="U74" s="24" t="inlineStr">
        <is>
          <t>open</t>
        </is>
      </c>
      <c r="V74" s="24" t="n"/>
      <c r="W74" s="26" t="n"/>
      <c r="X74" s="26" t="n"/>
      <c r="Y74" s="25" t="n"/>
      <c r="Z74" s="26" t="n"/>
      <c r="AA74" s="28" t="n"/>
      <c r="AB74" s="28" t="n"/>
      <c r="AC74" s="30" t="n"/>
      <c r="AD74" s="24" t="n"/>
      <c r="AE74" s="31" t="inlineStr">
        <is>
          <t>Measured Edge Totals: Trend Engine projected 4.01-4.71; raw selected-side p=0.5671, calibrated p=0.5225.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mlb-kc</t>
        </is>
      </c>
      <c r="AQ74" s="24" t="inlineStr">
        <is>
          <t>Kansas City Royals</t>
        </is>
      </c>
      <c r="AR74" s="24" t="inlineStr">
        <is>
          <t>Kansas City Royals</t>
        </is>
      </c>
      <c r="AS74" s="24" t="inlineStr">
        <is>
          <t>mlb-lad</t>
        </is>
      </c>
      <c r="AT74" s="24" t="inlineStr">
        <is>
          <t>Los Angeles Dodgers</t>
        </is>
      </c>
      <c r="AU74" s="24" t="inlineStr">
        <is>
          <t>Los Angeles Dodgers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95b84332c75d2ce54036eb8de6ada9c78d0f80228c50825c0347281a8b9b49c7</t>
        </is>
      </c>
      <c r="BB74" s="24" t="inlineStr">
        <is>
          <t>flat_probability_shrinkage_toward_half</t>
        </is>
      </c>
      <c r="BC74" s="24" t="inlineStr">
        <is>
          <t>measured-edge-totals-v3</t>
        </is>
      </c>
      <c r="BD74" s="24" t="inlineStr">
        <is>
          <t>95b84332c75d2ce54036eb8de6ada9c78d0f80228c50825c0347281a8b9b49c7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2026-08-10T16:35:10.426686Z</t>
        </is>
      </c>
      <c r="BI74" s="24" t="inlineStr">
        <is>
          <t>["same_event","same_team_same_day","same_league_same_day"]</t>
        </is>
      </c>
      <c r="BJ74" s="25" t="n">
        <v>7.5</v>
      </c>
      <c r="BK74" s="26" t="n">
        <v>115</v>
      </c>
      <c r="BL74" s="27" t="n">
        <v>2.15</v>
      </c>
      <c r="BM74" s="28" t="n">
        <v>0.465116</v>
      </c>
      <c r="BN74" s="28" t="n">
        <v>0.462687</v>
      </c>
      <c r="BO74" s="28" t="n"/>
      <c r="BP74" s="25" t="n"/>
      <c r="BQ74" s="27" t="n"/>
      <c r="BR74" s="28" t="n"/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2026-08-10T16:37:23Z</dcterms:created>
  <dcterms:modified xmlns:dcterms="http://purl.org/dc/terms/" xmlns:xsi="http://www.w3.org/2001/XMLSchema-instance" xsi:type="dcterms:W3CDTF">2026-08-10T16:37:23Z</dcterms:modified>
</cp:coreProperties>
</file>