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67" headerRowCount="1">
  <autoFilter ref="A1:CS6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COUNTA('Picks'!$A$2:$A$67)</f>
        <v/>
      </c>
      <c r="C4" s="6">
        <f>COUNTIF('Picks'!$U$2:$U$67,"open")</f>
        <v/>
      </c>
      <c r="E4" s="6">
        <f>COUNTIF('Picks'!$U$2:$U$67,"settled")</f>
        <v/>
      </c>
      <c r="G4" s="6">
        <f>IF(COUNTIFS('Picks'!$U$2:$U$67,"settled",'Picks'!$V$2:$V$67,"win")+COUNTIFS('Picks'!$U$2:$U$67,"settled",'Picks'!$V$2:$V$67,"loss")&gt;=$L$2,"Ready","Insufficient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COUNTIF('Picks'!$BX$2:$BX$67,"&gt;0")</f>
        <v/>
      </c>
      <c r="C7" s="6">
        <f>COUNTIFS('Picks'!$BX$2:$BX$67,"&gt;0",'Picks'!$V$2:$V$67,"win")&amp;"-"&amp;COUNTIFS('Picks'!$BX$2:$BX$67,"&gt;0",'Picks'!$V$2:$V$67,"loss")</f>
        <v/>
      </c>
      <c r="E7" s="7">
        <f>IFERROR(COUNTIFS('Picks'!$BX$2:$BX$67,"&gt;0",'Picks'!$V$2:$V$67,"win")/(COUNTIFS('Picks'!$BX$2:$BX$67,"&gt;0",'Picks'!$V$2:$V$67,"win")+COUNTIFS('Picks'!$BX$2:$BX$67,"&gt;0",'Picks'!$V$2:$V$67,"loss")),0)</f>
        <v/>
      </c>
      <c r="G7" s="7">
        <f>IFERROR(SUM('Picks'!$BY$2:$BY$67)/SUM('Picks'!$BX$2:$BX$67),0)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SUM('Picks'!$BY$2:$BY$67)</f>
        <v/>
      </c>
      <c r="C10" s="9">
        <f>IFERROR(AVERAGEIF('Picks'!$AB$2:$AB$67,"&lt;&gt;",'Picks'!$AB$2:$AB$67),0)</f>
        <v/>
      </c>
      <c r="E10" s="6">
        <f>COUNTIFS('Picks'!$AM$2:$AM$67,"QUALIFIED_SHADOW_CALL",'Picks'!$U$2:$U$67,"settled")</f>
        <v/>
      </c>
      <c r="G10" s="8">
        <f>SUMIFS('Picks'!$AC$2:$AC$67,'Picks'!$AM$2:$AM$67,"QUALIFIED_SHADOW_CALL")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COUNTIFS('Picks'!$H$2:$H$67,$A14,'Picks'!$U$2:$U$67,"settled")</f>
        <v/>
      </c>
      <c r="C14" s="13">
        <f>COUNTIFS('Picks'!$H$2:$H$67,$A14,'Picks'!$U$2:$U$67,"settled",'Picks'!$V$2:$V$67,"win")</f>
        <v/>
      </c>
      <c r="D14" s="13">
        <f>COUNTIFS('Picks'!$H$2:$H$67,$A14,'Picks'!$U$2:$U$67,"settled",'Picks'!$V$2:$V$67,"loss")</f>
        <v/>
      </c>
      <c r="E14" s="14">
        <f>IFERROR(C14/(C14+D14),0)</f>
        <v/>
      </c>
      <c r="F14" s="15">
        <f>SUMIFS('Picks'!$BY$2:$BY$67,'Picks'!$H$2:$H$67,$A14)</f>
        <v/>
      </c>
      <c r="G14" s="16">
        <f>IFERROR(AVERAGEIFS('Picks'!$AB$2:$AB$67,'Picks'!$H$2:$H$67,$A14,'Picks'!$U$2:$U$67,"settled"),0)</f>
        <v/>
      </c>
    </row>
    <row r="15">
      <c r="A15" s="17" t="inlineStr">
        <is>
          <t>spread</t>
        </is>
      </c>
      <c r="B15" s="18">
        <f>COUNTIFS('Picks'!$H$2:$H$67,$A15,'Picks'!$U$2:$U$67,"settled")</f>
        <v/>
      </c>
      <c r="C15" s="18">
        <f>COUNTIFS('Picks'!$H$2:$H$67,$A15,'Picks'!$U$2:$U$67,"settled",'Picks'!$V$2:$V$67,"win")</f>
        <v/>
      </c>
      <c r="D15" s="18">
        <f>COUNTIFS('Picks'!$H$2:$H$67,$A15,'Picks'!$U$2:$U$67,"settled",'Picks'!$V$2:$V$67,"loss")</f>
        <v/>
      </c>
      <c r="E15" s="19">
        <f>IFERROR(C15/(C15+D15),0)</f>
        <v/>
      </c>
      <c r="F15" s="20">
        <f>SUMIFS('Picks'!$BY$2:$BY$67,'Picks'!$H$2:$H$67,$A15)</f>
        <v/>
      </c>
      <c r="G15" s="21">
        <f>IFERROR(AVERAGEIFS('Picks'!$AB$2:$AB$67,'Picks'!$H$2:$H$67,$A15,'Picks'!$U$2:$U$67,"settled"),0)</f>
        <v/>
      </c>
    </row>
    <row r="16">
      <c r="A16" s="12" t="inlineStr">
        <is>
          <t>total</t>
        </is>
      </c>
      <c r="B16" s="13">
        <f>COUNTIFS('Picks'!$H$2:$H$67,$A16,'Picks'!$U$2:$U$67,"settled")</f>
        <v/>
      </c>
      <c r="C16" s="13">
        <f>COUNTIFS('Picks'!$H$2:$H$67,$A16,'Picks'!$U$2:$U$67,"settled",'Picks'!$V$2:$V$67,"win")</f>
        <v/>
      </c>
      <c r="D16" s="13">
        <f>COUNTIFS('Picks'!$H$2:$H$67,$A16,'Picks'!$U$2:$U$67,"settled",'Picks'!$V$2:$V$67,"loss")</f>
        <v/>
      </c>
      <c r="E16" s="14">
        <f>IFERROR(C16/(C16+D16),0)</f>
        <v/>
      </c>
      <c r="F16" s="15">
        <f>SUMIFS('Picks'!$BY$2:$BY$67,'Picks'!$H$2:$H$67,$A16)</f>
        <v/>
      </c>
      <c r="G16" s="16">
        <f>IFERROR(AVERAGEIFS('Picks'!$AB$2:$AB$67,'Picks'!$H$2:$H$67,$A16,'Picks'!$U$2:$U$67,"settled"),0)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c740af404ec64599</t>
        </is>
      </c>
      <c r="B2" s="24" t="inlineStr">
        <is>
          <t>2026-08-02T17:28:55.256054Z</t>
        </is>
      </c>
      <c r="C2" s="24" t="inlineStr">
        <is>
          <t>2026-08-02T17:35Z</t>
        </is>
      </c>
      <c r="D2" s="24" t="inlineStr">
        <is>
          <t>401816365</t>
        </is>
      </c>
      <c r="E2" s="24" t="inlineStr">
        <is>
          <t>MLB</t>
        </is>
      </c>
      <c r="F2" s="24" t="inlineStr">
        <is>
          <t>Philadelphia Phillies</t>
        </is>
      </c>
      <c r="G2" s="24" t="inlineStr">
        <is>
          <t>Baltimore Orioles</t>
        </is>
      </c>
      <c r="H2" s="24" t="inlineStr">
        <is>
          <t>spread</t>
        </is>
      </c>
      <c r="I2" s="24" t="inlineStr">
        <is>
          <t>home</t>
        </is>
      </c>
      <c r="J2" s="25" t="n">
        <v>1.5</v>
      </c>
      <c r="K2" s="24" t="inlineStr">
        <is>
          <t>polymarket_us</t>
        </is>
      </c>
      <c r="L2" s="26" t="n">
        <v>-130</v>
      </c>
      <c r="M2" s="27" t="n">
        <v>1.769231</v>
      </c>
      <c r="N2" s="28" t="n">
        <v>0.565217</v>
      </c>
      <c r="O2" s="28" t="n">
        <v>0.614868</v>
      </c>
      <c r="P2" s="28" t="n">
        <v>0.042131</v>
      </c>
      <c r="Q2" s="28" t="n">
        <v>0.049651</v>
      </c>
      <c r="R2" s="26" t="n">
        <v>51</v>
      </c>
      <c r="S2" s="29" t="n">
        <v>1.5</v>
      </c>
      <c r="T2" s="24" t="inlineStr">
        <is>
          <t>measured-edge-margin-v2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>
        <v>1.5</v>
      </c>
      <c r="Z2" s="26" t="n">
        <v>-130</v>
      </c>
      <c r="AA2" s="28" t="n">
        <v>0.5649999999999999</v>
      </c>
      <c r="AB2" s="28" t="n">
        <v>-0.000217</v>
      </c>
      <c r="AC2" s="30" t="n">
        <v>-1.5</v>
      </c>
      <c r="AD2" s="24" t="inlineStr">
        <is>
          <t>2026-08-02T23:11:38.634889Z</t>
        </is>
      </c>
      <c r="AE2" s="31" t="inlineStr">
        <is>
          <t>Measured Edge Margin: Trend Engine projected 4.52-4.52; raw selected-side p=0.6750, calibrated p=0.6149.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mlb-phi</t>
        </is>
      </c>
      <c r="AQ2" s="24" t="inlineStr">
        <is>
          <t>Philadelphia Phillies</t>
        </is>
      </c>
      <c r="AR2" s="24" t="inlineStr">
        <is>
          <t>Philadelphia Phillies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8360b122264b796b0fb193095cfe4506c7e064e5f3f8c0a659aec41efd08dd25</t>
        </is>
      </c>
      <c r="BB2" s="24" t="inlineStr">
        <is>
          <t>flat_probability_shrinkage_toward_half</t>
        </is>
      </c>
      <c r="BC2" s="24" t="inlineStr">
        <is>
          <t>measured-edge-margin-v2</t>
        </is>
      </c>
      <c r="BD2" s="24" t="inlineStr">
        <is>
          <t>8360b122264b796b0fb193095cfe4506c7e064e5f3f8c0a659aec41efd08dd25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2026-08-02T17:28:55.256054Z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-130</v>
      </c>
      <c r="BL2" s="27" t="n">
        <v>1.769231</v>
      </c>
      <c r="BM2" s="28" t="n">
        <v>0.565217</v>
      </c>
      <c r="BN2" s="28" t="n">
        <v>0.562189</v>
      </c>
      <c r="BO2" s="28" t="n"/>
      <c r="BP2" s="25" t="n"/>
      <c r="BQ2" s="27" t="n">
        <v>1.769231</v>
      </c>
      <c r="BR2" s="28" t="n">
        <v>0.5649999999999999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c9e690e0dd8f4f19</t>
        </is>
      </c>
      <c r="B3" s="24" t="inlineStr">
        <is>
          <t>2026-08-02T17:28:55.256054Z</t>
        </is>
      </c>
      <c r="C3" s="24" t="inlineStr">
        <is>
          <t>2026-08-02T17:35Z</t>
        </is>
      </c>
      <c r="D3" s="24" t="inlineStr">
        <is>
          <t>401816365</t>
        </is>
      </c>
      <c r="E3" s="24" t="inlineStr">
        <is>
          <t>MLB</t>
        </is>
      </c>
      <c r="F3" s="24" t="inlineStr">
        <is>
          <t>Philadelphia Phillies</t>
        </is>
      </c>
      <c r="G3" s="24" t="inlineStr">
        <is>
          <t>Baltimore Orioles</t>
        </is>
      </c>
      <c r="H3" s="24" t="inlineStr">
        <is>
          <t>total</t>
        </is>
      </c>
      <c r="I3" s="24" t="inlineStr">
        <is>
          <t>over</t>
        </is>
      </c>
      <c r="J3" s="25" t="n">
        <v>8.5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0.515126</v>
      </c>
      <c r="P3" s="28" t="n">
        <v>0.042131</v>
      </c>
      <c r="Q3" s="28" t="n">
        <v>0.045642</v>
      </c>
      <c r="R3" s="26" t="n">
        <v>48</v>
      </c>
      <c r="S3" s="29" t="n">
        <v>1</v>
      </c>
      <c r="T3" s="24" t="inlineStr">
        <is>
          <t>measured-edge-totals-v2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8.5</v>
      </c>
      <c r="Z3" s="26" t="n">
        <v>113</v>
      </c>
      <c r="AA3" s="28" t="n">
        <v>0.47</v>
      </c>
      <c r="AB3" s="28" t="n">
        <v>0.000516</v>
      </c>
      <c r="AC3" s="30" t="n">
        <v>-1</v>
      </c>
      <c r="AD3" s="24" t="inlineStr">
        <is>
          <t>2026-08-02T23:11:39.085045Z</t>
        </is>
      </c>
      <c r="AE3" s="31" t="inlineStr">
        <is>
          <t>Measured Edge Totals: Trend Engine projected 4.52-4.52; raw selected-side p=0.5210, calibrated p=0.5151.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mlb-phi</t>
        </is>
      </c>
      <c r="AQ3" s="24" t="inlineStr">
        <is>
          <t>Philadelphia Phillies</t>
        </is>
      </c>
      <c r="AR3" s="24" t="inlineStr">
        <is>
          <t>Philadelphia Phillies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433578016242b27f9c1c7132cc6b5a2bcc7dd1b0234590c12a944455a88e71bd</t>
        </is>
      </c>
      <c r="BB3" s="24" t="inlineStr">
        <is>
          <t>flat_probability_shrinkage_toward_half</t>
        </is>
      </c>
      <c r="BC3" s="24" t="inlineStr">
        <is>
          <t>measured-edge-totals-v2</t>
        </is>
      </c>
      <c r="BD3" s="24" t="inlineStr">
        <is>
          <t>433578016242b27f9c1c7132cc6b5a2bcc7dd1b0234590c12a944455a88e71bd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2026-08-02T17:28:55.256054Z</t>
        </is>
      </c>
      <c r="BI3" s="24" t="inlineStr">
        <is>
          <t>["same_event","same_team_same_day","same_league_same_day"]</t>
        </is>
      </c>
      <c r="BJ3" s="25" t="n">
        <v>8.5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1164132b25cf4b39</t>
        </is>
      </c>
      <c r="B4" s="24" t="inlineStr">
        <is>
          <t>2026-08-02T17:28:55.256054Z</t>
        </is>
      </c>
      <c r="C4" s="24" t="inlineStr">
        <is>
          <t>2026-08-02T17:35Z</t>
        </is>
      </c>
      <c r="D4" s="24" t="inlineStr">
        <is>
          <t>401816368</t>
        </is>
      </c>
      <c r="E4" s="24" t="inlineStr">
        <is>
          <t>MLB</t>
        </is>
      </c>
      <c r="F4" s="24" t="inlineStr">
        <is>
          <t>Washington Nationals</t>
        </is>
      </c>
      <c r="G4" s="24" t="inlineStr">
        <is>
          <t>Atlanta Braves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0.612965</v>
      </c>
      <c r="P4" s="28" t="n">
        <v>0.042131</v>
      </c>
      <c r="Q4" s="28" t="n">
        <v>-0.027323</v>
      </c>
      <c r="R4" s="26" t="n">
        <v>13</v>
      </c>
      <c r="S4" s="29" t="n">
        <v>1.5</v>
      </c>
      <c r="T4" s="24" t="inlineStr">
        <is>
          <t>measured-edge-margin-v2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4</v>
      </c>
      <c r="Y4" s="25" t="n">
        <v>1.5</v>
      </c>
      <c r="Z4" s="26" t="n">
        <v>-178</v>
      </c>
      <c r="AA4" s="28" t="n">
        <v>0.64</v>
      </c>
      <c r="AB4" s="28" t="n">
        <v>-0.000288</v>
      </c>
      <c r="AC4" s="30" t="n">
        <v>-1.5</v>
      </c>
      <c r="AD4" s="24" t="inlineStr">
        <is>
          <t>2026-08-02T23:11:39.497234Z</t>
        </is>
      </c>
      <c r="AE4" s="31" t="inlineStr">
        <is>
          <t>Measured Edge Margin: Trend Engine projected 4.45-4.46; raw selected-side p=0.6721, calibrated p=0.6130.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mlb-wsh</t>
        </is>
      </c>
      <c r="AQ4" s="24" t="inlineStr">
        <is>
          <t>Washington Nationals</t>
        </is>
      </c>
      <c r="AR4" s="24" t="inlineStr">
        <is>
          <t>Washington Nationals</t>
        </is>
      </c>
      <c r="AS4" s="24" t="inlineStr">
        <is>
          <t>mlb-atl</t>
        </is>
      </c>
      <c r="AT4" s="24" t="inlineStr">
        <is>
          <t>Atlanta Braves</t>
        </is>
      </c>
      <c r="AU4" s="24" t="inlineStr">
        <is>
          <t>Atlanta Braves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8360b122264b796b0fb193095cfe4506c7e064e5f3f8c0a659aec41efd08dd25</t>
        </is>
      </c>
      <c r="BB4" s="24" t="inlineStr">
        <is>
          <t>flat_probability_shrinkage_toward_half</t>
        </is>
      </c>
      <c r="BC4" s="24" t="inlineStr">
        <is>
          <t>measured-edge-margin-v2</t>
        </is>
      </c>
      <c r="BD4" s="24" t="inlineStr">
        <is>
          <t>8360b122264b796b0fb193095cfe4506c7e064e5f3f8c0a659aec41efd08dd25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2026-08-02T17:28:55.256054Z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-178</v>
      </c>
      <c r="BL4" s="27" t="n">
        <v>1.561798</v>
      </c>
      <c r="BM4" s="28" t="n">
        <v>0.640288</v>
      </c>
      <c r="BN4" s="28" t="n">
        <v>0.636816</v>
      </c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ac5cb612d538407f</t>
        </is>
      </c>
      <c r="B5" s="24" t="inlineStr">
        <is>
          <t>2026-08-02T17:28:55.256054Z</t>
        </is>
      </c>
      <c r="C5" s="24" t="inlineStr">
        <is>
          <t>2026-08-02T17:35Z</t>
        </is>
      </c>
      <c r="D5" s="24" t="inlineStr">
        <is>
          <t>401816368</t>
        </is>
      </c>
      <c r="E5" s="24" t="inlineStr">
        <is>
          <t>MLB</t>
        </is>
      </c>
      <c r="F5" s="24" t="inlineStr">
        <is>
          <t>Washington Nationals</t>
        </is>
      </c>
      <c r="G5" s="24" t="inlineStr">
        <is>
          <t>Atlanta Braves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0.510393</v>
      </c>
      <c r="P5" s="28" t="n">
        <v>0.042131</v>
      </c>
      <c r="Q5" s="28" t="n">
        <v>-0.039157</v>
      </c>
      <c r="R5" s="26" t="n">
        <v>6</v>
      </c>
      <c r="S5" s="29" t="n">
        <v>1</v>
      </c>
      <c r="T5" s="24" t="inlineStr">
        <is>
          <t>measured-edge-totals-v2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4</v>
      </c>
      <c r="Y5" s="25" t="n">
        <v>8.5</v>
      </c>
      <c r="Z5" s="26" t="n">
        <v>-122</v>
      </c>
      <c r="AA5" s="28" t="n">
        <v>0.55</v>
      </c>
      <c r="AB5" s="28" t="n">
        <v>0.00045</v>
      </c>
      <c r="AC5" s="30" t="n">
        <v>-1</v>
      </c>
      <c r="AD5" s="24" t="inlineStr">
        <is>
          <t>2026-08-02T23:11:39.915106Z</t>
        </is>
      </c>
      <c r="AE5" s="31" t="inlineStr">
        <is>
          <t>Measured Edge Totals: Trend Engine projected 4.45-4.46; raw selected-side p=0.5071, calibrated p=0.5104.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mlb-wsh</t>
        </is>
      </c>
      <c r="AQ5" s="24" t="inlineStr">
        <is>
          <t>Washington Nationals</t>
        </is>
      </c>
      <c r="AR5" s="24" t="inlineStr">
        <is>
          <t>Washington Nationals</t>
        </is>
      </c>
      <c r="AS5" s="24" t="inlineStr">
        <is>
          <t>mlb-atl</t>
        </is>
      </c>
      <c r="AT5" s="24" t="inlineStr">
        <is>
          <t>Atlanta Braves</t>
        </is>
      </c>
      <c r="AU5" s="24" t="inlineStr">
        <is>
          <t>Atlanta Braves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433578016242b27f9c1c7132cc6b5a2bcc7dd1b0234590c12a944455a88e71bd</t>
        </is>
      </c>
      <c r="BB5" s="24" t="inlineStr">
        <is>
          <t>flat_probability_shrinkage_toward_half</t>
        </is>
      </c>
      <c r="BC5" s="24" t="inlineStr">
        <is>
          <t>measured-edge-totals-v2</t>
        </is>
      </c>
      <c r="BD5" s="24" t="inlineStr">
        <is>
          <t>433578016242b27f9c1c7132cc6b5a2bcc7dd1b0234590c12a944455a88e71bd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2026-08-02T17:28:55.256054Z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-122</v>
      </c>
      <c r="BL5" s="27" t="n">
        <v>1.819672</v>
      </c>
      <c r="BM5" s="28" t="n">
        <v>0.54955</v>
      </c>
      <c r="BN5" s="28" t="n">
        <v>0.547264</v>
      </c>
      <c r="BO5" s="28" t="n"/>
      <c r="BP5" s="25" t="n"/>
      <c r="BQ5" s="27" t="n">
        <v>1.819672</v>
      </c>
      <c r="BR5" s="28" t="n">
        <v>0.55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67caed1263934524</t>
        </is>
      </c>
      <c r="B6" s="24" t="inlineStr">
        <is>
          <t>2026-08-02T17:28:55.256054Z</t>
        </is>
      </c>
      <c r="C6" s="24" t="inlineStr">
        <is>
          <t>2026-08-02T17:37Z</t>
        </is>
      </c>
      <c r="D6" s="24" t="inlineStr">
        <is>
          <t>401816367</t>
        </is>
      </c>
      <c r="E6" s="24" t="inlineStr">
        <is>
          <t>MLB</t>
        </is>
      </c>
      <c r="F6" s="24" t="inlineStr">
        <is>
          <t>St. Louis Cardinals</t>
        </is>
      </c>
      <c r="G6" s="24" t="inlineStr">
        <is>
          <t>Toronto Blue Jays</t>
        </is>
      </c>
      <c r="H6" s="24" t="inlineStr">
        <is>
          <t>spread</t>
        </is>
      </c>
      <c r="I6" s="24" t="inlineStr">
        <is>
          <t>away</t>
        </is>
      </c>
      <c r="J6" s="25" t="n">
        <v>1.5</v>
      </c>
      <c r="K6" s="24" t="inlineStr">
        <is>
          <t>polymarket_us</t>
        </is>
      </c>
      <c r="L6" s="26" t="n">
        <v>-174</v>
      </c>
      <c r="M6" s="27" t="n">
        <v>1.574713</v>
      </c>
      <c r="N6" s="28" t="n">
        <v>0.635036</v>
      </c>
      <c r="O6" s="28" t="n">
        <v>0.6256930000000001</v>
      </c>
      <c r="P6" s="28" t="n">
        <v>0.05172</v>
      </c>
      <c r="Q6" s="28" t="n">
        <v>-0.009343000000000001</v>
      </c>
      <c r="R6" s="26" t="n">
        <v>16</v>
      </c>
      <c r="S6" s="29" t="n">
        <v>1.5</v>
      </c>
      <c r="T6" s="24" t="inlineStr">
        <is>
          <t>measured-edge-margin-v2</t>
        </is>
      </c>
      <c r="U6" s="24" t="inlineStr">
        <is>
          <t>settled</t>
        </is>
      </c>
      <c r="V6" s="24" t="inlineStr">
        <is>
          <t>win</t>
        </is>
      </c>
      <c r="W6" s="26" t="n">
        <v>5</v>
      </c>
      <c r="X6" s="26" t="n">
        <v>1</v>
      </c>
      <c r="Y6" s="25" t="n">
        <v>1.5</v>
      </c>
      <c r="Z6" s="26" t="n">
        <v>-174</v>
      </c>
      <c r="AA6" s="28" t="n">
        <v>0.635</v>
      </c>
      <c r="AB6" s="28" t="n">
        <v>-3.6e-05</v>
      </c>
      <c r="AC6" s="30" t="n">
        <v>0.8621</v>
      </c>
      <c r="AD6" s="24" t="inlineStr">
        <is>
          <t>2026-08-02T23:11:40.321020Z</t>
        </is>
      </c>
      <c r="AE6" s="31" t="inlineStr">
        <is>
          <t>Measured Edge Margin: Trend Engine projected 5.24-4.85; raw selected-side p=0.6915, calibrated p=0.6257.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mlb-stl</t>
        </is>
      </c>
      <c r="AQ6" s="24" t="inlineStr">
        <is>
          <t>St. Louis Cardinals</t>
        </is>
      </c>
      <c r="AR6" s="24" t="inlineStr">
        <is>
          <t>St. Louis Cardinals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8360b122264b796b0fb193095cfe4506c7e064e5f3f8c0a659aec41efd08dd25</t>
        </is>
      </c>
      <c r="BB6" s="24" t="inlineStr">
        <is>
          <t>flat_probability_shrinkage_toward_half</t>
        </is>
      </c>
      <c r="BC6" s="24" t="inlineStr">
        <is>
          <t>measured-edge-margin-v2</t>
        </is>
      </c>
      <c r="BD6" s="24" t="inlineStr">
        <is>
          <t>8360b122264b796b0fb193095cfe4506c7e064e5f3f8c0a659aec41efd08dd25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2026-08-02T17:28:55.256054Z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-174</v>
      </c>
      <c r="BL6" s="27" t="n">
        <v>1.574713</v>
      </c>
      <c r="BM6" s="28" t="n">
        <v>0.635036</v>
      </c>
      <c r="BN6" s="28" t="n">
        <v>0.631841</v>
      </c>
      <c r="BO6" s="28" t="n"/>
      <c r="BP6" s="25" t="n"/>
      <c r="BQ6" s="27" t="n">
        <v>1.574713</v>
      </c>
      <c r="BR6" s="28" t="n">
        <v>0.635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21e6aacbcab447e9</t>
        </is>
      </c>
      <c r="B7" s="24" t="inlineStr">
        <is>
          <t>2026-08-02T17:28:55.256054Z</t>
        </is>
      </c>
      <c r="C7" s="24" t="inlineStr">
        <is>
          <t>2026-08-02T17:37Z</t>
        </is>
      </c>
      <c r="D7" s="24" t="inlineStr">
        <is>
          <t>401816367</t>
        </is>
      </c>
      <c r="E7" s="24" t="inlineStr">
        <is>
          <t>MLB</t>
        </is>
      </c>
      <c r="F7" s="24" t="inlineStr">
        <is>
          <t>St. Louis Cardinals</t>
        </is>
      </c>
      <c r="G7" s="24" t="inlineStr">
        <is>
          <t>Toronto Blue Jays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-106</v>
      </c>
      <c r="M7" s="27" t="n">
        <v>1.943396</v>
      </c>
      <c r="N7" s="28" t="n">
        <v>0.514563</v>
      </c>
      <c r="O7" s="28" t="n">
        <v>0.5447340000000001</v>
      </c>
      <c r="P7" s="28" t="n">
        <v>0.05172</v>
      </c>
      <c r="Q7" s="28" t="n">
        <v>0.030171</v>
      </c>
      <c r="R7" s="26" t="n">
        <v>35</v>
      </c>
      <c r="S7" s="29" t="n">
        <v>1</v>
      </c>
      <c r="T7" s="24" t="inlineStr">
        <is>
          <t>measured-edge-totals-v2</t>
        </is>
      </c>
      <c r="U7" s="24" t="inlineStr">
        <is>
          <t>settled</t>
        </is>
      </c>
      <c r="V7" s="24" t="inlineStr">
        <is>
          <t>loss</t>
        </is>
      </c>
      <c r="W7" s="26" t="n">
        <v>5</v>
      </c>
      <c r="X7" s="26" t="n">
        <v>1</v>
      </c>
      <c r="Y7" s="25" t="n">
        <v>8.5</v>
      </c>
      <c r="Z7" s="26" t="n">
        <v>-106</v>
      </c>
      <c r="AA7" s="28" t="n">
        <v>0.515</v>
      </c>
      <c r="AB7" s="28" t="n">
        <v>0.000437</v>
      </c>
      <c r="AC7" s="30" t="n">
        <v>-1</v>
      </c>
      <c r="AD7" s="24" t="inlineStr">
        <is>
          <t>2026-08-02T23:11:40.773792Z</t>
        </is>
      </c>
      <c r="AE7" s="31" t="inlineStr">
        <is>
          <t>Measured Edge Totals: Trend Engine projected 5.24-4.85; raw selected-side p=0.6077, calibrated p=0.5447.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mlb-stl</t>
        </is>
      </c>
      <c r="AQ7" s="24" t="inlineStr">
        <is>
          <t>St. Louis Cardinals</t>
        </is>
      </c>
      <c r="AR7" s="24" t="inlineStr">
        <is>
          <t>St. Louis Cardinals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433578016242b27f9c1c7132cc6b5a2bcc7dd1b0234590c12a944455a88e71bd</t>
        </is>
      </c>
      <c r="BB7" s="24" t="inlineStr">
        <is>
          <t>flat_probability_shrinkage_toward_half</t>
        </is>
      </c>
      <c r="BC7" s="24" t="inlineStr">
        <is>
          <t>measured-edge-totals-v2</t>
        </is>
      </c>
      <c r="BD7" s="24" t="inlineStr">
        <is>
          <t>433578016242b27f9c1c7132cc6b5a2bcc7dd1b0234590c12a944455a88e71bd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2026-08-02T17:28:55.256054Z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-106</v>
      </c>
      <c r="BL7" s="27" t="n">
        <v>1.943396</v>
      </c>
      <c r="BM7" s="28" t="n">
        <v>0.514563</v>
      </c>
      <c r="BN7" s="28" t="n">
        <v>0.5124379999999999</v>
      </c>
      <c r="BO7" s="28" t="n"/>
      <c r="BP7" s="25" t="n"/>
      <c r="BQ7" s="27" t="n">
        <v>1.943396</v>
      </c>
      <c r="BR7" s="28" t="n">
        <v>0.515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0aac86de8b74407b</t>
        </is>
      </c>
      <c r="B8" s="24" t="inlineStr">
        <is>
          <t>2026-08-02T18:09:31.256815Z</t>
        </is>
      </c>
      <c r="C8" s="24" t="inlineStr">
        <is>
          <t>2026-08-02T18:10Z</t>
        </is>
      </c>
      <c r="D8" s="24" t="inlineStr">
        <is>
          <t>401816370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Houston Astros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-167</v>
      </c>
      <c r="M8" s="27" t="n">
        <v>1.598802</v>
      </c>
      <c r="N8" s="28" t="n">
        <v>0.625468</v>
      </c>
      <c r="O8" s="28" t="n">
        <v>0.580882</v>
      </c>
      <c r="P8" s="28" t="n">
        <v>0.042131</v>
      </c>
      <c r="Q8" s="28" t="n">
        <v>-0.044586</v>
      </c>
      <c r="R8" s="26" t="n">
        <v>4</v>
      </c>
      <c r="S8" s="29" t="n">
        <v>1.25</v>
      </c>
      <c r="T8" s="24" t="inlineStr">
        <is>
          <t>measured-edge-margin-v2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7</v>
      </c>
      <c r="Y8" s="25" t="n">
        <v>1.5</v>
      </c>
      <c r="Z8" s="26" t="n">
        <v>-167</v>
      </c>
      <c r="AA8" s="28" t="n">
        <v>0.625</v>
      </c>
      <c r="AB8" s="28" t="n">
        <v>-0.000468</v>
      </c>
      <c r="AC8" s="30" t="n">
        <v>-1.25</v>
      </c>
      <c r="AD8" s="24" t="inlineStr">
        <is>
          <t>2026-08-02T23:11:47.495533Z</t>
        </is>
      </c>
      <c r="AE8" s="31" t="inlineStr">
        <is>
          <t>Measured Edge Margin: Trend Engine projected 4.10-4.64; raw selected-side p=0.6232, calibrated p=0.5809.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8360b122264b796b0fb193095cfe4506c7e064e5f3f8c0a659aec41efd08dd25</t>
        </is>
      </c>
      <c r="BB8" s="24" t="inlineStr">
        <is>
          <t>flat_probability_shrinkage_toward_half</t>
        </is>
      </c>
      <c r="BC8" s="24" t="inlineStr">
        <is>
          <t>measured-edge-margin-v2</t>
        </is>
      </c>
      <c r="BD8" s="24" t="inlineStr">
        <is>
          <t>8360b122264b796b0fb193095cfe4506c7e064e5f3f8c0a659aec41efd08dd25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2026-08-02T18:09:31.256815Z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-167</v>
      </c>
      <c r="BL8" s="27" t="n">
        <v>1.598802</v>
      </c>
      <c r="BM8" s="28" t="n">
        <v>0.625468</v>
      </c>
      <c r="BN8" s="28" t="n">
        <v>0.621891</v>
      </c>
      <c r="BO8" s="28" t="n"/>
      <c r="BP8" s="25" t="n"/>
      <c r="BQ8" s="27" t="n">
        <v>1.598802</v>
      </c>
      <c r="BR8" s="28" t="n">
        <v>0.625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46b39617345b47a6</t>
        </is>
      </c>
      <c r="B9" s="24" t="inlineStr">
        <is>
          <t>2026-08-02T18:09:31.256815Z</t>
        </is>
      </c>
      <c r="C9" s="24" t="inlineStr">
        <is>
          <t>2026-08-02T18:10Z</t>
        </is>
      </c>
      <c r="D9" s="24" t="inlineStr">
        <is>
          <t>401816370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Houston Astros</t>
        </is>
      </c>
      <c r="H9" s="24" t="inlineStr">
        <is>
          <t>total</t>
        </is>
      </c>
      <c r="I9" s="24" t="inlineStr">
        <is>
          <t>under</t>
        </is>
      </c>
      <c r="J9" s="25" t="n">
        <v>8.5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0.511521</v>
      </c>
      <c r="P9" s="28" t="n">
        <v>0.042131</v>
      </c>
      <c r="Q9" s="28" t="n">
        <v>0.006571</v>
      </c>
      <c r="R9" s="26" t="n">
        <v>29</v>
      </c>
      <c r="S9" s="29" t="n">
        <v>1</v>
      </c>
      <c r="T9" s="24" t="inlineStr">
        <is>
          <t>measured-edge-totals-v2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7</v>
      </c>
      <c r="Y9" s="25" t="n">
        <v>8.5</v>
      </c>
      <c r="Z9" s="26" t="n">
        <v>-102</v>
      </c>
      <c r="AA9" s="28" t="n">
        <v>0.505</v>
      </c>
      <c r="AB9" s="28" t="n">
        <v>5e-05</v>
      </c>
      <c r="AC9" s="30" t="n">
        <v>-1</v>
      </c>
      <c r="AD9" s="24" t="inlineStr">
        <is>
          <t>2026-08-02T23:11:47.946163Z</t>
        </is>
      </c>
      <c r="AE9" s="31" t="inlineStr">
        <is>
          <t>Measured Edge Totals: Trend Engine projected 4.10-4.64; raw selected-side p=0.5104, calibrated p=0.5115.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mlb-hou</t>
        </is>
      </c>
      <c r="AT9" s="24" t="inlineStr">
        <is>
          <t>Houston Astros</t>
        </is>
      </c>
      <c r="AU9" s="24" t="inlineStr">
        <is>
          <t>Houston Astros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433578016242b27f9c1c7132cc6b5a2bcc7dd1b0234590c12a944455a88e71bd</t>
        </is>
      </c>
      <c r="BB9" s="24" t="inlineStr">
        <is>
          <t>flat_probability_shrinkage_toward_half</t>
        </is>
      </c>
      <c r="BC9" s="24" t="inlineStr">
        <is>
          <t>measured-edge-totals-v2</t>
        </is>
      </c>
      <c r="BD9" s="24" t="inlineStr">
        <is>
          <t>433578016242b27f9c1c7132cc6b5a2bcc7dd1b0234590c12a944455a88e71bd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2026-08-02T18:09:31.256815Z</t>
        </is>
      </c>
      <c r="BI9" s="24" t="inlineStr">
        <is>
          <t>["same_event","same_team_same_day","same_league_same_day"]</t>
        </is>
      </c>
      <c r="BJ9" s="25" t="n">
        <v>8.5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732cf8f5d9b94b6d</t>
        </is>
      </c>
      <c r="B10" s="24" t="inlineStr">
        <is>
          <t>2026-08-02T18:09:31.256815Z</t>
        </is>
      </c>
      <c r="C10" s="24" t="inlineStr">
        <is>
          <t>2026-08-02T18:20Z</t>
        </is>
      </c>
      <c r="D10" s="24" t="inlineStr">
        <is>
          <t>401816369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Cubs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-167</v>
      </c>
      <c r="M10" s="27" t="n">
        <v>1.598802</v>
      </c>
      <c r="N10" s="28" t="n">
        <v>0.625468</v>
      </c>
      <c r="O10" s="28" t="n">
        <v>0.605256</v>
      </c>
      <c r="P10" s="28" t="n">
        <v>0.042131</v>
      </c>
      <c r="Q10" s="28" t="n">
        <v>-0.020212</v>
      </c>
      <c r="R10" s="26" t="n">
        <v>16</v>
      </c>
      <c r="S10" s="29" t="n">
        <v>1.5</v>
      </c>
      <c r="T10" s="24" t="inlineStr">
        <is>
          <t>measured-edge-margin-v2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>
        <v>1.5</v>
      </c>
      <c r="Z10" s="26" t="n">
        <v>-167</v>
      </c>
      <c r="AA10" s="28" t="n">
        <v>0.625</v>
      </c>
      <c r="AB10" s="28" t="n">
        <v>-0.000468</v>
      </c>
      <c r="AC10" s="30" t="n">
        <v>0.8982</v>
      </c>
      <c r="AD10" s="24" t="inlineStr">
        <is>
          <t>2026-08-02T23:11:48.365817Z</t>
        </is>
      </c>
      <c r="AE10" s="31" t="inlineStr">
        <is>
          <t>Measured Edge Margin: Trend Engine projected 4.57-4.52; raw selected-side p=0.6603, calibrated p=0.6053.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mlb-chc</t>
        </is>
      </c>
      <c r="AT10" s="24" t="inlineStr">
        <is>
          <t>Chicago Cubs</t>
        </is>
      </c>
      <c r="AU10" s="24" t="inlineStr">
        <is>
          <t>Chicago Cubs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8360b122264b796b0fb193095cfe4506c7e064e5f3f8c0a659aec41efd08dd25</t>
        </is>
      </c>
      <c r="BB10" s="24" t="inlineStr">
        <is>
          <t>flat_probability_shrinkage_toward_half</t>
        </is>
      </c>
      <c r="BC10" s="24" t="inlineStr">
        <is>
          <t>measured-edge-margin-v2</t>
        </is>
      </c>
      <c r="BD10" s="24" t="inlineStr">
        <is>
          <t>8360b122264b796b0fb193095cfe4506c7e064e5f3f8c0a659aec41efd08dd25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2026-08-02T18:09:31.256815Z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-167</v>
      </c>
      <c r="BL10" s="27" t="n">
        <v>1.598802</v>
      </c>
      <c r="BM10" s="28" t="n">
        <v>0.625468</v>
      </c>
      <c r="BN10" s="28" t="n">
        <v>0.621891</v>
      </c>
      <c r="BO10" s="28" t="n"/>
      <c r="BP10" s="25" t="n"/>
      <c r="BQ10" s="27" t="n">
        <v>1.598802</v>
      </c>
      <c r="BR10" s="28" t="n">
        <v>0.625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4090e9468cc44150</t>
        </is>
      </c>
      <c r="B11" s="24" t="inlineStr">
        <is>
          <t>2026-08-02T18:09:31.256815Z</t>
        </is>
      </c>
      <c r="C11" s="24" t="inlineStr">
        <is>
          <t>2026-08-02T18:20Z</t>
        </is>
      </c>
      <c r="D11" s="24" t="inlineStr">
        <is>
          <t>401816369</t>
        </is>
      </c>
      <c r="E11" s="24" t="inlineStr">
        <is>
          <t>MLB</t>
        </is>
      </c>
      <c r="F11" s="24" t="inlineStr">
        <is>
          <t>New York Yankees</t>
        </is>
      </c>
      <c r="G11" s="24" t="inlineStr">
        <is>
          <t>Chicago Cubs</t>
        </is>
      </c>
      <c r="H11" s="24" t="inlineStr">
        <is>
          <t>total</t>
        </is>
      </c>
      <c r="I11" s="24" t="inlineStr">
        <is>
          <t>over</t>
        </is>
      </c>
      <c r="J11" s="25" t="n">
        <v>6.5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0.584337</v>
      </c>
      <c r="P11" s="28" t="n">
        <v>0.042131</v>
      </c>
      <c r="Q11" s="28" t="n">
        <v>0.053821</v>
      </c>
      <c r="R11" s="26" t="n">
        <v>53</v>
      </c>
      <c r="S11" s="29" t="n">
        <v>1.25</v>
      </c>
      <c r="T11" s="24" t="inlineStr">
        <is>
          <t>measured-edge-totals-v2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1</v>
      </c>
      <c r="Y11" s="25" t="n">
        <v>6.5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2026-08-02T23:11:48.784760Z</t>
        </is>
      </c>
      <c r="AE11" s="31" t="inlineStr">
        <is>
          <t>Measured Edge Totals: Trend Engine projected 4.57-4.52; raw selected-side p=0.7236, calibrated p=0.5843.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mlb-nyy</t>
        </is>
      </c>
      <c r="AQ11" s="24" t="inlineStr">
        <is>
          <t>New York Yankees</t>
        </is>
      </c>
      <c r="AR11" s="24" t="inlineStr">
        <is>
          <t>New York Yankees</t>
        </is>
      </c>
      <c r="AS11" s="24" t="inlineStr">
        <is>
          <t>mlb-chc</t>
        </is>
      </c>
      <c r="AT11" s="24" t="inlineStr">
        <is>
          <t>Chicago Cubs</t>
        </is>
      </c>
      <c r="AU11" s="24" t="inlineStr">
        <is>
          <t>Chicago Cubs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433578016242b27f9c1c7132cc6b5a2bcc7dd1b0234590c12a944455a88e71bd</t>
        </is>
      </c>
      <c r="BB11" s="24" t="inlineStr">
        <is>
          <t>flat_probability_shrinkage_toward_half</t>
        </is>
      </c>
      <c r="BC11" s="24" t="inlineStr">
        <is>
          <t>measured-edge-totals-v2</t>
        </is>
      </c>
      <c r="BD11" s="24" t="inlineStr">
        <is>
          <t>433578016242b27f9c1c7132cc6b5a2bcc7dd1b0234590c12a944455a88e71bd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2026-08-02T18:09:31.256815Z</t>
        </is>
      </c>
      <c r="BI11" s="24" t="inlineStr">
        <is>
          <t>["same_event","same_team_same_day","same_league_same_day"]</t>
        </is>
      </c>
      <c r="BJ11" s="25" t="n">
        <v>6.5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97597cc81ddb427b</t>
        </is>
      </c>
      <c r="B12" s="24" t="inlineStr">
        <is>
          <t>2026-08-02T18:46:13.612768Z</t>
        </is>
      </c>
      <c r="C12" s="24" t="inlineStr">
        <is>
          <t>2026-08-02T15:15:00-0400</t>
        </is>
      </c>
      <c r="D12" s="24" t="inlineStr">
        <is>
          <t>401816374</t>
        </is>
      </c>
      <c r="E12" s="24" t="inlineStr">
        <is>
          <t>MLB</t>
        </is>
      </c>
      <c r="F12" s="24" t="inlineStr">
        <is>
          <t>Milwaukee Brewers</t>
        </is>
      </c>
      <c r="G12" s="24" t="inlineStr">
        <is>
          <t>Los Angeles Angels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-208</v>
      </c>
      <c r="M12" s="27" t="n">
        <v>1.480769</v>
      </c>
      <c r="N12" s="28" t="n">
        <v>0.675325</v>
      </c>
      <c r="O12" s="28" t="n">
        <v>0.625602</v>
      </c>
      <c r="P12" s="28" t="n"/>
      <c r="Q12" s="28" t="n">
        <v>-0.049723</v>
      </c>
      <c r="R12" s="26" t="n">
        <v>0</v>
      </c>
      <c r="S12" s="29" t="n">
        <v>1.5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3</v>
      </c>
      <c r="Y12" s="25" t="n"/>
      <c r="Z12" s="26" t="n">
        <v>-208</v>
      </c>
      <c r="AA12" s="28" t="n">
        <v>0.675</v>
      </c>
      <c r="AB12" s="28" t="n">
        <v>-0.000325</v>
      </c>
      <c r="AC12" s="30" t="n">
        <v>-1.5</v>
      </c>
      <c r="AD12" s="24" t="inlineStr">
        <is>
          <t>2026-08-02T23:11:49.623572Z</t>
        </is>
      </c>
      <c r="AE12" s="31" t="inlineStr">
        <is>
          <t>Learned LR call at threshold 0.6242; executable ask 0.6750 (aec-mlb-mil-laa-2026-08-02); model edge vs ask -0.0494.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mlb-mil</t>
        </is>
      </c>
      <c r="AQ12" s="24" t="inlineStr">
        <is>
          <t>Milwaukee Brewers</t>
        </is>
      </c>
      <c r="AR12" s="24" t="inlineStr">
        <is>
          <t>Milwaukee Brewers</t>
        </is>
      </c>
      <c r="AS12" s="24" t="inlineStr">
        <is>
          <t>mlb-laa</t>
        </is>
      </c>
      <c r="AT12" s="24" t="inlineStr">
        <is>
          <t>Los Angeles Angels</t>
        </is>
      </c>
      <c r="AU12" s="24" t="inlineStr">
        <is>
          <t>Los Angeles Angels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6989455cd566cbdd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2026-08-02T18:44:40.713780Z</t>
        </is>
      </c>
      <c r="BI12" s="24" t="inlineStr">
        <is>
          <t>["same_event","same_team_same_day","same_league_same_day"]</t>
        </is>
      </c>
      <c r="BJ12" s="25" t="n"/>
      <c r="BK12" s="26" t="n">
        <v>-208</v>
      </c>
      <c r="BL12" s="27" t="n">
        <v>1.480769</v>
      </c>
      <c r="BM12" s="28" t="n">
        <v>0.675325</v>
      </c>
      <c r="BN12" s="28" t="n">
        <v>0.671642</v>
      </c>
      <c r="BO12" s="28" t="n"/>
      <c r="BP12" s="25" t="n"/>
      <c r="BQ12" s="27" t="n">
        <v>1.480769</v>
      </c>
      <c r="BR12" s="28" t="n">
        <v>0.675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0.3268450055</t>
        </is>
      </c>
      <c r="CD12" s="24" t="inlineStr">
        <is>
          <t>-0.59379</t>
        </is>
      </c>
      <c r="CE12" s="24" t="inlineStr">
        <is>
          <t>1.01</t>
        </is>
      </c>
      <c r="CF12" s="24" t="inlineStr">
        <is>
          <t>1.0174</t>
        </is>
      </c>
      <c r="CG12" s="24" t="inlineStr">
        <is>
          <t>0.2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0.625602</t>
        </is>
      </c>
      <c r="CS12" s="24" t="inlineStr">
        <is>
          <t>False</t>
        </is>
      </c>
    </row>
    <row r="13" ht="36" customHeight="1">
      <c r="A13" s="24" t="inlineStr">
        <is>
          <t>fe31d9f729d84cb1</t>
        </is>
      </c>
      <c r="B13" s="24" t="inlineStr">
        <is>
          <t>2026-08-02T18:46:36.549310Z</t>
        </is>
      </c>
      <c r="C13" s="24" t="inlineStr">
        <is>
          <t>2026-08-02T19:10Z</t>
        </is>
      </c>
      <c r="D13" s="24" t="inlineStr">
        <is>
          <t>401816371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Colorado Rockies</t>
        </is>
      </c>
      <c r="H13" s="24" t="inlineStr">
        <is>
          <t>spread</t>
        </is>
      </c>
      <c r="I13" s="24" t="inlineStr">
        <is>
          <t>away</t>
        </is>
      </c>
      <c r="J13" s="25" t="n">
        <v>1.5</v>
      </c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0.629958</v>
      </c>
      <c r="P13" s="28" t="n">
        <v>0.042131</v>
      </c>
      <c r="Q13" s="28" t="n">
        <v>0.010186</v>
      </c>
      <c r="R13" s="26" t="n">
        <v>31</v>
      </c>
      <c r="S13" s="29" t="n">
        <v>1.5</v>
      </c>
      <c r="T13" s="24" t="inlineStr">
        <is>
          <t>measured-edge-margin-v2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8</v>
      </c>
      <c r="Y13" s="25" t="n">
        <v>1.5</v>
      </c>
      <c r="Z13" s="26" t="n">
        <v>-163</v>
      </c>
      <c r="AA13" s="28" t="n">
        <v>0.62</v>
      </c>
      <c r="AB13" s="28" t="n">
        <v>0.000228</v>
      </c>
      <c r="AC13" s="30" t="n">
        <v>-1.5</v>
      </c>
      <c r="AD13" s="24" t="inlineStr">
        <is>
          <t>2026-08-02T23:11:50.081877Z</t>
        </is>
      </c>
      <c r="AE13" s="31" t="inlineStr">
        <is>
          <t>Measured Edge Margin: Trend Engine projected 5.90-5.32; raw selected-side p=0.6980, calibrated p=0.6300.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mlb-col</t>
        </is>
      </c>
      <c r="AT13" s="24" t="inlineStr">
        <is>
          <t>Colorado Rockies</t>
        </is>
      </c>
      <c r="AU13" s="24" t="inlineStr">
        <is>
          <t>Colorado Rockies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8360b122264b796b0fb193095cfe4506c7e064e5f3f8c0a659aec41efd08dd25</t>
        </is>
      </c>
      <c r="BB13" s="24" t="inlineStr">
        <is>
          <t>flat_probability_shrinkage_toward_half</t>
        </is>
      </c>
      <c r="BC13" s="24" t="inlineStr">
        <is>
          <t>measured-edge-margin-v2</t>
        </is>
      </c>
      <c r="BD13" s="24" t="inlineStr">
        <is>
          <t>8360b122264b796b0fb193095cfe4506c7e064e5f3f8c0a659aec41efd08dd25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2026-08-02T18:46:36.549310Z</t>
        </is>
      </c>
      <c r="BI13" s="24" t="inlineStr">
        <is>
          <t>["same_event","same_team_same_day","same_league_same_day"]</t>
        </is>
      </c>
      <c r="BJ13" s="25" t="n">
        <v>1.5</v>
      </c>
      <c r="BK13" s="26" t="n">
        <v>-163</v>
      </c>
      <c r="BL13" s="27" t="n">
        <v>1.613497</v>
      </c>
      <c r="BM13" s="28" t="n">
        <v>0.619772</v>
      </c>
      <c r="BN13" s="28" t="n">
        <v>0.616915</v>
      </c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d1d78de4da784181</t>
        </is>
      </c>
      <c r="B14" s="24" t="inlineStr">
        <is>
          <t>2026-08-02T18:46:36.549310Z</t>
        </is>
      </c>
      <c r="C14" s="24" t="inlineStr">
        <is>
          <t>2026-08-02T19:10Z</t>
        </is>
      </c>
      <c r="D14" s="24" t="inlineStr">
        <is>
          <t>401816371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Colorado Rockies</t>
        </is>
      </c>
      <c r="H14" s="24" t="inlineStr">
        <is>
          <t>total</t>
        </is>
      </c>
      <c r="I14" s="24" t="inlineStr">
        <is>
          <t>under</t>
        </is>
      </c>
      <c r="J14" s="25" t="n">
        <v>11.5</v>
      </c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0.533133</v>
      </c>
      <c r="P14" s="28" t="n">
        <v>0.042131</v>
      </c>
      <c r="Q14" s="28" t="n">
        <v>0.023329</v>
      </c>
      <c r="R14" s="26" t="n">
        <v>38</v>
      </c>
      <c r="S14" s="29" t="n">
        <v>1</v>
      </c>
      <c r="T14" s="24" t="inlineStr">
        <is>
          <t>measured-edge-totals-v2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8</v>
      </c>
      <c r="Y14" s="25" t="n">
        <v>11.5</v>
      </c>
      <c r="Z14" s="26" t="n">
        <v>-104</v>
      </c>
      <c r="AA14" s="28" t="n">
        <v>0.51</v>
      </c>
      <c r="AB14" s="28" t="n">
        <v>0.000196</v>
      </c>
      <c r="AC14" s="30" t="n">
        <v>0.9615</v>
      </c>
      <c r="AD14" s="24" t="inlineStr">
        <is>
          <t>2026-08-02T23:11:50.504306Z</t>
        </is>
      </c>
      <c r="AE14" s="31" t="inlineStr">
        <is>
          <t>Measured Edge Totals: Trend Engine projected 5.90-5.32; raw selected-side p=0.5737, calibrated p=0.5331.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mlb-col</t>
        </is>
      </c>
      <c r="AT14" s="24" t="inlineStr">
        <is>
          <t>Colorado Rockies</t>
        </is>
      </c>
      <c r="AU14" s="24" t="inlineStr">
        <is>
          <t>Colorado Rockies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433578016242b27f9c1c7132cc6b5a2bcc7dd1b0234590c12a944455a88e71bd</t>
        </is>
      </c>
      <c r="BB14" s="24" t="inlineStr">
        <is>
          <t>flat_probability_shrinkage_toward_half</t>
        </is>
      </c>
      <c r="BC14" s="24" t="inlineStr">
        <is>
          <t>measured-edge-totals-v2</t>
        </is>
      </c>
      <c r="BD14" s="24" t="inlineStr">
        <is>
          <t>433578016242b27f9c1c7132cc6b5a2bcc7dd1b0234590c12a944455a88e71bd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2026-08-02T18:46:36.549310Z</t>
        </is>
      </c>
      <c r="BI14" s="24" t="inlineStr">
        <is>
          <t>["same_event","same_team_same_day","same_league_same_day"]</t>
        </is>
      </c>
      <c r="BJ14" s="25" t="n">
        <v>11.5</v>
      </c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>
        <v>1.961538</v>
      </c>
      <c r="BR14" s="28" t="n">
        <v>0.51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ccd368805d224c34</t>
        </is>
      </c>
      <c r="B15" s="24" t="inlineStr">
        <is>
          <t>2026-08-02T18:46:36.549310Z</t>
        </is>
      </c>
      <c r="C15" s="24" t="inlineStr">
        <is>
          <t>2026-08-02T19:15Z</t>
        </is>
      </c>
      <c r="D15" s="24" t="inlineStr">
        <is>
          <t>401816374</t>
        </is>
      </c>
      <c r="E15" s="24" t="inlineStr">
        <is>
          <t>MLB</t>
        </is>
      </c>
      <c r="F15" s="24" t="inlineStr">
        <is>
          <t>Milwaukee Brewers</t>
        </is>
      </c>
      <c r="G15" s="24" t="inlineStr">
        <is>
          <t>Los Angeles Angels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0.5552280000000001</v>
      </c>
      <c r="P15" s="28" t="n">
        <v>0.042131</v>
      </c>
      <c r="Q15" s="28" t="n">
        <v>0.094399</v>
      </c>
      <c r="R15" s="26" t="n">
        <v>73</v>
      </c>
      <c r="S15" s="29" t="n">
        <v>1</v>
      </c>
      <c r="T15" s="24" t="inlineStr">
        <is>
          <t>measured-edge-margin-v2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3</v>
      </c>
      <c r="Y15" s="25" t="n">
        <v>1.5</v>
      </c>
      <c r="Z15" s="26" t="n">
        <v>117</v>
      </c>
      <c r="AA15" s="28" t="n">
        <v>0.46</v>
      </c>
      <c r="AB15" s="28" t="n">
        <v>-0.000829</v>
      </c>
      <c r="AC15" s="30" t="n">
        <v>1.17</v>
      </c>
      <c r="AD15" s="24" t="inlineStr">
        <is>
          <t>2026-08-02T23:11:50.925106Z</t>
        </is>
      </c>
      <c r="AE15" s="31" t="inlineStr">
        <is>
          <t>Measured Edge Margin: Trend Engine projected 4.07-3.09; raw selected-side p=0.5841, calibrated p=0.5552.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mlb-mil</t>
        </is>
      </c>
      <c r="AQ15" s="24" t="inlineStr">
        <is>
          <t>Milwaukee Brewers</t>
        </is>
      </c>
      <c r="AR15" s="24" t="inlineStr">
        <is>
          <t>Milwaukee Brewers</t>
        </is>
      </c>
      <c r="AS15" s="24" t="inlineStr">
        <is>
          <t>mlb-laa</t>
        </is>
      </c>
      <c r="AT15" s="24" t="inlineStr">
        <is>
          <t>Los Angeles Angels</t>
        </is>
      </c>
      <c r="AU15" s="24" t="inlineStr">
        <is>
          <t>Los Angeles Angels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8360b122264b796b0fb193095cfe4506c7e064e5f3f8c0a659aec41efd08dd25</t>
        </is>
      </c>
      <c r="BB15" s="24" t="inlineStr">
        <is>
          <t>flat_probability_shrinkage_toward_half</t>
        </is>
      </c>
      <c r="BC15" s="24" t="inlineStr">
        <is>
          <t>measured-edge-margin-v2</t>
        </is>
      </c>
      <c r="BD15" s="24" t="inlineStr">
        <is>
          <t>8360b122264b796b0fb193095cfe4506c7e064e5f3f8c0a659aec41efd08dd25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2026-08-02T18:46:36.549310Z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117</v>
      </c>
      <c r="BL15" s="27" t="n">
        <v>2.17</v>
      </c>
      <c r="BM15" s="28" t="n">
        <v>0.460829</v>
      </c>
      <c r="BN15" s="28" t="n">
        <v>0.457711</v>
      </c>
      <c r="BO15" s="28" t="n"/>
      <c r="BP15" s="25" t="n"/>
      <c r="BQ15" s="27" t="n">
        <v>2.17</v>
      </c>
      <c r="BR15" s="28" t="n">
        <v>0.46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e208b6ee6e7d4b57</t>
        </is>
      </c>
      <c r="B16" s="24" t="inlineStr">
        <is>
          <t>2026-08-02T18:46:36.549310Z</t>
        </is>
      </c>
      <c r="C16" s="24" t="inlineStr">
        <is>
          <t>2026-08-02T19:15Z</t>
        </is>
      </c>
      <c r="D16" s="24" t="inlineStr">
        <is>
          <t>401816374</t>
        </is>
      </c>
      <c r="E16" s="24" t="inlineStr">
        <is>
          <t>MLB</t>
        </is>
      </c>
      <c r="F16" s="24" t="inlineStr">
        <is>
          <t>Milwaukee Brewers</t>
        </is>
      </c>
      <c r="G16" s="24" t="inlineStr">
        <is>
          <t>Los Angeles Angels</t>
        </is>
      </c>
      <c r="H16" s="24" t="inlineStr">
        <is>
          <t>total</t>
        </is>
      </c>
      <c r="I16" s="24" t="inlineStr">
        <is>
          <t>under</t>
        </is>
      </c>
      <c r="J16" s="25" t="n">
        <v>7.5</v>
      </c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0.537285</v>
      </c>
      <c r="P16" s="28" t="n">
        <v>0.042131</v>
      </c>
      <c r="Q16" s="28" t="n">
        <v>0.018054</v>
      </c>
      <c r="R16" s="26" t="n">
        <v>35</v>
      </c>
      <c r="S16" s="29" t="n">
        <v>1</v>
      </c>
      <c r="T16" s="24" t="inlineStr">
        <is>
          <t>measured-edge-totals-v2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3</v>
      </c>
      <c r="Y16" s="25" t="n">
        <v>7.5</v>
      </c>
      <c r="Z16" s="26" t="n">
        <v>-108</v>
      </c>
      <c r="AA16" s="28" t="n">
        <v>0.52</v>
      </c>
      <c r="AB16" s="28" t="n">
        <v>0.000769</v>
      </c>
      <c r="AC16" s="30" t="n">
        <v>0.9258999999999999</v>
      </c>
      <c r="AD16" s="24" t="inlineStr">
        <is>
          <t>2026-08-02T23:11:51.341331Z</t>
        </is>
      </c>
      <c r="AE16" s="31" t="inlineStr">
        <is>
          <t>Measured Edge Totals: Trend Engine projected 4.07-3.09; raw selected-side p=0.5858, calibrated p=0.5373.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mlb-mil</t>
        </is>
      </c>
      <c r="AQ16" s="24" t="inlineStr">
        <is>
          <t>Milwaukee Brewers</t>
        </is>
      </c>
      <c r="AR16" s="24" t="inlineStr">
        <is>
          <t>Milwaukee Brewers</t>
        </is>
      </c>
      <c r="AS16" s="24" t="inlineStr">
        <is>
          <t>mlb-laa</t>
        </is>
      </c>
      <c r="AT16" s="24" t="inlineStr">
        <is>
          <t>Los Angeles Angels</t>
        </is>
      </c>
      <c r="AU16" s="24" t="inlineStr">
        <is>
          <t>Los Angeles Angels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433578016242b27f9c1c7132cc6b5a2bcc7dd1b0234590c12a944455a88e71bd</t>
        </is>
      </c>
      <c r="BB16" s="24" t="inlineStr">
        <is>
          <t>flat_probability_shrinkage_toward_half</t>
        </is>
      </c>
      <c r="BC16" s="24" t="inlineStr">
        <is>
          <t>measured-edge-totals-v2</t>
        </is>
      </c>
      <c r="BD16" s="24" t="inlineStr">
        <is>
          <t>433578016242b27f9c1c7132cc6b5a2bcc7dd1b0234590c12a944455a88e71bd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2026-08-02T18:46:36.549310Z</t>
        </is>
      </c>
      <c r="BI16" s="24" t="inlineStr">
        <is>
          <t>["same_event","same_team_same_day","same_league_same_day"]</t>
        </is>
      </c>
      <c r="BJ16" s="25" t="n">
        <v>7.5</v>
      </c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268d0a10c3784eac</t>
        </is>
      </c>
      <c r="B17" s="24" t="inlineStr">
        <is>
          <t>2026-08-02T19:28:59.526399Z</t>
        </is>
      </c>
      <c r="C17" s="24" t="inlineStr">
        <is>
          <t>2026-08-02T20:05Z</t>
        </is>
      </c>
      <c r="D17" s="24" t="inlineStr">
        <is>
          <t>401816373</t>
        </is>
      </c>
      <c r="E17" s="24" t="inlineStr">
        <is>
          <t>MLB</t>
        </is>
      </c>
      <c r="F17" s="24" t="inlineStr">
        <is>
          <t>Detroit Tigers</t>
        </is>
      </c>
      <c r="G17" s="24" t="inlineStr">
        <is>
          <t>Athletics</t>
        </is>
      </c>
      <c r="H17" s="24" t="inlineStr">
        <is>
          <t>spread</t>
        </is>
      </c>
      <c r="I17" s="24" t="inlineStr">
        <is>
          <t>home</t>
        </is>
      </c>
      <c r="J17" s="25" t="n">
        <v>1.5</v>
      </c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0.522653</v>
      </c>
      <c r="P17" s="28" t="n">
        <v>0.042131</v>
      </c>
      <c r="Q17" s="28" t="n">
        <v>-0.062409</v>
      </c>
      <c r="R17" s="26" t="n">
        <v>0</v>
      </c>
      <c r="S17" s="29" t="n">
        <v>1</v>
      </c>
      <c r="T17" s="24" t="inlineStr">
        <is>
          <t>measured-edge-margin-v2</t>
        </is>
      </c>
      <c r="U17" s="24" t="inlineStr">
        <is>
          <t>settled</t>
        </is>
      </c>
      <c r="V17" s="24" t="inlineStr">
        <is>
          <t>loss</t>
        </is>
      </c>
      <c r="W17" s="26" t="n">
        <v>11</v>
      </c>
      <c r="X17" s="26" t="n">
        <v>0</v>
      </c>
      <c r="Y17" s="25" t="n">
        <v>1.5</v>
      </c>
      <c r="Z17" s="26" t="n">
        <v>-141</v>
      </c>
      <c r="AA17" s="28" t="n">
        <v>0.585</v>
      </c>
      <c r="AB17" s="28" t="n">
        <v>-6.2e-05</v>
      </c>
      <c r="AC17" s="30" t="n">
        <v>-1</v>
      </c>
      <c r="AD17" s="24" t="inlineStr">
        <is>
          <t>2026-08-03T02:34:00.199267Z</t>
        </is>
      </c>
      <c r="AE17" s="31" t="inlineStr">
        <is>
          <t>Measured Edge Margin: Trend Engine projected 5.88-4.54; raw selected-side p=0.5344, calibrated p=0.5227.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mlb-det</t>
        </is>
      </c>
      <c r="AQ17" s="24" t="inlineStr">
        <is>
          <t>Detroit Tigers</t>
        </is>
      </c>
      <c r="AR17" s="24" t="inlineStr">
        <is>
          <t>Detroit Tigers</t>
        </is>
      </c>
      <c r="AS17" s="24" t="inlineStr">
        <is>
          <t>mlb-ath</t>
        </is>
      </c>
      <c r="AT17" s="24" t="inlineStr">
        <is>
          <t>Athletics</t>
        </is>
      </c>
      <c r="AU17" s="24" t="inlineStr">
        <is>
          <t>Athletics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8360b122264b796b0fb193095cfe4506c7e064e5f3f8c0a659aec41efd08dd25</t>
        </is>
      </c>
      <c r="BB17" s="24" t="inlineStr">
        <is>
          <t>flat_probability_shrinkage_toward_half</t>
        </is>
      </c>
      <c r="BC17" s="24" t="inlineStr">
        <is>
          <t>measured-edge-margin-v2</t>
        </is>
      </c>
      <c r="BD17" s="24" t="inlineStr">
        <is>
          <t>8360b122264b796b0fb193095cfe4506c7e064e5f3f8c0a659aec41efd08dd25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2026-08-02T19:28:59.526399Z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>
        <v>1.70922</v>
      </c>
      <c r="BR17" s="28" t="n">
        <v>0.585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fba8185bd04d4604</t>
        </is>
      </c>
      <c r="B18" s="24" t="inlineStr">
        <is>
          <t>2026-08-02T19:28:59.526399Z</t>
        </is>
      </c>
      <c r="C18" s="24" t="inlineStr">
        <is>
          <t>2026-08-02T20:05Z</t>
        </is>
      </c>
      <c r="D18" s="24" t="inlineStr">
        <is>
          <t>401816373</t>
        </is>
      </c>
      <c r="E18" s="24" t="inlineStr">
        <is>
          <t>MLB</t>
        </is>
      </c>
      <c r="F18" s="24" t="inlineStr">
        <is>
          <t>Detroit Tigers</t>
        </is>
      </c>
      <c r="G18" s="24" t="inlineStr">
        <is>
          <t>Athletics</t>
        </is>
      </c>
      <c r="H18" s="24" t="inlineStr">
        <is>
          <t>total</t>
        </is>
      </c>
      <c r="I18" s="24" t="inlineStr">
        <is>
          <t>under</t>
        </is>
      </c>
      <c r="J18" s="25" t="n">
        <v>10.5</v>
      </c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0.522079</v>
      </c>
      <c r="P18" s="28" t="n">
        <v>0.042131</v>
      </c>
      <c r="Q18" s="28" t="n">
        <v>-0.017092</v>
      </c>
      <c r="R18" s="26" t="n">
        <v>17</v>
      </c>
      <c r="S18" s="29" t="n">
        <v>1</v>
      </c>
      <c r="T18" s="24" t="inlineStr">
        <is>
          <t>measured-edge-totals-v2</t>
        </is>
      </c>
      <c r="U18" s="24" t="inlineStr">
        <is>
          <t>settled</t>
        </is>
      </c>
      <c r="V18" s="24" t="inlineStr">
        <is>
          <t>loss</t>
        </is>
      </c>
      <c r="W18" s="26" t="n">
        <v>11</v>
      </c>
      <c r="X18" s="26" t="n">
        <v>0</v>
      </c>
      <c r="Y18" s="25" t="n">
        <v>10.5</v>
      </c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2026-08-03T02:34:00.657240Z</t>
        </is>
      </c>
      <c r="AE18" s="31" t="inlineStr">
        <is>
          <t>Measured Edge Totals: Trend Engine projected 5.88-4.54; raw selected-side p=0.5413, calibrated p=0.5221.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mlb-det</t>
        </is>
      </c>
      <c r="AQ18" s="24" t="inlineStr">
        <is>
          <t>Detroit Tigers</t>
        </is>
      </c>
      <c r="AR18" s="24" t="inlineStr">
        <is>
          <t>Detroit Tigers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433578016242b27f9c1c7132cc6b5a2bcc7dd1b0234590c12a944455a88e71bd</t>
        </is>
      </c>
      <c r="BB18" s="24" t="inlineStr">
        <is>
          <t>flat_probability_shrinkage_toward_half</t>
        </is>
      </c>
      <c r="BC18" s="24" t="inlineStr">
        <is>
          <t>measured-edge-totals-v2</t>
        </is>
      </c>
      <c r="BD18" s="24" t="inlineStr">
        <is>
          <t>433578016242b27f9c1c7132cc6b5a2bcc7dd1b0234590c12a944455a88e71bd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2026-08-02T19:28:59.526399Z</t>
        </is>
      </c>
      <c r="BI18" s="24" t="inlineStr">
        <is>
          <t>["same_event","same_team_same_day","same_league_same_day"]</t>
        </is>
      </c>
      <c r="BJ18" s="25" t="n">
        <v>10.5</v>
      </c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551ac37b9cdd47a6</t>
        </is>
      </c>
      <c r="B19" s="24" t="inlineStr">
        <is>
          <t>2026-08-02T19:28:59.526399Z</t>
        </is>
      </c>
      <c r="C19" s="24" t="inlineStr">
        <is>
          <t>2026-08-02T20:10Z</t>
        </is>
      </c>
      <c r="D19" s="24" t="inlineStr">
        <is>
          <t>401816375</t>
        </is>
      </c>
      <c r="E19" s="24" t="inlineStr">
        <is>
          <t>MLB</t>
        </is>
      </c>
      <c r="F19" s="24" t="inlineStr">
        <is>
          <t>Minnesota Twins</t>
        </is>
      </c>
      <c r="G19" s="24" t="inlineStr">
        <is>
          <t>Seattle Mariners</t>
        </is>
      </c>
      <c r="H19" s="24" t="inlineStr">
        <is>
          <t>spread</t>
        </is>
      </c>
      <c r="I19" s="24" t="inlineStr">
        <is>
          <t>away</t>
        </is>
      </c>
      <c r="J19" s="25" t="n">
        <v>1.5</v>
      </c>
      <c r="K19" s="24" t="inlineStr">
        <is>
          <t>polymarket_us</t>
        </is>
      </c>
      <c r="L19" s="26" t="n">
        <v>-174</v>
      </c>
      <c r="M19" s="27" t="n">
        <v>1.574713</v>
      </c>
      <c r="N19" s="28" t="n">
        <v>0.635036</v>
      </c>
      <c r="O19" s="28" t="n">
        <v>0.628678</v>
      </c>
      <c r="P19" s="28" t="n">
        <v>0.042131</v>
      </c>
      <c r="Q19" s="28" t="n">
        <v>-0.006358</v>
      </c>
      <c r="R19" s="26" t="n">
        <v>23</v>
      </c>
      <c r="S19" s="29" t="n">
        <v>1.5</v>
      </c>
      <c r="T19" s="24" t="inlineStr">
        <is>
          <t>measured-edge-margin-v2</t>
        </is>
      </c>
      <c r="U19" s="24" t="inlineStr">
        <is>
          <t>settled</t>
        </is>
      </c>
      <c r="V19" s="24" t="inlineStr">
        <is>
          <t>win</t>
        </is>
      </c>
      <c r="W19" s="26" t="n">
        <v>6</v>
      </c>
      <c r="X19" s="26" t="n">
        <v>7</v>
      </c>
      <c r="Y19" s="25" t="n">
        <v>1.5</v>
      </c>
      <c r="Z19" s="26" t="n">
        <v>-174</v>
      </c>
      <c r="AA19" s="28" t="n">
        <v>0.635</v>
      </c>
      <c r="AB19" s="28" t="n">
        <v>-3.6e-05</v>
      </c>
      <c r="AC19" s="30" t="n">
        <v>0.8621</v>
      </c>
      <c r="AD19" s="24" t="inlineStr">
        <is>
          <t>2026-08-02T23:11:54.514093Z</t>
        </is>
      </c>
      <c r="AE19" s="31" t="inlineStr">
        <is>
          <t>Measured Edge Margin: Trend Engine projected 4.08-3.93; raw selected-side p=0.6960, calibrated p=0.6287.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mlb-min</t>
        </is>
      </c>
      <c r="AQ19" s="24" t="inlineStr">
        <is>
          <t>Minnesota Twins</t>
        </is>
      </c>
      <c r="AR19" s="24" t="inlineStr">
        <is>
          <t>Minnesota Twins</t>
        </is>
      </c>
      <c r="AS19" s="24" t="inlineStr">
        <is>
          <t>mlb-sea</t>
        </is>
      </c>
      <c r="AT19" s="24" t="inlineStr">
        <is>
          <t>Seattle Mariners</t>
        </is>
      </c>
      <c r="AU19" s="24" t="inlineStr">
        <is>
          <t>Seattle Mariners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8360b122264b796b0fb193095cfe4506c7e064e5f3f8c0a659aec41efd08dd25</t>
        </is>
      </c>
      <c r="BB19" s="24" t="inlineStr">
        <is>
          <t>flat_probability_shrinkage_toward_half</t>
        </is>
      </c>
      <c r="BC19" s="24" t="inlineStr">
        <is>
          <t>measured-edge-margin-v2</t>
        </is>
      </c>
      <c r="BD19" s="24" t="inlineStr">
        <is>
          <t>8360b122264b796b0fb193095cfe4506c7e064e5f3f8c0a659aec41efd08dd25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2026-08-02T19:28:59.526399Z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-174</v>
      </c>
      <c r="BL19" s="27" t="n">
        <v>1.574713</v>
      </c>
      <c r="BM19" s="28" t="n">
        <v>0.635036</v>
      </c>
      <c r="BN19" s="28" t="n">
        <v>0.631841</v>
      </c>
      <c r="BO19" s="28" t="n"/>
      <c r="BP19" s="25" t="n"/>
      <c r="BQ19" s="27" t="n">
        <v>1.574713</v>
      </c>
      <c r="BR19" s="28" t="n">
        <v>0.635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90a935f06dfc4876</t>
        </is>
      </c>
      <c r="B20" s="24" t="inlineStr">
        <is>
          <t>2026-08-02T19:28:59.526399Z</t>
        </is>
      </c>
      <c r="C20" s="24" t="inlineStr">
        <is>
          <t>2026-08-02T20:10Z</t>
        </is>
      </c>
      <c r="D20" s="24" t="inlineStr">
        <is>
          <t>401816375</t>
        </is>
      </c>
      <c r="E20" s="24" t="inlineStr">
        <is>
          <t>MLB</t>
        </is>
      </c>
      <c r="F20" s="24" t="inlineStr">
        <is>
          <t>Minnesota Twins</t>
        </is>
      </c>
      <c r="G20" s="24" t="inlineStr">
        <is>
          <t>Seattle Mariners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0.554985</v>
      </c>
      <c r="P20" s="28" t="n">
        <v>0.042131</v>
      </c>
      <c r="Q20" s="28" t="n">
        <v>-0.004486</v>
      </c>
      <c r="R20" s="26" t="n">
        <v>24</v>
      </c>
      <c r="S20" s="29" t="n">
        <v>1</v>
      </c>
      <c r="T20" s="24" t="inlineStr">
        <is>
          <t>measured-edge-totals-v2</t>
        </is>
      </c>
      <c r="U20" s="24" t="inlineStr">
        <is>
          <t>settled</t>
        </is>
      </c>
      <c r="V20" s="24" t="inlineStr">
        <is>
          <t>win</t>
        </is>
      </c>
      <c r="W20" s="26" t="n">
        <v>6</v>
      </c>
      <c r="X20" s="26" t="n">
        <v>7</v>
      </c>
      <c r="Y20" s="25" t="n">
        <v>6.5</v>
      </c>
      <c r="Z20" s="26" t="n">
        <v>-127</v>
      </c>
      <c r="AA20" s="28" t="n">
        <v>0.5600000000000001</v>
      </c>
      <c r="AB20" s="28" t="n">
        <v>0.000529</v>
      </c>
      <c r="AC20" s="30" t="n">
        <v>0.7874</v>
      </c>
      <c r="AD20" s="24" t="inlineStr">
        <is>
          <t>2026-08-02T23:11:54.944996Z</t>
        </is>
      </c>
      <c r="AE20" s="31" t="inlineStr">
        <is>
          <t>Measured Edge Totals: Trend Engine projected 4.08-3.93; raw selected-side p=0.6377, calibrated p=0.5550.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mlb-min</t>
        </is>
      </c>
      <c r="AQ20" s="24" t="inlineStr">
        <is>
          <t>Minnesota Twins</t>
        </is>
      </c>
      <c r="AR20" s="24" t="inlineStr">
        <is>
          <t>Minnesota Twins</t>
        </is>
      </c>
      <c r="AS20" s="24" t="inlineStr">
        <is>
          <t>mlb-sea</t>
        </is>
      </c>
      <c r="AT20" s="24" t="inlineStr">
        <is>
          <t>Seattle Mariners</t>
        </is>
      </c>
      <c r="AU20" s="24" t="inlineStr">
        <is>
          <t>Seattle Mariners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433578016242b27f9c1c7132cc6b5a2bcc7dd1b0234590c12a944455a88e71bd</t>
        </is>
      </c>
      <c r="BB20" s="24" t="inlineStr">
        <is>
          <t>flat_probability_shrinkage_toward_half</t>
        </is>
      </c>
      <c r="BC20" s="24" t="inlineStr">
        <is>
          <t>measured-edge-totals-v2</t>
        </is>
      </c>
      <c r="BD20" s="24" t="inlineStr">
        <is>
          <t>433578016242b27f9c1c7132cc6b5a2bcc7dd1b0234590c12a944455a88e71bd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2026-08-02T19:28:59.526399Z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-127</v>
      </c>
      <c r="BL20" s="27" t="n">
        <v>1.787402</v>
      </c>
      <c r="BM20" s="28" t="n">
        <v>0.5594710000000001</v>
      </c>
      <c r="BN20" s="28" t="n">
        <v>0.557214</v>
      </c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5cc261330a804a9f</t>
        </is>
      </c>
      <c r="B21" s="24" t="inlineStr">
        <is>
          <t>2026-08-02T19:28:59.526399Z</t>
        </is>
      </c>
      <c r="C21" s="24" t="inlineStr">
        <is>
          <t>2026-08-02T20:10Z</t>
        </is>
      </c>
      <c r="D21" s="24" t="inlineStr">
        <is>
          <t>401816376</t>
        </is>
      </c>
      <c r="E21" s="24" t="inlineStr">
        <is>
          <t>MLB</t>
        </is>
      </c>
      <c r="F21" s="24" t="inlineStr">
        <is>
          <t>San Francisco Giants</t>
        </is>
      </c>
      <c r="G21" s="24" t="inlineStr">
        <is>
          <t>San Diego Padres</t>
        </is>
      </c>
      <c r="H21" s="24" t="inlineStr">
        <is>
          <t>spread</t>
        </is>
      </c>
      <c r="I21" s="24" t="inlineStr">
        <is>
          <t>away</t>
        </is>
      </c>
      <c r="J21" s="25" t="n">
        <v>1.5</v>
      </c>
      <c r="K21" s="24" t="inlineStr">
        <is>
          <t>polymarket_us</t>
        </is>
      </c>
      <c r="L21" s="26" t="n">
        <v>-182</v>
      </c>
      <c r="M21" s="27" t="n">
        <v>1.549451</v>
      </c>
      <c r="N21" s="28" t="n">
        <v>0.64539</v>
      </c>
      <c r="O21" s="28" t="n">
        <v>0.60355</v>
      </c>
      <c r="P21" s="28" t="n">
        <v>0.042131</v>
      </c>
      <c r="Q21" s="28" t="n">
        <v>-0.04184</v>
      </c>
      <c r="R21" s="26" t="n">
        <v>6</v>
      </c>
      <c r="S21" s="29" t="n">
        <v>1.5</v>
      </c>
      <c r="T21" s="24" t="inlineStr">
        <is>
          <t>measured-edge-margin-v2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>
        <v>1.5</v>
      </c>
      <c r="Z21" s="26" t="n">
        <v>-182</v>
      </c>
      <c r="AA21" s="28" t="n">
        <v>0.645</v>
      </c>
      <c r="AB21" s="28" t="n">
        <v>-0.00039</v>
      </c>
      <c r="AC21" s="30" t="n">
        <v>0.8242</v>
      </c>
      <c r="AD21" s="24" t="inlineStr">
        <is>
          <t>2026-08-03T02:34:01.066417Z</t>
        </is>
      </c>
      <c r="AE21" s="31" t="inlineStr">
        <is>
          <t>Measured Edge Margin: Trend Engine projected 4.68-4.77; raw selected-side p=0.6577, calibrated p=0.6035.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mlb-sf</t>
        </is>
      </c>
      <c r="AQ21" s="24" t="inlineStr">
        <is>
          <t>San Francisco Giants</t>
        </is>
      </c>
      <c r="AR21" s="24" t="inlineStr">
        <is>
          <t>San Francisco Giants</t>
        </is>
      </c>
      <c r="AS21" s="24" t="inlineStr">
        <is>
          <t>mlb-sd</t>
        </is>
      </c>
      <c r="AT21" s="24" t="inlineStr">
        <is>
          <t>San Diego Padres</t>
        </is>
      </c>
      <c r="AU21" s="24" t="inlineStr">
        <is>
          <t>San Diego Padres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8360b122264b796b0fb193095cfe4506c7e064e5f3f8c0a659aec41efd08dd25</t>
        </is>
      </c>
      <c r="BB21" s="24" t="inlineStr">
        <is>
          <t>flat_probability_shrinkage_toward_half</t>
        </is>
      </c>
      <c r="BC21" s="24" t="inlineStr">
        <is>
          <t>measured-edge-margin-v2</t>
        </is>
      </c>
      <c r="BD21" s="24" t="inlineStr">
        <is>
          <t>8360b122264b796b0fb193095cfe4506c7e064e5f3f8c0a659aec41efd08dd25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2026-08-02T19:28:59.526399Z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-182</v>
      </c>
      <c r="BL21" s="27" t="n">
        <v>1.549451</v>
      </c>
      <c r="BM21" s="28" t="n">
        <v>0.64539</v>
      </c>
      <c r="BN21" s="28" t="n">
        <v>0.641791</v>
      </c>
      <c r="BO21" s="28" t="n"/>
      <c r="BP21" s="25" t="n"/>
      <c r="BQ21" s="27" t="n">
        <v>1.549451</v>
      </c>
      <c r="BR21" s="28" t="n">
        <v>0.645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892fbebb535e481f</t>
        </is>
      </c>
      <c r="B22" s="24" t="inlineStr">
        <is>
          <t>2026-08-02T19:28:59.526399Z</t>
        </is>
      </c>
      <c r="C22" s="24" t="inlineStr">
        <is>
          <t>2026-08-02T20:10Z</t>
        </is>
      </c>
      <c r="D22" s="24" t="inlineStr">
        <is>
          <t>401816376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total</t>
        </is>
      </c>
      <c r="I22" s="24" t="inlineStr">
        <is>
          <t>over</t>
        </is>
      </c>
      <c r="J22" s="25" t="n">
        <v>7.5</v>
      </c>
      <c r="K22" s="24" t="inlineStr">
        <is>
          <t>polymarket_us</t>
        </is>
      </c>
      <c r="L22" s="26" t="n">
        <v>-120</v>
      </c>
      <c r="M22" s="27" t="n">
        <v>1.833333</v>
      </c>
      <c r="N22" s="28" t="n">
        <v>0.545455</v>
      </c>
      <c r="O22" s="28" t="n">
        <v>0.553687</v>
      </c>
      <c r="P22" s="28" t="n">
        <v>0.042131</v>
      </c>
      <c r="Q22" s="28" t="n">
        <v>0.008232</v>
      </c>
      <c r="R22" s="26" t="n">
        <v>30</v>
      </c>
      <c r="S22" s="29" t="n">
        <v>1</v>
      </c>
      <c r="T22" s="24" t="inlineStr">
        <is>
          <t>measured-edge-totals-v2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5</v>
      </c>
      <c r="Y22" s="25" t="n">
        <v>7.5</v>
      </c>
      <c r="Z22" s="26" t="n">
        <v>-120</v>
      </c>
      <c r="AA22" s="28" t="n">
        <v>0.545</v>
      </c>
      <c r="AB22" s="28" t="n">
        <v>-0.000455</v>
      </c>
      <c r="AC22" s="30" t="n">
        <v>0.8333</v>
      </c>
      <c r="AD22" s="24" t="inlineStr">
        <is>
          <t>2026-08-03T02:34:01.483858Z</t>
        </is>
      </c>
      <c r="AE22" s="31" t="inlineStr">
        <is>
          <t>Measured Edge Totals: Trend Engine projected 4.68-4.77; raw selected-side p=0.6339, calibrated p=0.5537.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433578016242b27f9c1c7132cc6b5a2bcc7dd1b0234590c12a944455a88e71bd</t>
        </is>
      </c>
      <c r="BB22" s="24" t="inlineStr">
        <is>
          <t>flat_probability_shrinkage_toward_half</t>
        </is>
      </c>
      <c r="BC22" s="24" t="inlineStr">
        <is>
          <t>measured-edge-totals-v2</t>
        </is>
      </c>
      <c r="BD22" s="24" t="inlineStr">
        <is>
          <t>433578016242b27f9c1c7132cc6b5a2bcc7dd1b0234590c12a944455a88e71bd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2026-08-02T19:28:59.526399Z</t>
        </is>
      </c>
      <c r="BI22" s="24" t="inlineStr">
        <is>
          <t>["same_event","same_team_same_day","same_league_same_day"]</t>
        </is>
      </c>
      <c r="BJ22" s="25" t="n">
        <v>7.5</v>
      </c>
      <c r="BK22" s="26" t="n">
        <v>-120</v>
      </c>
      <c r="BL22" s="27" t="n">
        <v>1.833333</v>
      </c>
      <c r="BM22" s="28" t="n">
        <v>0.545455</v>
      </c>
      <c r="BN22" s="28" t="n">
        <v>0.542289</v>
      </c>
      <c r="BO22" s="28" t="n"/>
      <c r="BP22" s="25" t="n"/>
      <c r="BQ22" s="27" t="n">
        <v>1.833333</v>
      </c>
      <c r="BR22" s="28" t="n">
        <v>0.545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5664b4ba17534427</t>
        </is>
      </c>
      <c r="B23" s="24" t="inlineStr">
        <is>
          <t>2026-08-02T23:14:42.456082Z</t>
        </is>
      </c>
      <c r="C23" s="24" t="inlineStr">
        <is>
          <t>2026-08-02T23:20Z</t>
        </is>
      </c>
      <c r="D23" s="24" t="inlineStr">
        <is>
          <t>401816372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Los Angeles Dodgers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-130</v>
      </c>
      <c r="M23" s="27" t="n">
        <v>1.769231</v>
      </c>
      <c r="N23" s="28" t="n">
        <v>0.565217</v>
      </c>
      <c r="O23" s="28" t="n">
        <v>0.660959</v>
      </c>
      <c r="P23" s="28" t="n">
        <v>0.042131</v>
      </c>
      <c r="Q23" s="28" t="n">
        <v>0.09574199999999999</v>
      </c>
      <c r="R23" s="26" t="n">
        <v>74</v>
      </c>
      <c r="S23" s="29" t="n">
        <v>1.75</v>
      </c>
      <c r="T23" s="24" t="inlineStr">
        <is>
          <t>measured-edge-margin-v2</t>
        </is>
      </c>
      <c r="U23" s="24" t="inlineStr">
        <is>
          <t>settled</t>
        </is>
      </c>
      <c r="V23" s="24" t="inlineStr">
        <is>
          <t>win</t>
        </is>
      </c>
      <c r="W23" s="26" t="n">
        <v>8</v>
      </c>
      <c r="X23" s="26" t="n">
        <v>4</v>
      </c>
      <c r="Y23" s="25" t="n">
        <v>1.5</v>
      </c>
      <c r="Z23" s="26" t="n">
        <v>-130</v>
      </c>
      <c r="AA23" s="28" t="n">
        <v>0.5649999999999999</v>
      </c>
      <c r="AB23" s="28" t="n">
        <v>-0.000217</v>
      </c>
      <c r="AC23" s="30" t="n">
        <v>1.3462</v>
      </c>
      <c r="AD23" s="24" t="inlineStr">
        <is>
          <t>2026-08-03T02:34:07.329140Z</t>
        </is>
      </c>
      <c r="AE23" s="31" t="inlineStr">
        <is>
          <t>Measured Edge Margin: Trend Engine projected 4.69-3.91; raw selected-side p=0.7452, calibrated p=0.6610.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8360b122264b796b0fb193095cfe4506c7e064e5f3f8c0a659aec41efd08dd25</t>
        </is>
      </c>
      <c r="BB23" s="24" t="inlineStr">
        <is>
          <t>flat_probability_shrinkage_toward_half</t>
        </is>
      </c>
      <c r="BC23" s="24" t="inlineStr">
        <is>
          <t>measured-edge-margin-v2</t>
        </is>
      </c>
      <c r="BD23" s="24" t="inlineStr">
        <is>
          <t>8360b122264b796b0fb193095cfe4506c7e064e5f3f8c0a659aec41efd08dd25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2026-08-02T23:14:42.456082Z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-130</v>
      </c>
      <c r="BL23" s="27" t="n">
        <v>1.769231</v>
      </c>
      <c r="BM23" s="28" t="n">
        <v>0.565217</v>
      </c>
      <c r="BN23" s="28" t="n">
        <v>0.562189</v>
      </c>
      <c r="BO23" s="28" t="n"/>
      <c r="BP23" s="25" t="n"/>
      <c r="BQ23" s="27" t="n">
        <v>1.769231</v>
      </c>
      <c r="BR23" s="28" t="n">
        <v>0.5649999999999999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1efe503acb9444bb</t>
        </is>
      </c>
      <c r="B24" s="24" t="inlineStr">
        <is>
          <t>2026-08-02T23:14:42.456082Z</t>
        </is>
      </c>
      <c r="C24" s="24" t="inlineStr">
        <is>
          <t>2026-08-02T23:20Z</t>
        </is>
      </c>
      <c r="D24" s="24" t="inlineStr">
        <is>
          <t>401816372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Los Angeles Dodgers</t>
        </is>
      </c>
      <c r="H24" s="24" t="inlineStr">
        <is>
          <t>total</t>
        </is>
      </c>
      <c r="I24" s="24" t="inlineStr">
        <is>
          <t>under</t>
        </is>
      </c>
      <c r="J24" s="25" t="n">
        <v>8.5</v>
      </c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0.516783</v>
      </c>
      <c r="P24" s="28" t="n">
        <v>0.042131</v>
      </c>
      <c r="Q24" s="28" t="n">
        <v>0.011833</v>
      </c>
      <c r="R24" s="26" t="n">
        <v>32</v>
      </c>
      <c r="S24" s="29" t="n">
        <v>1</v>
      </c>
      <c r="T24" s="24" t="inlineStr">
        <is>
          <t>measured-edge-totals-v2</t>
        </is>
      </c>
      <c r="U24" s="24" t="inlineStr">
        <is>
          <t>settled</t>
        </is>
      </c>
      <c r="V24" s="24" t="inlineStr">
        <is>
          <t>loss</t>
        </is>
      </c>
      <c r="W24" s="26" t="n">
        <v>8</v>
      </c>
      <c r="X24" s="26" t="n">
        <v>4</v>
      </c>
      <c r="Y24" s="25" t="n">
        <v>8.5</v>
      </c>
      <c r="Z24" s="26" t="n">
        <v>-102</v>
      </c>
      <c r="AA24" s="28" t="n">
        <v>0.505</v>
      </c>
      <c r="AB24" s="28" t="n">
        <v>5e-05</v>
      </c>
      <c r="AC24" s="30" t="n">
        <v>-1</v>
      </c>
      <c r="AD24" s="24" t="inlineStr">
        <is>
          <t>2026-08-03T02:34:07.740891Z</t>
        </is>
      </c>
      <c r="AE24" s="31" t="inlineStr">
        <is>
          <t>Measured Edge Totals: Trend Engine projected 4.69-3.91; raw selected-side p=0.5259, calibrated p=0.5168.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mlb-lad</t>
        </is>
      </c>
      <c r="AT24" s="24" t="inlineStr">
        <is>
          <t>Los Angeles Dodgers</t>
        </is>
      </c>
      <c r="AU24" s="24" t="inlineStr">
        <is>
          <t>Los Angeles Dodgers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433578016242b27f9c1c7132cc6b5a2bcc7dd1b0234590c12a944455a88e71bd</t>
        </is>
      </c>
      <c r="BB24" s="24" t="inlineStr">
        <is>
          <t>flat_probability_shrinkage_toward_half</t>
        </is>
      </c>
      <c r="BC24" s="24" t="inlineStr">
        <is>
          <t>measured-edge-totals-v2</t>
        </is>
      </c>
      <c r="BD24" s="24" t="inlineStr">
        <is>
          <t>433578016242b27f9c1c7132cc6b5a2bcc7dd1b0234590c12a944455a88e71bd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2026-08-02T23:14:42.456082Z</t>
        </is>
      </c>
      <c r="BI24" s="24" t="inlineStr">
        <is>
          <t>["same_event","same_team_same_day","same_league_same_day"]</t>
        </is>
      </c>
      <c r="BJ24" s="25" t="n">
        <v>8.5</v>
      </c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>
        <v>1.980392</v>
      </c>
      <c r="BR24" s="28" t="n">
        <v>0.505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fa92044f1cb64a9b</t>
        </is>
      </c>
      <c r="B25" s="24" t="inlineStr">
        <is>
          <t>2026-08-03T19:53:28.238725Z</t>
        </is>
      </c>
      <c r="C25" s="24" t="inlineStr">
        <is>
          <t>2026-08-03T22:40Z</t>
        </is>
      </c>
      <c r="D25" s="24" t="inlineStr">
        <is>
          <t>401816378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Philadelphia Phillies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-147</v>
      </c>
      <c r="M25" s="27" t="n">
        <v>1.680272</v>
      </c>
      <c r="N25" s="28" t="n">
        <v>0.5951419999999999</v>
      </c>
      <c r="O25" s="28" t="n">
        <v>0.590231</v>
      </c>
      <c r="P25" s="28" t="n">
        <v>0.042131</v>
      </c>
      <c r="Q25" s="28" t="n">
        <v>-0.004911</v>
      </c>
      <c r="R25" s="26" t="n">
        <v>24</v>
      </c>
      <c r="S25" s="29" t="n">
        <v>1.25</v>
      </c>
      <c r="T25" s="24" t="inlineStr">
        <is>
          <t>measured-edge-margin-v2</t>
        </is>
      </c>
      <c r="U25" s="24" t="inlineStr">
        <is>
          <t>settled</t>
        </is>
      </c>
      <c r="V25" s="24" t="inlineStr">
        <is>
          <t>loss</t>
        </is>
      </c>
      <c r="W25" s="26" t="n">
        <v>3</v>
      </c>
      <c r="X25" s="26" t="n">
        <v>6</v>
      </c>
      <c r="Y25" s="25" t="n">
        <v>1.5</v>
      </c>
      <c r="Z25" s="26" t="n">
        <v>-147</v>
      </c>
      <c r="AA25" s="28" t="n">
        <v>0.595</v>
      </c>
      <c r="AB25" s="28" t="n">
        <v>-0.000142</v>
      </c>
      <c r="AC25" s="30" t="n">
        <v>-1.25</v>
      </c>
      <c r="AD25" s="24" t="inlineStr">
        <is>
          <t>2026-08-04T01:58:21.487336Z</t>
        </is>
      </c>
      <c r="AE25" s="31" t="inlineStr">
        <is>
          <t>Measured Edge Margin: Trend Engine projected 4.77-5.05; raw selected-side p=0.6374, calibrated p=0.5902.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mlb-phi</t>
        </is>
      </c>
      <c r="AT25" s="24" t="inlineStr">
        <is>
          <t>Philadelphia Phillies</t>
        </is>
      </c>
      <c r="AU25" s="24" t="inlineStr">
        <is>
          <t>Philadelphia Phillies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8360b122264b796b0fb193095cfe4506c7e064e5f3f8c0a659aec41efd08dd25</t>
        </is>
      </c>
      <c r="BB25" s="24" t="inlineStr">
        <is>
          <t>flat_probability_shrinkage_toward_half</t>
        </is>
      </c>
      <c r="BC25" s="24" t="inlineStr">
        <is>
          <t>measured-edge-margin-v2</t>
        </is>
      </c>
      <c r="BD25" s="24" t="inlineStr">
        <is>
          <t>8360b122264b796b0fb193095cfe4506c7e064e5f3f8c0a659aec41efd08dd25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2026-08-03T19:53:28.238725Z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-147</v>
      </c>
      <c r="BL25" s="27" t="n">
        <v>1.680272</v>
      </c>
      <c r="BM25" s="28" t="n">
        <v>0.5951419999999999</v>
      </c>
      <c r="BN25" s="28" t="n">
        <v>0.59204</v>
      </c>
      <c r="BO25" s="28" t="n"/>
      <c r="BP25" s="25" t="n"/>
      <c r="BQ25" s="27" t="n">
        <v>1.680272</v>
      </c>
      <c r="BR25" s="28" t="n">
        <v>0.595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0275e417eb754ad6</t>
        </is>
      </c>
      <c r="B26" s="24" t="inlineStr">
        <is>
          <t>2026-08-03T19:53:28.238725Z</t>
        </is>
      </c>
      <c r="C26" s="24" t="inlineStr">
        <is>
          <t>2026-08-03T22:40Z</t>
        </is>
      </c>
      <c r="D26" s="24" t="inlineStr">
        <is>
          <t>401816378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Philadelphia Phillies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0.514391</v>
      </c>
      <c r="P26" s="28" t="n">
        <v>0.042131</v>
      </c>
      <c r="Q26" s="28" t="n">
        <v>-0.020493</v>
      </c>
      <c r="R26" s="26" t="n">
        <v>16</v>
      </c>
      <c r="S26" s="29" t="n">
        <v>1</v>
      </c>
      <c r="T26" s="24" t="inlineStr">
        <is>
          <t>measured-edge-totals-v2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6</v>
      </c>
      <c r="Y26" s="25" t="n">
        <v>9.5</v>
      </c>
      <c r="Z26" s="26" t="n">
        <v>-115</v>
      </c>
      <c r="AA26" s="28" t="n">
        <v>0.535</v>
      </c>
      <c r="AB26" s="28" t="n">
        <v>0.000116</v>
      </c>
      <c r="AC26" s="30" t="n">
        <v>0.8696</v>
      </c>
      <c r="AD26" s="24" t="inlineStr">
        <is>
          <t>2026-08-04T01:58:21.725818Z</t>
        </is>
      </c>
      <c r="AE26" s="31" t="inlineStr">
        <is>
          <t>Measured Edge Totals: Trend Engine projected 4.77-5.05; raw selected-side p=0.5189, calibrated p=0.5144.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mlb-phi</t>
        </is>
      </c>
      <c r="AT26" s="24" t="inlineStr">
        <is>
          <t>Philadelphia Phillies</t>
        </is>
      </c>
      <c r="AU26" s="24" t="inlineStr">
        <is>
          <t>Philadelphia Phillies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433578016242b27f9c1c7132cc6b5a2bcc7dd1b0234590c12a944455a88e71bd</t>
        </is>
      </c>
      <c r="BB26" s="24" t="inlineStr">
        <is>
          <t>flat_probability_shrinkage_toward_half</t>
        </is>
      </c>
      <c r="BC26" s="24" t="inlineStr">
        <is>
          <t>measured-edge-totals-v2</t>
        </is>
      </c>
      <c r="BD26" s="24" t="inlineStr">
        <is>
          <t>433578016242b27f9c1c7132cc6b5a2bcc7dd1b0234590c12a944455a88e71bd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2026-08-03T19:53:28.238725Z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1.869565</v>
      </c>
      <c r="BR26" s="28" t="n">
        <v>0.535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d730a06555014c54</t>
        </is>
      </c>
      <c r="B27" s="24" t="inlineStr">
        <is>
          <t>2026-08-03T22:56:28.208831Z</t>
        </is>
      </c>
      <c r="C27" s="24" t="inlineStr">
        <is>
          <t>2026-08-03T20:40:00-0400</t>
        </is>
      </c>
      <c r="D27" s="24" t="inlineStr">
        <is>
          <t>401816383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0.6482059999999999</v>
      </c>
      <c r="P27" s="28" t="n"/>
      <c r="Q27" s="28" t="n">
        <v>0.018576</v>
      </c>
      <c r="R27" s="26" t="n">
        <v>31</v>
      </c>
      <c r="S27" s="29" t="n">
        <v>1.75</v>
      </c>
      <c r="T27" s="24" t="inlineStr">
        <is>
          <t>mlb-elo-trend-lr-v7</t>
        </is>
      </c>
      <c r="U27" s="24" t="inlineStr">
        <is>
          <t>settled</t>
        </is>
      </c>
      <c r="V27" s="24" t="inlineStr">
        <is>
          <t>win</t>
        </is>
      </c>
      <c r="W27" s="26" t="n">
        <v>13</v>
      </c>
      <c r="X27" s="26" t="n">
        <v>9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2026-08-04T03:57:43.617747Z</t>
        </is>
      </c>
      <c r="AE27" s="31" t="inlineStr">
        <is>
          <t>Learned LR call at threshold 0.6242; executable ask 0.6300 (aec-mlb-tb-col-2026-08-03); model edge vs ask +0.0182.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mlb-tb</t>
        </is>
      </c>
      <c r="AQ27" s="24" t="inlineStr">
        <is>
          <t>Tampa Bay Rays</t>
        </is>
      </c>
      <c r="AR27" s="24" t="inlineStr">
        <is>
          <t>Tampa Bay Rays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464eef695bfbbdaa819ec6f5e4c5bd1068ed20b92915fb2677220ae91e20d8b6</t>
        </is>
      </c>
      <c r="BB27" s="24" t="inlineStr">
        <is>
          <t>learned_lr</t>
        </is>
      </c>
      <c r="BC27" s="24" t="inlineStr">
        <is>
          <t>mlb-elo-trend-lr-v7</t>
        </is>
      </c>
      <c r="BD27" s="24" t="inlineStr">
        <is>
          <t>464eef695bfbbdaa819ec6f5e4c5bd1068ed20b92915fb2677220ae91e20d8b6</t>
        </is>
      </c>
      <c r="BE27" s="24" t="inlineStr">
        <is>
          <t>d8aa2e63047d9809</t>
        </is>
      </c>
      <c r="BF27" s="24" t="inlineStr">
        <is>
          <t>1</t>
        </is>
      </c>
      <c r="BG27" s="24" t="inlineStr">
        <is>
          <t>mlb-elo-trend-lr-v7</t>
        </is>
      </c>
      <c r="BH27" s="24" t="inlineStr">
        <is>
          <t>2026-08-03T22:56:01.752802Z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>
        <v>0.626866</v>
      </c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0.3824194159</t>
        </is>
      </c>
      <c r="CD27" s="24" t="inlineStr">
        <is>
          <t>2.647689</t>
        </is>
      </c>
      <c r="CE27" s="24" t="inlineStr">
        <is>
          <t>1.193</t>
        </is>
      </c>
      <c r="CF27" s="24" t="inlineStr">
        <is>
          <t>1.0225</t>
        </is>
      </c>
      <c r="CG27" s="24" t="inlineStr">
        <is>
          <t>0.4</t>
        </is>
      </c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0.648206</t>
        </is>
      </c>
      <c r="CS27" s="24" t="inlineStr">
        <is>
          <t>True</t>
        </is>
      </c>
    </row>
    <row r="28" ht="36" customHeight="1">
      <c r="A28" s="24" t="inlineStr">
        <is>
          <t>dffae253268445c2</t>
        </is>
      </c>
      <c r="B28" s="24" t="inlineStr">
        <is>
          <t>2026-08-03T22:56:38.586421Z</t>
        </is>
      </c>
      <c r="C28" s="24" t="inlineStr">
        <is>
          <t>2026-08-03T23:05Z</t>
        </is>
      </c>
      <c r="D28" s="24" t="inlineStr">
        <is>
          <t>401816377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New York Yankees</t>
        </is>
      </c>
      <c r="H28" s="24" t="inlineStr">
        <is>
          <t>spread</t>
        </is>
      </c>
      <c r="I28" s="24" t="inlineStr">
        <is>
          <t>away</t>
        </is>
      </c>
      <c r="J28" s="25" t="n">
        <v>1.5</v>
      </c>
      <c r="K28" s="24" t="inlineStr">
        <is>
          <t>polymarket_us</t>
        </is>
      </c>
      <c r="L28" s="26" t="n">
        <v>106</v>
      </c>
      <c r="M28" s="27" t="n">
        <v>2.06</v>
      </c>
      <c r="N28" s="28" t="n">
        <v>0.485437</v>
      </c>
      <c r="O28" s="28" t="n">
        <v>0.522193</v>
      </c>
      <c r="P28" s="28" t="n">
        <v>0.042131</v>
      </c>
      <c r="Q28" s="28" t="n">
        <v>0.036756</v>
      </c>
      <c r="R28" s="26" t="n">
        <v>45</v>
      </c>
      <c r="S28" s="29" t="n">
        <v>1</v>
      </c>
      <c r="T28" s="24" t="inlineStr">
        <is>
          <t>measured-edge-margin-v2</t>
        </is>
      </c>
      <c r="U28" s="24" t="inlineStr">
        <is>
          <t>settled</t>
        </is>
      </c>
      <c r="V28" s="24" t="inlineStr">
        <is>
          <t>win</t>
        </is>
      </c>
      <c r="W28" s="26" t="n">
        <v>13</v>
      </c>
      <c r="X28" s="26" t="n">
        <v>7</v>
      </c>
      <c r="Y28" s="25" t="n">
        <v>1.5</v>
      </c>
      <c r="Z28" s="26" t="n">
        <v>106</v>
      </c>
      <c r="AA28" s="28" t="n">
        <v>0.485</v>
      </c>
      <c r="AB28" s="28" t="n">
        <v>-0.000437</v>
      </c>
      <c r="AC28" s="30" t="n">
        <v>1.06</v>
      </c>
      <c r="AD28" s="24" t="inlineStr">
        <is>
          <t>2026-08-04T03:57:44.308486Z</t>
        </is>
      </c>
      <c r="AE28" s="31" t="inlineStr">
        <is>
          <t>Measured Edge Margin: Trend Engine projected 3.04-4.45; raw selected-side p=0.5337, calibrated p=0.5222.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mlb-stl</t>
        </is>
      </c>
      <c r="AQ28" s="24" t="inlineStr">
        <is>
          <t>St. Louis Cardinals</t>
        </is>
      </c>
      <c r="AR28" s="24" t="inlineStr">
        <is>
          <t>St. Louis Cardinals</t>
        </is>
      </c>
      <c r="AS28" s="24" t="inlineStr">
        <is>
          <t>mlb-nyy</t>
        </is>
      </c>
      <c r="AT28" s="24" t="inlineStr">
        <is>
          <t>New York Yankees</t>
        </is>
      </c>
      <c r="AU28" s="24" t="inlineStr">
        <is>
          <t>New York Yankees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8360b122264b796b0fb193095cfe4506c7e064e5f3f8c0a659aec41efd08dd25</t>
        </is>
      </c>
      <c r="BB28" s="24" t="inlineStr">
        <is>
          <t>flat_probability_shrinkage_toward_half</t>
        </is>
      </c>
      <c r="BC28" s="24" t="inlineStr">
        <is>
          <t>measured-edge-margin-v2</t>
        </is>
      </c>
      <c r="BD28" s="24" t="inlineStr">
        <is>
          <t>8360b122264b796b0fb193095cfe4506c7e064e5f3f8c0a659aec41efd08dd25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2026-08-03T22:56:38.586421Z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106</v>
      </c>
      <c r="BL28" s="27" t="n">
        <v>2.06</v>
      </c>
      <c r="BM28" s="28" t="n">
        <v>0.485437</v>
      </c>
      <c r="BN28" s="28" t="n">
        <v>0.482587</v>
      </c>
      <c r="BO28" s="28" t="n"/>
      <c r="BP28" s="25" t="n"/>
      <c r="BQ28" s="27" t="n">
        <v>2.06</v>
      </c>
      <c r="BR28" s="28" t="n">
        <v>0.485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ecf02b66bf964ec1</t>
        </is>
      </c>
      <c r="B29" s="24" t="inlineStr">
        <is>
          <t>2026-08-03T22:56:38.586421Z</t>
        </is>
      </c>
      <c r="C29" s="24" t="inlineStr">
        <is>
          <t>2026-08-03T23:05Z</t>
        </is>
      </c>
      <c r="D29" s="24" t="inlineStr">
        <is>
          <t>401816377</t>
        </is>
      </c>
      <c r="E29" s="24" t="inlineStr">
        <is>
          <t>MLB</t>
        </is>
      </c>
      <c r="F29" s="24" t="inlineStr">
        <is>
          <t>St. Louis Cardinals</t>
        </is>
      </c>
      <c r="G29" s="24" t="inlineStr">
        <is>
          <t>New York Yankees</t>
        </is>
      </c>
      <c r="H29" s="24" t="inlineStr">
        <is>
          <t>total</t>
        </is>
      </c>
      <c r="I29" s="24" t="inlineStr">
        <is>
          <t>under</t>
        </is>
      </c>
      <c r="J29" s="25" t="n">
        <v>7.5</v>
      </c>
      <c r="K29" s="24" t="inlineStr">
        <is>
          <t>polymarket_us</t>
        </is>
      </c>
      <c r="L29" s="26" t="n">
        <v>115</v>
      </c>
      <c r="M29" s="27" t="n">
        <v>2.15</v>
      </c>
      <c r="N29" s="28" t="n">
        <v>0.465116</v>
      </c>
      <c r="O29" s="28" t="n">
        <v>0.526111</v>
      </c>
      <c r="P29" s="28" t="n">
        <v>0.042131</v>
      </c>
      <c r="Q29" s="28" t="n">
        <v>0.060995</v>
      </c>
      <c r="R29" s="26" t="n">
        <v>56</v>
      </c>
      <c r="S29" s="29" t="n">
        <v>1</v>
      </c>
      <c r="T29" s="24" t="inlineStr">
        <is>
          <t>measured-edge-totals-v2</t>
        </is>
      </c>
      <c r="U29" s="24" t="inlineStr">
        <is>
          <t>settled</t>
        </is>
      </c>
      <c r="V29" s="24" t="inlineStr">
        <is>
          <t>loss</t>
        </is>
      </c>
      <c r="W29" s="26" t="n">
        <v>13</v>
      </c>
      <c r="X29" s="26" t="n">
        <v>7</v>
      </c>
      <c r="Y29" s="25" t="n">
        <v>7.5</v>
      </c>
      <c r="Z29" s="26" t="n">
        <v>115</v>
      </c>
      <c r="AA29" s="28" t="n">
        <v>0.465</v>
      </c>
      <c r="AB29" s="28" t="n">
        <v>-0.000116</v>
      </c>
      <c r="AC29" s="30" t="n">
        <v>-1</v>
      </c>
      <c r="AD29" s="24" t="inlineStr">
        <is>
          <t>2026-08-04T03:57:44.569551Z</t>
        </is>
      </c>
      <c r="AE29" s="31" t="inlineStr">
        <is>
          <t>Measured Edge Totals: Trend Engine projected 3.04-4.45; raw selected-side p=0.5532, calibrated p=0.5261.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mlb-stl</t>
        </is>
      </c>
      <c r="AQ29" s="24" t="inlineStr">
        <is>
          <t>St. Louis Cardinals</t>
        </is>
      </c>
      <c r="AR29" s="24" t="inlineStr">
        <is>
          <t>St. Louis Cardinals</t>
        </is>
      </c>
      <c r="AS29" s="24" t="inlineStr">
        <is>
          <t>mlb-nyy</t>
        </is>
      </c>
      <c r="AT29" s="24" t="inlineStr">
        <is>
          <t>New York Yankees</t>
        </is>
      </c>
      <c r="AU29" s="24" t="inlineStr">
        <is>
          <t>New York Yankees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433578016242b27f9c1c7132cc6b5a2bcc7dd1b0234590c12a944455a88e71bd</t>
        </is>
      </c>
      <c r="BB29" s="24" t="inlineStr">
        <is>
          <t>flat_probability_shrinkage_toward_half</t>
        </is>
      </c>
      <c r="BC29" s="24" t="inlineStr">
        <is>
          <t>measured-edge-totals-v2</t>
        </is>
      </c>
      <c r="BD29" s="24" t="inlineStr">
        <is>
          <t>433578016242b27f9c1c7132cc6b5a2bcc7dd1b0234590c12a944455a88e71bd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2026-08-03T22:56:38.586421Z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115</v>
      </c>
      <c r="BL29" s="27" t="n">
        <v>2.15</v>
      </c>
      <c r="BM29" s="28" t="n">
        <v>0.465116</v>
      </c>
      <c r="BN29" s="28" t="n">
        <v>0.462687</v>
      </c>
      <c r="BO29" s="28" t="n"/>
      <c r="BP29" s="25" t="n"/>
      <c r="BQ29" s="27" t="n">
        <v>2.15</v>
      </c>
      <c r="BR29" s="28" t="n">
        <v>0.465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84aa0f06755f4b61</t>
        </is>
      </c>
      <c r="B30" s="24" t="inlineStr">
        <is>
          <t>2026-08-03T22:56:38.586421Z</t>
        </is>
      </c>
      <c r="C30" s="24" t="inlineStr">
        <is>
          <t>2026-08-03T23:40Z</t>
        </is>
      </c>
      <c r="D30" s="24" t="inlineStr">
        <is>
          <t>401816380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Milwaukee Brewers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-153</v>
      </c>
      <c r="M30" s="27" t="n">
        <v>1.653595</v>
      </c>
      <c r="N30" s="28" t="n">
        <v>0.604743</v>
      </c>
      <c r="O30" s="28" t="n">
        <v>0.579668</v>
      </c>
      <c r="P30" s="28" t="n">
        <v>0.042131</v>
      </c>
      <c r="Q30" s="28" t="n">
        <v>-0.025075</v>
      </c>
      <c r="R30" s="26" t="n">
        <v>14</v>
      </c>
      <c r="S30" s="29" t="n">
        <v>1.25</v>
      </c>
      <c r="T30" s="24" t="inlineStr">
        <is>
          <t>measured-edge-margin-v2</t>
        </is>
      </c>
      <c r="U30" s="24" t="inlineStr">
        <is>
          <t>settled</t>
        </is>
      </c>
      <c r="V30" s="24" t="inlineStr">
        <is>
          <t>win</t>
        </is>
      </c>
      <c r="W30" s="26" t="n">
        <v>4</v>
      </c>
      <c r="X30" s="26" t="n">
        <v>3</v>
      </c>
      <c r="Y30" s="25" t="n">
        <v>1.5</v>
      </c>
      <c r="Z30" s="26" t="n">
        <v>-153</v>
      </c>
      <c r="AA30" s="28" t="n">
        <v>0.605</v>
      </c>
      <c r="AB30" s="28" t="n">
        <v>0.000257</v>
      </c>
      <c r="AC30" s="30" t="n">
        <v>0.8169999999999999</v>
      </c>
      <c r="AD30" s="24" t="inlineStr">
        <is>
          <t>2026-08-04T03:57:44.819685Z</t>
        </is>
      </c>
      <c r="AE30" s="31" t="inlineStr">
        <is>
          <t>Measured Edge Margin: Trend Engine projected 4.45-4.93; raw selected-side p=0.6213, calibrated p=0.5797.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mlb-mil</t>
        </is>
      </c>
      <c r="AT30" s="24" t="inlineStr">
        <is>
          <t>Milwaukee Brewers</t>
        </is>
      </c>
      <c r="AU30" s="24" t="inlineStr">
        <is>
          <t>Milwaukee Brewers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8360b122264b796b0fb193095cfe4506c7e064e5f3f8c0a659aec41efd08dd25</t>
        </is>
      </c>
      <c r="BB30" s="24" t="inlineStr">
        <is>
          <t>flat_probability_shrinkage_toward_half</t>
        </is>
      </c>
      <c r="BC30" s="24" t="inlineStr">
        <is>
          <t>measured-edge-margin-v2</t>
        </is>
      </c>
      <c r="BD30" s="24" t="inlineStr">
        <is>
          <t>8360b122264b796b0fb193095cfe4506c7e064e5f3f8c0a659aec41efd08dd25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2026-08-03T22:56:38.586421Z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-153</v>
      </c>
      <c r="BL30" s="27" t="n">
        <v>1.653595</v>
      </c>
      <c r="BM30" s="28" t="n">
        <v>0.604743</v>
      </c>
      <c r="BN30" s="28" t="n">
        <v>0.60199</v>
      </c>
      <c r="BO30" s="28" t="n"/>
      <c r="BP30" s="25" t="n"/>
      <c r="BQ30" s="27" t="n">
        <v>1.653595</v>
      </c>
      <c r="BR30" s="28" t="n">
        <v>0.605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b04b32b8a9f34d93</t>
        </is>
      </c>
      <c r="B31" s="24" t="inlineStr">
        <is>
          <t>2026-08-03T22:56:38.586421Z</t>
        </is>
      </c>
      <c r="C31" s="24" t="inlineStr">
        <is>
          <t>2026-08-03T23:40Z</t>
        </is>
      </c>
      <c r="D31" s="24" t="inlineStr">
        <is>
          <t>401816380</t>
        </is>
      </c>
      <c r="E31" s="24" t="inlineStr">
        <is>
          <t>MLB</t>
        </is>
      </c>
      <c r="F31" s="24" t="inlineStr">
        <is>
          <t>Pittsburgh Pirates</t>
        </is>
      </c>
      <c r="G31" s="24" t="inlineStr">
        <is>
          <t>Milwaukee Brewers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104</v>
      </c>
      <c r="M31" s="27" t="n">
        <v>2.04</v>
      </c>
      <c r="N31" s="28" t="n">
        <v>0.490196</v>
      </c>
      <c r="O31" s="28" t="n">
        <v>0.522643</v>
      </c>
      <c r="P31" s="28" t="n">
        <v>0.042131</v>
      </c>
      <c r="Q31" s="28" t="n">
        <v>0.032447</v>
      </c>
      <c r="R31" s="26" t="n">
        <v>42</v>
      </c>
      <c r="S31" s="29" t="n">
        <v>1</v>
      </c>
      <c r="T31" s="24" t="inlineStr">
        <is>
          <t>measured-edge-totals-v2</t>
        </is>
      </c>
      <c r="U31" s="24" t="inlineStr">
        <is>
          <t>settled</t>
        </is>
      </c>
      <c r="V31" s="24" t="inlineStr">
        <is>
          <t>loss</t>
        </is>
      </c>
      <c r="W31" s="26" t="n">
        <v>4</v>
      </c>
      <c r="X31" s="26" t="n">
        <v>3</v>
      </c>
      <c r="Y31" s="25" t="n">
        <v>8.5</v>
      </c>
      <c r="Z31" s="26" t="n">
        <v>104</v>
      </c>
      <c r="AA31" s="28" t="n">
        <v>0.49</v>
      </c>
      <c r="AB31" s="28" t="n">
        <v>-0.000196</v>
      </c>
      <c r="AC31" s="30" t="n">
        <v>-1</v>
      </c>
      <c r="AD31" s="24" t="inlineStr">
        <is>
          <t>2026-08-04T03:57:45.088563Z</t>
        </is>
      </c>
      <c r="AE31" s="31" t="inlineStr">
        <is>
          <t>Measured Edge Totals: Trend Engine projected 4.45-4.93; raw selected-side p=0.5430, calibrated p=0.5226.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mlb-pit</t>
        </is>
      </c>
      <c r="AQ31" s="24" t="inlineStr">
        <is>
          <t>Pittsburgh Pirates</t>
        </is>
      </c>
      <c r="AR31" s="24" t="inlineStr">
        <is>
          <t>Pittsburgh Pirates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433578016242b27f9c1c7132cc6b5a2bcc7dd1b0234590c12a944455a88e71bd</t>
        </is>
      </c>
      <c r="BB31" s="24" t="inlineStr">
        <is>
          <t>flat_probability_shrinkage_toward_half</t>
        </is>
      </c>
      <c r="BC31" s="24" t="inlineStr">
        <is>
          <t>measured-edge-totals-v2</t>
        </is>
      </c>
      <c r="BD31" s="24" t="inlineStr">
        <is>
          <t>433578016242b27f9c1c7132cc6b5a2bcc7dd1b0234590c12a944455a88e71bd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2026-08-03T22:56:38.586421Z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104</v>
      </c>
      <c r="BL31" s="27" t="n">
        <v>2.04</v>
      </c>
      <c r="BM31" s="28" t="n">
        <v>0.490196</v>
      </c>
      <c r="BN31" s="28" t="n">
        <v>0.487562</v>
      </c>
      <c r="BO31" s="28" t="n"/>
      <c r="BP31" s="25" t="n"/>
      <c r="BQ31" s="27" t="n">
        <v>2.04</v>
      </c>
      <c r="BR31" s="28" t="n">
        <v>0.49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e5550177d4be418a</t>
        </is>
      </c>
      <c r="B32" s="24" t="inlineStr">
        <is>
          <t>2026-08-03T22:56:38.586421Z</t>
        </is>
      </c>
      <c r="C32" s="24" t="inlineStr">
        <is>
          <t>2026-08-04T00:00Z</t>
        </is>
      </c>
      <c r="D32" s="24" t="inlineStr">
        <is>
          <t>401816381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Texas Rangers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-186</v>
      </c>
      <c r="M32" s="27" t="n">
        <v>1.537634</v>
      </c>
      <c r="N32" s="28" t="n">
        <v>0.65035</v>
      </c>
      <c r="O32" s="28" t="n">
        <v>0.596234</v>
      </c>
      <c r="P32" s="28" t="n">
        <v>0.042131</v>
      </c>
      <c r="Q32" s="28" t="n">
        <v>-0.054116</v>
      </c>
      <c r="R32" s="26" t="n">
        <v>0</v>
      </c>
      <c r="S32" s="29" t="n">
        <v>1.25</v>
      </c>
      <c r="T32" s="24" t="inlineStr">
        <is>
          <t>measured-edge-margin-v2</t>
        </is>
      </c>
      <c r="U32" s="24" t="inlineStr">
        <is>
          <t>settled</t>
        </is>
      </c>
      <c r="V32" s="24" t="inlineStr">
        <is>
          <t>win</t>
        </is>
      </c>
      <c r="W32" s="26" t="n">
        <v>5</v>
      </c>
      <c r="X32" s="26" t="n">
        <v>1</v>
      </c>
      <c r="Y32" s="25" t="n">
        <v>1.5</v>
      </c>
      <c r="Z32" s="26" t="n">
        <v>-186</v>
      </c>
      <c r="AA32" s="28" t="n">
        <v>0.65</v>
      </c>
      <c r="AB32" s="28" t="n">
        <v>-0.00035</v>
      </c>
      <c r="AC32" s="30" t="n">
        <v>0.672</v>
      </c>
      <c r="AD32" s="24" t="inlineStr">
        <is>
          <t>2026-08-04T03:57:45.428184Z</t>
        </is>
      </c>
      <c r="AE32" s="31" t="inlineStr">
        <is>
          <t>Measured Edge Margin: Trend Engine projected 4.50-4.74; raw selected-side p=0.6466, calibrated p=0.5962.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mlb-tex</t>
        </is>
      </c>
      <c r="AT32" s="24" t="inlineStr">
        <is>
          <t>Texas Rangers</t>
        </is>
      </c>
      <c r="AU32" s="24" t="inlineStr">
        <is>
          <t>Texas Rangers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8360b122264b796b0fb193095cfe4506c7e064e5f3f8c0a659aec41efd08dd25</t>
        </is>
      </c>
      <c r="BB32" s="24" t="inlineStr">
        <is>
          <t>flat_probability_shrinkage_toward_half</t>
        </is>
      </c>
      <c r="BC32" s="24" t="inlineStr">
        <is>
          <t>measured-edge-margin-v2</t>
        </is>
      </c>
      <c r="BD32" s="24" t="inlineStr">
        <is>
          <t>8360b122264b796b0fb193095cfe4506c7e064e5f3f8c0a659aec41efd08dd25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2026-08-03T22:56:38.586421Z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-186</v>
      </c>
      <c r="BL32" s="27" t="n">
        <v>1.537634</v>
      </c>
      <c r="BM32" s="28" t="n">
        <v>0.65035</v>
      </c>
      <c r="BN32" s="28" t="n">
        <v>0.646766</v>
      </c>
      <c r="BO32" s="28" t="n"/>
      <c r="BP32" s="25" t="n"/>
      <c r="BQ32" s="27" t="n">
        <v>1.537634</v>
      </c>
      <c r="BR32" s="28" t="n">
        <v>0.65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8e3ca78082aa49c0</t>
        </is>
      </c>
      <c r="B33" s="24" t="inlineStr">
        <is>
          <t>2026-08-03T22:56:38.586421Z</t>
        </is>
      </c>
      <c r="C33" s="24" t="inlineStr">
        <is>
          <t>2026-08-04T00:00Z</t>
        </is>
      </c>
      <c r="D33" s="24" t="inlineStr">
        <is>
          <t>401816381</t>
        </is>
      </c>
      <c r="E33" s="24" t="inlineStr">
        <is>
          <t>MLB</t>
        </is>
      </c>
      <c r="F33" s="24" t="inlineStr">
        <is>
          <t>San Francisco Giants</t>
        </is>
      </c>
      <c r="G33" s="24" t="inlineStr">
        <is>
          <t>Texas Rangers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-120</v>
      </c>
      <c r="M33" s="27" t="n">
        <v>1.833333</v>
      </c>
      <c r="N33" s="28" t="n">
        <v>0.545455</v>
      </c>
      <c r="O33" s="28" t="n">
        <v>0.5452979999999999</v>
      </c>
      <c r="P33" s="28" t="n">
        <v>0.042131</v>
      </c>
      <c r="Q33" s="28" t="n">
        <v>-0.000157</v>
      </c>
      <c r="R33" s="26" t="n">
        <v>26</v>
      </c>
      <c r="S33" s="29" t="n">
        <v>1</v>
      </c>
      <c r="T33" s="24" t="inlineStr">
        <is>
          <t>measured-edge-totals-v2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>
        <v>7.5</v>
      </c>
      <c r="Z33" s="26" t="n">
        <v>-120</v>
      </c>
      <c r="AA33" s="28" t="n">
        <v>0.545</v>
      </c>
      <c r="AB33" s="28" t="n">
        <v>-0.000455</v>
      </c>
      <c r="AC33" s="30" t="n">
        <v>-1</v>
      </c>
      <c r="AD33" s="24" t="inlineStr">
        <is>
          <t>2026-08-04T03:57:45.692831Z</t>
        </is>
      </c>
      <c r="AE33" s="31" t="inlineStr">
        <is>
          <t>Measured Edge Totals: Trend Engine projected 4.50-4.74; raw selected-side p=0.6093, calibrated p=0.5453.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mlb-sf</t>
        </is>
      </c>
      <c r="AQ33" s="24" t="inlineStr">
        <is>
          <t>San Francisco Giants</t>
        </is>
      </c>
      <c r="AR33" s="24" t="inlineStr">
        <is>
          <t>San Francisco Giants</t>
        </is>
      </c>
      <c r="AS33" s="24" t="inlineStr">
        <is>
          <t>mlb-tex</t>
        </is>
      </c>
      <c r="AT33" s="24" t="inlineStr">
        <is>
          <t>Texas Rangers</t>
        </is>
      </c>
      <c r="AU33" s="24" t="inlineStr">
        <is>
          <t>Texas Rangers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433578016242b27f9c1c7132cc6b5a2bcc7dd1b0234590c12a944455a88e71bd</t>
        </is>
      </c>
      <c r="BB33" s="24" t="inlineStr">
        <is>
          <t>flat_probability_shrinkage_toward_half</t>
        </is>
      </c>
      <c r="BC33" s="24" t="inlineStr">
        <is>
          <t>measured-edge-totals-v2</t>
        </is>
      </c>
      <c r="BD33" s="24" t="inlineStr">
        <is>
          <t>433578016242b27f9c1c7132cc6b5a2bcc7dd1b0234590c12a944455a88e71bd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2026-08-03T22:56:38.586421Z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-120</v>
      </c>
      <c r="BL33" s="27" t="n">
        <v>1.833333</v>
      </c>
      <c r="BM33" s="28" t="n">
        <v>0.545455</v>
      </c>
      <c r="BN33" s="28" t="n">
        <v>0.542289</v>
      </c>
      <c r="BO33" s="28" t="n"/>
      <c r="BP33" s="25" t="n"/>
      <c r="BQ33" s="27" t="n">
        <v>1.833333</v>
      </c>
      <c r="BR33" s="28" t="n">
        <v>0.545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</row>
    <row r="34" ht="36" customHeight="1">
      <c r="A34" s="24" t="inlineStr">
        <is>
          <t>5bb1f88231474692</t>
        </is>
      </c>
      <c r="B34" s="24" t="inlineStr">
        <is>
          <t>2026-08-03T22:56:38.586421Z</t>
        </is>
      </c>
      <c r="C34" s="24" t="inlineStr">
        <is>
          <t>2026-08-04T00:05Z</t>
        </is>
      </c>
      <c r="D34" s="24" t="inlineStr">
        <is>
          <t>401816379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Chicago Cubs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-147</v>
      </c>
      <c r="M34" s="27" t="n">
        <v>1.680272</v>
      </c>
      <c r="N34" s="28" t="n">
        <v>0.5951419999999999</v>
      </c>
      <c r="O34" s="28" t="n">
        <v>0.651609</v>
      </c>
      <c r="P34" s="28" t="n">
        <v>0.042131</v>
      </c>
      <c r="Q34" s="28" t="n">
        <v>0.056467</v>
      </c>
      <c r="R34" s="26" t="n">
        <v>55</v>
      </c>
      <c r="S34" s="29" t="n">
        <v>1.75</v>
      </c>
      <c r="T34" s="24" t="inlineStr">
        <is>
          <t>measured-edge-margin-v2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10</v>
      </c>
      <c r="Y34" s="25" t="n">
        <v>1.5</v>
      </c>
      <c r="Z34" s="26" t="n">
        <v>-147</v>
      </c>
      <c r="AA34" s="28" t="n">
        <v>0.595</v>
      </c>
      <c r="AB34" s="28" t="n">
        <v>-0.000142</v>
      </c>
      <c r="AC34" s="30" t="n">
        <v>1.1905</v>
      </c>
      <c r="AD34" s="24" t="inlineStr">
        <is>
          <t>2026-08-04T03:57:45.968001Z</t>
        </is>
      </c>
      <c r="AE34" s="31" t="inlineStr">
        <is>
          <t>Measured Edge Margin: Trend Engine projected 3.69-4.17; raw selected-side p=0.7310, calibrated p=0.6516.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mlb-lad</t>
        </is>
      </c>
      <c r="AQ34" s="24" t="inlineStr">
        <is>
          <t>Los Angeles Dodgers</t>
        </is>
      </c>
      <c r="AR34" s="24" t="inlineStr">
        <is>
          <t>Los Angeles Dodgers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8360b122264b796b0fb193095cfe4506c7e064e5f3f8c0a659aec41efd08dd25</t>
        </is>
      </c>
      <c r="BB34" s="24" t="inlineStr">
        <is>
          <t>flat_probability_shrinkage_toward_half</t>
        </is>
      </c>
      <c r="BC34" s="24" t="inlineStr">
        <is>
          <t>measured-edge-margin-v2</t>
        </is>
      </c>
      <c r="BD34" s="24" t="inlineStr">
        <is>
          <t>8360b122264b796b0fb193095cfe4506c7e064e5f3f8c0a659aec41efd08dd25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2026-08-03T22:56:38.586421Z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-147</v>
      </c>
      <c r="BL34" s="27" t="n">
        <v>1.680272</v>
      </c>
      <c r="BM34" s="28" t="n">
        <v>0.5951419999999999</v>
      </c>
      <c r="BN34" s="28" t="n">
        <v>0.59204</v>
      </c>
      <c r="BO34" s="28" t="n"/>
      <c r="BP34" s="25" t="n"/>
      <c r="BQ34" s="27" t="n">
        <v>1.680272</v>
      </c>
      <c r="BR34" s="28" t="n">
        <v>0.595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bf796868ef09489c</t>
        </is>
      </c>
      <c r="B35" s="24" t="inlineStr">
        <is>
          <t>2026-08-03T22:56:38.586421Z</t>
        </is>
      </c>
      <c r="C35" s="24" t="inlineStr">
        <is>
          <t>2026-08-04T00:05Z</t>
        </is>
      </c>
      <c r="D35" s="24" t="inlineStr">
        <is>
          <t>401816379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Chicago Cubs</t>
        </is>
      </c>
      <c r="H35" s="24" t="inlineStr">
        <is>
          <t>total</t>
        </is>
      </c>
      <c r="I35" s="24" t="inlineStr">
        <is>
          <t>under</t>
        </is>
      </c>
      <c r="J35" s="25" t="n">
        <v>7.5</v>
      </c>
      <c r="K35" s="24" t="inlineStr">
        <is>
          <t>polymarket_us</t>
        </is>
      </c>
      <c r="L35" s="26" t="n">
        <v>120</v>
      </c>
      <c r="M35" s="27" t="n">
        <v>2.2</v>
      </c>
      <c r="N35" s="28" t="n">
        <v>0.454545</v>
      </c>
      <c r="O35" s="28" t="n">
        <v>0.514357</v>
      </c>
      <c r="P35" s="28" t="n">
        <v>0.042131</v>
      </c>
      <c r="Q35" s="28" t="n">
        <v>0.059812</v>
      </c>
      <c r="R35" s="26" t="n">
        <v>56</v>
      </c>
      <c r="S35" s="29" t="n">
        <v>1</v>
      </c>
      <c r="T35" s="24" t="inlineStr">
        <is>
          <t>measured-edge-totals-v2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10</v>
      </c>
      <c r="Y35" s="25" t="n">
        <v>7.5</v>
      </c>
      <c r="Z35" s="26" t="n">
        <v>120</v>
      </c>
      <c r="AA35" s="28" t="n">
        <v>0.455</v>
      </c>
      <c r="AB35" s="28" t="n">
        <v>0.000455</v>
      </c>
      <c r="AC35" s="30" t="n">
        <v>-1</v>
      </c>
      <c r="AD35" s="24" t="inlineStr">
        <is>
          <t>2026-08-04T03:57:46.248916Z</t>
        </is>
      </c>
      <c r="AE35" s="31" t="inlineStr">
        <is>
          <t>Measured Edge Totals: Trend Engine projected 3.69-4.17; raw selected-side p=0.5188, calibrated p=0.5144.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mlb-lad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433578016242b27f9c1c7132cc6b5a2bcc7dd1b0234590c12a944455a88e71bd</t>
        </is>
      </c>
      <c r="BB35" s="24" t="inlineStr">
        <is>
          <t>flat_probability_shrinkage_toward_half</t>
        </is>
      </c>
      <c r="BC35" s="24" t="inlineStr">
        <is>
          <t>measured-edge-totals-v2</t>
        </is>
      </c>
      <c r="BD35" s="24" t="inlineStr">
        <is>
          <t>433578016242b27f9c1c7132cc6b5a2bcc7dd1b0234590c12a944455a88e71bd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2026-08-03T22:56:38.586421Z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120</v>
      </c>
      <c r="BL35" s="27" t="n">
        <v>2.2</v>
      </c>
      <c r="BM35" s="28" t="n">
        <v>0.454545</v>
      </c>
      <c r="BN35" s="28" t="n">
        <v>0.452736</v>
      </c>
      <c r="BO35" s="28" t="n"/>
      <c r="BP35" s="25" t="n"/>
      <c r="BQ35" s="27" t="n">
        <v>2.2</v>
      </c>
      <c r="BR35" s="28" t="n">
        <v>0.455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fea223a733ef436b</t>
        </is>
      </c>
      <c r="B36" s="24" t="inlineStr">
        <is>
          <t>2026-08-03T22:56:38.586421Z</t>
        </is>
      </c>
      <c r="C36" s="24" t="inlineStr">
        <is>
          <t>2026-08-04T00:10Z</t>
        </is>
      </c>
      <c r="D36" s="24" t="inlineStr">
        <is>
          <t>401816382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Houston Astros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0.533577</v>
      </c>
      <c r="P36" s="28" t="n">
        <v>0.05172</v>
      </c>
      <c r="Q36" s="28" t="n">
        <v>-0.075798</v>
      </c>
      <c r="R36" s="26" t="n">
        <v>0</v>
      </c>
      <c r="S36" s="29" t="n">
        <v>1</v>
      </c>
      <c r="T36" s="24" t="inlineStr">
        <is>
          <t>measured-edge-margin-v2</t>
        </is>
      </c>
      <c r="U36" s="24" t="inlineStr">
        <is>
          <t>settled</t>
        </is>
      </c>
      <c r="V36" s="24" t="inlineStr">
        <is>
          <t>win</t>
        </is>
      </c>
      <c r="W36" s="26" t="n">
        <v>3</v>
      </c>
      <c r="X36" s="26" t="n">
        <v>1</v>
      </c>
      <c r="Y36" s="25" t="n">
        <v>1.5</v>
      </c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2026-08-04T03:57:46.525739Z</t>
        </is>
      </c>
      <c r="AE36" s="31" t="inlineStr">
        <is>
          <t>Measured Edge Margin: Trend Engine projected 4.45-5.54; raw selected-side p=0.5511, calibrated p=0.5336.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8360b122264b796b0fb193095cfe4506c7e064e5f3f8c0a659aec41efd08dd25</t>
        </is>
      </c>
      <c r="BB36" s="24" t="inlineStr">
        <is>
          <t>flat_probability_shrinkage_toward_half</t>
        </is>
      </c>
      <c r="BC36" s="24" t="inlineStr">
        <is>
          <t>measured-edge-margin-v2</t>
        </is>
      </c>
      <c r="BD36" s="24" t="inlineStr">
        <is>
          <t>8360b122264b796b0fb193095cfe4506c7e064e5f3f8c0a659aec41efd08dd25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2026-08-03T22:56:38.586421Z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-156</v>
      </c>
      <c r="BL36" s="27" t="n">
        <v>1.641026</v>
      </c>
      <c r="BM36" s="28" t="n">
        <v>0.609375</v>
      </c>
      <c r="BN36" s="28" t="n">
        <v>0.606965</v>
      </c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7138c887afdb41a3</t>
        </is>
      </c>
      <c r="B37" s="24" t="inlineStr">
        <is>
          <t>2026-08-03T22:56:38.586421Z</t>
        </is>
      </c>
      <c r="C37" s="24" t="inlineStr">
        <is>
          <t>2026-08-04T00:10Z</t>
        </is>
      </c>
      <c r="D37" s="24" t="inlineStr">
        <is>
          <t>401816382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Houston Astros</t>
        </is>
      </c>
      <c r="H37" s="24" t="inlineStr">
        <is>
          <t>total</t>
        </is>
      </c>
      <c r="I37" s="24" t="inlineStr">
        <is>
          <t>under</t>
        </is>
      </c>
      <c r="J37" s="25" t="n">
        <v>9.5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0.511777</v>
      </c>
      <c r="P37" s="28" t="n">
        <v>0.05172</v>
      </c>
      <c r="Q37" s="28" t="n">
        <v>-0.023107</v>
      </c>
      <c r="R37" s="26" t="n">
        <v>9</v>
      </c>
      <c r="S37" s="29" t="n">
        <v>1</v>
      </c>
      <c r="T37" s="24" t="inlineStr">
        <is>
          <t>measured-edge-totals-v2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9.5</v>
      </c>
      <c r="Z37" s="26" t="n">
        <v>-115</v>
      </c>
      <c r="AA37" s="28" t="n">
        <v>0.535</v>
      </c>
      <c r="AB37" s="28" t="n">
        <v>0.000116</v>
      </c>
      <c r="AC37" s="30" t="n">
        <v>0.8696</v>
      </c>
      <c r="AD37" s="24" t="inlineStr">
        <is>
          <t>2026-08-04T03:57:46.804857Z</t>
        </is>
      </c>
      <c r="AE37" s="31" t="inlineStr">
        <is>
          <t>Measured Edge Totals: Trend Engine projected 4.45-5.54; raw selected-side p=0.5112, calibrated p=0.5118.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433578016242b27f9c1c7132cc6b5a2bcc7dd1b0234590c12a944455a88e71bd</t>
        </is>
      </c>
      <c r="BB37" s="24" t="inlineStr">
        <is>
          <t>flat_probability_shrinkage_toward_half</t>
        </is>
      </c>
      <c r="BC37" s="24" t="inlineStr">
        <is>
          <t>measured-edge-totals-v2</t>
        </is>
      </c>
      <c r="BD37" s="24" t="inlineStr">
        <is>
          <t>433578016242b27f9c1c7132cc6b5a2bcc7dd1b0234590c12a944455a88e71bd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2026-08-03T22:56:38.586421Z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>
        <v>1.869565</v>
      </c>
      <c r="BR37" s="28" t="n">
        <v>0.535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6ebdd1f162854a64</t>
        </is>
      </c>
      <c r="B38" s="24" t="inlineStr">
        <is>
          <t>2026-08-03T22:56:38.586421Z</t>
        </is>
      </c>
      <c r="C38" s="24" t="inlineStr">
        <is>
          <t>2026-08-04T00:40Z</t>
        </is>
      </c>
      <c r="D38" s="24" t="inlineStr">
        <is>
          <t>401816383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Colorado Rockies</t>
        </is>
      </c>
      <c r="H38" s="24" t="inlineStr">
        <is>
          <t>spread</t>
        </is>
      </c>
      <c r="I38" s="24" t="inlineStr">
        <is>
          <t>home</t>
        </is>
      </c>
      <c r="J38" s="25" t="n">
        <v>1.5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0.623102</v>
      </c>
      <c r="P38" s="28" t="n">
        <v>0.042131</v>
      </c>
      <c r="Q38" s="28" t="n">
        <v>0.142333</v>
      </c>
      <c r="R38" s="26" t="n">
        <v>97</v>
      </c>
      <c r="S38" s="29" t="n">
        <v>1.5</v>
      </c>
      <c r="T38" s="24" t="inlineStr">
        <is>
          <t>measured-edge-margin-v2</t>
        </is>
      </c>
      <c r="U38" s="24" t="inlineStr">
        <is>
          <t>settled</t>
        </is>
      </c>
      <c r="V38" s="24" t="inlineStr">
        <is>
          <t>loss</t>
        </is>
      </c>
      <c r="W38" s="26" t="n">
        <v>13</v>
      </c>
      <c r="X38" s="26" t="n">
        <v>9</v>
      </c>
      <c r="Y38" s="25" t="n">
        <v>1.5</v>
      </c>
      <c r="Z38" s="26" t="n">
        <v>108</v>
      </c>
      <c r="AA38" s="28" t="n">
        <v>0.48</v>
      </c>
      <c r="AB38" s="28" t="n">
        <v>-0.000769</v>
      </c>
      <c r="AC38" s="30" t="n">
        <v>-1.5</v>
      </c>
      <c r="AD38" s="24" t="inlineStr">
        <is>
          <t>2026-08-04T03:57:47.083625Z</t>
        </is>
      </c>
      <c r="AE38" s="31" t="inlineStr">
        <is>
          <t>Measured Edge Margin: Trend Engine projected 5.20-5.67; raw selected-side p=0.6875, calibrated p=0.6231.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8360b122264b796b0fb193095cfe4506c7e064e5f3f8c0a659aec41efd08dd25</t>
        </is>
      </c>
      <c r="BB38" s="24" t="inlineStr">
        <is>
          <t>flat_probability_shrinkage_toward_half</t>
        </is>
      </c>
      <c r="BC38" s="24" t="inlineStr">
        <is>
          <t>measured-edge-margin-v2</t>
        </is>
      </c>
      <c r="BD38" s="24" t="inlineStr">
        <is>
          <t>8360b122264b796b0fb193095cfe4506c7e064e5f3f8c0a659aec41efd08dd25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2026-08-03T22:56:38.586421Z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eddda04cc2ed417b</t>
        </is>
      </c>
      <c r="B39" s="24" t="inlineStr">
        <is>
          <t>2026-08-03T22:56:38.586421Z</t>
        </is>
      </c>
      <c r="C39" s="24" t="inlineStr">
        <is>
          <t>2026-08-04T00:40Z</t>
        </is>
      </c>
      <c r="D39" s="24" t="inlineStr">
        <is>
          <t>401816383</t>
        </is>
      </c>
      <c r="E39" s="24" t="inlineStr">
        <is>
          <t>MLB</t>
        </is>
      </c>
      <c r="F39" s="24" t="inlineStr">
        <is>
          <t>Tampa Bay Rays</t>
        </is>
      </c>
      <c r="G39" s="24" t="inlineStr">
        <is>
          <t>Colorado Rockies</t>
        </is>
      </c>
      <c r="H39" s="24" t="inlineStr">
        <is>
          <t>total</t>
        </is>
      </c>
      <c r="I39" s="24" t="inlineStr">
        <is>
          <t>under</t>
        </is>
      </c>
      <c r="J39" s="25" t="n">
        <v>11.5</v>
      </c>
      <c r="K39" s="24" t="inlineStr">
        <is>
          <t>polymarket_us</t>
        </is>
      </c>
      <c r="L39" s="26" t="n">
        <v>-111</v>
      </c>
      <c r="M39" s="27" t="n">
        <v>1.900901</v>
      </c>
      <c r="N39" s="28" t="n">
        <v>0.526066</v>
      </c>
      <c r="O39" s="28" t="n">
        <v>0.542428</v>
      </c>
      <c r="P39" s="28" t="n">
        <v>0.042131</v>
      </c>
      <c r="Q39" s="28" t="n">
        <v>0.016362</v>
      </c>
      <c r="R39" s="26" t="n">
        <v>35</v>
      </c>
      <c r="S39" s="29" t="n">
        <v>1</v>
      </c>
      <c r="T39" s="24" t="inlineStr">
        <is>
          <t>measured-edge-totals-v2</t>
        </is>
      </c>
      <c r="U39" s="24" t="inlineStr">
        <is>
          <t>settled</t>
        </is>
      </c>
      <c r="V39" s="24" t="inlineStr">
        <is>
          <t>loss</t>
        </is>
      </c>
      <c r="W39" s="26" t="n">
        <v>13</v>
      </c>
      <c r="X39" s="26" t="n">
        <v>9</v>
      </c>
      <c r="Y39" s="25" t="n">
        <v>11.5</v>
      </c>
      <c r="Z39" s="26" t="n">
        <v>-111</v>
      </c>
      <c r="AA39" s="28" t="n">
        <v>0.525</v>
      </c>
      <c r="AB39" s="28" t="n">
        <v>-0.001066</v>
      </c>
      <c r="AC39" s="30" t="n">
        <v>-1</v>
      </c>
      <c r="AD39" s="24" t="inlineStr">
        <is>
          <t>2026-08-04T03:57:47.365427Z</t>
        </is>
      </c>
      <c r="AE39" s="31" t="inlineStr">
        <is>
          <t>Measured Edge Totals: Trend Engine projected 5.20-5.67; raw selected-side p=0.6009, calibrated p=0.5424.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mlb-tb</t>
        </is>
      </c>
      <c r="AQ39" s="24" t="inlineStr">
        <is>
          <t>Tampa Bay Rays</t>
        </is>
      </c>
      <c r="AR39" s="24" t="inlineStr">
        <is>
          <t>Tampa Bay Rays</t>
        </is>
      </c>
      <c r="AS39" s="24" t="inlineStr">
        <is>
          <t>mlb-col</t>
        </is>
      </c>
      <c r="AT39" s="24" t="inlineStr">
        <is>
          <t>Colorado Rockies</t>
        </is>
      </c>
      <c r="AU39" s="24" t="inlineStr">
        <is>
          <t>Colorado Rockies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433578016242b27f9c1c7132cc6b5a2bcc7dd1b0234590c12a944455a88e71bd</t>
        </is>
      </c>
      <c r="BB39" s="24" t="inlineStr">
        <is>
          <t>flat_probability_shrinkage_toward_half</t>
        </is>
      </c>
      <c r="BC39" s="24" t="inlineStr">
        <is>
          <t>measured-edge-totals-v2</t>
        </is>
      </c>
      <c r="BD39" s="24" t="inlineStr">
        <is>
          <t>433578016242b27f9c1c7132cc6b5a2bcc7dd1b0234590c12a944455a88e71bd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2026-08-03T22:56:38.586421Z</t>
        </is>
      </c>
      <c r="BI39" s="24" t="inlineStr">
        <is>
          <t>["same_event","same_team_same_day","same_league_same_day"]</t>
        </is>
      </c>
      <c r="BJ39" s="25" t="n">
        <v>11.5</v>
      </c>
      <c r="BK39" s="26" t="n">
        <v>-111</v>
      </c>
      <c r="BL39" s="27" t="n">
        <v>1.900901</v>
      </c>
      <c r="BM39" s="28" t="n">
        <v>0.526066</v>
      </c>
      <c r="BN39" s="28" t="n">
        <v>0.522388</v>
      </c>
      <c r="BO39" s="28" t="n"/>
      <c r="BP39" s="25" t="n"/>
      <c r="BQ39" s="27" t="n">
        <v>1.900901</v>
      </c>
      <c r="BR39" s="28" t="n">
        <v>0.525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27ed6f735b404859</t>
        </is>
      </c>
      <c r="B40" s="24" t="inlineStr">
        <is>
          <t>2026-08-03T22:56:38.586421Z</t>
        </is>
      </c>
      <c r="C40" s="24" t="inlineStr">
        <is>
          <t>2026-08-04T01:40Z</t>
        </is>
      </c>
      <c r="D40" s="24" t="inlineStr">
        <is>
          <t>401815079</t>
        </is>
      </c>
      <c r="E40" s="24" t="inlineStr">
        <is>
          <t>MLB</t>
        </is>
      </c>
      <c r="F40" s="24" t="inlineStr">
        <is>
          <t>San Diego Padres</t>
        </is>
      </c>
      <c r="G40" s="24" t="inlineStr">
        <is>
          <t>Arizona Diamondbacks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-174</v>
      </c>
      <c r="M40" s="27" t="n">
        <v>1.574713</v>
      </c>
      <c r="N40" s="28" t="n">
        <v>0.635036</v>
      </c>
      <c r="O40" s="28" t="n">
        <v>0.625824</v>
      </c>
      <c r="P40" s="28" t="n">
        <v>0.042131</v>
      </c>
      <c r="Q40" s="28" t="n">
        <v>-0.009212</v>
      </c>
      <c r="R40" s="26" t="n">
        <v>22</v>
      </c>
      <c r="S40" s="29" t="n">
        <v>1.5</v>
      </c>
      <c r="T40" s="24" t="inlineStr">
        <is>
          <t>measured-edge-margin-v2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5</v>
      </c>
      <c r="Y40" s="25" t="n">
        <v>1.5</v>
      </c>
      <c r="Z40" s="26" t="n">
        <v>-174</v>
      </c>
      <c r="AA40" s="28" t="n">
        <v>0.635</v>
      </c>
      <c r="AB40" s="28" t="n">
        <v>-3.6e-05</v>
      </c>
      <c r="AC40" s="30" t="n">
        <v>0.8621</v>
      </c>
      <c r="AD40" s="24" t="inlineStr">
        <is>
          <t>2026-08-04T05:15:15.052080Z</t>
        </is>
      </c>
      <c r="AE40" s="31" t="inlineStr">
        <is>
          <t>Measured Edge Margin: Trend Engine projected 4.26-4.48; raw selected-side p=0.6917, calibrated p=0.6258.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mlb-sd</t>
        </is>
      </c>
      <c r="AQ40" s="24" t="inlineStr">
        <is>
          <t>San Diego Padres</t>
        </is>
      </c>
      <c r="AR40" s="24" t="inlineStr">
        <is>
          <t>San Diego Padres</t>
        </is>
      </c>
      <c r="AS40" s="24" t="inlineStr">
        <is>
          <t>mlb-ari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8360b122264b796b0fb193095cfe4506c7e064e5f3f8c0a659aec41efd08dd25</t>
        </is>
      </c>
      <c r="BB40" s="24" t="inlineStr">
        <is>
          <t>flat_probability_shrinkage_toward_half</t>
        </is>
      </c>
      <c r="BC40" s="24" t="inlineStr">
        <is>
          <t>measured-edge-margin-v2</t>
        </is>
      </c>
      <c r="BD40" s="24" t="inlineStr">
        <is>
          <t>8360b122264b796b0fb193095cfe4506c7e064e5f3f8c0a659aec41efd08dd25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2026-08-03T22:56:38.586421Z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-174</v>
      </c>
      <c r="BL40" s="27" t="n">
        <v>1.574713</v>
      </c>
      <c r="BM40" s="28" t="n">
        <v>0.635036</v>
      </c>
      <c r="BN40" s="28" t="n">
        <v>0.631841</v>
      </c>
      <c r="BO40" s="28" t="n"/>
      <c r="BP40" s="25" t="n"/>
      <c r="BQ40" s="27" t="n">
        <v>1.574713</v>
      </c>
      <c r="BR40" s="28" t="n">
        <v>0.635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5d4258fa4e1d4177</t>
        </is>
      </c>
      <c r="B41" s="24" t="inlineStr">
        <is>
          <t>2026-08-03T22:56:38.586421Z</t>
        </is>
      </c>
      <c r="C41" s="24" t="inlineStr">
        <is>
          <t>2026-08-04T01:40Z</t>
        </is>
      </c>
      <c r="D41" s="24" t="inlineStr">
        <is>
          <t>401815079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Arizona Diamondbacks</t>
        </is>
      </c>
      <c r="H41" s="24" t="inlineStr">
        <is>
          <t>total</t>
        </is>
      </c>
      <c r="I41" s="24" t="inlineStr">
        <is>
          <t>under</t>
        </is>
      </c>
      <c r="J41" s="25" t="n">
        <v>8.5</v>
      </c>
      <c r="K41" s="24" t="inlineStr">
        <is>
          <t>polymarket_us</t>
        </is>
      </c>
      <c r="L41" s="26" t="n">
        <v>115</v>
      </c>
      <c r="M41" s="27" t="n">
        <v>2.15</v>
      </c>
      <c r="N41" s="28" t="n">
        <v>0.465116</v>
      </c>
      <c r="O41" s="28" t="n">
        <v>0.510872</v>
      </c>
      <c r="P41" s="28" t="n">
        <v>0.042131</v>
      </c>
      <c r="Q41" s="28" t="n">
        <v>0.045756</v>
      </c>
      <c r="R41" s="26" t="n">
        <v>49</v>
      </c>
      <c r="S41" s="29" t="n">
        <v>1</v>
      </c>
      <c r="T41" s="24" t="inlineStr">
        <is>
          <t>measured-edge-totals-v2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5</v>
      </c>
      <c r="Y41" s="25" t="n">
        <v>8.5</v>
      </c>
      <c r="Z41" s="26" t="n">
        <v>115</v>
      </c>
      <c r="AA41" s="28" t="n">
        <v>0.465</v>
      </c>
      <c r="AB41" s="28" t="n">
        <v>-0.000116</v>
      </c>
      <c r="AC41" s="30" t="n">
        <v>1.15</v>
      </c>
      <c r="AD41" s="24" t="inlineStr">
        <is>
          <t>2026-08-04T05:15:15.302651Z</t>
        </is>
      </c>
      <c r="AE41" s="31" t="inlineStr">
        <is>
          <t>Measured Edge Totals: Trend Engine projected 4.26-4.48; raw selected-side p=0.5085, calibrated p=0.5109.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mlb-ari</t>
        </is>
      </c>
      <c r="AT41" s="24" t="inlineStr">
        <is>
          <t>Arizona Diamondbacks</t>
        </is>
      </c>
      <c r="AU41" s="24" t="inlineStr">
        <is>
          <t>Arizona Diamondbacks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433578016242b27f9c1c7132cc6b5a2bcc7dd1b0234590c12a944455a88e71bd</t>
        </is>
      </c>
      <c r="BB41" s="24" t="inlineStr">
        <is>
          <t>flat_probability_shrinkage_toward_half</t>
        </is>
      </c>
      <c r="BC41" s="24" t="inlineStr">
        <is>
          <t>measured-edge-totals-v2</t>
        </is>
      </c>
      <c r="BD41" s="24" t="inlineStr">
        <is>
          <t>433578016242b27f9c1c7132cc6b5a2bcc7dd1b0234590c12a944455a88e71bd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2026-08-03T22:56:38.586421Z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115</v>
      </c>
      <c r="BL41" s="27" t="n">
        <v>2.15</v>
      </c>
      <c r="BM41" s="28" t="n">
        <v>0.465116</v>
      </c>
      <c r="BN41" s="28" t="n">
        <v>0.462687</v>
      </c>
      <c r="BO41" s="28" t="n"/>
      <c r="BP41" s="25" t="n"/>
      <c r="BQ41" s="27" t="n">
        <v>2.15</v>
      </c>
      <c r="BR41" s="28" t="n">
        <v>0.465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97896ce4943849be</t>
        </is>
      </c>
      <c r="B42" s="24" t="inlineStr">
        <is>
          <t>2026-08-04T14:25:15.642219Z</t>
        </is>
      </c>
      <c r="C42" s="24" t="inlineStr">
        <is>
          <t>2026-08-04T22:40Z</t>
        </is>
      </c>
      <c r="D42" s="24" t="inlineStr">
        <is>
          <t>401816385</t>
        </is>
      </c>
      <c r="E42" s="24" t="inlineStr">
        <is>
          <t>MLB</t>
        </is>
      </c>
      <c r="F42" s="24" t="inlineStr">
        <is>
          <t>Athletics</t>
        </is>
      </c>
      <c r="G42" s="24" t="inlineStr">
        <is>
          <t>Cincinnati Reds</t>
        </is>
      </c>
      <c r="H42" s="24" t="inlineStr">
        <is>
          <t>spread</t>
        </is>
      </c>
      <c r="I42" s="24" t="inlineStr">
        <is>
          <t>away</t>
        </is>
      </c>
      <c r="J42" s="25" t="n">
        <v>1.5</v>
      </c>
      <c r="K42" s="24" t="inlineStr">
        <is>
          <t>polymarket_us</t>
        </is>
      </c>
      <c r="L42" s="26" t="n">
        <v>-163</v>
      </c>
      <c r="M42" s="27" t="n">
        <v>1.613497</v>
      </c>
      <c r="N42" s="28" t="n">
        <v>0.619772</v>
      </c>
      <c r="O42" s="28" t="n">
        <v>0.56005</v>
      </c>
      <c r="P42" s="28" t="n">
        <v>0.042131</v>
      </c>
      <c r="Q42" s="28" t="n">
        <v>-0.059722</v>
      </c>
      <c r="R42" s="26" t="n">
        <v>0</v>
      </c>
      <c r="S42" s="29" t="n">
        <v>1</v>
      </c>
      <c r="T42" s="24" t="inlineStr">
        <is>
          <t>measured-edge-margin-v2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Measured Edge Margin: Trend Engine projected 3.87-4.68; raw selected-side p=0.5915,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mlb-ath</t>
        </is>
      </c>
      <c r="AQ42" s="24" t="inlineStr">
        <is>
          <t>Athletics</t>
        </is>
      </c>
      <c r="AR42" s="24" t="inlineStr">
        <is>
          <t>Athletics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8360b122264b796b0fb193095cfe4506c7e064e5f3f8c0a659aec41efd08dd25</t>
        </is>
      </c>
      <c r="BB42" s="24" t="inlineStr">
        <is>
          <t>flat_probability_shrinkage_toward_half</t>
        </is>
      </c>
      <c r="BC42" s="24" t="inlineStr">
        <is>
          <t>measured-edge-margin-v2</t>
        </is>
      </c>
      <c r="BD42" s="24" t="inlineStr">
        <is>
          <t>8360b122264b796b0fb193095cfe4506c7e064e5f3f8c0a659aec41efd08dd25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2026-08-04T14:25:15.642219Z</t>
        </is>
      </c>
      <c r="BI42" s="24" t="inlineStr">
        <is>
          <t>["same_event","same_team_same_day","same_league_same_day"]</t>
        </is>
      </c>
      <c r="BJ42" s="25" t="n">
        <v>1.5</v>
      </c>
      <c r="BK42" s="26" t="n">
        <v>-163</v>
      </c>
      <c r="BL42" s="27" t="n">
        <v>1.613497</v>
      </c>
      <c r="BM42" s="28" t="n">
        <v>0.619772</v>
      </c>
      <c r="BN42" s="28" t="n">
        <v>0.616915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</row>
    <row r="43" ht="36" customHeight="1">
      <c r="A43" s="24" t="inlineStr">
        <is>
          <t>ddeb2a337c46426e</t>
        </is>
      </c>
      <c r="B43" s="24" t="inlineStr">
        <is>
          <t>2026-08-04T14:25:15.642219Z</t>
        </is>
      </c>
      <c r="C43" s="24" t="inlineStr">
        <is>
          <t>2026-08-04T22:40Z</t>
        </is>
      </c>
      <c r="D43" s="24" t="inlineStr">
        <is>
          <t>401816385</t>
        </is>
      </c>
      <c r="E43" s="24" t="inlineStr">
        <is>
          <t>MLB</t>
        </is>
      </c>
      <c r="F43" s="24" t="inlineStr">
        <is>
          <t>Athletics</t>
        </is>
      </c>
      <c r="G43" s="24" t="inlineStr">
        <is>
          <t>Cincinnati Reds</t>
        </is>
      </c>
      <c r="H43" s="24" t="inlineStr">
        <is>
          <t>total</t>
        </is>
      </c>
      <c r="I43" s="24" t="inlineStr">
        <is>
          <t>under</t>
        </is>
      </c>
      <c r="J43" s="25" t="n">
        <v>8.5</v>
      </c>
      <c r="K43" s="24" t="inlineStr">
        <is>
          <t>polymarket_us</t>
        </is>
      </c>
      <c r="L43" s="26" t="n">
        <v>122</v>
      </c>
      <c r="M43" s="27" t="n">
        <v>2.22</v>
      </c>
      <c r="N43" s="28" t="n">
        <v>0.45045</v>
      </c>
      <c r="O43" s="28" t="n">
        <v>0.514254</v>
      </c>
      <c r="P43" s="28" t="n">
        <v>0.042131</v>
      </c>
      <c r="Q43" s="28" t="n">
        <v>0.063804</v>
      </c>
      <c r="R43" s="26" t="n">
        <v>58</v>
      </c>
      <c r="S43" s="29" t="n">
        <v>1</v>
      </c>
      <c r="T43" s="24" t="inlineStr">
        <is>
          <t>measured-edge-totals-v2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Measured Edge Totals: Trend Engine projected 3.87-4.68; raw selected-side p=0.5184, calibrated p=0.5143.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mlb-ath</t>
        </is>
      </c>
      <c r="AQ43" s="24" t="inlineStr">
        <is>
          <t>Athletics</t>
        </is>
      </c>
      <c r="AR43" s="24" t="inlineStr">
        <is>
          <t>Athletics</t>
        </is>
      </c>
      <c r="AS43" s="24" t="inlineStr">
        <is>
          <t>mlb-cin</t>
        </is>
      </c>
      <c r="AT43" s="24" t="inlineStr">
        <is>
          <t>Cincinnati Reds</t>
        </is>
      </c>
      <c r="AU43" s="24" t="inlineStr">
        <is>
          <t>Cincinnati Reds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433578016242b27f9c1c7132cc6b5a2bcc7dd1b0234590c12a944455a88e71bd</t>
        </is>
      </c>
      <c r="BB43" s="24" t="inlineStr">
        <is>
          <t>flat_probability_shrinkage_toward_half</t>
        </is>
      </c>
      <c r="BC43" s="24" t="inlineStr">
        <is>
          <t>measured-edge-totals-v2</t>
        </is>
      </c>
      <c r="BD43" s="24" t="inlineStr">
        <is>
          <t>433578016242b27f9c1c7132cc6b5a2bcc7dd1b0234590c12a944455a88e71bd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2026-08-04T14:25:15.642219Z</t>
        </is>
      </c>
      <c r="BI43" s="24" t="inlineStr">
        <is>
          <t>["same_event","same_team_same_day","same_league_same_day"]</t>
        </is>
      </c>
      <c r="BJ43" s="25" t="n">
        <v>8.5</v>
      </c>
      <c r="BK43" s="26" t="n">
        <v>122</v>
      </c>
      <c r="BL43" s="27" t="n">
        <v>2.22</v>
      </c>
      <c r="BM43" s="28" t="n">
        <v>0.45045</v>
      </c>
      <c r="BN43" s="28" t="n">
        <v>0.447761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6811d5d9494c4c1f</t>
        </is>
      </c>
      <c r="B44" s="24" t="inlineStr">
        <is>
          <t>2026-08-04T14:25:15.642219Z</t>
        </is>
      </c>
      <c r="C44" s="24" t="inlineStr">
        <is>
          <t>2026-08-04T22:40Z</t>
        </is>
      </c>
      <c r="D44" s="24" t="inlineStr">
        <is>
          <t>401816388</t>
        </is>
      </c>
      <c r="E44" s="24" t="inlineStr">
        <is>
          <t>MLB</t>
        </is>
      </c>
      <c r="F44" s="24" t="inlineStr">
        <is>
          <t>New York Mets</t>
        </is>
      </c>
      <c r="G44" s="24" t="inlineStr">
        <is>
          <t>Cleveland Guardians</t>
        </is>
      </c>
      <c r="H44" s="24" t="inlineStr">
        <is>
          <t>spread</t>
        </is>
      </c>
      <c r="I44" s="24" t="inlineStr">
        <is>
          <t>away</t>
        </is>
      </c>
      <c r="J44" s="25" t="n">
        <v>1.5</v>
      </c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0.600007</v>
      </c>
      <c r="P44" s="28" t="n">
        <v>0.042131</v>
      </c>
      <c r="Q44" s="28" t="n">
        <v>-0.019765</v>
      </c>
      <c r="R44" s="26" t="n">
        <v>16</v>
      </c>
      <c r="S44" s="29" t="n">
        <v>1.5</v>
      </c>
      <c r="T44" s="24" t="inlineStr">
        <is>
          <t>measured-edge-margin-v2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Measured Edge Margin: Trend Engine projected 4.10-4.32; raw selected-side p=0.6523, calibrated p=0.6000.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mlb-nym</t>
        </is>
      </c>
      <c r="AQ44" s="24" t="inlineStr">
        <is>
          <t>New York Mets</t>
        </is>
      </c>
      <c r="AR44" s="24" t="inlineStr">
        <is>
          <t>New York Mets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8360b122264b796b0fb193095cfe4506c7e064e5f3f8c0a659aec41efd08dd25</t>
        </is>
      </c>
      <c r="BB44" s="24" t="inlineStr">
        <is>
          <t>flat_probability_shrinkage_toward_half</t>
        </is>
      </c>
      <c r="BC44" s="24" t="inlineStr">
        <is>
          <t>measured-edge-margin-v2</t>
        </is>
      </c>
      <c r="BD44" s="24" t="inlineStr">
        <is>
          <t>8360b122264b796b0fb193095cfe4506c7e064e5f3f8c0a659aec41efd08dd25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2026-08-04T14:25:15.642219Z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c7b77c0e4f0b4e4a</t>
        </is>
      </c>
      <c r="B45" s="24" t="inlineStr">
        <is>
          <t>2026-08-04T14:25:15.642219Z</t>
        </is>
      </c>
      <c r="C45" s="24" t="inlineStr">
        <is>
          <t>2026-08-04T22:40Z</t>
        </is>
      </c>
      <c r="D45" s="24" t="inlineStr">
        <is>
          <t>401816388</t>
        </is>
      </c>
      <c r="E45" s="24" t="inlineStr">
        <is>
          <t>MLB</t>
        </is>
      </c>
      <c r="F45" s="24" t="inlineStr">
        <is>
          <t>New York Mets</t>
        </is>
      </c>
      <c r="G45" s="24" t="inlineStr">
        <is>
          <t>Cleveland Guardians</t>
        </is>
      </c>
      <c r="H45" s="24" t="inlineStr">
        <is>
          <t>total</t>
        </is>
      </c>
      <c r="I45" s="24" t="inlineStr">
        <is>
          <t>over</t>
        </is>
      </c>
      <c r="J45" s="25" t="n">
        <v>7.5</v>
      </c>
      <c r="K45" s="24" t="inlineStr">
        <is>
          <t>polymarket_us</t>
        </is>
      </c>
      <c r="L45" s="26" t="n">
        <v>-106</v>
      </c>
      <c r="M45" s="27" t="n">
        <v>1.943396</v>
      </c>
      <c r="N45" s="28" t="n">
        <v>0.514563</v>
      </c>
      <c r="O45" s="28" t="n">
        <v>0.521567</v>
      </c>
      <c r="P45" s="28" t="n">
        <v>0.042131</v>
      </c>
      <c r="Q45" s="28" t="n">
        <v>0.007004</v>
      </c>
      <c r="R45" s="26" t="n">
        <v>29</v>
      </c>
      <c r="S45" s="29" t="n">
        <v>1</v>
      </c>
      <c r="T45" s="24" t="inlineStr">
        <is>
          <t>measured-edge-totals-v2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Measured Edge Totals: Trend Engine projected 4.10-4.32; raw selected-side p=0.5399, calibrated p=0.5216.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mlb-nym</t>
        </is>
      </c>
      <c r="AQ45" s="24" t="inlineStr">
        <is>
          <t>New York Mets</t>
        </is>
      </c>
      <c r="AR45" s="24" t="inlineStr">
        <is>
          <t>New York Mets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433578016242b27f9c1c7132cc6b5a2bcc7dd1b0234590c12a944455a88e71bd</t>
        </is>
      </c>
      <c r="BB45" s="24" t="inlineStr">
        <is>
          <t>flat_probability_shrinkage_toward_half</t>
        </is>
      </c>
      <c r="BC45" s="24" t="inlineStr">
        <is>
          <t>measured-edge-totals-v2</t>
        </is>
      </c>
      <c r="BD45" s="24" t="inlineStr">
        <is>
          <t>433578016242b27f9c1c7132cc6b5a2bcc7dd1b0234590c12a944455a88e71bd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2026-08-04T14:25:15.642219Z</t>
        </is>
      </c>
      <c r="BI45" s="24" t="inlineStr">
        <is>
          <t>["same_event","same_team_same_day","same_league_same_day"]</t>
        </is>
      </c>
      <c r="BJ45" s="25" t="n">
        <v>7.5</v>
      </c>
      <c r="BK45" s="26" t="n">
        <v>-106</v>
      </c>
      <c r="BL45" s="27" t="n">
        <v>1.943396</v>
      </c>
      <c r="BM45" s="28" t="n">
        <v>0.514563</v>
      </c>
      <c r="BN45" s="28" t="n">
        <v>0.5124379999999999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</row>
    <row r="46" ht="36" customHeight="1">
      <c r="A46" s="24" t="inlineStr">
        <is>
          <t>d21c466f2c6e41c8</t>
        </is>
      </c>
      <c r="B46" s="24" t="inlineStr">
        <is>
          <t>2026-08-04T14:25:15.642219Z</t>
        </is>
      </c>
      <c r="C46" s="24" t="inlineStr">
        <is>
          <t>2026-08-04T22:40Z</t>
        </is>
      </c>
      <c r="D46" s="24" t="inlineStr">
        <is>
          <t>401816390</t>
        </is>
      </c>
      <c r="E46" s="24" t="inlineStr">
        <is>
          <t>MLB</t>
        </is>
      </c>
      <c r="F46" s="24" t="inlineStr">
        <is>
          <t>Washington Nationals</t>
        </is>
      </c>
      <c r="G46" s="24" t="inlineStr">
        <is>
          <t>Philadelphia Phillies</t>
        </is>
      </c>
      <c r="H46" s="24" t="inlineStr">
        <is>
          <t>spread</t>
        </is>
      </c>
      <c r="I46" s="24" t="inlineStr">
        <is>
          <t>away</t>
        </is>
      </c>
      <c r="J46" s="25" t="n">
        <v>1.5</v>
      </c>
      <c r="K46" s="24" t="inlineStr">
        <is>
          <t>polymarket_us</t>
        </is>
      </c>
      <c r="L46" s="26" t="n">
        <v>117</v>
      </c>
      <c r="M46" s="27" t="n">
        <v>2.17</v>
      </c>
      <c r="N46" s="28" t="n">
        <v>0.460829</v>
      </c>
      <c r="O46" s="28" t="n">
        <v>0.540597</v>
      </c>
      <c r="P46" s="28" t="n">
        <v>0.042131</v>
      </c>
      <c r="Q46" s="28" t="n">
        <v>0.07976800000000001</v>
      </c>
      <c r="R46" s="26" t="n">
        <v>66</v>
      </c>
      <c r="S46" s="29" t="n">
        <v>1</v>
      </c>
      <c r="T46" s="24" t="inlineStr">
        <is>
          <t>measured-edge-margin-v2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Measured Edge Margin: Trend Engine projected 3.92-5.03; raw selected-side p=0.5618, calibrated p=0.5406.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mlb-wsh</t>
        </is>
      </c>
      <c r="AQ46" s="24" t="inlineStr">
        <is>
          <t>Washington Nationals</t>
        </is>
      </c>
      <c r="AR46" s="24" t="inlineStr">
        <is>
          <t>Washington Nationals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8360b122264b796b0fb193095cfe4506c7e064e5f3f8c0a659aec41efd08dd25</t>
        </is>
      </c>
      <c r="BB46" s="24" t="inlineStr">
        <is>
          <t>flat_probability_shrinkage_toward_half</t>
        </is>
      </c>
      <c r="BC46" s="24" t="inlineStr">
        <is>
          <t>measured-edge-margin-v2</t>
        </is>
      </c>
      <c r="BD46" s="24" t="inlineStr">
        <is>
          <t>8360b122264b796b0fb193095cfe4506c7e064e5f3f8c0a659aec41efd08dd25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2026-08-04T14:25:15.642219Z</t>
        </is>
      </c>
      <c r="BI46" s="24" t="inlineStr">
        <is>
          <t>["same_event","same_team_same_day","same_league_same_day"]</t>
        </is>
      </c>
      <c r="BJ46" s="25" t="n">
        <v>1.5</v>
      </c>
      <c r="BK46" s="26" t="n">
        <v>117</v>
      </c>
      <c r="BL46" s="27" t="n">
        <v>2.17</v>
      </c>
      <c r="BM46" s="28" t="n">
        <v>0.460829</v>
      </c>
      <c r="BN46" s="28" t="n">
        <v>0.457711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24ac0a3e828e402a</t>
        </is>
      </c>
      <c r="B47" s="24" t="inlineStr">
        <is>
          <t>2026-08-04T14:25:15.642219Z</t>
        </is>
      </c>
      <c r="C47" s="24" t="inlineStr">
        <is>
          <t>2026-08-04T22:40Z</t>
        </is>
      </c>
      <c r="D47" s="24" t="inlineStr">
        <is>
          <t>401816390</t>
        </is>
      </c>
      <c r="E47" s="24" t="inlineStr">
        <is>
          <t>MLB</t>
        </is>
      </c>
      <c r="F47" s="24" t="inlineStr">
        <is>
          <t>Washington Nationals</t>
        </is>
      </c>
      <c r="G47" s="24" t="inlineStr">
        <is>
          <t>Philadelphia Phillies</t>
        </is>
      </c>
      <c r="H47" s="24" t="inlineStr">
        <is>
          <t>total</t>
        </is>
      </c>
      <c r="I47" s="24" t="inlineStr">
        <is>
          <t>over</t>
        </is>
      </c>
      <c r="J47" s="25" t="n">
        <v>8.5</v>
      </c>
      <c r="K47" s="24" t="inlineStr">
        <is>
          <t>polymarket_us</t>
        </is>
      </c>
      <c r="L47" s="26" t="n">
        <v>-117</v>
      </c>
      <c r="M47" s="27" t="n">
        <v>1.854701</v>
      </c>
      <c r="N47" s="28" t="n">
        <v>0.539171</v>
      </c>
      <c r="O47" s="28" t="n">
        <v>0.511059</v>
      </c>
      <c r="P47" s="28" t="n">
        <v>0.042131</v>
      </c>
      <c r="Q47" s="28" t="n">
        <v>-0.028112</v>
      </c>
      <c r="R47" s="26" t="n">
        <v>12</v>
      </c>
      <c r="S47" s="29" t="n">
        <v>1</v>
      </c>
      <c r="T47" s="24" t="inlineStr">
        <is>
          <t>measured-edge-totals-v2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Measured Edge Totals: Trend Engine projected 3.92-5.03; raw selected-side p=0.5091, calibrated p=0.5111.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mlb-wsh</t>
        </is>
      </c>
      <c r="AQ47" s="24" t="inlineStr">
        <is>
          <t>Washington Nationals</t>
        </is>
      </c>
      <c r="AR47" s="24" t="inlineStr">
        <is>
          <t>Washington Nationals</t>
        </is>
      </c>
      <c r="AS47" s="24" t="inlineStr">
        <is>
          <t>mlb-phi</t>
        </is>
      </c>
      <c r="AT47" s="24" t="inlineStr">
        <is>
          <t>Philadelphia Phillies</t>
        </is>
      </c>
      <c r="AU47" s="24" t="inlineStr">
        <is>
          <t>Philadelphia Phillies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433578016242b27f9c1c7132cc6b5a2bcc7dd1b0234590c12a944455a88e71bd</t>
        </is>
      </c>
      <c r="BB47" s="24" t="inlineStr">
        <is>
          <t>flat_probability_shrinkage_toward_half</t>
        </is>
      </c>
      <c r="BC47" s="24" t="inlineStr">
        <is>
          <t>measured-edge-totals-v2</t>
        </is>
      </c>
      <c r="BD47" s="24" t="inlineStr">
        <is>
          <t>433578016242b27f9c1c7132cc6b5a2bcc7dd1b0234590c12a944455a88e71bd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2026-08-04T14:25:15.642219Z</t>
        </is>
      </c>
      <c r="BI47" s="24" t="inlineStr">
        <is>
          <t>["same_event","same_team_same_day","same_league_same_day"]</t>
        </is>
      </c>
      <c r="BJ47" s="25" t="n">
        <v>8.5</v>
      </c>
      <c r="BK47" s="26" t="n">
        <v>-117</v>
      </c>
      <c r="BL47" s="27" t="n">
        <v>1.854701</v>
      </c>
      <c r="BM47" s="28" t="n">
        <v>0.539171</v>
      </c>
      <c r="BN47" s="28" t="n">
        <v>0.537313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4269da3d4eca4177</t>
        </is>
      </c>
      <c r="B48" s="24" t="inlineStr">
        <is>
          <t>2026-08-04T14:25:15.642219Z</t>
        </is>
      </c>
      <c r="C48" s="24" t="inlineStr">
        <is>
          <t>2026-08-04T23:05Z</t>
        </is>
      </c>
      <c r="D48" s="24" t="inlineStr">
        <is>
          <t>401816389</t>
        </is>
      </c>
      <c r="E48" s="24" t="inlineStr">
        <is>
          <t>MLB</t>
        </is>
      </c>
      <c r="F48" s="24" t="inlineStr">
        <is>
          <t>St. Louis Cardinals</t>
        </is>
      </c>
      <c r="G48" s="24" t="inlineStr">
        <is>
          <t>New York Yankees</t>
        </is>
      </c>
      <c r="H48" s="24" t="inlineStr">
        <is>
          <t>spread</t>
        </is>
      </c>
      <c r="I48" s="24" t="inlineStr">
        <is>
          <t>away</t>
        </is>
      </c>
      <c r="J48" s="25" t="n">
        <v>1.5</v>
      </c>
      <c r="K48" s="24" t="inlineStr">
        <is>
          <t>polymarket_us</t>
        </is>
      </c>
      <c r="L48" s="26" t="n">
        <v>-120</v>
      </c>
      <c r="M48" s="27" t="n">
        <v>1.833333</v>
      </c>
      <c r="N48" s="28" t="n">
        <v>0.545455</v>
      </c>
      <c r="O48" s="28" t="n">
        <v>0.612998</v>
      </c>
      <c r="P48" s="28" t="n">
        <v>0.05172</v>
      </c>
      <c r="Q48" s="28" t="n">
        <v>0.06754300000000001</v>
      </c>
      <c r="R48" s="26" t="n">
        <v>54</v>
      </c>
      <c r="S48" s="29" t="n">
        <v>1.5</v>
      </c>
      <c r="T48" s="24" t="inlineStr">
        <is>
          <t>measured-edge-margin-v2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Measured Edge Margin: Trend Engine projected 4.35-4.35; raw selected-side p=0.6722, calibrated p=0.6130.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mlb-stl</t>
        </is>
      </c>
      <c r="AQ48" s="24" t="inlineStr">
        <is>
          <t>St. Louis Cardinals</t>
        </is>
      </c>
      <c r="AR48" s="24" t="inlineStr">
        <is>
          <t>St. Louis Cardinals</t>
        </is>
      </c>
      <c r="AS48" s="24" t="inlineStr">
        <is>
          <t>mlb-nyy</t>
        </is>
      </c>
      <c r="AT48" s="24" t="inlineStr">
        <is>
          <t>New York Yankees</t>
        </is>
      </c>
      <c r="AU48" s="24" t="inlineStr">
        <is>
          <t>New York Yankees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8360b122264b796b0fb193095cfe4506c7e064e5f3f8c0a659aec41efd08dd25</t>
        </is>
      </c>
      <c r="BB48" s="24" t="inlineStr">
        <is>
          <t>flat_probability_shrinkage_toward_half</t>
        </is>
      </c>
      <c r="BC48" s="24" t="inlineStr">
        <is>
          <t>measured-edge-margin-v2</t>
        </is>
      </c>
      <c r="BD48" s="24" t="inlineStr">
        <is>
          <t>8360b122264b796b0fb193095cfe4506c7e064e5f3f8c0a659aec41efd08dd25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2026-08-04T14:25:15.642219Z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-120</v>
      </c>
      <c r="BL48" s="27" t="n">
        <v>1.833333</v>
      </c>
      <c r="BM48" s="28" t="n">
        <v>0.545455</v>
      </c>
      <c r="BN48" s="28" t="n">
        <v>0.542289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7447a7a90b074319</t>
        </is>
      </c>
      <c r="B49" s="24" t="inlineStr">
        <is>
          <t>2026-08-04T14:25:15.642219Z</t>
        </is>
      </c>
      <c r="C49" s="24" t="inlineStr">
        <is>
          <t>2026-08-04T23:05Z</t>
        </is>
      </c>
      <c r="D49" s="24" t="inlineStr">
        <is>
          <t>401816389</t>
        </is>
      </c>
      <c r="E49" s="24" t="inlineStr">
        <is>
          <t>MLB</t>
        </is>
      </c>
      <c r="F49" s="24" t="inlineStr">
        <is>
          <t>St. Louis Cardinals</t>
        </is>
      </c>
      <c r="G49" s="24" t="inlineStr">
        <is>
          <t>New York Yankees</t>
        </is>
      </c>
      <c r="H49" s="24" t="inlineStr">
        <is>
          <t>total</t>
        </is>
      </c>
      <c r="I49" s="24" t="inlineStr">
        <is>
          <t>under</t>
        </is>
      </c>
      <c r="J49" s="25" t="n">
        <v>8.5</v>
      </c>
      <c r="K49" s="24" t="inlineStr">
        <is>
          <t>polymarket_us</t>
        </is>
      </c>
      <c r="L49" s="26" t="n">
        <v>-111</v>
      </c>
      <c r="M49" s="27" t="n">
        <v>1.900901</v>
      </c>
      <c r="N49" s="28" t="n">
        <v>0.526066</v>
      </c>
      <c r="O49" s="28" t="n">
        <v>0.510786</v>
      </c>
      <c r="P49" s="28" t="n">
        <v>0.05172</v>
      </c>
      <c r="Q49" s="28" t="n">
        <v>-0.01528</v>
      </c>
      <c r="R49" s="26" t="n">
        <v>13</v>
      </c>
      <c r="S49" s="29" t="n">
        <v>1</v>
      </c>
      <c r="T49" s="24" t="inlineStr">
        <is>
          <t>measured-edge-totals-v2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Measured Edge Totals: Trend Engine projected 4.35-4.35; raw selected-side p=0.5083, calibrated p=0.5108.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mlb-stl</t>
        </is>
      </c>
      <c r="AQ49" s="24" t="inlineStr">
        <is>
          <t>St. Louis Cardinals</t>
        </is>
      </c>
      <c r="AR49" s="24" t="inlineStr">
        <is>
          <t>St. Louis Cardinals</t>
        </is>
      </c>
      <c r="AS49" s="24" t="inlineStr">
        <is>
          <t>mlb-nyy</t>
        </is>
      </c>
      <c r="AT49" s="24" t="inlineStr">
        <is>
          <t>New York Yankees</t>
        </is>
      </c>
      <c r="AU49" s="24" t="inlineStr">
        <is>
          <t>New York Yankees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433578016242b27f9c1c7132cc6b5a2bcc7dd1b0234590c12a944455a88e71bd</t>
        </is>
      </c>
      <c r="BB49" s="24" t="inlineStr">
        <is>
          <t>flat_probability_shrinkage_toward_half</t>
        </is>
      </c>
      <c r="BC49" s="24" t="inlineStr">
        <is>
          <t>measured-edge-totals-v2</t>
        </is>
      </c>
      <c r="BD49" s="24" t="inlineStr">
        <is>
          <t>433578016242b27f9c1c7132cc6b5a2bcc7dd1b0234590c12a944455a88e71bd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2026-08-04T14:25:15.642219Z</t>
        </is>
      </c>
      <c r="BI49" s="24" t="inlineStr">
        <is>
          <t>["same_event","same_team_same_day","same_league_same_day"]</t>
        </is>
      </c>
      <c r="BJ49" s="25" t="n">
        <v>8.5</v>
      </c>
      <c r="BK49" s="26" t="n">
        <v>-111</v>
      </c>
      <c r="BL49" s="27" t="n">
        <v>1.900901</v>
      </c>
      <c r="BM49" s="28" t="n">
        <v>0.526066</v>
      </c>
      <c r="BN49" s="28" t="n">
        <v>0.522388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</row>
    <row r="50" ht="36" customHeight="1">
      <c r="A50" s="24" t="inlineStr">
        <is>
          <t>74826e5d920a490b</t>
        </is>
      </c>
      <c r="B50" s="24" t="inlineStr">
        <is>
          <t>2026-08-04T14:25:15.642219Z</t>
        </is>
      </c>
      <c r="C50" s="24" t="inlineStr">
        <is>
          <t>2026-08-04T23:10Z</t>
        </is>
      </c>
      <c r="D50" s="24" t="inlineStr">
        <is>
          <t>401816386</t>
        </is>
      </c>
      <c r="E50" s="24" t="inlineStr">
        <is>
          <t>MLB</t>
        </is>
      </c>
      <c r="F50" s="24" t="inlineStr">
        <is>
          <t>Chicago White Sox</t>
        </is>
      </c>
      <c r="G50" s="24" t="inlineStr">
        <is>
          <t>Boston Red Sox</t>
        </is>
      </c>
      <c r="H50" s="24" t="inlineStr">
        <is>
          <t>spread</t>
        </is>
      </c>
      <c r="I50" s="24" t="inlineStr">
        <is>
          <t>away</t>
        </is>
      </c>
      <c r="J50" s="25" t="n">
        <v>1.5</v>
      </c>
      <c r="K50" s="24" t="inlineStr">
        <is>
          <t>polymarket_us</t>
        </is>
      </c>
      <c r="L50" s="26" t="n">
        <v>-174</v>
      </c>
      <c r="M50" s="27" t="n">
        <v>1.574713</v>
      </c>
      <c r="N50" s="28" t="n">
        <v>0.635036</v>
      </c>
      <c r="O50" s="28" t="n">
        <v>0.558902</v>
      </c>
      <c r="P50" s="28" t="n">
        <v>0.05172</v>
      </c>
      <c r="Q50" s="28" t="n">
        <v>-0.07613399999999999</v>
      </c>
      <c r="R50" s="26" t="n">
        <v>0</v>
      </c>
      <c r="S50" s="29" t="n">
        <v>1</v>
      </c>
      <c r="T50" s="24" t="inlineStr">
        <is>
          <t>measured-edge-margin-v2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Measured Edge Margin: Trend Engine projected 4.37-5.16; raw selected-side p=0.5897, calibrated p=0.5589.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mlb-cws</t>
        </is>
      </c>
      <c r="AQ50" s="24" t="inlineStr">
        <is>
          <t>Chicago White Sox</t>
        </is>
      </c>
      <c r="AR50" s="24" t="inlineStr">
        <is>
          <t>Chicago White Sox</t>
        </is>
      </c>
      <c r="AS50" s="24" t="inlineStr">
        <is>
          <t>mlb-bos</t>
        </is>
      </c>
      <c r="AT50" s="24" t="inlineStr">
        <is>
          <t>Boston Red Sox</t>
        </is>
      </c>
      <c r="AU50" s="24" t="inlineStr">
        <is>
          <t>Boston Red Sox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8360b122264b796b0fb193095cfe4506c7e064e5f3f8c0a659aec41efd08dd25</t>
        </is>
      </c>
      <c r="BB50" s="24" t="inlineStr">
        <is>
          <t>flat_probability_shrinkage_toward_half</t>
        </is>
      </c>
      <c r="BC50" s="24" t="inlineStr">
        <is>
          <t>measured-edge-margin-v2</t>
        </is>
      </c>
      <c r="BD50" s="24" t="inlineStr">
        <is>
          <t>8360b122264b796b0fb193095cfe4506c7e064e5f3f8c0a659aec41efd08dd25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2026-08-04T14:25:15.642219Z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-174</v>
      </c>
      <c r="BL50" s="27" t="n">
        <v>1.574713</v>
      </c>
      <c r="BM50" s="28" t="n">
        <v>0.635036</v>
      </c>
      <c r="BN50" s="28" t="n">
        <v>0.631841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</row>
    <row r="51" ht="36" customHeight="1">
      <c r="A51" s="24" t="inlineStr">
        <is>
          <t>8e58043a780a4849</t>
        </is>
      </c>
      <c r="B51" s="24" t="inlineStr">
        <is>
          <t>2026-08-04T14:25:15.642219Z</t>
        </is>
      </c>
      <c r="C51" s="24" t="inlineStr">
        <is>
          <t>2026-08-04T23:10Z</t>
        </is>
      </c>
      <c r="D51" s="24" t="inlineStr">
        <is>
          <t>401816386</t>
        </is>
      </c>
      <c r="E51" s="24" t="inlineStr">
        <is>
          <t>MLB</t>
        </is>
      </c>
      <c r="F51" s="24" t="inlineStr">
        <is>
          <t>Chicago White Sox</t>
        </is>
      </c>
      <c r="G51" s="24" t="inlineStr">
        <is>
          <t>Boston Red Sox</t>
        </is>
      </c>
      <c r="H51" s="24" t="inlineStr">
        <is>
          <t>total</t>
        </is>
      </c>
      <c r="I51" s="24" t="inlineStr">
        <is>
          <t>over</t>
        </is>
      </c>
      <c r="J51" s="25" t="n">
        <v>8.5</v>
      </c>
      <c r="K51" s="24" t="inlineStr">
        <is>
          <t>polymarket_us</t>
        </is>
      </c>
      <c r="L51" s="26" t="n">
        <v>-122</v>
      </c>
      <c r="M51" s="27" t="n">
        <v>1.819672</v>
      </c>
      <c r="N51" s="28" t="n">
        <v>0.54955</v>
      </c>
      <c r="O51" s="28" t="n">
        <v>0.529648</v>
      </c>
      <c r="P51" s="28" t="n">
        <v>0.05172</v>
      </c>
      <c r="Q51" s="28" t="n">
        <v>-0.019902</v>
      </c>
      <c r="R51" s="26" t="n">
        <v>10</v>
      </c>
      <c r="S51" s="29" t="n">
        <v>1</v>
      </c>
      <c r="T51" s="24" t="inlineStr">
        <is>
          <t>measured-edge-totals-v2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Measured Edge Totals: Trend Engine projected 4.37-5.16; raw selected-side p=0.5635, calibrated p=0.5296.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mlb-cws</t>
        </is>
      </c>
      <c r="AQ51" s="24" t="inlineStr">
        <is>
          <t>Chicago White Sox</t>
        </is>
      </c>
      <c r="AR51" s="24" t="inlineStr">
        <is>
          <t>Chicago White Sox</t>
        </is>
      </c>
      <c r="AS51" s="24" t="inlineStr">
        <is>
          <t>mlb-bos</t>
        </is>
      </c>
      <c r="AT51" s="24" t="inlineStr">
        <is>
          <t>Boston Red Sox</t>
        </is>
      </c>
      <c r="AU51" s="24" t="inlineStr">
        <is>
          <t>Boston Red Sox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433578016242b27f9c1c7132cc6b5a2bcc7dd1b0234590c12a944455a88e71bd</t>
        </is>
      </c>
      <c r="BB51" s="24" t="inlineStr">
        <is>
          <t>flat_probability_shrinkage_toward_half</t>
        </is>
      </c>
      <c r="BC51" s="24" t="inlineStr">
        <is>
          <t>measured-edge-totals-v2</t>
        </is>
      </c>
      <c r="BD51" s="24" t="inlineStr">
        <is>
          <t>433578016242b27f9c1c7132cc6b5a2bcc7dd1b0234590c12a944455a88e71bd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2026-08-04T14:25:15.642219Z</t>
        </is>
      </c>
      <c r="BI51" s="24" t="inlineStr">
        <is>
          <t>["same_event","same_team_same_day","same_league_same_day"]</t>
        </is>
      </c>
      <c r="BJ51" s="25" t="n">
        <v>8.5</v>
      </c>
      <c r="BK51" s="26" t="n">
        <v>-122</v>
      </c>
      <c r="BL51" s="27" t="n">
        <v>1.819672</v>
      </c>
      <c r="BM51" s="28" t="n">
        <v>0.54955</v>
      </c>
      <c r="BN51" s="28" t="n">
        <v>0.547264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8c1d1d3f571d4025</t>
        </is>
      </c>
      <c r="B52" s="24" t="inlineStr">
        <is>
          <t>2026-08-04T14:25:15.642219Z</t>
        </is>
      </c>
      <c r="C52" s="24" t="inlineStr">
        <is>
          <t>2026-08-04T23:15Z</t>
        </is>
      </c>
      <c r="D52" s="24" t="inlineStr">
        <is>
          <t>401816387</t>
        </is>
      </c>
      <c r="E52" s="24" t="inlineStr">
        <is>
          <t>MLB</t>
        </is>
      </c>
      <c r="F52" s="24" t="inlineStr">
        <is>
          <t>Miami Marlins</t>
        </is>
      </c>
      <c r="G52" s="24" t="inlineStr">
        <is>
          <t>Atlanta Braves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-150</v>
      </c>
      <c r="M52" s="27" t="n">
        <v>1.666667</v>
      </c>
      <c r="N52" s="28" t="n">
        <v>0.6</v>
      </c>
      <c r="O52" s="28" t="n">
        <v>0.567661</v>
      </c>
      <c r="P52" s="28" t="n">
        <v>0.042131</v>
      </c>
      <c r="Q52" s="28" t="n">
        <v>-0.032339</v>
      </c>
      <c r="R52" s="26" t="n">
        <v>10</v>
      </c>
      <c r="S52" s="29" t="n">
        <v>1.25</v>
      </c>
      <c r="T52" s="24" t="inlineStr">
        <is>
          <t>measured-edge-margin-v2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Measured Edge Margin: Trend Engine projected 4.10-4.82; raw selected-side p=0.6030, calibrated p=0.5677.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mlb-mia</t>
        </is>
      </c>
      <c r="AQ52" s="24" t="inlineStr">
        <is>
          <t>Miami Marlins</t>
        </is>
      </c>
      <c r="AR52" s="24" t="inlineStr">
        <is>
          <t>Miami Marlins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8360b122264b796b0fb193095cfe4506c7e064e5f3f8c0a659aec41efd08dd25</t>
        </is>
      </c>
      <c r="BB52" s="24" t="inlineStr">
        <is>
          <t>flat_probability_shrinkage_toward_half</t>
        </is>
      </c>
      <c r="BC52" s="24" t="inlineStr">
        <is>
          <t>measured-edge-margin-v2</t>
        </is>
      </c>
      <c r="BD52" s="24" t="inlineStr">
        <is>
          <t>8360b122264b796b0fb193095cfe4506c7e064e5f3f8c0a659aec41efd08dd25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2026-08-04T14:25:15.642219Z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-150</v>
      </c>
      <c r="BL52" s="27" t="n">
        <v>1.666667</v>
      </c>
      <c r="BM52" s="28" t="n">
        <v>0.6</v>
      </c>
      <c r="BN52" s="28" t="n">
        <v>0.597015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</row>
    <row r="53" ht="36" customHeight="1">
      <c r="A53" s="24" t="inlineStr">
        <is>
          <t>1f9fb77aaf164589</t>
        </is>
      </c>
      <c r="B53" s="24" t="inlineStr">
        <is>
          <t>2026-08-04T14:25:15.642219Z</t>
        </is>
      </c>
      <c r="C53" s="24" t="inlineStr">
        <is>
          <t>2026-08-04T23:15Z</t>
        </is>
      </c>
      <c r="D53" s="24" t="inlineStr">
        <is>
          <t>401816387</t>
        </is>
      </c>
      <c r="E53" s="24" t="inlineStr">
        <is>
          <t>MLB</t>
        </is>
      </c>
      <c r="F53" s="24" t="inlineStr">
        <is>
          <t>Miami Marlins</t>
        </is>
      </c>
      <c r="G53" s="24" t="inlineStr">
        <is>
          <t>Atlanta Braves</t>
        </is>
      </c>
      <c r="H53" s="24" t="inlineStr">
        <is>
          <t>total</t>
        </is>
      </c>
      <c r="I53" s="24" t="inlineStr">
        <is>
          <t>under</t>
        </is>
      </c>
      <c r="J53" s="25" t="n">
        <v>9.5</v>
      </c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0.54376</v>
      </c>
      <c r="P53" s="28" t="n">
        <v>0.042131</v>
      </c>
      <c r="Q53" s="28" t="n">
        <v>0.013244</v>
      </c>
      <c r="R53" s="26" t="n">
        <v>33</v>
      </c>
      <c r="S53" s="29" t="n">
        <v>1</v>
      </c>
      <c r="T53" s="24" t="inlineStr">
        <is>
          <t>measured-edge-totals-v2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Measured Edge Totals: Trend Engine projected 4.10-4.82; raw selected-side p=0.6048, calibrated p=0.5438.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mlb-mia</t>
        </is>
      </c>
      <c r="AQ53" s="24" t="inlineStr">
        <is>
          <t>Miami Marlins</t>
        </is>
      </c>
      <c r="AR53" s="24" t="inlineStr">
        <is>
          <t>Miami Marlins</t>
        </is>
      </c>
      <c r="AS53" s="24" t="inlineStr">
        <is>
          <t>mlb-atl</t>
        </is>
      </c>
      <c r="AT53" s="24" t="inlineStr">
        <is>
          <t>Atlanta Braves</t>
        </is>
      </c>
      <c r="AU53" s="24" t="inlineStr">
        <is>
          <t>Atlanta Braves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433578016242b27f9c1c7132cc6b5a2bcc7dd1b0234590c12a944455a88e71bd</t>
        </is>
      </c>
      <c r="BB53" s="24" t="inlineStr">
        <is>
          <t>flat_probability_shrinkage_toward_half</t>
        </is>
      </c>
      <c r="BC53" s="24" t="inlineStr">
        <is>
          <t>measured-edge-totals-v2</t>
        </is>
      </c>
      <c r="BD53" s="24" t="inlineStr">
        <is>
          <t>433578016242b27f9c1c7132cc6b5a2bcc7dd1b0234590c12a944455a88e71bd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2026-08-04T14:25:15.642219Z</t>
        </is>
      </c>
      <c r="BI53" s="24" t="inlineStr">
        <is>
          <t>["same_event","same_team_same_day","same_league_same_day"]</t>
        </is>
      </c>
      <c r="BJ53" s="25" t="n">
        <v>9.5</v>
      </c>
      <c r="BK53" s="26" t="n">
        <v>-113</v>
      </c>
      <c r="BL53" s="27" t="n">
        <v>1.884956</v>
      </c>
      <c r="BM53" s="28" t="n">
        <v>0.530516</v>
      </c>
      <c r="BN53" s="28" t="n">
        <v>0.527363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032ac8c42bb54932</t>
        </is>
      </c>
      <c r="B54" s="24" t="inlineStr">
        <is>
          <t>2026-08-04T14:25:15.642219Z</t>
        </is>
      </c>
      <c r="C54" s="24" t="inlineStr">
        <is>
          <t>2026-08-04T23:40Z</t>
        </is>
      </c>
      <c r="D54" s="24" t="inlineStr">
        <is>
          <t>401816392</t>
        </is>
      </c>
      <c r="E54" s="24" t="inlineStr">
        <is>
          <t>MLB</t>
        </is>
      </c>
      <c r="F54" s="24" t="inlineStr">
        <is>
          <t>Minnesota Twins</t>
        </is>
      </c>
      <c r="G54" s="24" t="inlineStr">
        <is>
          <t>Kansas City Royals</t>
        </is>
      </c>
      <c r="H54" s="24" t="inlineStr">
        <is>
          <t>spread</t>
        </is>
      </c>
      <c r="I54" s="24" t="inlineStr">
        <is>
          <t>home</t>
        </is>
      </c>
      <c r="J54" s="25" t="n">
        <v>1.5</v>
      </c>
      <c r="K54" s="24" t="inlineStr">
        <is>
          <t>polymarket_us</t>
        </is>
      </c>
      <c r="L54" s="26" t="n">
        <v>-122</v>
      </c>
      <c r="M54" s="27" t="n">
        <v>1.819672</v>
      </c>
      <c r="N54" s="28" t="n">
        <v>0.54955</v>
      </c>
      <c r="O54" s="28" t="n">
        <v>0.700193</v>
      </c>
      <c r="P54" s="28" t="n">
        <v>0.05172</v>
      </c>
      <c r="Q54" s="28" t="n">
        <v>0.150643</v>
      </c>
      <c r="R54" s="26" t="n">
        <v>95</v>
      </c>
      <c r="S54" s="29" t="n">
        <v>2</v>
      </c>
      <c r="T54" s="24" t="inlineStr">
        <is>
          <t>measured-edge-margin-v2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Measured Edge Margin: Trend Engine projected 3.16-4.32; raw selected-side p=0.8051, calibrated p=0.7002.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mlb-min</t>
        </is>
      </c>
      <c r="AQ54" s="24" t="inlineStr">
        <is>
          <t>Minnesota Twins</t>
        </is>
      </c>
      <c r="AR54" s="24" t="inlineStr">
        <is>
          <t>Minnesota Twins</t>
        </is>
      </c>
      <c r="AS54" s="24" t="inlineStr">
        <is>
          <t>mlb-kc</t>
        </is>
      </c>
      <c r="AT54" s="24" t="inlineStr">
        <is>
          <t>Kansas City Royals</t>
        </is>
      </c>
      <c r="AU54" s="24" t="inlineStr">
        <is>
          <t>Kansas City Royals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8360b122264b796b0fb193095cfe4506c7e064e5f3f8c0a659aec41efd08dd25</t>
        </is>
      </c>
      <c r="BB54" s="24" t="inlineStr">
        <is>
          <t>flat_probability_shrinkage_toward_half</t>
        </is>
      </c>
      <c r="BC54" s="24" t="inlineStr">
        <is>
          <t>measured-edge-margin-v2</t>
        </is>
      </c>
      <c r="BD54" s="24" t="inlineStr">
        <is>
          <t>8360b122264b796b0fb193095cfe4506c7e064e5f3f8c0a659aec41efd08dd25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2026-08-04T14:25:15.642219Z</t>
        </is>
      </c>
      <c r="BI54" s="24" t="inlineStr">
        <is>
          <t>["same_event","same_team_same_day","same_league_same_day"]</t>
        </is>
      </c>
      <c r="BJ54" s="25" t="n">
        <v>1.5</v>
      </c>
      <c r="BK54" s="26" t="n">
        <v>-122</v>
      </c>
      <c r="BL54" s="27" t="n">
        <v>1.819672</v>
      </c>
      <c r="BM54" s="28" t="n">
        <v>0.54955</v>
      </c>
      <c r="BN54" s="28" t="n">
        <v>0.547264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</row>
    <row r="55" ht="36" customHeight="1">
      <c r="A55" s="24" t="inlineStr">
        <is>
          <t>352ff4cb49064cdb</t>
        </is>
      </c>
      <c r="B55" s="24" t="inlineStr">
        <is>
          <t>2026-08-04T14:25:15.642219Z</t>
        </is>
      </c>
      <c r="C55" s="24" t="inlineStr">
        <is>
          <t>2026-08-04T23:40Z</t>
        </is>
      </c>
      <c r="D55" s="24" t="inlineStr">
        <is>
          <t>401816392</t>
        </is>
      </c>
      <c r="E55" s="24" t="inlineStr">
        <is>
          <t>MLB</t>
        </is>
      </c>
      <c r="F55" s="24" t="inlineStr">
        <is>
          <t>Minnesota Twins</t>
        </is>
      </c>
      <c r="G55" s="24" t="inlineStr">
        <is>
          <t>Kansas City Royals</t>
        </is>
      </c>
      <c r="H55" s="24" t="inlineStr">
        <is>
          <t>total</t>
        </is>
      </c>
      <c r="I55" s="24" t="inlineStr">
        <is>
          <t>under</t>
        </is>
      </c>
      <c r="J55" s="25" t="n">
        <v>9.5</v>
      </c>
      <c r="K55" s="24" t="inlineStr">
        <is>
          <t>polymarket_us</t>
        </is>
      </c>
      <c r="L55" s="26" t="n">
        <v>-120</v>
      </c>
      <c r="M55" s="27" t="n">
        <v>1.833333</v>
      </c>
      <c r="N55" s="28" t="n">
        <v>0.545455</v>
      </c>
      <c r="O55" s="28" t="n">
        <v>0.587703</v>
      </c>
      <c r="P55" s="28" t="n">
        <v>0.05172</v>
      </c>
      <c r="Q55" s="28" t="n">
        <v>0.042248</v>
      </c>
      <c r="R55" s="26" t="n">
        <v>42</v>
      </c>
      <c r="S55" s="29" t="n">
        <v>1.25</v>
      </c>
      <c r="T55" s="24" t="inlineStr">
        <is>
          <t>measured-edge-totals-v2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Measured Edge Totals: Trend Engine projected 3.16-4.32; raw selected-side p=0.7334, calibrated p=0.5877.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mlb-min</t>
        </is>
      </c>
      <c r="AQ55" s="24" t="inlineStr">
        <is>
          <t>Minnesota Twins</t>
        </is>
      </c>
      <c r="AR55" s="24" t="inlineStr">
        <is>
          <t>Minnesota Twins</t>
        </is>
      </c>
      <c r="AS55" s="24" t="inlineStr">
        <is>
          <t>mlb-kc</t>
        </is>
      </c>
      <c r="AT55" s="24" t="inlineStr">
        <is>
          <t>Kansas City Royals</t>
        </is>
      </c>
      <c r="AU55" s="24" t="inlineStr">
        <is>
          <t>Kansas City Royals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433578016242b27f9c1c7132cc6b5a2bcc7dd1b0234590c12a944455a88e71bd</t>
        </is>
      </c>
      <c r="BB55" s="24" t="inlineStr">
        <is>
          <t>flat_probability_shrinkage_toward_half</t>
        </is>
      </c>
      <c r="BC55" s="24" t="inlineStr">
        <is>
          <t>measured-edge-totals-v2</t>
        </is>
      </c>
      <c r="BD55" s="24" t="inlineStr">
        <is>
          <t>433578016242b27f9c1c7132cc6b5a2bcc7dd1b0234590c12a944455a88e71bd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2026-08-04T14:25:15.642219Z</t>
        </is>
      </c>
      <c r="BI55" s="24" t="inlineStr">
        <is>
          <t>["same_event","same_team_same_day","same_league_same_day"]</t>
        </is>
      </c>
      <c r="BJ55" s="25" t="n">
        <v>9.5</v>
      </c>
      <c r="BK55" s="26" t="n">
        <v>-120</v>
      </c>
      <c r="BL55" s="27" t="n">
        <v>1.833333</v>
      </c>
      <c r="BM55" s="28" t="n">
        <v>0.545455</v>
      </c>
      <c r="BN55" s="28" t="n">
        <v>0.542289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72db7fcab77e4e00</t>
        </is>
      </c>
      <c r="B56" s="24" t="inlineStr">
        <is>
          <t>2026-08-04T14:25:15.642219Z</t>
        </is>
      </c>
      <c r="C56" s="24" t="inlineStr">
        <is>
          <t>2026-08-04T23:40Z</t>
        </is>
      </c>
      <c r="D56" s="24" t="inlineStr">
        <is>
          <t>401816393</t>
        </is>
      </c>
      <c r="E56" s="24" t="inlineStr">
        <is>
          <t>MLB</t>
        </is>
      </c>
      <c r="F56" s="24" t="inlineStr">
        <is>
          <t>Pittsburgh Pirates</t>
        </is>
      </c>
      <c r="G56" s="24" t="inlineStr">
        <is>
          <t>Milwaukee Brewers</t>
        </is>
      </c>
      <c r="H56" s="24" t="inlineStr">
        <is>
          <t>spread</t>
        </is>
      </c>
      <c r="I56" s="24" t="inlineStr">
        <is>
          <t>away</t>
        </is>
      </c>
      <c r="J56" s="25" t="n">
        <v>1.5</v>
      </c>
      <c r="K56" s="24" t="inlineStr">
        <is>
          <t>polymarket_us</t>
        </is>
      </c>
      <c r="L56" s="26" t="n">
        <v>-147</v>
      </c>
      <c r="M56" s="27" t="n">
        <v>1.680272</v>
      </c>
      <c r="N56" s="28" t="n">
        <v>0.5951419999999999</v>
      </c>
      <c r="O56" s="28" t="n">
        <v>0.597054</v>
      </c>
      <c r="P56" s="28" t="n">
        <v>0.05172</v>
      </c>
      <c r="Q56" s="28" t="n">
        <v>0.001912</v>
      </c>
      <c r="R56" s="26" t="n">
        <v>21</v>
      </c>
      <c r="S56" s="29" t="n">
        <v>1.25</v>
      </c>
      <c r="T56" s="24" t="inlineStr">
        <is>
          <t>measured-edge-margin-v2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Measured Edge Margin: Trend Engine projected 3.58-4.00; raw selected-side p=0.6479, calibrated p=0.5971.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mlb-pit</t>
        </is>
      </c>
      <c r="AQ56" s="24" t="inlineStr">
        <is>
          <t>Pittsburgh Pirates</t>
        </is>
      </c>
      <c r="AR56" s="24" t="inlineStr">
        <is>
          <t>Pittsburgh Pirates</t>
        </is>
      </c>
      <c r="AS56" s="24" t="inlineStr">
        <is>
          <t>mlb-mil</t>
        </is>
      </c>
      <c r="AT56" s="24" t="inlineStr">
        <is>
          <t>Milwaukee Brewers</t>
        </is>
      </c>
      <c r="AU56" s="24" t="inlineStr">
        <is>
          <t>Milwaukee Brewers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8360b122264b796b0fb193095cfe4506c7e064e5f3f8c0a659aec41efd08dd25</t>
        </is>
      </c>
      <c r="BB56" s="24" t="inlineStr">
        <is>
          <t>flat_probability_shrinkage_toward_half</t>
        </is>
      </c>
      <c r="BC56" s="24" t="inlineStr">
        <is>
          <t>measured-edge-margin-v2</t>
        </is>
      </c>
      <c r="BD56" s="24" t="inlineStr">
        <is>
          <t>8360b122264b796b0fb193095cfe4506c7e064e5f3f8c0a659aec41efd08dd25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2026-08-04T14:25:15.642219Z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-147</v>
      </c>
      <c r="BL56" s="27" t="n">
        <v>1.680272</v>
      </c>
      <c r="BM56" s="28" t="n">
        <v>0.5951419999999999</v>
      </c>
      <c r="BN56" s="28" t="n">
        <v>0.59204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3aaaf6eb6eef4eb1</t>
        </is>
      </c>
      <c r="B57" s="24" t="inlineStr">
        <is>
          <t>2026-08-04T14:25:15.642219Z</t>
        </is>
      </c>
      <c r="C57" s="24" t="inlineStr">
        <is>
          <t>2026-08-04T23:40Z</t>
        </is>
      </c>
      <c r="D57" s="24" t="inlineStr">
        <is>
          <t>401816393</t>
        </is>
      </c>
      <c r="E57" s="24" t="inlineStr">
        <is>
          <t>MLB</t>
        </is>
      </c>
      <c r="F57" s="24" t="inlineStr">
        <is>
          <t>Pittsburgh Pirates</t>
        </is>
      </c>
      <c r="G57" s="24" t="inlineStr">
        <is>
          <t>Milwaukee Brewers</t>
        </is>
      </c>
      <c r="H57" s="24" t="inlineStr">
        <is>
          <t>total</t>
        </is>
      </c>
      <c r="I57" s="24" t="inlineStr">
        <is>
          <t>under</t>
        </is>
      </c>
      <c r="J57" s="25" t="n">
        <v>7.5</v>
      </c>
      <c r="K57" s="24" t="inlineStr">
        <is>
          <t>polymarket_us</t>
        </is>
      </c>
      <c r="L57" s="26" t="n">
        <v>-106</v>
      </c>
      <c r="M57" s="27" t="n">
        <v>1.943396</v>
      </c>
      <c r="N57" s="28" t="n">
        <v>0.514563</v>
      </c>
      <c r="O57" s="28" t="n">
        <v>0.523429</v>
      </c>
      <c r="P57" s="28" t="n">
        <v>0.05172</v>
      </c>
      <c r="Q57" s="28" t="n">
        <v>0.008866000000000001</v>
      </c>
      <c r="R57" s="26" t="n">
        <v>26</v>
      </c>
      <c r="S57" s="29" t="n">
        <v>1</v>
      </c>
      <c r="T57" s="24" t="inlineStr">
        <is>
          <t>measured-edge-totals-v2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Measured Edge Totals: Trend Engine projected 3.58-4.00; raw selected-side p=0.5453, calibrated p=0.5234.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mlb-pit</t>
        </is>
      </c>
      <c r="AQ57" s="24" t="inlineStr">
        <is>
          <t>Pittsburgh Pirates</t>
        </is>
      </c>
      <c r="AR57" s="24" t="inlineStr">
        <is>
          <t>Pittsburgh Pirates</t>
        </is>
      </c>
      <c r="AS57" s="24" t="inlineStr">
        <is>
          <t>mlb-mil</t>
        </is>
      </c>
      <c r="AT57" s="24" t="inlineStr">
        <is>
          <t>Milwaukee Brewers</t>
        </is>
      </c>
      <c r="AU57" s="24" t="inlineStr">
        <is>
          <t>Milwaukee Brewers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433578016242b27f9c1c7132cc6b5a2bcc7dd1b0234590c12a944455a88e71bd</t>
        </is>
      </c>
      <c r="BB57" s="24" t="inlineStr">
        <is>
          <t>flat_probability_shrinkage_toward_half</t>
        </is>
      </c>
      <c r="BC57" s="24" t="inlineStr">
        <is>
          <t>measured-edge-totals-v2</t>
        </is>
      </c>
      <c r="BD57" s="24" t="inlineStr">
        <is>
          <t>433578016242b27f9c1c7132cc6b5a2bcc7dd1b0234590c12a944455a88e71bd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2026-08-04T14:25:15.642219Z</t>
        </is>
      </c>
      <c r="BI57" s="24" t="inlineStr">
        <is>
          <t>["same_event","same_team_same_day","same_league_same_day"]</t>
        </is>
      </c>
      <c r="BJ57" s="25" t="n">
        <v>7.5</v>
      </c>
      <c r="BK57" s="26" t="n">
        <v>-106</v>
      </c>
      <c r="BL57" s="27" t="n">
        <v>1.943396</v>
      </c>
      <c r="BM57" s="28" t="n">
        <v>0.514563</v>
      </c>
      <c r="BN57" s="28" t="n">
        <v>0.509901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efd57fffe90f4d98</t>
        </is>
      </c>
      <c r="B58" s="24" t="inlineStr">
        <is>
          <t>2026-08-04T14:25:15.642219Z</t>
        </is>
      </c>
      <c r="C58" s="24" t="inlineStr">
        <is>
          <t>2026-08-05T00:05Z</t>
        </is>
      </c>
      <c r="D58" s="24" t="inlineStr">
        <is>
          <t>401816391</t>
        </is>
      </c>
      <c r="E58" s="24" t="inlineStr">
        <is>
          <t>MLB</t>
        </is>
      </c>
      <c r="F58" s="24" t="inlineStr">
        <is>
          <t>Los Angeles Dodgers</t>
        </is>
      </c>
      <c r="G58" s="24" t="inlineStr">
        <is>
          <t>Chicago Cubs</t>
        </is>
      </c>
      <c r="H58" s="24" t="inlineStr">
        <is>
          <t>spread</t>
        </is>
      </c>
      <c r="I58" s="24" t="inlineStr">
        <is>
          <t>home</t>
        </is>
      </c>
      <c r="J58" s="25" t="n">
        <v>1.5</v>
      </c>
      <c r="K58" s="24" t="inlineStr">
        <is>
          <t>polymarket_us</t>
        </is>
      </c>
      <c r="L58" s="26" t="n">
        <v>117</v>
      </c>
      <c r="M58" s="27" t="n">
        <v>2.17</v>
      </c>
      <c r="N58" s="28" t="n">
        <v>0.460829</v>
      </c>
      <c r="O58" s="28" t="n">
        <v>0.62835</v>
      </c>
      <c r="P58" s="28" t="n">
        <v>0.042131</v>
      </c>
      <c r="Q58" s="28" t="n">
        <v>0.167521</v>
      </c>
      <c r="R58" s="26" t="n">
        <v>100</v>
      </c>
      <c r="S58" s="29" t="n">
        <v>1.5</v>
      </c>
      <c r="T58" s="24" t="inlineStr">
        <is>
          <t>measured-edge-margin-v2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Measured Edge Margin: Trend Engine projected 3.82-3.91; raw selected-side p=0.6956, calibrated p=0.6284.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mlb-lad</t>
        </is>
      </c>
      <c r="AQ58" s="24" t="inlineStr">
        <is>
          <t>Los Angeles Dodgers</t>
        </is>
      </c>
      <c r="AR58" s="24" t="inlineStr">
        <is>
          <t>Los Angeles Dodgers</t>
        </is>
      </c>
      <c r="AS58" s="24" t="inlineStr">
        <is>
          <t>mlb-chc</t>
        </is>
      </c>
      <c r="AT58" s="24" t="inlineStr">
        <is>
          <t>Chicago Cubs</t>
        </is>
      </c>
      <c r="AU58" s="24" t="inlineStr">
        <is>
          <t>Chicago Cubs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8360b122264b796b0fb193095cfe4506c7e064e5f3f8c0a659aec41efd08dd25</t>
        </is>
      </c>
      <c r="BB58" s="24" t="inlineStr">
        <is>
          <t>flat_probability_shrinkage_toward_half</t>
        </is>
      </c>
      <c r="BC58" s="24" t="inlineStr">
        <is>
          <t>measured-edge-margin-v2</t>
        </is>
      </c>
      <c r="BD58" s="24" t="inlineStr">
        <is>
          <t>8360b122264b796b0fb193095cfe4506c7e064e5f3f8c0a659aec41efd08dd25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2026-08-04T14:25:15.642219Z</t>
        </is>
      </c>
      <c r="BI58" s="24" t="inlineStr">
        <is>
          <t>["same_event","same_team_same_day","same_league_same_day"]</t>
        </is>
      </c>
      <c r="BJ58" s="25" t="n">
        <v>1.5</v>
      </c>
      <c r="BK58" s="26" t="n">
        <v>117</v>
      </c>
      <c r="BL58" s="27" t="n">
        <v>2.17</v>
      </c>
      <c r="BM58" s="28" t="n">
        <v>0.460829</v>
      </c>
      <c r="BN58" s="28" t="n">
        <v>0.455446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5afdfe6a6e5342e0</t>
        </is>
      </c>
      <c r="B59" s="24" t="inlineStr">
        <is>
          <t>2026-08-04T14:25:15.642219Z</t>
        </is>
      </c>
      <c r="C59" s="24" t="inlineStr">
        <is>
          <t>2026-08-05T00:05Z</t>
        </is>
      </c>
      <c r="D59" s="24" t="inlineStr">
        <is>
          <t>401816391</t>
        </is>
      </c>
      <c r="E59" s="24" t="inlineStr">
        <is>
          <t>MLB</t>
        </is>
      </c>
      <c r="F59" s="24" t="inlineStr">
        <is>
          <t>Los Angeles Dodgers</t>
        </is>
      </c>
      <c r="G59" s="24" t="inlineStr">
        <is>
          <t>Chicago Cubs</t>
        </is>
      </c>
      <c r="H59" s="24" t="inlineStr">
        <is>
          <t>total</t>
        </is>
      </c>
      <c r="I59" s="24" t="inlineStr">
        <is>
          <t>under</t>
        </is>
      </c>
      <c r="J59" s="25" t="n">
        <v>9.5</v>
      </c>
      <c r="K59" s="24" t="inlineStr">
        <is>
          <t>polymarket_us</t>
        </is>
      </c>
      <c r="L59" s="26" t="n">
        <v>-122</v>
      </c>
      <c r="M59" s="27" t="n">
        <v>1.819672</v>
      </c>
      <c r="N59" s="28" t="n">
        <v>0.54955</v>
      </c>
      <c r="O59" s="28" t="n">
        <v>0.579434</v>
      </c>
      <c r="P59" s="28" t="n">
        <v>0.042131</v>
      </c>
      <c r="Q59" s="28" t="n">
        <v>0.029884</v>
      </c>
      <c r="R59" s="26" t="n">
        <v>41</v>
      </c>
      <c r="S59" s="29" t="n">
        <v>1.25</v>
      </c>
      <c r="T59" s="24" t="inlineStr">
        <is>
          <t>measured-edge-totals-v2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Measured Edge Totals: Trend Engine projected 3.82-3.91; raw selected-side p=0.7092, calibrated p=0.5794.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mlb-lad</t>
        </is>
      </c>
      <c r="AQ59" s="24" t="inlineStr">
        <is>
          <t>Los Angeles Dodgers</t>
        </is>
      </c>
      <c r="AR59" s="24" t="inlineStr">
        <is>
          <t>Los Angeles Dodgers</t>
        </is>
      </c>
      <c r="AS59" s="24" t="inlineStr">
        <is>
          <t>mlb-chc</t>
        </is>
      </c>
      <c r="AT59" s="24" t="inlineStr">
        <is>
          <t>Chicago Cubs</t>
        </is>
      </c>
      <c r="AU59" s="24" t="inlineStr">
        <is>
          <t>Chicago Cubs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433578016242b27f9c1c7132cc6b5a2bcc7dd1b0234590c12a944455a88e71bd</t>
        </is>
      </c>
      <c r="BB59" s="24" t="inlineStr">
        <is>
          <t>flat_probability_shrinkage_toward_half</t>
        </is>
      </c>
      <c r="BC59" s="24" t="inlineStr">
        <is>
          <t>measured-edge-totals-v2</t>
        </is>
      </c>
      <c r="BD59" s="24" t="inlineStr">
        <is>
          <t>433578016242b27f9c1c7132cc6b5a2bcc7dd1b0234590c12a944455a88e71bd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2026-08-04T14:25:15.642219Z</t>
        </is>
      </c>
      <c r="BI59" s="24" t="inlineStr">
        <is>
          <t>["same_event","same_team_same_day","same_league_same_day"]</t>
        </is>
      </c>
      <c r="BJ59" s="25" t="n">
        <v>9.5</v>
      </c>
      <c r="BK59" s="26" t="n">
        <v>-122</v>
      </c>
      <c r="BL59" s="27" t="n">
        <v>1.819672</v>
      </c>
      <c r="BM59" s="28" t="n">
        <v>0.54955</v>
      </c>
      <c r="BN59" s="28" t="n">
        <v>0.547264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</row>
    <row r="60" ht="36" customHeight="1">
      <c r="A60" s="24" t="inlineStr">
        <is>
          <t>19c2aae4fb7046a6</t>
        </is>
      </c>
      <c r="B60" s="24" t="inlineStr">
        <is>
          <t>2026-08-04T14:25:15.642219Z</t>
        </is>
      </c>
      <c r="C60" s="24" t="inlineStr">
        <is>
          <t>2026-08-05T00:05Z</t>
        </is>
      </c>
      <c r="D60" s="24" t="inlineStr">
        <is>
          <t>401816394</t>
        </is>
      </c>
      <c r="E60" s="24" t="inlineStr">
        <is>
          <t>MLB</t>
        </is>
      </c>
      <c r="F60" s="24" t="inlineStr">
        <is>
          <t>San Francisco Giants</t>
        </is>
      </c>
      <c r="G60" s="24" t="inlineStr">
        <is>
          <t>Texas Rangers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-120</v>
      </c>
      <c r="M60" s="27" t="n">
        <v>1.833333</v>
      </c>
      <c r="N60" s="28" t="n">
        <v>0.545455</v>
      </c>
      <c r="O60" s="28" t="n">
        <v>0.657612</v>
      </c>
      <c r="P60" s="28" t="n">
        <v>0.05172</v>
      </c>
      <c r="Q60" s="28" t="n">
        <v>0.112157</v>
      </c>
      <c r="R60" s="26" t="n">
        <v>77</v>
      </c>
      <c r="S60" s="29" t="n">
        <v>1.75</v>
      </c>
      <c r="T60" s="24" t="inlineStr">
        <is>
          <t>measured-edge-margin-v2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Measured Edge Margin: Trend Engine projected 4.98-4.16; raw selected-side p=0.7401, calibrated p=0.6576.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mlb-sf</t>
        </is>
      </c>
      <c r="AQ60" s="24" t="inlineStr">
        <is>
          <t>San Francisco Giants</t>
        </is>
      </c>
      <c r="AR60" s="24" t="inlineStr">
        <is>
          <t>San Francisco Giants</t>
        </is>
      </c>
      <c r="AS60" s="24" t="inlineStr">
        <is>
          <t>mlb-tex</t>
        </is>
      </c>
      <c r="AT60" s="24" t="inlineStr">
        <is>
          <t>Texas Rangers</t>
        </is>
      </c>
      <c r="AU60" s="24" t="inlineStr">
        <is>
          <t>Texas Rangers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8360b122264b796b0fb193095cfe4506c7e064e5f3f8c0a659aec41efd08dd25</t>
        </is>
      </c>
      <c r="BB60" s="24" t="inlineStr">
        <is>
          <t>flat_probability_shrinkage_toward_half</t>
        </is>
      </c>
      <c r="BC60" s="24" t="inlineStr">
        <is>
          <t>measured-edge-margin-v2</t>
        </is>
      </c>
      <c r="BD60" s="24" t="inlineStr">
        <is>
          <t>8360b122264b796b0fb193095cfe4506c7e064e5f3f8c0a659aec41efd08dd25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2026-08-04T14:25:15.642219Z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-120</v>
      </c>
      <c r="BL60" s="27" t="n">
        <v>1.833333</v>
      </c>
      <c r="BM60" s="28" t="n">
        <v>0.545455</v>
      </c>
      <c r="BN60" s="28" t="n">
        <v>0.542289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57aef3476be84083</t>
        </is>
      </c>
      <c r="B61" s="24" t="inlineStr">
        <is>
          <t>2026-08-04T14:25:15.642219Z</t>
        </is>
      </c>
      <c r="C61" s="24" t="inlineStr">
        <is>
          <t>2026-08-05T00:05Z</t>
        </is>
      </c>
      <c r="D61" s="24" t="inlineStr">
        <is>
          <t>401816394</t>
        </is>
      </c>
      <c r="E61" s="24" t="inlineStr">
        <is>
          <t>MLB</t>
        </is>
      </c>
      <c r="F61" s="24" t="inlineStr">
        <is>
          <t>San Francisco Giants</t>
        </is>
      </c>
      <c r="G61" s="24" t="inlineStr">
        <is>
          <t>Texas Rangers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-115</v>
      </c>
      <c r="M61" s="27" t="n">
        <v>1.869565</v>
      </c>
      <c r="N61" s="28" t="n">
        <v>0.534884</v>
      </c>
      <c r="O61" s="28" t="n">
        <v>0.543008</v>
      </c>
      <c r="P61" s="28" t="n">
        <v>0.05172</v>
      </c>
      <c r="Q61" s="28" t="n">
        <v>0.008123999999999999</v>
      </c>
      <c r="R61" s="26" t="n">
        <v>24</v>
      </c>
      <c r="S61" s="29" t="n">
        <v>1</v>
      </c>
      <c r="T61" s="24" t="inlineStr">
        <is>
          <t>measured-edge-totals-v2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Measured Edge Totals: Trend Engine projected 4.98-4.16; raw selected-side p=0.6026, calibrated p=0.5430.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mlb-sf</t>
        </is>
      </c>
      <c r="AQ61" s="24" t="inlineStr">
        <is>
          <t>San Francisco Giants</t>
        </is>
      </c>
      <c r="AR61" s="24" t="inlineStr">
        <is>
          <t>San Francisco Giants</t>
        </is>
      </c>
      <c r="AS61" s="24" t="inlineStr">
        <is>
          <t>mlb-tex</t>
        </is>
      </c>
      <c r="AT61" s="24" t="inlineStr">
        <is>
          <t>Texas Rangers</t>
        </is>
      </c>
      <c r="AU61" s="24" t="inlineStr">
        <is>
          <t>Texas Rangers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433578016242b27f9c1c7132cc6b5a2bcc7dd1b0234590c12a944455a88e71bd</t>
        </is>
      </c>
      <c r="BB61" s="24" t="inlineStr">
        <is>
          <t>flat_probability_shrinkage_toward_half</t>
        </is>
      </c>
      <c r="BC61" s="24" t="inlineStr">
        <is>
          <t>measured-edge-totals-v2</t>
        </is>
      </c>
      <c r="BD61" s="24" t="inlineStr">
        <is>
          <t>433578016242b27f9c1c7132cc6b5a2bcc7dd1b0234590c12a944455a88e71bd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2026-08-04T14:25:15.642219Z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-115</v>
      </c>
      <c r="BL61" s="27" t="n">
        <v>1.869565</v>
      </c>
      <c r="BM61" s="28" t="n">
        <v>0.534884</v>
      </c>
      <c r="BN61" s="28" t="n">
        <v>0.532338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8bdbed487f214c46</t>
        </is>
      </c>
      <c r="B62" s="24" t="inlineStr">
        <is>
          <t>2026-08-04T14:25:15.642219Z</t>
        </is>
      </c>
      <c r="C62" s="24" t="inlineStr">
        <is>
          <t>2026-08-05T00:10Z</t>
        </is>
      </c>
      <c r="D62" s="24" t="inlineStr">
        <is>
          <t>401816395</t>
        </is>
      </c>
      <c r="E62" s="24" t="inlineStr">
        <is>
          <t>MLB</t>
        </is>
      </c>
      <c r="F62" s="24" t="inlineStr">
        <is>
          <t>Toronto Blue Jays</t>
        </is>
      </c>
      <c r="G62" s="24" t="inlineStr">
        <is>
          <t>Houston Astros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-178</v>
      </c>
      <c r="M62" s="27" t="n">
        <v>1.561798</v>
      </c>
      <c r="N62" s="28" t="n">
        <v>0.640288</v>
      </c>
      <c r="O62" s="28" t="n">
        <v>0.577535</v>
      </c>
      <c r="P62" s="28" t="n">
        <v>0.05172</v>
      </c>
      <c r="Q62" s="28" t="n">
        <v>-0.062753</v>
      </c>
      <c r="R62" s="26" t="n">
        <v>0</v>
      </c>
      <c r="S62" s="29" t="n">
        <v>1.25</v>
      </c>
      <c r="T62" s="24" t="inlineStr">
        <is>
          <t>measured-edge-margin-v2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Margin: Trend Engine projected 4.31-4.86; raw selected-side p=0.6181, calibrated p=0.5775.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mlb-tor</t>
        </is>
      </c>
      <c r="AQ62" s="24" t="inlineStr">
        <is>
          <t>Toronto Blue Jays</t>
        </is>
      </c>
      <c r="AR62" s="24" t="inlineStr">
        <is>
          <t>Toronto Blue Jays</t>
        </is>
      </c>
      <c r="AS62" s="24" t="inlineStr">
        <is>
          <t>mlb-hou</t>
        </is>
      </c>
      <c r="AT62" s="24" t="inlineStr">
        <is>
          <t>Houston Astros</t>
        </is>
      </c>
      <c r="AU62" s="24" t="inlineStr">
        <is>
          <t>Houston Astros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8360b122264b796b0fb193095cfe4506c7e064e5f3f8c0a659aec41efd08dd25</t>
        </is>
      </c>
      <c r="BB62" s="24" t="inlineStr">
        <is>
          <t>flat_probability_shrinkage_toward_half</t>
        </is>
      </c>
      <c r="BC62" s="24" t="inlineStr">
        <is>
          <t>measured-edge-margin-v2</t>
        </is>
      </c>
      <c r="BD62" s="24" t="inlineStr">
        <is>
          <t>8360b122264b796b0fb193095cfe4506c7e064e5f3f8c0a659aec41efd08dd25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2026-08-04T14:25:15.642219Z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-178</v>
      </c>
      <c r="BL62" s="27" t="n">
        <v>1.561798</v>
      </c>
      <c r="BM62" s="28" t="n">
        <v>0.640288</v>
      </c>
      <c r="BN62" s="28" t="n">
        <v>0.636816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d43d12ed43b34018</t>
        </is>
      </c>
      <c r="B63" s="24" t="inlineStr">
        <is>
          <t>2026-08-04T14:25:15.642219Z</t>
        </is>
      </c>
      <c r="C63" s="24" t="inlineStr">
        <is>
          <t>2026-08-05T00:10Z</t>
        </is>
      </c>
      <c r="D63" s="24" t="inlineStr">
        <is>
          <t>401816395</t>
        </is>
      </c>
      <c r="E63" s="24" t="inlineStr">
        <is>
          <t>MLB</t>
        </is>
      </c>
      <c r="F63" s="24" t="inlineStr">
        <is>
          <t>Toronto Blue Jays</t>
        </is>
      </c>
      <c r="G63" s="24" t="inlineStr">
        <is>
          <t>Houston Astros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104</v>
      </c>
      <c r="M63" s="27" t="n">
        <v>2.04</v>
      </c>
      <c r="N63" s="28" t="n">
        <v>0.490196</v>
      </c>
      <c r="O63" s="28" t="n">
        <v>0.516834</v>
      </c>
      <c r="P63" s="28" t="n">
        <v>0.05172</v>
      </c>
      <c r="Q63" s="28" t="n">
        <v>0.026638</v>
      </c>
      <c r="R63" s="26" t="n">
        <v>34</v>
      </c>
      <c r="S63" s="29" t="n">
        <v>1</v>
      </c>
      <c r="T63" s="24" t="inlineStr">
        <is>
          <t>measured-edge-totals-v2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Totals: Trend Engine projected 4.31-4.86; raw selected-side p=0.5260, calibrated p=0.5168.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mlb-tor</t>
        </is>
      </c>
      <c r="AQ63" s="24" t="inlineStr">
        <is>
          <t>Toronto Blue Jays</t>
        </is>
      </c>
      <c r="AR63" s="24" t="inlineStr">
        <is>
          <t>Toronto Blue Jays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433578016242b27f9c1c7132cc6b5a2bcc7dd1b0234590c12a944455a88e71bd</t>
        </is>
      </c>
      <c r="BB63" s="24" t="inlineStr">
        <is>
          <t>flat_probability_shrinkage_toward_half</t>
        </is>
      </c>
      <c r="BC63" s="24" t="inlineStr">
        <is>
          <t>measured-edge-totals-v2</t>
        </is>
      </c>
      <c r="BD63" s="24" t="inlineStr">
        <is>
          <t>433578016242b27f9c1c7132cc6b5a2bcc7dd1b0234590c12a944455a88e71bd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2026-08-04T14:25:15.642219Z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104</v>
      </c>
      <c r="BL63" s="27" t="n">
        <v>2.04</v>
      </c>
      <c r="BM63" s="28" t="n">
        <v>0.490196</v>
      </c>
      <c r="BN63" s="28" t="n">
        <v>0.487562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9d6188233c84469f</t>
        </is>
      </c>
      <c r="B64" s="24" t="inlineStr">
        <is>
          <t>2026-08-04T14:25:15.642219Z</t>
        </is>
      </c>
      <c r="C64" s="24" t="inlineStr">
        <is>
          <t>2026-08-05T00:40Z</t>
        </is>
      </c>
      <c r="D64" s="24" t="inlineStr">
        <is>
          <t>401816396</t>
        </is>
      </c>
      <c r="E64" s="24" t="inlineStr">
        <is>
          <t>MLB</t>
        </is>
      </c>
      <c r="F64" s="24" t="inlineStr">
        <is>
          <t>Tampa Bay Rays</t>
        </is>
      </c>
      <c r="G64" s="24" t="inlineStr">
        <is>
          <t>Colorado Rockies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-104</v>
      </c>
      <c r="M64" s="27" t="n">
        <v>1.961538</v>
      </c>
      <c r="N64" s="28" t="n">
        <v>0.509804</v>
      </c>
      <c r="O64" s="28" t="n">
        <v>0.6912700000000001</v>
      </c>
      <c r="P64" s="28" t="n">
        <v>0.05172</v>
      </c>
      <c r="Q64" s="28" t="n">
        <v>0.181466</v>
      </c>
      <c r="R64" s="26" t="n">
        <v>100</v>
      </c>
      <c r="S64" s="29" t="n">
        <v>2</v>
      </c>
      <c r="T64" s="24" t="inlineStr">
        <is>
          <t>measured-edge-margin-v2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Margin: Trend Engine projected 4.49-6.29; raw selected-side p=0.7914, calibrated p=0.6913.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mlb-tb</t>
        </is>
      </c>
      <c r="AQ64" s="24" t="inlineStr">
        <is>
          <t>Tampa Bay Rays</t>
        </is>
      </c>
      <c r="AR64" s="24" t="inlineStr">
        <is>
          <t>Tampa Bay Rays</t>
        </is>
      </c>
      <c r="AS64" s="24" t="inlineStr">
        <is>
          <t>mlb-col</t>
        </is>
      </c>
      <c r="AT64" s="24" t="inlineStr">
        <is>
          <t>Colorado Rockies</t>
        </is>
      </c>
      <c r="AU64" s="24" t="inlineStr">
        <is>
          <t>Colorado Rockies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8360b122264b796b0fb193095cfe4506c7e064e5f3f8c0a659aec41efd08dd25</t>
        </is>
      </c>
      <c r="BB64" s="24" t="inlineStr">
        <is>
          <t>flat_probability_shrinkage_toward_half</t>
        </is>
      </c>
      <c r="BC64" s="24" t="inlineStr">
        <is>
          <t>measured-edge-margin-v2</t>
        </is>
      </c>
      <c r="BD64" s="24" t="inlineStr">
        <is>
          <t>8360b122264b796b0fb193095cfe4506c7e064e5f3f8c0a659aec41efd08dd25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2026-08-04T14:25:15.642219Z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-104</v>
      </c>
      <c r="BL64" s="27" t="n">
        <v>1.961538</v>
      </c>
      <c r="BM64" s="28" t="n">
        <v>0.509804</v>
      </c>
      <c r="BN64" s="28" t="n">
        <v>0.507463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</row>
    <row r="65" ht="36" customHeight="1">
      <c r="A65" s="24" t="inlineStr">
        <is>
          <t>b2a3b70378ef493f</t>
        </is>
      </c>
      <c r="B65" s="24" t="inlineStr">
        <is>
          <t>2026-08-04T14:25:15.642219Z</t>
        </is>
      </c>
      <c r="C65" s="24" t="inlineStr">
        <is>
          <t>2026-08-05T00:40Z</t>
        </is>
      </c>
      <c r="D65" s="24" t="inlineStr">
        <is>
          <t>401816396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Colorado Rockies</t>
        </is>
      </c>
      <c r="H65" s="24" t="inlineStr">
        <is>
          <t>total</t>
        </is>
      </c>
      <c r="I65" s="24" t="inlineStr">
        <is>
          <t>under</t>
        </is>
      </c>
      <c r="J65" s="25" t="n">
        <v>11.5</v>
      </c>
      <c r="K65" s="24" t="inlineStr">
        <is>
          <t>polymarket_us</t>
        </is>
      </c>
      <c r="L65" s="26" t="n">
        <v>-117</v>
      </c>
      <c r="M65" s="27" t="n">
        <v>1.854701</v>
      </c>
      <c r="N65" s="28" t="n">
        <v>0.539171</v>
      </c>
      <c r="O65" s="28" t="n">
        <v>0.544905</v>
      </c>
      <c r="P65" s="28" t="n">
        <v>0.05172</v>
      </c>
      <c r="Q65" s="28" t="n">
        <v>0.005734</v>
      </c>
      <c r="R65" s="26" t="n">
        <v>23</v>
      </c>
      <c r="S65" s="29" t="n">
        <v>1</v>
      </c>
      <c r="T65" s="24" t="inlineStr">
        <is>
          <t>measured-edge-totals-v2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Totals: Trend Engine projected 4.49-6.29; raw selected-side p=0.6081, calibrated p=0.5449.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433578016242b27f9c1c7132cc6b5a2bcc7dd1b0234590c12a944455a88e71bd</t>
        </is>
      </c>
      <c r="BB65" s="24" t="inlineStr">
        <is>
          <t>flat_probability_shrinkage_toward_half</t>
        </is>
      </c>
      <c r="BC65" s="24" t="inlineStr">
        <is>
          <t>measured-edge-totals-v2</t>
        </is>
      </c>
      <c r="BD65" s="24" t="inlineStr">
        <is>
          <t>433578016242b27f9c1c7132cc6b5a2bcc7dd1b0234590c12a944455a88e71bd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2026-08-04T14:25:15.642219Z</t>
        </is>
      </c>
      <c r="BI65" s="24" t="inlineStr">
        <is>
          <t>["same_event","same_team_same_day","same_league_same_day"]</t>
        </is>
      </c>
      <c r="BJ65" s="25" t="n">
        <v>11.5</v>
      </c>
      <c r="BK65" s="26" t="n">
        <v>-117</v>
      </c>
      <c r="BL65" s="27" t="n">
        <v>1.854701</v>
      </c>
      <c r="BM65" s="28" t="n">
        <v>0.539171</v>
      </c>
      <c r="BN65" s="28" t="n">
        <v>0.537313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87a3403819ca4958</t>
        </is>
      </c>
      <c r="B66" s="24" t="inlineStr">
        <is>
          <t>2026-08-04T14:25:15.642219Z</t>
        </is>
      </c>
      <c r="C66" s="24" t="inlineStr">
        <is>
          <t>2026-08-05T01:40Z</t>
        </is>
      </c>
      <c r="D66" s="24" t="inlineStr">
        <is>
          <t>401816398</t>
        </is>
      </c>
      <c r="E66" s="24" t="inlineStr">
        <is>
          <t>MLB</t>
        </is>
      </c>
      <c r="F66" s="24" t="inlineStr">
        <is>
          <t>San Diego Padres</t>
        </is>
      </c>
      <c r="G66" s="24" t="inlineStr">
        <is>
          <t>Arizona Diamondbacks</t>
        </is>
      </c>
      <c r="H66" s="24" t="inlineStr">
        <is>
          <t>spread</t>
        </is>
      </c>
      <c r="I66" s="24" t="inlineStr">
        <is>
          <t>away</t>
        </is>
      </c>
      <c r="J66" s="25" t="n">
        <v>1.5</v>
      </c>
      <c r="K66" s="24" t="inlineStr">
        <is>
          <t>polymarket_us</t>
        </is>
      </c>
      <c r="L66" s="26" t="n">
        <v>-178</v>
      </c>
      <c r="M66" s="27" t="n">
        <v>1.561798</v>
      </c>
      <c r="N66" s="28" t="n">
        <v>0.640288</v>
      </c>
      <c r="O66" s="28" t="n">
        <v>0.543418</v>
      </c>
      <c r="P66" s="28" t="n">
        <v>0.042131</v>
      </c>
      <c r="Q66" s="28" t="n">
        <v>-0.09687</v>
      </c>
      <c r="R66" s="26" t="n">
        <v>0</v>
      </c>
      <c r="S66" s="29" t="n">
        <v>1</v>
      </c>
      <c r="T66" s="24" t="inlineStr">
        <is>
          <t>measured-edge-margin-v2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Measured Edge Margin: Trend Engine projected 4.09-5.16; raw selected-side p=0.5661, calibrated p=0.5434.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mlb-sd</t>
        </is>
      </c>
      <c r="AQ66" s="24" t="inlineStr">
        <is>
          <t>San Diego Padres</t>
        </is>
      </c>
      <c r="AR66" s="24" t="inlineStr">
        <is>
          <t>San Diego Padres</t>
        </is>
      </c>
      <c r="AS66" s="24" t="inlineStr">
        <is>
          <t>mlb-ari</t>
        </is>
      </c>
      <c r="AT66" s="24" t="inlineStr">
        <is>
          <t>Arizona Diamondbacks</t>
        </is>
      </c>
      <c r="AU66" s="24" t="inlineStr">
        <is>
          <t>Arizona Diamondbacks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8360b122264b796b0fb193095cfe4506c7e064e5f3f8c0a659aec41efd08dd25</t>
        </is>
      </c>
      <c r="BB66" s="24" t="inlineStr">
        <is>
          <t>flat_probability_shrinkage_toward_half</t>
        </is>
      </c>
      <c r="BC66" s="24" t="inlineStr">
        <is>
          <t>measured-edge-margin-v2</t>
        </is>
      </c>
      <c r="BD66" s="24" t="inlineStr">
        <is>
          <t>8360b122264b796b0fb193095cfe4506c7e064e5f3f8c0a659aec41efd08dd25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2026-08-04T14:25:15.642219Z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-178</v>
      </c>
      <c r="BL66" s="27" t="n">
        <v>1.561798</v>
      </c>
      <c r="BM66" s="28" t="n">
        <v>0.640288</v>
      </c>
      <c r="BN66" s="28" t="n">
        <v>0.636816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</row>
    <row r="67" ht="36" customHeight="1">
      <c r="A67" s="24" t="inlineStr">
        <is>
          <t>df3742dc80134149</t>
        </is>
      </c>
      <c r="B67" s="24" t="inlineStr">
        <is>
          <t>2026-08-04T14:25:15.642219Z</t>
        </is>
      </c>
      <c r="C67" s="24" t="inlineStr">
        <is>
          <t>2026-08-05T01:40Z</t>
        </is>
      </c>
      <c r="D67" s="24" t="inlineStr">
        <is>
          <t>401816398</t>
        </is>
      </c>
      <c r="E67" s="24" t="inlineStr">
        <is>
          <t>MLB</t>
        </is>
      </c>
      <c r="F67" s="24" t="inlineStr">
        <is>
          <t>San Diego Padres</t>
        </is>
      </c>
      <c r="G67" s="24" t="inlineStr">
        <is>
          <t>Arizona Diamondbacks</t>
        </is>
      </c>
      <c r="H67" s="24" t="inlineStr">
        <is>
          <t>total</t>
        </is>
      </c>
      <c r="I67" s="24" t="inlineStr">
        <is>
          <t>over</t>
        </is>
      </c>
      <c r="J67" s="25" t="n">
        <v>8.5</v>
      </c>
      <c r="K67" s="24" t="inlineStr">
        <is>
          <t>polymarket_us</t>
        </is>
      </c>
      <c r="L67" s="26" t="n">
        <v>-125</v>
      </c>
      <c r="M67" s="27" t="n">
        <v>1.8</v>
      </c>
      <c r="N67" s="28" t="n">
        <v>0.555556</v>
      </c>
      <c r="O67" s="28" t="n">
        <v>0.520781</v>
      </c>
      <c r="P67" s="28" t="n">
        <v>0.042131</v>
      </c>
      <c r="Q67" s="28" t="n">
        <v>-0.034775</v>
      </c>
      <c r="R67" s="26" t="n">
        <v>9</v>
      </c>
      <c r="S67" s="29" t="n">
        <v>1</v>
      </c>
      <c r="T67" s="24" t="inlineStr">
        <is>
          <t>measured-edge-totals-v2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Measured Edge Totals: Trend Engine projected 4.09-5.16; raw selected-side p=0.5375, calibrated p=0.5208.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mlb-sd</t>
        </is>
      </c>
      <c r="AQ67" s="24" t="inlineStr">
        <is>
          <t>San Diego Padres</t>
        </is>
      </c>
      <c r="AR67" s="24" t="inlineStr">
        <is>
          <t>San Diego Padres</t>
        </is>
      </c>
      <c r="AS67" s="24" t="inlineStr">
        <is>
          <t>mlb-ari</t>
        </is>
      </c>
      <c r="AT67" s="24" t="inlineStr">
        <is>
          <t>Arizona Diamondbacks</t>
        </is>
      </c>
      <c r="AU67" s="24" t="inlineStr">
        <is>
          <t>Arizona Diamondbacks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433578016242b27f9c1c7132cc6b5a2bcc7dd1b0234590c12a944455a88e71bd</t>
        </is>
      </c>
      <c r="BB67" s="24" t="inlineStr">
        <is>
          <t>flat_probability_shrinkage_toward_half</t>
        </is>
      </c>
      <c r="BC67" s="24" t="inlineStr">
        <is>
          <t>measured-edge-totals-v2</t>
        </is>
      </c>
      <c r="BD67" s="24" t="inlineStr">
        <is>
          <t>433578016242b27f9c1c7132cc6b5a2bcc7dd1b0234590c12a944455a88e71bd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2026-08-04T14:25:15.642219Z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-125</v>
      </c>
      <c r="BL67" s="27" t="n">
        <v>1.8</v>
      </c>
      <c r="BM67" s="28" t="n">
        <v>0.555556</v>
      </c>
      <c r="BN67" s="28" t="n">
        <v>0.552239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2026-08-04T14:28:27Z</dcterms:created>
  <dcterms:modified xsi:type="dcterms:W3CDTF">2026-08-04T14:28:27Z</dcterms:modified>
</cp:coreProperties>
</file>