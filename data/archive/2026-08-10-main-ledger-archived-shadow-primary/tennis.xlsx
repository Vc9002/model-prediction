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S21" headerRowCount="1">
  <autoFilter ref="A1:CS21"/>
  <tableColumns count="97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COUNTA('Picks'!$A$2:$A$21)</f>
        <v/>
      </c>
      <c r="C4" s="6">
        <f>COUNTIF('Picks'!$U$2:$U$21,"open")</f>
        <v/>
      </c>
      <c r="E4" s="6">
        <f>COUNTIF('Picks'!$U$2:$U$21,"settled")</f>
        <v/>
      </c>
      <c r="G4" s="6">
        <f>IF(COUNTIFS('Picks'!$U$2:$U$21,"settled",'Picks'!$V$2:$V$21,"win")+COUNTIFS('Picks'!$U$2:$U$21,"settled",'Picks'!$V$2:$V$21,"loss")&gt;=$L$2,"Ready","Insufficient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COUNTIF('Picks'!$BX$2:$BX$21,"&gt;0")</f>
        <v/>
      </c>
      <c r="C7" s="6">
        <f>COUNTIFS('Picks'!$BX$2:$BX$21,"&gt;0",'Picks'!$V$2:$V$21,"win")&amp;"-"&amp;COUNTIFS('Picks'!$BX$2:$BX$21,"&gt;0",'Picks'!$V$2:$V$21,"loss")</f>
        <v/>
      </c>
      <c r="E7" s="7">
        <f>IFERROR(COUNTIFS('Picks'!$BX$2:$BX$21,"&gt;0",'Picks'!$V$2:$V$21,"win")/(COUNTIFS('Picks'!$BX$2:$BX$21,"&gt;0",'Picks'!$V$2:$V$21,"win")+COUNTIFS('Picks'!$BX$2:$BX$21,"&gt;0",'Picks'!$V$2:$V$21,"loss")),0)</f>
        <v/>
      </c>
      <c r="G7" s="7">
        <f>IFERROR(SUM('Picks'!$BY$2:$BY$21)/SUM('Picks'!$BX$2:$BX$21),0)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SUM('Picks'!$BY$2:$BY$21)</f>
        <v/>
      </c>
      <c r="C10" s="9">
        <f>IFERROR(AVERAGEIF('Picks'!$AB$2:$AB$21,"&lt;&gt;",'Picks'!$AB$2:$AB$21),0)</f>
        <v/>
      </c>
      <c r="E10" s="6">
        <f>COUNTIFS('Picks'!$AM$2:$AM$21,"QUALIFIED_SHADOW_CALL",'Picks'!$U$2:$U$21,"settled")</f>
        <v/>
      </c>
      <c r="G10" s="8">
        <f>SUMIFS('Picks'!$AC$2:$AC$21,'Picks'!$AM$2:$AM$21,"QUALIFIED_SHADOW_CALL")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COUNTIFS('Picks'!$H$2:$H$21,$A14,'Picks'!$U$2:$U$21,"settled")</f>
        <v/>
      </c>
      <c r="C14" s="13">
        <f>COUNTIFS('Picks'!$H$2:$H$21,$A14,'Picks'!$U$2:$U$21,"settled",'Picks'!$V$2:$V$21,"win")</f>
        <v/>
      </c>
      <c r="D14" s="13">
        <f>COUNTIFS('Picks'!$H$2:$H$21,$A14,'Picks'!$U$2:$U$21,"settled",'Picks'!$V$2:$V$21,"loss")</f>
        <v/>
      </c>
      <c r="E14" s="14">
        <f>IFERROR(C14/(C14+D14),0)</f>
        <v/>
      </c>
      <c r="F14" s="15">
        <f>SUMIFS('Picks'!$BY$2:$BY$21,'Picks'!$H$2:$H$21,$A14)</f>
        <v/>
      </c>
      <c r="G14" s="16">
        <f>IFERROR(AVERAGEIFS('Picks'!$AB$2:$AB$21,'Picks'!$H$2:$H$21,$A14,'Picks'!$U$2:$U$21,"settled"),0)</f>
        <v/>
      </c>
    </row>
    <row r="15">
      <c r="A15" s="17" t="inlineStr">
        <is>
          <t>spread</t>
        </is>
      </c>
      <c r="B15" s="18">
        <f>COUNTIFS('Picks'!$H$2:$H$21,$A15,'Picks'!$U$2:$U$21,"settled")</f>
        <v/>
      </c>
      <c r="C15" s="18">
        <f>COUNTIFS('Picks'!$H$2:$H$21,$A15,'Picks'!$U$2:$U$21,"settled",'Picks'!$V$2:$V$21,"win")</f>
        <v/>
      </c>
      <c r="D15" s="18">
        <f>COUNTIFS('Picks'!$H$2:$H$21,$A15,'Picks'!$U$2:$U$21,"settled",'Picks'!$V$2:$V$21,"loss")</f>
        <v/>
      </c>
      <c r="E15" s="19">
        <f>IFERROR(C15/(C15+D15),0)</f>
        <v/>
      </c>
      <c r="F15" s="20">
        <f>SUMIFS('Picks'!$BY$2:$BY$21,'Picks'!$H$2:$H$21,$A15)</f>
        <v/>
      </c>
      <c r="G15" s="21">
        <f>IFERROR(AVERAGEIFS('Picks'!$AB$2:$AB$21,'Picks'!$H$2:$H$21,$A15,'Picks'!$U$2:$U$21,"settled"),0)</f>
        <v/>
      </c>
    </row>
    <row r="16">
      <c r="A16" s="12" t="inlineStr">
        <is>
          <t>total</t>
        </is>
      </c>
      <c r="B16" s="13">
        <f>COUNTIFS('Picks'!$H$2:$H$21,$A16,'Picks'!$U$2:$U$21,"settled")</f>
        <v/>
      </c>
      <c r="C16" s="13">
        <f>COUNTIFS('Picks'!$H$2:$H$21,$A16,'Picks'!$U$2:$U$21,"settled",'Picks'!$V$2:$V$21,"win")</f>
        <v/>
      </c>
      <c r="D16" s="13">
        <f>COUNTIFS('Picks'!$H$2:$H$21,$A16,'Picks'!$U$2:$U$21,"settled",'Picks'!$V$2:$V$21,"loss")</f>
        <v/>
      </c>
      <c r="E16" s="14">
        <f>IFERROR(C16/(C16+D16),0)</f>
        <v/>
      </c>
      <c r="F16" s="15">
        <f>SUMIFS('Picks'!$BY$2:$BY$21,'Picks'!$H$2:$H$21,$A16)</f>
        <v/>
      </c>
      <c r="G16" s="16">
        <f>IFERROR(AVERAGEIFS('Picks'!$AB$2:$AB$21,'Picks'!$H$2:$H$21,$A16,'Picks'!$U$2:$U$21,"settled"),0)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</row>
    <row r="2" ht="36" customHeight="1">
      <c r="A2" s="24" t="inlineStr">
        <is>
          <t>2ccf46ab0ab040ed</t>
        </is>
      </c>
      <c r="B2" s="24" t="inlineStr">
        <is>
          <t>2026-08-02T15:50:00.179683Z</t>
        </is>
      </c>
      <c r="C2" s="24" t="inlineStr">
        <is>
          <t>2026-08-02T16:00Z</t>
        </is>
      </c>
      <c r="D2" s="24" t="inlineStr">
        <is>
          <t>888-2026:179014</t>
        </is>
      </c>
      <c r="E2" s="24" t="inlineStr">
        <is>
          <t>TENNIS</t>
        </is>
      </c>
      <c r="F2" s="24" t="inlineStr">
        <is>
          <t>Alexandra Eala</t>
        </is>
      </c>
      <c r="G2" s="24" t="inlineStr">
        <is>
          <t>Jessica Pegula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-144</v>
      </c>
      <c r="M2" s="27" t="n">
        <v>1.694444</v>
      </c>
      <c r="N2" s="28" t="n">
        <v>0.590164</v>
      </c>
      <c r="O2" s="28" t="n">
        <v>0.821797</v>
      </c>
      <c r="P2" s="28" t="n">
        <v>0.05</v>
      </c>
      <c r="Q2" s="28" t="n">
        <v>0.231633</v>
      </c>
      <c r="R2" s="26" t="n">
        <v>100</v>
      </c>
      <c r="S2" s="29" t="n">
        <v>2</v>
      </c>
      <c r="T2" s="24" t="inlineStr">
        <is>
          <t>tennis-surface-elo-v1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-144</v>
      </c>
      <c r="AA2" s="28" t="n">
        <v>0.59</v>
      </c>
      <c r="AB2" s="28" t="n">
        <v>-0.000164</v>
      </c>
      <c r="AC2" s="30" t="n">
        <v>-2</v>
      </c>
      <c r="AD2" s="24" t="inlineStr">
        <is>
          <t>2026-08-03T17:05:40.282107Z</t>
        </is>
      </c>
      <c r="AE2" s="31" t="inlineStr">
        <is>
          <t>Surface-blended Elo on Hard: Alexandra Eala p=0.178 vs Jessica Pegula. Executable ask 0.5900 (aec-wta-jespeg-aleeal-2026-08-02).</t>
        </is>
      </c>
      <c r="AF2" s="31" t="inlineStr">
        <is>
          <t>Research-only surface-blended Elo model; singles only, WTA-only market coverage, not yet locked-holdout qualified.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Alexandra Eala</t>
        </is>
      </c>
      <c r="AQ2" s="24" t="inlineStr">
        <is>
          <t>Alexandra Eala</t>
        </is>
      </c>
      <c r="AR2" s="24" t="inlineStr">
        <is>
          <t>Alexandra Eala</t>
        </is>
      </c>
      <c r="AS2" s="24" t="inlineStr">
        <is>
          <t>Jessica Pegula</t>
        </is>
      </c>
      <c r="AT2" s="24" t="inlineStr">
        <is>
          <t>Jessica Pegula</t>
        </is>
      </c>
      <c r="AU2" s="24" t="inlineStr">
        <is>
          <t>Jessica Pegula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research</t>
        </is>
      </c>
      <c r="BA2" s="24" t="inlineStr">
        <is>
          <t>999faa03e2fa83bdf40e3760cb8645b4c314e4cc37c2050b8320d6582c4d8167</t>
        </is>
      </c>
      <c r="BB2" s="24" t="inlineStr">
        <is>
          <t>surface_blended_elo</t>
        </is>
      </c>
      <c r="BC2" s="24" t="inlineStr">
        <is>
          <t>tennis-surface-elo-v1</t>
        </is>
      </c>
      <c r="BD2" s="24" t="inlineStr">
        <is>
          <t>999faa03e2fa83bdf40e3760cb8645b4c314e4cc37c2050b8320d6582c4d8167</t>
        </is>
      </c>
      <c r="BE2" s="24" t="inlineStr">
        <is>
          <t>tennis-surface-elo-v1</t>
        </is>
      </c>
      <c r="BF2" s="24" t="inlineStr">
        <is>
          <t>1</t>
        </is>
      </c>
      <c r="BG2" s="24" t="inlineStr">
        <is>
          <t>999faa03e2fa83bdf40e3760cb8645b4c314e4cc37c2050b8320d6582c4d8167</t>
        </is>
      </c>
      <c r="BH2" s="24" t="inlineStr">
        <is>
          <t>2026-08-02T15:46:52.794231Z</t>
        </is>
      </c>
      <c r="BI2" s="24" t="inlineStr">
        <is>
          <t>["same_event","same_team_same_day","same_league_same_day"]</t>
        </is>
      </c>
      <c r="BJ2" s="25" t="n"/>
      <c r="BK2" s="26" t="n">
        <v>-144</v>
      </c>
      <c r="BL2" s="27" t="n">
        <v>1.694444</v>
      </c>
      <c r="BM2" s="28" t="n">
        <v>0.590164</v>
      </c>
      <c r="BN2" s="28" t="n"/>
      <c r="BO2" s="28" t="n"/>
      <c r="BP2" s="25" t="n"/>
      <c r="BQ2" s="27" t="n">
        <v>1.694444</v>
      </c>
      <c r="BR2" s="28" t="n">
        <v>0.59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1</t>
        </is>
      </c>
    </row>
    <row r="3" ht="36" customHeight="1">
      <c r="A3" s="24" t="inlineStr">
        <is>
          <t>4df3a8f2a57f4248</t>
        </is>
      </c>
      <c r="B3" s="24" t="inlineStr">
        <is>
          <t>2026-08-02T19:29:54.752777Z</t>
        </is>
      </c>
      <c r="C3" s="24" t="inlineStr">
        <is>
          <t>2026-08-02T22:00Z</t>
        </is>
      </c>
      <c r="D3" s="24" t="inlineStr">
        <is>
          <t>421-2026:182273</t>
        </is>
      </c>
      <c r="E3" s="24" t="inlineStr">
        <is>
          <t>TENNIS</t>
        </is>
      </c>
      <c r="F3" s="24" t="inlineStr">
        <is>
          <t>Lanlana Tararudee</t>
        </is>
      </c>
      <c r="G3" s="24" t="inlineStr">
        <is>
          <t>Emerson Jones</t>
        </is>
      </c>
      <c r="H3" s="24" t="inlineStr">
        <is>
          <t>moneyline</t>
        </is>
      </c>
      <c r="I3" s="24" t="inlineStr">
        <is>
          <t>away</t>
        </is>
      </c>
      <c r="J3" s="25" t="n"/>
      <c r="K3" s="24" t="inlineStr">
        <is>
          <t>polymarket_us</t>
        </is>
      </c>
      <c r="L3" s="26" t="n">
        <v>-203</v>
      </c>
      <c r="M3" s="27" t="n">
        <v>1.492611</v>
      </c>
      <c r="N3" s="28" t="n">
        <v>0.669967</v>
      </c>
      <c r="O3" s="28" t="n">
        <v>0.756798</v>
      </c>
      <c r="P3" s="28" t="n">
        <v>0.05</v>
      </c>
      <c r="Q3" s="28" t="n">
        <v>0.08683100000000001</v>
      </c>
      <c r="R3" s="26" t="n">
        <v>63</v>
      </c>
      <c r="S3" s="29" t="n">
        <v>2</v>
      </c>
      <c r="T3" s="24" t="inlineStr">
        <is>
          <t>tennis-surface-elo-v1</t>
        </is>
      </c>
      <c r="U3" s="24" t="inlineStr">
        <is>
          <t>settled</t>
        </is>
      </c>
      <c r="V3" s="24" t="inlineStr">
        <is>
          <t>win</t>
        </is>
      </c>
      <c r="W3" s="26" t="n">
        <v>1</v>
      </c>
      <c r="X3" s="26" t="n">
        <v>0</v>
      </c>
      <c r="Y3" s="25" t="n"/>
      <c r="Z3" s="26" t="n">
        <v>-203</v>
      </c>
      <c r="AA3" s="28" t="n">
        <v>0.67</v>
      </c>
      <c r="AB3" s="28" t="n">
        <v>3.3e-05</v>
      </c>
      <c r="AC3" s="30" t="n">
        <v>0.9852</v>
      </c>
      <c r="AD3" s="24" t="inlineStr">
        <is>
          <t>2026-08-03T22:55:13.950140Z</t>
        </is>
      </c>
      <c r="AE3" s="31" t="inlineStr">
        <is>
          <t>Surface-blended Elo on Hard: Lanlana Tararudee p=0.757 vs Emerson Jones. Executable ask 0.6700 (aec-wta-emejon-lantar-2026-08-02).</t>
        </is>
      </c>
      <c r="AF3" s="31" t="inlineStr">
        <is>
          <t>Surface-blended Elo model; singles only, WTA+ATP market coverage, not yet locked-holdout qualified -- promoted by explicit operator directive, not genuine walk-forward validation.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Lanlana Tararudee</t>
        </is>
      </c>
      <c r="AQ3" s="24" t="inlineStr">
        <is>
          <t>Lanlana Tararudee</t>
        </is>
      </c>
      <c r="AR3" s="24" t="inlineStr">
        <is>
          <t>Lanlana Tararudee</t>
        </is>
      </c>
      <c r="AS3" s="24" t="inlineStr">
        <is>
          <t>Emerson Jones</t>
        </is>
      </c>
      <c r="AT3" s="24" t="inlineStr">
        <is>
          <t>Emerson Jones</t>
        </is>
      </c>
      <c r="AU3" s="24" t="inlineStr">
        <is>
          <t>Emerson Jones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1c05a3c4f76bde5de709ff6bb1937b3c4c67149c2ea621b7c90ca07898e048e8</t>
        </is>
      </c>
      <c r="BB3" s="24" t="inlineStr">
        <is>
          <t>surface_blended_elo</t>
        </is>
      </c>
      <c r="BC3" s="24" t="inlineStr">
        <is>
          <t>tennis-surface-elo-v1</t>
        </is>
      </c>
      <c r="BD3" s="24" t="inlineStr">
        <is>
          <t>1c05a3c4f76bde5de709ff6bb1937b3c4c67149c2ea621b7c90ca07898e048e8</t>
        </is>
      </c>
      <c r="BE3" s="24" t="inlineStr">
        <is>
          <t>tennis-surface-elo-v1</t>
        </is>
      </c>
      <c r="BF3" s="24" t="inlineStr">
        <is>
          <t>1</t>
        </is>
      </c>
      <c r="BG3" s="24" t="inlineStr">
        <is>
          <t>1c05a3c4f76bde5de709ff6bb1937b3c4c67149c2ea621b7c90ca07898e048e8</t>
        </is>
      </c>
      <c r="BH3" s="24" t="inlineStr">
        <is>
          <t>2026-08-02T19:28:08.485925Z</t>
        </is>
      </c>
      <c r="BI3" s="24" t="inlineStr">
        <is>
          <t>["same_event","same_team_same_day","same_league_same_day"]</t>
        </is>
      </c>
      <c r="BJ3" s="25" t="n"/>
      <c r="BK3" s="26" t="n">
        <v>-203</v>
      </c>
      <c r="BL3" s="27" t="n">
        <v>1.492611</v>
      </c>
      <c r="BM3" s="28" t="n">
        <v>0.669967</v>
      </c>
      <c r="BN3" s="28" t="n"/>
      <c r="BO3" s="28" t="n"/>
      <c r="BP3" s="25" t="n"/>
      <c r="BQ3" s="27" t="n">
        <v>1.492611</v>
      </c>
      <c r="BR3" s="28" t="n">
        <v>0.67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True</t>
        </is>
      </c>
    </row>
    <row r="4" ht="36" customHeight="1">
      <c r="A4" s="24" t="inlineStr">
        <is>
          <t>9b78d4baf93d407a</t>
        </is>
      </c>
      <c r="B4" s="24" t="inlineStr">
        <is>
          <t>2026-08-03T10:58:25.846671Z</t>
        </is>
      </c>
      <c r="C4" s="24" t="inlineStr">
        <is>
          <t>2026-08-03T12:00Z</t>
        </is>
      </c>
      <c r="D4" s="24" t="inlineStr">
        <is>
          <t>961-2026:182086</t>
        </is>
      </c>
      <c r="E4" s="24" t="inlineStr">
        <is>
          <t>TENNIS</t>
        </is>
      </c>
      <c r="F4" s="24" t="inlineStr">
        <is>
          <t>Linda Fruhvirtova</t>
        </is>
      </c>
      <c r="G4" s="24" t="inlineStr">
        <is>
          <t>Katarzyna Kawa</t>
        </is>
      </c>
      <c r="H4" s="24" t="inlineStr">
        <is>
          <t>moneyline</t>
        </is>
      </c>
      <c r="I4" s="24" t="inlineStr">
        <is>
          <t>home</t>
        </is>
      </c>
      <c r="J4" s="25" t="n"/>
      <c r="K4" s="24" t="inlineStr">
        <is>
          <t>polymarket_us</t>
        </is>
      </c>
      <c r="L4" s="26" t="n">
        <v>138</v>
      </c>
      <c r="M4" s="27" t="n">
        <v>2.38</v>
      </c>
      <c r="N4" s="28" t="n">
        <v>0.420168</v>
      </c>
      <c r="O4" s="28" t="n">
        <v>0.696908</v>
      </c>
      <c r="P4" s="28" t="n">
        <v>0.05</v>
      </c>
      <c r="Q4" s="28" t="n">
        <v>0.27674</v>
      </c>
      <c r="R4" s="26" t="n">
        <v>100</v>
      </c>
      <c r="S4" s="29" t="n">
        <v>2</v>
      </c>
      <c r="T4" s="24" t="inlineStr">
        <is>
          <t>tennis-surface-elo-v1</t>
        </is>
      </c>
      <c r="U4" s="24" t="inlineStr">
        <is>
          <t>settled</t>
        </is>
      </c>
      <c r="V4" s="24" t="inlineStr">
        <is>
          <t>win</t>
        </is>
      </c>
      <c r="W4" s="26" t="n">
        <v>0</v>
      </c>
      <c r="X4" s="26" t="n">
        <v>1</v>
      </c>
      <c r="Y4" s="25" t="n"/>
      <c r="Z4" s="26" t="n">
        <v>138</v>
      </c>
      <c r="AA4" s="28" t="n">
        <v>0.42</v>
      </c>
      <c r="AB4" s="28" t="n">
        <v>-0.000168</v>
      </c>
      <c r="AC4" s="30" t="n">
        <v>2.76</v>
      </c>
      <c r="AD4" s="24" t="inlineStr">
        <is>
          <t>2026-08-03T15:52:06.009775Z</t>
        </is>
      </c>
      <c r="AE4" s="31" t="inlineStr">
        <is>
          <t>Surface-blended Elo on Hard: Linda Fruhvirtova p=0.303 vs Katarzyna Kawa. Executable ask 0.4200 (aec-wta-katkaw-linfru-2026-08-03).</t>
        </is>
      </c>
      <c r="AF4" s="31" t="inlineStr">
        <is>
          <t>Surface-blended Elo model; singles only, WTA+ATP market coverage, not yet locked-holdout qualified -- promoted by explicit operator directive, not genuine walk-forward validation.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model_qualified</t>
        </is>
      </c>
      <c r="AL4" s="26" t="n">
        <v>3</v>
      </c>
      <c r="AM4" s="24" t="inlineStr">
        <is>
          <t>QUALIFIED_SHADOW_CALL</t>
        </is>
      </c>
      <c r="AN4" s="24" t="inlineStr">
        <is>
          <t>CALL</t>
        </is>
      </c>
      <c r="AO4" s="24" t="inlineStr">
        <is>
          <t>QUALIFIED</t>
        </is>
      </c>
      <c r="AP4" s="24" t="inlineStr">
        <is>
          <t>Linda Fruhvirtova</t>
        </is>
      </c>
      <c r="AQ4" s="24" t="inlineStr">
        <is>
          <t>Linda Fruhvirtova</t>
        </is>
      </c>
      <c r="AR4" s="24" t="inlineStr">
        <is>
          <t>Linda Fruhvirtova</t>
        </is>
      </c>
      <c r="AS4" s="24" t="inlineStr">
        <is>
          <t>Katarzyna Kawa</t>
        </is>
      </c>
      <c r="AT4" s="24" t="inlineStr">
        <is>
          <t>Katarzyna Kawa</t>
        </is>
      </c>
      <c r="AU4" s="24" t="inlineStr">
        <is>
          <t>Katarzyna Kawa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1c05a3c4f76bde5de709ff6bb1937b3c4c67149c2ea621b7c90ca07898e048e8</t>
        </is>
      </c>
      <c r="BB4" s="24" t="inlineStr">
        <is>
          <t>surface_blended_elo</t>
        </is>
      </c>
      <c r="BC4" s="24" t="inlineStr">
        <is>
          <t>tennis-surface-elo-v1</t>
        </is>
      </c>
      <c r="BD4" s="24" t="inlineStr">
        <is>
          <t>1c05a3c4f76bde5de709ff6bb1937b3c4c67149c2ea621b7c90ca07898e048e8</t>
        </is>
      </c>
      <c r="BE4" s="24" t="inlineStr">
        <is>
          <t>tennis-surface-elo-v1</t>
        </is>
      </c>
      <c r="BF4" s="24" t="inlineStr">
        <is>
          <t>1</t>
        </is>
      </c>
      <c r="BG4" s="24" t="inlineStr">
        <is>
          <t>1c05a3c4f76bde5de709ff6bb1937b3c4c67149c2ea621b7c90ca07898e048e8</t>
        </is>
      </c>
      <c r="BH4" s="24" t="inlineStr">
        <is>
          <t>2026-08-03T10:56:35.022679Z</t>
        </is>
      </c>
      <c r="BI4" s="24" t="inlineStr">
        <is>
          <t>["same_event","same_team_same_day","same_league_same_day"]</t>
        </is>
      </c>
      <c r="BJ4" s="25" t="n"/>
      <c r="BK4" s="26" t="n">
        <v>138</v>
      </c>
      <c r="BL4" s="27" t="n">
        <v>2.38</v>
      </c>
      <c r="BM4" s="28" t="n">
        <v>0.420168</v>
      </c>
      <c r="BN4" s="28" t="n"/>
      <c r="BO4" s="28" t="n"/>
      <c r="BP4" s="25" t="n"/>
      <c r="BQ4" s="27" t="n">
        <v>2.38</v>
      </c>
      <c r="BR4" s="28" t="n">
        <v>0.42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True</t>
        </is>
      </c>
    </row>
    <row r="5" ht="36" customHeight="1">
      <c r="A5" s="24" t="inlineStr">
        <is>
          <t>73828a386f4c4127</t>
        </is>
      </c>
      <c r="B5" s="24" t="inlineStr">
        <is>
          <t>2026-08-03T13:29:16.279005Z</t>
        </is>
      </c>
      <c r="C5" s="24" t="inlineStr">
        <is>
          <t>2026-08-03T15:00Z</t>
        </is>
      </c>
      <c r="D5" s="24" t="inlineStr">
        <is>
          <t>421-2026:182232</t>
        </is>
      </c>
      <c r="E5" s="24" t="inlineStr">
        <is>
          <t>TENNIS</t>
        </is>
      </c>
      <c r="F5" s="24" t="inlineStr">
        <is>
          <t>Polina Kudermetova</t>
        </is>
      </c>
      <c r="G5" s="24" t="inlineStr">
        <is>
          <t>Alina Korneeva</t>
        </is>
      </c>
      <c r="H5" s="24" t="inlineStr">
        <is>
          <t>moneyline</t>
        </is>
      </c>
      <c r="I5" s="24" t="inlineStr">
        <is>
          <t>away</t>
        </is>
      </c>
      <c r="J5" s="25" t="n"/>
      <c r="K5" s="24" t="inlineStr">
        <is>
          <t>polymarket_us</t>
        </is>
      </c>
      <c r="L5" s="26" t="n">
        <v>186</v>
      </c>
      <c r="M5" s="27" t="n">
        <v>2.86</v>
      </c>
      <c r="N5" s="28" t="n">
        <v>0.34965</v>
      </c>
      <c r="O5" s="28" t="n">
        <v>0.551272</v>
      </c>
      <c r="P5" s="28" t="n">
        <v>0.05</v>
      </c>
      <c r="Q5" s="28" t="n">
        <v>0.201622</v>
      </c>
      <c r="R5" s="26" t="n">
        <v>100</v>
      </c>
      <c r="S5" s="29" t="n">
        <v>1</v>
      </c>
      <c r="T5" s="24" t="inlineStr">
        <is>
          <t>tennis-surface-elo-v1</t>
        </is>
      </c>
      <c r="U5" s="24" t="inlineStr">
        <is>
          <t>settled</t>
        </is>
      </c>
      <c r="V5" s="24" t="inlineStr">
        <is>
          <t>loss</t>
        </is>
      </c>
      <c r="W5" s="26" t="n">
        <v>0</v>
      </c>
      <c r="X5" s="26" t="n">
        <v>1</v>
      </c>
      <c r="Y5" s="25" t="n"/>
      <c r="Z5" s="26" t="n">
        <v>186</v>
      </c>
      <c r="AA5" s="28" t="n">
        <v>0.35</v>
      </c>
      <c r="AB5" s="28" t="n">
        <v>0.00035</v>
      </c>
      <c r="AC5" s="30" t="n">
        <v>-1</v>
      </c>
      <c r="AD5" s="24" t="inlineStr">
        <is>
          <t>2026-08-03T15:52:06.315947Z</t>
        </is>
      </c>
      <c r="AE5" s="31" t="inlineStr">
        <is>
          <t>Surface-blended Elo on Hard: Polina Kudermetova p=0.551 vs Alina Korneeva. Executable ask 0.3500 (aec-wta-alikor-polkud-2026-08-03).</t>
        </is>
      </c>
      <c r="AF5" s="31" t="inlineStr">
        <is>
          <t>Surface-blended Elo model; singles only, WTA+ATP market coverage, not yet locked-holdout qualified -- promoted by explicit operator directive, not genuine walk-forward validation.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model_qualified</t>
        </is>
      </c>
      <c r="AL5" s="26" t="n">
        <v>3</v>
      </c>
      <c r="AM5" s="24" t="inlineStr">
        <is>
          <t>QUALIFIED_SHADOW_CALL</t>
        </is>
      </c>
      <c r="AN5" s="24" t="inlineStr">
        <is>
          <t>CALL</t>
        </is>
      </c>
      <c r="AO5" s="24" t="inlineStr">
        <is>
          <t>QUALIFIED</t>
        </is>
      </c>
      <c r="AP5" s="24" t="inlineStr">
        <is>
          <t>Polina Kudermetova</t>
        </is>
      </c>
      <c r="AQ5" s="24" t="inlineStr">
        <is>
          <t>Polina Kudermetova</t>
        </is>
      </c>
      <c r="AR5" s="24" t="inlineStr">
        <is>
          <t>Polina Kudermetova</t>
        </is>
      </c>
      <c r="AS5" s="24" t="inlineStr">
        <is>
          <t>Alina Korneeva</t>
        </is>
      </c>
      <c r="AT5" s="24" t="inlineStr">
        <is>
          <t>Alina Korneeva</t>
        </is>
      </c>
      <c r="AU5" s="24" t="inlineStr">
        <is>
          <t>Alina Korneeva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1c05a3c4f76bde5de709ff6bb1937b3c4c67149c2ea621b7c90ca07898e048e8</t>
        </is>
      </c>
      <c r="BB5" s="24" t="inlineStr">
        <is>
          <t>surface_blended_elo</t>
        </is>
      </c>
      <c r="BC5" s="24" t="inlineStr">
        <is>
          <t>tennis-surface-elo-v1</t>
        </is>
      </c>
      <c r="BD5" s="24" t="inlineStr">
        <is>
          <t>1c05a3c4f76bde5de709ff6bb1937b3c4c67149c2ea621b7c90ca07898e048e8</t>
        </is>
      </c>
      <c r="BE5" s="24" t="inlineStr">
        <is>
          <t>tennis-surface-elo-v1</t>
        </is>
      </c>
      <c r="BF5" s="24" t="inlineStr">
        <is>
          <t>1</t>
        </is>
      </c>
      <c r="BG5" s="24" t="inlineStr">
        <is>
          <t>1c05a3c4f76bde5de709ff6bb1937b3c4c67149c2ea621b7c90ca07898e048e8</t>
        </is>
      </c>
      <c r="BH5" s="24" t="inlineStr">
        <is>
          <t>2026-08-03T13:27:56.449177Z</t>
        </is>
      </c>
      <c r="BI5" s="24" t="inlineStr">
        <is>
          <t>["same_event","same_team_same_day","same_league_same_day"]</t>
        </is>
      </c>
      <c r="BJ5" s="25" t="n"/>
      <c r="BK5" s="26" t="n">
        <v>186</v>
      </c>
      <c r="BL5" s="27" t="n">
        <v>2.86</v>
      </c>
      <c r="BM5" s="28" t="n">
        <v>0.34965</v>
      </c>
      <c r="BN5" s="28" t="n"/>
      <c r="BO5" s="28" t="n"/>
      <c r="BP5" s="25" t="n"/>
      <c r="BQ5" s="27" t="n">
        <v>2.86</v>
      </c>
      <c r="BR5" s="28" t="n">
        <v>0.35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True</t>
        </is>
      </c>
    </row>
    <row r="6" ht="36" customHeight="1">
      <c r="A6" s="24" t="inlineStr">
        <is>
          <t>b2b12c2223304c91</t>
        </is>
      </c>
      <c r="B6" s="24" t="inlineStr">
        <is>
          <t>2026-08-03T13:29:16.279005Z</t>
        </is>
      </c>
      <c r="C6" s="24" t="inlineStr">
        <is>
          <t>2026-08-03T15:00Z</t>
        </is>
      </c>
      <c r="D6" s="24" t="inlineStr">
        <is>
          <t>421-2026:182253</t>
        </is>
      </c>
      <c r="E6" s="24" t="inlineStr">
        <is>
          <t>TENNIS</t>
        </is>
      </c>
      <c r="F6" s="24" t="inlineStr">
        <is>
          <t>Kayla Day</t>
        </is>
      </c>
      <c r="G6" s="24" t="inlineStr">
        <is>
          <t>Diane Parry</t>
        </is>
      </c>
      <c r="H6" s="24" t="inlineStr">
        <is>
          <t>moneyline</t>
        </is>
      </c>
      <c r="I6" s="24" t="inlineStr">
        <is>
          <t>home</t>
        </is>
      </c>
      <c r="J6" s="25" t="n"/>
      <c r="K6" s="24" t="inlineStr">
        <is>
          <t>polymarket_us</t>
        </is>
      </c>
      <c r="L6" s="26" t="n">
        <v>138</v>
      </c>
      <c r="M6" s="27" t="n">
        <v>2.38</v>
      </c>
      <c r="N6" s="28" t="n">
        <v>0.420168</v>
      </c>
      <c r="O6" s="28" t="n">
        <v>0.6722669999999999</v>
      </c>
      <c r="P6" s="28" t="n">
        <v>0.05</v>
      </c>
      <c r="Q6" s="28" t="n">
        <v>0.252099</v>
      </c>
      <c r="R6" s="26" t="n">
        <v>100</v>
      </c>
      <c r="S6" s="29" t="n">
        <v>1.75</v>
      </c>
      <c r="T6" s="24" t="inlineStr">
        <is>
          <t>tennis-surface-elo-v1</t>
        </is>
      </c>
      <c r="U6" s="24" t="inlineStr">
        <is>
          <t>settled</t>
        </is>
      </c>
      <c r="V6" s="24" t="inlineStr">
        <is>
          <t>loss</t>
        </is>
      </c>
      <c r="W6" s="26" t="n">
        <v>1</v>
      </c>
      <c r="X6" s="26" t="n">
        <v>0</v>
      </c>
      <c r="Y6" s="25" t="n"/>
      <c r="Z6" s="26" t="n">
        <v>138</v>
      </c>
      <c r="AA6" s="28" t="n">
        <v>0.42</v>
      </c>
      <c r="AB6" s="28" t="n">
        <v>-0.000168</v>
      </c>
      <c r="AC6" s="30" t="n">
        <v>-1.75</v>
      </c>
      <c r="AD6" s="24" t="inlineStr">
        <is>
          <t>2026-08-03T19:51:43.791149Z</t>
        </is>
      </c>
      <c r="AE6" s="31" t="inlineStr">
        <is>
          <t>Surface-blended Elo on Hard: Kayla Day p=0.328 vs Diane Parry. Executable ask 0.4200 (aec-wta-diapar-kayday-2026-08-03).</t>
        </is>
      </c>
      <c r="AF6" s="31" t="inlineStr">
        <is>
          <t>Surface-blended Elo model; singles only, WTA+ATP market coverage, not yet locked-holdout qualified -- promoted by explicit operator directive, not genuine walk-forward validation.</t>
        </is>
      </c>
      <c r="AG6" s="24" t="inlineStr">
        <is>
          <t>review_required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Kayla Day</t>
        </is>
      </c>
      <c r="AQ6" s="24" t="inlineStr">
        <is>
          <t>Kayla Day</t>
        </is>
      </c>
      <c r="AR6" s="24" t="inlineStr">
        <is>
          <t>Kayla Day</t>
        </is>
      </c>
      <c r="AS6" s="24" t="inlineStr">
        <is>
          <t>Diane Parry</t>
        </is>
      </c>
      <c r="AT6" s="24" t="inlineStr">
        <is>
          <t>Diane Parry</t>
        </is>
      </c>
      <c r="AU6" s="24" t="inlineStr">
        <is>
          <t>Diane Parry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1c05a3c4f76bde5de709ff6bb1937b3c4c67149c2ea621b7c90ca07898e048e8</t>
        </is>
      </c>
      <c r="BB6" s="24" t="inlineStr">
        <is>
          <t>surface_blended_elo</t>
        </is>
      </c>
      <c r="BC6" s="24" t="inlineStr">
        <is>
          <t>tennis-surface-elo-v1</t>
        </is>
      </c>
      <c r="BD6" s="24" t="inlineStr">
        <is>
          <t>1c05a3c4f76bde5de709ff6bb1937b3c4c67149c2ea621b7c90ca07898e048e8</t>
        </is>
      </c>
      <c r="BE6" s="24" t="inlineStr">
        <is>
          <t>tennis-surface-elo-v1</t>
        </is>
      </c>
      <c r="BF6" s="24" t="inlineStr">
        <is>
          <t>1</t>
        </is>
      </c>
      <c r="BG6" s="24" t="inlineStr">
        <is>
          <t>1c05a3c4f76bde5de709ff6bb1937b3c4c67149c2ea621b7c90ca07898e048e8</t>
        </is>
      </c>
      <c r="BH6" s="24" t="inlineStr">
        <is>
          <t>2026-08-03T13:27:57.284803Z</t>
        </is>
      </c>
      <c r="BI6" s="24" t="inlineStr">
        <is>
          <t>["same_event","same_team_same_day","same_league_same_day"]</t>
        </is>
      </c>
      <c r="BJ6" s="25" t="n"/>
      <c r="BK6" s="26" t="n">
        <v>138</v>
      </c>
      <c r="BL6" s="27" t="n">
        <v>2.38</v>
      </c>
      <c r="BM6" s="28" t="n">
        <v>0.420168</v>
      </c>
      <c r="BN6" s="28" t="n"/>
      <c r="BO6" s="28" t="n"/>
      <c r="BP6" s="25" t="n"/>
      <c r="BQ6" s="27" t="n">
        <v>2.38</v>
      </c>
      <c r="BR6" s="28" t="n">
        <v>0.42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</row>
    <row r="7" ht="36" customHeight="1">
      <c r="A7" s="24" t="inlineStr">
        <is>
          <t>cc563f95e6194674</t>
        </is>
      </c>
      <c r="B7" s="24" t="inlineStr">
        <is>
          <t>2026-08-03T13:29:16.279005Z</t>
        </is>
      </c>
      <c r="C7" s="24" t="inlineStr">
        <is>
          <t>2026-08-03T13:50Z</t>
        </is>
      </c>
      <c r="D7" s="24" t="inlineStr">
        <is>
          <t>961-2026:182081</t>
        </is>
      </c>
      <c r="E7" s="24" t="inlineStr">
        <is>
          <t>TENNIS</t>
        </is>
      </c>
      <c r="F7" s="24" t="inlineStr">
        <is>
          <t>Martyna Kubka</t>
        </is>
      </c>
      <c r="G7" s="24" t="inlineStr">
        <is>
          <t>Teodora Kostovic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-127</v>
      </c>
      <c r="M7" s="27" t="n">
        <v>1.787402</v>
      </c>
      <c r="N7" s="28" t="n">
        <v>0.5594710000000001</v>
      </c>
      <c r="O7" s="28" t="n">
        <v>0.615699</v>
      </c>
      <c r="P7" s="28" t="n">
        <v>0.05</v>
      </c>
      <c r="Q7" s="28" t="n">
        <v>0.056228</v>
      </c>
      <c r="R7" s="26" t="n">
        <v>48</v>
      </c>
      <c r="S7" s="29" t="n">
        <v>1.5</v>
      </c>
      <c r="T7" s="24" t="inlineStr">
        <is>
          <t>tennis-surface-elo-v1</t>
        </is>
      </c>
      <c r="U7" s="24" t="inlineStr">
        <is>
          <t>settled</t>
        </is>
      </c>
      <c r="V7" s="24" t="inlineStr">
        <is>
          <t>loss</t>
        </is>
      </c>
      <c r="W7" s="26" t="n">
        <v>1</v>
      </c>
      <c r="X7" s="26" t="n">
        <v>0</v>
      </c>
      <c r="Y7" s="25" t="n"/>
      <c r="Z7" s="26" t="n">
        <v>-127</v>
      </c>
      <c r="AA7" s="28" t="n">
        <v>0.5600000000000001</v>
      </c>
      <c r="AB7" s="28" t="n">
        <v>0.000529</v>
      </c>
      <c r="AC7" s="30" t="n">
        <v>-1.5</v>
      </c>
      <c r="AD7" s="24" t="inlineStr">
        <is>
          <t>2026-08-03T19:51:44.007970Z</t>
        </is>
      </c>
      <c r="AE7" s="31" t="inlineStr">
        <is>
          <t>Surface-blended Elo on Hard: Martyna Kubka p=0.384 vs Teodora Kostovic. Executable ask 0.5600 (aec-wta-teokos-markub-2026-08-03).</t>
        </is>
      </c>
      <c r="AF7" s="31" t="inlineStr">
        <is>
          <t>Surface-blended Elo model; singles only, WTA+ATP market coverage, not yet locked-holdout qualified -- promoted by explicit operator directive, not genuine walk-forward validation.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model_qualified</t>
        </is>
      </c>
      <c r="AL7" s="26" t="n">
        <v>3</v>
      </c>
      <c r="AM7" s="24" t="inlineStr">
        <is>
          <t>QUALIFIED_SHADOW_CALL</t>
        </is>
      </c>
      <c r="AN7" s="24" t="inlineStr">
        <is>
          <t>CALL</t>
        </is>
      </c>
      <c r="AO7" s="24" t="inlineStr">
        <is>
          <t>QUALIFIED</t>
        </is>
      </c>
      <c r="AP7" s="24" t="inlineStr">
        <is>
          <t>Martyna Kubka</t>
        </is>
      </c>
      <c r="AQ7" s="24" t="inlineStr">
        <is>
          <t>Martyna Kubka</t>
        </is>
      </c>
      <c r="AR7" s="24" t="inlineStr">
        <is>
          <t>Martyna Kubka</t>
        </is>
      </c>
      <c r="AS7" s="24" t="inlineStr">
        <is>
          <t>Teodora Kostovic</t>
        </is>
      </c>
      <c r="AT7" s="24" t="inlineStr">
        <is>
          <t>Teodora Kostovic</t>
        </is>
      </c>
      <c r="AU7" s="24" t="inlineStr">
        <is>
          <t>Teodora Kostovic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1c05a3c4f76bde5de709ff6bb1937b3c4c67149c2ea621b7c90ca07898e048e8</t>
        </is>
      </c>
      <c r="BB7" s="24" t="inlineStr">
        <is>
          <t>surface_blended_elo</t>
        </is>
      </c>
      <c r="BC7" s="24" t="inlineStr">
        <is>
          <t>tennis-surface-elo-v1</t>
        </is>
      </c>
      <c r="BD7" s="24" t="inlineStr">
        <is>
          <t>1c05a3c4f76bde5de709ff6bb1937b3c4c67149c2ea621b7c90ca07898e048e8</t>
        </is>
      </c>
      <c r="BE7" s="24" t="inlineStr">
        <is>
          <t>tennis-surface-elo-v1</t>
        </is>
      </c>
      <c r="BF7" s="24" t="inlineStr">
        <is>
          <t>1</t>
        </is>
      </c>
      <c r="BG7" s="24" t="inlineStr">
        <is>
          <t>1c05a3c4f76bde5de709ff6bb1937b3c4c67149c2ea621b7c90ca07898e048e8</t>
        </is>
      </c>
      <c r="BH7" s="24" t="inlineStr">
        <is>
          <t>2026-08-03T13:27:55.032374Z</t>
        </is>
      </c>
      <c r="BI7" s="24" t="inlineStr">
        <is>
          <t>["same_event","same_team_same_day","same_league_same_day"]</t>
        </is>
      </c>
      <c r="BJ7" s="25" t="n"/>
      <c r="BK7" s="26" t="n">
        <v>-127</v>
      </c>
      <c r="BL7" s="27" t="n">
        <v>1.787402</v>
      </c>
      <c r="BM7" s="28" t="n">
        <v>0.5594710000000001</v>
      </c>
      <c r="BN7" s="28" t="n"/>
      <c r="BO7" s="28" t="n"/>
      <c r="BP7" s="25" t="n"/>
      <c r="BQ7" s="27" t="n">
        <v>1.787402</v>
      </c>
      <c r="BR7" s="28" t="n">
        <v>0.5600000000000001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True</t>
        </is>
      </c>
    </row>
    <row r="8" ht="36" customHeight="1">
      <c r="A8" s="24" t="inlineStr">
        <is>
          <t>a34a509bdff943ac</t>
        </is>
      </c>
      <c r="B8" s="24" t="inlineStr">
        <is>
          <t>2026-08-03T13:29:16.279005Z</t>
        </is>
      </c>
      <c r="C8" s="24" t="inlineStr">
        <is>
          <t>2026-08-03T15:00Z</t>
        </is>
      </c>
      <c r="D8" s="24" t="inlineStr">
        <is>
          <t>421-2026:181785</t>
        </is>
      </c>
      <c r="E8" s="24" t="inlineStr">
        <is>
          <t>TENNIS</t>
        </is>
      </c>
      <c r="F8" s="24" t="inlineStr">
        <is>
          <t>Titouan Droguet</t>
        </is>
      </c>
      <c r="G8" s="24" t="inlineStr">
        <is>
          <t>Luca Van Assche</t>
        </is>
      </c>
      <c r="H8" s="24" t="inlineStr">
        <is>
          <t>moneyline</t>
        </is>
      </c>
      <c r="I8" s="24" t="inlineStr">
        <is>
          <t>away</t>
        </is>
      </c>
      <c r="J8" s="25" t="n"/>
      <c r="K8" s="24" t="inlineStr">
        <is>
          <t>polymarket_us</t>
        </is>
      </c>
      <c r="L8" s="26" t="n">
        <v>108</v>
      </c>
      <c r="M8" s="27" t="n">
        <v>2.08</v>
      </c>
      <c r="N8" s="28" t="n">
        <v>0.480769</v>
      </c>
      <c r="O8" s="28" t="n">
        <v>0.561017</v>
      </c>
      <c r="P8" s="28" t="n">
        <v>0.05</v>
      </c>
      <c r="Q8" s="28" t="n">
        <v>0.080248</v>
      </c>
      <c r="R8" s="26" t="n">
        <v>60</v>
      </c>
      <c r="S8" s="29" t="n">
        <v>1</v>
      </c>
      <c r="T8" s="24" t="inlineStr">
        <is>
          <t>tennis-surface-elo-v1</t>
        </is>
      </c>
      <c r="U8" s="24" t="inlineStr">
        <is>
          <t>settled</t>
        </is>
      </c>
      <c r="V8" s="24" t="inlineStr">
        <is>
          <t>win</t>
        </is>
      </c>
      <c r="W8" s="26" t="n">
        <v>1</v>
      </c>
      <c r="X8" s="26" t="n">
        <v>0</v>
      </c>
      <c r="Y8" s="25" t="n"/>
      <c r="Z8" s="26" t="n">
        <v>108</v>
      </c>
      <c r="AA8" s="28" t="n">
        <v>0.48</v>
      </c>
      <c r="AB8" s="28" t="n">
        <v>-0.000769</v>
      </c>
      <c r="AC8" s="30" t="n">
        <v>1.08</v>
      </c>
      <c r="AD8" s="24" t="inlineStr">
        <is>
          <t>2026-08-04T01:58:20.950570Z</t>
        </is>
      </c>
      <c r="AE8" s="31" t="inlineStr">
        <is>
          <t>Surface-blended Elo on Hard: Titouan Droguet p=0.561 vs Luca Van Assche. Executable ask 0.4800 (aec-atp-lucass-titdro-2026-08-02).</t>
        </is>
      </c>
      <c r="AF8" s="31" t="inlineStr">
        <is>
          <t>Surface-blended Elo model; singles only, WTA+ATP market coverage, not yet locked-holdout qualified -- promoted by explicit operator directive, not genuine walk-forward validation.</t>
        </is>
      </c>
      <c r="AG8" s="24" t="inlineStr">
        <is>
          <t>not_applicable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Titouan Droguet</t>
        </is>
      </c>
      <c r="AQ8" s="24" t="inlineStr">
        <is>
          <t>Titouan Droguet</t>
        </is>
      </c>
      <c r="AR8" s="24" t="inlineStr">
        <is>
          <t>Titouan Droguet</t>
        </is>
      </c>
      <c r="AS8" s="24" t="inlineStr">
        <is>
          <t>Luca Van Assche</t>
        </is>
      </c>
      <c r="AT8" s="24" t="inlineStr">
        <is>
          <t>Luca Van Assche</t>
        </is>
      </c>
      <c r="AU8" s="24" t="inlineStr">
        <is>
          <t>Luca Van Assche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1c05a3c4f76bde5de709ff6bb1937b3c4c67149c2ea621b7c90ca07898e048e8</t>
        </is>
      </c>
      <c r="BB8" s="24" t="inlineStr">
        <is>
          <t>surface_blended_elo</t>
        </is>
      </c>
      <c r="BC8" s="24" t="inlineStr">
        <is>
          <t>tennis-surface-elo-v1</t>
        </is>
      </c>
      <c r="BD8" s="24" t="inlineStr">
        <is>
          <t>1c05a3c4f76bde5de709ff6bb1937b3c4c67149c2ea621b7c90ca07898e048e8</t>
        </is>
      </c>
      <c r="BE8" s="24" t="inlineStr">
        <is>
          <t>tennis-surface-elo-v1</t>
        </is>
      </c>
      <c r="BF8" s="24" t="inlineStr">
        <is>
          <t>1</t>
        </is>
      </c>
      <c r="BG8" s="24" t="inlineStr">
        <is>
          <t>1c05a3c4f76bde5de709ff6bb1937b3c4c67149c2ea621b7c90ca07898e048e8</t>
        </is>
      </c>
      <c r="BH8" s="24" t="inlineStr">
        <is>
          <t>2026-08-03T13:28:16.478602Z</t>
        </is>
      </c>
      <c r="BI8" s="24" t="inlineStr">
        <is>
          <t>["same_event","same_team_same_day","same_league_same_day"]</t>
        </is>
      </c>
      <c r="BJ8" s="25" t="n"/>
      <c r="BK8" s="26" t="n">
        <v>108</v>
      </c>
      <c r="BL8" s="27" t="n">
        <v>2.08</v>
      </c>
      <c r="BM8" s="28" t="n">
        <v>0.480769</v>
      </c>
      <c r="BN8" s="28" t="n"/>
      <c r="BO8" s="28" t="n"/>
      <c r="BP8" s="25" t="n"/>
      <c r="BQ8" s="27" t="n">
        <v>2.08</v>
      </c>
      <c r="BR8" s="28" t="n">
        <v>0.48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</row>
    <row r="9" ht="36" customHeight="1">
      <c r="A9" s="24" t="inlineStr">
        <is>
          <t>2deba450ed924bbe</t>
        </is>
      </c>
      <c r="B9" s="24" t="inlineStr">
        <is>
          <t>2026-08-03T13:29:16.279005Z</t>
        </is>
      </c>
      <c r="C9" s="24" t="inlineStr">
        <is>
          <t>2026-08-03T15:00Z</t>
        </is>
      </c>
      <c r="D9" s="24" t="inlineStr">
        <is>
          <t>421-2026:181839</t>
        </is>
      </c>
      <c r="E9" s="24" t="inlineStr">
        <is>
          <t>TENNIS</t>
        </is>
      </c>
      <c r="F9" s="24" t="inlineStr">
        <is>
          <t>Vit Kopriva</t>
        </is>
      </c>
      <c r="G9" s="24" t="inlineStr">
        <is>
          <t>Alexis Galarneau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108</v>
      </c>
      <c r="M9" s="27" t="n">
        <v>2.08</v>
      </c>
      <c r="N9" s="28" t="n">
        <v>0.480769</v>
      </c>
      <c r="O9" s="28" t="n">
        <v>0.57909</v>
      </c>
      <c r="P9" s="28" t="n">
        <v>0.05</v>
      </c>
      <c r="Q9" s="28" t="n">
        <v>0.09832100000000001</v>
      </c>
      <c r="R9" s="26" t="n">
        <v>69</v>
      </c>
      <c r="S9" s="29" t="n">
        <v>1.25</v>
      </c>
      <c r="T9" s="24" t="inlineStr">
        <is>
          <t>tennis-surface-elo-v1</t>
        </is>
      </c>
      <c r="U9" s="24" t="inlineStr">
        <is>
          <t>settled</t>
        </is>
      </c>
      <c r="V9" s="24" t="inlineStr">
        <is>
          <t>win</t>
        </is>
      </c>
      <c r="W9" s="26" t="n">
        <v>1</v>
      </c>
      <c r="X9" s="26" t="n">
        <v>0</v>
      </c>
      <c r="Y9" s="25" t="n"/>
      <c r="Z9" s="26" t="n">
        <v>108</v>
      </c>
      <c r="AA9" s="28" t="n">
        <v>0.48</v>
      </c>
      <c r="AB9" s="28" t="n">
        <v>-0.000769</v>
      </c>
      <c r="AC9" s="30" t="n">
        <v>1.35</v>
      </c>
      <c r="AD9" s="24" t="inlineStr">
        <is>
          <t>2026-08-03T22:55:14.577013Z</t>
        </is>
      </c>
      <c r="AE9" s="31" t="inlineStr">
        <is>
          <t>Surface-blended Elo on Hard: Vit Kopriva p=0.579 vs Alexis Galarneau. Executable ask 0.4800 (aec-atp-alegal-vitkop-2026-08-03).</t>
        </is>
      </c>
      <c r="AF9" s="31" t="inlineStr">
        <is>
          <t>Surface-blended Elo model; singles only, WTA+ATP market coverage, not yet locked-holdout qualified -- promoted by explicit operator directive, not genuine walk-forward validation.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Vit Kopriva</t>
        </is>
      </c>
      <c r="AQ9" s="24" t="inlineStr">
        <is>
          <t>Vit Kopriva</t>
        </is>
      </c>
      <c r="AR9" s="24" t="inlineStr">
        <is>
          <t>Vit Kopriva</t>
        </is>
      </c>
      <c r="AS9" s="24" t="inlineStr">
        <is>
          <t>Alexis Galarneau</t>
        </is>
      </c>
      <c r="AT9" s="24" t="inlineStr">
        <is>
          <t>Alexis Galarneau</t>
        </is>
      </c>
      <c r="AU9" s="24" t="inlineStr">
        <is>
          <t>Alexis Galarneau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1c05a3c4f76bde5de709ff6bb1937b3c4c67149c2ea621b7c90ca07898e048e8</t>
        </is>
      </c>
      <c r="BB9" s="24" t="inlineStr">
        <is>
          <t>surface_blended_elo</t>
        </is>
      </c>
      <c r="BC9" s="24" t="inlineStr">
        <is>
          <t>tennis-surface-elo-v1</t>
        </is>
      </c>
      <c r="BD9" s="24" t="inlineStr">
        <is>
          <t>1c05a3c4f76bde5de709ff6bb1937b3c4c67149c2ea621b7c90ca07898e048e8</t>
        </is>
      </c>
      <c r="BE9" s="24" t="inlineStr">
        <is>
          <t>tennis-surface-elo-v1</t>
        </is>
      </c>
      <c r="BF9" s="24" t="inlineStr">
        <is>
          <t>1</t>
        </is>
      </c>
      <c r="BG9" s="24" t="inlineStr">
        <is>
          <t>1c05a3c4f76bde5de709ff6bb1937b3c4c67149c2ea621b7c90ca07898e048e8</t>
        </is>
      </c>
      <c r="BH9" s="24" t="inlineStr">
        <is>
          <t>2026-08-03T13:28:14.309797Z</t>
        </is>
      </c>
      <c r="BI9" s="24" t="inlineStr">
        <is>
          <t>["same_event","same_team_same_day","same_league_same_day"]</t>
        </is>
      </c>
      <c r="BJ9" s="25" t="n"/>
      <c r="BK9" s="26" t="n">
        <v>108</v>
      </c>
      <c r="BL9" s="27" t="n">
        <v>2.08</v>
      </c>
      <c r="BM9" s="28" t="n">
        <v>0.480769</v>
      </c>
      <c r="BN9" s="28" t="n"/>
      <c r="BO9" s="28" t="n"/>
      <c r="BP9" s="25" t="n"/>
      <c r="BQ9" s="27" t="n">
        <v>2.08</v>
      </c>
      <c r="BR9" s="28" t="n">
        <v>0.48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</row>
    <row r="10" ht="36" customHeight="1">
      <c r="A10" s="24" t="inlineStr">
        <is>
          <t>ff22c9aff4d3400c</t>
        </is>
      </c>
      <c r="B10" s="24" t="inlineStr">
        <is>
          <t>2026-08-03T16:29:20.960477Z</t>
        </is>
      </c>
      <c r="C10" s="24" t="inlineStr">
        <is>
          <t>2026-08-03T16:30Z</t>
        </is>
      </c>
      <c r="D10" s="24" t="inlineStr">
        <is>
          <t>421-2026:182266</t>
        </is>
      </c>
      <c r="E10" s="24" t="inlineStr">
        <is>
          <t>TENNIS</t>
        </is>
      </c>
      <c r="F10" s="24" t="inlineStr">
        <is>
          <t>Kayla Cross</t>
        </is>
      </c>
      <c r="G10" s="24" t="inlineStr">
        <is>
          <t>Katie Boulter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-285</v>
      </c>
      <c r="M10" s="27" t="n">
        <v>1.350877</v>
      </c>
      <c r="N10" s="28" t="n">
        <v>0.74026</v>
      </c>
      <c r="O10" s="28" t="n">
        <v>0.830003</v>
      </c>
      <c r="P10" s="28" t="n">
        <v>0.05</v>
      </c>
      <c r="Q10" s="28" t="n">
        <v>0.089743</v>
      </c>
      <c r="R10" s="26" t="n">
        <v>65</v>
      </c>
      <c r="S10" s="29" t="n">
        <v>2</v>
      </c>
      <c r="T10" s="24" t="inlineStr">
        <is>
          <t>tennis-surface-elo-v1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-285</v>
      </c>
      <c r="AA10" s="28" t="n">
        <v>0.74</v>
      </c>
      <c r="AB10" s="28" t="n">
        <v>-0.00026</v>
      </c>
      <c r="AC10" s="30" t="n">
        <v>-2</v>
      </c>
      <c r="AD10" s="24" t="inlineStr">
        <is>
          <t>2026-08-03T19:51:44.172128Z</t>
        </is>
      </c>
      <c r="AE10" s="31" t="inlineStr">
        <is>
          <t>Surface-blended Elo on Hard: Kayla Cross p=0.170 vs Katie Boulter. Executable ask 0.7400 (aec-wta-katbou-kaycro-2026-08-02).</t>
        </is>
      </c>
      <c r="AF10" s="31" t="inlineStr">
        <is>
          <t>Surface-blended Elo model; singles only, WTA+ATP market coverage, not yet locked-holdout qualified -- promoted by explicit operator directive, not genuine walk-forward validation.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model_qualified</t>
        </is>
      </c>
      <c r="AL10" s="26" t="n">
        <v>3</v>
      </c>
      <c r="AM10" s="24" t="inlineStr">
        <is>
          <t>QUALIFIED_SHADOW_CALL</t>
        </is>
      </c>
      <c r="AN10" s="24" t="inlineStr">
        <is>
          <t>CALL</t>
        </is>
      </c>
      <c r="AO10" s="24" t="inlineStr">
        <is>
          <t>QUALIFIED</t>
        </is>
      </c>
      <c r="AP10" s="24" t="inlineStr">
        <is>
          <t>Kayla Cross</t>
        </is>
      </c>
      <c r="AQ10" s="24" t="inlineStr">
        <is>
          <t>Kayla Cross</t>
        </is>
      </c>
      <c r="AR10" s="24" t="inlineStr">
        <is>
          <t>Kayla Cross</t>
        </is>
      </c>
      <c r="AS10" s="24" t="inlineStr">
        <is>
          <t>Katie Boulter</t>
        </is>
      </c>
      <c r="AT10" s="24" t="inlineStr">
        <is>
          <t>Katie Boulter</t>
        </is>
      </c>
      <c r="AU10" s="24" t="inlineStr">
        <is>
          <t>Katie Boulter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60749ecfb3f1405f12fbceda11b7e64f2473d40dd327256f9da20b2146b6ae03</t>
        </is>
      </c>
      <c r="BB10" s="24" t="inlineStr">
        <is>
          <t>surface_blended_elo</t>
        </is>
      </c>
      <c r="BC10" s="24" t="inlineStr">
        <is>
          <t>tennis-surface-elo-v1</t>
        </is>
      </c>
      <c r="BD10" s="24" t="inlineStr">
        <is>
          <t>60749ecfb3f1405f12fbceda11b7e64f2473d40dd327256f9da20b2146b6ae03</t>
        </is>
      </c>
      <c r="BE10" s="24" t="inlineStr">
        <is>
          <t>tennis-surface-elo-v1</t>
        </is>
      </c>
      <c r="BF10" s="24" t="inlineStr">
        <is>
          <t>1</t>
        </is>
      </c>
      <c r="BG10" s="24" t="inlineStr">
        <is>
          <t>60749ecfb3f1405f12fbceda11b7e64f2473d40dd327256f9da20b2146b6ae03</t>
        </is>
      </c>
      <c r="BH10" s="24" t="inlineStr">
        <is>
          <t>2026-08-03T16:28:14.928463Z</t>
        </is>
      </c>
      <c r="BI10" s="24" t="inlineStr">
        <is>
          <t>["same_event","same_team_same_day","same_league_same_day"]</t>
        </is>
      </c>
      <c r="BJ10" s="25" t="n"/>
      <c r="BK10" s="26" t="n">
        <v>-285</v>
      </c>
      <c r="BL10" s="27" t="n">
        <v>1.350877</v>
      </c>
      <c r="BM10" s="28" t="n">
        <v>0.74026</v>
      </c>
      <c r="BN10" s="28" t="n"/>
      <c r="BO10" s="28" t="n"/>
      <c r="BP10" s="25" t="n"/>
      <c r="BQ10" s="27" t="n">
        <v>1.350877</v>
      </c>
      <c r="BR10" s="28" t="n">
        <v>0.74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</row>
    <row r="11" ht="36" customHeight="1">
      <c r="A11" s="24" t="inlineStr">
        <is>
          <t>2e4ae118e5d048b7</t>
        </is>
      </c>
      <c r="B11" s="24" t="inlineStr">
        <is>
          <t>2026-08-03T17:07:25.337475Z</t>
        </is>
      </c>
      <c r="C11" s="24" t="inlineStr">
        <is>
          <t>2026-08-03T18:00Z</t>
        </is>
      </c>
      <c r="D11" s="24" t="inlineStr">
        <is>
          <t>421-2026:182257</t>
        </is>
      </c>
      <c r="E11" s="24" t="inlineStr">
        <is>
          <t>TENNIS</t>
        </is>
      </c>
      <c r="F11" s="24" t="inlineStr">
        <is>
          <t>Antonia Ruzic</t>
        </is>
      </c>
      <c r="G11" s="24" t="inlineStr">
        <is>
          <t>Lois Boisson</t>
        </is>
      </c>
      <c r="H11" s="24" t="inlineStr">
        <is>
          <t>moneyline</t>
        </is>
      </c>
      <c r="I11" s="24" t="inlineStr">
        <is>
          <t>away</t>
        </is>
      </c>
      <c r="J11" s="25" t="n"/>
      <c r="K11" s="24" t="inlineStr">
        <is>
          <t>polymarket_us</t>
        </is>
      </c>
      <c r="L11" s="26" t="n">
        <v>270</v>
      </c>
      <c r="M11" s="27" t="n">
        <v>3.7</v>
      </c>
      <c r="N11" s="28" t="n">
        <v>0.27027</v>
      </c>
      <c r="O11" s="28" t="n">
        <v>0.549832</v>
      </c>
      <c r="P11" s="28" t="n">
        <v>0.05</v>
      </c>
      <c r="Q11" s="28" t="n">
        <v>0.279562</v>
      </c>
      <c r="R11" s="26" t="n">
        <v>100</v>
      </c>
      <c r="S11" s="29" t="n">
        <v>1</v>
      </c>
      <c r="T11" s="24" t="inlineStr">
        <is>
          <t>tennis-surface-elo-v1</t>
        </is>
      </c>
      <c r="U11" s="24" t="inlineStr">
        <is>
          <t>settled</t>
        </is>
      </c>
      <c r="V11" s="24" t="inlineStr">
        <is>
          <t>win</t>
        </is>
      </c>
      <c r="W11" s="26" t="n">
        <v>1</v>
      </c>
      <c r="X11" s="26" t="n">
        <v>0</v>
      </c>
      <c r="Y11" s="25" t="n"/>
      <c r="Z11" s="26" t="n">
        <v>270</v>
      </c>
      <c r="AA11" s="28" t="n">
        <v>0.27</v>
      </c>
      <c r="AB11" s="28" t="n">
        <v>-0.00027</v>
      </c>
      <c r="AC11" s="30" t="n">
        <v>2.7</v>
      </c>
      <c r="AD11" s="24" t="inlineStr">
        <is>
          <t>2026-08-03T22:55:14.739089Z</t>
        </is>
      </c>
      <c r="AE11" s="31" t="inlineStr">
        <is>
          <t>Surface-blended Elo on Hard: Antonia Ruzic p=0.550 vs Lois Boisson. Executable ask 0.2700 (aec-wta-loiboi-antruz-2026-08-02).</t>
        </is>
      </c>
      <c r="AF11" s="31" t="inlineStr">
        <is>
          <t>Surface-blended Elo model; singles only, WTA+ATP market coverage, not yet locked-holdout qualified -- promoted by explicit operator directive, not genuine walk-forward validation.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Antonia Ruzic</t>
        </is>
      </c>
      <c r="AQ11" s="24" t="inlineStr">
        <is>
          <t>Antonia Ruzic</t>
        </is>
      </c>
      <c r="AR11" s="24" t="inlineStr">
        <is>
          <t>Antonia Ruzic</t>
        </is>
      </c>
      <c r="AS11" s="24" t="inlineStr">
        <is>
          <t>Lois Boisson</t>
        </is>
      </c>
      <c r="AT11" s="24" t="inlineStr">
        <is>
          <t>Lois Boisson</t>
        </is>
      </c>
      <c r="AU11" s="24" t="inlineStr">
        <is>
          <t>Lois Boisson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60749ecfb3f1405f12fbceda11b7e64f2473d40dd327256f9da20b2146b6ae03</t>
        </is>
      </c>
      <c r="BB11" s="24" t="inlineStr">
        <is>
          <t>surface_blended_elo</t>
        </is>
      </c>
      <c r="BC11" s="24" t="inlineStr">
        <is>
          <t>tennis-surface-elo-v1</t>
        </is>
      </c>
      <c r="BD11" s="24" t="inlineStr">
        <is>
          <t>60749ecfb3f1405f12fbceda11b7e64f2473d40dd327256f9da20b2146b6ae03</t>
        </is>
      </c>
      <c r="BE11" s="24" t="inlineStr">
        <is>
          <t>tennis-surface-elo-v1</t>
        </is>
      </c>
      <c r="BF11" s="24" t="inlineStr">
        <is>
          <t>1</t>
        </is>
      </c>
      <c r="BG11" s="24" t="inlineStr">
        <is>
          <t>60749ecfb3f1405f12fbceda11b7e64f2473d40dd327256f9da20b2146b6ae03</t>
        </is>
      </c>
      <c r="BH11" s="24" t="inlineStr">
        <is>
          <t>2026-08-03T17:06:32.134987Z</t>
        </is>
      </c>
      <c r="BI11" s="24" t="inlineStr">
        <is>
          <t>["same_event","same_team_same_day","same_league_same_day"]</t>
        </is>
      </c>
      <c r="BJ11" s="25" t="n"/>
      <c r="BK11" s="26" t="n">
        <v>270</v>
      </c>
      <c r="BL11" s="27" t="n">
        <v>3.7</v>
      </c>
      <c r="BM11" s="28" t="n">
        <v>0.27027</v>
      </c>
      <c r="BN11" s="28" t="n"/>
      <c r="BO11" s="28" t="n"/>
      <c r="BP11" s="25" t="n"/>
      <c r="BQ11" s="27" t="n">
        <v>3.7</v>
      </c>
      <c r="BR11" s="28" t="n">
        <v>0.27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</row>
    <row r="12" ht="36" customHeight="1">
      <c r="A12" s="24" t="inlineStr">
        <is>
          <t>299a2ac6fbcd4fe4</t>
        </is>
      </c>
      <c r="B12" s="24" t="inlineStr">
        <is>
          <t>2026-08-03T17:07:25.337475Z</t>
        </is>
      </c>
      <c r="C12" s="24" t="inlineStr">
        <is>
          <t>2026-08-03T19:30Z</t>
        </is>
      </c>
      <c r="D12" s="24" t="inlineStr">
        <is>
          <t>421-2026:181828</t>
        </is>
      </c>
      <c r="E12" s="24" t="inlineStr">
        <is>
          <t>TENNIS</t>
        </is>
      </c>
      <c r="F12" s="24" t="inlineStr">
        <is>
          <t>Adrian Mannarino</t>
        </is>
      </c>
      <c r="G12" s="24" t="inlineStr">
        <is>
          <t>Jacob Fearnley</t>
        </is>
      </c>
      <c r="H12" s="24" t="inlineStr">
        <is>
          <t>moneyline</t>
        </is>
      </c>
      <c r="I12" s="24" t="inlineStr">
        <is>
          <t>away</t>
        </is>
      </c>
      <c r="J12" s="25" t="n"/>
      <c r="K12" s="24" t="inlineStr">
        <is>
          <t>polymarket_us</t>
        </is>
      </c>
      <c r="L12" s="26" t="n">
        <v>150</v>
      </c>
      <c r="M12" s="27" t="n">
        <v>2.5</v>
      </c>
      <c r="N12" s="28" t="n">
        <v>0.4</v>
      </c>
      <c r="O12" s="28" t="n">
        <v>0.564895</v>
      </c>
      <c r="P12" s="28" t="n">
        <v>0.05</v>
      </c>
      <c r="Q12" s="28" t="n">
        <v>0.164895</v>
      </c>
      <c r="R12" s="26" t="n">
        <v>100</v>
      </c>
      <c r="S12" s="29" t="n">
        <v>1</v>
      </c>
      <c r="T12" s="24" t="inlineStr">
        <is>
          <t>tennis-surface-elo-v1</t>
        </is>
      </c>
      <c r="U12" s="24" t="inlineStr">
        <is>
          <t>open</t>
        </is>
      </c>
      <c r="V12" s="24" t="n"/>
      <c r="W12" s="26" t="n"/>
      <c r="X12" s="26" t="n"/>
      <c r="Y12" s="25" t="n"/>
      <c r="Z12" s="26" t="n"/>
      <c r="AA12" s="28" t="n"/>
      <c r="AB12" s="28" t="n"/>
      <c r="AC12" s="30" t="n"/>
      <c r="AD12" s="24" t="n"/>
      <c r="AE12" s="31" t="inlineStr">
        <is>
          <t>Surface-blended Elo on Hard: Adrian Mannarino p=0.565 vs Jacob Fearnley. Executable ask 0.4000 (aec-atp-jacfea-adrman-2026-08-03).</t>
        </is>
      </c>
      <c r="AF12" s="31" t="inlineStr">
        <is>
          <t>Surface-blended Elo model; singles only, WTA+ATP market coverage, not yet locked-holdout qualified -- promoted by explicit operator directive, not genuine walk-forward validation.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Adrian Mannarino</t>
        </is>
      </c>
      <c r="AQ12" s="24" t="inlineStr">
        <is>
          <t>Adrian Mannarino</t>
        </is>
      </c>
      <c r="AR12" s="24" t="inlineStr">
        <is>
          <t>Adrian Mannarino</t>
        </is>
      </c>
      <c r="AS12" s="24" t="inlineStr">
        <is>
          <t>Jacob Fearnley</t>
        </is>
      </c>
      <c r="AT12" s="24" t="inlineStr">
        <is>
          <t>Jacob Fearnley</t>
        </is>
      </c>
      <c r="AU12" s="24" t="inlineStr">
        <is>
          <t>Jacob Fearnley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60749ecfb3f1405f12fbceda11b7e64f2473d40dd327256f9da20b2146b6ae03</t>
        </is>
      </c>
      <c r="BB12" s="24" t="inlineStr">
        <is>
          <t>surface_blended_elo</t>
        </is>
      </c>
      <c r="BC12" s="24" t="inlineStr">
        <is>
          <t>tennis-surface-elo-v1</t>
        </is>
      </c>
      <c r="BD12" s="24" t="inlineStr">
        <is>
          <t>60749ecfb3f1405f12fbceda11b7e64f2473d40dd327256f9da20b2146b6ae03</t>
        </is>
      </c>
      <c r="BE12" s="24" t="inlineStr">
        <is>
          <t>tennis-surface-elo-v1</t>
        </is>
      </c>
      <c r="BF12" s="24" t="inlineStr">
        <is>
          <t>1</t>
        </is>
      </c>
      <c r="BG12" s="24" t="inlineStr">
        <is>
          <t>60749ecfb3f1405f12fbceda11b7e64f2473d40dd327256f9da20b2146b6ae03</t>
        </is>
      </c>
      <c r="BH12" s="24" t="inlineStr">
        <is>
          <t>2026-08-03T17:06:52.299848Z</t>
        </is>
      </c>
      <c r="BI12" s="24" t="inlineStr">
        <is>
          <t>["same_event","same_team_same_day","same_league_same_day"]</t>
        </is>
      </c>
      <c r="BJ12" s="25" t="n"/>
      <c r="BK12" s="26" t="n">
        <v>150</v>
      </c>
      <c r="BL12" s="27" t="n">
        <v>2.5</v>
      </c>
      <c r="BM12" s="28" t="n">
        <v>0.4</v>
      </c>
      <c r="BN12" s="28" t="n"/>
      <c r="BO12" s="28" t="n"/>
      <c r="BP12" s="25" t="n"/>
      <c r="BQ12" s="27" t="n"/>
      <c r="BR12" s="28" t="n"/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</row>
    <row r="13" ht="36" customHeight="1">
      <c r="A13" s="24" t="inlineStr">
        <is>
          <t>52b48039394a4842</t>
        </is>
      </c>
      <c r="B13" s="24" t="inlineStr">
        <is>
          <t>2026-08-03T19:53:29.938738Z</t>
        </is>
      </c>
      <c r="C13" s="24" t="inlineStr">
        <is>
          <t>2026-08-03T21:00Z</t>
        </is>
      </c>
      <c r="D13" s="24" t="inlineStr">
        <is>
          <t>421-2026:182244</t>
        </is>
      </c>
      <c r="E13" s="24" t="inlineStr">
        <is>
          <t>TENNIS</t>
        </is>
      </c>
      <c r="F13" s="24" t="inlineStr">
        <is>
          <t>Tamara Korpatsch</t>
        </is>
      </c>
      <c r="G13" s="24" t="inlineStr">
        <is>
          <t>Renata Zarazua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138</v>
      </c>
      <c r="M13" s="27" t="n">
        <v>2.38</v>
      </c>
      <c r="N13" s="28" t="n">
        <v>0.420168</v>
      </c>
      <c r="O13" s="28" t="n">
        <v>0.643669</v>
      </c>
      <c r="P13" s="28" t="n">
        <v>0.05</v>
      </c>
      <c r="Q13" s="28" t="n">
        <v>0.223501</v>
      </c>
      <c r="R13" s="26" t="n">
        <v>100</v>
      </c>
      <c r="S13" s="29" t="n">
        <v>1.5</v>
      </c>
      <c r="T13" s="24" t="inlineStr">
        <is>
          <t>tennis-surface-elo-v1</t>
        </is>
      </c>
      <c r="U13" s="24" t="inlineStr">
        <is>
          <t>settled</t>
        </is>
      </c>
      <c r="V13" s="24" t="inlineStr">
        <is>
          <t>loss</t>
        </is>
      </c>
      <c r="W13" s="26" t="n">
        <v>0</v>
      </c>
      <c r="X13" s="26" t="n">
        <v>1</v>
      </c>
      <c r="Y13" s="25" t="n"/>
      <c r="Z13" s="26" t="n">
        <v>138</v>
      </c>
      <c r="AA13" s="28" t="n">
        <v>0.42</v>
      </c>
      <c r="AB13" s="28" t="n">
        <v>-0.000168</v>
      </c>
      <c r="AC13" s="30" t="n">
        <v>-1.5</v>
      </c>
      <c r="AD13" s="24" t="inlineStr">
        <is>
          <t>2026-08-04T01:58:21.955546Z</t>
        </is>
      </c>
      <c r="AE13" s="31" t="inlineStr">
        <is>
          <t>Surface-blended Elo on Hard: Tamara Korpatsch p=0.644 vs Renata Zarazua. Executable ask 0.4200 (aec-wta-renzar-tamkor-2026-08-02).</t>
        </is>
      </c>
      <c r="AF13" s="31" t="inlineStr">
        <is>
          <t>Surface-blended Elo model; singles only, WTA+ATP market coverage, not yet locked-holdout qualified -- promoted by explicit operator directive, not genuine walk-forward validation.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Tamara Korpatsch</t>
        </is>
      </c>
      <c r="AQ13" s="24" t="inlineStr">
        <is>
          <t>Tamara Korpatsch</t>
        </is>
      </c>
      <c r="AR13" s="24" t="inlineStr">
        <is>
          <t>Tamara Korpatsch</t>
        </is>
      </c>
      <c r="AS13" s="24" t="inlineStr">
        <is>
          <t>Renata Zarazua</t>
        </is>
      </c>
      <c r="AT13" s="24" t="inlineStr">
        <is>
          <t>Renata Zarazua</t>
        </is>
      </c>
      <c r="AU13" s="24" t="inlineStr">
        <is>
          <t>Renata Zarazua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60749ecfb3f1405f12fbceda11b7e64f2473d40dd327256f9da20b2146b6ae03</t>
        </is>
      </c>
      <c r="BB13" s="24" t="inlineStr">
        <is>
          <t>surface_blended_elo</t>
        </is>
      </c>
      <c r="BC13" s="24" t="inlineStr">
        <is>
          <t>tennis-surface-elo-v1</t>
        </is>
      </c>
      <c r="BD13" s="24" t="inlineStr">
        <is>
          <t>60749ecfb3f1405f12fbceda11b7e64f2473d40dd327256f9da20b2146b6ae03</t>
        </is>
      </c>
      <c r="BE13" s="24" t="inlineStr">
        <is>
          <t>tennis-surface-elo-v1</t>
        </is>
      </c>
      <c r="BF13" s="24" t="inlineStr">
        <is>
          <t>1</t>
        </is>
      </c>
      <c r="BG13" s="24" t="inlineStr">
        <is>
          <t>60749ecfb3f1405f12fbceda11b7e64f2473d40dd327256f9da20b2146b6ae03</t>
        </is>
      </c>
      <c r="BH13" s="24" t="inlineStr">
        <is>
          <t>2026-08-03T19:52:43.186533Z</t>
        </is>
      </c>
      <c r="BI13" s="24" t="inlineStr">
        <is>
          <t>["same_event","same_team_same_day","same_league_same_day"]</t>
        </is>
      </c>
      <c r="BJ13" s="25" t="n"/>
      <c r="BK13" s="26" t="n">
        <v>138</v>
      </c>
      <c r="BL13" s="27" t="n">
        <v>2.38</v>
      </c>
      <c r="BM13" s="28" t="n">
        <v>0.420168</v>
      </c>
      <c r="BN13" s="28" t="n"/>
      <c r="BO13" s="28" t="n"/>
      <c r="BP13" s="25" t="n"/>
      <c r="BQ13" s="27" t="n">
        <v>2.38</v>
      </c>
      <c r="BR13" s="28" t="n">
        <v>0.42</v>
      </c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</row>
    <row r="14" ht="36" customHeight="1">
      <c r="A14" s="24" t="inlineStr">
        <is>
          <t>012c40b64c1a4a8b</t>
        </is>
      </c>
      <c r="B14" s="24" t="inlineStr">
        <is>
          <t>2026-08-03T19:53:29.938738Z</t>
        </is>
      </c>
      <c r="C14" s="24" t="inlineStr">
        <is>
          <t>2026-08-03T22:30Z</t>
        </is>
      </c>
      <c r="D14" s="24" t="inlineStr">
        <is>
          <t>421-2026:182243</t>
        </is>
      </c>
      <c r="E14" s="24" t="inlineStr">
        <is>
          <t>TENNIS</t>
        </is>
      </c>
      <c r="F14" s="24" t="inlineStr">
        <is>
          <t>Sloane Stephens</t>
        </is>
      </c>
      <c r="G14" s="24" t="inlineStr">
        <is>
          <t>Solana Sierra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-117</v>
      </c>
      <c r="M14" s="27" t="n">
        <v>1.854701</v>
      </c>
      <c r="N14" s="28" t="n">
        <v>0.539171</v>
      </c>
      <c r="O14" s="28" t="n">
        <v>0.701639</v>
      </c>
      <c r="P14" s="28" t="n">
        <v>0.05</v>
      </c>
      <c r="Q14" s="28" t="n">
        <v>0.162468</v>
      </c>
      <c r="R14" s="26" t="n">
        <v>100</v>
      </c>
      <c r="S14" s="29" t="n">
        <v>2</v>
      </c>
      <c r="T14" s="24" t="inlineStr">
        <is>
          <t>tennis-surface-elo-v1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-117</v>
      </c>
      <c r="AA14" s="28" t="n">
        <v>0.54</v>
      </c>
      <c r="AB14" s="28" t="n">
        <v>0.000829</v>
      </c>
      <c r="AC14" s="30" t="n">
        <v>-2</v>
      </c>
      <c r="AD14" s="24" t="inlineStr">
        <is>
          <t>2026-08-04T03:57:43.095322Z</t>
        </is>
      </c>
      <c r="AE14" s="31" t="inlineStr">
        <is>
          <t>Surface-blended Elo on Hard: Sloane Stephens p=0.298 vs Solana Sierra. Executable ask 0.5400 (aec-wta-solsie-sloste-2026-08-03).</t>
        </is>
      </c>
      <c r="AF14" s="31" t="inlineStr">
        <is>
          <t>Surface-blended Elo model; singles only, WTA+ATP market coverage, not yet locked-holdout qualified -- promoted by explicit operator directive, not genuine walk-forward validation.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model_qualified</t>
        </is>
      </c>
      <c r="AL14" s="26" t="n">
        <v>3</v>
      </c>
      <c r="AM14" s="24" t="inlineStr">
        <is>
          <t>QUALIFIED_SHADOW_CALL</t>
        </is>
      </c>
      <c r="AN14" s="24" t="inlineStr">
        <is>
          <t>CALL</t>
        </is>
      </c>
      <c r="AO14" s="24" t="inlineStr">
        <is>
          <t>QUALIFIED</t>
        </is>
      </c>
      <c r="AP14" s="24" t="inlineStr">
        <is>
          <t>Sloane Stephens</t>
        </is>
      </c>
      <c r="AQ14" s="24" t="inlineStr">
        <is>
          <t>Sloane Stephens</t>
        </is>
      </c>
      <c r="AR14" s="24" t="inlineStr">
        <is>
          <t>Sloane Stephens</t>
        </is>
      </c>
      <c r="AS14" s="24" t="inlineStr">
        <is>
          <t>Solana Sierra</t>
        </is>
      </c>
      <c r="AT14" s="24" t="inlineStr">
        <is>
          <t>Solana Sierra</t>
        </is>
      </c>
      <c r="AU14" s="24" t="inlineStr">
        <is>
          <t>Solana Sierra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60749ecfb3f1405f12fbceda11b7e64f2473d40dd327256f9da20b2146b6ae03</t>
        </is>
      </c>
      <c r="BB14" s="24" t="inlineStr">
        <is>
          <t>surface_blended_elo</t>
        </is>
      </c>
      <c r="BC14" s="24" t="inlineStr">
        <is>
          <t>tennis-surface-elo-v1</t>
        </is>
      </c>
      <c r="BD14" s="24" t="inlineStr">
        <is>
          <t>60749ecfb3f1405f12fbceda11b7e64f2473d40dd327256f9da20b2146b6ae03</t>
        </is>
      </c>
      <c r="BE14" s="24" t="inlineStr">
        <is>
          <t>tennis-surface-elo-v1</t>
        </is>
      </c>
      <c r="BF14" s="24" t="inlineStr">
        <is>
          <t>1</t>
        </is>
      </c>
      <c r="BG14" s="24" t="inlineStr">
        <is>
          <t>60749ecfb3f1405f12fbceda11b7e64f2473d40dd327256f9da20b2146b6ae03</t>
        </is>
      </c>
      <c r="BH14" s="24" t="inlineStr">
        <is>
          <t>2026-08-03T19:52:44.196885Z</t>
        </is>
      </c>
      <c r="BI14" s="24" t="inlineStr">
        <is>
          <t>["same_event","same_team_same_day","same_league_same_day"]</t>
        </is>
      </c>
      <c r="BJ14" s="25" t="n"/>
      <c r="BK14" s="26" t="n">
        <v>-117</v>
      </c>
      <c r="BL14" s="27" t="n">
        <v>1.854701</v>
      </c>
      <c r="BM14" s="28" t="n">
        <v>0.539171</v>
      </c>
      <c r="BN14" s="28" t="n"/>
      <c r="BO14" s="28" t="n"/>
      <c r="BP14" s="25" t="n"/>
      <c r="BQ14" s="27" t="n">
        <v>1.854701</v>
      </c>
      <c r="BR14" s="28" t="n">
        <v>0.54</v>
      </c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</row>
    <row r="15" ht="36" customHeight="1">
      <c r="A15" s="24" t="inlineStr">
        <is>
          <t>82ae2208aae34e4d</t>
        </is>
      </c>
      <c r="B15" s="24" t="inlineStr">
        <is>
          <t>2026-08-03T22:56:40.367668Z</t>
        </is>
      </c>
      <c r="C15" s="24" t="inlineStr">
        <is>
          <t>2026-08-03T23:30Z</t>
        </is>
      </c>
      <c r="D15" s="24" t="inlineStr">
        <is>
          <t>421-2026:181801</t>
        </is>
      </c>
      <c r="E15" s="24" t="inlineStr">
        <is>
          <t>TENNIS</t>
        </is>
      </c>
      <c r="F15" s="24" t="inlineStr">
        <is>
          <t>Kyrian Jacquet</t>
        </is>
      </c>
      <c r="G15" s="24" t="inlineStr">
        <is>
          <t>Gabriel Diallo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-113</v>
      </c>
      <c r="M15" s="27" t="n">
        <v>1.884956</v>
      </c>
      <c r="N15" s="28" t="n">
        <v>0.530516</v>
      </c>
      <c r="O15" s="28" t="n">
        <v>0.5845590000000001</v>
      </c>
      <c r="P15" s="28" t="n">
        <v>0.05</v>
      </c>
      <c r="Q15" s="28" t="n">
        <v>0.054043</v>
      </c>
      <c r="R15" s="26" t="n">
        <v>47</v>
      </c>
      <c r="S15" s="29" t="n">
        <v>1.25</v>
      </c>
      <c r="T15" s="24" t="inlineStr">
        <is>
          <t>tennis-surface-elo-v1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-113</v>
      </c>
      <c r="AA15" s="28" t="n">
        <v>0.53</v>
      </c>
      <c r="AB15" s="28" t="n">
        <v>-0.000516</v>
      </c>
      <c r="AC15" s="30" t="n">
        <v>1.1062</v>
      </c>
      <c r="AD15" s="24" t="inlineStr">
        <is>
          <t>2026-08-04T01:58:22.780816Z</t>
        </is>
      </c>
      <c r="AE15" s="31" t="inlineStr">
        <is>
          <t>Surface-blended Elo on Hard: Kyrian Jacquet p=0.415 vs Gabriel Diallo. Executable ask 0.5300 (aec-atp-gabdia-kyrjac-2026-08-02).</t>
        </is>
      </c>
      <c r="AF15" s="31" t="inlineStr">
        <is>
          <t>Surface-blended Elo model; singles only, WTA+ATP market coverage, not yet locked-holdout qualified -- promoted by explicit operator directive, not genuine walk-forward validation.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Kyrian Jacquet</t>
        </is>
      </c>
      <c r="AQ15" s="24" t="inlineStr">
        <is>
          <t>Kyrian Jacquet</t>
        </is>
      </c>
      <c r="AR15" s="24" t="inlineStr">
        <is>
          <t>Kyrian Jacquet</t>
        </is>
      </c>
      <c r="AS15" s="24" t="inlineStr">
        <is>
          <t>Gabriel Diallo</t>
        </is>
      </c>
      <c r="AT15" s="24" t="inlineStr">
        <is>
          <t>Gabriel Diallo</t>
        </is>
      </c>
      <c r="AU15" s="24" t="inlineStr">
        <is>
          <t>Gabriel Diallo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60749ecfb3f1405f12fbceda11b7e64f2473d40dd327256f9da20b2146b6ae03</t>
        </is>
      </c>
      <c r="BB15" s="24" t="inlineStr">
        <is>
          <t>surface_blended_elo</t>
        </is>
      </c>
      <c r="BC15" s="24" t="inlineStr">
        <is>
          <t>tennis-surface-elo-v1</t>
        </is>
      </c>
      <c r="BD15" s="24" t="inlineStr">
        <is>
          <t>60749ecfb3f1405f12fbceda11b7e64f2473d40dd327256f9da20b2146b6ae03</t>
        </is>
      </c>
      <c r="BE15" s="24" t="inlineStr">
        <is>
          <t>tennis-surface-elo-v1</t>
        </is>
      </c>
      <c r="BF15" s="24" t="inlineStr">
        <is>
          <t>1</t>
        </is>
      </c>
      <c r="BG15" s="24" t="inlineStr">
        <is>
          <t>60749ecfb3f1405f12fbceda11b7e64f2473d40dd327256f9da20b2146b6ae03</t>
        </is>
      </c>
      <c r="BH15" s="24" t="inlineStr">
        <is>
          <t>2026-08-03T22:56:18.028840Z</t>
        </is>
      </c>
      <c r="BI15" s="24" t="inlineStr">
        <is>
          <t>["same_event","same_team_same_day","same_league_same_day"]</t>
        </is>
      </c>
      <c r="BJ15" s="25" t="n"/>
      <c r="BK15" s="26" t="n">
        <v>-113</v>
      </c>
      <c r="BL15" s="27" t="n">
        <v>1.884956</v>
      </c>
      <c r="BM15" s="28" t="n">
        <v>0.530516</v>
      </c>
      <c r="BN15" s="28" t="n"/>
      <c r="BO15" s="28" t="n"/>
      <c r="BP15" s="25" t="n"/>
      <c r="BQ15" s="27" t="n">
        <v>1.884956</v>
      </c>
      <c r="BR15" s="28" t="n">
        <v>0.53</v>
      </c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</row>
    <row r="16" ht="36" customHeight="1">
      <c r="A16" s="24" t="inlineStr">
        <is>
          <t>d661fb2c61054b14</t>
        </is>
      </c>
      <c r="B16" s="24" t="inlineStr">
        <is>
          <t>2026-08-04T08:54:59.561456Z</t>
        </is>
      </c>
      <c r="C16" s="24" t="inlineStr">
        <is>
          <t>2026-08-04T10:30Z</t>
        </is>
      </c>
      <c r="D16" s="24" t="inlineStr">
        <is>
          <t>961-2026:182088</t>
        </is>
      </c>
      <c r="E16" s="24" t="inlineStr">
        <is>
          <t>TENNIS</t>
        </is>
      </c>
      <c r="F16" s="24" t="inlineStr">
        <is>
          <t>Elizara Yaneva</t>
        </is>
      </c>
      <c r="G16" s="24" t="inlineStr">
        <is>
          <t>Linda Klimovicova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-104</v>
      </c>
      <c r="M16" s="27" t="n">
        <v>1.961538</v>
      </c>
      <c r="N16" s="28" t="n">
        <v>0.509804</v>
      </c>
      <c r="O16" s="28" t="n">
        <v>0.578623</v>
      </c>
      <c r="P16" s="28" t="n">
        <v>0.05</v>
      </c>
      <c r="Q16" s="28" t="n">
        <v>0.06881900000000001</v>
      </c>
      <c r="R16" s="26" t="n">
        <v>54</v>
      </c>
      <c r="S16" s="29" t="n">
        <v>1.25</v>
      </c>
      <c r="T16" s="24" t="inlineStr">
        <is>
          <t>tennis-surface-elo-v1</t>
        </is>
      </c>
      <c r="U16" s="24" t="inlineStr">
        <is>
          <t>settled</t>
        </is>
      </c>
      <c r="V16" s="24" t="inlineStr">
        <is>
          <t>loss</t>
        </is>
      </c>
      <c r="W16" s="26" t="n">
        <v>1</v>
      </c>
      <c r="X16" s="26" t="n">
        <v>0</v>
      </c>
      <c r="Y16" s="25" t="n"/>
      <c r="Z16" s="26" t="n">
        <v>-104</v>
      </c>
      <c r="AA16" s="28" t="n">
        <v>0.51</v>
      </c>
      <c r="AB16" s="28" t="n">
        <v>0.000196</v>
      </c>
      <c r="AC16" s="30" t="n">
        <v>-1.25</v>
      </c>
      <c r="AD16" s="24" t="inlineStr">
        <is>
          <t>2026-08-04T14:02:55.340280Z</t>
        </is>
      </c>
      <c r="AE16" s="31" t="inlineStr">
        <is>
          <t>Surface-blended Elo on Hard: Elizara Yaneva p=0.421 vs Linda Klimovicova. Executable ask 0.5100 (aec-wta-linkli-eliyan-2026-08-03).</t>
        </is>
      </c>
      <c r="AF16" s="31" t="inlineStr">
        <is>
          <t>Surface-blended Elo model; singles only, WTA+ATP market coverage, not yet locked-holdout qualified -- promoted by explicit operator directive, not genuine walk-forward validation.</t>
        </is>
      </c>
      <c r="AG16" s="24" t="inlineStr">
        <is>
          <t>review_required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Elizara Yaneva</t>
        </is>
      </c>
      <c r="AQ16" s="24" t="inlineStr">
        <is>
          <t>Elizara Yaneva</t>
        </is>
      </c>
      <c r="AR16" s="24" t="inlineStr">
        <is>
          <t>Elizara Yaneva</t>
        </is>
      </c>
      <c r="AS16" s="24" t="inlineStr">
        <is>
          <t>Linda Klimovicova</t>
        </is>
      </c>
      <c r="AT16" s="24" t="inlineStr">
        <is>
          <t>Linda Klimovicova</t>
        </is>
      </c>
      <c r="AU16" s="24" t="inlineStr">
        <is>
          <t>Linda Klimovicova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60749ecfb3f1405f12fbceda11b7e64f2473d40dd327256f9da20b2146b6ae03</t>
        </is>
      </c>
      <c r="BB16" s="24" t="inlineStr">
        <is>
          <t>surface_blended_elo</t>
        </is>
      </c>
      <c r="BC16" s="24" t="inlineStr">
        <is>
          <t>tennis-surface-elo-v1</t>
        </is>
      </c>
      <c r="BD16" s="24" t="inlineStr">
        <is>
          <t>60749ecfb3f1405f12fbceda11b7e64f2473d40dd327256f9da20b2146b6ae03</t>
        </is>
      </c>
      <c r="BE16" s="24" t="inlineStr">
        <is>
          <t>tennis-surface-elo-v1</t>
        </is>
      </c>
      <c r="BF16" s="24" t="inlineStr">
        <is>
          <t>1</t>
        </is>
      </c>
      <c r="BG16" s="24" t="inlineStr">
        <is>
          <t>60749ecfb3f1405f12fbceda11b7e64f2473d40dd327256f9da20b2146b6ae03</t>
        </is>
      </c>
      <c r="BH16" s="24" t="inlineStr">
        <is>
          <t>2026-08-04T08:53:31.464146Z</t>
        </is>
      </c>
      <c r="BI16" s="24" t="inlineStr">
        <is>
          <t>["same_event","same_team_same_day","same_league_same_day"]</t>
        </is>
      </c>
      <c r="BJ16" s="25" t="n"/>
      <c r="BK16" s="26" t="n">
        <v>-104</v>
      </c>
      <c r="BL16" s="27" t="n">
        <v>1.961538</v>
      </c>
      <c r="BM16" s="28" t="n">
        <v>0.509804</v>
      </c>
      <c r="BN16" s="28" t="n"/>
      <c r="BO16" s="28" t="n"/>
      <c r="BP16" s="25" t="n"/>
      <c r="BQ16" s="27" t="n">
        <v>1.961538</v>
      </c>
      <c r="BR16" s="28" t="n">
        <v>0.51</v>
      </c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</row>
    <row r="17" ht="36" customHeight="1">
      <c r="A17" s="24" t="inlineStr">
        <is>
          <t>8df4f78345b2416b</t>
        </is>
      </c>
      <c r="B17" s="24" t="inlineStr">
        <is>
          <t>2026-08-04T14:25:17.456036Z</t>
        </is>
      </c>
      <c r="C17" s="24" t="inlineStr">
        <is>
          <t>2026-08-04T18:00Z</t>
        </is>
      </c>
      <c r="D17" s="24" t="inlineStr">
        <is>
          <t>421-2026:182202</t>
        </is>
      </c>
      <c r="E17" s="24" t="inlineStr">
        <is>
          <t>TENNIS</t>
        </is>
      </c>
      <c r="F17" s="24" t="inlineStr">
        <is>
          <t>Talia Gibson</t>
        </is>
      </c>
      <c r="G17" s="24" t="inlineStr">
        <is>
          <t>Maja Chwalinska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117</v>
      </c>
      <c r="M17" s="27" t="n">
        <v>2.17</v>
      </c>
      <c r="N17" s="28" t="n">
        <v>0.460829</v>
      </c>
      <c r="O17" s="28" t="n">
        <v>0.623502</v>
      </c>
      <c r="P17" s="28" t="n">
        <v>0.05</v>
      </c>
      <c r="Q17" s="28" t="n">
        <v>0.162673</v>
      </c>
      <c r="R17" s="26" t="n">
        <v>100</v>
      </c>
      <c r="S17" s="29" t="n">
        <v>1.5</v>
      </c>
      <c r="T17" s="24" t="inlineStr">
        <is>
          <t>tennis-surface-elo-v1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Surface-blended Elo on Hard: Talia Gibson p=0.376 vs Maja Chwalinska. Executable ask 0.4600 (aec-wta-majchw-talgib-2026-08-04).</t>
        </is>
      </c>
      <c r="AF17" s="31" t="inlineStr">
        <is>
          <t>Surface-blended Elo model; singles only, WTA+ATP market coverage, not yet locked-holdout qualified -- promoted by explicit operator directive, not genuine walk-forward validation.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Talia Gibson</t>
        </is>
      </c>
      <c r="AQ17" s="24" t="inlineStr">
        <is>
          <t>Talia Gibson</t>
        </is>
      </c>
      <c r="AR17" s="24" t="inlineStr">
        <is>
          <t>Talia Gibson</t>
        </is>
      </c>
      <c r="AS17" s="24" t="inlineStr">
        <is>
          <t>Maja Chwalinska</t>
        </is>
      </c>
      <c r="AT17" s="24" t="inlineStr">
        <is>
          <t>Maja Chwalinska</t>
        </is>
      </c>
      <c r="AU17" s="24" t="inlineStr">
        <is>
          <t>Maja Chwalinska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60749ecfb3f1405f12fbceda11b7e64f2473d40dd327256f9da20b2146b6ae03</t>
        </is>
      </c>
      <c r="BB17" s="24" t="inlineStr">
        <is>
          <t>surface_blended_elo</t>
        </is>
      </c>
      <c r="BC17" s="24" t="inlineStr">
        <is>
          <t>tennis-surface-elo-v1</t>
        </is>
      </c>
      <c r="BD17" s="24" t="inlineStr">
        <is>
          <t>60749ecfb3f1405f12fbceda11b7e64f2473d40dd327256f9da20b2146b6ae03</t>
        </is>
      </c>
      <c r="BE17" s="24" t="inlineStr">
        <is>
          <t>tennis-surface-elo-v1</t>
        </is>
      </c>
      <c r="BF17" s="24" t="inlineStr">
        <is>
          <t>1</t>
        </is>
      </c>
      <c r="BG17" s="24" t="inlineStr">
        <is>
          <t>60749ecfb3f1405f12fbceda11b7e64f2473d40dd327256f9da20b2146b6ae03</t>
        </is>
      </c>
      <c r="BH17" s="24" t="inlineStr">
        <is>
          <t>2026-08-04T14:23:27.218479Z</t>
        </is>
      </c>
      <c r="BI17" s="24" t="inlineStr">
        <is>
          <t>["same_event","same_team_same_day","same_league_same_day"]</t>
        </is>
      </c>
      <c r="BJ17" s="25" t="n"/>
      <c r="BK17" s="26" t="n">
        <v>117</v>
      </c>
      <c r="BL17" s="27" t="n">
        <v>2.17</v>
      </c>
      <c r="BM17" s="28" t="n">
        <v>0.460829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</row>
    <row r="18" ht="36" customHeight="1">
      <c r="A18" s="24" t="inlineStr">
        <is>
          <t>34a95956e9564070</t>
        </is>
      </c>
      <c r="B18" s="24" t="inlineStr">
        <is>
          <t>2026-08-04T14:25:17.456036Z</t>
        </is>
      </c>
      <c r="C18" s="24" t="inlineStr">
        <is>
          <t>2026-08-04T16:30Z</t>
        </is>
      </c>
      <c r="D18" s="24" t="inlineStr">
        <is>
          <t>421-2026:181813</t>
        </is>
      </c>
      <c r="E18" s="24" t="inlineStr">
        <is>
          <t>TENNIS</t>
        </is>
      </c>
      <c r="F18" s="24" t="inlineStr">
        <is>
          <t>Liam Draxl</t>
        </is>
      </c>
      <c r="G18" s="24" t="inlineStr">
        <is>
          <t>Daniel Merida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-144</v>
      </c>
      <c r="M18" s="27" t="n">
        <v>1.694444</v>
      </c>
      <c r="N18" s="28" t="n">
        <v>0.590164</v>
      </c>
      <c r="O18" s="28" t="n">
        <v>0.69073</v>
      </c>
      <c r="P18" s="28" t="n">
        <v>0.05</v>
      </c>
      <c r="Q18" s="28" t="n">
        <v>0.100566</v>
      </c>
      <c r="R18" s="26" t="n">
        <v>70</v>
      </c>
      <c r="S18" s="29" t="n">
        <v>2</v>
      </c>
      <c r="T18" s="24" t="inlineStr">
        <is>
          <t>tennis-surface-elo-v1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Surface-blended Elo on Hard: Liam Draxl p=0.309 vs Daniel Merida. Executable ask 0.5900 (aec-atp-danagu-liadra-2026-08-03).</t>
        </is>
      </c>
      <c r="AF18" s="31" t="inlineStr">
        <is>
          <t>Surface-blended Elo model; singles only, WTA+ATP market coverage, not yet locked-holdout qualified -- promoted by explicit operator directive, not genuine walk-forward validation.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Liam Draxl</t>
        </is>
      </c>
      <c r="AQ18" s="24" t="inlineStr">
        <is>
          <t>Liam Draxl</t>
        </is>
      </c>
      <c r="AR18" s="24" t="inlineStr">
        <is>
          <t>Liam Draxl</t>
        </is>
      </c>
      <c r="AS18" s="24" t="inlineStr">
        <is>
          <t>Daniel Merida</t>
        </is>
      </c>
      <c r="AT18" s="24" t="inlineStr">
        <is>
          <t>Daniel Merida</t>
        </is>
      </c>
      <c r="AU18" s="24" t="inlineStr">
        <is>
          <t>Daniel Merida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60749ecfb3f1405f12fbceda11b7e64f2473d40dd327256f9da20b2146b6ae03</t>
        </is>
      </c>
      <c r="BB18" s="24" t="inlineStr">
        <is>
          <t>surface_blended_elo</t>
        </is>
      </c>
      <c r="BC18" s="24" t="inlineStr">
        <is>
          <t>tennis-surface-elo-v1</t>
        </is>
      </c>
      <c r="BD18" s="24" t="inlineStr">
        <is>
          <t>60749ecfb3f1405f12fbceda11b7e64f2473d40dd327256f9da20b2146b6ae03</t>
        </is>
      </c>
      <c r="BE18" s="24" t="inlineStr">
        <is>
          <t>tennis-surface-elo-v1</t>
        </is>
      </c>
      <c r="BF18" s="24" t="inlineStr">
        <is>
          <t>1</t>
        </is>
      </c>
      <c r="BG18" s="24" t="inlineStr">
        <is>
          <t>60749ecfb3f1405f12fbceda11b7e64f2473d40dd327256f9da20b2146b6ae03</t>
        </is>
      </c>
      <c r="BH18" s="24" t="inlineStr">
        <is>
          <t>2026-08-04T14:23:40.504586Z</t>
        </is>
      </c>
      <c r="BI18" s="24" t="inlineStr">
        <is>
          <t>["same_event","same_team_same_day","same_league_same_day"]</t>
        </is>
      </c>
      <c r="BJ18" s="25" t="n"/>
      <c r="BK18" s="26" t="n">
        <v>-144</v>
      </c>
      <c r="BL18" s="27" t="n">
        <v>1.694444</v>
      </c>
      <c r="BM18" s="28" t="n">
        <v>0.590164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</row>
    <row r="19" ht="36" customHeight="1">
      <c r="A19" s="24" t="inlineStr">
        <is>
          <t>ca1db046253f492f</t>
        </is>
      </c>
      <c r="B19" s="24" t="inlineStr">
        <is>
          <t>2026-08-04T14:25:17.456036Z</t>
        </is>
      </c>
      <c r="C19" s="24" t="inlineStr">
        <is>
          <t>2026-08-04T18:00Z</t>
        </is>
      </c>
      <c r="D19" s="24" t="inlineStr">
        <is>
          <t>421-2026:181810</t>
        </is>
      </c>
      <c r="E19" s="24" t="inlineStr">
        <is>
          <t>TENNIS</t>
        </is>
      </c>
      <c r="F19" s="24" t="inlineStr">
        <is>
          <t>Jack Draper</t>
        </is>
      </c>
      <c r="G19" s="24" t="inlineStr">
        <is>
          <t>Terence Atmane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-203</v>
      </c>
      <c r="M19" s="27" t="n">
        <v>1.492611</v>
      </c>
      <c r="N19" s="28" t="n">
        <v>0.669967</v>
      </c>
      <c r="O19" s="28" t="n">
        <v>0.781578</v>
      </c>
      <c r="P19" s="28" t="n">
        <v>0.05</v>
      </c>
      <c r="Q19" s="28" t="n">
        <v>0.111611</v>
      </c>
      <c r="R19" s="26" t="n">
        <v>76</v>
      </c>
      <c r="S19" s="29" t="n">
        <v>2</v>
      </c>
      <c r="T19" s="24" t="inlineStr">
        <is>
          <t>tennis-surface-elo-v1</t>
        </is>
      </c>
      <c r="U19" s="24" t="inlineStr">
        <is>
          <t>open</t>
        </is>
      </c>
      <c r="V19" s="24" t="n"/>
      <c r="W19" s="26" t="n"/>
      <c r="X19" s="26" t="n"/>
      <c r="Y19" s="25" t="n"/>
      <c r="Z19" s="26" t="n"/>
      <c r="AA19" s="28" t="n"/>
      <c r="AB19" s="28" t="n"/>
      <c r="AC19" s="30" t="n"/>
      <c r="AD19" s="24" t="n"/>
      <c r="AE19" s="31" t="inlineStr">
        <is>
          <t>Surface-blended Elo on Hard: Jack Draper p=0.782 vs Terence Atmane. Executable ask 0.6700 (aec-atp-teratm-jacdra-2026-08-03).</t>
        </is>
      </c>
      <c r="AF19" s="31" t="inlineStr">
        <is>
          <t>Surface-blended Elo model; singles only, WTA+ATP market coverage, not yet locked-holdout qualified -- promoted by explicit operator directive, not genuine walk-forward validation.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model_qualified</t>
        </is>
      </c>
      <c r="AL19" s="26" t="n">
        <v>3</v>
      </c>
      <c r="AM19" s="24" t="inlineStr">
        <is>
          <t>QUALIFIED_SHADOW_CALL</t>
        </is>
      </c>
      <c r="AN19" s="24" t="inlineStr">
        <is>
          <t>CALL</t>
        </is>
      </c>
      <c r="AO19" s="24" t="inlineStr">
        <is>
          <t>QUALIFIED</t>
        </is>
      </c>
      <c r="AP19" s="24" t="inlineStr">
        <is>
          <t>Jack Draper</t>
        </is>
      </c>
      <c r="AQ19" s="24" t="inlineStr">
        <is>
          <t>Jack Draper</t>
        </is>
      </c>
      <c r="AR19" s="24" t="inlineStr">
        <is>
          <t>Jack Draper</t>
        </is>
      </c>
      <c r="AS19" s="24" t="inlineStr">
        <is>
          <t>Terence Atmane</t>
        </is>
      </c>
      <c r="AT19" s="24" t="inlineStr">
        <is>
          <t>Terence Atmane</t>
        </is>
      </c>
      <c r="AU19" s="24" t="inlineStr">
        <is>
          <t>Terence Atmane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60749ecfb3f1405f12fbceda11b7e64f2473d40dd327256f9da20b2146b6ae03</t>
        </is>
      </c>
      <c r="BB19" s="24" t="inlineStr">
        <is>
          <t>surface_blended_elo</t>
        </is>
      </c>
      <c r="BC19" s="24" t="inlineStr">
        <is>
          <t>tennis-surface-elo-v1</t>
        </is>
      </c>
      <c r="BD19" s="24" t="inlineStr">
        <is>
          <t>60749ecfb3f1405f12fbceda11b7e64f2473d40dd327256f9da20b2146b6ae03</t>
        </is>
      </c>
      <c r="BE19" s="24" t="inlineStr">
        <is>
          <t>tennis-surface-elo-v1</t>
        </is>
      </c>
      <c r="BF19" s="24" t="inlineStr">
        <is>
          <t>1</t>
        </is>
      </c>
      <c r="BG19" s="24" t="inlineStr">
        <is>
          <t>60749ecfb3f1405f12fbceda11b7e64f2473d40dd327256f9da20b2146b6ae03</t>
        </is>
      </c>
      <c r="BH19" s="24" t="inlineStr">
        <is>
          <t>2026-08-04T14:23:45.147148Z</t>
        </is>
      </c>
      <c r="BI19" s="24" t="inlineStr">
        <is>
          <t>["same_event","same_team_same_day","same_league_same_day"]</t>
        </is>
      </c>
      <c r="BJ19" s="25" t="n"/>
      <c r="BK19" s="26" t="n">
        <v>-203</v>
      </c>
      <c r="BL19" s="27" t="n">
        <v>1.492611</v>
      </c>
      <c r="BM19" s="28" t="n">
        <v>0.669967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</row>
    <row r="20" ht="36" customHeight="1">
      <c r="A20" s="24" t="inlineStr">
        <is>
          <t>ad8183bf5b564dee</t>
        </is>
      </c>
      <c r="B20" s="24" t="inlineStr">
        <is>
          <t>2026-08-04T14:25:17.456036Z</t>
        </is>
      </c>
      <c r="C20" s="24" t="inlineStr">
        <is>
          <t>2026-08-04T23:00Z</t>
        </is>
      </c>
      <c r="D20" s="24" t="inlineStr">
        <is>
          <t>421-2026:181748</t>
        </is>
      </c>
      <c r="E20" s="24" t="inlineStr">
        <is>
          <t>TENNIS</t>
        </is>
      </c>
      <c r="F20" s="24" t="inlineStr">
        <is>
          <t>Marin Cilic</t>
        </is>
      </c>
      <c r="G20" s="24" t="inlineStr">
        <is>
          <t>Frances Tiafoe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-178</v>
      </c>
      <c r="M20" s="27" t="n">
        <v>1.561798</v>
      </c>
      <c r="N20" s="28" t="n">
        <v>0.640288</v>
      </c>
      <c r="O20" s="28" t="n">
        <v>0.701855</v>
      </c>
      <c r="P20" s="28" t="n">
        <v>0.05</v>
      </c>
      <c r="Q20" s="28" t="n">
        <v>0.061567</v>
      </c>
      <c r="R20" s="26" t="n">
        <v>51</v>
      </c>
      <c r="S20" s="29" t="n">
        <v>2</v>
      </c>
      <c r="T20" s="24" t="inlineStr">
        <is>
          <t>tennis-surface-elo-v1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Surface-blended Elo on Hard: Marin Cilic p=0.298 vs Frances Tiafoe. Executable ask 0.6400 (aec-atp-fratia-marcil-2026-08-05).</t>
        </is>
      </c>
      <c r="AF20" s="31" t="inlineStr">
        <is>
          <t>Surface-blended Elo model; singles only, WTA+ATP market coverage, not yet locked-holdout qualified -- promoted by explicit operator directive, not genuine walk-forward validation.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model_qualified</t>
        </is>
      </c>
      <c r="AL20" s="26" t="n">
        <v>3</v>
      </c>
      <c r="AM20" s="24" t="inlineStr">
        <is>
          <t>QUALIFIED_SHADOW_CALL</t>
        </is>
      </c>
      <c r="AN20" s="24" t="inlineStr">
        <is>
          <t>CALL</t>
        </is>
      </c>
      <c r="AO20" s="24" t="inlineStr">
        <is>
          <t>QUALIFIED</t>
        </is>
      </c>
      <c r="AP20" s="24" t="inlineStr">
        <is>
          <t>Marin Cilic</t>
        </is>
      </c>
      <c r="AQ20" s="24" t="inlineStr">
        <is>
          <t>Marin Cilic</t>
        </is>
      </c>
      <c r="AR20" s="24" t="inlineStr">
        <is>
          <t>Marin Cilic</t>
        </is>
      </c>
      <c r="AS20" s="24" t="inlineStr">
        <is>
          <t>Frances Tiafoe</t>
        </is>
      </c>
      <c r="AT20" s="24" t="inlineStr">
        <is>
          <t>Frances Tiafoe</t>
        </is>
      </c>
      <c r="AU20" s="24" t="inlineStr">
        <is>
          <t>Frances Tiafoe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60749ecfb3f1405f12fbceda11b7e64f2473d40dd327256f9da20b2146b6ae03</t>
        </is>
      </c>
      <c r="BB20" s="24" t="inlineStr">
        <is>
          <t>surface_blended_elo</t>
        </is>
      </c>
      <c r="BC20" s="24" t="inlineStr">
        <is>
          <t>tennis-surface-elo-v1</t>
        </is>
      </c>
      <c r="BD20" s="24" t="inlineStr">
        <is>
          <t>60749ecfb3f1405f12fbceda11b7e64f2473d40dd327256f9da20b2146b6ae03</t>
        </is>
      </c>
      <c r="BE20" s="24" t="inlineStr">
        <is>
          <t>tennis-surface-elo-v1</t>
        </is>
      </c>
      <c r="BF20" s="24" t="inlineStr">
        <is>
          <t>1</t>
        </is>
      </c>
      <c r="BG20" s="24" t="inlineStr">
        <is>
          <t>60749ecfb3f1405f12fbceda11b7e64f2473d40dd327256f9da20b2146b6ae03</t>
        </is>
      </c>
      <c r="BH20" s="24" t="inlineStr">
        <is>
          <t>2026-08-04T14:23:53.532342Z</t>
        </is>
      </c>
      <c r="BI20" s="24" t="inlineStr">
        <is>
          <t>["same_event","same_team_same_day","same_league_same_day"]</t>
        </is>
      </c>
      <c r="BJ20" s="25" t="n"/>
      <c r="BK20" s="26" t="n">
        <v>-178</v>
      </c>
      <c r="BL20" s="27" t="n">
        <v>1.561798</v>
      </c>
      <c r="BM20" s="28" t="n">
        <v>0.640288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True</t>
        </is>
      </c>
    </row>
    <row r="21" ht="36" customHeight="1">
      <c r="A21" s="24" t="inlineStr">
        <is>
          <t>e2274e5a21ab4fbc</t>
        </is>
      </c>
      <c r="B21" s="24" t="inlineStr">
        <is>
          <t>2026-08-04T14:25:17.456036Z</t>
        </is>
      </c>
      <c r="C21" s="24" t="inlineStr">
        <is>
          <t>2026-08-05T00:30Z</t>
        </is>
      </c>
      <c r="D21" s="24" t="inlineStr">
        <is>
          <t>421-2026:181769</t>
        </is>
      </c>
      <c r="E21" s="24" t="inlineStr">
        <is>
          <t>TENNIS</t>
        </is>
      </c>
      <c r="F21" s="24" t="inlineStr">
        <is>
          <t>Gabriel Diallo</t>
        </is>
      </c>
      <c r="G21" s="24" t="inlineStr">
        <is>
          <t>Luciano Darderi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113</v>
      </c>
      <c r="M21" s="27" t="n">
        <v>2.13</v>
      </c>
      <c r="N21" s="28" t="n">
        <v>0.469484</v>
      </c>
      <c r="O21" s="28" t="n">
        <v>0.62292</v>
      </c>
      <c r="P21" s="28" t="n">
        <v>0.05</v>
      </c>
      <c r="Q21" s="28" t="n">
        <v>0.153436</v>
      </c>
      <c r="R21" s="26" t="n">
        <v>97</v>
      </c>
      <c r="S21" s="29" t="n">
        <v>1.5</v>
      </c>
      <c r="T21" s="24" t="inlineStr">
        <is>
          <t>tennis-surface-elo-v1</t>
        </is>
      </c>
      <c r="U21" s="24" t="inlineStr">
        <is>
          <t>open</t>
        </is>
      </c>
      <c r="V21" s="24" t="n"/>
      <c r="W21" s="26" t="n"/>
      <c r="X21" s="26" t="n"/>
      <c r="Y21" s="25" t="n"/>
      <c r="Z21" s="26" t="n"/>
      <c r="AA21" s="28" t="n"/>
      <c r="AB21" s="28" t="n"/>
      <c r="AC21" s="30" t="n"/>
      <c r="AD21" s="24" t="n"/>
      <c r="AE21" s="31" t="inlineStr">
        <is>
          <t>Surface-blended Elo on Hard: Gabriel Diallo p=0.377 vs Luciano Darderi. Executable ask 0.4700 (aec-atp-lucdar-gabdia-2026-08-05).</t>
        </is>
      </c>
      <c r="AF21" s="31" t="inlineStr">
        <is>
          <t>Surface-blended Elo model; singles only, WTA+ATP market coverage, not yet locked-holdout qualified -- promoted by explicit operator directive, not genuine walk-forward validation.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Gabriel Diallo</t>
        </is>
      </c>
      <c r="AQ21" s="24" t="inlineStr">
        <is>
          <t>Gabriel Diallo</t>
        </is>
      </c>
      <c r="AR21" s="24" t="inlineStr">
        <is>
          <t>Gabriel Diallo</t>
        </is>
      </c>
      <c r="AS21" s="24" t="inlineStr">
        <is>
          <t>Luciano Darderi</t>
        </is>
      </c>
      <c r="AT21" s="24" t="inlineStr">
        <is>
          <t>Luciano Darderi</t>
        </is>
      </c>
      <c r="AU21" s="24" t="inlineStr">
        <is>
          <t>Luciano Darderi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60749ecfb3f1405f12fbceda11b7e64f2473d40dd327256f9da20b2146b6ae03</t>
        </is>
      </c>
      <c r="BB21" s="24" t="inlineStr">
        <is>
          <t>surface_blended_elo</t>
        </is>
      </c>
      <c r="BC21" s="24" t="inlineStr">
        <is>
          <t>tennis-surface-elo-v1</t>
        </is>
      </c>
      <c r="BD21" s="24" t="inlineStr">
        <is>
          <t>60749ecfb3f1405f12fbceda11b7e64f2473d40dd327256f9da20b2146b6ae03</t>
        </is>
      </c>
      <c r="BE21" s="24" t="inlineStr">
        <is>
          <t>tennis-surface-elo-v1</t>
        </is>
      </c>
      <c r="BF21" s="24" t="inlineStr">
        <is>
          <t>1</t>
        </is>
      </c>
      <c r="BG21" s="24" t="inlineStr">
        <is>
          <t>60749ecfb3f1405f12fbceda11b7e64f2473d40dd327256f9da20b2146b6ae03</t>
        </is>
      </c>
      <c r="BH21" s="24" t="inlineStr">
        <is>
          <t>2026-08-04T14:23:55.350978Z</t>
        </is>
      </c>
      <c r="BI21" s="24" t="inlineStr">
        <is>
          <t>["same_event","same_team_same_day","same_league_same_day"]</t>
        </is>
      </c>
      <c r="BJ21" s="25" t="n"/>
      <c r="BK21" s="26" t="n">
        <v>113</v>
      </c>
      <c r="BL21" s="27" t="n">
        <v>2.13</v>
      </c>
      <c r="BM21" s="28" t="n">
        <v>0.469484</v>
      </c>
      <c r="BN21" s="28" t="n"/>
      <c r="BO21" s="28" t="n"/>
      <c r="BP21" s="25" t="n"/>
      <c r="BQ21" s="27" t="n"/>
      <c r="BR21" s="28" t="n"/>
      <c r="BS21" s="28" t="n"/>
      <c r="BT21" s="28" t="n"/>
      <c r="BU21" s="25" t="n"/>
      <c r="BV21" s="29" t="n"/>
      <c r="BW21" s="24" t="n"/>
      <c r="BX21" s="30" t="n"/>
      <c r="BY21" s="27" t="n"/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2026-08-04T14:27:00Z</dcterms:created>
  <dcterms:modified xsi:type="dcterms:W3CDTF">2026-08-04T14:27:00Z</dcterms:modified>
</cp:coreProperties>
</file>