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11" headerRowCount="1">
  <autoFilter ref="A1:CS11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COUNTA('Picks'!$A$2:$A$11)</f>
        <v/>
      </c>
      <c r="C4" s="6">
        <f>COUNTIF('Picks'!$U$2:$U$11,"open")</f>
        <v/>
      </c>
      <c r="E4" s="6">
        <f>COUNTIF('Picks'!$U$2:$U$11,"settled")</f>
        <v/>
      </c>
      <c r="G4" s="6">
        <f>IF(COUNTIFS('Picks'!$U$2:$U$11,"settled",'Picks'!$V$2:$V$11,"win")+COUNTIFS('Picks'!$U$2:$U$11,"settled",'Picks'!$V$2:$V$11,"loss")&gt;=$L$2,"Ready","Insufficient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COUNTIF('Picks'!$BX$2:$BX$11,"&gt;0")</f>
        <v/>
      </c>
      <c r="C7" s="6">
        <f>COUNTIFS('Picks'!$BX$2:$BX$11,"&gt;0",'Picks'!$V$2:$V$11,"win")&amp;"-"&amp;COUNTIFS('Picks'!$BX$2:$BX$11,"&gt;0",'Picks'!$V$2:$V$11,"loss")</f>
        <v/>
      </c>
      <c r="E7" s="7">
        <f>IFERROR(COUNTIFS('Picks'!$BX$2:$BX$11,"&gt;0",'Picks'!$V$2:$V$11,"win")/(COUNTIFS('Picks'!$BX$2:$BX$11,"&gt;0",'Picks'!$V$2:$V$11,"win")+COUNTIFS('Picks'!$BX$2:$BX$11,"&gt;0",'Picks'!$V$2:$V$11,"loss")),0)</f>
        <v/>
      </c>
      <c r="G7" s="7">
        <f>IFERROR(SUM('Picks'!$BY$2:$BY$11)/SUM('Picks'!$BX$2:$BX$11),0)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SUM('Picks'!$BY$2:$BY$11)</f>
        <v/>
      </c>
      <c r="C10" s="9">
        <f>IFERROR(AVERAGEIF('Picks'!$AB$2:$AB$11,"&lt;&gt;",'Picks'!$AB$2:$AB$11),0)</f>
        <v/>
      </c>
      <c r="E10" s="6">
        <f>COUNTIFS('Picks'!$AM$2:$AM$11,"QUALIFIED_SHADOW_CALL",'Picks'!$U$2:$U$11,"settled")</f>
        <v/>
      </c>
      <c r="G10" s="8">
        <f>SUMIFS('Picks'!$AC$2:$AC$11,'Picks'!$AM$2:$AM$11,"QUALIFIED_SHADOW_CALL")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COUNTIFS('Picks'!$H$2:$H$11,$A14,'Picks'!$U$2:$U$11,"settled")</f>
        <v/>
      </c>
      <c r="C14" s="13">
        <f>COUNTIFS('Picks'!$H$2:$H$11,$A14,'Picks'!$U$2:$U$11,"settled",'Picks'!$V$2:$V$11,"win")</f>
        <v/>
      </c>
      <c r="D14" s="13">
        <f>COUNTIFS('Picks'!$H$2:$H$11,$A14,'Picks'!$U$2:$U$11,"settled",'Picks'!$V$2:$V$11,"loss")</f>
        <v/>
      </c>
      <c r="E14" s="14">
        <f>IFERROR(C14/(C14+D14),0)</f>
        <v/>
      </c>
      <c r="F14" s="15">
        <f>SUMIFS('Picks'!$BY$2:$BY$11,'Picks'!$H$2:$H$11,$A14)</f>
        <v/>
      </c>
      <c r="G14" s="16">
        <f>IFERROR(AVERAGEIFS('Picks'!$AB$2:$AB$11,'Picks'!$H$2:$H$11,$A14,'Picks'!$U$2:$U$11,"settled"),0)</f>
        <v/>
      </c>
    </row>
    <row r="15">
      <c r="A15" s="17" t="inlineStr">
        <is>
          <t>spread</t>
        </is>
      </c>
      <c r="B15" s="18">
        <f>COUNTIFS('Picks'!$H$2:$H$11,$A15,'Picks'!$U$2:$U$11,"settled")</f>
        <v/>
      </c>
      <c r="C15" s="18">
        <f>COUNTIFS('Picks'!$H$2:$H$11,$A15,'Picks'!$U$2:$U$11,"settled",'Picks'!$V$2:$V$11,"win")</f>
        <v/>
      </c>
      <c r="D15" s="18">
        <f>COUNTIFS('Picks'!$H$2:$H$11,$A15,'Picks'!$U$2:$U$11,"settled",'Picks'!$V$2:$V$11,"loss")</f>
        <v/>
      </c>
      <c r="E15" s="19">
        <f>IFERROR(C15/(C15+D15),0)</f>
        <v/>
      </c>
      <c r="F15" s="20">
        <f>SUMIFS('Picks'!$BY$2:$BY$11,'Picks'!$H$2:$H$11,$A15)</f>
        <v/>
      </c>
      <c r="G15" s="21">
        <f>IFERROR(AVERAGEIFS('Picks'!$AB$2:$AB$11,'Picks'!$H$2:$H$11,$A15,'Picks'!$U$2:$U$11,"settled"),0)</f>
        <v/>
      </c>
    </row>
    <row r="16">
      <c r="A16" s="12" t="inlineStr">
        <is>
          <t>total</t>
        </is>
      </c>
      <c r="B16" s="13">
        <f>COUNTIFS('Picks'!$H$2:$H$11,$A16,'Picks'!$U$2:$U$11,"settled")</f>
        <v/>
      </c>
      <c r="C16" s="13">
        <f>COUNTIFS('Picks'!$H$2:$H$11,$A16,'Picks'!$U$2:$U$11,"settled",'Picks'!$V$2:$V$11,"win")</f>
        <v/>
      </c>
      <c r="D16" s="13">
        <f>COUNTIFS('Picks'!$H$2:$H$11,$A16,'Picks'!$U$2:$U$11,"settled",'Picks'!$V$2:$V$11,"loss")</f>
        <v/>
      </c>
      <c r="E16" s="14">
        <f>IFERROR(C16/(C16+D16),0)</f>
        <v/>
      </c>
      <c r="F16" s="15">
        <f>SUMIFS('Picks'!$BY$2:$BY$11,'Picks'!$H$2:$H$11,$A16)</f>
        <v/>
      </c>
      <c r="G16" s="16">
        <f>IFERROR(AVERAGEIFS('Picks'!$AB$2:$AB$11,'Picks'!$H$2:$H$11,$A16,'Picks'!$U$2:$U$11,"settled"),0)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2528510b1bec48eb</t>
        </is>
      </c>
      <c r="B2" s="24" t="inlineStr">
        <is>
          <t>2026-08-01T06:41:46.814528Z</t>
        </is>
      </c>
      <c r="C2" s="24" t="inlineStr">
        <is>
          <t>2026-08-01T08:00:00Z</t>
        </is>
      </c>
      <c r="D2" s="24" t="inlineStr">
        <is>
          <t>65819</t>
        </is>
      </c>
      <c r="E2" s="24" t="inlineStr">
        <is>
          <t>LOL</t>
        </is>
      </c>
      <c r="F2" s="24" t="inlineStr">
        <is>
          <t>BNK FEARX</t>
        </is>
      </c>
      <c r="G2" s="24" t="inlineStr">
        <is>
          <t>Nongshim Red Force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117</v>
      </c>
      <c r="M2" s="27" t="n">
        <v>2.17</v>
      </c>
      <c r="N2" s="28" t="n">
        <v>0.460829</v>
      </c>
      <c r="O2" s="28" t="n">
        <v>0.556975</v>
      </c>
      <c r="P2" s="28" t="n"/>
      <c r="Q2" s="28" t="n">
        <v>0.096146</v>
      </c>
      <c r="R2" s="26" t="n">
        <v>68</v>
      </c>
      <c r="S2" s="29" t="n">
        <v>1</v>
      </c>
      <c r="T2" s="24" t="inlineStr">
        <is>
          <t>lol-tiered-elo-v5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117</v>
      </c>
      <c r="AA2" s="28" t="n">
        <v>0.46</v>
      </c>
      <c r="AB2" s="28" t="n">
        <v>-0.000829</v>
      </c>
      <c r="AC2" s="30" t="n">
        <v>1.17</v>
      </c>
      <c r="AD2" s="24" t="inlineStr">
        <is>
          <t>2026-08-01T13:41:27.326548Z</t>
        </is>
      </c>
      <c r="AE2" s="31" t="inlineStr">
        <is>
          <t>Neutral Elo baseline; executable ask 0.4600 (market_slug=aec-lol-ns-bfx-2026-08-01).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BNK FEARX</t>
        </is>
      </c>
      <c r="AQ2" s="24" t="inlineStr">
        <is>
          <t>BNK FEARX</t>
        </is>
      </c>
      <c r="AR2" s="24" t="inlineStr">
        <is>
          <t>BNK FEARX</t>
        </is>
      </c>
      <c r="AS2" s="24" t="inlineStr">
        <is>
          <t>Nongshim Red Force</t>
        </is>
      </c>
      <c r="AT2" s="24" t="inlineStr">
        <is>
          <t>Nongshim Red Force</t>
        </is>
      </c>
      <c r="AU2" s="24" t="inlineStr">
        <is>
          <t>Nongshim Red Force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c61cc9d3c53952a2d4111be692cacdf7a1a440dd2df7c5d30197b2be280180db</t>
        </is>
      </c>
      <c r="BB2" s="24" t="inlineStr">
        <is>
          <t>neutral_elo</t>
        </is>
      </c>
      <c r="BC2" s="24" t="inlineStr">
        <is>
          <t>lol-tiered-elo-v5</t>
        </is>
      </c>
      <c r="BD2" s="24" t="inlineStr">
        <is>
          <t>c61cc9d3c53952a2d4111be692cacdf7a1a440dd2df7c5d30197b2be280180db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lol-tiered-elo-v5</t>
        </is>
      </c>
      <c r="BH2" s="24" t="inlineStr">
        <is>
          <t>2026-08-01T06:41:28.116348Z</t>
        </is>
      </c>
      <c r="BI2" s="24" t="inlineStr">
        <is>
          <t>["same_event","same_team_same_day","same_league_same_day"]</t>
        </is>
      </c>
      <c r="BJ2" s="25" t="n"/>
      <c r="BK2" s="26" t="n">
        <v>117</v>
      </c>
      <c r="BL2" s="27" t="n">
        <v>2.17</v>
      </c>
      <c r="BM2" s="28" t="n">
        <v>0.460829</v>
      </c>
      <c r="BN2" s="28" t="n"/>
      <c r="BO2" s="28" t="n"/>
      <c r="BP2" s="25" t="n"/>
      <c r="BQ2" s="27" t="n">
        <v>2.17</v>
      </c>
      <c r="BR2" s="28" t="n">
        <v>0.46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2b526eb0bb454527</t>
        </is>
      </c>
      <c r="B3" s="24" t="inlineStr">
        <is>
          <t>2026-08-01T13:46:26.991370Z</t>
        </is>
      </c>
      <c r="C3" s="24" t="inlineStr">
        <is>
          <t>2026-08-01T15:00:00Z</t>
        </is>
      </c>
      <c r="D3" s="24" t="inlineStr">
        <is>
          <t>65952</t>
        </is>
      </c>
      <c r="E3" s="24" t="inlineStr">
        <is>
          <t>LOL</t>
        </is>
      </c>
      <c r="F3" s="24" t="inlineStr">
        <is>
          <t>SK Gaming</t>
        </is>
      </c>
      <c r="G3" s="24" t="inlineStr">
        <is>
          <t>GIANTX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-186</v>
      </c>
      <c r="M3" s="27" t="n">
        <v>1.537634</v>
      </c>
      <c r="N3" s="28" t="n">
        <v>0.65035</v>
      </c>
      <c r="O3" s="28" t="n">
        <v>0.749744</v>
      </c>
      <c r="P3" s="28" t="n"/>
      <c r="Q3" s="28" t="n">
        <v>0.099394</v>
      </c>
      <c r="R3" s="26" t="n">
        <v>70</v>
      </c>
      <c r="S3" s="29" t="n">
        <v>2</v>
      </c>
      <c r="T3" s="24" t="inlineStr">
        <is>
          <t>lol-tiered-elo-v5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-186</v>
      </c>
      <c r="AA3" s="28" t="n">
        <v>0.65</v>
      </c>
      <c r="AB3" s="28" t="n">
        <v>-0.00035</v>
      </c>
      <c r="AC3" s="30" t="n">
        <v>-2</v>
      </c>
      <c r="AD3" s="24" t="inlineStr">
        <is>
          <t>2026-08-01T18:35:44.779601Z</t>
        </is>
      </c>
      <c r="AE3" s="31" t="inlineStr">
        <is>
          <t>Neutral Elo baseline; executable ask 0.6500 (market_slug=aec-lol-gx-sk-2026-08-01).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SK Gaming</t>
        </is>
      </c>
      <c r="AQ3" s="24" t="inlineStr">
        <is>
          <t>SK Gaming</t>
        </is>
      </c>
      <c r="AR3" s="24" t="inlineStr">
        <is>
          <t>SK Gaming</t>
        </is>
      </c>
      <c r="AS3" s="24" t="inlineStr">
        <is>
          <t>GIANTX</t>
        </is>
      </c>
      <c r="AT3" s="24" t="inlineStr">
        <is>
          <t>GIANTX</t>
        </is>
      </c>
      <c r="AU3" s="24" t="inlineStr">
        <is>
          <t>GIANTX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a0225de77fed9ecff6db7a91aa1fb133fedb181174eece235a4505669cc54dc3</t>
        </is>
      </c>
      <c r="BB3" s="24" t="inlineStr">
        <is>
          <t>neutral_elo</t>
        </is>
      </c>
      <c r="BC3" s="24" t="inlineStr">
        <is>
          <t>lol-tiered-elo-v5</t>
        </is>
      </c>
      <c r="BD3" s="24" t="inlineStr">
        <is>
          <t>a0225de77fed9ecff6db7a91aa1fb133fedb181174eece235a4505669cc54dc3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lol-tiered-elo-v5</t>
        </is>
      </c>
      <c r="BH3" s="24" t="inlineStr">
        <is>
          <t>2026-08-01T13:46:15.238583Z</t>
        </is>
      </c>
      <c r="BI3" s="24" t="inlineStr">
        <is>
          <t>["same_event","same_team_same_day","same_league_same_day"]</t>
        </is>
      </c>
      <c r="BJ3" s="25" t="n"/>
      <c r="BK3" s="26" t="n">
        <v>-186</v>
      </c>
      <c r="BL3" s="27" t="n">
        <v>1.537634</v>
      </c>
      <c r="BM3" s="28" t="n">
        <v>0.65035</v>
      </c>
      <c r="BN3" s="28" t="n"/>
      <c r="BO3" s="28" t="n"/>
      <c r="BP3" s="25" t="n"/>
      <c r="BQ3" s="27" t="n">
        <v>1.537634</v>
      </c>
      <c r="BR3" s="28" t="n">
        <v>0.65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cbe1e98602f44c34</t>
        </is>
      </c>
      <c r="B4" s="24" t="inlineStr">
        <is>
          <t>2026-08-01T13:46:26.991370Z</t>
        </is>
      </c>
      <c r="C4" s="24" t="inlineStr">
        <is>
          <t>2026-08-01T16:00:00Z</t>
        </is>
      </c>
      <c r="D4" s="24" t="inlineStr">
        <is>
          <t>66008</t>
        </is>
      </c>
      <c r="E4" s="24" t="inlineStr">
        <is>
          <t>LOL</t>
        </is>
      </c>
      <c r="F4" s="24" t="inlineStr">
        <is>
          <t>FURIA Esports</t>
        </is>
      </c>
      <c r="G4" s="24" t="inlineStr">
        <is>
          <t>Vivo Keyd Stars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-113</v>
      </c>
      <c r="M4" s="27" t="n">
        <v>1.884956</v>
      </c>
      <c r="N4" s="28" t="n">
        <v>0.530516</v>
      </c>
      <c r="O4" s="28" t="n">
        <v>0.557751</v>
      </c>
      <c r="P4" s="28" t="n"/>
      <c r="Q4" s="28" t="n">
        <v>0.027235</v>
      </c>
      <c r="R4" s="26" t="n">
        <v>34</v>
      </c>
      <c r="S4" s="29" t="n">
        <v>1</v>
      </c>
      <c r="T4" s="24" t="inlineStr">
        <is>
          <t>lol-tiered-elo-v5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-113</v>
      </c>
      <c r="AA4" s="28" t="n">
        <v>0.53</v>
      </c>
      <c r="AB4" s="28" t="n">
        <v>-0.000516</v>
      </c>
      <c r="AC4" s="30" t="n">
        <v>-1</v>
      </c>
      <c r="AD4" s="24" t="inlineStr">
        <is>
          <t>2026-08-01T18:35:45.870837Z</t>
        </is>
      </c>
      <c r="AE4" s="31" t="inlineStr">
        <is>
          <t>Neutral Elo baseline; executable ask 0.5300 (market_slug=aec-lol-vks-fur-2026-08-01).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FURIA Esports</t>
        </is>
      </c>
      <c r="AQ4" s="24" t="inlineStr">
        <is>
          <t>FURIA Esports</t>
        </is>
      </c>
      <c r="AR4" s="24" t="inlineStr">
        <is>
          <t>FURIA Esports</t>
        </is>
      </c>
      <c r="AS4" s="24" t="inlineStr">
        <is>
          <t>Vivo Keyd Stars</t>
        </is>
      </c>
      <c r="AT4" s="24" t="inlineStr">
        <is>
          <t>Vivo Keyd Stars</t>
        </is>
      </c>
      <c r="AU4" s="24" t="inlineStr">
        <is>
          <t>Vivo Keyd Stars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a0225de77fed9ecff6db7a91aa1fb133fedb181174eece235a4505669cc54dc3</t>
        </is>
      </c>
      <c r="BB4" s="24" t="inlineStr">
        <is>
          <t>neutral_elo</t>
        </is>
      </c>
      <c r="BC4" s="24" t="inlineStr">
        <is>
          <t>lol-tiered-elo-v5</t>
        </is>
      </c>
      <c r="BD4" s="24" t="inlineStr">
        <is>
          <t>a0225de77fed9ecff6db7a91aa1fb133fedb181174eece235a4505669cc54dc3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lol-tiered-elo-v5</t>
        </is>
      </c>
      <c r="BH4" s="24" t="inlineStr">
        <is>
          <t>2026-08-01T13:46:15.747699Z</t>
        </is>
      </c>
      <c r="BI4" s="24" t="inlineStr">
        <is>
          <t>["same_event","same_team_same_day","same_league_same_day"]</t>
        </is>
      </c>
      <c r="BJ4" s="25" t="n"/>
      <c r="BK4" s="26" t="n">
        <v>-113</v>
      </c>
      <c r="BL4" s="27" t="n">
        <v>1.884956</v>
      </c>
      <c r="BM4" s="28" t="n">
        <v>0.530516</v>
      </c>
      <c r="BN4" s="28" t="n"/>
      <c r="BO4" s="28" t="n"/>
      <c r="BP4" s="25" t="n"/>
      <c r="BQ4" s="27" t="n">
        <v>1.884956</v>
      </c>
      <c r="BR4" s="28" t="n">
        <v>0.53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5c6e531064f34f1f</t>
        </is>
      </c>
      <c r="B5" s="24" t="inlineStr">
        <is>
          <t>2026-08-02T09:59:37.296167Z</t>
        </is>
      </c>
      <c r="C5" s="24" t="inlineStr">
        <is>
          <t>2026-08-02T10:00:00Z</t>
        </is>
      </c>
      <c r="D5" s="24" t="inlineStr">
        <is>
          <t>66811</t>
        </is>
      </c>
      <c r="E5" s="24" t="inlineStr">
        <is>
          <t>LOL</t>
        </is>
      </c>
      <c r="F5" s="24" t="inlineStr">
        <is>
          <t>Ancient Ones</t>
        </is>
      </c>
      <c r="G5" s="24" t="inlineStr">
        <is>
          <t>Crystal Rose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113</v>
      </c>
      <c r="M5" s="27" t="n">
        <v>2.13</v>
      </c>
      <c r="N5" s="28" t="n">
        <v>0.469484</v>
      </c>
      <c r="O5" s="28" t="n">
        <v>0.614494</v>
      </c>
      <c r="P5" s="28" t="n"/>
      <c r="Q5" s="28" t="n">
        <v>0.14501</v>
      </c>
      <c r="R5" s="26" t="n">
        <v>93</v>
      </c>
      <c r="S5" s="29" t="n">
        <v>1.5</v>
      </c>
      <c r="T5" s="24" t="inlineStr">
        <is>
          <t>lol-tiered-elo-v5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>
        <v>113</v>
      </c>
      <c r="AA5" s="28" t="n">
        <v>0.47</v>
      </c>
      <c r="AB5" s="28" t="n">
        <v>0.000516</v>
      </c>
      <c r="AC5" s="30" t="n">
        <v>1.695</v>
      </c>
      <c r="AD5" s="24" t="inlineStr">
        <is>
          <t>2026-08-02T11:45:33.659531Z</t>
        </is>
      </c>
      <c r="AE5" s="31" t="inlineStr">
        <is>
          <t>Neutral Elo baseline; executable ask 0.4700 (market_slug=aec-lol-cr-ao-2026-08-02).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Ancient Ones</t>
        </is>
      </c>
      <c r="AQ5" s="24" t="inlineStr">
        <is>
          <t>Ancient Ones</t>
        </is>
      </c>
      <c r="AR5" s="24" t="inlineStr">
        <is>
          <t>Ancient Ones</t>
        </is>
      </c>
      <c r="AS5" s="24" t="inlineStr">
        <is>
          <t>Crystal Rose</t>
        </is>
      </c>
      <c r="AT5" s="24" t="inlineStr">
        <is>
          <t>Crystal Rose</t>
        </is>
      </c>
      <c r="AU5" s="24" t="inlineStr">
        <is>
          <t>Crystal Rose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872990f5864d469e34c183f4364739fd3897540762b962f4ec2e55405665b2e8</t>
        </is>
      </c>
      <c r="BB5" s="24" t="inlineStr">
        <is>
          <t>neutral_elo</t>
        </is>
      </c>
      <c r="BC5" s="24" t="inlineStr">
        <is>
          <t>lol-tiered-elo-v5</t>
        </is>
      </c>
      <c r="BD5" s="24" t="inlineStr">
        <is>
          <t>872990f5864d469e34c183f4364739fd3897540762b962f4ec2e55405665b2e8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lol-tiered-elo-v5</t>
        </is>
      </c>
      <c r="BH5" s="24" t="inlineStr">
        <is>
          <t>2026-08-02T09:59:22.583724Z</t>
        </is>
      </c>
      <c r="BI5" s="24" t="inlineStr">
        <is>
          <t>["same_event","same_team_same_day","same_league_same_day"]</t>
        </is>
      </c>
      <c r="BJ5" s="25" t="n"/>
      <c r="BK5" s="26" t="n">
        <v>113</v>
      </c>
      <c r="BL5" s="27" t="n">
        <v>2.13</v>
      </c>
      <c r="BM5" s="28" t="n">
        <v>0.469484</v>
      </c>
      <c r="BN5" s="28" t="n"/>
      <c r="BO5" s="28" t="n"/>
      <c r="BP5" s="25" t="n"/>
      <c r="BQ5" s="27" t="n">
        <v>2.13</v>
      </c>
      <c r="BR5" s="28" t="n">
        <v>0.47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cb4570603d6b43e3</t>
        </is>
      </c>
      <c r="B6" s="24" t="inlineStr">
        <is>
          <t>2026-08-02T09:59:37.296167Z</t>
        </is>
      </c>
      <c r="C6" s="24" t="inlineStr">
        <is>
          <t>2026-08-02T11:00:00Z</t>
        </is>
      </c>
      <c r="D6" s="24" t="inlineStr">
        <is>
          <t>66837</t>
        </is>
      </c>
      <c r="E6" s="24" t="inlineStr">
        <is>
          <t>LOL</t>
        </is>
      </c>
      <c r="F6" s="24" t="inlineStr">
        <is>
          <t>Lille Esport</t>
        </is>
      </c>
      <c r="G6" s="24" t="inlineStr">
        <is>
          <t>Lausanne-Sport Esports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100</v>
      </c>
      <c r="M6" s="27" t="n">
        <v>2</v>
      </c>
      <c r="N6" s="28" t="n">
        <v>0.5</v>
      </c>
      <c r="O6" s="28" t="n">
        <v>0.586093</v>
      </c>
      <c r="P6" s="28" t="n"/>
      <c r="Q6" s="28" t="n">
        <v>0.086093</v>
      </c>
      <c r="R6" s="26" t="n">
        <v>63</v>
      </c>
      <c r="S6" s="29" t="n">
        <v>1.25</v>
      </c>
      <c r="T6" s="24" t="inlineStr">
        <is>
          <t>lol-tiered-elo-v5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100</v>
      </c>
      <c r="AA6" s="28" t="n">
        <v>0.5</v>
      </c>
      <c r="AB6" s="28" t="n">
        <v>0</v>
      </c>
      <c r="AC6" s="30" t="n">
        <v>-1.25</v>
      </c>
      <c r="AD6" s="24" t="inlineStr">
        <is>
          <t>2026-08-02T11:45:34.762056Z</t>
        </is>
      </c>
      <c r="AE6" s="31" t="inlineStr">
        <is>
          <t>Neutral Elo baseline; executable ask 0.5000 (market_slug=aec-lol-els-lil-2026-08-02).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Lille Esport</t>
        </is>
      </c>
      <c r="AQ6" s="24" t="inlineStr">
        <is>
          <t>Lille Esport</t>
        </is>
      </c>
      <c r="AR6" s="24" t="inlineStr">
        <is>
          <t>Lille Esport</t>
        </is>
      </c>
      <c r="AS6" s="24" t="inlineStr">
        <is>
          <t>Lausanne-Sport Esports</t>
        </is>
      </c>
      <c r="AT6" s="24" t="inlineStr">
        <is>
          <t>Lausanne-Sport Esports</t>
        </is>
      </c>
      <c r="AU6" s="24" t="inlineStr">
        <is>
          <t>Lausanne-Sport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872990f5864d469e34c183f4364739fd3897540762b962f4ec2e55405665b2e8</t>
        </is>
      </c>
      <c r="BB6" s="24" t="inlineStr">
        <is>
          <t>neutral_elo</t>
        </is>
      </c>
      <c r="BC6" s="24" t="inlineStr">
        <is>
          <t>lol-tiered-elo-v5</t>
        </is>
      </c>
      <c r="BD6" s="24" t="inlineStr">
        <is>
          <t>872990f5864d469e34c183f4364739fd3897540762b962f4ec2e55405665b2e8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lol-tiered-elo-v5</t>
        </is>
      </c>
      <c r="BH6" s="24" t="inlineStr">
        <is>
          <t>2026-08-02T09:59:23.587864Z</t>
        </is>
      </c>
      <c r="BI6" s="24" t="inlineStr">
        <is>
          <t>["same_event","same_team_same_day","same_league_same_day"]</t>
        </is>
      </c>
      <c r="BJ6" s="25" t="n"/>
      <c r="BK6" s="26" t="n">
        <v>100</v>
      </c>
      <c r="BL6" s="27" t="n">
        <v>2</v>
      </c>
      <c r="BM6" s="28" t="n">
        <v>0.5</v>
      </c>
      <c r="BN6" s="28" t="n"/>
      <c r="BO6" s="28" t="n"/>
      <c r="BP6" s="25" t="n"/>
      <c r="BQ6" s="27" t="n">
        <v>2</v>
      </c>
      <c r="BR6" s="28" t="n">
        <v>0.5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96a22c8745e44e42</t>
        </is>
      </c>
      <c r="B7" s="24" t="inlineStr">
        <is>
          <t>2026-08-02T15:51:19.985321Z</t>
        </is>
      </c>
      <c r="C7" s="24" t="inlineStr">
        <is>
          <t>2026-08-02T16:00:00Z</t>
        </is>
      </c>
      <c r="D7" s="24" t="inlineStr">
        <is>
          <t>66902</t>
        </is>
      </c>
      <c r="E7" s="24" t="inlineStr">
        <is>
          <t>LOL</t>
        </is>
      </c>
      <c r="F7" s="24" t="inlineStr">
        <is>
          <t>LOUD</t>
        </is>
      </c>
      <c r="G7" s="24" t="inlineStr">
        <is>
          <t>Fluxo W7M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-117</v>
      </c>
      <c r="M7" s="27" t="n">
        <v>1.854701</v>
      </c>
      <c r="N7" s="28" t="n">
        <v>0.539171</v>
      </c>
      <c r="O7" s="28" t="n">
        <v>0.558818</v>
      </c>
      <c r="P7" s="28" t="n"/>
      <c r="Q7" s="28" t="n">
        <v>0.019647</v>
      </c>
      <c r="R7" s="26" t="n">
        <v>30</v>
      </c>
      <c r="S7" s="29" t="n">
        <v>1</v>
      </c>
      <c r="T7" s="24" t="inlineStr">
        <is>
          <t>lol-tiered-elo-v5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>
        <v>-117</v>
      </c>
      <c r="AA7" s="28" t="n">
        <v>0.54</v>
      </c>
      <c r="AB7" s="28" t="n">
        <v>0.000829</v>
      </c>
      <c r="AC7" s="30" t="n">
        <v>0.8547</v>
      </c>
      <c r="AD7" s="24" t="inlineStr">
        <is>
          <t>2026-08-02T17:34:59.847525Z</t>
        </is>
      </c>
      <c r="AE7" s="31" t="inlineStr">
        <is>
          <t>Neutral Elo baseline; executable ask 0.5400 (market_slug=aec-lol-fxw7-lll-2026-08-02).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LOUD</t>
        </is>
      </c>
      <c r="AQ7" s="24" t="inlineStr">
        <is>
          <t>LOUD</t>
        </is>
      </c>
      <c r="AR7" s="24" t="inlineStr">
        <is>
          <t>LOUD</t>
        </is>
      </c>
      <c r="AS7" s="24" t="inlineStr">
        <is>
          <t>Fluxo W7M</t>
        </is>
      </c>
      <c r="AT7" s="24" t="inlineStr">
        <is>
          <t>Fluxo W7M</t>
        </is>
      </c>
      <c r="AU7" s="24" t="inlineStr">
        <is>
          <t>Fluxo W7M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4ef0b19fe97fa070abfaae40ffb41addfe8947e35583480b0b6feebe14b9f7ac</t>
        </is>
      </c>
      <c r="BB7" s="24" t="inlineStr">
        <is>
          <t>neutral_elo</t>
        </is>
      </c>
      <c r="BC7" s="24" t="inlineStr">
        <is>
          <t>lol-tiered-elo-v5</t>
        </is>
      </c>
      <c r="BD7" s="24" t="inlineStr">
        <is>
          <t>4ef0b19fe97fa070abfaae40ffb41addfe8947e35583480b0b6feebe14b9f7ac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lol-tiered-elo-v5</t>
        </is>
      </c>
      <c r="BH7" s="24" t="inlineStr">
        <is>
          <t>2026-08-02T15:51:09.199778Z</t>
        </is>
      </c>
      <c r="BI7" s="24" t="inlineStr">
        <is>
          <t>["same_event","same_team_same_day","same_league_same_day"]</t>
        </is>
      </c>
      <c r="BJ7" s="25" t="n"/>
      <c r="BK7" s="26" t="n">
        <v>-117</v>
      </c>
      <c r="BL7" s="27" t="n">
        <v>1.854701</v>
      </c>
      <c r="BM7" s="28" t="n">
        <v>0.539171</v>
      </c>
      <c r="BN7" s="28" t="n"/>
      <c r="BO7" s="28" t="n"/>
      <c r="BP7" s="25" t="n"/>
      <c r="BQ7" s="27" t="n">
        <v>1.854701</v>
      </c>
      <c r="BR7" s="28" t="n">
        <v>0.54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</row>
    <row r="8" ht="36" customHeight="1">
      <c r="A8" s="24" t="inlineStr">
        <is>
          <t>55b34ffe3b5d4fe1</t>
        </is>
      </c>
      <c r="B8" s="24" t="inlineStr">
        <is>
          <t>2026-08-03T06:30:34.654651Z</t>
        </is>
      </c>
      <c r="C8" s="24" t="inlineStr">
        <is>
          <t>2026-08-03T10:00:00Z</t>
        </is>
      </c>
      <c r="D8" s="24" t="inlineStr">
        <is>
          <t>67511</t>
        </is>
      </c>
      <c r="E8" s="24" t="inlineStr">
        <is>
          <t>LOL</t>
        </is>
      </c>
      <c r="F8" s="24" t="inlineStr">
        <is>
          <t>Dplus KIA Challengers</t>
        </is>
      </c>
      <c r="G8" s="24" t="inlineStr">
        <is>
          <t>DN SOOPers Challengers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0.703892</v>
      </c>
      <c r="P8" s="28" t="n"/>
      <c r="Q8" s="28" t="n">
        <v>0.07426199999999999</v>
      </c>
      <c r="R8" s="26" t="n">
        <v>57</v>
      </c>
      <c r="S8" s="29" t="n">
        <v>2</v>
      </c>
      <c r="T8" s="24" t="inlineStr">
        <is>
          <t>lol-tiered-elo-v5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0</v>
      </c>
      <c r="X8" s="26" t="n">
        <v>1</v>
      </c>
      <c r="Y8" s="25" t="n"/>
      <c r="Z8" s="26" t="n">
        <v>-170</v>
      </c>
      <c r="AA8" s="28" t="n">
        <v>0.63</v>
      </c>
      <c r="AB8" s="28" t="n">
        <v>0.00037</v>
      </c>
      <c r="AC8" s="30" t="n">
        <v>-2</v>
      </c>
      <c r="AD8" s="24" t="inlineStr">
        <is>
          <t>2026-08-03T13:27:36.882808Z</t>
        </is>
      </c>
      <c r="AE8" s="31" t="inlineStr">
        <is>
          <t>Neutral Elo baseline; executable ask 0.6300 (market_slug=aec-lol-dnsc-dkc-2026-08-03).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Dplus KIA Challengers</t>
        </is>
      </c>
      <c r="AQ8" s="24" t="inlineStr">
        <is>
          <t>Dplus KIA Challengers</t>
        </is>
      </c>
      <c r="AR8" s="24" t="inlineStr">
        <is>
          <t>Dplus KIA Challengers</t>
        </is>
      </c>
      <c r="AS8" s="24" t="inlineStr">
        <is>
          <t>DN SOOPers Challengers</t>
        </is>
      </c>
      <c r="AT8" s="24" t="inlineStr">
        <is>
          <t>DN SOOPers Challengers</t>
        </is>
      </c>
      <c r="AU8" s="24" t="inlineStr">
        <is>
          <t>DN SOOPers Challengers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ff2b770f59073a39e60976cbc1ae4f05ce9c0ac0477f1609e756119cbdd7431b</t>
        </is>
      </c>
      <c r="BB8" s="24" t="inlineStr">
        <is>
          <t>neutral_elo</t>
        </is>
      </c>
      <c r="BC8" s="24" t="inlineStr">
        <is>
          <t>lol-tiered-elo-v5</t>
        </is>
      </c>
      <c r="BD8" s="24" t="inlineStr">
        <is>
          <t>ff2b770f59073a39e60976cbc1ae4f05ce9c0ac0477f1609e756119cbdd7431b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lol-tiered-elo-v5</t>
        </is>
      </c>
      <c r="BH8" s="24" t="inlineStr">
        <is>
          <t>2026-08-03T06:30:13.245481Z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>
        <v>1.588235</v>
      </c>
      <c r="BR8" s="28" t="n">
        <v>0.63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</row>
    <row r="9" ht="36" customHeight="1">
      <c r="A9" s="24" t="inlineStr">
        <is>
          <t>1d9cd56d3c7b4494</t>
        </is>
      </c>
      <c r="B9" s="24" t="inlineStr">
        <is>
          <t>2026-08-03T13:30:58.881408Z</t>
        </is>
      </c>
      <c r="C9" s="24" t="inlineStr">
        <is>
          <t>2026-08-03T15:00:00Z</t>
        </is>
      </c>
      <c r="D9" s="24" t="inlineStr">
        <is>
          <t>67566</t>
        </is>
      </c>
      <c r="E9" s="24" t="inlineStr">
        <is>
          <t>LOL</t>
        </is>
      </c>
      <c r="F9" s="24" t="inlineStr">
        <is>
          <t>Shifters</t>
        </is>
      </c>
      <c r="G9" s="24" t="inlineStr">
        <is>
          <t>Natus Vincere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-223</v>
      </c>
      <c r="M9" s="27" t="n">
        <v>1.44843</v>
      </c>
      <c r="N9" s="28" t="n">
        <v>0.690402</v>
      </c>
      <c r="O9" s="28" t="n">
        <v>0.745478</v>
      </c>
      <c r="P9" s="28" t="n"/>
      <c r="Q9" s="28" t="n">
        <v>0.055076</v>
      </c>
      <c r="R9" s="26" t="n">
        <v>48</v>
      </c>
      <c r="S9" s="29" t="n">
        <v>2</v>
      </c>
      <c r="T9" s="24" t="inlineStr">
        <is>
          <t>lol-tiered-elo-v5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>
        <v>-223</v>
      </c>
      <c r="AA9" s="28" t="n">
        <v>0.6899999999999999</v>
      </c>
      <c r="AB9" s="28" t="n">
        <v>-0.000402</v>
      </c>
      <c r="AC9" s="30" t="n">
        <v>0.8969</v>
      </c>
      <c r="AD9" s="24" t="inlineStr">
        <is>
          <t>2026-08-03T16:48:25.231418Z</t>
        </is>
      </c>
      <c r="AE9" s="31" t="inlineStr">
        <is>
          <t>Neutral Elo baseline; executable ask 0.6900 (market_slug=aec-lol-navi-shft-2026-08-03).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Shifters</t>
        </is>
      </c>
      <c r="AQ9" s="24" t="inlineStr">
        <is>
          <t>Shifters</t>
        </is>
      </c>
      <c r="AR9" s="24" t="inlineStr">
        <is>
          <t>Shifters</t>
        </is>
      </c>
      <c r="AS9" s="24" t="inlineStr">
        <is>
          <t>Natus Vincere</t>
        </is>
      </c>
      <c r="AT9" s="24" t="inlineStr">
        <is>
          <t>Natus Vincere</t>
        </is>
      </c>
      <c r="AU9" s="24" t="inlineStr">
        <is>
          <t>Natus Vincere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8e100718c38982e9b6a67d6c835251aad775fa6c0f7d64cbcae66021f2cd7f9c</t>
        </is>
      </c>
      <c r="BB9" s="24" t="inlineStr">
        <is>
          <t>neutral_elo</t>
        </is>
      </c>
      <c r="BC9" s="24" t="inlineStr">
        <is>
          <t>lol-tiered-elo-v5</t>
        </is>
      </c>
      <c r="BD9" s="24" t="inlineStr">
        <is>
          <t>8e100718c38982e9b6a67d6c835251aad775fa6c0f7d64cbcae66021f2cd7f9c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lol-tiered-elo-v5</t>
        </is>
      </c>
      <c r="BH9" s="24" t="inlineStr">
        <is>
          <t>2026-08-03T13:30:33.645010Z</t>
        </is>
      </c>
      <c r="BI9" s="24" t="inlineStr">
        <is>
          <t>["same_event","same_team_same_day","same_league_same_day"]</t>
        </is>
      </c>
      <c r="BJ9" s="25" t="n"/>
      <c r="BK9" s="26" t="n">
        <v>-223</v>
      </c>
      <c r="BL9" s="27" t="n">
        <v>1.44843</v>
      </c>
      <c r="BM9" s="28" t="n">
        <v>0.690402</v>
      </c>
      <c r="BN9" s="28" t="n"/>
      <c r="BO9" s="28" t="n"/>
      <c r="BP9" s="25" t="n"/>
      <c r="BQ9" s="27" t="n">
        <v>1.44843</v>
      </c>
      <c r="BR9" s="28" t="n">
        <v>0.6899999999999999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919f9bf38a784742</t>
        </is>
      </c>
      <c r="B10" s="24" t="inlineStr">
        <is>
          <t>2026-08-03T17:09:03.086605Z</t>
        </is>
      </c>
      <c r="C10" s="24" t="inlineStr">
        <is>
          <t>2026-08-03T19:00:00Z</t>
        </is>
      </c>
      <c r="D10" s="24" t="inlineStr">
        <is>
          <t>63451</t>
        </is>
      </c>
      <c r="E10" s="24" t="inlineStr">
        <is>
          <t>LOL</t>
        </is>
      </c>
      <c r="F10" s="24" t="inlineStr">
        <is>
          <t>Vivo Keyd Stars Academy</t>
        </is>
      </c>
      <c r="G10" s="24" t="inlineStr">
        <is>
          <t>Team Solid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-223</v>
      </c>
      <c r="M10" s="27" t="n">
        <v>1.44843</v>
      </c>
      <c r="N10" s="28" t="n">
        <v>0.690402</v>
      </c>
      <c r="O10" s="28" t="n">
        <v>0.727674</v>
      </c>
      <c r="P10" s="28" t="n"/>
      <c r="Q10" s="28" t="n">
        <v>0.037272</v>
      </c>
      <c r="R10" s="26" t="n">
        <v>39</v>
      </c>
      <c r="S10" s="29" t="n">
        <v>2</v>
      </c>
      <c r="T10" s="24" t="inlineStr">
        <is>
          <t>lol-tiered-elo-v5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1</v>
      </c>
      <c r="Y10" s="25" t="n"/>
      <c r="Z10" s="26" t="n">
        <v>-223</v>
      </c>
      <c r="AA10" s="28" t="n">
        <v>0.6899999999999999</v>
      </c>
      <c r="AB10" s="28" t="n">
        <v>-0.000402</v>
      </c>
      <c r="AC10" s="30" t="n">
        <v>-2</v>
      </c>
      <c r="AD10" s="24" t="inlineStr">
        <is>
          <t>2026-08-03T19:52:17.207636Z</t>
        </is>
      </c>
      <c r="AE10" s="31" t="inlineStr">
        <is>
          <t>Neutral Elo baseline; executable ask 0.6900 (market_slug=aec-lol-tse-vksa-2026-07-30).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Vivo Keyd Stars Academy</t>
        </is>
      </c>
      <c r="AQ10" s="24" t="inlineStr">
        <is>
          <t>Vivo Keyd Stars Academy</t>
        </is>
      </c>
      <c r="AR10" s="24" t="inlineStr">
        <is>
          <t>Vivo Keyd Stars Academy</t>
        </is>
      </c>
      <c r="AS10" s="24" t="inlineStr">
        <is>
          <t>Team Solid</t>
        </is>
      </c>
      <c r="AT10" s="24" t="inlineStr">
        <is>
          <t>Team Solid</t>
        </is>
      </c>
      <c r="AU10" s="24" t="inlineStr">
        <is>
          <t>Team Solid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efcbb93ea7594fbafcf9325219d1c95ecb0ddde1698943dd2007a07a55350fa4</t>
        </is>
      </c>
      <c r="BB10" s="24" t="inlineStr">
        <is>
          <t>neutral_elo</t>
        </is>
      </c>
      <c r="BC10" s="24" t="inlineStr">
        <is>
          <t>lol-tiered-elo-v5</t>
        </is>
      </c>
      <c r="BD10" s="24" t="inlineStr">
        <is>
          <t>efcbb93ea7594fbafcf9325219d1c95ecb0ddde1698943dd2007a07a55350fa4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lol-tiered-elo-v5</t>
        </is>
      </c>
      <c r="BH10" s="24" t="inlineStr">
        <is>
          <t>2026-08-03T17:08:43.723243Z</t>
        </is>
      </c>
      <c r="BI10" s="24" t="inlineStr">
        <is>
          <t>["same_event","same_team_same_day","same_league_same_day"]</t>
        </is>
      </c>
      <c r="BJ10" s="25" t="n"/>
      <c r="BK10" s="26" t="n">
        <v>-223</v>
      </c>
      <c r="BL10" s="27" t="n">
        <v>1.44843</v>
      </c>
      <c r="BM10" s="28" t="n">
        <v>0.690402</v>
      </c>
      <c r="BN10" s="28" t="n"/>
      <c r="BO10" s="28" t="n"/>
      <c r="BP10" s="25" t="n"/>
      <c r="BQ10" s="27" t="n">
        <v>1.44843</v>
      </c>
      <c r="BR10" s="28" t="n">
        <v>0.6899999999999999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</row>
    <row r="11" ht="36" customHeight="1">
      <c r="A11" s="24" t="inlineStr">
        <is>
          <t>be2db88654a24a40</t>
        </is>
      </c>
      <c r="B11" s="24" t="inlineStr">
        <is>
          <t>2026-08-04T15:04:56.339784Z</t>
        </is>
      </c>
      <c r="C11" s="24" t="inlineStr">
        <is>
          <t>2026-08-04T16:00:00Z</t>
        </is>
      </c>
      <c r="D11" s="24" t="inlineStr">
        <is>
          <t>68509</t>
        </is>
      </c>
      <c r="E11" s="24" t="inlineStr">
        <is>
          <t>LOL</t>
        </is>
      </c>
      <c r="F11" s="24" t="inlineStr">
        <is>
          <t>Skillcamp Esport</t>
        </is>
      </c>
      <c r="G11" s="24" t="inlineStr">
        <is>
          <t>Ici Japon Corp. Esport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-138</v>
      </c>
      <c r="M11" s="27" t="n">
        <v>1.724638</v>
      </c>
      <c r="N11" s="28" t="n">
        <v>0.579832</v>
      </c>
      <c r="O11" s="28" t="n">
        <v>0.631258</v>
      </c>
      <c r="P11" s="28" t="n"/>
      <c r="Q11" s="28" t="n">
        <v>0.051426</v>
      </c>
      <c r="R11" s="26" t="n">
        <v>46</v>
      </c>
      <c r="S11" s="29" t="n">
        <v>1.5</v>
      </c>
      <c r="T11" s="24" t="inlineStr">
        <is>
          <t>lol-tiered-elo-v5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-138</v>
      </c>
      <c r="AA11" s="28" t="n">
        <v>0.58</v>
      </c>
      <c r="AB11" s="28" t="n">
        <v>0.000168</v>
      </c>
      <c r="AC11" s="30" t="n">
        <v>-1.5</v>
      </c>
      <c r="AD11" s="24" t="inlineStr">
        <is>
          <t>2026-08-04T18:04:51.571209Z</t>
        </is>
      </c>
      <c r="AE11" s="31" t="inlineStr">
        <is>
          <t>Neutral Elo baseline; executable ask 0.5800 (market_slug=aec-lol-ijc-sc-2026-08-04).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Skillcamp Esport</t>
        </is>
      </c>
      <c r="AQ11" s="24" t="inlineStr">
        <is>
          <t>Skillcamp Esport</t>
        </is>
      </c>
      <c r="AR11" s="24" t="inlineStr">
        <is>
          <t>Skillcamp Esport</t>
        </is>
      </c>
      <c r="AS11" s="24" t="inlineStr">
        <is>
          <t>Ici Japon Corp. Esport</t>
        </is>
      </c>
      <c r="AT11" s="24" t="inlineStr">
        <is>
          <t>Ici Japon Corp. Esport</t>
        </is>
      </c>
      <c r="AU11" s="24" t="inlineStr">
        <is>
          <t>Ici Japon Corp. Esport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70926375efdbac84dce8c51337c5a10529e7ee005d64ab556a8536dd0bdf8d2f</t>
        </is>
      </c>
      <c r="BB11" s="24" t="inlineStr">
        <is>
          <t>neutral_elo</t>
        </is>
      </c>
      <c r="BC11" s="24" t="inlineStr">
        <is>
          <t>lol-tiered-elo-v5</t>
        </is>
      </c>
      <c r="BD11" s="24" t="inlineStr">
        <is>
          <t>70926375efdbac84dce8c51337c5a10529e7ee005d64ab556a8536dd0bdf8d2f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lol-tiered-elo-v5</t>
        </is>
      </c>
      <c r="BH11" s="24" t="inlineStr">
        <is>
          <t>2026-08-04T15:04:19.459782Z</t>
        </is>
      </c>
      <c r="BI11" s="24" t="inlineStr">
        <is>
          <t>["same_event","same_team_same_day","same_league_same_day"]</t>
        </is>
      </c>
      <c r="BJ11" s="25" t="n"/>
      <c r="BK11" s="26" t="n">
        <v>-138</v>
      </c>
      <c r="BL11" s="27" t="n">
        <v>1.724638</v>
      </c>
      <c r="BM11" s="28" t="n">
        <v>0.579832</v>
      </c>
      <c r="BN11" s="28" t="n"/>
      <c r="BO11" s="28" t="n"/>
      <c r="BP11" s="25" t="n"/>
      <c r="BQ11" s="27" t="n">
        <v>1.724638</v>
      </c>
      <c r="BR11" s="28" t="n">
        <v>0.58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2026-08-13T11:35:42Z</dcterms:created>
  <dcterms:modified xmlns:dcterms="http://purl.org/dc/terms/" xmlns:xsi="http://www.w3.org/2001/XMLSchema-instance" xsi:type="dcterms:W3CDTF">2026-08-13T11:35:42Z</dcterms:modified>
</cp:coreProperties>
</file>