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6" headerRowCount="1">
  <autoFilter ref="A1:CS6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COUNTA('Picks'!$A$2:$A$6)</f>
        <v/>
      </c>
      <c r="C4" s="6">
        <f>COUNTIF('Picks'!$U$2:$U$6,"open")</f>
        <v/>
      </c>
      <c r="E4" s="6">
        <f>COUNTIF('Picks'!$U$2:$U$6,"settled")</f>
        <v/>
      </c>
      <c r="G4" s="6">
        <f>IF(COUNTIFS('Picks'!$U$2:$U$6,"settled",'Picks'!$V$2:$V$6,"win")+COUNTIFS('Picks'!$U$2:$U$6,"settled",'Picks'!$V$2:$V$6,"loss")&gt;=$L$2,"Ready","Insufficient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COUNTIF('Picks'!$BX$2:$BX$6,"&gt;0")</f>
        <v/>
      </c>
      <c r="C7" s="6">
        <f>COUNTIFS('Picks'!$BX$2:$BX$6,"&gt;0",'Picks'!$V$2:$V$6,"win")&amp;"-"&amp;COUNTIFS('Picks'!$BX$2:$BX$6,"&gt;0",'Picks'!$V$2:$V$6,"loss")</f>
        <v/>
      </c>
      <c r="E7" s="7">
        <f>IFERROR(COUNTIFS('Picks'!$BX$2:$BX$6,"&gt;0",'Picks'!$V$2:$V$6,"win")/(COUNTIFS('Picks'!$BX$2:$BX$6,"&gt;0",'Picks'!$V$2:$V$6,"win")+COUNTIFS('Picks'!$BX$2:$BX$6,"&gt;0",'Picks'!$V$2:$V$6,"loss")),0)</f>
        <v/>
      </c>
      <c r="G7" s="7">
        <f>IFERROR(SUM('Picks'!$BY$2:$BY$6)/SUM('Picks'!$BX$2:$BX$6),0)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SUM('Picks'!$BY$2:$BY$6)</f>
        <v/>
      </c>
      <c r="C10" s="9">
        <f>IFERROR(AVERAGEIF('Picks'!$AB$2:$AB$6,"&lt;&gt;",'Picks'!$AB$2:$AB$6),0)</f>
        <v/>
      </c>
      <c r="E10" s="6">
        <f>COUNTIFS('Picks'!$AM$2:$AM$6,"QUALIFIED_SHADOW_CALL",'Picks'!$U$2:$U$6,"settled")</f>
        <v/>
      </c>
      <c r="G10" s="8">
        <f>SUMIFS('Picks'!$AC$2:$AC$6,'Picks'!$AM$2:$AM$6,"QUALIFIED_SHADOW_CALL")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COUNTIFS('Picks'!$H$2:$H$6,$A14,'Picks'!$U$2:$U$6,"settled")</f>
        <v/>
      </c>
      <c r="C14" s="13">
        <f>COUNTIFS('Picks'!$H$2:$H$6,$A14,'Picks'!$U$2:$U$6,"settled",'Picks'!$V$2:$V$6,"win")</f>
        <v/>
      </c>
      <c r="D14" s="13">
        <f>COUNTIFS('Picks'!$H$2:$H$6,$A14,'Picks'!$U$2:$U$6,"settled",'Picks'!$V$2:$V$6,"loss")</f>
        <v/>
      </c>
      <c r="E14" s="14">
        <f>IFERROR(C14/(C14+D14),0)</f>
        <v/>
      </c>
      <c r="F14" s="15">
        <f>SUMIFS('Picks'!$BY$2:$BY$6,'Picks'!$H$2:$H$6,$A14)</f>
        <v/>
      </c>
      <c r="G14" s="16">
        <f>IFERROR(AVERAGEIFS('Picks'!$AB$2:$AB$6,'Picks'!$H$2:$H$6,$A14,'Picks'!$U$2:$U$6,"settled"),0)</f>
        <v/>
      </c>
    </row>
    <row r="15">
      <c r="A15" s="17" t="inlineStr">
        <is>
          <t>spread</t>
        </is>
      </c>
      <c r="B15" s="18">
        <f>COUNTIFS('Picks'!$H$2:$H$6,$A15,'Picks'!$U$2:$U$6,"settled")</f>
        <v/>
      </c>
      <c r="C15" s="18">
        <f>COUNTIFS('Picks'!$H$2:$H$6,$A15,'Picks'!$U$2:$U$6,"settled",'Picks'!$V$2:$V$6,"win")</f>
        <v/>
      </c>
      <c r="D15" s="18">
        <f>COUNTIFS('Picks'!$H$2:$H$6,$A15,'Picks'!$U$2:$U$6,"settled",'Picks'!$V$2:$V$6,"loss")</f>
        <v/>
      </c>
      <c r="E15" s="19">
        <f>IFERROR(C15/(C15+D15),0)</f>
        <v/>
      </c>
      <c r="F15" s="20">
        <f>SUMIFS('Picks'!$BY$2:$BY$6,'Picks'!$H$2:$H$6,$A15)</f>
        <v/>
      </c>
      <c r="G15" s="21">
        <f>IFERROR(AVERAGEIFS('Picks'!$AB$2:$AB$6,'Picks'!$H$2:$H$6,$A15,'Picks'!$U$2:$U$6,"settled"),0)</f>
        <v/>
      </c>
    </row>
    <row r="16">
      <c r="A16" s="12" t="inlineStr">
        <is>
          <t>total</t>
        </is>
      </c>
      <c r="B16" s="13">
        <f>COUNTIFS('Picks'!$H$2:$H$6,$A16,'Picks'!$U$2:$U$6,"settled")</f>
        <v/>
      </c>
      <c r="C16" s="13">
        <f>COUNTIFS('Picks'!$H$2:$H$6,$A16,'Picks'!$U$2:$U$6,"settled",'Picks'!$V$2:$V$6,"win")</f>
        <v/>
      </c>
      <c r="D16" s="13">
        <f>COUNTIFS('Picks'!$H$2:$H$6,$A16,'Picks'!$U$2:$U$6,"settled",'Picks'!$V$2:$V$6,"loss")</f>
        <v/>
      </c>
      <c r="E16" s="14">
        <f>IFERROR(C16/(C16+D16),0)</f>
        <v/>
      </c>
      <c r="F16" s="15">
        <f>SUMIFS('Picks'!$BY$2:$BY$6,'Picks'!$H$2:$H$6,$A16)</f>
        <v/>
      </c>
      <c r="G16" s="16">
        <f>IFERROR(AVERAGEIFS('Picks'!$AB$2:$AB$6,'Picks'!$H$2:$H$6,$A16,'Picks'!$U$2:$U$6,"settled"),0)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4a93f1c3a9db405a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2026-07-31T13:39:00.824188Z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aa60324bb524406d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2026-07-31T19:51:30.853090Z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3ed05efb0fb74970</t>
        </is>
      </c>
      <c r="B4" s="24" t="inlineStr">
        <is>
          <t>2026-08-01T23:55:04.278999Z</t>
        </is>
      </c>
      <c r="C4" s="24" t="inlineStr">
        <is>
          <t>2026-08-02T00:00:00Z</t>
        </is>
      </c>
      <c r="D4" s="24" t="inlineStr">
        <is>
          <t>66659</t>
        </is>
      </c>
      <c r="E4" s="24" t="inlineStr">
        <is>
          <t>VALORANT</t>
        </is>
      </c>
      <c r="F4" s="24" t="inlineStr">
        <is>
          <t>NRG</t>
        </is>
      </c>
      <c r="G4" s="24" t="inlineStr">
        <is>
          <t>Leviatán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0.608104</v>
      </c>
      <c r="P4" s="28" t="n"/>
      <c r="Q4" s="28" t="n">
        <v>0.028272</v>
      </c>
      <c r="R4" s="26" t="n">
        <v>34</v>
      </c>
      <c r="S4" s="29" t="n">
        <v>1.5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>
        <v>-138</v>
      </c>
      <c r="AA4" s="28" t="n">
        <v>0.58</v>
      </c>
      <c r="AB4" s="28" t="n">
        <v>0.000168</v>
      </c>
      <c r="AC4" s="30" t="n">
        <v>-1.5</v>
      </c>
      <c r="AD4" s="24" t="inlineStr">
        <is>
          <t>2026-08-02T04:26:24.624792Z</t>
        </is>
      </c>
      <c r="AE4" s="31" t="inlineStr">
        <is>
          <t>Neutral Elo baseline; executable ask 0.5800 (market_slug=aec-valorant-lev-nrg-2026-08-02).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NRG</t>
        </is>
      </c>
      <c r="AQ4" s="24" t="inlineStr">
        <is>
          <t>NRG</t>
        </is>
      </c>
      <c r="AR4" s="24" t="inlineStr">
        <is>
          <t>NRG</t>
        </is>
      </c>
      <c r="AS4" s="24" t="inlineStr">
        <is>
          <t>Leviatán Esports</t>
        </is>
      </c>
      <c r="AT4" s="24" t="inlineStr">
        <is>
          <t>Leviatán Esports</t>
        </is>
      </c>
      <c r="AU4" s="24" t="inlineStr">
        <is>
          <t>Leviatán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4e9833fa3108f9876de728871233bbb749924096e4b6984ae7ee11ff9d8be0d1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4e9833fa3108f9876de728871233bbb749924096e4b6984ae7ee11ff9d8be0d1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2026-08-01T23:55:01.262855Z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>
        <v>1.724638</v>
      </c>
      <c r="BR4" s="28" t="n">
        <v>0.58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9be1b88469434301</t>
        </is>
      </c>
      <c r="B5" s="24" t="inlineStr">
        <is>
          <t>2026-08-02T07:16:42.752833Z</t>
        </is>
      </c>
      <c r="C5" s="24" t="inlineStr">
        <is>
          <t>2026-08-02T08:00:00Z</t>
        </is>
      </c>
      <c r="D5" s="24" t="inlineStr">
        <is>
          <t>66788</t>
        </is>
      </c>
      <c r="E5" s="24" t="inlineStr">
        <is>
          <t>VALORANT</t>
        </is>
      </c>
      <c r="F5" s="24" t="inlineStr">
        <is>
          <t>Kiwoom DRX</t>
        </is>
      </c>
      <c r="G5" s="24" t="inlineStr">
        <is>
          <t>VARREL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0.676998</v>
      </c>
      <c r="P5" s="28" t="n"/>
      <c r="Q5" s="28" t="n">
        <v>0.076998</v>
      </c>
      <c r="R5" s="26" t="n">
        <v>58</v>
      </c>
      <c r="S5" s="29" t="n">
        <v>1.75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-150</v>
      </c>
      <c r="AA5" s="28" t="n">
        <v>0.6</v>
      </c>
      <c r="AB5" s="28" t="n">
        <v>0</v>
      </c>
      <c r="AC5" s="30" t="n">
        <v>-1.75</v>
      </c>
      <c r="AD5" s="24" t="inlineStr">
        <is>
          <t>2026-08-02T11:45:35.969857Z</t>
        </is>
      </c>
      <c r="AE5" s="31" t="inlineStr">
        <is>
          <t>Neutral Elo baseline; executable ask 0.6000 (market_slug=aec-valorant-var-krx-2026-08-02).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Kiwoom DRX</t>
        </is>
      </c>
      <c r="AQ5" s="24" t="inlineStr">
        <is>
          <t>Kiwoom DRX</t>
        </is>
      </c>
      <c r="AR5" s="24" t="inlineStr">
        <is>
          <t>Kiwoom DRX</t>
        </is>
      </c>
      <c r="AS5" s="24" t="inlineStr">
        <is>
          <t>VARREL</t>
        </is>
      </c>
      <c r="AT5" s="24" t="inlineStr">
        <is>
          <t>VARREL</t>
        </is>
      </c>
      <c r="AU5" s="24" t="inlineStr">
        <is>
          <t>VARREL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f7ffe38e2a3b5170b3b9b10a398835b3cdb1a4df5cfd051a3ffa836bf9de2c76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f7ffe38e2a3b5170b3b9b10a398835b3cdb1a4df5cfd051a3ffa836bf9de2c76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2026-08-02T07:16:34.729300Z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ad8fa896c5344f29</t>
        </is>
      </c>
      <c r="B6" s="24" t="inlineStr">
        <is>
          <t>2026-08-03T13:30:41.417037Z</t>
        </is>
      </c>
      <c r="C6" s="24" t="inlineStr">
        <is>
          <t>2026-08-03T15:00:00Z</t>
        </is>
      </c>
      <c r="D6" s="24" t="inlineStr">
        <is>
          <t>67569</t>
        </is>
      </c>
      <c r="E6" s="24" t="inlineStr">
        <is>
          <t>VALORANT</t>
        </is>
      </c>
      <c r="F6" s="24" t="inlineStr">
        <is>
          <t>FOKUS Sakura</t>
        </is>
      </c>
      <c r="G6" s="24" t="inlineStr">
        <is>
          <t>SK Nebula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-163</v>
      </c>
      <c r="M6" s="27" t="n">
        <v>1.613497</v>
      </c>
      <c r="N6" s="28" t="n">
        <v>0.619772</v>
      </c>
      <c r="O6" s="28" t="n">
        <v>0.765423</v>
      </c>
      <c r="P6" s="28" t="n"/>
      <c r="Q6" s="28" t="n">
        <v>0.145651</v>
      </c>
      <c r="R6" s="26" t="n">
        <v>93</v>
      </c>
      <c r="S6" s="29" t="n">
        <v>2</v>
      </c>
      <c r="T6" s="24" t="inlineStr">
        <is>
          <t>valorant-tiered-elo-v5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-163</v>
      </c>
      <c r="AA6" s="28" t="n">
        <v>0.62</v>
      </c>
      <c r="AB6" s="28" t="n">
        <v>0.000228</v>
      </c>
      <c r="AC6" s="30" t="n">
        <v>-2</v>
      </c>
      <c r="AD6" s="24" t="inlineStr">
        <is>
          <t>2026-08-03T17:06:06.463819Z</t>
        </is>
      </c>
      <c r="AE6" s="31" t="inlineStr">
        <is>
          <t>Neutral Elo baseline; executable ask 0.6200 (market_slug=aec-valorant-skn-fso-2026-08-03).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FOKUS Sakura</t>
        </is>
      </c>
      <c r="AQ6" s="24" t="inlineStr">
        <is>
          <t>FOKUS Sakura</t>
        </is>
      </c>
      <c r="AR6" s="24" t="inlineStr">
        <is>
          <t>FOKUS Sakura</t>
        </is>
      </c>
      <c r="AS6" s="24" t="inlineStr">
        <is>
          <t>SK Nebula</t>
        </is>
      </c>
      <c r="AT6" s="24" t="inlineStr">
        <is>
          <t>SK Nebula</t>
        </is>
      </c>
      <c r="AU6" s="24" t="inlineStr">
        <is>
          <t>SK Nebula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afe2fffd3c666e0d8f9040dcc6dedae587629fd14dee7043c87557d9d9d9e6e5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afe2fffd3c666e0d8f9040dcc6dedae587629fd14dee7043c87557d9d9d9e6e5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2026-08-03T13:30:33.637118Z</t>
        </is>
      </c>
      <c r="BI6" s="24" t="inlineStr">
        <is>
          <t>["same_event","same_team_same_day","same_league_same_day"]</t>
        </is>
      </c>
      <c r="BJ6" s="25" t="n"/>
      <c r="BK6" s="26" t="n">
        <v>-163</v>
      </c>
      <c r="BL6" s="27" t="n">
        <v>1.613497</v>
      </c>
      <c r="BM6" s="28" t="n">
        <v>0.619772</v>
      </c>
      <c r="BN6" s="28" t="n"/>
      <c r="BO6" s="28" t="n"/>
      <c r="BP6" s="25" t="n"/>
      <c r="BQ6" s="27" t="n">
        <v>1.613497</v>
      </c>
      <c r="BR6" s="28" t="n">
        <v>0.62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2026-08-13T11:35:42Z</dcterms:created>
  <dcterms:modified xmlns:dcterms="http://purl.org/dc/terms/" xmlns:xsi="http://www.w3.org/2001/XMLSchema-instance" xsi:type="dcterms:W3CDTF">2026-08-13T11:35:42Z</dcterms:modified>
</cp:coreProperties>
</file>