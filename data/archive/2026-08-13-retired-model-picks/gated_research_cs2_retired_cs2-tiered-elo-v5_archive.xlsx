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18" headerRowCount="1">
  <autoFilter ref="A1:CS18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COUNTA('Picks'!$A$2:$A$18)</f>
        <v/>
      </c>
      <c r="C4" s="6">
        <f>COUNTIF('Picks'!$U$2:$U$18,"open")</f>
        <v/>
      </c>
      <c r="E4" s="6">
        <f>COUNTIF('Picks'!$U$2:$U$18,"settled")</f>
        <v/>
      </c>
      <c r="G4" s="6">
        <f>IF(COUNTIFS('Picks'!$U$2:$U$18,"settled",'Picks'!$V$2:$V$18,"win")+COUNTIFS('Picks'!$U$2:$U$18,"settled",'Picks'!$V$2:$V$18,"loss")&gt;=$L$2,"Ready","Insufficient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COUNTIF('Picks'!$BX$2:$BX$18,"&gt;0")</f>
        <v/>
      </c>
      <c r="C7" s="6">
        <f>COUNTIFS('Picks'!$BX$2:$BX$18,"&gt;0",'Picks'!$V$2:$V$18,"win")&amp;"-"&amp;COUNTIFS('Picks'!$BX$2:$BX$18,"&gt;0",'Picks'!$V$2:$V$18,"loss")</f>
        <v/>
      </c>
      <c r="E7" s="7">
        <f>IFERROR(COUNTIFS('Picks'!$BX$2:$BX$18,"&gt;0",'Picks'!$V$2:$V$18,"win")/(COUNTIFS('Picks'!$BX$2:$BX$18,"&gt;0",'Picks'!$V$2:$V$18,"win")+COUNTIFS('Picks'!$BX$2:$BX$18,"&gt;0",'Picks'!$V$2:$V$18,"loss")),0)</f>
        <v/>
      </c>
      <c r="G7" s="7">
        <f>IFERROR(SUM('Picks'!$BY$2:$BY$18)/SUM('Picks'!$BX$2:$BX$18),0)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SUM('Picks'!$BY$2:$BY$18)</f>
        <v/>
      </c>
      <c r="C10" s="9">
        <f>IFERROR(AVERAGEIF('Picks'!$AB$2:$AB$18,"&lt;&gt;",'Picks'!$AB$2:$AB$18),0)</f>
        <v/>
      </c>
      <c r="E10" s="6">
        <f>COUNTIFS('Picks'!$AM$2:$AM$18,"QUALIFIED_SHADOW_CALL",'Picks'!$U$2:$U$18,"settled")</f>
        <v/>
      </c>
      <c r="G10" s="8">
        <f>SUMIFS('Picks'!$AC$2:$AC$18,'Picks'!$AM$2:$AM$18,"QUALIFIED_SHADOW_CALL")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COUNTIFS('Picks'!$H$2:$H$18,$A14,'Picks'!$U$2:$U$18,"settled")</f>
        <v/>
      </c>
      <c r="C14" s="13">
        <f>COUNTIFS('Picks'!$H$2:$H$18,$A14,'Picks'!$U$2:$U$18,"settled",'Picks'!$V$2:$V$18,"win")</f>
        <v/>
      </c>
      <c r="D14" s="13">
        <f>COUNTIFS('Picks'!$H$2:$H$18,$A14,'Picks'!$U$2:$U$18,"settled",'Picks'!$V$2:$V$18,"loss")</f>
        <v/>
      </c>
      <c r="E14" s="14">
        <f>IFERROR(C14/(C14+D14),0)</f>
        <v/>
      </c>
      <c r="F14" s="15">
        <f>SUMIFS('Picks'!$BY$2:$BY$18,'Picks'!$H$2:$H$18,$A14)</f>
        <v/>
      </c>
      <c r="G14" s="16">
        <f>IFERROR(AVERAGEIFS('Picks'!$AB$2:$AB$18,'Picks'!$H$2:$H$18,$A14,'Picks'!$U$2:$U$18,"settled"),0)</f>
        <v/>
      </c>
    </row>
    <row r="15">
      <c r="A15" s="17" t="inlineStr">
        <is>
          <t>spread</t>
        </is>
      </c>
      <c r="B15" s="18">
        <f>COUNTIFS('Picks'!$H$2:$H$18,$A15,'Picks'!$U$2:$U$18,"settled")</f>
        <v/>
      </c>
      <c r="C15" s="18">
        <f>COUNTIFS('Picks'!$H$2:$H$18,$A15,'Picks'!$U$2:$U$18,"settled",'Picks'!$V$2:$V$18,"win")</f>
        <v/>
      </c>
      <c r="D15" s="18">
        <f>COUNTIFS('Picks'!$H$2:$H$18,$A15,'Picks'!$U$2:$U$18,"settled",'Picks'!$V$2:$V$18,"loss")</f>
        <v/>
      </c>
      <c r="E15" s="19">
        <f>IFERROR(C15/(C15+D15),0)</f>
        <v/>
      </c>
      <c r="F15" s="20">
        <f>SUMIFS('Picks'!$BY$2:$BY$18,'Picks'!$H$2:$H$18,$A15)</f>
        <v/>
      </c>
      <c r="G15" s="21">
        <f>IFERROR(AVERAGEIFS('Picks'!$AB$2:$AB$18,'Picks'!$H$2:$H$18,$A15,'Picks'!$U$2:$U$18,"settled"),0)</f>
        <v/>
      </c>
    </row>
    <row r="16">
      <c r="A16" s="12" t="inlineStr">
        <is>
          <t>total</t>
        </is>
      </c>
      <c r="B16" s="13">
        <f>COUNTIFS('Picks'!$H$2:$H$18,$A16,'Picks'!$U$2:$U$18,"settled")</f>
        <v/>
      </c>
      <c r="C16" s="13">
        <f>COUNTIFS('Picks'!$H$2:$H$18,$A16,'Picks'!$U$2:$U$18,"settled",'Picks'!$V$2:$V$18,"win")</f>
        <v/>
      </c>
      <c r="D16" s="13">
        <f>COUNTIFS('Picks'!$H$2:$H$18,$A16,'Picks'!$U$2:$U$18,"settled",'Picks'!$V$2:$V$18,"loss")</f>
        <v/>
      </c>
      <c r="E16" s="14">
        <f>IFERROR(C16/(C16+D16),0)</f>
        <v/>
      </c>
      <c r="F16" s="15">
        <f>SUMIFS('Picks'!$BY$2:$BY$18,'Picks'!$H$2:$H$18,$A16)</f>
        <v/>
      </c>
      <c r="G16" s="16">
        <f>IFERROR(AVERAGEIFS('Picks'!$AB$2:$AB$18,'Picks'!$H$2:$H$18,$A16,'Picks'!$U$2:$U$18,"settled"),0)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c11cae45031b41a1</t>
        </is>
      </c>
      <c r="B2" s="24" t="inlineStr">
        <is>
          <t>2026-07-31T13:43:54.682985Z</t>
        </is>
      </c>
      <c r="C2" s="24" t="inlineStr">
        <is>
          <t>2026-07-31T14:00:00Z</t>
        </is>
      </c>
      <c r="D2" s="24" t="inlineStr">
        <is>
          <t>66549</t>
        </is>
      </c>
      <c r="E2" s="24" t="inlineStr">
        <is>
          <t>CS2</t>
        </is>
      </c>
      <c r="F2" s="24" t="inlineStr">
        <is>
          <t>megoshort</t>
        </is>
      </c>
      <c r="G2" s="24" t="inlineStr">
        <is>
          <t>Lavked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108</v>
      </c>
      <c r="M2" s="27" t="n">
        <v>2.08</v>
      </c>
      <c r="N2" s="28" t="n">
        <v>0.480769</v>
      </c>
      <c r="O2" s="28" t="n">
        <v>0.751067</v>
      </c>
      <c r="P2" s="28" t="n"/>
      <c r="Q2" s="28" t="n">
        <v>0.270298</v>
      </c>
      <c r="R2" s="26" t="n">
        <v>100</v>
      </c>
      <c r="S2" s="29" t="n">
        <v>2</v>
      </c>
      <c r="T2" s="24" t="inlineStr">
        <is>
          <t>cs2-tiered-elo-v5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104</v>
      </c>
      <c r="AA2" s="28" t="n">
        <v>0.49</v>
      </c>
      <c r="AB2" s="28" t="n">
        <v>0.009231</v>
      </c>
      <c r="AC2" s="30" t="n">
        <v>-2</v>
      </c>
      <c r="AD2" s="24" t="inlineStr">
        <is>
          <t>2026-07-31T19:51:23.716338Z</t>
        </is>
      </c>
      <c r="AE2" s="31" t="inlineStr">
        <is>
          <t>Neutral Elo baseline; executable ask 0.4800 (market_slug=aec-cs2-lav-mego-2026-07-31).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megoshort</t>
        </is>
      </c>
      <c r="AQ2" s="24" t="inlineStr">
        <is>
          <t>megoshort</t>
        </is>
      </c>
      <c r="AR2" s="24" t="inlineStr">
        <is>
          <t>megoshort</t>
        </is>
      </c>
      <c r="AS2" s="24" t="inlineStr">
        <is>
          <t>Lavked</t>
        </is>
      </c>
      <c r="AT2" s="24" t="inlineStr">
        <is>
          <t>Lavked</t>
        </is>
      </c>
      <c r="AU2" s="24" t="inlineStr">
        <is>
          <t>Lavked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eb7df6eea25aaeb60067809b30135a14d1437167e21d40db8c53fd4c730e8028</t>
        </is>
      </c>
      <c r="BB2" s="24" t="inlineStr">
        <is>
          <t>neutral_elo</t>
        </is>
      </c>
      <c r="BC2" s="24" t="inlineStr">
        <is>
          <t>cs2-tiered-elo-v5</t>
        </is>
      </c>
      <c r="BD2" s="24" t="inlineStr">
        <is>
          <t>eb7df6eea25aaeb60067809b30135a14d1437167e21d40db8c53fd4c730e8028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cs2-tiered-elo-v5</t>
        </is>
      </c>
      <c r="BH2" s="24" t="inlineStr">
        <is>
          <t>2026-07-31T13:43:39.001447Z</t>
        </is>
      </c>
      <c r="BI2" s="24" t="inlineStr">
        <is>
          <t>["same_event","same_team_same_day","same_league_same_day"]</t>
        </is>
      </c>
      <c r="BJ2" s="25" t="n"/>
      <c r="BK2" s="26" t="n">
        <v>108</v>
      </c>
      <c r="BL2" s="27" t="n">
        <v>2.08</v>
      </c>
      <c r="BM2" s="28" t="n">
        <v>0.480769</v>
      </c>
      <c r="BN2" s="28" t="n"/>
      <c r="BO2" s="28" t="n"/>
      <c r="BP2" s="25" t="n"/>
      <c r="BQ2" s="27" t="n">
        <v>2.04</v>
      </c>
      <c r="BR2" s="28" t="n">
        <v>0.49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36eb60bb22a24273</t>
        </is>
      </c>
      <c r="B3" s="24" t="inlineStr">
        <is>
          <t>2026-07-31T16:50:14.974472Z</t>
        </is>
      </c>
      <c r="C3" s="24" t="inlineStr">
        <is>
          <t>2026-07-31T17:00:00Z</t>
        </is>
      </c>
      <c r="D3" s="24" t="inlineStr">
        <is>
          <t>65110</t>
        </is>
      </c>
      <c r="E3" s="24" t="inlineStr">
        <is>
          <t>CS2</t>
        </is>
      </c>
      <c r="F3" s="24" t="inlineStr">
        <is>
          <t>ROUNDS</t>
        </is>
      </c>
      <c r="G3" s="24" t="inlineStr">
        <is>
          <t>HAVU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150</v>
      </c>
      <c r="M3" s="27" t="n">
        <v>2.5</v>
      </c>
      <c r="N3" s="28" t="n">
        <v>0.4</v>
      </c>
      <c r="O3" s="28" t="n">
        <v>0.621796</v>
      </c>
      <c r="P3" s="28" t="n"/>
      <c r="Q3" s="28" t="n">
        <v>0.221796</v>
      </c>
      <c r="R3" s="26" t="n">
        <v>100</v>
      </c>
      <c r="S3" s="29" t="n">
        <v>1.5</v>
      </c>
      <c r="T3" s="24" t="inlineStr">
        <is>
          <t>cs2-tiered-elo-v5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-138</v>
      </c>
      <c r="AA3" s="28" t="n">
        <v>0.58</v>
      </c>
      <c r="AB3" s="28" t="n">
        <v>0.18</v>
      </c>
      <c r="AC3" s="30" t="n">
        <v>2.25</v>
      </c>
      <c r="AD3" s="24" t="inlineStr">
        <is>
          <t>2026-07-31T19:51:24.927753Z</t>
        </is>
      </c>
      <c r="AE3" s="31" t="inlineStr">
        <is>
          <t>Neutral Elo baseline; executable ask 0.4000 (market_slug=aec-cs2-havu-rgg-2026-07-31).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ROUNDS</t>
        </is>
      </c>
      <c r="AQ3" s="24" t="inlineStr">
        <is>
          <t>ROUNDS</t>
        </is>
      </c>
      <c r="AR3" s="24" t="inlineStr">
        <is>
          <t>ROUNDS</t>
        </is>
      </c>
      <c r="AS3" s="24" t="inlineStr">
        <is>
          <t>HAVU</t>
        </is>
      </c>
      <c r="AT3" s="24" t="inlineStr">
        <is>
          <t>HAVU</t>
        </is>
      </c>
      <c r="AU3" s="24" t="inlineStr">
        <is>
          <t>HAVU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3981a6f1ff351e4f03c636f79be9ecb402557b48007a6dd60f0cf4134cf24ffc</t>
        </is>
      </c>
      <c r="BB3" s="24" t="inlineStr">
        <is>
          <t>neutral_elo</t>
        </is>
      </c>
      <c r="BC3" s="24" t="inlineStr">
        <is>
          <t>cs2-tiered-elo-v5</t>
        </is>
      </c>
      <c r="BD3" s="24" t="inlineStr">
        <is>
          <t>3981a6f1ff351e4f03c636f79be9ecb402557b48007a6dd60f0cf4134cf24ffc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cs2-tiered-elo-v5</t>
        </is>
      </c>
      <c r="BH3" s="24" t="inlineStr">
        <is>
          <t>2026-07-31T16:49:59.297187Z</t>
        </is>
      </c>
      <c r="BI3" s="24" t="inlineStr">
        <is>
          <t>["same_event","same_team_same_day","same_league_same_day"]</t>
        </is>
      </c>
      <c r="BJ3" s="25" t="n"/>
      <c r="BK3" s="26" t="n">
        <v>150</v>
      </c>
      <c r="BL3" s="27" t="n">
        <v>2.5</v>
      </c>
      <c r="BM3" s="28" t="n">
        <v>0.4</v>
      </c>
      <c r="BN3" s="28" t="n"/>
      <c r="BO3" s="28" t="n"/>
      <c r="BP3" s="25" t="n"/>
      <c r="BQ3" s="27" t="n">
        <v>1.724638</v>
      </c>
      <c r="BR3" s="28" t="n">
        <v>0.58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7944d7567d6d40b8</t>
        </is>
      </c>
      <c r="B4" s="24" t="inlineStr">
        <is>
          <t>2026-07-31T16:50:14.974472Z</t>
        </is>
      </c>
      <c r="C4" s="24" t="inlineStr">
        <is>
          <t>2026-07-31T17:00:00Z</t>
        </is>
      </c>
      <c r="D4" s="24" t="inlineStr">
        <is>
          <t>67438</t>
        </is>
      </c>
      <c r="E4" s="24" t="inlineStr">
        <is>
          <t>CS2</t>
        </is>
      </c>
      <c r="F4" s="24" t="inlineStr">
        <is>
          <t>JUMBO TEAM</t>
        </is>
      </c>
      <c r="G4" s="24" t="inlineStr">
        <is>
          <t>Fraternity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170</v>
      </c>
      <c r="M4" s="27" t="n">
        <v>2.7</v>
      </c>
      <c r="N4" s="28" t="n">
        <v>0.37037</v>
      </c>
      <c r="O4" s="28" t="n">
        <v>0.65581</v>
      </c>
      <c r="P4" s="28" t="n"/>
      <c r="Q4" s="28" t="n">
        <v>0.28544</v>
      </c>
      <c r="R4" s="26" t="n">
        <v>100</v>
      </c>
      <c r="S4" s="29" t="n">
        <v>1.75</v>
      </c>
      <c r="T4" s="24" t="inlineStr">
        <is>
          <t>cs2-tiered-elo-v5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170</v>
      </c>
      <c r="AA4" s="28" t="n">
        <v>0.37</v>
      </c>
      <c r="AB4" s="28" t="n">
        <v>-0.00037</v>
      </c>
      <c r="AC4" s="30" t="n">
        <v>2.975</v>
      </c>
      <c r="AD4" s="24" t="inlineStr">
        <is>
          <t>2026-07-31T19:51:26.098420Z</t>
        </is>
      </c>
      <c r="AE4" s="31" t="inlineStr">
        <is>
          <t>Neutral Elo baseline; executable ask 0.3700 (market_slug=aec-cs2-frt-jumbo-2026-07-31).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JUMBO TEAM</t>
        </is>
      </c>
      <c r="AQ4" s="24" t="inlineStr">
        <is>
          <t>JUMBO TEAM</t>
        </is>
      </c>
      <c r="AR4" s="24" t="inlineStr">
        <is>
          <t>JUMBO TEAM</t>
        </is>
      </c>
      <c r="AS4" s="24" t="inlineStr">
        <is>
          <t>Fraternity</t>
        </is>
      </c>
      <c r="AT4" s="24" t="inlineStr">
        <is>
          <t>Fraternity</t>
        </is>
      </c>
      <c r="AU4" s="24" t="inlineStr">
        <is>
          <t>Fraternity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3981a6f1ff351e4f03c636f79be9ecb402557b48007a6dd60f0cf4134cf24ffc</t>
        </is>
      </c>
      <c r="BB4" s="24" t="inlineStr">
        <is>
          <t>neutral_elo</t>
        </is>
      </c>
      <c r="BC4" s="24" t="inlineStr">
        <is>
          <t>cs2-tiered-elo-v5</t>
        </is>
      </c>
      <c r="BD4" s="24" t="inlineStr">
        <is>
          <t>3981a6f1ff351e4f03c636f79be9ecb402557b48007a6dd60f0cf4134cf24ffc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cs2-tiered-elo-v5</t>
        </is>
      </c>
      <c r="BH4" s="24" t="inlineStr">
        <is>
          <t>2026-07-31T16:49:59.882471Z</t>
        </is>
      </c>
      <c r="BI4" s="24" t="inlineStr">
        <is>
          <t>["same_event","same_team_same_day","same_league_same_day"]</t>
        </is>
      </c>
      <c r="BJ4" s="25" t="n"/>
      <c r="BK4" s="26" t="n">
        <v>170</v>
      </c>
      <c r="BL4" s="27" t="n">
        <v>2.7</v>
      </c>
      <c r="BM4" s="28" t="n">
        <v>0.37037</v>
      </c>
      <c r="BN4" s="28" t="n"/>
      <c r="BO4" s="28" t="n"/>
      <c r="BP4" s="25" t="n"/>
      <c r="BQ4" s="27" t="n">
        <v>2.7</v>
      </c>
      <c r="BR4" s="28" t="n">
        <v>0.37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0d043c6d477241cf</t>
        </is>
      </c>
      <c r="B5" s="24" t="inlineStr">
        <is>
          <t>2026-07-31T16:50:14.974472Z</t>
        </is>
      </c>
      <c r="C5" s="24" t="inlineStr">
        <is>
          <t>2026-07-31T17:00:00Z</t>
        </is>
      </c>
      <c r="D5" s="24" t="inlineStr">
        <is>
          <t>66536</t>
        </is>
      </c>
      <c r="E5" s="24" t="inlineStr">
        <is>
          <t>CS2</t>
        </is>
      </c>
      <c r="F5" s="24" t="inlineStr">
        <is>
          <t>Black Phoenix</t>
        </is>
      </c>
      <c r="G5" s="24" t="inlineStr">
        <is>
          <t>JiJieHao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-203</v>
      </c>
      <c r="M5" s="27" t="n">
        <v>1.492611</v>
      </c>
      <c r="N5" s="28" t="n">
        <v>0.669967</v>
      </c>
      <c r="O5" s="28" t="n">
        <v>0.772177</v>
      </c>
      <c r="P5" s="28" t="n"/>
      <c r="Q5" s="28" t="n">
        <v>0.10221</v>
      </c>
      <c r="R5" s="26" t="n">
        <v>71</v>
      </c>
      <c r="S5" s="29" t="n">
        <v>2</v>
      </c>
      <c r="T5" s="24" t="inlineStr">
        <is>
          <t>cs2-tiered-elo-v5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>
        <v>-203</v>
      </c>
      <c r="AA5" s="28" t="n">
        <v>0.67</v>
      </c>
      <c r="AB5" s="28" t="n">
        <v>3.3e-05</v>
      </c>
      <c r="AC5" s="30" t="n">
        <v>-2</v>
      </c>
      <c r="AD5" s="24" t="inlineStr">
        <is>
          <t>2026-07-31T21:03:40.371960Z</t>
        </is>
      </c>
      <c r="AE5" s="31" t="inlineStr">
        <is>
          <t>Neutral Elo baseline; executable ask 0.6700 (market_slug=aec-cs2-jjh-bpl-2026-07-31).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Black Phoenix</t>
        </is>
      </c>
      <c r="AQ5" s="24" t="inlineStr">
        <is>
          <t>Black Phoenix</t>
        </is>
      </c>
      <c r="AR5" s="24" t="inlineStr">
        <is>
          <t>Black Phoenix</t>
        </is>
      </c>
      <c r="AS5" s="24" t="inlineStr">
        <is>
          <t>JiJieHao</t>
        </is>
      </c>
      <c r="AT5" s="24" t="inlineStr">
        <is>
          <t>JiJieHao</t>
        </is>
      </c>
      <c r="AU5" s="24" t="inlineStr">
        <is>
          <t>JiJieHao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3981a6f1ff351e4f03c636f79be9ecb402557b48007a6dd60f0cf4134cf24ffc</t>
        </is>
      </c>
      <c r="BB5" s="24" t="inlineStr">
        <is>
          <t>neutral_elo</t>
        </is>
      </c>
      <c r="BC5" s="24" t="inlineStr">
        <is>
          <t>cs2-tiered-elo-v5</t>
        </is>
      </c>
      <c r="BD5" s="24" t="inlineStr">
        <is>
          <t>3981a6f1ff351e4f03c636f79be9ecb402557b48007a6dd60f0cf4134cf24ffc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cs2-tiered-elo-v5</t>
        </is>
      </c>
      <c r="BH5" s="24" t="inlineStr">
        <is>
          <t>2026-07-31T16:50:01.394322Z</t>
        </is>
      </c>
      <c r="BI5" s="24" t="inlineStr">
        <is>
          <t>["same_event","same_team_same_day","same_league_same_day"]</t>
        </is>
      </c>
      <c r="BJ5" s="25" t="n"/>
      <c r="BK5" s="26" t="n">
        <v>-203</v>
      </c>
      <c r="BL5" s="27" t="n">
        <v>1.492611</v>
      </c>
      <c r="BM5" s="28" t="n">
        <v>0.669967</v>
      </c>
      <c r="BN5" s="28" t="n"/>
      <c r="BO5" s="28" t="n"/>
      <c r="BP5" s="25" t="n"/>
      <c r="BQ5" s="27" t="n">
        <v>1.492611</v>
      </c>
      <c r="BR5" s="28" t="n">
        <v>0.67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125339241ad9451e</t>
        </is>
      </c>
      <c r="B6" s="24" t="inlineStr">
        <is>
          <t>2026-08-01T06:42:08.952242Z</t>
        </is>
      </c>
      <c r="C6" s="24" t="inlineStr">
        <is>
          <t>2026-08-01T08:00:00Z</t>
        </is>
      </c>
      <c r="D6" s="24" t="inlineStr">
        <is>
          <t>67671</t>
        </is>
      </c>
      <c r="E6" s="24" t="inlineStr">
        <is>
          <t>CS2</t>
        </is>
      </c>
      <c r="F6" s="24" t="inlineStr">
        <is>
          <t>HAVU</t>
        </is>
      </c>
      <c r="G6" s="24" t="inlineStr">
        <is>
          <t>ENCE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-127</v>
      </c>
      <c r="M6" s="27" t="n">
        <v>1.787402</v>
      </c>
      <c r="N6" s="28" t="n">
        <v>0.5594710000000001</v>
      </c>
      <c r="O6" s="28" t="n">
        <v>0.719921</v>
      </c>
      <c r="P6" s="28" t="n"/>
      <c r="Q6" s="28" t="n">
        <v>0.16045</v>
      </c>
      <c r="R6" s="26" t="n">
        <v>100</v>
      </c>
      <c r="S6" s="29" t="n">
        <v>2</v>
      </c>
      <c r="T6" s="24" t="inlineStr">
        <is>
          <t>cs2-tiered-elo-v5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-127</v>
      </c>
      <c r="AA6" s="28" t="n">
        <v>0.5600000000000001</v>
      </c>
      <c r="AB6" s="28" t="n">
        <v>0.000529</v>
      </c>
      <c r="AC6" s="30" t="n">
        <v>1.5748</v>
      </c>
      <c r="AD6" s="24" t="inlineStr">
        <is>
          <t>2026-08-01T10:16:03.419145Z</t>
        </is>
      </c>
      <c r="AE6" s="31" t="inlineStr">
        <is>
          <t>Neutral Elo baseline; executable ask 0.5600 (market_slug=aec-cs2-ence-havu-2026-08-01).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HAVU</t>
        </is>
      </c>
      <c r="AQ6" s="24" t="inlineStr">
        <is>
          <t>HAVU</t>
        </is>
      </c>
      <c r="AR6" s="24" t="inlineStr">
        <is>
          <t>HAVU</t>
        </is>
      </c>
      <c r="AS6" s="24" t="inlineStr">
        <is>
          <t>ENCE</t>
        </is>
      </c>
      <c r="AT6" s="24" t="inlineStr">
        <is>
          <t>ENCE</t>
        </is>
      </c>
      <c r="AU6" s="24" t="inlineStr">
        <is>
          <t>ENCE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99f60c4478ad78f02b9bb97fae5fb480114a267e349d541594964e1dd7daa69c</t>
        </is>
      </c>
      <c r="BB6" s="24" t="inlineStr">
        <is>
          <t>neutral_elo</t>
        </is>
      </c>
      <c r="BC6" s="24" t="inlineStr">
        <is>
          <t>cs2-tiered-elo-v5</t>
        </is>
      </c>
      <c r="BD6" s="24" t="inlineStr">
        <is>
          <t>99f60c4478ad78f02b9bb97fae5fb480114a267e349d541594964e1dd7daa69c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cs2-tiered-elo-v5</t>
        </is>
      </c>
      <c r="BH6" s="24" t="inlineStr">
        <is>
          <t>2026-08-01T06:41:50.350236Z</t>
        </is>
      </c>
      <c r="BI6" s="24" t="inlineStr">
        <is>
          <t>["same_event","same_team_same_day","same_league_same_day"]</t>
        </is>
      </c>
      <c r="BJ6" s="25" t="n"/>
      <c r="BK6" s="26" t="n">
        <v>-127</v>
      </c>
      <c r="BL6" s="27" t="n">
        <v>1.787402</v>
      </c>
      <c r="BM6" s="28" t="n">
        <v>0.5594710000000001</v>
      </c>
      <c r="BN6" s="28" t="n"/>
      <c r="BO6" s="28" t="n"/>
      <c r="BP6" s="25" t="n"/>
      <c r="BQ6" s="27" t="n">
        <v>1.787402</v>
      </c>
      <c r="BR6" s="28" t="n">
        <v>0.5600000000000001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c40a4abbd3564079</t>
        </is>
      </c>
      <c r="B7" s="24" t="inlineStr">
        <is>
          <t>2026-08-01T06:42:08.952242Z</t>
        </is>
      </c>
      <c r="C7" s="24" t="inlineStr">
        <is>
          <t>2026-08-01T08:00:00Z</t>
        </is>
      </c>
      <c r="D7" s="24" t="inlineStr">
        <is>
          <t>67547</t>
        </is>
      </c>
      <c r="E7" s="24" t="inlineStr">
        <is>
          <t>CS2</t>
        </is>
      </c>
      <c r="F7" s="24" t="inlineStr">
        <is>
          <t>Sinners</t>
        </is>
      </c>
      <c r="G7" s="24" t="inlineStr">
        <is>
          <t>INOX Division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144</v>
      </c>
      <c r="M7" s="27" t="n">
        <v>2.44</v>
      </c>
      <c r="N7" s="28" t="n">
        <v>0.409836</v>
      </c>
      <c r="O7" s="28" t="n">
        <v>0.639934</v>
      </c>
      <c r="P7" s="28" t="n"/>
      <c r="Q7" s="28" t="n">
        <v>0.230098</v>
      </c>
      <c r="R7" s="26" t="n">
        <v>100</v>
      </c>
      <c r="S7" s="29" t="n">
        <v>1.5</v>
      </c>
      <c r="T7" s="24" t="inlineStr">
        <is>
          <t>cs2-tiered-elo-v5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>
        <v>144</v>
      </c>
      <c r="AA7" s="28" t="n">
        <v>0.41</v>
      </c>
      <c r="AB7" s="28" t="n">
        <v>0.000164</v>
      </c>
      <c r="AC7" s="30" t="n">
        <v>-1.5</v>
      </c>
      <c r="AD7" s="24" t="inlineStr">
        <is>
          <t>2026-08-01T16:48:19.424540Z</t>
        </is>
      </c>
      <c r="AE7" s="31" t="inlineStr">
        <is>
          <t>Neutral Elo baseline; executable ask 0.4100 (market_slug=aec-cs2-inox-sin-2026-08-01).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Sinners</t>
        </is>
      </c>
      <c r="AQ7" s="24" t="inlineStr">
        <is>
          <t>Sinners</t>
        </is>
      </c>
      <c r="AR7" s="24" t="inlineStr">
        <is>
          <t>Sinners</t>
        </is>
      </c>
      <c r="AS7" s="24" t="inlineStr">
        <is>
          <t>INOX Division</t>
        </is>
      </c>
      <c r="AT7" s="24" t="inlineStr">
        <is>
          <t>INOX Division</t>
        </is>
      </c>
      <c r="AU7" s="24" t="inlineStr">
        <is>
          <t>INOX Division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99f60c4478ad78f02b9bb97fae5fb480114a267e349d541594964e1dd7daa69c</t>
        </is>
      </c>
      <c r="BB7" s="24" t="inlineStr">
        <is>
          <t>neutral_elo</t>
        </is>
      </c>
      <c r="BC7" s="24" t="inlineStr">
        <is>
          <t>cs2-tiered-elo-v5</t>
        </is>
      </c>
      <c r="BD7" s="24" t="inlineStr">
        <is>
          <t>99f60c4478ad78f02b9bb97fae5fb480114a267e349d541594964e1dd7daa69c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cs2-tiered-elo-v5</t>
        </is>
      </c>
      <c r="BH7" s="24" t="inlineStr">
        <is>
          <t>2026-08-01T06:41:50.964355Z</t>
        </is>
      </c>
      <c r="BI7" s="24" t="inlineStr">
        <is>
          <t>["same_event","same_team_same_day","same_league_same_day"]</t>
        </is>
      </c>
      <c r="BJ7" s="25" t="n"/>
      <c r="BK7" s="26" t="n">
        <v>144</v>
      </c>
      <c r="BL7" s="27" t="n">
        <v>2.44</v>
      </c>
      <c r="BM7" s="28" t="n">
        <v>0.409836</v>
      </c>
      <c r="BN7" s="28" t="n"/>
      <c r="BO7" s="28" t="n"/>
      <c r="BP7" s="25" t="n"/>
      <c r="BQ7" s="27" t="n">
        <v>2.44</v>
      </c>
      <c r="BR7" s="28" t="n">
        <v>0.41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58431ae9ca0b4636</t>
        </is>
      </c>
      <c r="B8" s="24" t="inlineStr">
        <is>
          <t>2026-08-01T06:42:08.952242Z</t>
        </is>
      </c>
      <c r="C8" s="24" t="inlineStr">
        <is>
          <t>2026-08-01T08:00:00Z</t>
        </is>
      </c>
      <c r="D8" s="24" t="inlineStr">
        <is>
          <t>66924</t>
        </is>
      </c>
      <c r="E8" s="24" t="inlineStr">
        <is>
          <t>CS2</t>
        </is>
      </c>
      <c r="F8" s="24" t="inlineStr">
        <is>
          <t>JiJieHao</t>
        </is>
      </c>
      <c r="G8" s="24" t="inlineStr">
        <is>
          <t>GenOne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127</v>
      </c>
      <c r="M8" s="27" t="n">
        <v>2.27</v>
      </c>
      <c r="N8" s="28" t="n">
        <v>0.440529</v>
      </c>
      <c r="O8" s="28" t="n">
        <v>0.550293</v>
      </c>
      <c r="P8" s="28" t="n"/>
      <c r="Q8" s="28" t="n">
        <v>0.109764</v>
      </c>
      <c r="R8" s="26" t="n">
        <v>75</v>
      </c>
      <c r="S8" s="29" t="n">
        <v>1</v>
      </c>
      <c r="T8" s="24" t="inlineStr">
        <is>
          <t>cs2-tiered-elo-v5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1</v>
      </c>
      <c r="Y8" s="25" t="n"/>
      <c r="Z8" s="26" t="n">
        <v>127</v>
      </c>
      <c r="AA8" s="28" t="n">
        <v>0.44</v>
      </c>
      <c r="AB8" s="28" t="n">
        <v>-0.000529</v>
      </c>
      <c r="AC8" s="30" t="n">
        <v>1.27</v>
      </c>
      <c r="AD8" s="24" t="inlineStr">
        <is>
          <t>2026-08-01T16:48:20.526220Z</t>
        </is>
      </c>
      <c r="AE8" s="31" t="inlineStr">
        <is>
          <t>Neutral Elo baseline; executable ask 0.4400 (market_slug=aec-cs2-g1-jjh-2026-08-01).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JiJieHao</t>
        </is>
      </c>
      <c r="AQ8" s="24" t="inlineStr">
        <is>
          <t>JiJieHao</t>
        </is>
      </c>
      <c r="AR8" s="24" t="inlineStr">
        <is>
          <t>JiJieHao</t>
        </is>
      </c>
      <c r="AS8" s="24" t="inlineStr">
        <is>
          <t>GenOne</t>
        </is>
      </c>
      <c r="AT8" s="24" t="inlineStr">
        <is>
          <t>GenOne</t>
        </is>
      </c>
      <c r="AU8" s="24" t="inlineStr">
        <is>
          <t>GenOne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99f60c4478ad78f02b9bb97fae5fb480114a267e349d541594964e1dd7daa69c</t>
        </is>
      </c>
      <c r="BB8" s="24" t="inlineStr">
        <is>
          <t>neutral_elo</t>
        </is>
      </c>
      <c r="BC8" s="24" t="inlineStr">
        <is>
          <t>cs2-tiered-elo-v5</t>
        </is>
      </c>
      <c r="BD8" s="24" t="inlineStr">
        <is>
          <t>99f60c4478ad78f02b9bb97fae5fb480114a267e349d541594964e1dd7daa69c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cs2-tiered-elo-v5</t>
        </is>
      </c>
      <c r="BH8" s="24" t="inlineStr">
        <is>
          <t>2026-08-01T06:41:51.950370Z</t>
        </is>
      </c>
      <c r="BI8" s="24" t="inlineStr">
        <is>
          <t>["same_event","same_team_same_day","same_league_same_day"]</t>
        </is>
      </c>
      <c r="BJ8" s="25" t="n"/>
      <c r="BK8" s="26" t="n">
        <v>127</v>
      </c>
      <c r="BL8" s="27" t="n">
        <v>2.27</v>
      </c>
      <c r="BM8" s="28" t="n">
        <v>0.440529</v>
      </c>
      <c r="BN8" s="28" t="n"/>
      <c r="BO8" s="28" t="n"/>
      <c r="BP8" s="25" t="n"/>
      <c r="BQ8" s="27" t="n">
        <v>2.27</v>
      </c>
      <c r="BR8" s="28" t="n">
        <v>0.44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a8661bcab2b34922</t>
        </is>
      </c>
      <c r="B9" s="24" t="inlineStr">
        <is>
          <t>2026-08-01T13:46:43.837828Z</t>
        </is>
      </c>
      <c r="C9" s="24" t="inlineStr">
        <is>
          <t>2026-08-01T14:00:00Z</t>
        </is>
      </c>
      <c r="D9" s="24" t="inlineStr">
        <is>
          <t>67303</t>
        </is>
      </c>
      <c r="E9" s="24" t="inlineStr">
        <is>
          <t>CS2</t>
        </is>
      </c>
      <c r="F9" s="24" t="inlineStr">
        <is>
          <t>Rune Eaters</t>
        </is>
      </c>
      <c r="G9" s="24" t="inlineStr">
        <is>
          <t>SPARTA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-138</v>
      </c>
      <c r="M9" s="27" t="n">
        <v>1.724638</v>
      </c>
      <c r="N9" s="28" t="n">
        <v>0.579832</v>
      </c>
      <c r="O9" s="28" t="n">
        <v>0.613873</v>
      </c>
      <c r="P9" s="28" t="n"/>
      <c r="Q9" s="28" t="n">
        <v>0.034041</v>
      </c>
      <c r="R9" s="26" t="n">
        <v>37</v>
      </c>
      <c r="S9" s="29" t="n">
        <v>1.5</v>
      </c>
      <c r="T9" s="24" t="inlineStr">
        <is>
          <t>cs2-tiered-elo-v5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1</v>
      </c>
      <c r="X9" s="26" t="n">
        <v>0</v>
      </c>
      <c r="Y9" s="25" t="n"/>
      <c r="Z9" s="26" t="n">
        <v>-138</v>
      </c>
      <c r="AA9" s="28" t="n">
        <v>0.58</v>
      </c>
      <c r="AB9" s="28" t="n">
        <v>0.000168</v>
      </c>
      <c r="AC9" s="30" t="n">
        <v>-1.5</v>
      </c>
      <c r="AD9" s="24" t="inlineStr">
        <is>
          <t>2026-08-01T18:35:42.451730Z</t>
        </is>
      </c>
      <c r="AE9" s="31" t="inlineStr">
        <is>
          <t>Neutral Elo baseline; executable ask 0.5800 (market_slug=aec-cs2-sparta-re-2026-08-01).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Rune Eaters</t>
        </is>
      </c>
      <c r="AQ9" s="24" t="inlineStr">
        <is>
          <t>Rune Eaters</t>
        </is>
      </c>
      <c r="AR9" s="24" t="inlineStr">
        <is>
          <t>Rune Eaters</t>
        </is>
      </c>
      <c r="AS9" s="24" t="inlineStr">
        <is>
          <t>SPARTA</t>
        </is>
      </c>
      <c r="AT9" s="24" t="inlineStr">
        <is>
          <t>SPARTA</t>
        </is>
      </c>
      <c r="AU9" s="24" t="inlineStr">
        <is>
          <t>SPARTA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76d65080af75e0c3856de1f3b1c11380883507c146c1117ef81f1d19eb30d4f0</t>
        </is>
      </c>
      <c r="BB9" s="24" t="inlineStr">
        <is>
          <t>neutral_elo</t>
        </is>
      </c>
      <c r="BC9" s="24" t="inlineStr">
        <is>
          <t>cs2-tiered-elo-v5</t>
        </is>
      </c>
      <c r="BD9" s="24" t="inlineStr">
        <is>
          <t>76d65080af75e0c3856de1f3b1c11380883507c146c1117ef81f1d19eb30d4f0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cs2-tiered-elo-v5</t>
        </is>
      </c>
      <c r="BH9" s="24" t="inlineStr">
        <is>
          <t>2026-08-01T13:46:30.443267Z</t>
        </is>
      </c>
      <c r="BI9" s="24" t="inlineStr">
        <is>
          <t>["same_event","same_team_same_day","same_league_same_day"]</t>
        </is>
      </c>
      <c r="BJ9" s="25" t="n"/>
      <c r="BK9" s="26" t="n">
        <v>-138</v>
      </c>
      <c r="BL9" s="27" t="n">
        <v>1.724638</v>
      </c>
      <c r="BM9" s="28" t="n">
        <v>0.579832</v>
      </c>
      <c r="BN9" s="28" t="n"/>
      <c r="BO9" s="28" t="n"/>
      <c r="BP9" s="25" t="n"/>
      <c r="BQ9" s="27" t="n">
        <v>1.724638</v>
      </c>
      <c r="BR9" s="28" t="n">
        <v>0.58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7e5cfa1784484860</t>
        </is>
      </c>
      <c r="B10" s="24" t="inlineStr">
        <is>
          <t>2026-08-01T13:46:43.837828Z</t>
        </is>
      </c>
      <c r="C10" s="24" t="inlineStr">
        <is>
          <t>2026-08-01T15:30:00Z</t>
        </is>
      </c>
      <c r="D10" s="24" t="inlineStr">
        <is>
          <t>67317</t>
        </is>
      </c>
      <c r="E10" s="24" t="inlineStr">
        <is>
          <t>CS2</t>
        </is>
      </c>
      <c r="F10" s="24" t="inlineStr">
        <is>
          <t>aimclub</t>
        </is>
      </c>
      <c r="G10" s="24" t="inlineStr">
        <is>
          <t>Young TigeRES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186</v>
      </c>
      <c r="M10" s="27" t="n">
        <v>2.86</v>
      </c>
      <c r="N10" s="28" t="n">
        <v>0.34965</v>
      </c>
      <c r="O10" s="28" t="n">
        <v>0.603676</v>
      </c>
      <c r="P10" s="28" t="n"/>
      <c r="Q10" s="28" t="n">
        <v>0.254026</v>
      </c>
      <c r="R10" s="26" t="n">
        <v>100</v>
      </c>
      <c r="S10" s="29" t="n">
        <v>1.25</v>
      </c>
      <c r="T10" s="24" t="inlineStr">
        <is>
          <t>cs2-tiered-elo-v5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178</v>
      </c>
      <c r="AA10" s="28" t="n">
        <v>0.36</v>
      </c>
      <c r="AB10" s="28" t="n">
        <v>0.01035</v>
      </c>
      <c r="AC10" s="30" t="n">
        <v>-1.25</v>
      </c>
      <c r="AD10" s="24" t="inlineStr">
        <is>
          <t>2026-08-01T18:35:43.575176Z</t>
        </is>
      </c>
      <c r="AE10" s="31" t="inlineStr">
        <is>
          <t>Neutral Elo baseline; executable ask 0.3500 (market_slug=aec-cs2-ytigeres-aimc-2026-08-01).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aimclub</t>
        </is>
      </c>
      <c r="AQ10" s="24" t="inlineStr">
        <is>
          <t>aimclub</t>
        </is>
      </c>
      <c r="AR10" s="24" t="inlineStr">
        <is>
          <t>aimclub</t>
        </is>
      </c>
      <c r="AS10" s="24" t="inlineStr">
        <is>
          <t>Young TigeRES</t>
        </is>
      </c>
      <c r="AT10" s="24" t="inlineStr">
        <is>
          <t>Young TigeRES</t>
        </is>
      </c>
      <c r="AU10" s="24" t="inlineStr">
        <is>
          <t>Young TigeRES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76d65080af75e0c3856de1f3b1c11380883507c146c1117ef81f1d19eb30d4f0</t>
        </is>
      </c>
      <c r="BB10" s="24" t="inlineStr">
        <is>
          <t>neutral_elo</t>
        </is>
      </c>
      <c r="BC10" s="24" t="inlineStr">
        <is>
          <t>cs2-tiered-elo-v5</t>
        </is>
      </c>
      <c r="BD10" s="24" t="inlineStr">
        <is>
          <t>76d65080af75e0c3856de1f3b1c11380883507c146c1117ef81f1d19eb30d4f0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cs2-tiered-elo-v5</t>
        </is>
      </c>
      <c r="BH10" s="24" t="inlineStr">
        <is>
          <t>2026-08-01T13:46:30.967278Z</t>
        </is>
      </c>
      <c r="BI10" s="24" t="inlineStr">
        <is>
          <t>["same_event","same_team_same_day","same_league_same_day"]</t>
        </is>
      </c>
      <c r="BJ10" s="25" t="n"/>
      <c r="BK10" s="26" t="n">
        <v>186</v>
      </c>
      <c r="BL10" s="27" t="n">
        <v>2.86</v>
      </c>
      <c r="BM10" s="28" t="n">
        <v>0.34965</v>
      </c>
      <c r="BN10" s="28" t="n"/>
      <c r="BO10" s="28" t="n"/>
      <c r="BP10" s="25" t="n"/>
      <c r="BQ10" s="27" t="n">
        <v>2.78</v>
      </c>
      <c r="BR10" s="28" t="n">
        <v>0.36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</row>
    <row r="11" ht="36" customHeight="1">
      <c r="A11" s="24" t="inlineStr">
        <is>
          <t>d1b7bcbcd2784259</t>
        </is>
      </c>
      <c r="B11" s="24" t="inlineStr">
        <is>
          <t>2026-08-01T23:54:53.636521Z</t>
        </is>
      </c>
      <c r="C11" s="24" t="inlineStr">
        <is>
          <t>2026-08-02T00:30:00Z</t>
        </is>
      </c>
      <c r="D11" s="24" t="inlineStr">
        <is>
          <t>68172</t>
        </is>
      </c>
      <c r="E11" s="24" t="inlineStr">
        <is>
          <t>CS2</t>
        </is>
      </c>
      <c r="F11" s="24" t="inlineStr">
        <is>
          <t>Marsborne</t>
        </is>
      </c>
      <c r="G11" s="24" t="inlineStr">
        <is>
          <t>SportsBetExpert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-127</v>
      </c>
      <c r="M11" s="27" t="n">
        <v>1.787402</v>
      </c>
      <c r="N11" s="28" t="n">
        <v>0.5594710000000001</v>
      </c>
      <c r="O11" s="28" t="n">
        <v>0.600127</v>
      </c>
      <c r="P11" s="28" t="n"/>
      <c r="Q11" s="28" t="n">
        <v>0.040656</v>
      </c>
      <c r="R11" s="26" t="n">
        <v>40</v>
      </c>
      <c r="S11" s="29" t="n">
        <v>1.25</v>
      </c>
      <c r="T11" s="24" t="inlineStr">
        <is>
          <t>cs2-tiered-elo-v5</t>
        </is>
      </c>
      <c r="U11" s="24" t="inlineStr">
        <is>
          <t>settled</t>
        </is>
      </c>
      <c r="V11" s="24" t="inlineStr">
        <is>
          <t>loss</t>
        </is>
      </c>
      <c r="W11" s="26" t="n">
        <v>0</v>
      </c>
      <c r="X11" s="26" t="n">
        <v>1</v>
      </c>
      <c r="Y11" s="25" t="n"/>
      <c r="Z11" s="26" t="n">
        <v>-127</v>
      </c>
      <c r="AA11" s="28" t="n">
        <v>0.5600000000000001</v>
      </c>
      <c r="AB11" s="28" t="n">
        <v>0.000529</v>
      </c>
      <c r="AC11" s="30" t="n">
        <v>-1.25</v>
      </c>
      <c r="AD11" s="24" t="inlineStr">
        <is>
          <t>2026-08-02T03:26:24.451346Z</t>
        </is>
      </c>
      <c r="AE11" s="31" t="inlineStr">
        <is>
          <t>Neutral Elo baseline; executable ask 0.5600 (market_slug=aec-cs2-spo-mars-2026-08-02).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Marsborne</t>
        </is>
      </c>
      <c r="AQ11" s="24" t="inlineStr">
        <is>
          <t>Marsborne</t>
        </is>
      </c>
      <c r="AR11" s="24" t="inlineStr">
        <is>
          <t>Marsborne</t>
        </is>
      </c>
      <c r="AS11" s="24" t="inlineStr">
        <is>
          <t>SportsBetExpert</t>
        </is>
      </c>
      <c r="AT11" s="24" t="inlineStr">
        <is>
          <t>SportsBetExpert</t>
        </is>
      </c>
      <c r="AU11" s="24" t="inlineStr">
        <is>
          <t>SportsBetExpert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124bb01c66650940a67a9125e9f0677482f15aec343dc7b3e847d2027a63cccc</t>
        </is>
      </c>
      <c r="BB11" s="24" t="inlineStr">
        <is>
          <t>neutral_elo</t>
        </is>
      </c>
      <c r="BC11" s="24" t="inlineStr">
        <is>
          <t>cs2-tiered-elo-v5</t>
        </is>
      </c>
      <c r="BD11" s="24" t="inlineStr">
        <is>
          <t>124bb01c66650940a67a9125e9f0677482f15aec343dc7b3e847d2027a63cccc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cs2-tiered-elo-v5</t>
        </is>
      </c>
      <c r="BH11" s="24" t="inlineStr">
        <is>
          <t>2026-08-01T23:54:40.651895Z</t>
        </is>
      </c>
      <c r="BI11" s="24" t="inlineStr">
        <is>
          <t>["same_event","same_team_same_day","same_league_same_day"]</t>
        </is>
      </c>
      <c r="BJ11" s="25" t="n"/>
      <c r="BK11" s="26" t="n">
        <v>-127</v>
      </c>
      <c r="BL11" s="27" t="n">
        <v>1.787402</v>
      </c>
      <c r="BM11" s="28" t="n">
        <v>0.5594710000000001</v>
      </c>
      <c r="BN11" s="28" t="n"/>
      <c r="BO11" s="28" t="n"/>
      <c r="BP11" s="25" t="n"/>
      <c r="BQ11" s="27" t="n">
        <v>1.787402</v>
      </c>
      <c r="BR11" s="28" t="n">
        <v>0.5600000000000001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</row>
    <row r="12" ht="36" customHeight="1">
      <c r="A12" s="24" t="inlineStr">
        <is>
          <t>871fce3506474811</t>
        </is>
      </c>
      <c r="B12" s="24" t="inlineStr">
        <is>
          <t>2026-08-02T10:00:04.561525Z</t>
        </is>
      </c>
      <c r="C12" s="24" t="inlineStr">
        <is>
          <t>2026-08-02T10:30:00Z</t>
        </is>
      </c>
      <c r="D12" s="24" t="inlineStr">
        <is>
          <t>66836</t>
        </is>
      </c>
      <c r="E12" s="24" t="inlineStr">
        <is>
          <t>CS2</t>
        </is>
      </c>
      <c r="F12" s="24" t="inlineStr">
        <is>
          <t>Sangal ALTERS</t>
        </is>
      </c>
      <c r="G12" s="24" t="inlineStr">
        <is>
          <t>Teletubisie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-104</v>
      </c>
      <c r="M12" s="27" t="n">
        <v>1.961538</v>
      </c>
      <c r="N12" s="28" t="n">
        <v>0.509804</v>
      </c>
      <c r="O12" s="28" t="n">
        <v>0.690561</v>
      </c>
      <c r="P12" s="28" t="n"/>
      <c r="Q12" s="28" t="n">
        <v>0.180757</v>
      </c>
      <c r="R12" s="26" t="n">
        <v>100</v>
      </c>
      <c r="S12" s="29" t="n">
        <v>2</v>
      </c>
      <c r="T12" s="24" t="inlineStr">
        <is>
          <t>cs2-tiered-elo-v5</t>
        </is>
      </c>
      <c r="U12" s="24" t="inlineStr">
        <is>
          <t>settled</t>
        </is>
      </c>
      <c r="V12" s="24" t="inlineStr">
        <is>
          <t>push</t>
        </is>
      </c>
      <c r="W12" s="26" t="n"/>
      <c r="X12" s="26" t="n"/>
      <c r="Y12" s="25" t="n"/>
      <c r="Z12" s="26" t="n"/>
      <c r="AA12" s="28" t="n"/>
      <c r="AB12" s="28" t="n"/>
      <c r="AC12" s="30" t="n">
        <v>0</v>
      </c>
      <c r="AD12" s="24" t="inlineStr">
        <is>
          <t>2026-08-02T15:53:33.702018Z</t>
        </is>
      </c>
      <c r="AE12" s="31" t="inlineStr">
        <is>
          <t>Neutral Elo baseline; executable ask 0.5100 (market_slug=aec-cs2-ttbs-sng-2026-08-02).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Sangal ALTERS</t>
        </is>
      </c>
      <c r="AQ12" s="24" t="inlineStr">
        <is>
          <t>Sangal ALTERS</t>
        </is>
      </c>
      <c r="AR12" s="24" t="inlineStr">
        <is>
          <t>Sangal ALTERS</t>
        </is>
      </c>
      <c r="AS12" s="24" t="inlineStr">
        <is>
          <t>Teletubisie</t>
        </is>
      </c>
      <c r="AT12" s="24" t="inlineStr">
        <is>
          <t>Teletubisie</t>
        </is>
      </c>
      <c r="AU12" s="24" t="inlineStr">
        <is>
          <t>Teletubisie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06138ffc8334cb69044b84c6e2b37aa9a4e0b6bd4f08ef7c62950d9e210f4364</t>
        </is>
      </c>
      <c r="BB12" s="24" t="inlineStr">
        <is>
          <t>neutral_elo</t>
        </is>
      </c>
      <c r="BC12" s="24" t="inlineStr">
        <is>
          <t>cs2-tiered-elo-v5</t>
        </is>
      </c>
      <c r="BD12" s="24" t="inlineStr">
        <is>
          <t>06138ffc8334cb69044b84c6e2b37aa9a4e0b6bd4f08ef7c62950d9e210f4364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cs2-tiered-elo-v5</t>
        </is>
      </c>
      <c r="BH12" s="24" t="inlineStr">
        <is>
          <t>2026-08-02T09:59:44.064703Z</t>
        </is>
      </c>
      <c r="BI12" s="24" t="inlineStr">
        <is>
          <t>["same_event","same_team_same_day","same_league_same_day"]</t>
        </is>
      </c>
      <c r="BJ12" s="25" t="n"/>
      <c r="BK12" s="26" t="n">
        <v>-104</v>
      </c>
      <c r="BL12" s="27" t="n">
        <v>1.961538</v>
      </c>
      <c r="BM12" s="28" t="n">
        <v>0.509804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inlineStr">
        <is>
          <t>esports market settled to a non-binary price (forfeit/postponement per market rules)</t>
        </is>
      </c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</row>
    <row r="13" ht="36" customHeight="1">
      <c r="A13" s="24" t="inlineStr">
        <is>
          <t>1890098872ae4443</t>
        </is>
      </c>
      <c r="B13" s="24" t="inlineStr">
        <is>
          <t>2026-08-02T12:30:33.225632Z</t>
        </is>
      </c>
      <c r="C13" s="24" t="inlineStr">
        <is>
          <t>2026-08-02T13:00:00Z</t>
        </is>
      </c>
      <c r="D13" s="24" t="inlineStr">
        <is>
          <t>68257</t>
        </is>
      </c>
      <c r="E13" s="24" t="inlineStr">
        <is>
          <t>CS2</t>
        </is>
      </c>
      <c r="F13" s="24" t="inlineStr">
        <is>
          <t>Fortress</t>
        </is>
      </c>
      <c r="G13" s="24" t="inlineStr">
        <is>
          <t>DragonClaw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-113</v>
      </c>
      <c r="M13" s="27" t="n">
        <v>1.884956</v>
      </c>
      <c r="N13" s="28" t="n">
        <v>0.530516</v>
      </c>
      <c r="O13" s="28" t="n">
        <v>0.67594</v>
      </c>
      <c r="P13" s="28" t="n"/>
      <c r="Q13" s="28" t="n">
        <v>0.145424</v>
      </c>
      <c r="R13" s="26" t="n">
        <v>93</v>
      </c>
      <c r="S13" s="29" t="n">
        <v>1.75</v>
      </c>
      <c r="T13" s="24" t="inlineStr">
        <is>
          <t>cs2-tiered-elo-v5</t>
        </is>
      </c>
      <c r="U13" s="24" t="inlineStr">
        <is>
          <t>settled</t>
        </is>
      </c>
      <c r="V13" s="24" t="inlineStr">
        <is>
          <t>push</t>
        </is>
      </c>
      <c r="W13" s="26" t="n"/>
      <c r="X13" s="26" t="n"/>
      <c r="Y13" s="25" t="n"/>
      <c r="Z13" s="26" t="n"/>
      <c r="AA13" s="28" t="n"/>
      <c r="AB13" s="28" t="n"/>
      <c r="AC13" s="30" t="n">
        <v>0</v>
      </c>
      <c r="AD13" s="24" t="inlineStr">
        <is>
          <t>2026-08-03T02:34:48.118824Z</t>
        </is>
      </c>
      <c r="AE13" s="31" t="inlineStr">
        <is>
          <t>Neutral Elo baseline; executable ask 0.5300 (market_slug=aec-cs2-dc-for-2026-08-02).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Fortress</t>
        </is>
      </c>
      <c r="AQ13" s="24" t="inlineStr">
        <is>
          <t>Fortress</t>
        </is>
      </c>
      <c r="AR13" s="24" t="inlineStr">
        <is>
          <t>Fortress</t>
        </is>
      </c>
      <c r="AS13" s="24" t="inlineStr">
        <is>
          <t>DragonClaw</t>
        </is>
      </c>
      <c r="AT13" s="24" t="inlineStr">
        <is>
          <t>DragonClaw</t>
        </is>
      </c>
      <c r="AU13" s="24" t="inlineStr">
        <is>
          <t>DragonClaw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bd7b44b2e86615e932309b2497f806ee2b5567367d785a2c9653f7a6fe2215fb</t>
        </is>
      </c>
      <c r="BB13" s="24" t="inlineStr">
        <is>
          <t>neutral_elo</t>
        </is>
      </c>
      <c r="BC13" s="24" t="inlineStr">
        <is>
          <t>cs2-tiered-elo-v5</t>
        </is>
      </c>
      <c r="BD13" s="24" t="inlineStr">
        <is>
          <t>bd7b44b2e86615e932309b2497f806ee2b5567367d785a2c9653f7a6fe2215fb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cs2-tiered-elo-v5</t>
        </is>
      </c>
      <c r="BH13" s="24" t="inlineStr">
        <is>
          <t>2026-08-02T12:30:14.025736Z</t>
        </is>
      </c>
      <c r="BI13" s="24" t="inlineStr">
        <is>
          <t>["same_event","same_team_same_day","same_league_same_day"]</t>
        </is>
      </c>
      <c r="BJ13" s="25" t="n"/>
      <c r="BK13" s="26" t="n">
        <v>-113</v>
      </c>
      <c r="BL13" s="27" t="n">
        <v>1.884956</v>
      </c>
      <c r="BM13" s="28" t="n">
        <v>0.530516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inlineStr">
        <is>
          <t>esports market settled to a non-binary price (forfeit/postponement per market rules)</t>
        </is>
      </c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</row>
    <row r="14" ht="36" customHeight="1">
      <c r="A14" s="24" t="inlineStr">
        <is>
          <t>d46b1c6c074d4d79</t>
        </is>
      </c>
      <c r="B14" s="24" t="inlineStr">
        <is>
          <t>2026-08-02T16:53:33.678893Z</t>
        </is>
      </c>
      <c r="C14" s="24" t="inlineStr">
        <is>
          <t>2026-08-02T17:00:00Z</t>
        </is>
      </c>
      <c r="D14" s="24" t="inlineStr">
        <is>
          <t>69263</t>
        </is>
      </c>
      <c r="E14" s="24" t="inlineStr">
        <is>
          <t>CS2</t>
        </is>
      </c>
      <c r="F14" s="24" t="inlineStr">
        <is>
          <t>ENJOY</t>
        </is>
      </c>
      <c r="G14" s="24" t="inlineStr">
        <is>
          <t>Mai Tai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-194</v>
      </c>
      <c r="M14" s="27" t="n">
        <v>1.515464</v>
      </c>
      <c r="N14" s="28" t="n">
        <v>0.659864</v>
      </c>
      <c r="O14" s="28" t="n">
        <v>0.68024</v>
      </c>
      <c r="P14" s="28" t="n"/>
      <c r="Q14" s="28" t="n">
        <v>0.020376</v>
      </c>
      <c r="R14" s="26" t="n">
        <v>30</v>
      </c>
      <c r="S14" s="29" t="n">
        <v>1.75</v>
      </c>
      <c r="T14" s="24" t="inlineStr">
        <is>
          <t>cs2-tiered-elo-v5</t>
        </is>
      </c>
      <c r="U14" s="24" t="inlineStr">
        <is>
          <t>settled</t>
        </is>
      </c>
      <c r="V14" s="24" t="inlineStr">
        <is>
          <t>push</t>
        </is>
      </c>
      <c r="W14" s="26" t="n"/>
      <c r="X14" s="26" t="n"/>
      <c r="Y14" s="25" t="n"/>
      <c r="Z14" s="26" t="n"/>
      <c r="AA14" s="28" t="n"/>
      <c r="AB14" s="28" t="n"/>
      <c r="AC14" s="30" t="n">
        <v>0</v>
      </c>
      <c r="AD14" s="24" t="inlineStr">
        <is>
          <t>2026-08-03T02:34:49.249923Z</t>
        </is>
      </c>
      <c r="AE14" s="31" t="inlineStr">
        <is>
          <t>Neutral Elo baseline; executable ask 0.6600 (market_slug=aec-cs2-mta-enjoy-2026-08-02).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ENJOY</t>
        </is>
      </c>
      <c r="AQ14" s="24" t="inlineStr">
        <is>
          <t>ENJOY</t>
        </is>
      </c>
      <c r="AR14" s="24" t="inlineStr">
        <is>
          <t>ENJOY</t>
        </is>
      </c>
      <c r="AS14" s="24" t="inlineStr">
        <is>
          <t>Mai Tai</t>
        </is>
      </c>
      <c r="AT14" s="24" t="inlineStr">
        <is>
          <t>Mai Tai</t>
        </is>
      </c>
      <c r="AU14" s="24" t="inlineStr">
        <is>
          <t>Mai Tai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4c897e659ec9db491c18706ace7c94ba8af6df222c16d377d3bd7391aba18f91</t>
        </is>
      </c>
      <c r="BB14" s="24" t="inlineStr">
        <is>
          <t>neutral_elo</t>
        </is>
      </c>
      <c r="BC14" s="24" t="inlineStr">
        <is>
          <t>cs2-tiered-elo-v5</t>
        </is>
      </c>
      <c r="BD14" s="24" t="inlineStr">
        <is>
          <t>4c897e659ec9db491c18706ace7c94ba8af6df222c16d377d3bd7391aba18f91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cs2-tiered-elo-v5</t>
        </is>
      </c>
      <c r="BH14" s="24" t="inlineStr">
        <is>
          <t>2026-08-02T16:53:19.829844Z</t>
        </is>
      </c>
      <c r="BI14" s="24" t="inlineStr">
        <is>
          <t>["same_event","same_team_same_day","same_league_same_day"]</t>
        </is>
      </c>
      <c r="BJ14" s="25" t="n"/>
      <c r="BK14" s="26" t="n">
        <v>-194</v>
      </c>
      <c r="BL14" s="27" t="n">
        <v>1.515464</v>
      </c>
      <c r="BM14" s="28" t="n">
        <v>0.659864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inlineStr">
        <is>
          <t>esports market settled to a non-binary price (forfeit/postponement per market rules)</t>
        </is>
      </c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</row>
    <row r="15" ht="36" customHeight="1">
      <c r="A15" s="24" t="inlineStr">
        <is>
          <t>3e5ca2341bea45d1</t>
        </is>
      </c>
      <c r="B15" s="24" t="inlineStr">
        <is>
          <t>2026-08-03T10:14:59.378487Z</t>
        </is>
      </c>
      <c r="C15" s="24" t="inlineStr">
        <is>
          <t>2026-08-03T10:30:00Z</t>
        </is>
      </c>
      <c r="D15" s="24" t="inlineStr">
        <is>
          <t>67514</t>
        </is>
      </c>
      <c r="E15" s="24" t="inlineStr">
        <is>
          <t>CS2</t>
        </is>
      </c>
      <c r="F15" s="24" t="inlineStr">
        <is>
          <t>Passion Academy</t>
        </is>
      </c>
      <c r="G15" s="24" t="inlineStr">
        <is>
          <t>EAC Rising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-156</v>
      </c>
      <c r="M15" s="27" t="n">
        <v>1.641026</v>
      </c>
      <c r="N15" s="28" t="n">
        <v>0.609375</v>
      </c>
      <c r="O15" s="28" t="n">
        <v>0.639821</v>
      </c>
      <c r="P15" s="28" t="n"/>
      <c r="Q15" s="28" t="n">
        <v>0.030446</v>
      </c>
      <c r="R15" s="26" t="n">
        <v>35</v>
      </c>
      <c r="S15" s="29" t="n">
        <v>1.5</v>
      </c>
      <c r="T15" s="24" t="inlineStr">
        <is>
          <t>cs2-tiered-elo-v5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>
        <v>-156</v>
      </c>
      <c r="AA15" s="28" t="n">
        <v>0.61</v>
      </c>
      <c r="AB15" s="28" t="n">
        <v>0.000625</v>
      </c>
      <c r="AC15" s="30" t="n">
        <v>0.9615</v>
      </c>
      <c r="AD15" s="24" t="inlineStr">
        <is>
          <t>2026-08-03T13:27:35.671440Z</t>
        </is>
      </c>
      <c r="AE15" s="31" t="inlineStr">
        <is>
          <t>Neutral Elo baseline; executable ask 0.6100 (market_slug=aec-cs2-era-psna-2026-08-03).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Passion Academy</t>
        </is>
      </c>
      <c r="AQ15" s="24" t="inlineStr">
        <is>
          <t>Passion Academy</t>
        </is>
      </c>
      <c r="AR15" s="24" t="inlineStr">
        <is>
          <t>Passion Academy</t>
        </is>
      </c>
      <c r="AS15" s="24" t="inlineStr">
        <is>
          <t>EAC Rising</t>
        </is>
      </c>
      <c r="AT15" s="24" t="inlineStr">
        <is>
          <t>EAC Rising</t>
        </is>
      </c>
      <c r="AU15" s="24" t="inlineStr">
        <is>
          <t>EAC Rising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a67b482e0cc299818c9d6a6183162092d6b3cbeea4f974054606da1c44c3bd99</t>
        </is>
      </c>
      <c r="BB15" s="24" t="inlineStr">
        <is>
          <t>neutral_elo</t>
        </is>
      </c>
      <c r="BC15" s="24" t="inlineStr">
        <is>
          <t>cs2-tiered-elo-v5</t>
        </is>
      </c>
      <c r="BD15" s="24" t="inlineStr">
        <is>
          <t>a67b482e0cc299818c9d6a6183162092d6b3cbeea4f974054606da1c44c3bd99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cs2-tiered-elo-v5</t>
        </is>
      </c>
      <c r="BH15" s="24" t="inlineStr">
        <is>
          <t>2026-08-03T10:14:38.370048Z</t>
        </is>
      </c>
      <c r="BI15" s="24" t="inlineStr">
        <is>
          <t>["same_event","same_team_same_day","same_league_same_day"]</t>
        </is>
      </c>
      <c r="BJ15" s="25" t="n"/>
      <c r="BK15" s="26" t="n">
        <v>-156</v>
      </c>
      <c r="BL15" s="27" t="n">
        <v>1.641026</v>
      </c>
      <c r="BM15" s="28" t="n">
        <v>0.609375</v>
      </c>
      <c r="BN15" s="28" t="n"/>
      <c r="BO15" s="28" t="n"/>
      <c r="BP15" s="25" t="n"/>
      <c r="BQ15" s="27" t="n">
        <v>1.641026</v>
      </c>
      <c r="BR15" s="28" t="n">
        <v>0.61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</row>
    <row r="16" ht="36" customHeight="1">
      <c r="A16" s="24" t="inlineStr">
        <is>
          <t>02ebc095ca494cd9</t>
        </is>
      </c>
      <c r="B16" s="24" t="inlineStr">
        <is>
          <t>2026-08-03T19:54:57.645683Z</t>
        </is>
      </c>
      <c r="C16" s="24" t="inlineStr">
        <is>
          <t>2026-08-03T21:00:00Z</t>
        </is>
      </c>
      <c r="D16" s="24" t="inlineStr">
        <is>
          <t>70532</t>
        </is>
      </c>
      <c r="E16" s="24" t="inlineStr">
        <is>
          <t>CS2</t>
        </is>
      </c>
      <c r="F16" s="24" t="inlineStr">
        <is>
          <t>RED Canids Academy</t>
        </is>
      </c>
      <c r="G16" s="24" t="inlineStr">
        <is>
          <t>ODDIK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-150</v>
      </c>
      <c r="M16" s="27" t="n">
        <v>1.666667</v>
      </c>
      <c r="N16" s="28" t="n">
        <v>0.6</v>
      </c>
      <c r="O16" s="28" t="n">
        <v>0.6304380000000001</v>
      </c>
      <c r="P16" s="28" t="n"/>
      <c r="Q16" s="28" t="n">
        <v>0.030438</v>
      </c>
      <c r="R16" s="26" t="n">
        <v>35</v>
      </c>
      <c r="S16" s="29" t="n">
        <v>1.5</v>
      </c>
      <c r="T16" s="24" t="inlineStr">
        <is>
          <t>cs2-tiered-elo-v5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>
        <v>-150</v>
      </c>
      <c r="AA16" s="28" t="n">
        <v>0.6</v>
      </c>
      <c r="AB16" s="28" t="n">
        <v>0</v>
      </c>
      <c r="AC16" s="30" t="n">
        <v>1</v>
      </c>
      <c r="AD16" s="24" t="inlineStr">
        <is>
          <t>2026-08-05T01:06:35.233639Z</t>
        </is>
      </c>
      <c r="AE16" s="31" t="inlineStr">
        <is>
          <t>Neutral Elo baseline; executable ask 0.6000 (market_slug=aec-cs2-odk-reda-2026-08-03).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RED Canids Academy</t>
        </is>
      </c>
      <c r="AQ16" s="24" t="inlineStr">
        <is>
          <t>RED Canids Academy</t>
        </is>
      </c>
      <c r="AR16" s="24" t="inlineStr">
        <is>
          <t>RED Canids Academy</t>
        </is>
      </c>
      <c r="AS16" s="24" t="inlineStr">
        <is>
          <t>ODDIK</t>
        </is>
      </c>
      <c r="AT16" s="24" t="inlineStr">
        <is>
          <t>ODDIK</t>
        </is>
      </c>
      <c r="AU16" s="24" t="inlineStr">
        <is>
          <t>ODDIK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49e72bc47e8b746259057b18a0727b3402ae02f53069edfae5b6532757438c2c</t>
        </is>
      </c>
      <c r="BB16" s="24" t="inlineStr">
        <is>
          <t>neutral_elo</t>
        </is>
      </c>
      <c r="BC16" s="24" t="inlineStr">
        <is>
          <t>cs2-tiered-elo-v5</t>
        </is>
      </c>
      <c r="BD16" s="24" t="inlineStr">
        <is>
          <t>49e72bc47e8b746259057b18a0727b3402ae02f53069edfae5b6532757438c2c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cs2-tiered-elo-v5</t>
        </is>
      </c>
      <c r="BH16" s="24" t="inlineStr">
        <is>
          <t>2026-08-03T19:54:46.268393Z</t>
        </is>
      </c>
      <c r="BI16" s="24" t="inlineStr">
        <is>
          <t>["same_event","same_team_same_day","same_league_same_day"]</t>
        </is>
      </c>
      <c r="BJ16" s="25" t="n"/>
      <c r="BK16" s="26" t="n">
        <v>-150</v>
      </c>
      <c r="BL16" s="27" t="n">
        <v>1.666667</v>
      </c>
      <c r="BM16" s="28" t="n">
        <v>0.6</v>
      </c>
      <c r="BN16" s="28" t="n"/>
      <c r="BO16" s="28" t="n"/>
      <c r="BP16" s="25" t="n"/>
      <c r="BQ16" s="27" t="n">
        <v>1.666667</v>
      </c>
      <c r="BR16" s="28" t="n">
        <v>0.6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</row>
    <row r="17" ht="36" customHeight="1">
      <c r="A17" s="24" t="inlineStr">
        <is>
          <t>e17b52861cea4d2b</t>
        </is>
      </c>
      <c r="B17" s="24" t="inlineStr">
        <is>
          <t>2026-08-04T08:56:55.041466Z</t>
        </is>
      </c>
      <c r="C17" s="24" t="inlineStr">
        <is>
          <t>2026-08-04T11:00:00Z</t>
        </is>
      </c>
      <c r="D17" s="24" t="inlineStr">
        <is>
          <t>68302</t>
        </is>
      </c>
      <c r="E17" s="24" t="inlineStr">
        <is>
          <t>CS2</t>
        </is>
      </c>
      <c r="F17" s="24" t="inlineStr">
        <is>
          <t>Phantom</t>
        </is>
      </c>
      <c r="G17" s="24" t="inlineStr">
        <is>
          <t>Sashi Esport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104</v>
      </c>
      <c r="M17" s="27" t="n">
        <v>2.04</v>
      </c>
      <c r="N17" s="28" t="n">
        <v>0.490196</v>
      </c>
      <c r="O17" s="28" t="n">
        <v>0.551011</v>
      </c>
      <c r="P17" s="28" t="n"/>
      <c r="Q17" s="28" t="n">
        <v>0.060815</v>
      </c>
      <c r="R17" s="26" t="n">
        <v>50</v>
      </c>
      <c r="S17" s="29" t="n">
        <v>1</v>
      </c>
      <c r="T17" s="24" t="inlineStr">
        <is>
          <t>cs2-tiered-elo-v5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>
        <v>104</v>
      </c>
      <c r="AA17" s="28" t="n">
        <v>0.49</v>
      </c>
      <c r="AB17" s="28" t="n">
        <v>-0.000196</v>
      </c>
      <c r="AC17" s="30" t="n">
        <v>1.04</v>
      </c>
      <c r="AD17" s="24" t="inlineStr">
        <is>
          <t>2026-08-04T14:03:59.228709Z</t>
        </is>
      </c>
      <c r="AE17" s="31" t="inlineStr">
        <is>
          <t>Neutral Elo baseline; executable ask 0.4900 (market_slug=aec-cs2-sashi-pha-2026-08-04).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Phantom</t>
        </is>
      </c>
      <c r="AQ17" s="24" t="inlineStr">
        <is>
          <t>Phantom</t>
        </is>
      </c>
      <c r="AR17" s="24" t="inlineStr">
        <is>
          <t>Phantom</t>
        </is>
      </c>
      <c r="AS17" s="24" t="inlineStr">
        <is>
          <t>Sashi Esport</t>
        </is>
      </c>
      <c r="AT17" s="24" t="inlineStr">
        <is>
          <t>Sashi Esport</t>
        </is>
      </c>
      <c r="AU17" s="24" t="inlineStr">
        <is>
          <t>Sashi Esport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2e5d465a17379306940528ff103c7508aad908ecb9a4879bb8031bb88a86443c</t>
        </is>
      </c>
      <c r="BB17" s="24" t="inlineStr">
        <is>
          <t>neutral_elo</t>
        </is>
      </c>
      <c r="BC17" s="24" t="inlineStr">
        <is>
          <t>cs2-tiered-elo-v5</t>
        </is>
      </c>
      <c r="BD17" s="24" t="inlineStr">
        <is>
          <t>2e5d465a17379306940528ff103c7508aad908ecb9a4879bb8031bb88a86443c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cs2-tiered-elo-v5</t>
        </is>
      </c>
      <c r="BH17" s="24" t="inlineStr">
        <is>
          <t>2026-08-04T08:56:24.737438Z</t>
        </is>
      </c>
      <c r="BI17" s="24" t="inlineStr">
        <is>
          <t>["same_event","same_team_same_day","same_league_same_day"]</t>
        </is>
      </c>
      <c r="BJ17" s="25" t="n"/>
      <c r="BK17" s="26" t="n">
        <v>104</v>
      </c>
      <c r="BL17" s="27" t="n">
        <v>2.04</v>
      </c>
      <c r="BM17" s="28" t="n">
        <v>0.490196</v>
      </c>
      <c r="BN17" s="28" t="n"/>
      <c r="BO17" s="28" t="n"/>
      <c r="BP17" s="25" t="n"/>
      <c r="BQ17" s="27" t="n">
        <v>2.04</v>
      </c>
      <c r="BR17" s="28" t="n">
        <v>0.49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</row>
    <row r="18" ht="36" customHeight="1">
      <c r="A18" s="24" t="inlineStr">
        <is>
          <t>c8aec1582044472d</t>
        </is>
      </c>
      <c r="B18" s="24" t="inlineStr">
        <is>
          <t>2026-08-04T08:56:55.041466Z</t>
        </is>
      </c>
      <c r="C18" s="24" t="inlineStr">
        <is>
          <t>2026-08-04T11:00:00Z</t>
        </is>
      </c>
      <c r="D18" s="24" t="inlineStr">
        <is>
          <t>71501</t>
        </is>
      </c>
      <c r="E18" s="24" t="inlineStr">
        <is>
          <t>CS2</t>
        </is>
      </c>
      <c r="F18" s="24" t="inlineStr">
        <is>
          <t>Betclic Apogee Esports</t>
        </is>
      </c>
      <c r="G18" s="24" t="inlineStr">
        <is>
          <t>Acend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-138</v>
      </c>
      <c r="M18" s="27" t="n">
        <v>1.724638</v>
      </c>
      <c r="N18" s="28" t="n">
        <v>0.579832</v>
      </c>
      <c r="O18" s="28" t="n">
        <v>0.691594</v>
      </c>
      <c r="P18" s="28" t="n"/>
      <c r="Q18" s="28" t="n">
        <v>0.111762</v>
      </c>
      <c r="R18" s="26" t="n">
        <v>76</v>
      </c>
      <c r="S18" s="29" t="n">
        <v>2</v>
      </c>
      <c r="T18" s="24" t="inlineStr">
        <is>
          <t>cs2-tiered-elo-v5</t>
        </is>
      </c>
      <c r="U18" s="24" t="inlineStr">
        <is>
          <t>settled</t>
        </is>
      </c>
      <c r="V18" s="24" t="inlineStr">
        <is>
          <t>loss</t>
        </is>
      </c>
      <c r="W18" s="26" t="n">
        <v>1</v>
      </c>
      <c r="X18" s="26" t="n">
        <v>0</v>
      </c>
      <c r="Y18" s="25" t="n"/>
      <c r="Z18" s="26" t="n">
        <v>-138</v>
      </c>
      <c r="AA18" s="28" t="n">
        <v>0.58</v>
      </c>
      <c r="AB18" s="28" t="n">
        <v>0.000168</v>
      </c>
      <c r="AC18" s="30" t="n">
        <v>-2</v>
      </c>
      <c r="AD18" s="24" t="inlineStr">
        <is>
          <t>2026-08-04T14:04:00.544032Z</t>
        </is>
      </c>
      <c r="AE18" s="31" t="inlineStr">
        <is>
          <t>Neutral Elo baseline; executable ask 0.5800 (market_slug=aec-cs2-ace-bca-2026-08-04).</t>
        </is>
      </c>
      <c r="AF18" s="31" t="inlineStr">
        <is>
          <t>Config-promoted esports baseline; gates enforced at log time.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Betclic Apogee Esports</t>
        </is>
      </c>
      <c r="AQ18" s="24" t="inlineStr">
        <is>
          <t>Betclic Apogee Esports</t>
        </is>
      </c>
      <c r="AR18" s="24" t="inlineStr">
        <is>
          <t>Betclic Apogee Esports</t>
        </is>
      </c>
      <c r="AS18" s="24" t="inlineStr">
        <is>
          <t>Acend</t>
        </is>
      </c>
      <c r="AT18" s="24" t="inlineStr">
        <is>
          <t>Acend</t>
        </is>
      </c>
      <c r="AU18" s="24" t="inlineStr">
        <is>
          <t>Acend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2e5d465a17379306940528ff103c7508aad908ecb9a4879bb8031bb88a86443c</t>
        </is>
      </c>
      <c r="BB18" s="24" t="inlineStr">
        <is>
          <t>neutral_elo</t>
        </is>
      </c>
      <c r="BC18" s="24" t="inlineStr">
        <is>
          <t>cs2-tiered-elo-v5</t>
        </is>
      </c>
      <c r="BD18" s="24" t="inlineStr">
        <is>
          <t>2e5d465a17379306940528ff103c7508aad908ecb9a4879bb8031bb88a86443c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cs2-tiered-elo-v5</t>
        </is>
      </c>
      <c r="BH18" s="24" t="inlineStr">
        <is>
          <t>2026-08-04T08:56:25.971824Z</t>
        </is>
      </c>
      <c r="BI18" s="24" t="inlineStr">
        <is>
          <t>["same_event","same_team_same_day","same_league_same_day"]</t>
        </is>
      </c>
      <c r="BJ18" s="25" t="n"/>
      <c r="BK18" s="26" t="n">
        <v>-138</v>
      </c>
      <c r="BL18" s="27" t="n">
        <v>1.724638</v>
      </c>
      <c r="BM18" s="28" t="n">
        <v>0.579832</v>
      </c>
      <c r="BN18" s="28" t="n"/>
      <c r="BO18" s="28" t="n"/>
      <c r="BP18" s="25" t="n"/>
      <c r="BQ18" s="27" t="n">
        <v>1.724638</v>
      </c>
      <c r="BR18" s="28" t="n">
        <v>0.58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2026-08-13T11:35:41Z</dcterms:created>
  <dcterms:modified xmlns:dcterms="http://purl.org/dc/terms/" xmlns:xsi="http://www.w3.org/2001/XMLSchema-instance" xsi:type="dcterms:W3CDTF">2026-08-13T11:35:41Z</dcterms:modified>
</cp:coreProperties>
</file>