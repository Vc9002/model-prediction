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70" headerRowCount="1">
  <autoFilter ref="A1:CS70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COUNTA('Picks'!$A$2:$A$70)</f>
        <v/>
      </c>
      <c r="C4" s="6">
        <f>COUNTIF('Picks'!$U$2:$U$70,"open")</f>
        <v/>
      </c>
      <c r="E4" s="6">
        <f>COUNTIF('Picks'!$U$2:$U$70,"settled")</f>
        <v/>
      </c>
      <c r="G4" s="6">
        <f>IF(COUNTIFS('Picks'!$U$2:$U$70,"settled",'Picks'!$V$2:$V$70,"win")+COUNTIFS('Picks'!$U$2:$U$70,"settled",'Picks'!$V$2:$V$70,"loss")&gt;=$L$2,"Ready","Insufficient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COUNTIF('Picks'!$BX$2:$BX$70,"&gt;0")</f>
        <v/>
      </c>
      <c r="C7" s="6">
        <f>COUNTIFS('Picks'!$BX$2:$BX$70,"&gt;0",'Picks'!$V$2:$V$70,"win")&amp;"-"&amp;COUNTIFS('Picks'!$BX$2:$BX$70,"&gt;0",'Picks'!$V$2:$V$70,"loss")</f>
        <v/>
      </c>
      <c r="E7" s="7">
        <f>IFERROR(COUNTIFS('Picks'!$BX$2:$BX$70,"&gt;0",'Picks'!$V$2:$V$70,"win")/(COUNTIFS('Picks'!$BX$2:$BX$70,"&gt;0",'Picks'!$V$2:$V$70,"win")+COUNTIFS('Picks'!$BX$2:$BX$70,"&gt;0",'Picks'!$V$2:$V$70,"loss")),0)</f>
        <v/>
      </c>
      <c r="G7" s="7">
        <f>IFERROR(SUM('Picks'!$BY$2:$BY$70)/SUM('Picks'!$BX$2:$BX$70),0)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SUM('Picks'!$BY$2:$BY$70)</f>
        <v/>
      </c>
      <c r="C10" s="9">
        <f>IFERROR(AVERAGEIF('Picks'!$AB$2:$AB$70,"&lt;&gt;",'Picks'!$AB$2:$AB$70),0)</f>
        <v/>
      </c>
      <c r="E10" s="6">
        <f>COUNTIFS('Picks'!$AM$2:$AM$70,"QUALIFIED_SHADOW_CALL",'Picks'!$U$2:$U$70,"settled")</f>
        <v/>
      </c>
      <c r="G10" s="8">
        <f>SUMIFS('Picks'!$AC$2:$AC$70,'Picks'!$AM$2:$AM$70,"QUALIFIED_SHADOW_CALL")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COUNTIFS('Picks'!$H$2:$H$70,$A14,'Picks'!$U$2:$U$70,"settled")</f>
        <v/>
      </c>
      <c r="C14" s="13">
        <f>COUNTIFS('Picks'!$H$2:$H$70,$A14,'Picks'!$U$2:$U$70,"settled",'Picks'!$V$2:$V$70,"win")</f>
        <v/>
      </c>
      <c r="D14" s="13">
        <f>COUNTIFS('Picks'!$H$2:$H$70,$A14,'Picks'!$U$2:$U$70,"settled",'Picks'!$V$2:$V$70,"loss")</f>
        <v/>
      </c>
      <c r="E14" s="14">
        <f>IFERROR(C14/(C14+D14),0)</f>
        <v/>
      </c>
      <c r="F14" s="15">
        <f>SUMIFS('Picks'!$BY$2:$BY$70,'Picks'!$H$2:$H$70,$A14)</f>
        <v/>
      </c>
      <c r="G14" s="16">
        <f>IFERROR(AVERAGEIFS('Picks'!$AB$2:$AB$70,'Picks'!$H$2:$H$70,$A14,'Picks'!$U$2:$U$70,"settled"),0)</f>
        <v/>
      </c>
    </row>
    <row r="15">
      <c r="A15" s="17" t="inlineStr">
        <is>
          <t>spread</t>
        </is>
      </c>
      <c r="B15" s="18">
        <f>COUNTIFS('Picks'!$H$2:$H$70,$A15,'Picks'!$U$2:$U$70,"settled")</f>
        <v/>
      </c>
      <c r="C15" s="18">
        <f>COUNTIFS('Picks'!$H$2:$H$70,$A15,'Picks'!$U$2:$U$70,"settled",'Picks'!$V$2:$V$70,"win")</f>
        <v/>
      </c>
      <c r="D15" s="18">
        <f>COUNTIFS('Picks'!$H$2:$H$70,$A15,'Picks'!$U$2:$U$70,"settled",'Picks'!$V$2:$V$70,"loss")</f>
        <v/>
      </c>
      <c r="E15" s="19">
        <f>IFERROR(C15/(C15+D15),0)</f>
        <v/>
      </c>
      <c r="F15" s="20">
        <f>SUMIFS('Picks'!$BY$2:$BY$70,'Picks'!$H$2:$H$70,$A15)</f>
        <v/>
      </c>
      <c r="G15" s="21">
        <f>IFERROR(AVERAGEIFS('Picks'!$AB$2:$AB$70,'Picks'!$H$2:$H$70,$A15,'Picks'!$U$2:$U$70,"settled"),0)</f>
        <v/>
      </c>
    </row>
    <row r="16">
      <c r="A16" s="12" t="inlineStr">
        <is>
          <t>total</t>
        </is>
      </c>
      <c r="B16" s="13">
        <f>COUNTIFS('Picks'!$H$2:$H$70,$A16,'Picks'!$U$2:$U$70,"settled")</f>
        <v/>
      </c>
      <c r="C16" s="13">
        <f>COUNTIFS('Picks'!$H$2:$H$70,$A16,'Picks'!$U$2:$U$70,"settled",'Picks'!$V$2:$V$70,"win")</f>
        <v/>
      </c>
      <c r="D16" s="13">
        <f>COUNTIFS('Picks'!$H$2:$H$70,$A16,'Picks'!$U$2:$U$70,"settled",'Picks'!$V$2:$V$70,"loss")</f>
        <v/>
      </c>
      <c r="E16" s="14">
        <f>IFERROR(C16/(C16+D16),0)</f>
        <v/>
      </c>
      <c r="F16" s="15">
        <f>SUMIFS('Picks'!$BY$2:$BY$70,'Picks'!$H$2:$H$70,$A16)</f>
        <v/>
      </c>
      <c r="G16" s="16">
        <f>IFERROR(AVERAGEIFS('Picks'!$AB$2:$AB$70,'Picks'!$H$2:$H$70,$A16,'Picks'!$U$2:$U$70,"settled"),0)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d351727aac9c49ca</t>
        </is>
      </c>
      <c r="B2" s="24" t="inlineStr">
        <is>
          <t>2026-07-31T13:43:54.682985Z</t>
        </is>
      </c>
      <c r="C2" s="24" t="inlineStr">
        <is>
          <t>2026-07-31T14:00:00Z</t>
        </is>
      </c>
      <c r="D2" s="24" t="inlineStr">
        <is>
          <t>66993</t>
        </is>
      </c>
      <c r="E2" s="24" t="inlineStr">
        <is>
          <t>CS2</t>
        </is>
      </c>
      <c r="F2" s="24" t="inlineStr">
        <is>
          <t>Vexar</t>
        </is>
      </c>
      <c r="G2" s="24" t="inlineStr">
        <is>
          <t>ex-RUSTEC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-213</v>
      </c>
      <c r="M2" s="27" t="n">
        <v>1.469484</v>
      </c>
      <c r="N2" s="28" t="n">
        <v>0.680511</v>
      </c>
      <c r="O2" s="28" t="n">
        <v>0.563136</v>
      </c>
      <c r="P2" s="28" t="n"/>
      <c r="Q2" s="28" t="n">
        <v>-0.117375</v>
      </c>
      <c r="R2" s="26" t="n">
        <v>0</v>
      </c>
      <c r="S2" s="29" t="n">
        <v>1</v>
      </c>
      <c r="T2" s="24" t="inlineStr">
        <is>
          <t>cs2-tiered-elo-v5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>
        <v>-213</v>
      </c>
      <c r="AA2" s="28" t="n">
        <v>0.68</v>
      </c>
      <c r="AB2" s="28" t="n">
        <v>-0.000511</v>
      </c>
      <c r="AC2" s="30" t="n">
        <v>0.4695</v>
      </c>
      <c r="AD2" s="24" t="inlineStr">
        <is>
          <t>2026-07-31T16:44:41.855496Z</t>
        </is>
      </c>
      <c r="AE2" s="31" t="inlineStr">
        <is>
          <t>Neutral Elo baseline; executable ask 0.6800 (market_slug=aec-cs2-erx-vexar-2026-07-31).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Vexar</t>
        </is>
      </c>
      <c r="AQ2" s="24" t="inlineStr">
        <is>
          <t>Vexar</t>
        </is>
      </c>
      <c r="AR2" s="24" t="inlineStr">
        <is>
          <t>Vexar</t>
        </is>
      </c>
      <c r="AS2" s="24" t="inlineStr">
        <is>
          <t>ex-RUSTEC</t>
        </is>
      </c>
      <c r="AT2" s="24" t="inlineStr">
        <is>
          <t>ex-RUSTEC</t>
        </is>
      </c>
      <c r="AU2" s="24" t="inlineStr">
        <is>
          <t>ex-RUSTEC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eb7df6eea25aaeb60067809b30135a14d1437167e21d40db8c53fd4c730e8028</t>
        </is>
      </c>
      <c r="BB2" s="24" t="inlineStr">
        <is>
          <t>neutral_elo</t>
        </is>
      </c>
      <c r="BC2" s="24" t="inlineStr">
        <is>
          <t>cs2-tiered-elo-v5</t>
        </is>
      </c>
      <c r="BD2" s="24" t="inlineStr">
        <is>
          <t>eb7df6eea25aaeb60067809b30135a14d1437167e21d40db8c53fd4c730e8028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cs2-tiered-elo-v5</t>
        </is>
      </c>
      <c r="BH2" s="24" t="inlineStr">
        <is>
          <t>2026-07-31T13:43:38.022540Z</t>
        </is>
      </c>
      <c r="BI2" s="24" t="inlineStr">
        <is>
          <t>["same_event","same_team_same_day","same_league_same_day"]</t>
        </is>
      </c>
      <c r="BJ2" s="25" t="n"/>
      <c r="BK2" s="26" t="n">
        <v>-213</v>
      </c>
      <c r="BL2" s="27" t="n">
        <v>1.469484</v>
      </c>
      <c r="BM2" s="28" t="n">
        <v>0.680511</v>
      </c>
      <c r="BN2" s="28" t="n"/>
      <c r="BO2" s="28" t="n"/>
      <c r="BP2" s="25" t="n"/>
      <c r="BQ2" s="27" t="n">
        <v>1.469484</v>
      </c>
      <c r="BR2" s="28" t="n">
        <v>0.68</v>
      </c>
      <c r="BS2" s="28" t="n"/>
      <c r="BT2" s="28" t="n"/>
      <c r="BU2" s="25" t="n"/>
      <c r="BV2" s="29" t="n"/>
      <c r="BW2" s="24" t="n"/>
      <c r="BX2" s="30" t="n">
        <v>1</v>
      </c>
      <c r="BY2" s="27" t="n">
        <v>0.91</v>
      </c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93fc13f04c214be5</t>
        </is>
      </c>
      <c r="B3" s="24" t="inlineStr">
        <is>
          <t>2026-07-31T13:43:54.682985Z</t>
        </is>
      </c>
      <c r="C3" s="24" t="inlineStr">
        <is>
          <t>2026-07-31T14:00:00Z</t>
        </is>
      </c>
      <c r="D3" s="24" t="inlineStr">
        <is>
          <t>66549</t>
        </is>
      </c>
      <c r="E3" s="24" t="inlineStr">
        <is>
          <t>CS2</t>
        </is>
      </c>
      <c r="F3" s="24" t="inlineStr">
        <is>
          <t>megoshort</t>
        </is>
      </c>
      <c r="G3" s="24" t="inlineStr">
        <is>
          <t>Lavked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108</v>
      </c>
      <c r="M3" s="27" t="n">
        <v>2.08</v>
      </c>
      <c r="N3" s="28" t="n">
        <v>0.480769</v>
      </c>
      <c r="O3" s="28" t="n">
        <v>0.751067</v>
      </c>
      <c r="P3" s="28" t="n"/>
      <c r="Q3" s="28" t="n">
        <v>0.270298</v>
      </c>
      <c r="R3" s="26" t="n">
        <v>100</v>
      </c>
      <c r="S3" s="29" t="n">
        <v>2</v>
      </c>
      <c r="T3" s="24" t="inlineStr">
        <is>
          <t>cs2-tiered-elo-v5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>
        <v>104</v>
      </c>
      <c r="AA3" s="28" t="n">
        <v>0.49</v>
      </c>
      <c r="AB3" s="28" t="n">
        <v>0.009231</v>
      </c>
      <c r="AC3" s="30" t="n">
        <v>-2</v>
      </c>
      <c r="AD3" s="24" t="inlineStr">
        <is>
          <t>2026-07-31T19:50:59.449730Z</t>
        </is>
      </c>
      <c r="AE3" s="31" t="inlineStr">
        <is>
          <t>Neutral Elo baseline; executable ask 0.4800 (market_slug=aec-cs2-lav-mego-2026-07-31).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megoshort</t>
        </is>
      </c>
      <c r="AQ3" s="24" t="inlineStr">
        <is>
          <t>megoshort</t>
        </is>
      </c>
      <c r="AR3" s="24" t="inlineStr">
        <is>
          <t>megoshort</t>
        </is>
      </c>
      <c r="AS3" s="24" t="inlineStr">
        <is>
          <t>Lavked</t>
        </is>
      </c>
      <c r="AT3" s="24" t="inlineStr">
        <is>
          <t>Lavked</t>
        </is>
      </c>
      <c r="AU3" s="24" t="inlineStr">
        <is>
          <t>Lavked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eb7df6eea25aaeb60067809b30135a14d1437167e21d40db8c53fd4c730e8028</t>
        </is>
      </c>
      <c r="BB3" s="24" t="inlineStr">
        <is>
          <t>neutral_elo</t>
        </is>
      </c>
      <c r="BC3" s="24" t="inlineStr">
        <is>
          <t>cs2-tiered-elo-v5</t>
        </is>
      </c>
      <c r="BD3" s="24" t="inlineStr">
        <is>
          <t>eb7df6eea25aaeb60067809b30135a14d1437167e21d40db8c53fd4c730e8028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cs2-tiered-elo-v5</t>
        </is>
      </c>
      <c r="BH3" s="24" t="inlineStr">
        <is>
          <t>2026-07-31T13:43:39.001447Z</t>
        </is>
      </c>
      <c r="BI3" s="24" t="inlineStr">
        <is>
          <t>["same_event","same_team_same_day","same_league_same_day"]</t>
        </is>
      </c>
      <c r="BJ3" s="25" t="n"/>
      <c r="BK3" s="26" t="n">
        <v>108</v>
      </c>
      <c r="BL3" s="27" t="n">
        <v>2.08</v>
      </c>
      <c r="BM3" s="28" t="n">
        <v>0.480769</v>
      </c>
      <c r="BN3" s="28" t="n"/>
      <c r="BO3" s="28" t="n"/>
      <c r="BP3" s="25" t="n"/>
      <c r="BQ3" s="27" t="n">
        <v>2.04</v>
      </c>
      <c r="BR3" s="28" t="n">
        <v>0.49</v>
      </c>
      <c r="BS3" s="28" t="n"/>
      <c r="BT3" s="28" t="n"/>
      <c r="BU3" s="25" t="n"/>
      <c r="BV3" s="29" t="n"/>
      <c r="BW3" s="24" t="n"/>
      <c r="BX3" s="30" t="n">
        <v>1</v>
      </c>
      <c r="BY3" s="27" t="n">
        <v>-1</v>
      </c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05aaa4cc64c546ee</t>
        </is>
      </c>
      <c r="B4" s="24" t="inlineStr">
        <is>
          <t>2026-07-31T13:43:54.682985Z</t>
        </is>
      </c>
      <c r="C4" s="24" t="inlineStr">
        <is>
          <t>2026-07-31T14:00:00Z</t>
        </is>
      </c>
      <c r="D4" s="24" t="inlineStr">
        <is>
          <t>67300</t>
        </is>
      </c>
      <c r="E4" s="24" t="inlineStr">
        <is>
          <t>CS2</t>
        </is>
      </c>
      <c r="F4" s="24" t="inlineStr">
        <is>
          <t>Inner Circle Academy</t>
        </is>
      </c>
      <c r="G4" s="24" t="inlineStr">
        <is>
          <t>ex-Young Ninjas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133</v>
      </c>
      <c r="M4" s="27" t="n">
        <v>2.33</v>
      </c>
      <c r="N4" s="28" t="n">
        <v>0.429185</v>
      </c>
      <c r="O4" s="28" t="n">
        <v>0.518172</v>
      </c>
      <c r="P4" s="28" t="n"/>
      <c r="Q4" s="28" t="n">
        <v>0.088987</v>
      </c>
      <c r="R4" s="26" t="n">
        <v>64</v>
      </c>
      <c r="S4" s="29" t="n">
        <v>1</v>
      </c>
      <c r="T4" s="24" t="inlineStr">
        <is>
          <t>cs2-tiered-elo-v5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>
        <v>133</v>
      </c>
      <c r="AA4" s="28" t="n">
        <v>0.43</v>
      </c>
      <c r="AB4" s="28" t="n">
        <v>0.000815</v>
      </c>
      <c r="AC4" s="30" t="n">
        <v>-1</v>
      </c>
      <c r="AD4" s="24" t="inlineStr">
        <is>
          <t>2026-07-31T19:51:00.663419Z</t>
        </is>
      </c>
      <c r="AE4" s="31" t="inlineStr">
        <is>
          <t>Neutral Elo baseline; executable ask 0.4300 (market_slug=aec-cs2-eyn-ica-2026-07-31).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Inner Circle Academy</t>
        </is>
      </c>
      <c r="AQ4" s="24" t="inlineStr">
        <is>
          <t>Inner Circle Academy</t>
        </is>
      </c>
      <c r="AR4" s="24" t="inlineStr">
        <is>
          <t>Inner Circle Academy</t>
        </is>
      </c>
      <c r="AS4" s="24" t="inlineStr">
        <is>
          <t>ex-Young Ninjas</t>
        </is>
      </c>
      <c r="AT4" s="24" t="inlineStr">
        <is>
          <t>ex-Young Ninjas</t>
        </is>
      </c>
      <c r="AU4" s="24" t="inlineStr">
        <is>
          <t>ex-Young Ninjas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eb7df6eea25aaeb60067809b30135a14d1437167e21d40db8c53fd4c730e8028</t>
        </is>
      </c>
      <c r="BB4" s="24" t="inlineStr">
        <is>
          <t>neutral_elo</t>
        </is>
      </c>
      <c r="BC4" s="24" t="inlineStr">
        <is>
          <t>cs2-tiered-elo-v5</t>
        </is>
      </c>
      <c r="BD4" s="24" t="inlineStr">
        <is>
          <t>eb7df6eea25aaeb60067809b30135a14d1437167e21d40db8c53fd4c730e8028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cs2-tiered-elo-v5</t>
        </is>
      </c>
      <c r="BH4" s="24" t="inlineStr">
        <is>
          <t>2026-07-31T13:43:39.523077Z</t>
        </is>
      </c>
      <c r="BI4" s="24" t="inlineStr">
        <is>
          <t>["same_event","same_team_same_day","same_league_same_day"]</t>
        </is>
      </c>
      <c r="BJ4" s="25" t="n"/>
      <c r="BK4" s="26" t="n">
        <v>133</v>
      </c>
      <c r="BL4" s="27" t="n">
        <v>2.33</v>
      </c>
      <c r="BM4" s="28" t="n">
        <v>0.429185</v>
      </c>
      <c r="BN4" s="28" t="n"/>
      <c r="BO4" s="28" t="n"/>
      <c r="BP4" s="25" t="n"/>
      <c r="BQ4" s="27" t="n">
        <v>2.33</v>
      </c>
      <c r="BR4" s="28" t="n">
        <v>0.43</v>
      </c>
      <c r="BS4" s="28" t="n"/>
      <c r="BT4" s="28" t="n"/>
      <c r="BU4" s="25" t="n"/>
      <c r="BV4" s="29" t="n"/>
      <c r="BW4" s="24" t="n"/>
      <c r="BX4" s="30" t="n">
        <v>1</v>
      </c>
      <c r="BY4" s="27" t="n">
        <v>-1</v>
      </c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048b6cebbc674f7f</t>
        </is>
      </c>
      <c r="B5" s="24" t="inlineStr">
        <is>
          <t>2026-07-31T16:50:14.974472Z</t>
        </is>
      </c>
      <c r="C5" s="24" t="inlineStr">
        <is>
          <t>2026-07-31T17:00:00Z</t>
        </is>
      </c>
      <c r="D5" s="24" t="inlineStr">
        <is>
          <t>65110</t>
        </is>
      </c>
      <c r="E5" s="24" t="inlineStr">
        <is>
          <t>CS2</t>
        </is>
      </c>
      <c r="F5" s="24" t="inlineStr">
        <is>
          <t>ROUNDS</t>
        </is>
      </c>
      <c r="G5" s="24" t="inlineStr">
        <is>
          <t>HAVU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150</v>
      </c>
      <c r="M5" s="27" t="n">
        <v>2.5</v>
      </c>
      <c r="N5" s="28" t="n">
        <v>0.4</v>
      </c>
      <c r="O5" s="28" t="n">
        <v>0.621796</v>
      </c>
      <c r="P5" s="28" t="n"/>
      <c r="Q5" s="28" t="n">
        <v>0.221796</v>
      </c>
      <c r="R5" s="26" t="n">
        <v>100</v>
      </c>
      <c r="S5" s="29" t="n">
        <v>1.5</v>
      </c>
      <c r="T5" s="24" t="inlineStr">
        <is>
          <t>cs2-tiered-elo-v5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1</v>
      </c>
      <c r="Y5" s="25" t="n"/>
      <c r="Z5" s="26" t="n">
        <v>-138</v>
      </c>
      <c r="AA5" s="28" t="n">
        <v>0.58</v>
      </c>
      <c r="AB5" s="28" t="n">
        <v>0.18</v>
      </c>
      <c r="AC5" s="30" t="n">
        <v>2.25</v>
      </c>
      <c r="AD5" s="24" t="inlineStr">
        <is>
          <t>2026-07-31T19:51:01.918275Z</t>
        </is>
      </c>
      <c r="AE5" s="31" t="inlineStr">
        <is>
          <t>Neutral Elo baseline; executable ask 0.4000 (market_slug=aec-cs2-havu-rgg-2026-07-31).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ROUNDS</t>
        </is>
      </c>
      <c r="AQ5" s="24" t="inlineStr">
        <is>
          <t>ROUNDS</t>
        </is>
      </c>
      <c r="AR5" s="24" t="inlineStr">
        <is>
          <t>ROUNDS</t>
        </is>
      </c>
      <c r="AS5" s="24" t="inlineStr">
        <is>
          <t>HAVU</t>
        </is>
      </c>
      <c r="AT5" s="24" t="inlineStr">
        <is>
          <t>HAVU</t>
        </is>
      </c>
      <c r="AU5" s="24" t="inlineStr">
        <is>
          <t>HAVU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3981a6f1ff351e4f03c636f79be9ecb402557b48007a6dd60f0cf4134cf24ffc</t>
        </is>
      </c>
      <c r="BB5" s="24" t="inlineStr">
        <is>
          <t>neutral_elo</t>
        </is>
      </c>
      <c r="BC5" s="24" t="inlineStr">
        <is>
          <t>cs2-tiered-elo-v5</t>
        </is>
      </c>
      <c r="BD5" s="24" t="inlineStr">
        <is>
          <t>3981a6f1ff351e4f03c636f79be9ecb402557b48007a6dd60f0cf4134cf24ffc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cs2-tiered-elo-v5</t>
        </is>
      </c>
      <c r="BH5" s="24" t="inlineStr">
        <is>
          <t>2026-07-31T16:49:59.297187Z</t>
        </is>
      </c>
      <c r="BI5" s="24" t="inlineStr">
        <is>
          <t>["same_event","same_team_same_day","same_league_same_day"]</t>
        </is>
      </c>
      <c r="BJ5" s="25" t="n"/>
      <c r="BK5" s="26" t="n">
        <v>150</v>
      </c>
      <c r="BL5" s="27" t="n">
        <v>2.5</v>
      </c>
      <c r="BM5" s="28" t="n">
        <v>0.4</v>
      </c>
      <c r="BN5" s="28" t="n"/>
      <c r="BO5" s="28" t="n"/>
      <c r="BP5" s="25" t="n"/>
      <c r="BQ5" s="27" t="n">
        <v>1.724638</v>
      </c>
      <c r="BR5" s="28" t="n">
        <v>0.58</v>
      </c>
      <c r="BS5" s="28" t="n"/>
      <c r="BT5" s="28" t="n"/>
      <c r="BU5" s="25" t="n"/>
      <c r="BV5" s="29" t="n"/>
      <c r="BW5" s="24" t="n"/>
      <c r="BX5" s="30" t="n">
        <v>1</v>
      </c>
      <c r="BY5" s="27" t="n">
        <v>0.91</v>
      </c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e9b6d7012472467d</t>
        </is>
      </c>
      <c r="B6" s="24" t="inlineStr">
        <is>
          <t>2026-07-31T16:50:14.974472Z</t>
        </is>
      </c>
      <c r="C6" s="24" t="inlineStr">
        <is>
          <t>2026-07-31T17:00:00Z</t>
        </is>
      </c>
      <c r="D6" s="24" t="inlineStr">
        <is>
          <t>67438</t>
        </is>
      </c>
      <c r="E6" s="24" t="inlineStr">
        <is>
          <t>CS2</t>
        </is>
      </c>
      <c r="F6" s="24" t="inlineStr">
        <is>
          <t>JUMBO TEAM</t>
        </is>
      </c>
      <c r="G6" s="24" t="inlineStr">
        <is>
          <t>Fraternity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170</v>
      </c>
      <c r="M6" s="27" t="n">
        <v>2.7</v>
      </c>
      <c r="N6" s="28" t="n">
        <v>0.37037</v>
      </c>
      <c r="O6" s="28" t="n">
        <v>0.65581</v>
      </c>
      <c r="P6" s="28" t="n"/>
      <c r="Q6" s="28" t="n">
        <v>0.28544</v>
      </c>
      <c r="R6" s="26" t="n">
        <v>100</v>
      </c>
      <c r="S6" s="29" t="n">
        <v>1.75</v>
      </c>
      <c r="T6" s="24" t="inlineStr">
        <is>
          <t>cs2-tiered-elo-v5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170</v>
      </c>
      <c r="AA6" s="28" t="n">
        <v>0.37</v>
      </c>
      <c r="AB6" s="28" t="n">
        <v>-0.00037</v>
      </c>
      <c r="AC6" s="30" t="n">
        <v>2.975</v>
      </c>
      <c r="AD6" s="24" t="inlineStr">
        <is>
          <t>2026-07-31T19:51:03.240857Z</t>
        </is>
      </c>
      <c r="AE6" s="31" t="inlineStr">
        <is>
          <t>Neutral Elo baseline; executable ask 0.3700 (market_slug=aec-cs2-frt-jumbo-2026-07-31).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JUMBO TEAM</t>
        </is>
      </c>
      <c r="AQ6" s="24" t="inlineStr">
        <is>
          <t>JUMBO TEAM</t>
        </is>
      </c>
      <c r="AR6" s="24" t="inlineStr">
        <is>
          <t>JUMBO TEAM</t>
        </is>
      </c>
      <c r="AS6" s="24" t="inlineStr">
        <is>
          <t>Fraternity</t>
        </is>
      </c>
      <c r="AT6" s="24" t="inlineStr">
        <is>
          <t>Fraternity</t>
        </is>
      </c>
      <c r="AU6" s="24" t="inlineStr">
        <is>
          <t>Fraternity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3981a6f1ff351e4f03c636f79be9ecb402557b48007a6dd60f0cf4134cf24ffc</t>
        </is>
      </c>
      <c r="BB6" s="24" t="inlineStr">
        <is>
          <t>neutral_elo</t>
        </is>
      </c>
      <c r="BC6" s="24" t="inlineStr">
        <is>
          <t>cs2-tiered-elo-v5</t>
        </is>
      </c>
      <c r="BD6" s="24" t="inlineStr">
        <is>
          <t>3981a6f1ff351e4f03c636f79be9ecb402557b48007a6dd60f0cf4134cf24ffc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cs2-tiered-elo-v5</t>
        </is>
      </c>
      <c r="BH6" s="24" t="inlineStr">
        <is>
          <t>2026-07-31T16:49:59.882471Z</t>
        </is>
      </c>
      <c r="BI6" s="24" t="inlineStr">
        <is>
          <t>["same_event","same_team_same_day","same_league_same_day"]</t>
        </is>
      </c>
      <c r="BJ6" s="25" t="n"/>
      <c r="BK6" s="26" t="n">
        <v>170</v>
      </c>
      <c r="BL6" s="27" t="n">
        <v>2.7</v>
      </c>
      <c r="BM6" s="28" t="n">
        <v>0.37037</v>
      </c>
      <c r="BN6" s="28" t="n"/>
      <c r="BO6" s="28" t="n"/>
      <c r="BP6" s="25" t="n"/>
      <c r="BQ6" s="27" t="n">
        <v>2.7</v>
      </c>
      <c r="BR6" s="28" t="n">
        <v>0.37</v>
      </c>
      <c r="BS6" s="28" t="n"/>
      <c r="BT6" s="28" t="n"/>
      <c r="BU6" s="25" t="n"/>
      <c r="BV6" s="29" t="n"/>
      <c r="BW6" s="24" t="n"/>
      <c r="BX6" s="30" t="n">
        <v>1</v>
      </c>
      <c r="BY6" s="27" t="n">
        <v>0.91</v>
      </c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998b683c2b7244d0</t>
        </is>
      </c>
      <c r="B7" s="24" t="inlineStr">
        <is>
          <t>2026-07-31T16:50:14.974472Z</t>
        </is>
      </c>
      <c r="C7" s="24" t="inlineStr">
        <is>
          <t>2026-07-31T17:00:00Z</t>
        </is>
      </c>
      <c r="D7" s="24" t="inlineStr">
        <is>
          <t>67439</t>
        </is>
      </c>
      <c r="E7" s="24" t="inlineStr">
        <is>
          <t>CS2</t>
        </is>
      </c>
      <c r="F7" s="24" t="inlineStr">
        <is>
          <t>eSuba</t>
        </is>
      </c>
      <c r="G7" s="24" t="inlineStr">
        <is>
          <t>Dark Moon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-127</v>
      </c>
      <c r="M7" s="27" t="n">
        <v>1.787402</v>
      </c>
      <c r="N7" s="28" t="n">
        <v>0.5594710000000001</v>
      </c>
      <c r="O7" s="28" t="n">
        <v>0.5236150000000001</v>
      </c>
      <c r="P7" s="28" t="n"/>
      <c r="Q7" s="28" t="n">
        <v>-0.035856</v>
      </c>
      <c r="R7" s="26" t="n">
        <v>2</v>
      </c>
      <c r="S7" s="29" t="n">
        <v>1</v>
      </c>
      <c r="T7" s="24" t="inlineStr">
        <is>
          <t>cs2-tiered-elo-v5</t>
        </is>
      </c>
      <c r="U7" s="24" t="inlineStr">
        <is>
          <t>settled</t>
        </is>
      </c>
      <c r="V7" s="24" t="inlineStr">
        <is>
          <t>push</t>
        </is>
      </c>
      <c r="W7" s="26" t="n"/>
      <c r="X7" s="26" t="n"/>
      <c r="Y7" s="25" t="n"/>
      <c r="Z7" s="26" t="n"/>
      <c r="AA7" s="28" t="n"/>
      <c r="AB7" s="28" t="n"/>
      <c r="AC7" s="30" t="n">
        <v>0</v>
      </c>
      <c r="AD7" s="24" t="inlineStr">
        <is>
          <t>2026-08-11T22:59:47.440185Z</t>
        </is>
      </c>
      <c r="AE7" s="31" t="inlineStr">
        <is>
          <t>Neutral Elo baseline; executable ask 0.5600 (market_slug=aec-cs2-dm-esb-2026-07-31).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eSuba</t>
        </is>
      </c>
      <c r="AQ7" s="24" t="inlineStr">
        <is>
          <t>eSuba</t>
        </is>
      </c>
      <c r="AR7" s="24" t="inlineStr">
        <is>
          <t>eSuba</t>
        </is>
      </c>
      <c r="AS7" s="24" t="inlineStr">
        <is>
          <t>Dark Moon</t>
        </is>
      </c>
      <c r="AT7" s="24" t="inlineStr">
        <is>
          <t>Dark Moon</t>
        </is>
      </c>
      <c r="AU7" s="24" t="inlineStr">
        <is>
          <t>Dark Moon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3981a6f1ff351e4f03c636f79be9ecb402557b48007a6dd60f0cf4134cf24ffc</t>
        </is>
      </c>
      <c r="BB7" s="24" t="inlineStr">
        <is>
          <t>neutral_elo</t>
        </is>
      </c>
      <c r="BC7" s="24" t="inlineStr">
        <is>
          <t>cs2-tiered-elo-v5</t>
        </is>
      </c>
      <c r="BD7" s="24" t="inlineStr">
        <is>
          <t>3981a6f1ff351e4f03c636f79be9ecb402557b48007a6dd60f0cf4134cf24ffc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cs2-tiered-elo-v5</t>
        </is>
      </c>
      <c r="BH7" s="24" t="inlineStr">
        <is>
          <t>2026-07-31T16:50:00.906532Z</t>
        </is>
      </c>
      <c r="BI7" s="24" t="inlineStr">
        <is>
          <t>["same_event","same_team_same_day","same_league_same_day"]</t>
        </is>
      </c>
      <c r="BJ7" s="25" t="n"/>
      <c r="BK7" s="26" t="n">
        <v>-127</v>
      </c>
      <c r="BL7" s="27" t="n">
        <v>1.787402</v>
      </c>
      <c r="BM7" s="28" t="n">
        <v>0.5594710000000001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inlineStr">
        <is>
          <t>esports market settled to a non-binary price (forfeit/postponement per market rules)</t>
        </is>
      </c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21258f47fc2245ed</t>
        </is>
      </c>
      <c r="B8" s="24" t="inlineStr">
        <is>
          <t>2026-07-31T16:50:14.974472Z</t>
        </is>
      </c>
      <c r="C8" s="24" t="inlineStr">
        <is>
          <t>2026-07-31T17:00:00Z</t>
        </is>
      </c>
      <c r="D8" s="24" t="inlineStr">
        <is>
          <t>66536</t>
        </is>
      </c>
      <c r="E8" s="24" t="inlineStr">
        <is>
          <t>CS2</t>
        </is>
      </c>
      <c r="F8" s="24" t="inlineStr">
        <is>
          <t>Black Phoenix</t>
        </is>
      </c>
      <c r="G8" s="24" t="inlineStr">
        <is>
          <t>JiJieHao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-203</v>
      </c>
      <c r="M8" s="27" t="n">
        <v>1.492611</v>
      </c>
      <c r="N8" s="28" t="n">
        <v>0.669967</v>
      </c>
      <c r="O8" s="28" t="n">
        <v>0.772177</v>
      </c>
      <c r="P8" s="28" t="n"/>
      <c r="Q8" s="28" t="n">
        <v>0.10221</v>
      </c>
      <c r="R8" s="26" t="n">
        <v>71</v>
      </c>
      <c r="S8" s="29" t="n">
        <v>2</v>
      </c>
      <c r="T8" s="24" t="inlineStr">
        <is>
          <t>cs2-tiered-elo-v5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-203</v>
      </c>
      <c r="AA8" s="28" t="n">
        <v>0.67</v>
      </c>
      <c r="AB8" s="28" t="n">
        <v>3.3e-05</v>
      </c>
      <c r="AC8" s="30" t="n">
        <v>-2</v>
      </c>
      <c r="AD8" s="24" t="inlineStr">
        <is>
          <t>2026-07-31T21:03:24.079210Z</t>
        </is>
      </c>
      <c r="AE8" s="31" t="inlineStr">
        <is>
          <t>Neutral Elo baseline; executable ask 0.6700 (market_slug=aec-cs2-jjh-bpl-2026-07-31).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Black Phoenix</t>
        </is>
      </c>
      <c r="AQ8" s="24" t="inlineStr">
        <is>
          <t>Black Phoenix</t>
        </is>
      </c>
      <c r="AR8" s="24" t="inlineStr">
        <is>
          <t>Black Phoenix</t>
        </is>
      </c>
      <c r="AS8" s="24" t="inlineStr">
        <is>
          <t>JiJieHao</t>
        </is>
      </c>
      <c r="AT8" s="24" t="inlineStr">
        <is>
          <t>JiJieHao</t>
        </is>
      </c>
      <c r="AU8" s="24" t="inlineStr">
        <is>
          <t>JiJieHao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3981a6f1ff351e4f03c636f79be9ecb402557b48007a6dd60f0cf4134cf24ffc</t>
        </is>
      </c>
      <c r="BB8" s="24" t="inlineStr">
        <is>
          <t>neutral_elo</t>
        </is>
      </c>
      <c r="BC8" s="24" t="inlineStr">
        <is>
          <t>cs2-tiered-elo-v5</t>
        </is>
      </c>
      <c r="BD8" s="24" t="inlineStr">
        <is>
          <t>3981a6f1ff351e4f03c636f79be9ecb402557b48007a6dd60f0cf4134cf24ffc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cs2-tiered-elo-v5</t>
        </is>
      </c>
      <c r="BH8" s="24" t="inlineStr">
        <is>
          <t>2026-07-31T16:50:01.394322Z</t>
        </is>
      </c>
      <c r="BI8" s="24" t="inlineStr">
        <is>
          <t>["same_event","same_team_same_day","same_league_same_day"]</t>
        </is>
      </c>
      <c r="BJ8" s="25" t="n"/>
      <c r="BK8" s="26" t="n">
        <v>-203</v>
      </c>
      <c r="BL8" s="27" t="n">
        <v>1.492611</v>
      </c>
      <c r="BM8" s="28" t="n">
        <v>0.669967</v>
      </c>
      <c r="BN8" s="28" t="n"/>
      <c r="BO8" s="28" t="n"/>
      <c r="BP8" s="25" t="n"/>
      <c r="BQ8" s="27" t="n">
        <v>1.492611</v>
      </c>
      <c r="BR8" s="28" t="n">
        <v>0.67</v>
      </c>
      <c r="BS8" s="28" t="n"/>
      <c r="BT8" s="28" t="n"/>
      <c r="BU8" s="25" t="n"/>
      <c r="BV8" s="29" t="n"/>
      <c r="BW8" s="24" t="n"/>
      <c r="BX8" s="30" t="n">
        <v>1</v>
      </c>
      <c r="BY8" s="27" t="n">
        <v>-1</v>
      </c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64a09d3b28b94355</t>
        </is>
      </c>
      <c r="B9" s="24" t="inlineStr">
        <is>
          <t>2026-07-31T16:50:14.974472Z</t>
        </is>
      </c>
      <c r="C9" s="24" t="inlineStr">
        <is>
          <t>2026-07-31T18:00:00Z</t>
        </is>
      </c>
      <c r="D9" s="24" t="inlineStr">
        <is>
          <t>67316</t>
        </is>
      </c>
      <c r="E9" s="24" t="inlineStr">
        <is>
          <t>CS2</t>
        </is>
      </c>
      <c r="F9" s="24" t="inlineStr">
        <is>
          <t>Imperial</t>
        </is>
      </c>
      <c r="G9" s="24" t="inlineStr">
        <is>
          <t>Fluxo W7M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-156</v>
      </c>
      <c r="M9" s="27" t="n">
        <v>1.641026</v>
      </c>
      <c r="N9" s="28" t="n">
        <v>0.609375</v>
      </c>
      <c r="O9" s="28" t="n">
        <v>0.546252</v>
      </c>
      <c r="P9" s="28" t="n"/>
      <c r="Q9" s="28" t="n">
        <v>-0.063123</v>
      </c>
      <c r="R9" s="26" t="n">
        <v>0</v>
      </c>
      <c r="S9" s="29" t="n">
        <v>1</v>
      </c>
      <c r="T9" s="24" t="inlineStr">
        <is>
          <t>cs2-tiered-elo-v5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-156</v>
      </c>
      <c r="AA9" s="28" t="n">
        <v>0.61</v>
      </c>
      <c r="AB9" s="28" t="n">
        <v>0.000625</v>
      </c>
      <c r="AC9" s="30" t="n">
        <v>-1</v>
      </c>
      <c r="AD9" s="24" t="inlineStr">
        <is>
          <t>2026-07-31T23:28:32.914354Z</t>
        </is>
      </c>
      <c r="AE9" s="31" t="inlineStr">
        <is>
          <t>Neutral Elo baseline; executable ask 0.6100 (market_slug=aec-cs2-fxw7-imp-2026-07-31).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NO_CALL_LOW_EDGE</t>
        </is>
      </c>
      <c r="AP9" s="24" t="inlineStr">
        <is>
          <t>Imperial</t>
        </is>
      </c>
      <c r="AQ9" s="24" t="inlineStr">
        <is>
          <t>Imperial</t>
        </is>
      </c>
      <c r="AR9" s="24" t="inlineStr">
        <is>
          <t>Imperial</t>
        </is>
      </c>
      <c r="AS9" s="24" t="inlineStr">
        <is>
          <t>Fluxo W7M</t>
        </is>
      </c>
      <c r="AT9" s="24" t="inlineStr">
        <is>
          <t>Fluxo W7M</t>
        </is>
      </c>
      <c r="AU9" s="24" t="inlineStr">
        <is>
          <t>Fluxo W7M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3981a6f1ff351e4f03c636f79be9ecb402557b48007a6dd60f0cf4134cf24ffc</t>
        </is>
      </c>
      <c r="BB9" s="24" t="inlineStr">
        <is>
          <t>neutral_elo</t>
        </is>
      </c>
      <c r="BC9" s="24" t="inlineStr">
        <is>
          <t>cs2-tiered-elo-v5</t>
        </is>
      </c>
      <c r="BD9" s="24" t="inlineStr">
        <is>
          <t>3981a6f1ff351e4f03c636f79be9ecb402557b48007a6dd60f0cf4134cf24ffc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cs2-tiered-elo-v5</t>
        </is>
      </c>
      <c r="BH9" s="24" t="inlineStr">
        <is>
          <t>2026-07-31T16:50:01.924853Z</t>
        </is>
      </c>
      <c r="BI9" s="24" t="inlineStr">
        <is>
          <t>["same_event","same_team_same_day","same_league_same_day"]</t>
        </is>
      </c>
      <c r="BJ9" s="25" t="n"/>
      <c r="BK9" s="26" t="n">
        <v>-156</v>
      </c>
      <c r="BL9" s="27" t="n">
        <v>1.641026</v>
      </c>
      <c r="BM9" s="28" t="n">
        <v>0.609375</v>
      </c>
      <c r="BN9" s="28" t="n"/>
      <c r="BO9" s="28" t="n"/>
      <c r="BP9" s="25" t="n"/>
      <c r="BQ9" s="27" t="n">
        <v>1.641026</v>
      </c>
      <c r="BR9" s="28" t="n">
        <v>0.61</v>
      </c>
      <c r="BS9" s="28" t="n"/>
      <c r="BT9" s="28" t="n"/>
      <c r="BU9" s="25" t="n"/>
      <c r="BV9" s="29" t="n"/>
      <c r="BW9" s="24" t="n"/>
      <c r="BX9" s="30" t="n">
        <v>1</v>
      </c>
      <c r="BY9" s="27" t="n">
        <v>-1</v>
      </c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8e7710e79ca7401a</t>
        </is>
      </c>
      <c r="B10" s="24" t="inlineStr">
        <is>
          <t>2026-07-31T16:50:14.974472Z</t>
        </is>
      </c>
      <c r="C10" s="24" t="inlineStr">
        <is>
          <t>2026-07-31T18:30:00Z</t>
        </is>
      </c>
      <c r="D10" s="24" t="inlineStr">
        <is>
          <t>67276</t>
        </is>
      </c>
      <c r="E10" s="24" t="inlineStr">
        <is>
          <t>CS2</t>
        </is>
      </c>
      <c r="F10" s="24" t="inlineStr">
        <is>
          <t>banda chuya</t>
        </is>
      </c>
      <c r="G10" s="24" t="inlineStr">
        <is>
          <t>mellren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-156</v>
      </c>
      <c r="M10" s="27" t="n">
        <v>1.641026</v>
      </c>
      <c r="N10" s="28" t="n">
        <v>0.609375</v>
      </c>
      <c r="O10" s="28" t="n">
        <v>0.509226</v>
      </c>
      <c r="P10" s="28" t="n"/>
      <c r="Q10" s="28" t="n">
        <v>-0.100149</v>
      </c>
      <c r="R10" s="26" t="n">
        <v>0</v>
      </c>
      <c r="S10" s="29" t="n">
        <v>1</v>
      </c>
      <c r="T10" s="24" t="inlineStr">
        <is>
          <t>cs2-tiered-elo-v5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1</v>
      </c>
      <c r="Y10" s="25" t="n"/>
      <c r="Z10" s="26" t="n">
        <v>-156</v>
      </c>
      <c r="AA10" s="28" t="n">
        <v>0.61</v>
      </c>
      <c r="AB10" s="28" t="n">
        <v>0.000625</v>
      </c>
      <c r="AC10" s="30" t="n">
        <v>0.641</v>
      </c>
      <c r="AD10" s="24" t="inlineStr">
        <is>
          <t>2026-07-31T19:51:07.750625Z</t>
        </is>
      </c>
      <c r="AE10" s="31" t="inlineStr">
        <is>
          <t>Neutral Elo baseline; executable ask 0.6100 (market_slug=aec-cs2-mel-bcan-2026-07-31).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banda chuya</t>
        </is>
      </c>
      <c r="AQ10" s="24" t="inlineStr">
        <is>
          <t>banda chuya</t>
        </is>
      </c>
      <c r="AR10" s="24" t="inlineStr">
        <is>
          <t>banda chuya</t>
        </is>
      </c>
      <c r="AS10" s="24" t="inlineStr">
        <is>
          <t>mellren</t>
        </is>
      </c>
      <c r="AT10" s="24" t="inlineStr">
        <is>
          <t>mellren</t>
        </is>
      </c>
      <c r="AU10" s="24" t="inlineStr">
        <is>
          <t>mellren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3981a6f1ff351e4f03c636f79be9ecb402557b48007a6dd60f0cf4134cf24ffc</t>
        </is>
      </c>
      <c r="BB10" s="24" t="inlineStr">
        <is>
          <t>neutral_elo</t>
        </is>
      </c>
      <c r="BC10" s="24" t="inlineStr">
        <is>
          <t>cs2-tiered-elo-v5</t>
        </is>
      </c>
      <c r="BD10" s="24" t="inlineStr">
        <is>
          <t>3981a6f1ff351e4f03c636f79be9ecb402557b48007a6dd60f0cf4134cf24ffc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cs2-tiered-elo-v5</t>
        </is>
      </c>
      <c r="BH10" s="24" t="inlineStr">
        <is>
          <t>2026-07-31T16:50:03.427384Z</t>
        </is>
      </c>
      <c r="BI10" s="24" t="inlineStr">
        <is>
          <t>["same_event","same_team_same_day","same_league_same_day"]</t>
        </is>
      </c>
      <c r="BJ10" s="25" t="n"/>
      <c r="BK10" s="26" t="n">
        <v>-156</v>
      </c>
      <c r="BL10" s="27" t="n">
        <v>1.641026</v>
      </c>
      <c r="BM10" s="28" t="n">
        <v>0.609375</v>
      </c>
      <c r="BN10" s="28" t="n"/>
      <c r="BO10" s="28" t="n"/>
      <c r="BP10" s="25" t="n"/>
      <c r="BQ10" s="27" t="n">
        <v>1.641026</v>
      </c>
      <c r="BR10" s="28" t="n">
        <v>0.61</v>
      </c>
      <c r="BS10" s="28" t="n"/>
      <c r="BT10" s="28" t="n"/>
      <c r="BU10" s="25" t="n"/>
      <c r="BV10" s="29" t="n"/>
      <c r="BW10" s="24" t="n"/>
      <c r="BX10" s="30" t="n">
        <v>1</v>
      </c>
      <c r="BY10" s="27" t="n">
        <v>0.91</v>
      </c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785ab0b55c29470a</t>
        </is>
      </c>
      <c r="B11" s="24" t="inlineStr">
        <is>
          <t>2026-07-31T19:56:47.548345Z</t>
        </is>
      </c>
      <c r="C11" s="24" t="inlineStr">
        <is>
          <t>2026-07-31T20:30:00Z</t>
        </is>
      </c>
      <c r="D11" s="24" t="inlineStr">
        <is>
          <t>67429</t>
        </is>
      </c>
      <c r="E11" s="24" t="inlineStr">
        <is>
          <t>CS2</t>
        </is>
      </c>
      <c r="F11" s="24" t="inlineStr">
        <is>
          <t>BESTIA</t>
        </is>
      </c>
      <c r="G11" s="24" t="inlineStr">
        <is>
          <t>largadosypelados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-156</v>
      </c>
      <c r="M11" s="27" t="n">
        <v>1.641026</v>
      </c>
      <c r="N11" s="28" t="n">
        <v>0.609375</v>
      </c>
      <c r="O11" s="28" t="n">
        <v>0.780815</v>
      </c>
      <c r="P11" s="28" t="n"/>
      <c r="Q11" s="28" t="n">
        <v>0.17144</v>
      </c>
      <c r="R11" s="26" t="n">
        <v>100</v>
      </c>
      <c r="S11" s="29" t="n">
        <v>2</v>
      </c>
      <c r="T11" s="24" t="inlineStr">
        <is>
          <t>cs2-tiered-elo-v5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-156</v>
      </c>
      <c r="AA11" s="28" t="n">
        <v>0.61</v>
      </c>
      <c r="AB11" s="28" t="n">
        <v>0.000625</v>
      </c>
      <c r="AC11" s="30" t="n">
        <v>1.2821</v>
      </c>
      <c r="AD11" s="24" t="inlineStr">
        <is>
          <t>2026-08-01T03:00:09.384328Z</t>
        </is>
      </c>
      <c r="AE11" s="31" t="inlineStr">
        <is>
          <t>Neutral Elo baseline; executable ask 0.6100 (market_slug=aec-cs2-ldp-bst-2026-07-31).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BESTIA</t>
        </is>
      </c>
      <c r="AQ11" s="24" t="inlineStr">
        <is>
          <t>BESTIA</t>
        </is>
      </c>
      <c r="AR11" s="24" t="inlineStr">
        <is>
          <t>BESTIA</t>
        </is>
      </c>
      <c r="AS11" s="24" t="inlineStr">
        <is>
          <t>largadosypelados</t>
        </is>
      </c>
      <c r="AT11" s="24" t="inlineStr">
        <is>
          <t>largadosypelados</t>
        </is>
      </c>
      <c r="AU11" s="24" t="inlineStr">
        <is>
          <t>largadosypelados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663040b5e48e4bd2242de77cd48d040948603a331d322e38bdfee8ce60da6199</t>
        </is>
      </c>
      <c r="BB11" s="24" t="inlineStr">
        <is>
          <t>neutral_elo</t>
        </is>
      </c>
      <c r="BC11" s="24" t="inlineStr">
        <is>
          <t>cs2-tiered-elo-v5</t>
        </is>
      </c>
      <c r="BD11" s="24" t="inlineStr">
        <is>
          <t>663040b5e48e4bd2242de77cd48d040948603a331d322e38bdfee8ce60da6199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cs2-tiered-elo-v5</t>
        </is>
      </c>
      <c r="BH11" s="24" t="inlineStr">
        <is>
          <t>2026-07-31T19:56:34.306047Z</t>
        </is>
      </c>
      <c r="BI11" s="24" t="inlineStr">
        <is>
          <t>["same_event","same_team_same_day","same_league_same_day"]</t>
        </is>
      </c>
      <c r="BJ11" s="25" t="n"/>
      <c r="BK11" s="26" t="n">
        <v>-156</v>
      </c>
      <c r="BL11" s="27" t="n">
        <v>1.641026</v>
      </c>
      <c r="BM11" s="28" t="n">
        <v>0.609375</v>
      </c>
      <c r="BN11" s="28" t="n"/>
      <c r="BO11" s="28" t="n"/>
      <c r="BP11" s="25" t="n"/>
      <c r="BQ11" s="27" t="n">
        <v>1.641026</v>
      </c>
      <c r="BR11" s="28" t="n">
        <v>0.61</v>
      </c>
      <c r="BS11" s="28" t="n"/>
      <c r="BT11" s="28" t="n"/>
      <c r="BU11" s="25" t="n"/>
      <c r="BV11" s="29" t="n"/>
      <c r="BW11" s="24" t="n"/>
      <c r="BX11" s="30" t="n">
        <v>1</v>
      </c>
      <c r="BY11" s="27" t="n">
        <v>0.91</v>
      </c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e220c08d88b643c2</t>
        </is>
      </c>
      <c r="B12" s="24" t="inlineStr">
        <is>
          <t>2026-07-31T21:09:01.317127Z</t>
        </is>
      </c>
      <c r="C12" s="24" t="inlineStr">
        <is>
          <t>2026-07-31T22:00:00Z</t>
        </is>
      </c>
      <c r="D12" s="24" t="inlineStr">
        <is>
          <t>67387</t>
        </is>
      </c>
      <c r="E12" s="24" t="inlineStr">
        <is>
          <t>CS2</t>
        </is>
      </c>
      <c r="F12" s="24" t="inlineStr">
        <is>
          <t>SportsBetExpert</t>
        </is>
      </c>
      <c r="G12" s="24" t="inlineStr">
        <is>
          <t>LAG Gaming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163</v>
      </c>
      <c r="M12" s="27" t="n">
        <v>2.63</v>
      </c>
      <c r="N12" s="28" t="n">
        <v>0.380228</v>
      </c>
      <c r="O12" s="28" t="n">
        <v>0.5092100000000001</v>
      </c>
      <c r="P12" s="28" t="n"/>
      <c r="Q12" s="28" t="n">
        <v>0.128982</v>
      </c>
      <c r="R12" s="26" t="n">
        <v>84</v>
      </c>
      <c r="S12" s="29" t="n">
        <v>1</v>
      </c>
      <c r="T12" s="24" t="inlineStr">
        <is>
          <t>cs2-tiered-elo-v5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1</v>
      </c>
      <c r="X12" s="26" t="n">
        <v>0</v>
      </c>
      <c r="Y12" s="25" t="n"/>
      <c r="Z12" s="26" t="n">
        <v>163</v>
      </c>
      <c r="AA12" s="28" t="n">
        <v>0.38</v>
      </c>
      <c r="AB12" s="28" t="n">
        <v>-0.000228</v>
      </c>
      <c r="AC12" s="30" t="n">
        <v>-1</v>
      </c>
      <c r="AD12" s="24" t="inlineStr">
        <is>
          <t>2026-08-01T03:00:10.591414Z</t>
        </is>
      </c>
      <c r="AE12" s="31" t="inlineStr">
        <is>
          <t>Neutral Elo baseline; executable ask 0.3800 (market_slug=aec-cs2-lag-spo-2026-07-31).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SportsBetExpert</t>
        </is>
      </c>
      <c r="AQ12" s="24" t="inlineStr">
        <is>
          <t>SportsBetExpert</t>
        </is>
      </c>
      <c r="AR12" s="24" t="inlineStr">
        <is>
          <t>SportsBetExpert</t>
        </is>
      </c>
      <c r="AS12" s="24" t="inlineStr">
        <is>
          <t>LAG Gaming</t>
        </is>
      </c>
      <c r="AT12" s="24" t="inlineStr">
        <is>
          <t>LAG Gaming</t>
        </is>
      </c>
      <c r="AU12" s="24" t="inlineStr">
        <is>
          <t>LAG Gaming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c262a54e5303ccc0895202e54991209756a39aa58df3ff0fcd85b0a1f4943427</t>
        </is>
      </c>
      <c r="BB12" s="24" t="inlineStr">
        <is>
          <t>neutral_elo</t>
        </is>
      </c>
      <c r="BC12" s="24" t="inlineStr">
        <is>
          <t>cs2-tiered-elo-v5</t>
        </is>
      </c>
      <c r="BD12" s="24" t="inlineStr">
        <is>
          <t>c262a54e5303ccc0895202e54991209756a39aa58df3ff0fcd85b0a1f4943427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cs2-tiered-elo-v5</t>
        </is>
      </c>
      <c r="BH12" s="24" t="inlineStr">
        <is>
          <t>2026-07-31T21:08:48.113089Z</t>
        </is>
      </c>
      <c r="BI12" s="24" t="inlineStr">
        <is>
          <t>["same_event","same_team_same_day","same_league_same_day"]</t>
        </is>
      </c>
      <c r="BJ12" s="25" t="n"/>
      <c r="BK12" s="26" t="n">
        <v>163</v>
      </c>
      <c r="BL12" s="27" t="n">
        <v>2.63</v>
      </c>
      <c r="BM12" s="28" t="n">
        <v>0.380228</v>
      </c>
      <c r="BN12" s="28" t="n"/>
      <c r="BO12" s="28" t="n"/>
      <c r="BP12" s="25" t="n"/>
      <c r="BQ12" s="27" t="n">
        <v>2.63</v>
      </c>
      <c r="BR12" s="28" t="n">
        <v>0.38</v>
      </c>
      <c r="BS12" s="28" t="n"/>
      <c r="BT12" s="28" t="n"/>
      <c r="BU12" s="25" t="n"/>
      <c r="BV12" s="29" t="n"/>
      <c r="BW12" s="24" t="n"/>
      <c r="BX12" s="30" t="n">
        <v>1</v>
      </c>
      <c r="BY12" s="27" t="n">
        <v>-1</v>
      </c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n"/>
    </row>
    <row r="13" ht="36" customHeight="1">
      <c r="A13" s="24" t="inlineStr">
        <is>
          <t>b4171e84b2c44193</t>
        </is>
      </c>
      <c r="B13" s="24" t="inlineStr">
        <is>
          <t>2026-08-01T06:42:08.952242Z</t>
        </is>
      </c>
      <c r="C13" s="24" t="inlineStr">
        <is>
          <t>2026-08-01T08:00:00Z</t>
        </is>
      </c>
      <c r="D13" s="24" t="inlineStr">
        <is>
          <t>67671</t>
        </is>
      </c>
      <c r="E13" s="24" t="inlineStr">
        <is>
          <t>CS2</t>
        </is>
      </c>
      <c r="F13" s="24" t="inlineStr">
        <is>
          <t>HAVU</t>
        </is>
      </c>
      <c r="G13" s="24" t="inlineStr">
        <is>
          <t>ENCE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0.719921</v>
      </c>
      <c r="P13" s="28" t="n"/>
      <c r="Q13" s="28" t="n">
        <v>0.16045</v>
      </c>
      <c r="R13" s="26" t="n">
        <v>100</v>
      </c>
      <c r="S13" s="29" t="n">
        <v>2</v>
      </c>
      <c r="T13" s="24" t="inlineStr">
        <is>
          <t>cs2-tiered-elo-v5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-127</v>
      </c>
      <c r="AA13" s="28" t="n">
        <v>0.5600000000000001</v>
      </c>
      <c r="AB13" s="28" t="n">
        <v>0.000529</v>
      </c>
      <c r="AC13" s="30" t="n">
        <v>1.5748</v>
      </c>
      <c r="AD13" s="24" t="inlineStr">
        <is>
          <t>2026-08-01T10:15:46.023212Z</t>
        </is>
      </c>
      <c r="AE13" s="31" t="inlineStr">
        <is>
          <t>Neutral Elo baseline; executable ask 0.5600 (market_slug=aec-cs2-ence-havu-2026-08-01).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HAVU</t>
        </is>
      </c>
      <c r="AQ13" s="24" t="inlineStr">
        <is>
          <t>HAVU</t>
        </is>
      </c>
      <c r="AR13" s="24" t="inlineStr">
        <is>
          <t>HAVU</t>
        </is>
      </c>
      <c r="AS13" s="24" t="inlineStr">
        <is>
          <t>ENCE</t>
        </is>
      </c>
      <c r="AT13" s="24" t="inlineStr">
        <is>
          <t>ENCE</t>
        </is>
      </c>
      <c r="AU13" s="24" t="inlineStr">
        <is>
          <t>ENCE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99f60c4478ad78f02b9bb97fae5fb480114a267e349d541594964e1dd7daa69c</t>
        </is>
      </c>
      <c r="BB13" s="24" t="inlineStr">
        <is>
          <t>neutral_elo</t>
        </is>
      </c>
      <c r="BC13" s="24" t="inlineStr">
        <is>
          <t>cs2-tiered-elo-v5</t>
        </is>
      </c>
      <c r="BD13" s="24" t="inlineStr">
        <is>
          <t>99f60c4478ad78f02b9bb97fae5fb480114a267e349d541594964e1dd7daa69c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cs2-tiered-elo-v5</t>
        </is>
      </c>
      <c r="BH13" s="24" t="inlineStr">
        <is>
          <t>2026-08-01T06:41:50.350236Z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>
        <v>1.787402</v>
      </c>
      <c r="BR13" s="28" t="n">
        <v>0.5600000000000001</v>
      </c>
      <c r="BS13" s="28" t="n"/>
      <c r="BT13" s="28" t="n"/>
      <c r="BU13" s="25" t="n"/>
      <c r="BV13" s="29" t="n"/>
      <c r="BW13" s="24" t="n"/>
      <c r="BX13" s="30" t="n">
        <v>1</v>
      </c>
      <c r="BY13" s="27" t="n">
        <v>0.91</v>
      </c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n"/>
    </row>
    <row r="14" ht="36" customHeight="1">
      <c r="A14" s="24" t="inlineStr">
        <is>
          <t>d6283e81c140456b</t>
        </is>
      </c>
      <c r="B14" s="24" t="inlineStr">
        <is>
          <t>2026-08-01T06:42:08.952242Z</t>
        </is>
      </c>
      <c r="C14" s="24" t="inlineStr">
        <is>
          <t>2026-08-01T08:00:00Z</t>
        </is>
      </c>
      <c r="D14" s="24" t="inlineStr">
        <is>
          <t>67547</t>
        </is>
      </c>
      <c r="E14" s="24" t="inlineStr">
        <is>
          <t>CS2</t>
        </is>
      </c>
      <c r="F14" s="24" t="inlineStr">
        <is>
          <t>Sinners</t>
        </is>
      </c>
      <c r="G14" s="24" t="inlineStr">
        <is>
          <t>INOX Division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144</v>
      </c>
      <c r="M14" s="27" t="n">
        <v>2.44</v>
      </c>
      <c r="N14" s="28" t="n">
        <v>0.409836</v>
      </c>
      <c r="O14" s="28" t="n">
        <v>0.639934</v>
      </c>
      <c r="P14" s="28" t="n"/>
      <c r="Q14" s="28" t="n">
        <v>0.230098</v>
      </c>
      <c r="R14" s="26" t="n">
        <v>100</v>
      </c>
      <c r="S14" s="29" t="n">
        <v>1.5</v>
      </c>
      <c r="T14" s="24" t="inlineStr">
        <is>
          <t>cs2-tiered-elo-v5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>
        <v>144</v>
      </c>
      <c r="AA14" s="28" t="n">
        <v>0.41</v>
      </c>
      <c r="AB14" s="28" t="n">
        <v>0.000164</v>
      </c>
      <c r="AC14" s="30" t="n">
        <v>-1.5</v>
      </c>
      <c r="AD14" s="24" t="inlineStr">
        <is>
          <t>2026-08-01T16:47:52.281933Z</t>
        </is>
      </c>
      <c r="AE14" s="31" t="inlineStr">
        <is>
          <t>Neutral Elo baseline; executable ask 0.4100 (market_slug=aec-cs2-inox-sin-2026-08-01).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Sinners</t>
        </is>
      </c>
      <c r="AQ14" s="24" t="inlineStr">
        <is>
          <t>Sinners</t>
        </is>
      </c>
      <c r="AR14" s="24" t="inlineStr">
        <is>
          <t>Sinners</t>
        </is>
      </c>
      <c r="AS14" s="24" t="inlineStr">
        <is>
          <t>INOX Division</t>
        </is>
      </c>
      <c r="AT14" s="24" t="inlineStr">
        <is>
          <t>INOX Division</t>
        </is>
      </c>
      <c r="AU14" s="24" t="inlineStr">
        <is>
          <t>INOX Division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99f60c4478ad78f02b9bb97fae5fb480114a267e349d541594964e1dd7daa69c</t>
        </is>
      </c>
      <c r="BB14" s="24" t="inlineStr">
        <is>
          <t>neutral_elo</t>
        </is>
      </c>
      <c r="BC14" s="24" t="inlineStr">
        <is>
          <t>cs2-tiered-elo-v5</t>
        </is>
      </c>
      <c r="BD14" s="24" t="inlineStr">
        <is>
          <t>99f60c4478ad78f02b9bb97fae5fb480114a267e349d541594964e1dd7daa69c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cs2-tiered-elo-v5</t>
        </is>
      </c>
      <c r="BH14" s="24" t="inlineStr">
        <is>
          <t>2026-08-01T06:41:50.964355Z</t>
        </is>
      </c>
      <c r="BI14" s="24" t="inlineStr">
        <is>
          <t>["same_event","same_team_same_day","same_league_same_day"]</t>
        </is>
      </c>
      <c r="BJ14" s="25" t="n"/>
      <c r="BK14" s="26" t="n">
        <v>144</v>
      </c>
      <c r="BL14" s="27" t="n">
        <v>2.44</v>
      </c>
      <c r="BM14" s="28" t="n">
        <v>0.409836</v>
      </c>
      <c r="BN14" s="28" t="n"/>
      <c r="BO14" s="28" t="n"/>
      <c r="BP14" s="25" t="n"/>
      <c r="BQ14" s="27" t="n">
        <v>2.44</v>
      </c>
      <c r="BR14" s="28" t="n">
        <v>0.41</v>
      </c>
      <c r="BS14" s="28" t="n"/>
      <c r="BT14" s="28" t="n"/>
      <c r="BU14" s="25" t="n"/>
      <c r="BV14" s="29" t="n"/>
      <c r="BW14" s="24" t="n"/>
      <c r="BX14" s="30" t="n">
        <v>1</v>
      </c>
      <c r="BY14" s="27" t="n">
        <v>-1</v>
      </c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n"/>
    </row>
    <row r="15" ht="36" customHeight="1">
      <c r="A15" s="24" t="inlineStr">
        <is>
          <t>3992da77df054f6b</t>
        </is>
      </c>
      <c r="B15" s="24" t="inlineStr">
        <is>
          <t>2026-08-01T06:42:08.952242Z</t>
        </is>
      </c>
      <c r="C15" s="24" t="inlineStr">
        <is>
          <t>2026-08-01T08:00:00Z</t>
        </is>
      </c>
      <c r="D15" s="24" t="inlineStr">
        <is>
          <t>66924</t>
        </is>
      </c>
      <c r="E15" s="24" t="inlineStr">
        <is>
          <t>CS2</t>
        </is>
      </c>
      <c r="F15" s="24" t="inlineStr">
        <is>
          <t>JiJieHao</t>
        </is>
      </c>
      <c r="G15" s="24" t="inlineStr">
        <is>
          <t>GenOne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127</v>
      </c>
      <c r="M15" s="27" t="n">
        <v>2.27</v>
      </c>
      <c r="N15" s="28" t="n">
        <v>0.440529</v>
      </c>
      <c r="O15" s="28" t="n">
        <v>0.550293</v>
      </c>
      <c r="P15" s="28" t="n"/>
      <c r="Q15" s="28" t="n">
        <v>0.109764</v>
      </c>
      <c r="R15" s="26" t="n">
        <v>75</v>
      </c>
      <c r="S15" s="29" t="n">
        <v>1</v>
      </c>
      <c r="T15" s="24" t="inlineStr">
        <is>
          <t>cs2-tiered-elo-v5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127</v>
      </c>
      <c r="AA15" s="28" t="n">
        <v>0.44</v>
      </c>
      <c r="AB15" s="28" t="n">
        <v>-0.000529</v>
      </c>
      <c r="AC15" s="30" t="n">
        <v>1.27</v>
      </c>
      <c r="AD15" s="24" t="inlineStr">
        <is>
          <t>2026-08-01T16:47:53.526985Z</t>
        </is>
      </c>
      <c r="AE15" s="31" t="inlineStr">
        <is>
          <t>Neutral Elo baseline; executable ask 0.4400 (market_slug=aec-cs2-g1-jjh-2026-08-01).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JiJieHao</t>
        </is>
      </c>
      <c r="AQ15" s="24" t="inlineStr">
        <is>
          <t>JiJieHao</t>
        </is>
      </c>
      <c r="AR15" s="24" t="inlineStr">
        <is>
          <t>JiJieHao</t>
        </is>
      </c>
      <c r="AS15" s="24" t="inlineStr">
        <is>
          <t>GenOne</t>
        </is>
      </c>
      <c r="AT15" s="24" t="inlineStr">
        <is>
          <t>GenOne</t>
        </is>
      </c>
      <c r="AU15" s="24" t="inlineStr">
        <is>
          <t>GenOne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99f60c4478ad78f02b9bb97fae5fb480114a267e349d541594964e1dd7daa69c</t>
        </is>
      </c>
      <c r="BB15" s="24" t="inlineStr">
        <is>
          <t>neutral_elo</t>
        </is>
      </c>
      <c r="BC15" s="24" t="inlineStr">
        <is>
          <t>cs2-tiered-elo-v5</t>
        </is>
      </c>
      <c r="BD15" s="24" t="inlineStr">
        <is>
          <t>99f60c4478ad78f02b9bb97fae5fb480114a267e349d541594964e1dd7daa69c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cs2-tiered-elo-v5</t>
        </is>
      </c>
      <c r="BH15" s="24" t="inlineStr">
        <is>
          <t>2026-08-01T06:41:51.950370Z</t>
        </is>
      </c>
      <c r="BI15" s="24" t="inlineStr">
        <is>
          <t>["same_event","same_team_same_day","same_league_same_day"]</t>
        </is>
      </c>
      <c r="BJ15" s="25" t="n"/>
      <c r="BK15" s="26" t="n">
        <v>127</v>
      </c>
      <c r="BL15" s="27" t="n">
        <v>2.27</v>
      </c>
      <c r="BM15" s="28" t="n">
        <v>0.440529</v>
      </c>
      <c r="BN15" s="28" t="n"/>
      <c r="BO15" s="28" t="n"/>
      <c r="BP15" s="25" t="n"/>
      <c r="BQ15" s="27" t="n">
        <v>2.27</v>
      </c>
      <c r="BR15" s="28" t="n">
        <v>0.44</v>
      </c>
      <c r="BS15" s="28" t="n"/>
      <c r="BT15" s="28" t="n"/>
      <c r="BU15" s="25" t="n"/>
      <c r="BV15" s="29" t="n"/>
      <c r="BW15" s="24" t="n"/>
      <c r="BX15" s="30" t="n">
        <v>1</v>
      </c>
      <c r="BY15" s="27" t="n">
        <v>0.91</v>
      </c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n"/>
    </row>
    <row r="16" ht="36" customHeight="1">
      <c r="A16" s="24" t="inlineStr">
        <is>
          <t>fe315f0858554b34</t>
        </is>
      </c>
      <c r="B16" s="24" t="inlineStr">
        <is>
          <t>2026-08-01T10:23:03.484230Z</t>
        </is>
      </c>
      <c r="C16" s="24" t="inlineStr">
        <is>
          <t>2026-08-01T11:00:00Z</t>
        </is>
      </c>
      <c r="D16" s="24" t="inlineStr">
        <is>
          <t>67512</t>
        </is>
      </c>
      <c r="E16" s="24" t="inlineStr">
        <is>
          <t>CS2</t>
        </is>
      </c>
      <c r="F16" s="24" t="inlineStr">
        <is>
          <t>SPARTA</t>
        </is>
      </c>
      <c r="G16" s="24" t="inlineStr">
        <is>
          <t>ex-RUSTEC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-127</v>
      </c>
      <c r="M16" s="27" t="n">
        <v>1.787402</v>
      </c>
      <c r="N16" s="28" t="n">
        <v>0.5594710000000001</v>
      </c>
      <c r="O16" s="28" t="n">
        <v>0.51188</v>
      </c>
      <c r="P16" s="28" t="n"/>
      <c r="Q16" s="28" t="n">
        <v>-0.047591</v>
      </c>
      <c r="R16" s="26" t="n">
        <v>0</v>
      </c>
      <c r="S16" s="29" t="n">
        <v>1</v>
      </c>
      <c r="T16" s="24" t="inlineStr">
        <is>
          <t>cs2-tiered-elo-v5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1</v>
      </c>
      <c r="X16" s="26" t="n">
        <v>0</v>
      </c>
      <c r="Y16" s="25" t="n"/>
      <c r="Z16" s="26" t="n">
        <v>-127</v>
      </c>
      <c r="AA16" s="28" t="n">
        <v>0.5600000000000001</v>
      </c>
      <c r="AB16" s="28" t="n">
        <v>0.000529</v>
      </c>
      <c r="AC16" s="30" t="n">
        <v>0.7874</v>
      </c>
      <c r="AD16" s="24" t="inlineStr">
        <is>
          <t>2026-08-01T20:13:08.886759Z</t>
        </is>
      </c>
      <c r="AE16" s="31" t="inlineStr">
        <is>
          <t>Neutral Elo baseline; executable ask 0.5600 (market_slug=aec-cs2-erx-sparta-2026-08-01).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SPARTA</t>
        </is>
      </c>
      <c r="AQ16" s="24" t="inlineStr">
        <is>
          <t>SPARTA</t>
        </is>
      </c>
      <c r="AR16" s="24" t="inlineStr">
        <is>
          <t>SPARTA</t>
        </is>
      </c>
      <c r="AS16" s="24" t="inlineStr">
        <is>
          <t>ex-RUSTEC</t>
        </is>
      </c>
      <c r="AT16" s="24" t="inlineStr">
        <is>
          <t>ex-RUSTEC</t>
        </is>
      </c>
      <c r="AU16" s="24" t="inlineStr">
        <is>
          <t>ex-RUSTEC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fef49b57b1ee5bbc20d2625ede0a73868076e3c086b98be116e388993ecdc03b</t>
        </is>
      </c>
      <c r="BB16" s="24" t="inlineStr">
        <is>
          <t>neutral_elo</t>
        </is>
      </c>
      <c r="BC16" s="24" t="inlineStr">
        <is>
          <t>cs2-tiered-elo-v5</t>
        </is>
      </c>
      <c r="BD16" s="24" t="inlineStr">
        <is>
          <t>fef49b57b1ee5bbc20d2625ede0a73868076e3c086b98be116e388993ecdc03b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cs2-tiered-elo-v5</t>
        </is>
      </c>
      <c r="BH16" s="24" t="inlineStr">
        <is>
          <t>2026-08-01T10:22:46.411480Z</t>
        </is>
      </c>
      <c r="BI16" s="24" t="inlineStr">
        <is>
          <t>["same_event","same_team_same_day","same_league_same_day"]</t>
        </is>
      </c>
      <c r="BJ16" s="25" t="n"/>
      <c r="BK16" s="26" t="n">
        <v>-127</v>
      </c>
      <c r="BL16" s="27" t="n">
        <v>1.787402</v>
      </c>
      <c r="BM16" s="28" t="n">
        <v>0.5594710000000001</v>
      </c>
      <c r="BN16" s="28" t="n"/>
      <c r="BO16" s="28" t="n"/>
      <c r="BP16" s="25" t="n"/>
      <c r="BQ16" s="27" t="n">
        <v>1.787402</v>
      </c>
      <c r="BR16" s="28" t="n">
        <v>0.5600000000000001</v>
      </c>
      <c r="BS16" s="28" t="n"/>
      <c r="BT16" s="28" t="n"/>
      <c r="BU16" s="25" t="n"/>
      <c r="BV16" s="29" t="n"/>
      <c r="BW16" s="24" t="n"/>
      <c r="BX16" s="30" t="n">
        <v>1</v>
      </c>
      <c r="BY16" s="27" t="n">
        <v>0.91</v>
      </c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</row>
    <row r="17" ht="36" customHeight="1">
      <c r="A17" s="24" t="inlineStr">
        <is>
          <t>5ac7695d5519487b</t>
        </is>
      </c>
      <c r="B17" s="24" t="inlineStr">
        <is>
          <t>2026-08-01T10:23:03.484230Z</t>
        </is>
      </c>
      <c r="C17" s="24" t="inlineStr">
        <is>
          <t>2026-08-01T11:00:00Z</t>
        </is>
      </c>
      <c r="D17" s="24" t="inlineStr">
        <is>
          <t>67306</t>
        </is>
      </c>
      <c r="E17" s="24" t="inlineStr">
        <is>
          <t>CS2</t>
        </is>
      </c>
      <c r="F17" s="24" t="inlineStr">
        <is>
          <t>NEW VISION</t>
        </is>
      </c>
      <c r="G17" s="24" t="inlineStr">
        <is>
          <t>los kogutos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-127</v>
      </c>
      <c r="M17" s="27" t="n">
        <v>1.787402</v>
      </c>
      <c r="N17" s="28" t="n">
        <v>0.5594710000000001</v>
      </c>
      <c r="O17" s="28" t="n">
        <v>0.516595</v>
      </c>
      <c r="P17" s="28" t="n"/>
      <c r="Q17" s="28" t="n">
        <v>-0.042876</v>
      </c>
      <c r="R17" s="26" t="n">
        <v>0</v>
      </c>
      <c r="S17" s="29" t="n">
        <v>1</v>
      </c>
      <c r="T17" s="24" t="inlineStr">
        <is>
          <t>cs2-tiered-elo-v5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-127</v>
      </c>
      <c r="AA17" s="28" t="n">
        <v>0.5600000000000001</v>
      </c>
      <c r="AB17" s="28" t="n">
        <v>0.000529</v>
      </c>
      <c r="AC17" s="30" t="n">
        <v>0.7874</v>
      </c>
      <c r="AD17" s="24" t="inlineStr">
        <is>
          <t>2026-08-01T13:41:03.335644Z</t>
        </is>
      </c>
      <c r="AE17" s="31" t="inlineStr">
        <is>
          <t>Neutral Elo baseline; executable ask 0.5600 (market_slug=aec-cs2-lk-nve-2026-08-01).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NEW VISION</t>
        </is>
      </c>
      <c r="AQ17" s="24" t="inlineStr">
        <is>
          <t>NEW VISION</t>
        </is>
      </c>
      <c r="AR17" s="24" t="inlineStr">
        <is>
          <t>NEW VISION</t>
        </is>
      </c>
      <c r="AS17" s="24" t="inlineStr">
        <is>
          <t>los kogutos</t>
        </is>
      </c>
      <c r="AT17" s="24" t="inlineStr">
        <is>
          <t>los kogutos</t>
        </is>
      </c>
      <c r="AU17" s="24" t="inlineStr">
        <is>
          <t>los kogutos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fef49b57b1ee5bbc20d2625ede0a73868076e3c086b98be116e388993ecdc03b</t>
        </is>
      </c>
      <c r="BB17" s="24" t="inlineStr">
        <is>
          <t>neutral_elo</t>
        </is>
      </c>
      <c r="BC17" s="24" t="inlineStr">
        <is>
          <t>cs2-tiered-elo-v5</t>
        </is>
      </c>
      <c r="BD17" s="24" t="inlineStr">
        <is>
          <t>fef49b57b1ee5bbc20d2625ede0a73868076e3c086b98be116e388993ecdc03b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cs2-tiered-elo-v5</t>
        </is>
      </c>
      <c r="BH17" s="24" t="inlineStr">
        <is>
          <t>2026-08-01T10:22:47.489615Z</t>
        </is>
      </c>
      <c r="BI17" s="24" t="inlineStr">
        <is>
          <t>["same_event","same_team_same_day","same_league_same_day"]</t>
        </is>
      </c>
      <c r="BJ17" s="25" t="n"/>
      <c r="BK17" s="26" t="n">
        <v>-127</v>
      </c>
      <c r="BL17" s="27" t="n">
        <v>1.787402</v>
      </c>
      <c r="BM17" s="28" t="n">
        <v>0.5594710000000001</v>
      </c>
      <c r="BN17" s="28" t="n"/>
      <c r="BO17" s="28" t="n"/>
      <c r="BP17" s="25" t="n"/>
      <c r="BQ17" s="27" t="n">
        <v>1.787402</v>
      </c>
      <c r="BR17" s="28" t="n">
        <v>0.5600000000000001</v>
      </c>
      <c r="BS17" s="28" t="n"/>
      <c r="BT17" s="28" t="n"/>
      <c r="BU17" s="25" t="n"/>
      <c r="BV17" s="29" t="n"/>
      <c r="BW17" s="24" t="n"/>
      <c r="BX17" s="30" t="n">
        <v>1</v>
      </c>
      <c r="BY17" s="27" t="n">
        <v>0.91</v>
      </c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n"/>
    </row>
    <row r="18" ht="36" customHeight="1">
      <c r="A18" s="24" t="inlineStr">
        <is>
          <t>28840125917e4b8f</t>
        </is>
      </c>
      <c r="B18" s="24" t="inlineStr">
        <is>
          <t>2026-08-01T13:46:43.837828Z</t>
        </is>
      </c>
      <c r="C18" s="24" t="inlineStr">
        <is>
          <t>2026-08-01T14:00:00Z</t>
        </is>
      </c>
      <c r="D18" s="24" t="inlineStr">
        <is>
          <t>67620</t>
        </is>
      </c>
      <c r="E18" s="24" t="inlineStr">
        <is>
          <t>CS2</t>
        </is>
      </c>
      <c r="F18" s="24" t="inlineStr">
        <is>
          <t>Just Players</t>
        </is>
      </c>
      <c r="G18" s="24" t="inlineStr">
        <is>
          <t>Sashi Esport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-170</v>
      </c>
      <c r="M18" s="27" t="n">
        <v>1.588235</v>
      </c>
      <c r="N18" s="28" t="n">
        <v>0.62963</v>
      </c>
      <c r="O18" s="28" t="n">
        <v>0.542045</v>
      </c>
      <c r="P18" s="28" t="n"/>
      <c r="Q18" s="28" t="n">
        <v>-0.087585</v>
      </c>
      <c r="R18" s="26" t="n">
        <v>0</v>
      </c>
      <c r="S18" s="29" t="n">
        <v>1</v>
      </c>
      <c r="T18" s="24" t="inlineStr">
        <is>
          <t>cs2-tiered-elo-v5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>
        <v>-170</v>
      </c>
      <c r="AA18" s="28" t="n">
        <v>0.63</v>
      </c>
      <c r="AB18" s="28" t="n">
        <v>0.00037</v>
      </c>
      <c r="AC18" s="30" t="n">
        <v>0.5881999999999999</v>
      </c>
      <c r="AD18" s="24" t="inlineStr">
        <is>
          <t>2026-08-01T18:35:15.776742Z</t>
        </is>
      </c>
      <c r="AE18" s="31" t="inlineStr">
        <is>
          <t>Neutral Elo baseline; executable ask 0.6300 (market_slug=aec-cs2-sashi-jpu-2026-08-01).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NO_CALL_LOW_EDGE</t>
        </is>
      </c>
      <c r="AP18" s="24" t="inlineStr">
        <is>
          <t>Just Players</t>
        </is>
      </c>
      <c r="AQ18" s="24" t="inlineStr">
        <is>
          <t>Just Players</t>
        </is>
      </c>
      <c r="AR18" s="24" t="inlineStr">
        <is>
          <t>Just Players</t>
        </is>
      </c>
      <c r="AS18" s="24" t="inlineStr">
        <is>
          <t>Sashi Esport</t>
        </is>
      </c>
      <c r="AT18" s="24" t="inlineStr">
        <is>
          <t>Sashi Esport</t>
        </is>
      </c>
      <c r="AU18" s="24" t="inlineStr">
        <is>
          <t>Sashi Esport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76d65080af75e0c3856de1f3b1c11380883507c146c1117ef81f1d19eb30d4f0</t>
        </is>
      </c>
      <c r="BB18" s="24" t="inlineStr">
        <is>
          <t>neutral_elo</t>
        </is>
      </c>
      <c r="BC18" s="24" t="inlineStr">
        <is>
          <t>cs2-tiered-elo-v5</t>
        </is>
      </c>
      <c r="BD18" s="24" t="inlineStr">
        <is>
          <t>76d65080af75e0c3856de1f3b1c11380883507c146c1117ef81f1d19eb30d4f0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cs2-tiered-elo-v5</t>
        </is>
      </c>
      <c r="BH18" s="24" t="inlineStr">
        <is>
          <t>2026-08-01T13:46:29.986495Z</t>
        </is>
      </c>
      <c r="BI18" s="24" t="inlineStr">
        <is>
          <t>["same_event","same_team_same_day","same_league_same_day"]</t>
        </is>
      </c>
      <c r="BJ18" s="25" t="n"/>
      <c r="BK18" s="26" t="n">
        <v>-170</v>
      </c>
      <c r="BL18" s="27" t="n">
        <v>1.588235</v>
      </c>
      <c r="BM18" s="28" t="n">
        <v>0.62963</v>
      </c>
      <c r="BN18" s="28" t="n"/>
      <c r="BO18" s="28" t="n"/>
      <c r="BP18" s="25" t="n"/>
      <c r="BQ18" s="27" t="n">
        <v>1.588235</v>
      </c>
      <c r="BR18" s="28" t="n">
        <v>0.63</v>
      </c>
      <c r="BS18" s="28" t="n"/>
      <c r="BT18" s="28" t="n"/>
      <c r="BU18" s="25" t="n"/>
      <c r="BV18" s="29" t="n"/>
      <c r="BW18" s="24" t="n"/>
      <c r="BX18" s="30" t="n">
        <v>1</v>
      </c>
      <c r="BY18" s="27" t="n">
        <v>0.91</v>
      </c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n"/>
    </row>
    <row r="19" ht="36" customHeight="1">
      <c r="A19" s="24" t="inlineStr">
        <is>
          <t>b6df8e1c03fc48e6</t>
        </is>
      </c>
      <c r="B19" s="24" t="inlineStr">
        <is>
          <t>2026-08-01T13:46:43.837828Z</t>
        </is>
      </c>
      <c r="C19" s="24" t="inlineStr">
        <is>
          <t>2026-08-01T14:00:00Z</t>
        </is>
      </c>
      <c r="D19" s="24" t="inlineStr">
        <is>
          <t>67303</t>
        </is>
      </c>
      <c r="E19" s="24" t="inlineStr">
        <is>
          <t>CS2</t>
        </is>
      </c>
      <c r="F19" s="24" t="inlineStr">
        <is>
          <t>Rune Eaters</t>
        </is>
      </c>
      <c r="G19" s="24" t="inlineStr">
        <is>
          <t>SPARTA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-138</v>
      </c>
      <c r="M19" s="27" t="n">
        <v>1.724638</v>
      </c>
      <c r="N19" s="28" t="n">
        <v>0.579832</v>
      </c>
      <c r="O19" s="28" t="n">
        <v>0.613873</v>
      </c>
      <c r="P19" s="28" t="n"/>
      <c r="Q19" s="28" t="n">
        <v>0.034041</v>
      </c>
      <c r="R19" s="26" t="n">
        <v>37</v>
      </c>
      <c r="S19" s="29" t="n">
        <v>1.5</v>
      </c>
      <c r="T19" s="24" t="inlineStr">
        <is>
          <t>cs2-tiered-elo-v5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>
        <v>-138</v>
      </c>
      <c r="AA19" s="28" t="n">
        <v>0.58</v>
      </c>
      <c r="AB19" s="28" t="n">
        <v>0.000168</v>
      </c>
      <c r="AC19" s="30" t="n">
        <v>-1.5</v>
      </c>
      <c r="AD19" s="24" t="inlineStr">
        <is>
          <t>2026-08-01T18:35:17.095666Z</t>
        </is>
      </c>
      <c r="AE19" s="31" t="inlineStr">
        <is>
          <t>Neutral Elo baseline; executable ask 0.5800 (market_slug=aec-cs2-sparta-re-2026-08-01).</t>
        </is>
      </c>
      <c r="AF19" s="31" t="inlineStr">
        <is>
          <t>Config-promoted esports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Rune Eaters</t>
        </is>
      </c>
      <c r="AQ19" s="24" t="inlineStr">
        <is>
          <t>Rune Eaters</t>
        </is>
      </c>
      <c r="AR19" s="24" t="inlineStr">
        <is>
          <t>Rune Eaters</t>
        </is>
      </c>
      <c r="AS19" s="24" t="inlineStr">
        <is>
          <t>SPARTA</t>
        </is>
      </c>
      <c r="AT19" s="24" t="inlineStr">
        <is>
          <t>SPARTA</t>
        </is>
      </c>
      <c r="AU19" s="24" t="inlineStr">
        <is>
          <t>SPARTA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76d65080af75e0c3856de1f3b1c11380883507c146c1117ef81f1d19eb30d4f0</t>
        </is>
      </c>
      <c r="BB19" s="24" t="inlineStr">
        <is>
          <t>neutral_elo</t>
        </is>
      </c>
      <c r="BC19" s="24" t="inlineStr">
        <is>
          <t>cs2-tiered-elo-v5</t>
        </is>
      </c>
      <c r="BD19" s="24" t="inlineStr">
        <is>
          <t>76d65080af75e0c3856de1f3b1c11380883507c146c1117ef81f1d19eb30d4f0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cs2-tiered-elo-v5</t>
        </is>
      </c>
      <c r="BH19" s="24" t="inlineStr">
        <is>
          <t>2026-08-01T13:46:30.443267Z</t>
        </is>
      </c>
      <c r="BI19" s="24" t="inlineStr">
        <is>
          <t>["same_event","same_team_same_day","same_league_same_day"]</t>
        </is>
      </c>
      <c r="BJ19" s="25" t="n"/>
      <c r="BK19" s="26" t="n">
        <v>-138</v>
      </c>
      <c r="BL19" s="27" t="n">
        <v>1.724638</v>
      </c>
      <c r="BM19" s="28" t="n">
        <v>0.579832</v>
      </c>
      <c r="BN19" s="28" t="n"/>
      <c r="BO19" s="28" t="n"/>
      <c r="BP19" s="25" t="n"/>
      <c r="BQ19" s="27" t="n">
        <v>1.724638</v>
      </c>
      <c r="BR19" s="28" t="n">
        <v>0.58</v>
      </c>
      <c r="BS19" s="28" t="n"/>
      <c r="BT19" s="28" t="n"/>
      <c r="BU19" s="25" t="n"/>
      <c r="BV19" s="29" t="n"/>
      <c r="BW19" s="24" t="n"/>
      <c r="BX19" s="30" t="n">
        <v>1</v>
      </c>
      <c r="BY19" s="27" t="n">
        <v>-1</v>
      </c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n"/>
    </row>
    <row r="20" ht="36" customHeight="1">
      <c r="A20" s="24" t="inlineStr">
        <is>
          <t>50631386dfcd499b</t>
        </is>
      </c>
      <c r="B20" s="24" t="inlineStr">
        <is>
          <t>2026-08-01T13:46:43.837828Z</t>
        </is>
      </c>
      <c r="C20" s="24" t="inlineStr">
        <is>
          <t>2026-08-01T15:30:00Z</t>
        </is>
      </c>
      <c r="D20" s="24" t="inlineStr">
        <is>
          <t>67317</t>
        </is>
      </c>
      <c r="E20" s="24" t="inlineStr">
        <is>
          <t>CS2</t>
        </is>
      </c>
      <c r="F20" s="24" t="inlineStr">
        <is>
          <t>aimclub</t>
        </is>
      </c>
      <c r="G20" s="24" t="inlineStr">
        <is>
          <t>Young TigeRES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186</v>
      </c>
      <c r="M20" s="27" t="n">
        <v>2.86</v>
      </c>
      <c r="N20" s="28" t="n">
        <v>0.34965</v>
      </c>
      <c r="O20" s="28" t="n">
        <v>0.603676</v>
      </c>
      <c r="P20" s="28" t="n"/>
      <c r="Q20" s="28" t="n">
        <v>0.254026</v>
      </c>
      <c r="R20" s="26" t="n">
        <v>100</v>
      </c>
      <c r="S20" s="29" t="n">
        <v>1.25</v>
      </c>
      <c r="T20" s="24" t="inlineStr">
        <is>
          <t>cs2-tiered-elo-v5</t>
        </is>
      </c>
      <c r="U20" s="24" t="inlineStr">
        <is>
          <t>settled</t>
        </is>
      </c>
      <c r="V20" s="24" t="inlineStr">
        <is>
          <t>loss</t>
        </is>
      </c>
      <c r="W20" s="26" t="n">
        <v>1</v>
      </c>
      <c r="X20" s="26" t="n">
        <v>0</v>
      </c>
      <c r="Y20" s="25" t="n"/>
      <c r="Z20" s="26" t="n">
        <v>178</v>
      </c>
      <c r="AA20" s="28" t="n">
        <v>0.36</v>
      </c>
      <c r="AB20" s="28" t="n">
        <v>0.01035</v>
      </c>
      <c r="AC20" s="30" t="n">
        <v>-1.25</v>
      </c>
      <c r="AD20" s="24" t="inlineStr">
        <is>
          <t>2026-08-01T18:35:18.347460Z</t>
        </is>
      </c>
      <c r="AE20" s="31" t="inlineStr">
        <is>
          <t>Neutral Elo baseline; executable ask 0.3500 (market_slug=aec-cs2-ytigeres-aimc-2026-08-01).</t>
        </is>
      </c>
      <c r="AF20" s="31" t="inlineStr">
        <is>
          <t>Config-promoted esports baseline; gates enforced at log time.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aimclub</t>
        </is>
      </c>
      <c r="AQ20" s="24" t="inlineStr">
        <is>
          <t>aimclub</t>
        </is>
      </c>
      <c r="AR20" s="24" t="inlineStr">
        <is>
          <t>aimclub</t>
        </is>
      </c>
      <c r="AS20" s="24" t="inlineStr">
        <is>
          <t>Young TigeRES</t>
        </is>
      </c>
      <c r="AT20" s="24" t="inlineStr">
        <is>
          <t>Young TigeRES</t>
        </is>
      </c>
      <c r="AU20" s="24" t="inlineStr">
        <is>
          <t>Young TigeRES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76d65080af75e0c3856de1f3b1c11380883507c146c1117ef81f1d19eb30d4f0</t>
        </is>
      </c>
      <c r="BB20" s="24" t="inlineStr">
        <is>
          <t>neutral_elo</t>
        </is>
      </c>
      <c r="BC20" s="24" t="inlineStr">
        <is>
          <t>cs2-tiered-elo-v5</t>
        </is>
      </c>
      <c r="BD20" s="24" t="inlineStr">
        <is>
          <t>76d65080af75e0c3856de1f3b1c11380883507c146c1117ef81f1d19eb30d4f0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cs2-tiered-elo-v5</t>
        </is>
      </c>
      <c r="BH20" s="24" t="inlineStr">
        <is>
          <t>2026-08-01T13:46:30.967278Z</t>
        </is>
      </c>
      <c r="BI20" s="24" t="inlineStr">
        <is>
          <t>["same_event","same_team_same_day","same_league_same_day"]</t>
        </is>
      </c>
      <c r="BJ20" s="25" t="n"/>
      <c r="BK20" s="26" t="n">
        <v>186</v>
      </c>
      <c r="BL20" s="27" t="n">
        <v>2.86</v>
      </c>
      <c r="BM20" s="28" t="n">
        <v>0.34965</v>
      </c>
      <c r="BN20" s="28" t="n"/>
      <c r="BO20" s="28" t="n"/>
      <c r="BP20" s="25" t="n"/>
      <c r="BQ20" s="27" t="n">
        <v>2.78</v>
      </c>
      <c r="BR20" s="28" t="n">
        <v>0.36</v>
      </c>
      <c r="BS20" s="28" t="n"/>
      <c r="BT20" s="28" t="n"/>
      <c r="BU20" s="25" t="n"/>
      <c r="BV20" s="29" t="n"/>
      <c r="BW20" s="24" t="n"/>
      <c r="BX20" s="30" t="n">
        <v>1</v>
      </c>
      <c r="BY20" s="27" t="n">
        <v>-1</v>
      </c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n"/>
    </row>
    <row r="21" ht="36" customHeight="1">
      <c r="A21" s="24" t="inlineStr">
        <is>
          <t>13df32a950734699</t>
        </is>
      </c>
      <c r="B21" s="24" t="inlineStr">
        <is>
          <t>2026-08-01T13:46:43.837828Z</t>
        </is>
      </c>
      <c r="C21" s="24" t="inlineStr">
        <is>
          <t>2026-08-01T16:30:00Z</t>
        </is>
      </c>
      <c r="D21" s="24" t="inlineStr">
        <is>
          <t>67574</t>
        </is>
      </c>
      <c r="E21" s="24" t="inlineStr">
        <is>
          <t>CS2</t>
        </is>
      </c>
      <c r="F21" s="24" t="inlineStr">
        <is>
          <t>SNAILKICK Club</t>
        </is>
      </c>
      <c r="G21" s="24" t="inlineStr">
        <is>
          <t>shoke Club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-194</v>
      </c>
      <c r="M21" s="27" t="n">
        <v>1.515464</v>
      </c>
      <c r="N21" s="28" t="n">
        <v>0.659864</v>
      </c>
      <c r="O21" s="28" t="n">
        <v>0.5264990000000001</v>
      </c>
      <c r="P21" s="28" t="n"/>
      <c r="Q21" s="28" t="n">
        <v>-0.133365</v>
      </c>
      <c r="R21" s="26" t="n">
        <v>0</v>
      </c>
      <c r="S21" s="29" t="n">
        <v>1</v>
      </c>
      <c r="T21" s="24" t="inlineStr">
        <is>
          <t>cs2-tiered-elo-v5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1</v>
      </c>
      <c r="Y21" s="25" t="n"/>
      <c r="Z21" s="26" t="n">
        <v>-194</v>
      </c>
      <c r="AA21" s="28" t="n">
        <v>0.66</v>
      </c>
      <c r="AB21" s="28" t="n">
        <v>0.000136</v>
      </c>
      <c r="AC21" s="30" t="n">
        <v>0.5155</v>
      </c>
      <c r="AD21" s="24" t="inlineStr">
        <is>
          <t>2026-08-01T20:13:10.214688Z</t>
        </is>
      </c>
      <c r="AE21" s="31" t="inlineStr">
        <is>
          <t>Neutral Elo baseline; executable ask 0.6600 (market_slug=aec-cs2-sch-scn-2026-08-01).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NO_CALL_MODEL_UNVALIDATED</t>
        </is>
      </c>
      <c r="AP21" s="24" t="inlineStr">
        <is>
          <t>SNAILKICK Club</t>
        </is>
      </c>
      <c r="AQ21" s="24" t="inlineStr">
        <is>
          <t>SNAILKICK Club</t>
        </is>
      </c>
      <c r="AR21" s="24" t="inlineStr">
        <is>
          <t>SNAILKICK Club</t>
        </is>
      </c>
      <c r="AS21" s="24" t="inlineStr">
        <is>
          <t>shoke Club</t>
        </is>
      </c>
      <c r="AT21" s="24" t="inlineStr">
        <is>
          <t>shoke Club</t>
        </is>
      </c>
      <c r="AU21" s="24" t="inlineStr">
        <is>
          <t>shoke Club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76d65080af75e0c3856de1f3b1c11380883507c146c1117ef81f1d19eb30d4f0</t>
        </is>
      </c>
      <c r="BB21" s="24" t="inlineStr">
        <is>
          <t>neutral_elo</t>
        </is>
      </c>
      <c r="BC21" s="24" t="inlineStr">
        <is>
          <t>cs2-tiered-elo-v5</t>
        </is>
      </c>
      <c r="BD21" s="24" t="inlineStr">
        <is>
          <t>76d65080af75e0c3856de1f3b1c11380883507c146c1117ef81f1d19eb30d4f0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cs2-tiered-elo-v5</t>
        </is>
      </c>
      <c r="BH21" s="24" t="inlineStr">
        <is>
          <t>2026-08-01T13:46:31.492650Z</t>
        </is>
      </c>
      <c r="BI21" s="24" t="inlineStr">
        <is>
          <t>["same_event","same_team_same_day","same_league_same_day"]</t>
        </is>
      </c>
      <c r="BJ21" s="25" t="n"/>
      <c r="BK21" s="26" t="n">
        <v>-194</v>
      </c>
      <c r="BL21" s="27" t="n">
        <v>1.515464</v>
      </c>
      <c r="BM21" s="28" t="n">
        <v>0.659864</v>
      </c>
      <c r="BN21" s="28" t="n"/>
      <c r="BO21" s="28" t="n"/>
      <c r="BP21" s="25" t="n"/>
      <c r="BQ21" s="27" t="n">
        <v>1.515464</v>
      </c>
      <c r="BR21" s="28" t="n">
        <v>0.66</v>
      </c>
      <c r="BS21" s="28" t="n"/>
      <c r="BT21" s="28" t="n"/>
      <c r="BU21" s="25" t="n"/>
      <c r="BV21" s="29" t="n"/>
      <c r="BW21" s="24" t="n"/>
      <c r="BX21" s="30" t="n">
        <v>1</v>
      </c>
      <c r="BY21" s="27" t="n">
        <v>0.91</v>
      </c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n"/>
    </row>
    <row r="22" ht="36" customHeight="1">
      <c r="A22" s="24" t="inlineStr">
        <is>
          <t>b09f844596984612</t>
        </is>
      </c>
      <c r="B22" s="24" t="inlineStr">
        <is>
          <t>2026-08-01T16:54:09.601163Z</t>
        </is>
      </c>
      <c r="C22" s="24" t="inlineStr">
        <is>
          <t>2026-08-01T17:00:00Z</t>
        </is>
      </c>
      <c r="D22" s="24" t="inlineStr">
        <is>
          <t>67302</t>
        </is>
      </c>
      <c r="E22" s="24" t="inlineStr">
        <is>
          <t>CS2</t>
        </is>
      </c>
      <c r="F22" s="24" t="inlineStr">
        <is>
          <t>Just Players</t>
        </is>
      </c>
      <c r="G22" s="24" t="inlineStr">
        <is>
          <t>Black Phoenix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-163</v>
      </c>
      <c r="M22" s="27" t="n">
        <v>1.613497</v>
      </c>
      <c r="N22" s="28" t="n">
        <v>0.619772</v>
      </c>
      <c r="O22" s="28" t="n">
        <v>0.583888</v>
      </c>
      <c r="P22" s="28" t="n"/>
      <c r="Q22" s="28" t="n">
        <v>-0.035884</v>
      </c>
      <c r="R22" s="26" t="n">
        <v>2</v>
      </c>
      <c r="S22" s="29" t="n">
        <v>1.25</v>
      </c>
      <c r="T22" s="24" t="inlineStr">
        <is>
          <t>cs2-tiered-elo-v5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>
        <v>-163</v>
      </c>
      <c r="AA22" s="28" t="n">
        <v>0.62</v>
      </c>
      <c r="AB22" s="28" t="n">
        <v>0.000228</v>
      </c>
      <c r="AC22" s="30" t="n">
        <v>-1.25</v>
      </c>
      <c r="AD22" s="24" t="inlineStr">
        <is>
          <t>2026-08-01T20:13:11.540051Z</t>
        </is>
      </c>
      <c r="AE22" s="31" t="inlineStr">
        <is>
          <t>Neutral Elo baseline; executable ask 0.6200 (market_slug=aec-cs2-bpl-jpu-2026-08-01).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NO_CALL_LOW_EDGE</t>
        </is>
      </c>
      <c r="AP22" s="24" t="inlineStr">
        <is>
          <t>Just Players</t>
        </is>
      </c>
      <c r="AQ22" s="24" t="inlineStr">
        <is>
          <t>Just Players</t>
        </is>
      </c>
      <c r="AR22" s="24" t="inlineStr">
        <is>
          <t>Just Players</t>
        </is>
      </c>
      <c r="AS22" s="24" t="inlineStr">
        <is>
          <t>Black Phoenix</t>
        </is>
      </c>
      <c r="AT22" s="24" t="inlineStr">
        <is>
          <t>Black Phoenix</t>
        </is>
      </c>
      <c r="AU22" s="24" t="inlineStr">
        <is>
          <t>Black Phoenix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60bbbab39d3bb25f6cb747d719929bb4fcbec9eb183993dd2b3acce8db5ad51a</t>
        </is>
      </c>
      <c r="BB22" s="24" t="inlineStr">
        <is>
          <t>neutral_elo</t>
        </is>
      </c>
      <c r="BC22" s="24" t="inlineStr">
        <is>
          <t>cs2-tiered-elo-v5</t>
        </is>
      </c>
      <c r="BD22" s="24" t="inlineStr">
        <is>
          <t>60bbbab39d3bb25f6cb747d719929bb4fcbec9eb183993dd2b3acce8db5ad51a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cs2-tiered-elo-v5</t>
        </is>
      </c>
      <c r="BH22" s="24" t="inlineStr">
        <is>
          <t>2026-08-01T16:53:56.919922Z</t>
        </is>
      </c>
      <c r="BI22" s="24" t="inlineStr">
        <is>
          <t>["same_event","same_team_same_day","same_league_same_day"]</t>
        </is>
      </c>
      <c r="BJ22" s="25" t="n"/>
      <c r="BK22" s="26" t="n">
        <v>-163</v>
      </c>
      <c r="BL22" s="27" t="n">
        <v>1.613497</v>
      </c>
      <c r="BM22" s="28" t="n">
        <v>0.619772</v>
      </c>
      <c r="BN22" s="28" t="n"/>
      <c r="BO22" s="28" t="n"/>
      <c r="BP22" s="25" t="n"/>
      <c r="BQ22" s="27" t="n">
        <v>1.613497</v>
      </c>
      <c r="BR22" s="28" t="n">
        <v>0.62</v>
      </c>
      <c r="BS22" s="28" t="n"/>
      <c r="BT22" s="28" t="n"/>
      <c r="BU22" s="25" t="n"/>
      <c r="BV22" s="29" t="n"/>
      <c r="BW22" s="24" t="n"/>
      <c r="BX22" s="30" t="n">
        <v>1</v>
      </c>
      <c r="BY22" s="27" t="n">
        <v>-1</v>
      </c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</row>
    <row r="23" ht="36" customHeight="1">
      <c r="A23" s="24" t="inlineStr">
        <is>
          <t>915e270a0ba34d86</t>
        </is>
      </c>
      <c r="B23" s="24" t="inlineStr">
        <is>
          <t>2026-08-01T18:42:01.045837Z</t>
        </is>
      </c>
      <c r="C23" s="24" t="inlineStr">
        <is>
          <t>2026-08-01T19:15:00Z</t>
        </is>
      </c>
      <c r="D23" s="24" t="inlineStr">
        <is>
          <t>67575</t>
        </is>
      </c>
      <c r="E23" s="24" t="inlineStr">
        <is>
          <t>CS2</t>
        </is>
      </c>
      <c r="F23" s="24" t="inlineStr">
        <is>
          <t>Perfecto Club</t>
        </is>
      </c>
      <c r="G23" s="24" t="inlineStr">
        <is>
          <t>mokrivskiy Club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170</v>
      </c>
      <c r="M23" s="27" t="n">
        <v>2.7</v>
      </c>
      <c r="N23" s="28" t="n">
        <v>0.37037</v>
      </c>
      <c r="O23" s="28" t="n">
        <v>0.526684</v>
      </c>
      <c r="P23" s="28" t="n"/>
      <c r="Q23" s="28" t="n">
        <v>0.156314</v>
      </c>
      <c r="R23" s="26" t="n">
        <v>98</v>
      </c>
      <c r="S23" s="29" t="n">
        <v>1</v>
      </c>
      <c r="T23" s="24" t="inlineStr">
        <is>
          <t>cs2-tiered-elo-v5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>
        <v>170</v>
      </c>
      <c r="AA23" s="28" t="n">
        <v>0.37</v>
      </c>
      <c r="AB23" s="28" t="n">
        <v>-0.00037</v>
      </c>
      <c r="AC23" s="30" t="n">
        <v>-1</v>
      </c>
      <c r="AD23" s="24" t="inlineStr">
        <is>
          <t>2026-08-01T23:51:04.754069Z</t>
        </is>
      </c>
      <c r="AE23" s="31" t="inlineStr">
        <is>
          <t>Neutral Elo baseline; executable ask 0.3700 (market_slug=aec-cs2-mco-pce-2026-08-01).</t>
        </is>
      </c>
      <c r="AF23" s="31" t="inlineStr">
        <is>
          <t>Config-promoted esports baseline; gates enforced at log time.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NO_CALL_MODEL_UNVALIDATED</t>
        </is>
      </c>
      <c r="AP23" s="24" t="inlineStr">
        <is>
          <t>Perfecto Club</t>
        </is>
      </c>
      <c r="AQ23" s="24" t="inlineStr">
        <is>
          <t>Perfecto Club</t>
        </is>
      </c>
      <c r="AR23" s="24" t="inlineStr">
        <is>
          <t>Perfecto Club</t>
        </is>
      </c>
      <c r="AS23" s="24" t="inlineStr">
        <is>
          <t>mokrivskiy Club</t>
        </is>
      </c>
      <c r="AT23" s="24" t="inlineStr">
        <is>
          <t>mokrivskiy Club</t>
        </is>
      </c>
      <c r="AU23" s="24" t="inlineStr">
        <is>
          <t>mokrivskiy Club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1d12631926ae2c4d354b87b0e46e1248f8f5caec864db59906e7e66681791fc9</t>
        </is>
      </c>
      <c r="BB23" s="24" t="inlineStr">
        <is>
          <t>neutral_elo</t>
        </is>
      </c>
      <c r="BC23" s="24" t="inlineStr">
        <is>
          <t>cs2-tiered-elo-v5</t>
        </is>
      </c>
      <c r="BD23" s="24" t="inlineStr">
        <is>
          <t>1d12631926ae2c4d354b87b0e46e1248f8f5caec864db59906e7e66681791fc9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cs2-tiered-elo-v5</t>
        </is>
      </c>
      <c r="BH23" s="24" t="inlineStr">
        <is>
          <t>2026-08-01T18:41:50.518227Z</t>
        </is>
      </c>
      <c r="BI23" s="24" t="inlineStr">
        <is>
          <t>["same_event","same_team_same_day","same_league_same_day"]</t>
        </is>
      </c>
      <c r="BJ23" s="25" t="n"/>
      <c r="BK23" s="26" t="n">
        <v>170</v>
      </c>
      <c r="BL23" s="27" t="n">
        <v>2.7</v>
      </c>
      <c r="BM23" s="28" t="n">
        <v>0.37037</v>
      </c>
      <c r="BN23" s="28" t="n"/>
      <c r="BO23" s="28" t="n"/>
      <c r="BP23" s="25" t="n"/>
      <c r="BQ23" s="27" t="n">
        <v>2.7</v>
      </c>
      <c r="BR23" s="28" t="n">
        <v>0.37</v>
      </c>
      <c r="BS23" s="28" t="n"/>
      <c r="BT23" s="28" t="n"/>
      <c r="BU23" s="25" t="n"/>
      <c r="BV23" s="29" t="n"/>
      <c r="BW23" s="24" t="n"/>
      <c r="BX23" s="30" t="n">
        <v>1</v>
      </c>
      <c r="BY23" s="27" t="n">
        <v>-1</v>
      </c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</row>
    <row r="24" ht="36" customHeight="1">
      <c r="A24" s="24" t="inlineStr">
        <is>
          <t>d02f83b618ef4488</t>
        </is>
      </c>
      <c r="B24" s="24" t="inlineStr">
        <is>
          <t>2026-08-01T20:18:41.705155Z</t>
        </is>
      </c>
      <c r="C24" s="24" t="inlineStr">
        <is>
          <t>2026-08-01T21:00:00Z</t>
        </is>
      </c>
      <c r="D24" s="24" t="inlineStr">
        <is>
          <t>68107</t>
        </is>
      </c>
      <c r="E24" s="24" t="inlineStr">
        <is>
          <t>CS2</t>
        </is>
      </c>
      <c r="F24" s="24" t="inlineStr">
        <is>
          <t>BESTIA</t>
        </is>
      </c>
      <c r="G24" s="24" t="inlineStr">
        <is>
          <t>Fluxo W7M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-122</v>
      </c>
      <c r="M24" s="27" t="n">
        <v>1.819672</v>
      </c>
      <c r="N24" s="28" t="n">
        <v>0.54955</v>
      </c>
      <c r="O24" s="28" t="n">
        <v>0.50913</v>
      </c>
      <c r="P24" s="28" t="n"/>
      <c r="Q24" s="28" t="n">
        <v>-0.04042</v>
      </c>
      <c r="R24" s="26" t="n">
        <v>0</v>
      </c>
      <c r="S24" s="29" t="n">
        <v>1</v>
      </c>
      <c r="T24" s="24" t="inlineStr">
        <is>
          <t>cs2-tiered-elo-v5</t>
        </is>
      </c>
      <c r="U24" s="24" t="inlineStr">
        <is>
          <t>settled</t>
        </is>
      </c>
      <c r="V24" s="24" t="inlineStr">
        <is>
          <t>win</t>
        </is>
      </c>
      <c r="W24" s="26" t="n">
        <v>1</v>
      </c>
      <c r="X24" s="26" t="n">
        <v>0</v>
      </c>
      <c r="Y24" s="25" t="n"/>
      <c r="Z24" s="26" t="n">
        <v>-122</v>
      </c>
      <c r="AA24" s="28" t="n">
        <v>0.55</v>
      </c>
      <c r="AB24" s="28" t="n">
        <v>0.00045</v>
      </c>
      <c r="AC24" s="30" t="n">
        <v>0.8197</v>
      </c>
      <c r="AD24" s="24" t="inlineStr">
        <is>
          <t>2026-08-01T23:51:05.985257Z</t>
        </is>
      </c>
      <c r="AE24" s="31" t="inlineStr">
        <is>
          <t>Neutral Elo baseline; executable ask 0.5500 (market_slug=aec-cs2-fxw7-bst-2026-08-01).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NO_CALL_LOW_EDGE</t>
        </is>
      </c>
      <c r="AP24" s="24" t="inlineStr">
        <is>
          <t>BESTIA</t>
        </is>
      </c>
      <c r="AQ24" s="24" t="inlineStr">
        <is>
          <t>BESTIA</t>
        </is>
      </c>
      <c r="AR24" s="24" t="inlineStr">
        <is>
          <t>BESTIA</t>
        </is>
      </c>
      <c r="AS24" s="24" t="inlineStr">
        <is>
          <t>Fluxo W7M</t>
        </is>
      </c>
      <c r="AT24" s="24" t="inlineStr">
        <is>
          <t>Fluxo W7M</t>
        </is>
      </c>
      <c r="AU24" s="24" t="inlineStr">
        <is>
          <t>Fluxo W7M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f6d2fa0ca8b81c54d58e3a0dd012b6abf75d85968658b943eac9026c05b0a2bb</t>
        </is>
      </c>
      <c r="BB24" s="24" t="inlineStr">
        <is>
          <t>neutral_elo</t>
        </is>
      </c>
      <c r="BC24" s="24" t="inlineStr">
        <is>
          <t>cs2-tiered-elo-v5</t>
        </is>
      </c>
      <c r="BD24" s="24" t="inlineStr">
        <is>
          <t>f6d2fa0ca8b81c54d58e3a0dd012b6abf75d85968658b943eac9026c05b0a2bb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cs2-tiered-elo-v5</t>
        </is>
      </c>
      <c r="BH24" s="24" t="inlineStr">
        <is>
          <t>2026-08-01T20:18:30.682999Z</t>
        </is>
      </c>
      <c r="BI24" s="24" t="inlineStr">
        <is>
          <t>["same_event","same_team_same_day","same_league_same_day"]</t>
        </is>
      </c>
      <c r="BJ24" s="25" t="n"/>
      <c r="BK24" s="26" t="n">
        <v>-122</v>
      </c>
      <c r="BL24" s="27" t="n">
        <v>1.819672</v>
      </c>
      <c r="BM24" s="28" t="n">
        <v>0.54955</v>
      </c>
      <c r="BN24" s="28" t="n"/>
      <c r="BO24" s="28" t="n"/>
      <c r="BP24" s="25" t="n"/>
      <c r="BQ24" s="27" t="n">
        <v>1.819672</v>
      </c>
      <c r="BR24" s="28" t="n">
        <v>0.55</v>
      </c>
      <c r="BS24" s="28" t="n"/>
      <c r="BT24" s="28" t="n"/>
      <c r="BU24" s="25" t="n"/>
      <c r="BV24" s="29" t="n"/>
      <c r="BW24" s="24" t="n"/>
      <c r="BX24" s="30" t="n">
        <v>1</v>
      </c>
      <c r="BY24" s="27" t="n">
        <v>0.91</v>
      </c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n"/>
    </row>
    <row r="25" ht="36" customHeight="1">
      <c r="A25" s="24" t="inlineStr">
        <is>
          <t>c34108fc34b14497</t>
        </is>
      </c>
      <c r="B25" s="24" t="inlineStr">
        <is>
          <t>2026-08-01T23:54:53.636521Z</t>
        </is>
      </c>
      <c r="C25" s="24" t="inlineStr">
        <is>
          <t>2026-08-02T00:30:00Z</t>
        </is>
      </c>
      <c r="D25" s="24" t="inlineStr">
        <is>
          <t>68172</t>
        </is>
      </c>
      <c r="E25" s="24" t="inlineStr">
        <is>
          <t>CS2</t>
        </is>
      </c>
      <c r="F25" s="24" t="inlineStr">
        <is>
          <t>Marsborne</t>
        </is>
      </c>
      <c r="G25" s="24" t="inlineStr">
        <is>
          <t>SportsBetExpert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-127</v>
      </c>
      <c r="M25" s="27" t="n">
        <v>1.787402</v>
      </c>
      <c r="N25" s="28" t="n">
        <v>0.5594710000000001</v>
      </c>
      <c r="O25" s="28" t="n">
        <v>0.600127</v>
      </c>
      <c r="P25" s="28" t="n"/>
      <c r="Q25" s="28" t="n">
        <v>0.040656</v>
      </c>
      <c r="R25" s="26" t="n">
        <v>40</v>
      </c>
      <c r="S25" s="29" t="n">
        <v>1.25</v>
      </c>
      <c r="T25" s="24" t="inlineStr">
        <is>
          <t>cs2-tiered-elo-v5</t>
        </is>
      </c>
      <c r="U25" s="24" t="inlineStr">
        <is>
          <t>settled</t>
        </is>
      </c>
      <c r="V25" s="24" t="inlineStr">
        <is>
          <t>loss</t>
        </is>
      </c>
      <c r="W25" s="26" t="n">
        <v>0</v>
      </c>
      <c r="X25" s="26" t="n">
        <v>1</v>
      </c>
      <c r="Y25" s="25" t="n"/>
      <c r="Z25" s="26" t="n">
        <v>-127</v>
      </c>
      <c r="AA25" s="28" t="n">
        <v>0.5600000000000001</v>
      </c>
      <c r="AB25" s="28" t="n">
        <v>0.000529</v>
      </c>
      <c r="AC25" s="30" t="n">
        <v>-1.25</v>
      </c>
      <c r="AD25" s="24" t="inlineStr">
        <is>
          <t>2026-08-02T03:26:10.888583Z</t>
        </is>
      </c>
      <c r="AE25" s="31" t="inlineStr">
        <is>
          <t>Neutral Elo baseline; executable ask 0.5600 (market_slug=aec-cs2-spo-mars-2026-08-02).</t>
        </is>
      </c>
      <c r="AF25" s="31" t="inlineStr">
        <is>
          <t>Config-promoted esports baseline; gates enforced at log time.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Marsborne</t>
        </is>
      </c>
      <c r="AQ25" s="24" t="inlineStr">
        <is>
          <t>Marsborne</t>
        </is>
      </c>
      <c r="AR25" s="24" t="inlineStr">
        <is>
          <t>Marsborne</t>
        </is>
      </c>
      <c r="AS25" s="24" t="inlineStr">
        <is>
          <t>SportsBetExpert</t>
        </is>
      </c>
      <c r="AT25" s="24" t="inlineStr">
        <is>
          <t>SportsBetExpert</t>
        </is>
      </c>
      <c r="AU25" s="24" t="inlineStr">
        <is>
          <t>SportsBetExpert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124bb01c66650940a67a9125e9f0677482f15aec343dc7b3e847d2027a63cccc</t>
        </is>
      </c>
      <c r="BB25" s="24" t="inlineStr">
        <is>
          <t>neutral_elo</t>
        </is>
      </c>
      <c r="BC25" s="24" t="inlineStr">
        <is>
          <t>cs2-tiered-elo-v5</t>
        </is>
      </c>
      <c r="BD25" s="24" t="inlineStr">
        <is>
          <t>124bb01c66650940a67a9125e9f0677482f15aec343dc7b3e847d2027a63cccc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cs2-tiered-elo-v5</t>
        </is>
      </c>
      <c r="BH25" s="24" t="inlineStr">
        <is>
          <t>2026-08-01T23:54:40.651895Z</t>
        </is>
      </c>
      <c r="BI25" s="24" t="inlineStr">
        <is>
          <t>["same_event","same_team_same_day","same_league_same_day"]</t>
        </is>
      </c>
      <c r="BJ25" s="25" t="n"/>
      <c r="BK25" s="26" t="n">
        <v>-127</v>
      </c>
      <c r="BL25" s="27" t="n">
        <v>1.787402</v>
      </c>
      <c r="BM25" s="28" t="n">
        <v>0.5594710000000001</v>
      </c>
      <c r="BN25" s="28" t="n"/>
      <c r="BO25" s="28" t="n"/>
      <c r="BP25" s="25" t="n"/>
      <c r="BQ25" s="27" t="n">
        <v>1.787402</v>
      </c>
      <c r="BR25" s="28" t="n">
        <v>0.5600000000000001</v>
      </c>
      <c r="BS25" s="28" t="n"/>
      <c r="BT25" s="28" t="n"/>
      <c r="BU25" s="25" t="n"/>
      <c r="BV25" s="29" t="n"/>
      <c r="BW25" s="24" t="n"/>
      <c r="BX25" s="30" t="n">
        <v>1</v>
      </c>
      <c r="BY25" s="27" t="n">
        <v>-1</v>
      </c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n"/>
    </row>
    <row r="26" ht="36" customHeight="1">
      <c r="A26" s="24" t="inlineStr">
        <is>
          <t>e76cd04180224da1</t>
        </is>
      </c>
      <c r="B26" s="24" t="inlineStr">
        <is>
          <t>2026-08-02T05:46:09.037156Z</t>
        </is>
      </c>
      <c r="C26" s="24" t="inlineStr">
        <is>
          <t>2026-08-02T06:00:00Z</t>
        </is>
      </c>
      <c r="D26" s="24" t="inlineStr">
        <is>
          <t>69473</t>
        </is>
      </c>
      <c r="E26" s="24" t="inlineStr">
        <is>
          <t>CS2</t>
        </is>
      </c>
      <c r="F26" s="24" t="inlineStr">
        <is>
          <t>Donstu Esports</t>
        </is>
      </c>
      <c r="G26" s="24" t="inlineStr">
        <is>
          <t>Omega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-163</v>
      </c>
      <c r="M26" s="27" t="n">
        <v>1.613497</v>
      </c>
      <c r="N26" s="28" t="n">
        <v>0.619772</v>
      </c>
      <c r="O26" s="28" t="n">
        <v>0.516714</v>
      </c>
      <c r="P26" s="28" t="n"/>
      <c r="Q26" s="28" t="n">
        <v>-0.103058</v>
      </c>
      <c r="R26" s="26" t="n">
        <v>0</v>
      </c>
      <c r="S26" s="29" t="n">
        <v>1</v>
      </c>
      <c r="T26" s="24" t="inlineStr">
        <is>
          <t>cs2-tiered-elo-v5</t>
        </is>
      </c>
      <c r="U26" s="24" t="inlineStr">
        <is>
          <t>settled</t>
        </is>
      </c>
      <c r="V26" s="24" t="inlineStr">
        <is>
          <t>win</t>
        </is>
      </c>
      <c r="W26" s="26" t="n">
        <v>0</v>
      </c>
      <c r="X26" s="26" t="n">
        <v>1</v>
      </c>
      <c r="Y26" s="25" t="n"/>
      <c r="Z26" s="26" t="n">
        <v>-233</v>
      </c>
      <c r="AA26" s="28" t="n">
        <v>0.7</v>
      </c>
      <c r="AB26" s="28" t="n">
        <v>0.08022799999999999</v>
      </c>
      <c r="AC26" s="30" t="n">
        <v>0.6135</v>
      </c>
      <c r="AD26" s="24" t="inlineStr">
        <is>
          <t>2026-08-02T08:20:46.255052Z</t>
        </is>
      </c>
      <c r="AE26" s="31" t="inlineStr">
        <is>
          <t>Neutral Elo baseline; executable ask 0.6200 (market_slug=aec-cs2-omg-dnt-2026-08-02).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NO_CALL_LOW_EDGE</t>
        </is>
      </c>
      <c r="AP26" s="24" t="inlineStr">
        <is>
          <t>Donstu Esports</t>
        </is>
      </c>
      <c r="AQ26" s="24" t="inlineStr">
        <is>
          <t>Donstu Esports</t>
        </is>
      </c>
      <c r="AR26" s="24" t="inlineStr">
        <is>
          <t>Donstu Esports</t>
        </is>
      </c>
      <c r="AS26" s="24" t="inlineStr">
        <is>
          <t>Omega</t>
        </is>
      </c>
      <c r="AT26" s="24" t="inlineStr">
        <is>
          <t>Omega</t>
        </is>
      </c>
      <c r="AU26" s="24" t="inlineStr">
        <is>
          <t>Omega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890f1896c7e0d77ff69d9df2bbddadb5ff0c26cc29c26b7bddf0796d0d1f6a99</t>
        </is>
      </c>
      <c r="BB26" s="24" t="inlineStr">
        <is>
          <t>neutral_elo</t>
        </is>
      </c>
      <c r="BC26" s="24" t="inlineStr">
        <is>
          <t>cs2-tiered-elo-v5</t>
        </is>
      </c>
      <c r="BD26" s="24" t="inlineStr">
        <is>
          <t>890f1896c7e0d77ff69d9df2bbddadb5ff0c26cc29c26b7bddf0796d0d1f6a99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cs2-tiered-elo-v5</t>
        </is>
      </c>
      <c r="BH26" s="24" t="inlineStr">
        <is>
          <t>2026-08-02T05:45:44.454299Z</t>
        </is>
      </c>
      <c r="BI26" s="24" t="inlineStr">
        <is>
          <t>["same_event","same_team_same_day","same_league_same_day"]</t>
        </is>
      </c>
      <c r="BJ26" s="25" t="n"/>
      <c r="BK26" s="26" t="n">
        <v>-163</v>
      </c>
      <c r="BL26" s="27" t="n">
        <v>1.613497</v>
      </c>
      <c r="BM26" s="28" t="n">
        <v>0.619772</v>
      </c>
      <c r="BN26" s="28" t="n"/>
      <c r="BO26" s="28" t="n"/>
      <c r="BP26" s="25" t="n"/>
      <c r="BQ26" s="27" t="n">
        <v>1.429185</v>
      </c>
      <c r="BR26" s="28" t="n">
        <v>0.7</v>
      </c>
      <c r="BS26" s="28" t="n"/>
      <c r="BT26" s="28" t="n"/>
      <c r="BU26" s="25" t="n"/>
      <c r="BV26" s="29" t="n"/>
      <c r="BW26" s="24" t="n"/>
      <c r="BX26" s="30" t="n">
        <v>1</v>
      </c>
      <c r="BY26" s="27" t="n">
        <v>0.91</v>
      </c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n"/>
    </row>
    <row r="27" ht="36" customHeight="1">
      <c r="A27" s="24" t="inlineStr">
        <is>
          <t>4acb1571094d423e</t>
        </is>
      </c>
      <c r="B27" s="24" t="inlineStr">
        <is>
          <t>2026-08-02T07:16:24.505191Z</t>
        </is>
      </c>
      <c r="C27" s="24" t="inlineStr">
        <is>
          <t>2026-08-02T08:00:00Z</t>
        </is>
      </c>
      <c r="D27" s="24" t="inlineStr">
        <is>
          <t>66782</t>
        </is>
      </c>
      <c r="E27" s="24" t="inlineStr">
        <is>
          <t>CS2</t>
        </is>
      </c>
      <c r="F27" s="24" t="inlineStr">
        <is>
          <t>Fire Flux Esports</t>
        </is>
      </c>
      <c r="G27" s="24" t="inlineStr">
        <is>
          <t>WRAITH PCIFIC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133</v>
      </c>
      <c r="M27" s="27" t="n">
        <v>2.33</v>
      </c>
      <c r="N27" s="28" t="n">
        <v>0.429185</v>
      </c>
      <c r="O27" s="28" t="n">
        <v>0.685703</v>
      </c>
      <c r="P27" s="28" t="n"/>
      <c r="Q27" s="28" t="n">
        <v>0.256518</v>
      </c>
      <c r="R27" s="26" t="n">
        <v>100</v>
      </c>
      <c r="S27" s="29" t="n">
        <v>2</v>
      </c>
      <c r="T27" s="24" t="inlineStr">
        <is>
          <t>cs2-tiered-elo-v5</t>
        </is>
      </c>
      <c r="U27" s="24" t="inlineStr">
        <is>
          <t>settled</t>
        </is>
      </c>
      <c r="V27" s="24" t="inlineStr">
        <is>
          <t>loss</t>
        </is>
      </c>
      <c r="W27" s="26" t="n">
        <v>1</v>
      </c>
      <c r="X27" s="26" t="n">
        <v>0</v>
      </c>
      <c r="Y27" s="25" t="n"/>
      <c r="Z27" s="26" t="n">
        <v>133</v>
      </c>
      <c r="AA27" s="28" t="n">
        <v>0.43</v>
      </c>
      <c r="AB27" s="28" t="n">
        <v>0.000815</v>
      </c>
      <c r="AC27" s="30" t="n">
        <v>-2</v>
      </c>
      <c r="AD27" s="24" t="inlineStr">
        <is>
          <t>2026-08-02T11:45:02.787455Z</t>
        </is>
      </c>
      <c r="AE27" s="31" t="inlineStr">
        <is>
          <t>Neutral Elo baseline; executable ask 0.4300 (market_slug=aec-cs2-pcific-ff-2026-08-02).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Fire Flux Esports</t>
        </is>
      </c>
      <c r="AQ27" s="24" t="inlineStr">
        <is>
          <t>Fire Flux Esports</t>
        </is>
      </c>
      <c r="AR27" s="24" t="inlineStr">
        <is>
          <t>Fire Flux Esports</t>
        </is>
      </c>
      <c r="AS27" s="24" t="inlineStr">
        <is>
          <t>WRAITH PCIFIC</t>
        </is>
      </c>
      <c r="AT27" s="24" t="inlineStr">
        <is>
          <t>WRAITH PCIFIC</t>
        </is>
      </c>
      <c r="AU27" s="24" t="inlineStr">
        <is>
          <t>WRAITH PCIFIC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43d985cc5d70edc577b4f1cac09fef882d817938dc77ba88e4cdf7954d2f8c58</t>
        </is>
      </c>
      <c r="BB27" s="24" t="inlineStr">
        <is>
          <t>neutral_elo</t>
        </is>
      </c>
      <c r="BC27" s="24" t="inlineStr">
        <is>
          <t>cs2-tiered-elo-v5</t>
        </is>
      </c>
      <c r="BD27" s="24" t="inlineStr">
        <is>
          <t>43d985cc5d70edc577b4f1cac09fef882d817938dc77ba88e4cdf7954d2f8c58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cs2-tiered-elo-v5</t>
        </is>
      </c>
      <c r="BH27" s="24" t="inlineStr">
        <is>
          <t>2026-08-02T07:16:00.086133Z</t>
        </is>
      </c>
      <c r="BI27" s="24" t="inlineStr">
        <is>
          <t>["same_event","same_team_same_day","same_league_same_day"]</t>
        </is>
      </c>
      <c r="BJ27" s="25" t="n"/>
      <c r="BK27" s="26" t="n">
        <v>133</v>
      </c>
      <c r="BL27" s="27" t="n">
        <v>2.33</v>
      </c>
      <c r="BM27" s="28" t="n">
        <v>0.429185</v>
      </c>
      <c r="BN27" s="28" t="n"/>
      <c r="BO27" s="28" t="n"/>
      <c r="BP27" s="25" t="n"/>
      <c r="BQ27" s="27" t="n">
        <v>2.33</v>
      </c>
      <c r="BR27" s="28" t="n">
        <v>0.43</v>
      </c>
      <c r="BS27" s="28" t="n"/>
      <c r="BT27" s="28" t="n"/>
      <c r="BU27" s="25" t="n"/>
      <c r="BV27" s="29" t="n"/>
      <c r="BW27" s="24" t="n"/>
      <c r="BX27" s="30" t="n">
        <v>1</v>
      </c>
      <c r="BY27" s="27" t="n">
        <v>-1</v>
      </c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n"/>
    </row>
    <row r="28" ht="36" customHeight="1">
      <c r="A28" s="24" t="inlineStr">
        <is>
          <t>0276cc81aadc4f01</t>
        </is>
      </c>
      <c r="B28" s="24" t="inlineStr">
        <is>
          <t>2026-08-02T10:00:04.561525Z</t>
        </is>
      </c>
      <c r="C28" s="24" t="inlineStr">
        <is>
          <t>2026-08-02T10:30:00Z</t>
        </is>
      </c>
      <c r="D28" s="24" t="inlineStr">
        <is>
          <t>66836</t>
        </is>
      </c>
      <c r="E28" s="24" t="inlineStr">
        <is>
          <t>CS2</t>
        </is>
      </c>
      <c r="F28" s="24" t="inlineStr">
        <is>
          <t>Sangal ALTERS</t>
        </is>
      </c>
      <c r="G28" s="24" t="inlineStr">
        <is>
          <t>Teletubisie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-104</v>
      </c>
      <c r="M28" s="27" t="n">
        <v>1.961538</v>
      </c>
      <c r="N28" s="28" t="n">
        <v>0.509804</v>
      </c>
      <c r="O28" s="28" t="n">
        <v>0.690561</v>
      </c>
      <c r="P28" s="28" t="n"/>
      <c r="Q28" s="28" t="n">
        <v>0.180757</v>
      </c>
      <c r="R28" s="26" t="n">
        <v>100</v>
      </c>
      <c r="S28" s="29" t="n">
        <v>2</v>
      </c>
      <c r="T28" s="24" t="inlineStr">
        <is>
          <t>cs2-tiered-elo-v5</t>
        </is>
      </c>
      <c r="U28" s="24" t="inlineStr">
        <is>
          <t>settled</t>
        </is>
      </c>
      <c r="V28" s="24" t="inlineStr">
        <is>
          <t>push</t>
        </is>
      </c>
      <c r="W28" s="26" t="n"/>
      <c r="X28" s="26" t="n"/>
      <c r="Y28" s="25" t="n"/>
      <c r="Z28" s="26" t="n"/>
      <c r="AA28" s="28" t="n"/>
      <c r="AB28" s="28" t="n"/>
      <c r="AC28" s="30" t="n">
        <v>0</v>
      </c>
      <c r="AD28" s="24" t="inlineStr">
        <is>
          <t>2026-08-02T15:52:44.718315Z</t>
        </is>
      </c>
      <c r="AE28" s="31" t="inlineStr">
        <is>
          <t>Neutral Elo baseline; executable ask 0.5100 (market_slug=aec-cs2-ttbs-sng-2026-08-02).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Sangal ALTERS</t>
        </is>
      </c>
      <c r="AQ28" s="24" t="inlineStr">
        <is>
          <t>Sangal ALTERS</t>
        </is>
      </c>
      <c r="AR28" s="24" t="inlineStr">
        <is>
          <t>Sangal ALTERS</t>
        </is>
      </c>
      <c r="AS28" s="24" t="inlineStr">
        <is>
          <t>Teletubisie</t>
        </is>
      </c>
      <c r="AT28" s="24" t="inlineStr">
        <is>
          <t>Teletubisie</t>
        </is>
      </c>
      <c r="AU28" s="24" t="inlineStr">
        <is>
          <t>Teletubisie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06138ffc8334cb69044b84c6e2b37aa9a4e0b6bd4f08ef7c62950d9e210f4364</t>
        </is>
      </c>
      <c r="BB28" s="24" t="inlineStr">
        <is>
          <t>neutral_elo</t>
        </is>
      </c>
      <c r="BC28" s="24" t="inlineStr">
        <is>
          <t>cs2-tiered-elo-v5</t>
        </is>
      </c>
      <c r="BD28" s="24" t="inlineStr">
        <is>
          <t>06138ffc8334cb69044b84c6e2b37aa9a4e0b6bd4f08ef7c62950d9e210f4364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cs2-tiered-elo-v5</t>
        </is>
      </c>
      <c r="BH28" s="24" t="inlineStr">
        <is>
          <t>2026-08-02T09:59:44.064703Z</t>
        </is>
      </c>
      <c r="BI28" s="24" t="inlineStr">
        <is>
          <t>["same_event","same_team_same_day","same_league_same_day"]</t>
        </is>
      </c>
      <c r="BJ28" s="25" t="n"/>
      <c r="BK28" s="26" t="n">
        <v>-104</v>
      </c>
      <c r="BL28" s="27" t="n">
        <v>1.961538</v>
      </c>
      <c r="BM28" s="28" t="n">
        <v>0.509804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inlineStr">
        <is>
          <t>esports market settled to a non-binary price (forfeit/postponement per market rules)</t>
        </is>
      </c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</row>
    <row r="29" ht="36" customHeight="1">
      <c r="A29" s="24" t="inlineStr">
        <is>
          <t>7890942306624702</t>
        </is>
      </c>
      <c r="B29" s="24" t="inlineStr">
        <is>
          <t>2026-08-02T10:00:04.561525Z</t>
        </is>
      </c>
      <c r="C29" s="24" t="inlineStr">
        <is>
          <t>2026-08-02T11:00:00Z</t>
        </is>
      </c>
      <c r="D29" s="24" t="inlineStr">
        <is>
          <t>69252</t>
        </is>
      </c>
      <c r="E29" s="24" t="inlineStr">
        <is>
          <t>CS2</t>
        </is>
      </c>
      <c r="F29" s="24" t="inlineStr">
        <is>
          <t>NEW VISION</t>
        </is>
      </c>
      <c r="G29" s="24" t="inlineStr">
        <is>
          <t>Inner Circle Academy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-133</v>
      </c>
      <c r="M29" s="27" t="n">
        <v>1.75188</v>
      </c>
      <c r="N29" s="28" t="n">
        <v>0.570815</v>
      </c>
      <c r="O29" s="28" t="n">
        <v>0.539324</v>
      </c>
      <c r="P29" s="28" t="n"/>
      <c r="Q29" s="28" t="n">
        <v>-0.031491</v>
      </c>
      <c r="R29" s="26" t="n">
        <v>4</v>
      </c>
      <c r="S29" s="29" t="n">
        <v>1</v>
      </c>
      <c r="T29" s="24" t="inlineStr">
        <is>
          <t>cs2-tiered-elo-v5</t>
        </is>
      </c>
      <c r="U29" s="24" t="inlineStr">
        <is>
          <t>settled</t>
        </is>
      </c>
      <c r="V29" s="24" t="inlineStr">
        <is>
          <t>loss</t>
        </is>
      </c>
      <c r="W29" s="26" t="n">
        <v>1</v>
      </c>
      <c r="X29" s="26" t="n">
        <v>0</v>
      </c>
      <c r="Y29" s="25" t="n"/>
      <c r="Z29" s="26" t="n">
        <v>-133</v>
      </c>
      <c r="AA29" s="28" t="n">
        <v>0.57</v>
      </c>
      <c r="AB29" s="28" t="n">
        <v>-0.000815</v>
      </c>
      <c r="AC29" s="30" t="n">
        <v>-1</v>
      </c>
      <c r="AD29" s="24" t="inlineStr">
        <is>
          <t>2026-08-02T13:01:10.112601Z</t>
        </is>
      </c>
      <c r="AE29" s="31" t="inlineStr">
        <is>
          <t>Neutral Elo baseline; executable ask 0.5700 (market_slug=aec-cs2-ica-nve-2026-08-02).</t>
        </is>
      </c>
      <c r="AF29" s="31" t="inlineStr">
        <is>
          <t>Config-promoted esports baseline; gates enforced at log time.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NO_CALL_LOW_EDGE</t>
        </is>
      </c>
      <c r="AP29" s="24" t="inlineStr">
        <is>
          <t>NEW VISION</t>
        </is>
      </c>
      <c r="AQ29" s="24" t="inlineStr">
        <is>
          <t>NEW VISION</t>
        </is>
      </c>
      <c r="AR29" s="24" t="inlineStr">
        <is>
          <t>NEW VISION</t>
        </is>
      </c>
      <c r="AS29" s="24" t="inlineStr">
        <is>
          <t>Inner Circle Academy</t>
        </is>
      </c>
      <c r="AT29" s="24" t="inlineStr">
        <is>
          <t>Inner Circle Academy</t>
        </is>
      </c>
      <c r="AU29" s="24" t="inlineStr">
        <is>
          <t>Inner Circle Academy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06138ffc8334cb69044b84c6e2b37aa9a4e0b6bd4f08ef7c62950d9e210f4364</t>
        </is>
      </c>
      <c r="BB29" s="24" t="inlineStr">
        <is>
          <t>neutral_elo</t>
        </is>
      </c>
      <c r="BC29" s="24" t="inlineStr">
        <is>
          <t>cs2-tiered-elo-v5</t>
        </is>
      </c>
      <c r="BD29" s="24" t="inlineStr">
        <is>
          <t>06138ffc8334cb69044b84c6e2b37aa9a4e0b6bd4f08ef7c62950d9e210f4364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cs2-tiered-elo-v5</t>
        </is>
      </c>
      <c r="BH29" s="24" t="inlineStr">
        <is>
          <t>2026-08-02T09:59:44.535838Z</t>
        </is>
      </c>
      <c r="BI29" s="24" t="inlineStr">
        <is>
          <t>["same_event","same_team_same_day","same_league_same_day"]</t>
        </is>
      </c>
      <c r="BJ29" s="25" t="n"/>
      <c r="BK29" s="26" t="n">
        <v>-133</v>
      </c>
      <c r="BL29" s="27" t="n">
        <v>1.75188</v>
      </c>
      <c r="BM29" s="28" t="n">
        <v>0.570815</v>
      </c>
      <c r="BN29" s="28" t="n"/>
      <c r="BO29" s="28" t="n"/>
      <c r="BP29" s="25" t="n"/>
      <c r="BQ29" s="27" t="n">
        <v>1.75188</v>
      </c>
      <c r="BR29" s="28" t="n">
        <v>0.57</v>
      </c>
      <c r="BS29" s="28" t="n"/>
      <c r="BT29" s="28" t="n"/>
      <c r="BU29" s="25" t="n"/>
      <c r="BV29" s="29" t="n"/>
      <c r="BW29" s="24" t="n"/>
      <c r="BX29" s="30" t="n">
        <v>1</v>
      </c>
      <c r="BY29" s="27" t="n">
        <v>-1</v>
      </c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n"/>
    </row>
    <row r="30" ht="36" customHeight="1">
      <c r="A30" s="24" t="inlineStr">
        <is>
          <t>8c78149875be41de</t>
        </is>
      </c>
      <c r="B30" s="24" t="inlineStr">
        <is>
          <t>2026-08-02T12:30:33.225632Z</t>
        </is>
      </c>
      <c r="C30" s="24" t="inlineStr">
        <is>
          <t>2026-08-02T13:00:00Z</t>
        </is>
      </c>
      <c r="D30" s="24" t="inlineStr">
        <is>
          <t>68258</t>
        </is>
      </c>
      <c r="E30" s="24" t="inlineStr">
        <is>
          <t>CS2</t>
        </is>
      </c>
      <c r="F30" s="24" t="inlineStr">
        <is>
          <t>ex-MANA eSports</t>
        </is>
      </c>
      <c r="G30" s="24" t="inlineStr">
        <is>
          <t>Inner Circle Academy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-213</v>
      </c>
      <c r="M30" s="27" t="n">
        <v>1.469484</v>
      </c>
      <c r="N30" s="28" t="n">
        <v>0.680511</v>
      </c>
      <c r="O30" s="28" t="n">
        <v>0.583752</v>
      </c>
      <c r="P30" s="28" t="n"/>
      <c r="Q30" s="28" t="n">
        <v>-0.096759</v>
      </c>
      <c r="R30" s="26" t="n">
        <v>0</v>
      </c>
      <c r="S30" s="29" t="n">
        <v>1.25</v>
      </c>
      <c r="T30" s="24" t="inlineStr">
        <is>
          <t>cs2-tiered-elo-v5</t>
        </is>
      </c>
      <c r="U30" s="24" t="inlineStr">
        <is>
          <t>settled</t>
        </is>
      </c>
      <c r="V30" s="24" t="inlineStr">
        <is>
          <t>loss</t>
        </is>
      </c>
      <c r="W30" s="26" t="n">
        <v>1</v>
      </c>
      <c r="X30" s="26" t="n">
        <v>0</v>
      </c>
      <c r="Y30" s="25" t="n"/>
      <c r="Z30" s="26" t="n">
        <v>-213</v>
      </c>
      <c r="AA30" s="28" t="n">
        <v>0.68</v>
      </c>
      <c r="AB30" s="28" t="n">
        <v>-0.000511</v>
      </c>
      <c r="AC30" s="30" t="n">
        <v>-1.25</v>
      </c>
      <c r="AD30" s="24" t="inlineStr">
        <is>
          <t>2026-08-02T15:52:46.144484Z</t>
        </is>
      </c>
      <c r="AE30" s="31" t="inlineStr">
        <is>
          <t>Neutral Elo baseline; executable ask 0.6800 (market_slug=aec-cs2-ica-exmana-2026-08-02).</t>
        </is>
      </c>
      <c r="AF30" s="31" t="inlineStr">
        <is>
          <t>Config-promoted esports baseline; gates enforced at log time.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NO_CALL_LOW_EDGE</t>
        </is>
      </c>
      <c r="AP30" s="24" t="inlineStr">
        <is>
          <t>ex-MANA eSports</t>
        </is>
      </c>
      <c r="AQ30" s="24" t="inlineStr">
        <is>
          <t>ex-MANA eSports</t>
        </is>
      </c>
      <c r="AR30" s="24" t="inlineStr">
        <is>
          <t>ex-MANA eSports</t>
        </is>
      </c>
      <c r="AS30" s="24" t="inlineStr">
        <is>
          <t>Inner Circle Academy</t>
        </is>
      </c>
      <c r="AT30" s="24" t="inlineStr">
        <is>
          <t>Inner Circle Academy</t>
        </is>
      </c>
      <c r="AU30" s="24" t="inlineStr">
        <is>
          <t>Inner Circle Academy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bd7b44b2e86615e932309b2497f806ee2b5567367d785a2c9653f7a6fe2215fb</t>
        </is>
      </c>
      <c r="BB30" s="24" t="inlineStr">
        <is>
          <t>neutral_elo</t>
        </is>
      </c>
      <c r="BC30" s="24" t="inlineStr">
        <is>
          <t>cs2-tiered-elo-v5</t>
        </is>
      </c>
      <c r="BD30" s="24" t="inlineStr">
        <is>
          <t>bd7b44b2e86615e932309b2497f806ee2b5567367d785a2c9653f7a6fe2215fb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cs2-tiered-elo-v5</t>
        </is>
      </c>
      <c r="BH30" s="24" t="inlineStr">
        <is>
          <t>2026-08-02T12:30:13.091362Z</t>
        </is>
      </c>
      <c r="BI30" s="24" t="inlineStr">
        <is>
          <t>["same_event","same_team_same_day","same_league_same_day"]</t>
        </is>
      </c>
      <c r="BJ30" s="25" t="n"/>
      <c r="BK30" s="26" t="n">
        <v>-213</v>
      </c>
      <c r="BL30" s="27" t="n">
        <v>1.469484</v>
      </c>
      <c r="BM30" s="28" t="n">
        <v>0.680511</v>
      </c>
      <c r="BN30" s="28" t="n"/>
      <c r="BO30" s="28" t="n"/>
      <c r="BP30" s="25" t="n"/>
      <c r="BQ30" s="27" t="n">
        <v>1.469484</v>
      </c>
      <c r="BR30" s="28" t="n">
        <v>0.68</v>
      </c>
      <c r="BS30" s="28" t="n"/>
      <c r="BT30" s="28" t="n"/>
      <c r="BU30" s="25" t="n"/>
      <c r="BV30" s="29" t="n"/>
      <c r="BW30" s="24" t="n"/>
      <c r="BX30" s="30" t="n">
        <v>1</v>
      </c>
      <c r="BY30" s="27" t="n">
        <v>-1</v>
      </c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n"/>
    </row>
    <row r="31" ht="36" customHeight="1">
      <c r="A31" s="24" t="inlineStr">
        <is>
          <t>6089a7bd20c542bc</t>
        </is>
      </c>
      <c r="B31" s="24" t="inlineStr">
        <is>
          <t>2026-08-02T12:30:33.225632Z</t>
        </is>
      </c>
      <c r="C31" s="24" t="inlineStr">
        <is>
          <t>2026-08-02T13:00:00Z</t>
        </is>
      </c>
      <c r="D31" s="24" t="inlineStr">
        <is>
          <t>68256</t>
        </is>
      </c>
      <c r="E31" s="24" t="inlineStr">
        <is>
          <t>CS2</t>
        </is>
      </c>
      <c r="F31" s="24" t="inlineStr">
        <is>
          <t>Noir Verse</t>
        </is>
      </c>
      <c r="G31" s="24" t="inlineStr">
        <is>
          <t>los kogutos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-223</v>
      </c>
      <c r="M31" s="27" t="n">
        <v>1.44843</v>
      </c>
      <c r="N31" s="28" t="n">
        <v>0.690402</v>
      </c>
      <c r="O31" s="28" t="n">
        <v>0.620297</v>
      </c>
      <c r="P31" s="28" t="n"/>
      <c r="Q31" s="28" t="n">
        <v>-0.070105</v>
      </c>
      <c r="R31" s="26" t="n">
        <v>0</v>
      </c>
      <c r="S31" s="29" t="n">
        <v>1.5</v>
      </c>
      <c r="T31" s="24" t="inlineStr">
        <is>
          <t>cs2-tiered-elo-v5</t>
        </is>
      </c>
      <c r="U31" s="24" t="inlineStr">
        <is>
          <t>settled</t>
        </is>
      </c>
      <c r="V31" s="24" t="inlineStr">
        <is>
          <t>win</t>
        </is>
      </c>
      <c r="W31" s="26" t="n">
        <v>0</v>
      </c>
      <c r="X31" s="26" t="n">
        <v>1</v>
      </c>
      <c r="Y31" s="25" t="n"/>
      <c r="Z31" s="26" t="n">
        <v>-223</v>
      </c>
      <c r="AA31" s="28" t="n">
        <v>0.6899999999999999</v>
      </c>
      <c r="AB31" s="28" t="n">
        <v>-0.000402</v>
      </c>
      <c r="AC31" s="30" t="n">
        <v>0.6726</v>
      </c>
      <c r="AD31" s="24" t="inlineStr">
        <is>
          <t>2026-08-02T15:52:47.515855Z</t>
        </is>
      </c>
      <c r="AE31" s="31" t="inlineStr">
        <is>
          <t>Neutral Elo baseline; executable ask 0.6900 (market_slug=aec-cs2-lk-nvo-2026-08-02).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NO_CALL_LOW_EDGE</t>
        </is>
      </c>
      <c r="AP31" s="24" t="inlineStr">
        <is>
          <t>Noir Verse</t>
        </is>
      </c>
      <c r="AQ31" s="24" t="inlineStr">
        <is>
          <t>Noir Verse</t>
        </is>
      </c>
      <c r="AR31" s="24" t="inlineStr">
        <is>
          <t>Noir Verse</t>
        </is>
      </c>
      <c r="AS31" s="24" t="inlineStr">
        <is>
          <t>los kogutos</t>
        </is>
      </c>
      <c r="AT31" s="24" t="inlineStr">
        <is>
          <t>los kogutos</t>
        </is>
      </c>
      <c r="AU31" s="24" t="inlineStr">
        <is>
          <t>los kogutos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bd7b44b2e86615e932309b2497f806ee2b5567367d785a2c9653f7a6fe2215fb</t>
        </is>
      </c>
      <c r="BB31" s="24" t="inlineStr">
        <is>
          <t>neutral_elo</t>
        </is>
      </c>
      <c r="BC31" s="24" t="inlineStr">
        <is>
          <t>cs2-tiered-elo-v5</t>
        </is>
      </c>
      <c r="BD31" s="24" t="inlineStr">
        <is>
          <t>bd7b44b2e86615e932309b2497f806ee2b5567367d785a2c9653f7a6fe2215fb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cs2-tiered-elo-v5</t>
        </is>
      </c>
      <c r="BH31" s="24" t="inlineStr">
        <is>
          <t>2026-08-02T12:30:13.564896Z</t>
        </is>
      </c>
      <c r="BI31" s="24" t="inlineStr">
        <is>
          <t>["same_event","same_team_same_day","same_league_same_day"]</t>
        </is>
      </c>
      <c r="BJ31" s="25" t="n"/>
      <c r="BK31" s="26" t="n">
        <v>-223</v>
      </c>
      <c r="BL31" s="27" t="n">
        <v>1.44843</v>
      </c>
      <c r="BM31" s="28" t="n">
        <v>0.690402</v>
      </c>
      <c r="BN31" s="28" t="n"/>
      <c r="BO31" s="28" t="n"/>
      <c r="BP31" s="25" t="n"/>
      <c r="BQ31" s="27" t="n">
        <v>1.44843</v>
      </c>
      <c r="BR31" s="28" t="n">
        <v>0.6899999999999999</v>
      </c>
      <c r="BS31" s="28" t="n"/>
      <c r="BT31" s="28" t="n"/>
      <c r="BU31" s="25" t="n"/>
      <c r="BV31" s="29" t="n"/>
      <c r="BW31" s="24" t="n"/>
      <c r="BX31" s="30" t="n">
        <v>1</v>
      </c>
      <c r="BY31" s="27" t="n">
        <v>0.91</v>
      </c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n"/>
    </row>
    <row r="32" ht="36" customHeight="1">
      <c r="A32" s="24" t="inlineStr">
        <is>
          <t>2f30461e96204d71</t>
        </is>
      </c>
      <c r="B32" s="24" t="inlineStr">
        <is>
          <t>2026-08-02T12:30:33.225632Z</t>
        </is>
      </c>
      <c r="C32" s="24" t="inlineStr">
        <is>
          <t>2026-08-02T13:00:00Z</t>
        </is>
      </c>
      <c r="D32" s="24" t="inlineStr">
        <is>
          <t>68257</t>
        </is>
      </c>
      <c r="E32" s="24" t="inlineStr">
        <is>
          <t>CS2</t>
        </is>
      </c>
      <c r="F32" s="24" t="inlineStr">
        <is>
          <t>Fortress</t>
        </is>
      </c>
      <c r="G32" s="24" t="inlineStr">
        <is>
          <t>DragonClaw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-113</v>
      </c>
      <c r="M32" s="27" t="n">
        <v>1.884956</v>
      </c>
      <c r="N32" s="28" t="n">
        <v>0.530516</v>
      </c>
      <c r="O32" s="28" t="n">
        <v>0.67594</v>
      </c>
      <c r="P32" s="28" t="n"/>
      <c r="Q32" s="28" t="n">
        <v>0.145424</v>
      </c>
      <c r="R32" s="26" t="n">
        <v>93</v>
      </c>
      <c r="S32" s="29" t="n">
        <v>1.75</v>
      </c>
      <c r="T32" s="24" t="inlineStr">
        <is>
          <t>cs2-tiered-elo-v5</t>
        </is>
      </c>
      <c r="U32" s="24" t="inlineStr">
        <is>
          <t>settled</t>
        </is>
      </c>
      <c r="V32" s="24" t="inlineStr">
        <is>
          <t>push</t>
        </is>
      </c>
      <c r="W32" s="26" t="n"/>
      <c r="X32" s="26" t="n"/>
      <c r="Y32" s="25" t="n"/>
      <c r="Z32" s="26" t="n"/>
      <c r="AA32" s="28" t="n"/>
      <c r="AB32" s="28" t="n"/>
      <c r="AC32" s="30" t="n">
        <v>0</v>
      </c>
      <c r="AD32" s="24" t="inlineStr">
        <is>
          <t>2026-08-03T02:34:37.075403Z</t>
        </is>
      </c>
      <c r="AE32" s="31" t="inlineStr">
        <is>
          <t>Neutral Elo baseline; executable ask 0.5300 (market_slug=aec-cs2-dc-for-2026-08-02).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Fortress</t>
        </is>
      </c>
      <c r="AQ32" s="24" t="inlineStr">
        <is>
          <t>Fortress</t>
        </is>
      </c>
      <c r="AR32" s="24" t="inlineStr">
        <is>
          <t>Fortress</t>
        </is>
      </c>
      <c r="AS32" s="24" t="inlineStr">
        <is>
          <t>DragonClaw</t>
        </is>
      </c>
      <c r="AT32" s="24" t="inlineStr">
        <is>
          <t>DragonClaw</t>
        </is>
      </c>
      <c r="AU32" s="24" t="inlineStr">
        <is>
          <t>DragonClaw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bd7b44b2e86615e932309b2497f806ee2b5567367d785a2c9653f7a6fe2215fb</t>
        </is>
      </c>
      <c r="BB32" s="24" t="inlineStr">
        <is>
          <t>neutral_elo</t>
        </is>
      </c>
      <c r="BC32" s="24" t="inlineStr">
        <is>
          <t>cs2-tiered-elo-v5</t>
        </is>
      </c>
      <c r="BD32" s="24" t="inlineStr">
        <is>
          <t>bd7b44b2e86615e932309b2497f806ee2b5567367d785a2c9653f7a6fe2215fb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cs2-tiered-elo-v5</t>
        </is>
      </c>
      <c r="BH32" s="24" t="inlineStr">
        <is>
          <t>2026-08-02T12:30:14.025736Z</t>
        </is>
      </c>
      <c r="BI32" s="24" t="inlineStr">
        <is>
          <t>["same_event","same_team_same_day","same_league_same_day"]</t>
        </is>
      </c>
      <c r="BJ32" s="25" t="n"/>
      <c r="BK32" s="26" t="n">
        <v>-113</v>
      </c>
      <c r="BL32" s="27" t="n">
        <v>1.884956</v>
      </c>
      <c r="BM32" s="28" t="n">
        <v>0.530516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inlineStr">
        <is>
          <t>esports market settled to a non-binary price (forfeit/postponement per market rules)</t>
        </is>
      </c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</row>
    <row r="33" ht="36" customHeight="1">
      <c r="A33" s="24" t="inlineStr">
        <is>
          <t>e5958621784d4f7f</t>
        </is>
      </c>
      <c r="B33" s="24" t="inlineStr">
        <is>
          <t>2026-08-02T12:30:33.225632Z</t>
        </is>
      </c>
      <c r="C33" s="24" t="inlineStr">
        <is>
          <t>2026-08-02T13:00:00Z</t>
        </is>
      </c>
      <c r="D33" s="24" t="inlineStr">
        <is>
          <t>68259</t>
        </is>
      </c>
      <c r="E33" s="24" t="inlineStr">
        <is>
          <t>CS2</t>
        </is>
      </c>
      <c r="F33" s="24" t="inlineStr">
        <is>
          <t>Vexar</t>
        </is>
      </c>
      <c r="G33" s="24" t="inlineStr">
        <is>
          <t>Leo Team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138</v>
      </c>
      <c r="M33" s="27" t="n">
        <v>2.38</v>
      </c>
      <c r="N33" s="28" t="n">
        <v>0.420168</v>
      </c>
      <c r="O33" s="28" t="n">
        <v>0.5635559999999999</v>
      </c>
      <c r="P33" s="28" t="n"/>
      <c r="Q33" s="28" t="n">
        <v>0.143388</v>
      </c>
      <c r="R33" s="26" t="n">
        <v>92</v>
      </c>
      <c r="S33" s="29" t="n">
        <v>1</v>
      </c>
      <c r="T33" s="24" t="inlineStr">
        <is>
          <t>cs2-tiered-elo-v5</t>
        </is>
      </c>
      <c r="U33" s="24" t="inlineStr">
        <is>
          <t>settled</t>
        </is>
      </c>
      <c r="V33" s="24" t="inlineStr">
        <is>
          <t>loss</t>
        </is>
      </c>
      <c r="W33" s="26" t="n">
        <v>0</v>
      </c>
      <c r="X33" s="26" t="n">
        <v>1</v>
      </c>
      <c r="Y33" s="25" t="n"/>
      <c r="Z33" s="26" t="n">
        <v>138</v>
      </c>
      <c r="AA33" s="28" t="n">
        <v>0.42</v>
      </c>
      <c r="AB33" s="28" t="n">
        <v>-0.000168</v>
      </c>
      <c r="AC33" s="30" t="n">
        <v>-1</v>
      </c>
      <c r="AD33" s="24" t="inlineStr">
        <is>
          <t>2026-08-02T15:52:49.918955Z</t>
        </is>
      </c>
      <c r="AE33" s="31" t="inlineStr">
        <is>
          <t>Neutral Elo baseline; executable ask 0.4200 (market_slug=aec-cs2-leo-vexar-2026-08-02).</t>
        </is>
      </c>
      <c r="AF33" s="31" t="inlineStr">
        <is>
          <t>Config-promoted esports baseline; gates enforced at log time.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NO_CALL_MODEL_UNVALIDATED</t>
        </is>
      </c>
      <c r="AP33" s="24" t="inlineStr">
        <is>
          <t>Vexar</t>
        </is>
      </c>
      <c r="AQ33" s="24" t="inlineStr">
        <is>
          <t>Vexar</t>
        </is>
      </c>
      <c r="AR33" s="24" t="inlineStr">
        <is>
          <t>Vexar</t>
        </is>
      </c>
      <c r="AS33" s="24" t="inlineStr">
        <is>
          <t>Leo Team</t>
        </is>
      </c>
      <c r="AT33" s="24" t="inlineStr">
        <is>
          <t>Leo Team</t>
        </is>
      </c>
      <c r="AU33" s="24" t="inlineStr">
        <is>
          <t>Leo Team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bd7b44b2e86615e932309b2497f806ee2b5567367d785a2c9653f7a6fe2215fb</t>
        </is>
      </c>
      <c r="BB33" s="24" t="inlineStr">
        <is>
          <t>neutral_elo</t>
        </is>
      </c>
      <c r="BC33" s="24" t="inlineStr">
        <is>
          <t>cs2-tiered-elo-v5</t>
        </is>
      </c>
      <c r="BD33" s="24" t="inlineStr">
        <is>
          <t>bd7b44b2e86615e932309b2497f806ee2b5567367d785a2c9653f7a6fe2215fb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cs2-tiered-elo-v5</t>
        </is>
      </c>
      <c r="BH33" s="24" t="inlineStr">
        <is>
          <t>2026-08-02T12:30:14.500766Z</t>
        </is>
      </c>
      <c r="BI33" s="24" t="inlineStr">
        <is>
          <t>["same_event","same_team_same_day","same_league_same_day"]</t>
        </is>
      </c>
      <c r="BJ33" s="25" t="n"/>
      <c r="BK33" s="26" t="n">
        <v>138</v>
      </c>
      <c r="BL33" s="27" t="n">
        <v>2.38</v>
      </c>
      <c r="BM33" s="28" t="n">
        <v>0.420168</v>
      </c>
      <c r="BN33" s="28" t="n"/>
      <c r="BO33" s="28" t="n"/>
      <c r="BP33" s="25" t="n"/>
      <c r="BQ33" s="27" t="n">
        <v>2.38</v>
      </c>
      <c r="BR33" s="28" t="n">
        <v>0.42</v>
      </c>
      <c r="BS33" s="28" t="n"/>
      <c r="BT33" s="28" t="n"/>
      <c r="BU33" s="25" t="n"/>
      <c r="BV33" s="29" t="n"/>
      <c r="BW33" s="24" t="n"/>
      <c r="BX33" s="30" t="n">
        <v>1</v>
      </c>
      <c r="BY33" s="27" t="n">
        <v>-1</v>
      </c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n"/>
    </row>
    <row r="34" ht="36" customHeight="1">
      <c r="A34" s="24" t="inlineStr">
        <is>
          <t>777a777696ed478d</t>
        </is>
      </c>
      <c r="B34" s="24" t="inlineStr">
        <is>
          <t>2026-08-02T12:30:33.225632Z</t>
        </is>
      </c>
      <c r="C34" s="24" t="inlineStr">
        <is>
          <t>2026-08-02T13:00:00Z</t>
        </is>
      </c>
      <c r="D34" s="24" t="inlineStr">
        <is>
          <t>68277</t>
        </is>
      </c>
      <c r="E34" s="24" t="inlineStr">
        <is>
          <t>CS2</t>
        </is>
      </c>
      <c r="F34" s="24" t="inlineStr">
        <is>
          <t>Misa Esports</t>
        </is>
      </c>
      <c r="G34" s="24" t="inlineStr">
        <is>
          <t>Favbet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-178</v>
      </c>
      <c r="M34" s="27" t="n">
        <v>1.561798</v>
      </c>
      <c r="N34" s="28" t="n">
        <v>0.640288</v>
      </c>
      <c r="O34" s="28" t="n">
        <v>0.74688</v>
      </c>
      <c r="P34" s="28" t="n"/>
      <c r="Q34" s="28" t="n">
        <v>0.106592</v>
      </c>
      <c r="R34" s="26" t="n">
        <v>73</v>
      </c>
      <c r="S34" s="29" t="n">
        <v>2</v>
      </c>
      <c r="T34" s="24" t="inlineStr">
        <is>
          <t>cs2-tiered-elo-v5</t>
        </is>
      </c>
      <c r="U34" s="24" t="inlineStr">
        <is>
          <t>settled</t>
        </is>
      </c>
      <c r="V34" s="24" t="inlineStr">
        <is>
          <t>push</t>
        </is>
      </c>
      <c r="W34" s="26" t="n"/>
      <c r="X34" s="26" t="n"/>
      <c r="Y34" s="25" t="n"/>
      <c r="Z34" s="26" t="n"/>
      <c r="AA34" s="28" t="n"/>
      <c r="AB34" s="28" t="n"/>
      <c r="AC34" s="30" t="n">
        <v>0</v>
      </c>
      <c r="AD34" s="24" t="inlineStr">
        <is>
          <t>2026-08-03T02:34:38.439879Z</t>
        </is>
      </c>
      <c r="AE34" s="31" t="inlineStr">
        <is>
          <t>Neutral Elo baseline; executable ask 0.6400 (market_slug=aec-cs2-fav-misa-2026-08-02).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NO_CALL_MODEL_UNVALIDATED</t>
        </is>
      </c>
      <c r="AP34" s="24" t="inlineStr">
        <is>
          <t>Misa Esports</t>
        </is>
      </c>
      <c r="AQ34" s="24" t="inlineStr">
        <is>
          <t>Misa Esports</t>
        </is>
      </c>
      <c r="AR34" s="24" t="inlineStr">
        <is>
          <t>Misa Esports</t>
        </is>
      </c>
      <c r="AS34" s="24" t="inlineStr">
        <is>
          <t>Favbet</t>
        </is>
      </c>
      <c r="AT34" s="24" t="inlineStr">
        <is>
          <t>Favbet</t>
        </is>
      </c>
      <c r="AU34" s="24" t="inlineStr">
        <is>
          <t>Favbet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bd7b44b2e86615e932309b2497f806ee2b5567367d785a2c9653f7a6fe2215fb</t>
        </is>
      </c>
      <c r="BB34" s="24" t="inlineStr">
        <is>
          <t>neutral_elo</t>
        </is>
      </c>
      <c r="BC34" s="24" t="inlineStr">
        <is>
          <t>cs2-tiered-elo-v5</t>
        </is>
      </c>
      <c r="BD34" s="24" t="inlineStr">
        <is>
          <t>bd7b44b2e86615e932309b2497f806ee2b5567367d785a2c9653f7a6fe2215fb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cs2-tiered-elo-v5</t>
        </is>
      </c>
      <c r="BH34" s="24" t="inlineStr">
        <is>
          <t>2026-08-02T12:30:14.970352Z</t>
        </is>
      </c>
      <c r="BI34" s="24" t="inlineStr">
        <is>
          <t>["same_event","same_team_same_day","same_league_same_day"]</t>
        </is>
      </c>
      <c r="BJ34" s="25" t="n"/>
      <c r="BK34" s="26" t="n">
        <v>-178</v>
      </c>
      <c r="BL34" s="27" t="n">
        <v>1.561798</v>
      </c>
      <c r="BM34" s="28" t="n">
        <v>0.640288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inlineStr">
        <is>
          <t>esports market settled to a non-binary price (forfeit/postponement per market rules)</t>
        </is>
      </c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</row>
    <row r="35" ht="36" customHeight="1">
      <c r="A35" s="24" t="inlineStr">
        <is>
          <t>cde934c0a2974b08</t>
        </is>
      </c>
      <c r="B35" s="24" t="inlineStr">
        <is>
          <t>2026-08-02T12:30:33.225632Z</t>
        </is>
      </c>
      <c r="C35" s="24" t="inlineStr">
        <is>
          <t>2026-08-02T13:00:00Z</t>
        </is>
      </c>
      <c r="D35" s="24" t="inlineStr">
        <is>
          <t>68261</t>
        </is>
      </c>
      <c r="E35" s="24" t="inlineStr">
        <is>
          <t>CS2</t>
        </is>
      </c>
      <c r="F35" s="24" t="inlineStr">
        <is>
          <t>Fire Flux Esports</t>
        </is>
      </c>
      <c r="G35" s="24" t="inlineStr">
        <is>
          <t>BASEMENT BOYS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-138</v>
      </c>
      <c r="M35" s="27" t="n">
        <v>1.724638</v>
      </c>
      <c r="N35" s="28" t="n">
        <v>0.579832</v>
      </c>
      <c r="O35" s="28" t="n">
        <v>0.65406</v>
      </c>
      <c r="P35" s="28" t="n"/>
      <c r="Q35" s="28" t="n">
        <v>0.074228</v>
      </c>
      <c r="R35" s="26" t="n">
        <v>57</v>
      </c>
      <c r="S35" s="29" t="n">
        <v>1.75</v>
      </c>
      <c r="T35" s="24" t="inlineStr">
        <is>
          <t>cs2-tiered-elo-v5</t>
        </is>
      </c>
      <c r="U35" s="24" t="inlineStr">
        <is>
          <t>settled</t>
        </is>
      </c>
      <c r="V35" s="24" t="inlineStr">
        <is>
          <t>loss</t>
        </is>
      </c>
      <c r="W35" s="26" t="n">
        <v>1</v>
      </c>
      <c r="X35" s="26" t="n">
        <v>0</v>
      </c>
      <c r="Y35" s="25" t="n"/>
      <c r="Z35" s="26" t="n">
        <v>-138</v>
      </c>
      <c r="AA35" s="28" t="n">
        <v>0.58</v>
      </c>
      <c r="AB35" s="28" t="n">
        <v>0.000168</v>
      </c>
      <c r="AC35" s="30" t="n">
        <v>-1.75</v>
      </c>
      <c r="AD35" s="24" t="inlineStr">
        <is>
          <t>2026-08-02T15:52:52.334786Z</t>
        </is>
      </c>
      <c r="AE35" s="31" t="inlineStr">
        <is>
          <t>Neutral Elo baseline; executable ask 0.5800 (market_slug=aec-cs2-bmb-ff-2026-08-02).</t>
        </is>
      </c>
      <c r="AF35" s="31" t="inlineStr">
        <is>
          <t>Config-promoted esports baseline; gates enforced at log time.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NO_CALL_MODEL_UNVALIDATED</t>
        </is>
      </c>
      <c r="AP35" s="24" t="inlineStr">
        <is>
          <t>Fire Flux Esports</t>
        </is>
      </c>
      <c r="AQ35" s="24" t="inlineStr">
        <is>
          <t>Fire Flux Esports</t>
        </is>
      </c>
      <c r="AR35" s="24" t="inlineStr">
        <is>
          <t>Fire Flux Esports</t>
        </is>
      </c>
      <c r="AS35" s="24" t="inlineStr">
        <is>
          <t>BASEMENT BOYS</t>
        </is>
      </c>
      <c r="AT35" s="24" t="inlineStr">
        <is>
          <t>BASEMENT BOYS</t>
        </is>
      </c>
      <c r="AU35" s="24" t="inlineStr">
        <is>
          <t>BASEMENT BOYS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bd7b44b2e86615e932309b2497f806ee2b5567367d785a2c9653f7a6fe2215fb</t>
        </is>
      </c>
      <c r="BB35" s="24" t="inlineStr">
        <is>
          <t>neutral_elo</t>
        </is>
      </c>
      <c r="BC35" s="24" t="inlineStr">
        <is>
          <t>cs2-tiered-elo-v5</t>
        </is>
      </c>
      <c r="BD35" s="24" t="inlineStr">
        <is>
          <t>bd7b44b2e86615e932309b2497f806ee2b5567367d785a2c9653f7a6fe2215fb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cs2-tiered-elo-v5</t>
        </is>
      </c>
      <c r="BH35" s="24" t="inlineStr">
        <is>
          <t>2026-08-02T12:30:15.429687Z</t>
        </is>
      </c>
      <c r="BI35" s="24" t="inlineStr">
        <is>
          <t>["same_event","same_team_same_day","same_league_same_day"]</t>
        </is>
      </c>
      <c r="BJ35" s="25" t="n"/>
      <c r="BK35" s="26" t="n">
        <v>-138</v>
      </c>
      <c r="BL35" s="27" t="n">
        <v>1.724638</v>
      </c>
      <c r="BM35" s="28" t="n">
        <v>0.579832</v>
      </c>
      <c r="BN35" s="28" t="n"/>
      <c r="BO35" s="28" t="n"/>
      <c r="BP35" s="25" t="n"/>
      <c r="BQ35" s="27" t="n">
        <v>1.724638</v>
      </c>
      <c r="BR35" s="28" t="n">
        <v>0.58</v>
      </c>
      <c r="BS35" s="28" t="n"/>
      <c r="BT35" s="28" t="n"/>
      <c r="BU35" s="25" t="n"/>
      <c r="BV35" s="29" t="n"/>
      <c r="BW35" s="24" t="n"/>
      <c r="BX35" s="30" t="n">
        <v>1</v>
      </c>
      <c r="BY35" s="27" t="n">
        <v>-1</v>
      </c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n"/>
    </row>
    <row r="36" ht="36" customHeight="1">
      <c r="A36" s="24" t="inlineStr">
        <is>
          <t>d0efc22dca584b47</t>
        </is>
      </c>
      <c r="B36" s="24" t="inlineStr">
        <is>
          <t>2026-08-02T12:30:33.225632Z</t>
        </is>
      </c>
      <c r="C36" s="24" t="inlineStr">
        <is>
          <t>2026-08-02T13:00:00Z</t>
        </is>
      </c>
      <c r="D36" s="24" t="inlineStr">
        <is>
          <t>68255</t>
        </is>
      </c>
      <c r="E36" s="24" t="inlineStr">
        <is>
          <t>CS2</t>
        </is>
      </c>
      <c r="F36" s="24" t="inlineStr">
        <is>
          <t>WBT</t>
        </is>
      </c>
      <c r="G36" s="24" t="inlineStr">
        <is>
          <t>MOUZ NXT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-144</v>
      </c>
      <c r="M36" s="27" t="n">
        <v>1.694444</v>
      </c>
      <c r="N36" s="28" t="n">
        <v>0.590164</v>
      </c>
      <c r="O36" s="28" t="n">
        <v>0.543187</v>
      </c>
      <c r="P36" s="28" t="n"/>
      <c r="Q36" s="28" t="n">
        <v>-0.046977</v>
      </c>
      <c r="R36" s="26" t="n">
        <v>0</v>
      </c>
      <c r="S36" s="29" t="n">
        <v>1</v>
      </c>
      <c r="T36" s="24" t="inlineStr">
        <is>
          <t>cs2-tiered-elo-v5</t>
        </is>
      </c>
      <c r="U36" s="24" t="inlineStr">
        <is>
          <t>settled</t>
        </is>
      </c>
      <c r="V36" s="24" t="inlineStr">
        <is>
          <t>win</t>
        </is>
      </c>
      <c r="W36" s="26" t="n">
        <v>1</v>
      </c>
      <c r="X36" s="26" t="n">
        <v>0</v>
      </c>
      <c r="Y36" s="25" t="n"/>
      <c r="Z36" s="26" t="n">
        <v>-144</v>
      </c>
      <c r="AA36" s="28" t="n">
        <v>0.59</v>
      </c>
      <c r="AB36" s="28" t="n">
        <v>-0.000164</v>
      </c>
      <c r="AC36" s="30" t="n">
        <v>0.6944</v>
      </c>
      <c r="AD36" s="24" t="inlineStr">
        <is>
          <t>2026-08-02T15:52:53.615878Z</t>
        </is>
      </c>
      <c r="AE36" s="31" t="inlineStr">
        <is>
          <t>Neutral Elo baseline; executable ask 0.5900 (market_slug=aec-cs2-mouzn-wba-2026-08-02).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NO_CALL_LOW_EDGE</t>
        </is>
      </c>
      <c r="AP36" s="24" t="inlineStr">
        <is>
          <t>WBT</t>
        </is>
      </c>
      <c r="AQ36" s="24" t="inlineStr">
        <is>
          <t>WBT</t>
        </is>
      </c>
      <c r="AR36" s="24" t="inlineStr">
        <is>
          <t>WBT</t>
        </is>
      </c>
      <c r="AS36" s="24" t="inlineStr">
        <is>
          <t>MOUZ NXT</t>
        </is>
      </c>
      <c r="AT36" s="24" t="inlineStr">
        <is>
          <t>MOUZ NXT</t>
        </is>
      </c>
      <c r="AU36" s="24" t="inlineStr">
        <is>
          <t>MOUZ NXT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bd7b44b2e86615e932309b2497f806ee2b5567367d785a2c9653f7a6fe2215fb</t>
        </is>
      </c>
      <c r="BB36" s="24" t="inlineStr">
        <is>
          <t>neutral_elo</t>
        </is>
      </c>
      <c r="BC36" s="24" t="inlineStr">
        <is>
          <t>cs2-tiered-elo-v5</t>
        </is>
      </c>
      <c r="BD36" s="24" t="inlineStr">
        <is>
          <t>bd7b44b2e86615e932309b2497f806ee2b5567367d785a2c9653f7a6fe2215fb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cs2-tiered-elo-v5</t>
        </is>
      </c>
      <c r="BH36" s="24" t="inlineStr">
        <is>
          <t>2026-08-02T12:30:17.458438Z</t>
        </is>
      </c>
      <c r="BI36" s="24" t="inlineStr">
        <is>
          <t>["same_event","same_team_same_day","same_league_same_day"]</t>
        </is>
      </c>
      <c r="BJ36" s="25" t="n"/>
      <c r="BK36" s="26" t="n">
        <v>-144</v>
      </c>
      <c r="BL36" s="27" t="n">
        <v>1.694444</v>
      </c>
      <c r="BM36" s="28" t="n">
        <v>0.590164</v>
      </c>
      <c r="BN36" s="28" t="n"/>
      <c r="BO36" s="28" t="n"/>
      <c r="BP36" s="25" t="n"/>
      <c r="BQ36" s="27" t="n">
        <v>1.694444</v>
      </c>
      <c r="BR36" s="28" t="n">
        <v>0.59</v>
      </c>
      <c r="BS36" s="28" t="n"/>
      <c r="BT36" s="28" t="n"/>
      <c r="BU36" s="25" t="n"/>
      <c r="BV36" s="29" t="n"/>
      <c r="BW36" s="24" t="n"/>
      <c r="BX36" s="30" t="n">
        <v>1</v>
      </c>
      <c r="BY36" s="27" t="n">
        <v>0.91</v>
      </c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n"/>
    </row>
    <row r="37" ht="36" customHeight="1">
      <c r="A37" s="24" t="inlineStr">
        <is>
          <t>7905526784ac475b</t>
        </is>
      </c>
      <c r="B37" s="24" t="inlineStr">
        <is>
          <t>2026-08-02T16:53:33.678893Z</t>
        </is>
      </c>
      <c r="C37" s="24" t="inlineStr">
        <is>
          <t>2026-08-02T17:00:00Z</t>
        </is>
      </c>
      <c r="D37" s="24" t="inlineStr">
        <is>
          <t>69682</t>
        </is>
      </c>
      <c r="E37" s="24" t="inlineStr">
        <is>
          <t>CS2</t>
        </is>
      </c>
      <c r="F37" s="24" t="inlineStr">
        <is>
          <t>Fire Flux Esports</t>
        </is>
      </c>
      <c r="G37" s="24" t="inlineStr">
        <is>
          <t>Bushido Wildcats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-156</v>
      </c>
      <c r="M37" s="27" t="n">
        <v>1.641026</v>
      </c>
      <c r="N37" s="28" t="n">
        <v>0.609375</v>
      </c>
      <c r="O37" s="28" t="n">
        <v>0.684208</v>
      </c>
      <c r="P37" s="28" t="n"/>
      <c r="Q37" s="28" t="n">
        <v>0.074833</v>
      </c>
      <c r="R37" s="26" t="n">
        <v>57</v>
      </c>
      <c r="S37" s="29" t="n">
        <v>2</v>
      </c>
      <c r="T37" s="24" t="inlineStr">
        <is>
          <t>cs2-tiered-elo-v5</t>
        </is>
      </c>
      <c r="U37" s="24" t="inlineStr">
        <is>
          <t>settled</t>
        </is>
      </c>
      <c r="V37" s="24" t="inlineStr">
        <is>
          <t>win</t>
        </is>
      </c>
      <c r="W37" s="26" t="n">
        <v>0</v>
      </c>
      <c r="X37" s="26" t="n">
        <v>1</v>
      </c>
      <c r="Y37" s="25" t="n"/>
      <c r="Z37" s="26" t="n">
        <v>-156</v>
      </c>
      <c r="AA37" s="28" t="n">
        <v>0.61</v>
      </c>
      <c r="AB37" s="28" t="n">
        <v>0.000625</v>
      </c>
      <c r="AC37" s="30" t="n">
        <v>1.2821</v>
      </c>
      <c r="AD37" s="24" t="inlineStr">
        <is>
          <t>2026-08-02T23:13:08.840628Z</t>
        </is>
      </c>
      <c r="AE37" s="31" t="inlineStr">
        <is>
          <t>Neutral Elo baseline; executable ask 0.6100 (market_slug=aec-cs2-bw-ff-2026-08-02).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NO_CALL_MODEL_UNVALIDATED</t>
        </is>
      </c>
      <c r="AP37" s="24" t="inlineStr">
        <is>
          <t>Fire Flux Esports</t>
        </is>
      </c>
      <c r="AQ37" s="24" t="inlineStr">
        <is>
          <t>Fire Flux Esports</t>
        </is>
      </c>
      <c r="AR37" s="24" t="inlineStr">
        <is>
          <t>Fire Flux Esports</t>
        </is>
      </c>
      <c r="AS37" s="24" t="inlineStr">
        <is>
          <t>Bushido Wildcats</t>
        </is>
      </c>
      <c r="AT37" s="24" t="inlineStr">
        <is>
          <t>Bushido Wildcats</t>
        </is>
      </c>
      <c r="AU37" s="24" t="inlineStr">
        <is>
          <t>Bushido Wildcats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4c897e659ec9db491c18706ace7c94ba8af6df222c16d377d3bd7391aba18f91</t>
        </is>
      </c>
      <c r="BB37" s="24" t="inlineStr">
        <is>
          <t>neutral_elo</t>
        </is>
      </c>
      <c r="BC37" s="24" t="inlineStr">
        <is>
          <t>cs2-tiered-elo-v5</t>
        </is>
      </c>
      <c r="BD37" s="24" t="inlineStr">
        <is>
          <t>4c897e659ec9db491c18706ace7c94ba8af6df222c16d377d3bd7391aba18f91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cs2-tiered-elo-v5</t>
        </is>
      </c>
      <c r="BH37" s="24" t="inlineStr">
        <is>
          <t>2026-08-02T16:53:18.155145Z</t>
        </is>
      </c>
      <c r="BI37" s="24" t="inlineStr">
        <is>
          <t>["same_event","same_team_same_day","same_league_same_day"]</t>
        </is>
      </c>
      <c r="BJ37" s="25" t="n"/>
      <c r="BK37" s="26" t="n">
        <v>-156</v>
      </c>
      <c r="BL37" s="27" t="n">
        <v>1.641026</v>
      </c>
      <c r="BM37" s="28" t="n">
        <v>0.609375</v>
      </c>
      <c r="BN37" s="28" t="n"/>
      <c r="BO37" s="28" t="n"/>
      <c r="BP37" s="25" t="n"/>
      <c r="BQ37" s="27" t="n">
        <v>1.641026</v>
      </c>
      <c r="BR37" s="28" t="n">
        <v>0.61</v>
      </c>
      <c r="BS37" s="28" t="n"/>
      <c r="BT37" s="28" t="n"/>
      <c r="BU37" s="25" t="n"/>
      <c r="BV37" s="29" t="n"/>
      <c r="BW37" s="24" t="n"/>
      <c r="BX37" s="30" t="n">
        <v>1</v>
      </c>
      <c r="BY37" s="27" t="n">
        <v>0.91</v>
      </c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</row>
    <row r="38" ht="36" customHeight="1">
      <c r="A38" s="24" t="inlineStr">
        <is>
          <t>44e35a31d8a14488</t>
        </is>
      </c>
      <c r="B38" s="24" t="inlineStr">
        <is>
          <t>2026-08-02T16:53:33.678893Z</t>
        </is>
      </c>
      <c r="C38" s="24" t="inlineStr">
        <is>
          <t>2026-08-02T17:00:00Z</t>
        </is>
      </c>
      <c r="D38" s="24" t="inlineStr">
        <is>
          <t>69263</t>
        </is>
      </c>
      <c r="E38" s="24" t="inlineStr">
        <is>
          <t>CS2</t>
        </is>
      </c>
      <c r="F38" s="24" t="inlineStr">
        <is>
          <t>ENJOY</t>
        </is>
      </c>
      <c r="G38" s="24" t="inlineStr">
        <is>
          <t>Mai Tai</t>
        </is>
      </c>
      <c r="H38" s="24" t="inlineStr">
        <is>
          <t>moneyline</t>
        </is>
      </c>
      <c r="I38" s="24" t="inlineStr">
        <is>
          <t>away</t>
        </is>
      </c>
      <c r="J38" s="25" t="n"/>
      <c r="K38" s="24" t="inlineStr">
        <is>
          <t>polymarket_us</t>
        </is>
      </c>
      <c r="L38" s="26" t="n">
        <v>-194</v>
      </c>
      <c r="M38" s="27" t="n">
        <v>1.515464</v>
      </c>
      <c r="N38" s="28" t="n">
        <v>0.659864</v>
      </c>
      <c r="O38" s="28" t="n">
        <v>0.68024</v>
      </c>
      <c r="P38" s="28" t="n"/>
      <c r="Q38" s="28" t="n">
        <v>0.020376</v>
      </c>
      <c r="R38" s="26" t="n">
        <v>30</v>
      </c>
      <c r="S38" s="29" t="n">
        <v>1.75</v>
      </c>
      <c r="T38" s="24" t="inlineStr">
        <is>
          <t>cs2-tiered-elo-v5</t>
        </is>
      </c>
      <c r="U38" s="24" t="inlineStr">
        <is>
          <t>settled</t>
        </is>
      </c>
      <c r="V38" s="24" t="inlineStr">
        <is>
          <t>push</t>
        </is>
      </c>
      <c r="W38" s="26" t="n"/>
      <c r="X38" s="26" t="n"/>
      <c r="Y38" s="25" t="n"/>
      <c r="Z38" s="26" t="n"/>
      <c r="AA38" s="28" t="n"/>
      <c r="AB38" s="28" t="n"/>
      <c r="AC38" s="30" t="n">
        <v>0</v>
      </c>
      <c r="AD38" s="24" t="inlineStr">
        <is>
          <t>2026-08-03T02:34:39.833362Z</t>
        </is>
      </c>
      <c r="AE38" s="31" t="inlineStr">
        <is>
          <t>Neutral Elo baseline; executable ask 0.6600 (market_slug=aec-cs2-mta-enjoy-2026-08-02).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ENJOY</t>
        </is>
      </c>
      <c r="AQ38" s="24" t="inlineStr">
        <is>
          <t>ENJOY</t>
        </is>
      </c>
      <c r="AR38" s="24" t="inlineStr">
        <is>
          <t>ENJOY</t>
        </is>
      </c>
      <c r="AS38" s="24" t="inlineStr">
        <is>
          <t>Mai Tai</t>
        </is>
      </c>
      <c r="AT38" s="24" t="inlineStr">
        <is>
          <t>Mai Tai</t>
        </is>
      </c>
      <c r="AU38" s="24" t="inlineStr">
        <is>
          <t>Mai Tai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4c897e659ec9db491c18706ace7c94ba8af6df222c16d377d3bd7391aba18f91</t>
        </is>
      </c>
      <c r="BB38" s="24" t="inlineStr">
        <is>
          <t>neutral_elo</t>
        </is>
      </c>
      <c r="BC38" s="24" t="inlineStr">
        <is>
          <t>cs2-tiered-elo-v5</t>
        </is>
      </c>
      <c r="BD38" s="24" t="inlineStr">
        <is>
          <t>4c897e659ec9db491c18706ace7c94ba8af6df222c16d377d3bd7391aba18f91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cs2-tiered-elo-v5</t>
        </is>
      </c>
      <c r="BH38" s="24" t="inlineStr">
        <is>
          <t>2026-08-02T16:53:19.829844Z</t>
        </is>
      </c>
      <c r="BI38" s="24" t="inlineStr">
        <is>
          <t>["same_event","same_team_same_day","same_league_same_day"]</t>
        </is>
      </c>
      <c r="BJ38" s="25" t="n"/>
      <c r="BK38" s="26" t="n">
        <v>-194</v>
      </c>
      <c r="BL38" s="27" t="n">
        <v>1.515464</v>
      </c>
      <c r="BM38" s="28" t="n">
        <v>0.659864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inlineStr">
        <is>
          <t>esports market settled to a non-binary price (forfeit/postponement per market rules)</t>
        </is>
      </c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</row>
    <row r="39" ht="36" customHeight="1">
      <c r="A39" s="24" t="inlineStr">
        <is>
          <t>6c52c8bb3cb74a30</t>
        </is>
      </c>
      <c r="B39" s="24" t="inlineStr">
        <is>
          <t>2026-08-02T17:48:41.505470Z</t>
        </is>
      </c>
      <c r="C39" s="24" t="inlineStr">
        <is>
          <t>2026-08-02T18:00:00Z</t>
        </is>
      </c>
      <c r="D39" s="24" t="inlineStr">
        <is>
          <t>69289</t>
        </is>
      </c>
      <c r="E39" s="24" t="inlineStr">
        <is>
          <t>CS2</t>
        </is>
      </c>
      <c r="F39" s="24" t="inlineStr">
        <is>
          <t>BESTIA</t>
        </is>
      </c>
      <c r="G39" s="24" t="inlineStr">
        <is>
          <t>ShindeN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150</v>
      </c>
      <c r="M39" s="27" t="n">
        <v>2.5</v>
      </c>
      <c r="N39" s="28" t="n">
        <v>0.4</v>
      </c>
      <c r="O39" s="28" t="n">
        <v>0.5108819999999999</v>
      </c>
      <c r="P39" s="28" t="n"/>
      <c r="Q39" s="28" t="n">
        <v>0.110882</v>
      </c>
      <c r="R39" s="26" t="n">
        <v>75</v>
      </c>
      <c r="S39" s="29" t="n">
        <v>1</v>
      </c>
      <c r="T39" s="24" t="inlineStr">
        <is>
          <t>cs2-tiered-elo-v5</t>
        </is>
      </c>
      <c r="U39" s="24" t="inlineStr">
        <is>
          <t>settled</t>
        </is>
      </c>
      <c r="V39" s="24" t="inlineStr">
        <is>
          <t>loss</t>
        </is>
      </c>
      <c r="W39" s="26" t="n">
        <v>1</v>
      </c>
      <c r="X39" s="26" t="n">
        <v>0</v>
      </c>
      <c r="Y39" s="25" t="n"/>
      <c r="Z39" s="26" t="n">
        <v>150</v>
      </c>
      <c r="AA39" s="28" t="n">
        <v>0.4</v>
      </c>
      <c r="AB39" s="28" t="n">
        <v>0</v>
      </c>
      <c r="AC39" s="30" t="n">
        <v>-1</v>
      </c>
      <c r="AD39" s="24" t="inlineStr">
        <is>
          <t>2026-08-02T23:13:11.332419Z</t>
        </is>
      </c>
      <c r="AE39" s="31" t="inlineStr">
        <is>
          <t>Neutral Elo baseline; executable ask 0.4000 (market_slug=aec-cs2-shin-bst-2026-08-02).</t>
        </is>
      </c>
      <c r="AF39" s="31" t="inlineStr">
        <is>
          <t>Config-promoted esports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NO_CALL_LOW_EDGE</t>
        </is>
      </c>
      <c r="AP39" s="24" t="inlineStr">
        <is>
          <t>BESTIA</t>
        </is>
      </c>
      <c r="AQ39" s="24" t="inlineStr">
        <is>
          <t>BESTIA</t>
        </is>
      </c>
      <c r="AR39" s="24" t="inlineStr">
        <is>
          <t>BESTIA</t>
        </is>
      </c>
      <c r="AS39" s="24" t="inlineStr">
        <is>
          <t>ShindeN</t>
        </is>
      </c>
      <c r="AT39" s="24" t="inlineStr">
        <is>
          <t>ShindeN</t>
        </is>
      </c>
      <c r="AU39" s="24" t="inlineStr">
        <is>
          <t>ShindeN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a4e21a1af368f0354dc5f9a4308bc7027cac0942d4270c2251f9210a7793ef91</t>
        </is>
      </c>
      <c r="BB39" s="24" t="inlineStr">
        <is>
          <t>neutral_elo</t>
        </is>
      </c>
      <c r="BC39" s="24" t="inlineStr">
        <is>
          <t>cs2-tiered-elo-v5</t>
        </is>
      </c>
      <c r="BD39" s="24" t="inlineStr">
        <is>
          <t>a4e21a1af368f0354dc5f9a4308bc7027cac0942d4270c2251f9210a7793ef91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cs2-tiered-elo-v5</t>
        </is>
      </c>
      <c r="BH39" s="24" t="inlineStr">
        <is>
          <t>2026-08-02T17:48:28.086385Z</t>
        </is>
      </c>
      <c r="BI39" s="24" t="inlineStr">
        <is>
          <t>["same_event","same_team_same_day","same_league_same_day"]</t>
        </is>
      </c>
      <c r="BJ39" s="25" t="n"/>
      <c r="BK39" s="26" t="n">
        <v>150</v>
      </c>
      <c r="BL39" s="27" t="n">
        <v>2.5</v>
      </c>
      <c r="BM39" s="28" t="n">
        <v>0.4</v>
      </c>
      <c r="BN39" s="28" t="n"/>
      <c r="BO39" s="28" t="n"/>
      <c r="BP39" s="25" t="n"/>
      <c r="BQ39" s="27" t="n">
        <v>2.5</v>
      </c>
      <c r="BR39" s="28" t="n">
        <v>0.4</v>
      </c>
      <c r="BS39" s="28" t="n"/>
      <c r="BT39" s="28" t="n"/>
      <c r="BU39" s="25" t="n"/>
      <c r="BV39" s="29" t="n"/>
      <c r="BW39" s="24" t="n"/>
      <c r="BX39" s="30" t="n">
        <v>1</v>
      </c>
      <c r="BY39" s="27" t="n">
        <v>-1</v>
      </c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</row>
    <row r="40" ht="36" customHeight="1">
      <c r="A40" s="24" t="inlineStr">
        <is>
          <t>108a0eee881d4892</t>
        </is>
      </c>
      <c r="B40" s="24" t="inlineStr">
        <is>
          <t>2026-08-02T18:50:17.352715Z</t>
        </is>
      </c>
      <c r="C40" s="24" t="inlineStr">
        <is>
          <t>2026-08-02T19:15:00Z</t>
        </is>
      </c>
      <c r="D40" s="24" t="inlineStr">
        <is>
          <t>67577</t>
        </is>
      </c>
      <c r="E40" s="24" t="inlineStr">
        <is>
          <t>CS2</t>
        </is>
      </c>
      <c r="F40" s="24" t="inlineStr">
        <is>
          <t>SNAILKICK Club</t>
        </is>
      </c>
      <c r="G40" s="24" t="inlineStr">
        <is>
          <t>Lixxx Club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-156</v>
      </c>
      <c r="M40" s="27" t="n">
        <v>1.641026</v>
      </c>
      <c r="N40" s="28" t="n">
        <v>0.609375</v>
      </c>
      <c r="O40" s="28" t="n">
        <v>0.527097</v>
      </c>
      <c r="P40" s="28" t="n"/>
      <c r="Q40" s="28" t="n">
        <v>-0.082278</v>
      </c>
      <c r="R40" s="26" t="n">
        <v>0</v>
      </c>
      <c r="S40" s="29" t="n">
        <v>1</v>
      </c>
      <c r="T40" s="24" t="inlineStr">
        <is>
          <t>cs2-tiered-elo-v5</t>
        </is>
      </c>
      <c r="U40" s="24" t="inlineStr">
        <is>
          <t>settled</t>
        </is>
      </c>
      <c r="V40" s="24" t="inlineStr">
        <is>
          <t>win</t>
        </is>
      </c>
      <c r="W40" s="26" t="n">
        <v>0</v>
      </c>
      <c r="X40" s="26" t="n">
        <v>1</v>
      </c>
      <c r="Y40" s="25" t="n"/>
      <c r="Z40" s="26" t="n">
        <v>-156</v>
      </c>
      <c r="AA40" s="28" t="n">
        <v>0.61</v>
      </c>
      <c r="AB40" s="28" t="n">
        <v>0.000625</v>
      </c>
      <c r="AC40" s="30" t="n">
        <v>0.641</v>
      </c>
      <c r="AD40" s="24" t="inlineStr">
        <is>
          <t>2026-08-02T23:13:12.727767Z</t>
        </is>
      </c>
      <c r="AE40" s="31" t="inlineStr">
        <is>
          <t>Neutral Elo baseline; executable ask 0.6100 (market_slug=aec-cs2-lci-scn-2026-08-02).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NO_CALL_MODEL_UNVALIDATED</t>
        </is>
      </c>
      <c r="AP40" s="24" t="inlineStr">
        <is>
          <t>SNAILKICK Club</t>
        </is>
      </c>
      <c r="AQ40" s="24" t="inlineStr">
        <is>
          <t>SNAILKICK Club</t>
        </is>
      </c>
      <c r="AR40" s="24" t="inlineStr">
        <is>
          <t>SNAILKICK Club</t>
        </is>
      </c>
      <c r="AS40" s="24" t="inlineStr">
        <is>
          <t>Lixxx Club</t>
        </is>
      </c>
      <c r="AT40" s="24" t="inlineStr">
        <is>
          <t>Lixxx Club</t>
        </is>
      </c>
      <c r="AU40" s="24" t="inlineStr">
        <is>
          <t>Lixxx Club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e4232d2f4ef51c47f2dc842e10597bebb70952e9ec25e243147604e0ae4edf92</t>
        </is>
      </c>
      <c r="BB40" s="24" t="inlineStr">
        <is>
          <t>neutral_elo</t>
        </is>
      </c>
      <c r="BC40" s="24" t="inlineStr">
        <is>
          <t>cs2-tiered-elo-v5</t>
        </is>
      </c>
      <c r="BD40" s="24" t="inlineStr">
        <is>
          <t>e4232d2f4ef51c47f2dc842e10597bebb70952e9ec25e243147604e0ae4edf92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cs2-tiered-elo-v5</t>
        </is>
      </c>
      <c r="BH40" s="24" t="inlineStr">
        <is>
          <t>2026-08-02T18:50:03.712258Z</t>
        </is>
      </c>
      <c r="BI40" s="24" t="inlineStr">
        <is>
          <t>["same_event","same_team_same_day","same_league_same_day"]</t>
        </is>
      </c>
      <c r="BJ40" s="25" t="n"/>
      <c r="BK40" s="26" t="n">
        <v>-156</v>
      </c>
      <c r="BL40" s="27" t="n">
        <v>1.641026</v>
      </c>
      <c r="BM40" s="28" t="n">
        <v>0.609375</v>
      </c>
      <c r="BN40" s="28" t="n"/>
      <c r="BO40" s="28" t="n"/>
      <c r="BP40" s="25" t="n"/>
      <c r="BQ40" s="27" t="n">
        <v>1.641026</v>
      </c>
      <c r="BR40" s="28" t="n">
        <v>0.61</v>
      </c>
      <c r="BS40" s="28" t="n"/>
      <c r="BT40" s="28" t="n"/>
      <c r="BU40" s="25" t="n"/>
      <c r="BV40" s="29" t="n"/>
      <c r="BW40" s="24" t="n"/>
      <c r="BX40" s="30" t="n">
        <v>1</v>
      </c>
      <c r="BY40" s="27" t="n">
        <v>0.91</v>
      </c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False</t>
        </is>
      </c>
    </row>
    <row r="41" ht="36" customHeight="1">
      <c r="A41" s="24" t="inlineStr">
        <is>
          <t>48fe4f9d648643a5</t>
        </is>
      </c>
      <c r="B41" s="24" t="inlineStr">
        <is>
          <t>2026-08-02T18:50:17.352715Z</t>
        </is>
      </c>
      <c r="C41" s="24" t="inlineStr">
        <is>
          <t>2026-08-02T19:15:00Z</t>
        </is>
      </c>
      <c r="D41" s="24" t="inlineStr">
        <is>
          <t>67576</t>
        </is>
      </c>
      <c r="E41" s="24" t="inlineStr">
        <is>
          <t>CS2</t>
        </is>
      </c>
      <c r="F41" s="24" t="inlineStr">
        <is>
          <t>mokrivskiy Club</t>
        </is>
      </c>
      <c r="G41" s="24" t="inlineStr">
        <is>
          <t>Morphilina Club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127</v>
      </c>
      <c r="M41" s="27" t="n">
        <v>2.27</v>
      </c>
      <c r="N41" s="28" t="n">
        <v>0.440529</v>
      </c>
      <c r="O41" s="28" t="n">
        <v>0.579772</v>
      </c>
      <c r="P41" s="28" t="n"/>
      <c r="Q41" s="28" t="n">
        <v>0.139243</v>
      </c>
      <c r="R41" s="26" t="n">
        <v>90</v>
      </c>
      <c r="S41" s="29" t="n">
        <v>1.25</v>
      </c>
      <c r="T41" s="24" t="inlineStr">
        <is>
          <t>cs2-tiered-elo-v5</t>
        </is>
      </c>
      <c r="U41" s="24" t="inlineStr">
        <is>
          <t>settled</t>
        </is>
      </c>
      <c r="V41" s="24" t="inlineStr">
        <is>
          <t>loss</t>
        </is>
      </c>
      <c r="W41" s="26" t="n">
        <v>1</v>
      </c>
      <c r="X41" s="26" t="n">
        <v>0</v>
      </c>
      <c r="Y41" s="25" t="n"/>
      <c r="Z41" s="26" t="n">
        <v>127</v>
      </c>
      <c r="AA41" s="28" t="n">
        <v>0.44</v>
      </c>
      <c r="AB41" s="28" t="n">
        <v>-0.000529</v>
      </c>
      <c r="AC41" s="30" t="n">
        <v>-1.25</v>
      </c>
      <c r="AD41" s="24" t="inlineStr">
        <is>
          <t>2026-08-02T23:13:14.056091Z</t>
        </is>
      </c>
      <c r="AE41" s="31" t="inlineStr">
        <is>
          <t>Neutral Elo baseline; executable ask 0.4400 (market_slug=aec-cs2-mcor-mco-2026-08-02).</t>
        </is>
      </c>
      <c r="AF41" s="31" t="inlineStr">
        <is>
          <t>Config-promoted esports baseline; gates enforced at log time.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mokrivskiy Club</t>
        </is>
      </c>
      <c r="AQ41" s="24" t="inlineStr">
        <is>
          <t>mokrivskiy Club</t>
        </is>
      </c>
      <c r="AR41" s="24" t="inlineStr">
        <is>
          <t>mokrivskiy Club</t>
        </is>
      </c>
      <c r="AS41" s="24" t="inlineStr">
        <is>
          <t>Morphilina Club</t>
        </is>
      </c>
      <c r="AT41" s="24" t="inlineStr">
        <is>
          <t>Morphilina Club</t>
        </is>
      </c>
      <c r="AU41" s="24" t="inlineStr">
        <is>
          <t>Morphilina Club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e4232d2f4ef51c47f2dc842e10597bebb70952e9ec25e243147604e0ae4edf92</t>
        </is>
      </c>
      <c r="BB41" s="24" t="inlineStr">
        <is>
          <t>neutral_elo</t>
        </is>
      </c>
      <c r="BC41" s="24" t="inlineStr">
        <is>
          <t>cs2-tiered-elo-v5</t>
        </is>
      </c>
      <c r="BD41" s="24" t="inlineStr">
        <is>
          <t>e4232d2f4ef51c47f2dc842e10597bebb70952e9ec25e243147604e0ae4edf92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cs2-tiered-elo-v5</t>
        </is>
      </c>
      <c r="BH41" s="24" t="inlineStr">
        <is>
          <t>2026-08-02T18:50:04.261778Z</t>
        </is>
      </c>
      <c r="BI41" s="24" t="inlineStr">
        <is>
          <t>["same_event","same_team_same_day","same_league_same_day"]</t>
        </is>
      </c>
      <c r="BJ41" s="25" t="n"/>
      <c r="BK41" s="26" t="n">
        <v>127</v>
      </c>
      <c r="BL41" s="27" t="n">
        <v>2.27</v>
      </c>
      <c r="BM41" s="28" t="n">
        <v>0.440529</v>
      </c>
      <c r="BN41" s="28" t="n"/>
      <c r="BO41" s="28" t="n"/>
      <c r="BP41" s="25" t="n"/>
      <c r="BQ41" s="27" t="n">
        <v>2.27</v>
      </c>
      <c r="BR41" s="28" t="n">
        <v>0.44</v>
      </c>
      <c r="BS41" s="28" t="n"/>
      <c r="BT41" s="28" t="n"/>
      <c r="BU41" s="25" t="n"/>
      <c r="BV41" s="29" t="n"/>
      <c r="BW41" s="24" t="n"/>
      <c r="BX41" s="30" t="n">
        <v>1</v>
      </c>
      <c r="BY41" s="27" t="n">
        <v>-1</v>
      </c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</row>
    <row r="42" ht="36" customHeight="1">
      <c r="A42" s="24" t="inlineStr">
        <is>
          <t>b1f733e75f784276</t>
        </is>
      </c>
      <c r="B42" s="24" t="inlineStr">
        <is>
          <t>2026-08-03T06:31:38.644798Z</t>
        </is>
      </c>
      <c r="C42" s="24" t="inlineStr">
        <is>
          <t>2026-08-03T08:00:00Z</t>
        </is>
      </c>
      <c r="D42" s="24" t="inlineStr">
        <is>
          <t>68288</t>
        </is>
      </c>
      <c r="E42" s="24" t="inlineStr">
        <is>
          <t>CS2</t>
        </is>
      </c>
      <c r="F42" s="24" t="inlineStr">
        <is>
          <t>CYBERSHOKE Prospects</t>
        </is>
      </c>
      <c r="G42" s="24" t="inlineStr">
        <is>
          <t>WW Team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194</v>
      </c>
      <c r="M42" s="27" t="n">
        <v>2.94</v>
      </c>
      <c r="N42" s="28" t="n">
        <v>0.340136</v>
      </c>
      <c r="O42" s="28" t="n">
        <v>0.7042119999999999</v>
      </c>
      <c r="P42" s="28" t="n"/>
      <c r="Q42" s="28" t="n">
        <v>0.364076</v>
      </c>
      <c r="R42" s="26" t="n">
        <v>100</v>
      </c>
      <c r="S42" s="29" t="n">
        <v>2</v>
      </c>
      <c r="T42" s="24" t="inlineStr">
        <is>
          <t>cs2-tiered-elo-v5</t>
        </is>
      </c>
      <c r="U42" s="24" t="inlineStr">
        <is>
          <t>settled</t>
        </is>
      </c>
      <c r="V42" s="24" t="inlineStr">
        <is>
          <t>win</t>
        </is>
      </c>
      <c r="W42" s="26" t="n">
        <v>1</v>
      </c>
      <c r="X42" s="26" t="n">
        <v>0</v>
      </c>
      <c r="Y42" s="25" t="n"/>
      <c r="Z42" s="26" t="n">
        <v>194</v>
      </c>
      <c r="AA42" s="28" t="n">
        <v>0.34</v>
      </c>
      <c r="AB42" s="28" t="n">
        <v>-0.000136</v>
      </c>
      <c r="AC42" s="30" t="n">
        <v>3.88</v>
      </c>
      <c r="AD42" s="24" t="inlineStr">
        <is>
          <t>2026-08-03T10:45:33.618423Z</t>
        </is>
      </c>
      <c r="AE42" s="31" t="inlineStr">
        <is>
          <t>Neutral Elo baseline; executable ask 0.3400 (market_slug=aec-cs2-ww-cshp-2026-08-03).</t>
        </is>
      </c>
      <c r="AF42" s="31" t="inlineStr">
        <is>
          <t>Config-promoted esports baseline; gates enforced at log time.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NO_CALL_MODEL_UNVALIDATED</t>
        </is>
      </c>
      <c r="AP42" s="24" t="inlineStr">
        <is>
          <t>CYBERSHOKE Prospects</t>
        </is>
      </c>
      <c r="AQ42" s="24" t="inlineStr">
        <is>
          <t>CYBERSHOKE Prospects</t>
        </is>
      </c>
      <c r="AR42" s="24" t="inlineStr">
        <is>
          <t>CYBERSHOKE Prospects</t>
        </is>
      </c>
      <c r="AS42" s="24" t="inlineStr">
        <is>
          <t>WW Team</t>
        </is>
      </c>
      <c r="AT42" s="24" t="inlineStr">
        <is>
          <t>WW Team</t>
        </is>
      </c>
      <c r="AU42" s="24" t="inlineStr">
        <is>
          <t>WW Team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7d07e567fea5bd3738b3dbc4e35eb295221f9dc89d0247f1cc7d87e37942825c</t>
        </is>
      </c>
      <c r="BB42" s="24" t="inlineStr">
        <is>
          <t>neutral_elo</t>
        </is>
      </c>
      <c r="BC42" s="24" t="inlineStr">
        <is>
          <t>cs2-tiered-elo-v5</t>
        </is>
      </c>
      <c r="BD42" s="24" t="inlineStr">
        <is>
          <t>7d07e567fea5bd3738b3dbc4e35eb295221f9dc89d0247f1cc7d87e37942825c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cs2-tiered-elo-v5</t>
        </is>
      </c>
      <c r="BH42" s="24" t="inlineStr">
        <is>
          <t>2026-08-03T06:31:13.030731Z</t>
        </is>
      </c>
      <c r="BI42" s="24" t="inlineStr">
        <is>
          <t>["same_event","same_team_same_day","same_league_same_day"]</t>
        </is>
      </c>
      <c r="BJ42" s="25" t="n"/>
      <c r="BK42" s="26" t="n">
        <v>194</v>
      </c>
      <c r="BL42" s="27" t="n">
        <v>2.94</v>
      </c>
      <c r="BM42" s="28" t="n">
        <v>0.340136</v>
      </c>
      <c r="BN42" s="28" t="n"/>
      <c r="BO42" s="28" t="n"/>
      <c r="BP42" s="25" t="n"/>
      <c r="BQ42" s="27" t="n">
        <v>2.94</v>
      </c>
      <c r="BR42" s="28" t="n">
        <v>0.34</v>
      </c>
      <c r="BS42" s="28" t="n"/>
      <c r="BT42" s="28" t="n"/>
      <c r="BU42" s="25" t="n"/>
      <c r="BV42" s="29" t="n"/>
      <c r="BW42" s="24" t="n"/>
      <c r="BX42" s="30" t="n">
        <v>1</v>
      </c>
      <c r="BY42" s="27" t="n">
        <v>0.91</v>
      </c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</row>
    <row r="43" ht="36" customHeight="1">
      <c r="A43" s="24" t="inlineStr">
        <is>
          <t>55ad649cd63d458b</t>
        </is>
      </c>
      <c r="B43" s="24" t="inlineStr">
        <is>
          <t>2026-08-03T06:31:38.644798Z</t>
        </is>
      </c>
      <c r="C43" s="24" t="inlineStr">
        <is>
          <t>2026-08-03T10:00:00Z</t>
        </is>
      </c>
      <c r="D43" s="24" t="inlineStr">
        <is>
          <t>67510</t>
        </is>
      </c>
      <c r="E43" s="24" t="inlineStr">
        <is>
          <t>CS2</t>
        </is>
      </c>
      <c r="F43" s="24" t="inlineStr">
        <is>
          <t>Johnny Speeds</t>
        </is>
      </c>
      <c r="G43" s="24" t="inlineStr">
        <is>
          <t>Metizport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-233</v>
      </c>
      <c r="M43" s="27" t="n">
        <v>1.429185</v>
      </c>
      <c r="N43" s="28" t="n">
        <v>0.6997</v>
      </c>
      <c r="O43" s="28" t="n">
        <v>0.5630579999999999</v>
      </c>
      <c r="P43" s="28" t="n"/>
      <c r="Q43" s="28" t="n">
        <v>-0.136642</v>
      </c>
      <c r="R43" s="26" t="n">
        <v>0</v>
      </c>
      <c r="S43" s="29" t="n">
        <v>1</v>
      </c>
      <c r="T43" s="24" t="inlineStr">
        <is>
          <t>cs2-tiered-elo-v5</t>
        </is>
      </c>
      <c r="U43" s="24" t="inlineStr">
        <is>
          <t>settled</t>
        </is>
      </c>
      <c r="V43" s="24" t="inlineStr">
        <is>
          <t>win</t>
        </is>
      </c>
      <c r="W43" s="26" t="n">
        <v>0</v>
      </c>
      <c r="X43" s="26" t="n">
        <v>1</v>
      </c>
      <c r="Y43" s="25" t="n"/>
      <c r="Z43" s="26" t="n">
        <v>-233</v>
      </c>
      <c r="AA43" s="28" t="n">
        <v>0.7</v>
      </c>
      <c r="AB43" s="28" t="n">
        <v>0.0003</v>
      </c>
      <c r="AC43" s="30" t="n">
        <v>0.4292</v>
      </c>
      <c r="AD43" s="24" t="inlineStr">
        <is>
          <t>2026-08-03T13:27:16.155324Z</t>
        </is>
      </c>
      <c r="AE43" s="31" t="inlineStr">
        <is>
          <t>Neutral Elo baseline; executable ask 0.7000 (market_slug=aec-cs2-mzp-js-2026-08-03).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NO_CALL_LOW_EDGE</t>
        </is>
      </c>
      <c r="AP43" s="24" t="inlineStr">
        <is>
          <t>Johnny Speeds</t>
        </is>
      </c>
      <c r="AQ43" s="24" t="inlineStr">
        <is>
          <t>Johnny Speeds</t>
        </is>
      </c>
      <c r="AR43" s="24" t="inlineStr">
        <is>
          <t>Johnny Speeds</t>
        </is>
      </c>
      <c r="AS43" s="24" t="inlineStr">
        <is>
          <t>Metizport</t>
        </is>
      </c>
      <c r="AT43" s="24" t="inlineStr">
        <is>
          <t>Metizport</t>
        </is>
      </c>
      <c r="AU43" s="24" t="inlineStr">
        <is>
          <t>Metizport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7d07e567fea5bd3738b3dbc4e35eb295221f9dc89d0247f1cc7d87e37942825c</t>
        </is>
      </c>
      <c r="BB43" s="24" t="inlineStr">
        <is>
          <t>neutral_elo</t>
        </is>
      </c>
      <c r="BC43" s="24" t="inlineStr">
        <is>
          <t>cs2-tiered-elo-v5</t>
        </is>
      </c>
      <c r="BD43" s="24" t="inlineStr">
        <is>
          <t>7d07e567fea5bd3738b3dbc4e35eb295221f9dc89d0247f1cc7d87e37942825c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cs2-tiered-elo-v5</t>
        </is>
      </c>
      <c r="BH43" s="24" t="inlineStr">
        <is>
          <t>2026-08-03T06:31:14.520566Z</t>
        </is>
      </c>
      <c r="BI43" s="24" t="inlineStr">
        <is>
          <t>["same_event","same_team_same_day","same_league_same_day"]</t>
        </is>
      </c>
      <c r="BJ43" s="25" t="n"/>
      <c r="BK43" s="26" t="n">
        <v>-233</v>
      </c>
      <c r="BL43" s="27" t="n">
        <v>1.429185</v>
      </c>
      <c r="BM43" s="28" t="n">
        <v>0.6997</v>
      </c>
      <c r="BN43" s="28" t="n"/>
      <c r="BO43" s="28" t="n"/>
      <c r="BP43" s="25" t="n"/>
      <c r="BQ43" s="27" t="n">
        <v>1.429185</v>
      </c>
      <c r="BR43" s="28" t="n">
        <v>0.7</v>
      </c>
      <c r="BS43" s="28" t="n"/>
      <c r="BT43" s="28" t="n"/>
      <c r="BU43" s="25" t="n"/>
      <c r="BV43" s="29" t="n"/>
      <c r="BW43" s="24" t="n"/>
      <c r="BX43" s="30" t="n">
        <v>1</v>
      </c>
      <c r="BY43" s="27" t="n">
        <v>0.91</v>
      </c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False</t>
        </is>
      </c>
    </row>
    <row r="44" ht="36" customHeight="1">
      <c r="A44" s="24" t="inlineStr">
        <is>
          <t>5c2d8ed5d51040de</t>
        </is>
      </c>
      <c r="B44" s="24" t="inlineStr">
        <is>
          <t>2026-08-03T06:31:38.644798Z</t>
        </is>
      </c>
      <c r="C44" s="24" t="inlineStr">
        <is>
          <t>2026-08-03T10:00:00Z</t>
        </is>
      </c>
      <c r="D44" s="24" t="inlineStr">
        <is>
          <t>68289</t>
        </is>
      </c>
      <c r="E44" s="24" t="inlineStr">
        <is>
          <t>CS2</t>
        </is>
      </c>
      <c r="F44" s="24" t="inlineStr">
        <is>
          <t>FURY</t>
        </is>
      </c>
      <c r="G44" s="24" t="inlineStr">
        <is>
          <t>Mindfreak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-178</v>
      </c>
      <c r="M44" s="27" t="n">
        <v>1.561798</v>
      </c>
      <c r="N44" s="28" t="n">
        <v>0.640288</v>
      </c>
      <c r="O44" s="28" t="n">
        <v>0.5991570000000001</v>
      </c>
      <c r="P44" s="28" t="n"/>
      <c r="Q44" s="28" t="n">
        <v>-0.041131</v>
      </c>
      <c r="R44" s="26" t="n">
        <v>0</v>
      </c>
      <c r="S44" s="29" t="n">
        <v>1.25</v>
      </c>
      <c r="T44" s="24" t="inlineStr">
        <is>
          <t>cs2-tiered-elo-v5</t>
        </is>
      </c>
      <c r="U44" s="24" t="inlineStr">
        <is>
          <t>settled</t>
        </is>
      </c>
      <c r="V44" s="24" t="inlineStr">
        <is>
          <t>loss</t>
        </is>
      </c>
      <c r="W44" s="26" t="n">
        <v>1</v>
      </c>
      <c r="X44" s="26" t="n">
        <v>0</v>
      </c>
      <c r="Y44" s="25" t="n"/>
      <c r="Z44" s="26" t="n">
        <v>-178</v>
      </c>
      <c r="AA44" s="28" t="n">
        <v>0.64</v>
      </c>
      <c r="AB44" s="28" t="n">
        <v>-0.000288</v>
      </c>
      <c r="AC44" s="30" t="n">
        <v>-1.25</v>
      </c>
      <c r="AD44" s="24" t="inlineStr">
        <is>
          <t>2026-08-03T13:27:17.629633Z</t>
        </is>
      </c>
      <c r="AE44" s="31" t="inlineStr">
        <is>
          <t>Neutral Elo baseline; executable ask 0.6400 (market_slug=aec-cs2-mf-fury-2026-08-03).</t>
        </is>
      </c>
      <c r="AF44" s="31" t="inlineStr">
        <is>
          <t>Config-promoted esports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NO_CALL_LOW_EDGE</t>
        </is>
      </c>
      <c r="AP44" s="24" t="inlineStr">
        <is>
          <t>FURY</t>
        </is>
      </c>
      <c r="AQ44" s="24" t="inlineStr">
        <is>
          <t>FURY</t>
        </is>
      </c>
      <c r="AR44" s="24" t="inlineStr">
        <is>
          <t>FURY</t>
        </is>
      </c>
      <c r="AS44" s="24" t="inlineStr">
        <is>
          <t>Mindfreak</t>
        </is>
      </c>
      <c r="AT44" s="24" t="inlineStr">
        <is>
          <t>Mindfreak</t>
        </is>
      </c>
      <c r="AU44" s="24" t="inlineStr">
        <is>
          <t>Mindfreak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7d07e567fea5bd3738b3dbc4e35eb295221f9dc89d0247f1cc7d87e37942825c</t>
        </is>
      </c>
      <c r="BB44" s="24" t="inlineStr">
        <is>
          <t>neutral_elo</t>
        </is>
      </c>
      <c r="BC44" s="24" t="inlineStr">
        <is>
          <t>cs2-tiered-elo-v5</t>
        </is>
      </c>
      <c r="BD44" s="24" t="inlineStr">
        <is>
          <t>7d07e567fea5bd3738b3dbc4e35eb295221f9dc89d0247f1cc7d87e37942825c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cs2-tiered-elo-v5</t>
        </is>
      </c>
      <c r="BH44" s="24" t="inlineStr">
        <is>
          <t>2026-08-03T06:31:15.055891Z</t>
        </is>
      </c>
      <c r="BI44" s="24" t="inlineStr">
        <is>
          <t>["same_event","same_team_same_day","same_league_same_day"]</t>
        </is>
      </c>
      <c r="BJ44" s="25" t="n"/>
      <c r="BK44" s="26" t="n">
        <v>-178</v>
      </c>
      <c r="BL44" s="27" t="n">
        <v>1.561798</v>
      </c>
      <c r="BM44" s="28" t="n">
        <v>0.640288</v>
      </c>
      <c r="BN44" s="28" t="n"/>
      <c r="BO44" s="28" t="n"/>
      <c r="BP44" s="25" t="n"/>
      <c r="BQ44" s="27" t="n">
        <v>1.561798</v>
      </c>
      <c r="BR44" s="28" t="n">
        <v>0.64</v>
      </c>
      <c r="BS44" s="28" t="n"/>
      <c r="BT44" s="28" t="n"/>
      <c r="BU44" s="25" t="n"/>
      <c r="BV44" s="29" t="n"/>
      <c r="BW44" s="24" t="n"/>
      <c r="BX44" s="30" t="n">
        <v>1</v>
      </c>
      <c r="BY44" s="27" t="n">
        <v>-1</v>
      </c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False</t>
        </is>
      </c>
    </row>
    <row r="45" ht="36" customHeight="1">
      <c r="A45" s="24" t="inlineStr">
        <is>
          <t>2fff69caf4e34ea1</t>
        </is>
      </c>
      <c r="B45" s="24" t="inlineStr">
        <is>
          <t>2026-08-03T10:14:59.378487Z</t>
        </is>
      </c>
      <c r="C45" s="24" t="inlineStr">
        <is>
          <t>2026-08-03T10:30:00Z</t>
        </is>
      </c>
      <c r="D45" s="24" t="inlineStr">
        <is>
          <t>67514</t>
        </is>
      </c>
      <c r="E45" s="24" t="inlineStr">
        <is>
          <t>CS2</t>
        </is>
      </c>
      <c r="F45" s="24" t="inlineStr">
        <is>
          <t>Passion Academy</t>
        </is>
      </c>
      <c r="G45" s="24" t="inlineStr">
        <is>
          <t>EAC Rising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-156</v>
      </c>
      <c r="M45" s="27" t="n">
        <v>1.641026</v>
      </c>
      <c r="N45" s="28" t="n">
        <v>0.609375</v>
      </c>
      <c r="O45" s="28" t="n">
        <v>0.639821</v>
      </c>
      <c r="P45" s="28" t="n"/>
      <c r="Q45" s="28" t="n">
        <v>0.030446</v>
      </c>
      <c r="R45" s="26" t="n">
        <v>35</v>
      </c>
      <c r="S45" s="29" t="n">
        <v>1.5</v>
      </c>
      <c r="T45" s="24" t="inlineStr">
        <is>
          <t>cs2-tiered-elo-v5</t>
        </is>
      </c>
      <c r="U45" s="24" t="inlineStr">
        <is>
          <t>settled</t>
        </is>
      </c>
      <c r="V45" s="24" t="inlineStr">
        <is>
          <t>win</t>
        </is>
      </c>
      <c r="W45" s="26" t="n">
        <v>0</v>
      </c>
      <c r="X45" s="26" t="n">
        <v>1</v>
      </c>
      <c r="Y45" s="25" t="n"/>
      <c r="Z45" s="26" t="n">
        <v>-156</v>
      </c>
      <c r="AA45" s="28" t="n">
        <v>0.61</v>
      </c>
      <c r="AB45" s="28" t="n">
        <v>0.000625</v>
      </c>
      <c r="AC45" s="30" t="n">
        <v>0.9615</v>
      </c>
      <c r="AD45" s="24" t="inlineStr">
        <is>
          <t>2026-08-03T13:27:19.000404Z</t>
        </is>
      </c>
      <c r="AE45" s="31" t="inlineStr">
        <is>
          <t>Neutral Elo baseline; executable ask 0.6100 (market_slug=aec-cs2-era-psna-2026-08-03).</t>
        </is>
      </c>
      <c r="AF45" s="31" t="inlineStr">
        <is>
          <t>Config-promoted esports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Passion Academy</t>
        </is>
      </c>
      <c r="AQ45" s="24" t="inlineStr">
        <is>
          <t>Passion Academy</t>
        </is>
      </c>
      <c r="AR45" s="24" t="inlineStr">
        <is>
          <t>Passion Academy</t>
        </is>
      </c>
      <c r="AS45" s="24" t="inlineStr">
        <is>
          <t>EAC Rising</t>
        </is>
      </c>
      <c r="AT45" s="24" t="inlineStr">
        <is>
          <t>EAC Rising</t>
        </is>
      </c>
      <c r="AU45" s="24" t="inlineStr">
        <is>
          <t>EAC Rising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a67b482e0cc299818c9d6a6183162092d6b3cbeea4f974054606da1c44c3bd99</t>
        </is>
      </c>
      <c r="BB45" s="24" t="inlineStr">
        <is>
          <t>neutral_elo</t>
        </is>
      </c>
      <c r="BC45" s="24" t="inlineStr">
        <is>
          <t>cs2-tiered-elo-v5</t>
        </is>
      </c>
      <c r="BD45" s="24" t="inlineStr">
        <is>
          <t>a67b482e0cc299818c9d6a6183162092d6b3cbeea4f974054606da1c44c3bd99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cs2-tiered-elo-v5</t>
        </is>
      </c>
      <c r="BH45" s="24" t="inlineStr">
        <is>
          <t>2026-08-03T10:14:38.370048Z</t>
        </is>
      </c>
      <c r="BI45" s="24" t="inlineStr">
        <is>
          <t>["same_event","same_team_same_day","same_league_same_day"]</t>
        </is>
      </c>
      <c r="BJ45" s="25" t="n"/>
      <c r="BK45" s="26" t="n">
        <v>-156</v>
      </c>
      <c r="BL45" s="27" t="n">
        <v>1.641026</v>
      </c>
      <c r="BM45" s="28" t="n">
        <v>0.609375</v>
      </c>
      <c r="BN45" s="28" t="n"/>
      <c r="BO45" s="28" t="n"/>
      <c r="BP45" s="25" t="n"/>
      <c r="BQ45" s="27" t="n">
        <v>1.641026</v>
      </c>
      <c r="BR45" s="28" t="n">
        <v>0.61</v>
      </c>
      <c r="BS45" s="28" t="n"/>
      <c r="BT45" s="28" t="n"/>
      <c r="BU45" s="25" t="n"/>
      <c r="BV45" s="29" t="n"/>
      <c r="BW45" s="24" t="n"/>
      <c r="BX45" s="30" t="n">
        <v>1</v>
      </c>
      <c r="BY45" s="27" t="n">
        <v>0.91</v>
      </c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</row>
    <row r="46" ht="36" customHeight="1">
      <c r="A46" s="24" t="inlineStr">
        <is>
          <t>6ec11e6aa641499e</t>
        </is>
      </c>
      <c r="B46" s="24" t="inlineStr">
        <is>
          <t>2026-08-03T11:00:03.308892Z</t>
        </is>
      </c>
      <c r="C46" s="24" t="inlineStr">
        <is>
          <t>2026-08-03T13:00:00Z</t>
        </is>
      </c>
      <c r="D46" s="24" t="inlineStr">
        <is>
          <t>70299</t>
        </is>
      </c>
      <c r="E46" s="24" t="inlineStr">
        <is>
          <t>CS2</t>
        </is>
      </c>
      <c r="F46" s="24" t="inlineStr">
        <is>
          <t>Inner Circle Academy</t>
        </is>
      </c>
      <c r="G46" s="24" t="inlineStr">
        <is>
          <t>Leo Team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-178</v>
      </c>
      <c r="M46" s="27" t="n">
        <v>1.561798</v>
      </c>
      <c r="N46" s="28" t="n">
        <v>0.640288</v>
      </c>
      <c r="O46" s="28" t="n">
        <v>0.519406</v>
      </c>
      <c r="P46" s="28" t="n"/>
      <c r="Q46" s="28" t="n">
        <v>-0.120882</v>
      </c>
      <c r="R46" s="26" t="n">
        <v>0</v>
      </c>
      <c r="S46" s="29" t="n">
        <v>1</v>
      </c>
      <c r="T46" s="24" t="inlineStr">
        <is>
          <t>cs2-tiered-elo-v5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>
        <v>-178</v>
      </c>
      <c r="AA46" s="28" t="n">
        <v>0.64</v>
      </c>
      <c r="AB46" s="28" t="n">
        <v>-0.000288</v>
      </c>
      <c r="AC46" s="30" t="n">
        <v>0.5618</v>
      </c>
      <c r="AD46" s="24" t="inlineStr">
        <is>
          <t>2026-08-03T16:27:28.278736Z</t>
        </is>
      </c>
      <c r="AE46" s="31" t="inlineStr">
        <is>
          <t>Neutral Elo baseline; executable ask 0.6400 (market_slug=aec-cs2-leo-ica-2026-08-03).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research_observation</t>
        </is>
      </c>
      <c r="AL46" s="26" t="n">
        <v>3</v>
      </c>
      <c r="AM46" s="24" t="inlineStr">
        <is>
          <t>RESEARCH_OBSERVATION</t>
        </is>
      </c>
      <c r="AN46" s="24" t="inlineStr">
        <is>
          <t>NO_CALL</t>
        </is>
      </c>
      <c r="AO46" s="24" t="inlineStr">
        <is>
          <t>NO_CALL_MODEL_UNVALIDATED</t>
        </is>
      </c>
      <c r="AP46" s="24" t="inlineStr">
        <is>
          <t>Inner Circle Academy</t>
        </is>
      </c>
      <c r="AQ46" s="24" t="inlineStr">
        <is>
          <t>Inner Circle Academy</t>
        </is>
      </c>
      <c r="AR46" s="24" t="inlineStr">
        <is>
          <t>Inner Circle Academy</t>
        </is>
      </c>
      <c r="AS46" s="24" t="inlineStr">
        <is>
          <t>Leo Team</t>
        </is>
      </c>
      <c r="AT46" s="24" t="inlineStr">
        <is>
          <t>Leo Team</t>
        </is>
      </c>
      <c r="AU46" s="24" t="inlineStr">
        <is>
          <t>Leo Team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9788ee890acda4c62d77d79ea2b1f172c9d4d87af2458e9365985663c60a50c8</t>
        </is>
      </c>
      <c r="BB46" s="24" t="inlineStr">
        <is>
          <t>neutral_elo</t>
        </is>
      </c>
      <c r="BC46" s="24" t="inlineStr">
        <is>
          <t>cs2-tiered-elo-v5</t>
        </is>
      </c>
      <c r="BD46" s="24" t="inlineStr">
        <is>
          <t>9788ee890acda4c62d77d79ea2b1f172c9d4d87af2458e9365985663c60a50c8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cs2-tiered-elo-v5</t>
        </is>
      </c>
      <c r="BH46" s="24" t="inlineStr">
        <is>
          <t>2026-08-03T10:59:43.688214Z</t>
        </is>
      </c>
      <c r="BI46" s="24" t="inlineStr">
        <is>
          <t>["same_event","same_team_same_day","same_league_same_day"]</t>
        </is>
      </c>
      <c r="BJ46" s="25" t="n"/>
      <c r="BK46" s="26" t="n">
        <v>-178</v>
      </c>
      <c r="BL46" s="27" t="n">
        <v>1.561798</v>
      </c>
      <c r="BM46" s="28" t="n">
        <v>0.640288</v>
      </c>
      <c r="BN46" s="28" t="n"/>
      <c r="BO46" s="28" t="n"/>
      <c r="BP46" s="25" t="n"/>
      <c r="BQ46" s="27" t="n">
        <v>1.561798</v>
      </c>
      <c r="BR46" s="28" t="n">
        <v>0.64</v>
      </c>
      <c r="BS46" s="28" t="n"/>
      <c r="BT46" s="28" t="n"/>
      <c r="BU46" s="25" t="n"/>
      <c r="BV46" s="29" t="n"/>
      <c r="BW46" s="24" t="n"/>
      <c r="BX46" s="30" t="n">
        <v>1</v>
      </c>
      <c r="BY46" s="27" t="n">
        <v>0.91</v>
      </c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</row>
    <row r="47" ht="36" customHeight="1">
      <c r="A47" s="24" t="inlineStr">
        <is>
          <t>8bc4bf70445a4ef7</t>
        </is>
      </c>
      <c r="B47" s="24" t="inlineStr">
        <is>
          <t>2026-08-03T11:00:03.308892Z</t>
        </is>
      </c>
      <c r="C47" s="24" t="inlineStr">
        <is>
          <t>2026-08-03T13:00:00Z</t>
        </is>
      </c>
      <c r="D47" s="24" t="inlineStr">
        <is>
          <t>70102</t>
        </is>
      </c>
      <c r="E47" s="24" t="inlineStr">
        <is>
          <t>CS2</t>
        </is>
      </c>
      <c r="F47" s="24" t="inlineStr">
        <is>
          <t>Misa Esports</t>
        </is>
      </c>
      <c r="G47" s="24" t="inlineStr">
        <is>
          <t>MOUZ NXT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150</v>
      </c>
      <c r="M47" s="27" t="n">
        <v>2.5</v>
      </c>
      <c r="N47" s="28" t="n">
        <v>0.4</v>
      </c>
      <c r="O47" s="28" t="n">
        <v>0.515204</v>
      </c>
      <c r="P47" s="28" t="n"/>
      <c r="Q47" s="28" t="n">
        <v>0.115204</v>
      </c>
      <c r="R47" s="26" t="n">
        <v>78</v>
      </c>
      <c r="S47" s="29" t="n">
        <v>1</v>
      </c>
      <c r="T47" s="24" t="inlineStr">
        <is>
          <t>cs2-tiered-elo-v5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1</v>
      </c>
      <c r="Y47" s="25" t="n"/>
      <c r="Z47" s="26" t="n">
        <v>150</v>
      </c>
      <c r="AA47" s="28" t="n">
        <v>0.4</v>
      </c>
      <c r="AB47" s="28" t="n">
        <v>0</v>
      </c>
      <c r="AC47" s="30" t="n">
        <v>1.5</v>
      </c>
      <c r="AD47" s="24" t="inlineStr">
        <is>
          <t>2026-08-03T16:48:07.078982Z</t>
        </is>
      </c>
      <c r="AE47" s="31" t="inlineStr">
        <is>
          <t>Neutral Elo baseline; executable ask 0.4000 (market_slug=aec-cs2-mouzn-misa-2026-08-03).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NO_CALL_MODEL_UNVALIDATED</t>
        </is>
      </c>
      <c r="AP47" s="24" t="inlineStr">
        <is>
          <t>Misa Esports</t>
        </is>
      </c>
      <c r="AQ47" s="24" t="inlineStr">
        <is>
          <t>Misa Esports</t>
        </is>
      </c>
      <c r="AR47" s="24" t="inlineStr">
        <is>
          <t>Misa Esports</t>
        </is>
      </c>
      <c r="AS47" s="24" t="inlineStr">
        <is>
          <t>MOUZ NXT</t>
        </is>
      </c>
      <c r="AT47" s="24" t="inlineStr">
        <is>
          <t>MOUZ NXT</t>
        </is>
      </c>
      <c r="AU47" s="24" t="inlineStr">
        <is>
          <t>MOUZ NXT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9788ee890acda4c62d77d79ea2b1f172c9d4d87af2458e9365985663c60a50c8</t>
        </is>
      </c>
      <c r="BB47" s="24" t="inlineStr">
        <is>
          <t>neutral_elo</t>
        </is>
      </c>
      <c r="BC47" s="24" t="inlineStr">
        <is>
          <t>cs2-tiered-elo-v5</t>
        </is>
      </c>
      <c r="BD47" s="24" t="inlineStr">
        <is>
          <t>9788ee890acda4c62d77d79ea2b1f172c9d4d87af2458e9365985663c60a50c8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cs2-tiered-elo-v5</t>
        </is>
      </c>
      <c r="BH47" s="24" t="inlineStr">
        <is>
          <t>2026-08-03T10:59:44.688342Z</t>
        </is>
      </c>
      <c r="BI47" s="24" t="inlineStr">
        <is>
          <t>["same_event","same_team_same_day","same_league_same_day"]</t>
        </is>
      </c>
      <c r="BJ47" s="25" t="n"/>
      <c r="BK47" s="26" t="n">
        <v>150</v>
      </c>
      <c r="BL47" s="27" t="n">
        <v>2.5</v>
      </c>
      <c r="BM47" s="28" t="n">
        <v>0.4</v>
      </c>
      <c r="BN47" s="28" t="n"/>
      <c r="BO47" s="28" t="n"/>
      <c r="BP47" s="25" t="n"/>
      <c r="BQ47" s="27" t="n">
        <v>2.5</v>
      </c>
      <c r="BR47" s="28" t="n">
        <v>0.4</v>
      </c>
      <c r="BS47" s="28" t="n"/>
      <c r="BT47" s="28" t="n"/>
      <c r="BU47" s="25" t="n"/>
      <c r="BV47" s="29" t="n"/>
      <c r="BW47" s="24" t="n"/>
      <c r="BX47" s="30" t="n">
        <v>1</v>
      </c>
      <c r="BY47" s="27" t="n">
        <v>0.91</v>
      </c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</row>
    <row r="48" ht="36" customHeight="1">
      <c r="A48" s="24" t="inlineStr">
        <is>
          <t>6afbd1e9f6e2473e</t>
        </is>
      </c>
      <c r="B48" s="24" t="inlineStr">
        <is>
          <t>2026-08-03T11:00:03.308892Z</t>
        </is>
      </c>
      <c r="C48" s="24" t="inlineStr">
        <is>
          <t>2026-08-03T13:00:00Z</t>
        </is>
      </c>
      <c r="D48" s="24" t="inlineStr">
        <is>
          <t>70312</t>
        </is>
      </c>
      <c r="E48" s="24" t="inlineStr">
        <is>
          <t>CS2</t>
        </is>
      </c>
      <c r="F48" s="24" t="inlineStr">
        <is>
          <t>Fire Flux Esports</t>
        </is>
      </c>
      <c r="G48" s="24" t="inlineStr">
        <is>
          <t>BASEMENT BOYS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-108</v>
      </c>
      <c r="M48" s="27" t="n">
        <v>1.925926</v>
      </c>
      <c r="N48" s="28" t="n">
        <v>0.519231</v>
      </c>
      <c r="O48" s="28" t="n">
        <v>0.649848</v>
      </c>
      <c r="P48" s="28" t="n"/>
      <c r="Q48" s="28" t="n">
        <v>0.130617</v>
      </c>
      <c r="R48" s="26" t="n">
        <v>85</v>
      </c>
      <c r="S48" s="29" t="n">
        <v>1.75</v>
      </c>
      <c r="T48" s="24" t="inlineStr">
        <is>
          <t>cs2-tiered-elo-v5</t>
        </is>
      </c>
      <c r="U48" s="24" t="inlineStr">
        <is>
          <t>settled</t>
        </is>
      </c>
      <c r="V48" s="24" t="inlineStr">
        <is>
          <t>win</t>
        </is>
      </c>
      <c r="W48" s="26" t="n">
        <v>0</v>
      </c>
      <c r="X48" s="26" t="n">
        <v>1</v>
      </c>
      <c r="Y48" s="25" t="n"/>
      <c r="Z48" s="26" t="n">
        <v>-108</v>
      </c>
      <c r="AA48" s="28" t="n">
        <v>0.52</v>
      </c>
      <c r="AB48" s="28" t="n">
        <v>0.000769</v>
      </c>
      <c r="AC48" s="30" t="n">
        <v>1.6204</v>
      </c>
      <c r="AD48" s="24" t="inlineStr">
        <is>
          <t>2026-08-03T15:52:18.957125Z</t>
        </is>
      </c>
      <c r="AE48" s="31" t="inlineStr">
        <is>
          <t>Neutral Elo baseline; executable ask 0.5200 (market_slug=aec-cs2-bmb-ff-2026-08-03).</t>
        </is>
      </c>
      <c r="AF48" s="31" t="inlineStr">
        <is>
          <t>Config-promoted esports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NO_CALL_MODEL_UNVALIDATED</t>
        </is>
      </c>
      <c r="AP48" s="24" t="inlineStr">
        <is>
          <t>Fire Flux Esports</t>
        </is>
      </c>
      <c r="AQ48" s="24" t="inlineStr">
        <is>
          <t>Fire Flux Esports</t>
        </is>
      </c>
      <c r="AR48" s="24" t="inlineStr">
        <is>
          <t>Fire Flux Esports</t>
        </is>
      </c>
      <c r="AS48" s="24" t="inlineStr">
        <is>
          <t>BASEMENT BOYS</t>
        </is>
      </c>
      <c r="AT48" s="24" t="inlineStr">
        <is>
          <t>BASEMENT BOYS</t>
        </is>
      </c>
      <c r="AU48" s="24" t="inlineStr">
        <is>
          <t>BASEMENT BOYS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9788ee890acda4c62d77d79ea2b1f172c9d4d87af2458e9365985663c60a50c8</t>
        </is>
      </c>
      <c r="BB48" s="24" t="inlineStr">
        <is>
          <t>neutral_elo</t>
        </is>
      </c>
      <c r="BC48" s="24" t="inlineStr">
        <is>
          <t>cs2-tiered-elo-v5</t>
        </is>
      </c>
      <c r="BD48" s="24" t="inlineStr">
        <is>
          <t>9788ee890acda4c62d77d79ea2b1f172c9d4d87af2458e9365985663c60a50c8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cs2-tiered-elo-v5</t>
        </is>
      </c>
      <c r="BH48" s="24" t="inlineStr">
        <is>
          <t>2026-08-03T10:59:45.179308Z</t>
        </is>
      </c>
      <c r="BI48" s="24" t="inlineStr">
        <is>
          <t>["same_event","same_team_same_day","same_league_same_day"]</t>
        </is>
      </c>
      <c r="BJ48" s="25" t="n"/>
      <c r="BK48" s="26" t="n">
        <v>-108</v>
      </c>
      <c r="BL48" s="27" t="n">
        <v>1.925926</v>
      </c>
      <c r="BM48" s="28" t="n">
        <v>0.519231</v>
      </c>
      <c r="BN48" s="28" t="n"/>
      <c r="BO48" s="28" t="n"/>
      <c r="BP48" s="25" t="n"/>
      <c r="BQ48" s="27" t="n">
        <v>1.925926</v>
      </c>
      <c r="BR48" s="28" t="n">
        <v>0.52</v>
      </c>
      <c r="BS48" s="28" t="n"/>
      <c r="BT48" s="28" t="n"/>
      <c r="BU48" s="25" t="n"/>
      <c r="BV48" s="29" t="n"/>
      <c r="BW48" s="24" t="n"/>
      <c r="BX48" s="30" t="n">
        <v>1</v>
      </c>
      <c r="BY48" s="27" t="n">
        <v>0.91</v>
      </c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</row>
    <row r="49" ht="36" customHeight="1">
      <c r="A49" s="24" t="inlineStr">
        <is>
          <t>1e39a849456941e6</t>
        </is>
      </c>
      <c r="B49" s="24" t="inlineStr">
        <is>
          <t>2026-08-03T13:30:52.354366Z</t>
        </is>
      </c>
      <c r="C49" s="24" t="inlineStr">
        <is>
          <t>2026-08-03T13:45:00Z</t>
        </is>
      </c>
      <c r="D49" s="24" t="inlineStr">
        <is>
          <t>67579</t>
        </is>
      </c>
      <c r="E49" s="24" t="inlineStr">
        <is>
          <t>CS2</t>
        </is>
      </c>
      <c r="F49" s="24" t="inlineStr">
        <is>
          <t>Morphilina Club</t>
        </is>
      </c>
      <c r="G49" s="24" t="inlineStr">
        <is>
          <t>Perfecto Club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194</v>
      </c>
      <c r="M49" s="27" t="n">
        <v>2.94</v>
      </c>
      <c r="N49" s="28" t="n">
        <v>0.340136</v>
      </c>
      <c r="O49" s="28" t="n">
        <v>0.526025</v>
      </c>
      <c r="P49" s="28" t="n"/>
      <c r="Q49" s="28" t="n">
        <v>0.185889</v>
      </c>
      <c r="R49" s="26" t="n">
        <v>100</v>
      </c>
      <c r="S49" s="29" t="n">
        <v>1</v>
      </c>
      <c r="T49" s="24" t="inlineStr">
        <is>
          <t>cs2-tiered-elo-v5</t>
        </is>
      </c>
      <c r="U49" s="24" t="inlineStr">
        <is>
          <t>settled</t>
        </is>
      </c>
      <c r="V49" s="24" t="inlineStr">
        <is>
          <t>win</t>
        </is>
      </c>
      <c r="W49" s="26" t="n">
        <v>1</v>
      </c>
      <c r="X49" s="26" t="n">
        <v>0</v>
      </c>
      <c r="Y49" s="25" t="n"/>
      <c r="Z49" s="26" t="n">
        <v>194</v>
      </c>
      <c r="AA49" s="28" t="n">
        <v>0.34</v>
      </c>
      <c r="AB49" s="28" t="n">
        <v>-0.000136</v>
      </c>
      <c r="AC49" s="30" t="n">
        <v>1.94</v>
      </c>
      <c r="AD49" s="24" t="inlineStr">
        <is>
          <t>2026-08-03T15:52:20.766358Z</t>
        </is>
      </c>
      <c r="AE49" s="31" t="inlineStr">
        <is>
          <t>Neutral Elo baseline; executable ask 0.3400 (market_slug=aec-cs2-pce-mcor-2026-08-03).</t>
        </is>
      </c>
      <c r="AF49" s="31" t="inlineStr">
        <is>
          <t>Config-promoted esports baseline; gates enforced at log time.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Morphilina Club</t>
        </is>
      </c>
      <c r="AQ49" s="24" t="inlineStr">
        <is>
          <t>Morphilina Club</t>
        </is>
      </c>
      <c r="AR49" s="24" t="inlineStr">
        <is>
          <t>Morphilina Club</t>
        </is>
      </c>
      <c r="AS49" s="24" t="inlineStr">
        <is>
          <t>Perfecto Club</t>
        </is>
      </c>
      <c r="AT49" s="24" t="inlineStr">
        <is>
          <t>Perfecto Club</t>
        </is>
      </c>
      <c r="AU49" s="24" t="inlineStr">
        <is>
          <t>Perfecto Club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f4f3549fbe9f095af12acefc96610fcfd4a51f4257b8523d5f8648d7efb51e9b</t>
        </is>
      </c>
      <c r="BB49" s="24" t="inlineStr">
        <is>
          <t>neutral_elo</t>
        </is>
      </c>
      <c r="BC49" s="24" t="inlineStr">
        <is>
          <t>cs2-tiered-elo-v5</t>
        </is>
      </c>
      <c r="BD49" s="24" t="inlineStr">
        <is>
          <t>f4f3549fbe9f095af12acefc96610fcfd4a51f4257b8523d5f8648d7efb51e9b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cs2-tiered-elo-v5</t>
        </is>
      </c>
      <c r="BH49" s="24" t="inlineStr">
        <is>
          <t>2026-08-03T13:30:33.661539Z</t>
        </is>
      </c>
      <c r="BI49" s="24" t="inlineStr">
        <is>
          <t>["same_event","same_team_same_day","same_league_same_day"]</t>
        </is>
      </c>
      <c r="BJ49" s="25" t="n"/>
      <c r="BK49" s="26" t="n">
        <v>194</v>
      </c>
      <c r="BL49" s="27" t="n">
        <v>2.94</v>
      </c>
      <c r="BM49" s="28" t="n">
        <v>0.340136</v>
      </c>
      <c r="BN49" s="28" t="n"/>
      <c r="BO49" s="28" t="n"/>
      <c r="BP49" s="25" t="n"/>
      <c r="BQ49" s="27" t="n">
        <v>2.94</v>
      </c>
      <c r="BR49" s="28" t="n">
        <v>0.34</v>
      </c>
      <c r="BS49" s="28" t="n"/>
      <c r="BT49" s="28" t="n"/>
      <c r="BU49" s="25" t="n"/>
      <c r="BV49" s="29" t="n"/>
      <c r="BW49" s="24" t="n"/>
      <c r="BX49" s="30" t="n">
        <v>1</v>
      </c>
      <c r="BY49" s="27" t="n">
        <v>0.91</v>
      </c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</row>
    <row r="50" ht="36" customHeight="1">
      <c r="A50" s="24" t="inlineStr">
        <is>
          <t>f0e49af4d6be415b</t>
        </is>
      </c>
      <c r="B50" s="24" t="inlineStr">
        <is>
          <t>2026-08-03T13:30:52.354366Z</t>
        </is>
      </c>
      <c r="C50" s="24" t="inlineStr">
        <is>
          <t>2026-08-03T14:00:00Z</t>
        </is>
      </c>
      <c r="D50" s="24" t="inlineStr">
        <is>
          <t>68292</t>
        </is>
      </c>
      <c r="E50" s="24" t="inlineStr">
        <is>
          <t>CS2</t>
        </is>
      </c>
      <c r="F50" s="24" t="inlineStr">
        <is>
          <t>Butterfly</t>
        </is>
      </c>
      <c r="G50" s="24" t="inlineStr">
        <is>
          <t>ARCRED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-170</v>
      </c>
      <c r="M50" s="27" t="n">
        <v>1.588235</v>
      </c>
      <c r="N50" s="28" t="n">
        <v>0.62963</v>
      </c>
      <c r="O50" s="28" t="n">
        <v>0.613967</v>
      </c>
      <c r="P50" s="28" t="n"/>
      <c r="Q50" s="28" t="n">
        <v>-0.015663</v>
      </c>
      <c r="R50" s="26" t="n">
        <v>12</v>
      </c>
      <c r="S50" s="29" t="n">
        <v>1.5</v>
      </c>
      <c r="T50" s="24" t="inlineStr">
        <is>
          <t>cs2-tiered-elo-v5</t>
        </is>
      </c>
      <c r="U50" s="24" t="inlineStr">
        <is>
          <t>settled</t>
        </is>
      </c>
      <c r="V50" s="24" t="inlineStr">
        <is>
          <t>loss</t>
        </is>
      </c>
      <c r="W50" s="26" t="n">
        <v>1</v>
      </c>
      <c r="X50" s="26" t="n">
        <v>0</v>
      </c>
      <c r="Y50" s="25" t="n"/>
      <c r="Z50" s="26" t="n">
        <v>-170</v>
      </c>
      <c r="AA50" s="28" t="n">
        <v>0.63</v>
      </c>
      <c r="AB50" s="28" t="n">
        <v>0.00037</v>
      </c>
      <c r="AC50" s="30" t="n">
        <v>-1.5</v>
      </c>
      <c r="AD50" s="24" t="inlineStr">
        <is>
          <t>2026-08-03T17:05:46.474137Z</t>
        </is>
      </c>
      <c r="AE50" s="31" t="inlineStr">
        <is>
          <t>Neutral Elo baseline; executable ask 0.6300 (market_slug=aec-cs2-arc-btf-2026-08-03).</t>
        </is>
      </c>
      <c r="AF50" s="31" t="inlineStr">
        <is>
          <t>Config-promoted esports baseline; gates enforced at log time.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NO_CALL_LOW_EDGE</t>
        </is>
      </c>
      <c r="AP50" s="24" t="inlineStr">
        <is>
          <t>Butterfly</t>
        </is>
      </c>
      <c r="AQ50" s="24" t="inlineStr">
        <is>
          <t>Butterfly</t>
        </is>
      </c>
      <c r="AR50" s="24" t="inlineStr">
        <is>
          <t>Butterfly</t>
        </is>
      </c>
      <c r="AS50" s="24" t="inlineStr">
        <is>
          <t>ARCRED</t>
        </is>
      </c>
      <c r="AT50" s="24" t="inlineStr">
        <is>
          <t>ARCRED</t>
        </is>
      </c>
      <c r="AU50" s="24" t="inlineStr">
        <is>
          <t>ARCRED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f4f3549fbe9f095af12acefc96610fcfd4a51f4257b8523d5f8648d7efb51e9b</t>
        </is>
      </c>
      <c r="BB50" s="24" t="inlineStr">
        <is>
          <t>neutral_elo</t>
        </is>
      </c>
      <c r="BC50" s="24" t="inlineStr">
        <is>
          <t>cs2-tiered-elo-v5</t>
        </is>
      </c>
      <c r="BD50" s="24" t="inlineStr">
        <is>
          <t>f4f3549fbe9f095af12acefc96610fcfd4a51f4257b8523d5f8648d7efb51e9b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cs2-tiered-elo-v5</t>
        </is>
      </c>
      <c r="BH50" s="24" t="inlineStr">
        <is>
          <t>2026-08-03T13:30:34.211230Z</t>
        </is>
      </c>
      <c r="BI50" s="24" t="inlineStr">
        <is>
          <t>["same_event","same_team_same_day","same_league_same_day"]</t>
        </is>
      </c>
      <c r="BJ50" s="25" t="n"/>
      <c r="BK50" s="26" t="n">
        <v>-170</v>
      </c>
      <c r="BL50" s="27" t="n">
        <v>1.588235</v>
      </c>
      <c r="BM50" s="28" t="n">
        <v>0.62963</v>
      </c>
      <c r="BN50" s="28" t="n"/>
      <c r="BO50" s="28" t="n"/>
      <c r="BP50" s="25" t="n"/>
      <c r="BQ50" s="27" t="n">
        <v>1.588235</v>
      </c>
      <c r="BR50" s="28" t="n">
        <v>0.63</v>
      </c>
      <c r="BS50" s="28" t="n"/>
      <c r="BT50" s="28" t="n"/>
      <c r="BU50" s="25" t="n"/>
      <c r="BV50" s="29" t="n"/>
      <c r="BW50" s="24" t="n"/>
      <c r="BX50" s="30" t="n">
        <v>1</v>
      </c>
      <c r="BY50" s="27" t="n">
        <v>-1</v>
      </c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False</t>
        </is>
      </c>
    </row>
    <row r="51" ht="36" customHeight="1">
      <c r="A51" s="24" t="inlineStr">
        <is>
          <t>4908885950e5411e</t>
        </is>
      </c>
      <c r="B51" s="24" t="inlineStr">
        <is>
          <t>2026-08-03T13:30:52.354366Z</t>
        </is>
      </c>
      <c r="C51" s="24" t="inlineStr">
        <is>
          <t>2026-08-03T14:00:00Z</t>
        </is>
      </c>
      <c r="D51" s="24" t="inlineStr">
        <is>
          <t>69268</t>
        </is>
      </c>
      <c r="E51" s="24" t="inlineStr">
        <is>
          <t>CS2</t>
        </is>
      </c>
      <c r="F51" s="24" t="inlineStr">
        <is>
          <t>ex-Young Ninjas</t>
        </is>
      </c>
      <c r="G51" s="24" t="inlineStr">
        <is>
          <t>SPARTA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-194</v>
      </c>
      <c r="M51" s="27" t="n">
        <v>1.515464</v>
      </c>
      <c r="N51" s="28" t="n">
        <v>0.659864</v>
      </c>
      <c r="O51" s="28" t="n">
        <v>0.662847</v>
      </c>
      <c r="P51" s="28" t="n"/>
      <c r="Q51" s="28" t="n">
        <v>0.002983</v>
      </c>
      <c r="R51" s="26" t="n">
        <v>21</v>
      </c>
      <c r="S51" s="29" t="n">
        <v>1.75</v>
      </c>
      <c r="T51" s="24" t="inlineStr">
        <is>
          <t>cs2-tiered-elo-v5</t>
        </is>
      </c>
      <c r="U51" s="24" t="inlineStr">
        <is>
          <t>settled</t>
        </is>
      </c>
      <c r="V51" s="24" t="inlineStr">
        <is>
          <t>win</t>
        </is>
      </c>
      <c r="W51" s="26" t="n">
        <v>0</v>
      </c>
      <c r="X51" s="26" t="n">
        <v>1</v>
      </c>
      <c r="Y51" s="25" t="n"/>
      <c r="Z51" s="26" t="n">
        <v>-194</v>
      </c>
      <c r="AA51" s="28" t="n">
        <v>0.66</v>
      </c>
      <c r="AB51" s="28" t="n">
        <v>0.000136</v>
      </c>
      <c r="AC51" s="30" t="n">
        <v>0.9021</v>
      </c>
      <c r="AD51" s="24" t="inlineStr">
        <is>
          <t>2026-08-03T16:27:31.953712Z</t>
        </is>
      </c>
      <c r="AE51" s="31" t="inlineStr">
        <is>
          <t>Neutral Elo baseline; executable ask 0.6600 (market_slug=aec-cs2-sparta-eyn-2026-08-03).</t>
        </is>
      </c>
      <c r="AF51" s="31" t="inlineStr">
        <is>
          <t>Config-promoted esports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NO_CALL_LOW_EDGE</t>
        </is>
      </c>
      <c r="AP51" s="24" t="inlineStr">
        <is>
          <t>ex-Young Ninjas</t>
        </is>
      </c>
      <c r="AQ51" s="24" t="inlineStr">
        <is>
          <t>ex-Young Ninjas</t>
        </is>
      </c>
      <c r="AR51" s="24" t="inlineStr">
        <is>
          <t>ex-Young Ninjas</t>
        </is>
      </c>
      <c r="AS51" s="24" t="inlineStr">
        <is>
          <t>SPARTA</t>
        </is>
      </c>
      <c r="AT51" s="24" t="inlineStr">
        <is>
          <t>SPARTA</t>
        </is>
      </c>
      <c r="AU51" s="24" t="inlineStr">
        <is>
          <t>SPARTA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f4f3549fbe9f095af12acefc96610fcfd4a51f4257b8523d5f8648d7efb51e9b</t>
        </is>
      </c>
      <c r="BB51" s="24" t="inlineStr">
        <is>
          <t>neutral_elo</t>
        </is>
      </c>
      <c r="BC51" s="24" t="inlineStr">
        <is>
          <t>cs2-tiered-elo-v5</t>
        </is>
      </c>
      <c r="BD51" s="24" t="inlineStr">
        <is>
          <t>f4f3549fbe9f095af12acefc96610fcfd4a51f4257b8523d5f8648d7efb51e9b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cs2-tiered-elo-v5</t>
        </is>
      </c>
      <c r="BH51" s="24" t="inlineStr">
        <is>
          <t>2026-08-03T13:30:35.269193Z</t>
        </is>
      </c>
      <c r="BI51" s="24" t="inlineStr">
        <is>
          <t>["same_event","same_team_same_day","same_league_same_day"]</t>
        </is>
      </c>
      <c r="BJ51" s="25" t="n"/>
      <c r="BK51" s="26" t="n">
        <v>-194</v>
      </c>
      <c r="BL51" s="27" t="n">
        <v>1.515464</v>
      </c>
      <c r="BM51" s="28" t="n">
        <v>0.659864</v>
      </c>
      <c r="BN51" s="28" t="n"/>
      <c r="BO51" s="28" t="n"/>
      <c r="BP51" s="25" t="n"/>
      <c r="BQ51" s="27" t="n">
        <v>1.515464</v>
      </c>
      <c r="BR51" s="28" t="n">
        <v>0.66</v>
      </c>
      <c r="BS51" s="28" t="n"/>
      <c r="BT51" s="28" t="n"/>
      <c r="BU51" s="25" t="n"/>
      <c r="BV51" s="29" t="n"/>
      <c r="BW51" s="24" t="n"/>
      <c r="BX51" s="30" t="n">
        <v>1</v>
      </c>
      <c r="BY51" s="27" t="n">
        <v>0.91</v>
      </c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True</t>
        </is>
      </c>
    </row>
    <row r="52" ht="36" customHeight="1">
      <c r="A52" s="24" t="inlineStr">
        <is>
          <t>c1cae09d4a35473c</t>
        </is>
      </c>
      <c r="B52" s="24" t="inlineStr">
        <is>
          <t>2026-08-03T16:51:25.969362Z</t>
        </is>
      </c>
      <c r="C52" s="24" t="inlineStr">
        <is>
          <t>2026-08-03T17:00:00Z</t>
        </is>
      </c>
      <c r="D52" s="24" t="inlineStr">
        <is>
          <t>68293</t>
        </is>
      </c>
      <c r="E52" s="24" t="inlineStr">
        <is>
          <t>CS2</t>
        </is>
      </c>
      <c r="F52" s="24" t="inlineStr">
        <is>
          <t>ex-RUSTEC</t>
        </is>
      </c>
      <c r="G52" s="24" t="inlineStr">
        <is>
          <t>Walczaki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-156</v>
      </c>
      <c r="M52" s="27" t="n">
        <v>1.641026</v>
      </c>
      <c r="N52" s="28" t="n">
        <v>0.609375</v>
      </c>
      <c r="O52" s="28" t="n">
        <v>0.6180909999999999</v>
      </c>
      <c r="P52" s="28" t="n"/>
      <c r="Q52" s="28" t="n">
        <v>0.008716</v>
      </c>
      <c r="R52" s="26" t="n">
        <v>24</v>
      </c>
      <c r="S52" s="29" t="n">
        <v>1.5</v>
      </c>
      <c r="T52" s="24" t="inlineStr">
        <is>
          <t>cs2-tiered-elo-v5</t>
        </is>
      </c>
      <c r="U52" s="24" t="inlineStr">
        <is>
          <t>settled</t>
        </is>
      </c>
      <c r="V52" s="24" t="inlineStr">
        <is>
          <t>loss</t>
        </is>
      </c>
      <c r="W52" s="26" t="n">
        <v>1</v>
      </c>
      <c r="X52" s="26" t="n">
        <v>0</v>
      </c>
      <c r="Y52" s="25" t="n"/>
      <c r="Z52" s="26" t="n">
        <v>-150</v>
      </c>
      <c r="AA52" s="28" t="n">
        <v>0.6</v>
      </c>
      <c r="AB52" s="28" t="n">
        <v>-0.009375</v>
      </c>
      <c r="AC52" s="30" t="n">
        <v>-1.5</v>
      </c>
      <c r="AD52" s="24" t="inlineStr">
        <is>
          <t>2026-08-03T19:51:55.501664Z</t>
        </is>
      </c>
      <c r="AE52" s="31" t="inlineStr">
        <is>
          <t>Neutral Elo baseline; executable ask 0.6100 (market_slug=aec-cs2-wal-erx-2026-08-03).</t>
        </is>
      </c>
      <c r="AF52" s="31" t="inlineStr">
        <is>
          <t>Config-promoted esports baseline; gates enforced at log time.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NO_CALL_LOW_EDGE</t>
        </is>
      </c>
      <c r="AP52" s="24" t="inlineStr">
        <is>
          <t>ex-RUSTEC</t>
        </is>
      </c>
      <c r="AQ52" s="24" t="inlineStr">
        <is>
          <t>ex-RUSTEC</t>
        </is>
      </c>
      <c r="AR52" s="24" t="inlineStr">
        <is>
          <t>ex-RUSTEC</t>
        </is>
      </c>
      <c r="AS52" s="24" t="inlineStr">
        <is>
          <t>Walczaki</t>
        </is>
      </c>
      <c r="AT52" s="24" t="inlineStr">
        <is>
          <t>Walczaki</t>
        </is>
      </c>
      <c r="AU52" s="24" t="inlineStr">
        <is>
          <t>Walczaki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ac6ceef0c5562ec6cc6578a41665f813f640606150062d7159d6470d651252c3</t>
        </is>
      </c>
      <c r="BB52" s="24" t="inlineStr">
        <is>
          <t>neutral_elo</t>
        </is>
      </c>
      <c r="BC52" s="24" t="inlineStr">
        <is>
          <t>cs2-tiered-elo-v5</t>
        </is>
      </c>
      <c r="BD52" s="24" t="inlineStr">
        <is>
          <t>ac6ceef0c5562ec6cc6578a41665f813f640606150062d7159d6470d651252c3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cs2-tiered-elo-v5</t>
        </is>
      </c>
      <c r="BH52" s="24" t="inlineStr">
        <is>
          <t>2026-08-03T16:51:11.769258Z</t>
        </is>
      </c>
      <c r="BI52" s="24" t="inlineStr">
        <is>
          <t>["same_event","same_team_same_day","same_league_same_day"]</t>
        </is>
      </c>
      <c r="BJ52" s="25" t="n"/>
      <c r="BK52" s="26" t="n">
        <v>-156</v>
      </c>
      <c r="BL52" s="27" t="n">
        <v>1.641026</v>
      </c>
      <c r="BM52" s="28" t="n">
        <v>0.609375</v>
      </c>
      <c r="BN52" s="28" t="n"/>
      <c r="BO52" s="28" t="n"/>
      <c r="BP52" s="25" t="n"/>
      <c r="BQ52" s="27" t="n">
        <v>1.666667</v>
      </c>
      <c r="BR52" s="28" t="n">
        <v>0.6</v>
      </c>
      <c r="BS52" s="28" t="n"/>
      <c r="BT52" s="28" t="n"/>
      <c r="BU52" s="25" t="n"/>
      <c r="BV52" s="29" t="n"/>
      <c r="BW52" s="24" t="n"/>
      <c r="BX52" s="30" t="n">
        <v>1</v>
      </c>
      <c r="BY52" s="27" t="n">
        <v>-1</v>
      </c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</row>
    <row r="53" ht="36" customHeight="1">
      <c r="A53" s="24" t="inlineStr">
        <is>
          <t>77513d463ec944e1</t>
        </is>
      </c>
      <c r="B53" s="24" t="inlineStr">
        <is>
          <t>2026-08-03T16:51:25.969362Z</t>
        </is>
      </c>
      <c r="C53" s="24" t="inlineStr">
        <is>
          <t>2026-08-03T17:00:00Z</t>
        </is>
      </c>
      <c r="D53" s="24" t="inlineStr">
        <is>
          <t>70377</t>
        </is>
      </c>
      <c r="E53" s="24" t="inlineStr">
        <is>
          <t>CS2</t>
        </is>
      </c>
      <c r="F53" s="24" t="inlineStr">
        <is>
          <t>Spirit Academy Green</t>
        </is>
      </c>
      <c r="G53" s="24" t="inlineStr">
        <is>
          <t>LPH Gaming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-127</v>
      </c>
      <c r="M53" s="27" t="n">
        <v>1.787402</v>
      </c>
      <c r="N53" s="28" t="n">
        <v>0.5594710000000001</v>
      </c>
      <c r="O53" s="28" t="n">
        <v>0.5260550000000001</v>
      </c>
      <c r="P53" s="28" t="n"/>
      <c r="Q53" s="28" t="n">
        <v>-0.033416</v>
      </c>
      <c r="R53" s="26" t="n">
        <v>3</v>
      </c>
      <c r="S53" s="29" t="n">
        <v>1</v>
      </c>
      <c r="T53" s="24" t="inlineStr">
        <is>
          <t>cs2-tiered-elo-v5</t>
        </is>
      </c>
      <c r="U53" s="24" t="inlineStr">
        <is>
          <t>settled</t>
        </is>
      </c>
      <c r="V53" s="24" t="inlineStr">
        <is>
          <t>win</t>
        </is>
      </c>
      <c r="W53" s="26" t="n">
        <v>0</v>
      </c>
      <c r="X53" s="26" t="n">
        <v>1</v>
      </c>
      <c r="Y53" s="25" t="n"/>
      <c r="Z53" s="26" t="n">
        <v>-127</v>
      </c>
      <c r="AA53" s="28" t="n">
        <v>0.5600000000000001</v>
      </c>
      <c r="AB53" s="28" t="n">
        <v>0.000529</v>
      </c>
      <c r="AC53" s="30" t="n">
        <v>0.7874</v>
      </c>
      <c r="AD53" s="24" t="inlineStr">
        <is>
          <t>2026-08-03T19:51:57.058700Z</t>
        </is>
      </c>
      <c r="AE53" s="31" t="inlineStr">
        <is>
          <t>Neutral Elo baseline; executable ask 0.5600 (market_slug=aec-cs2-lph-sag-2026-08-03).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NO_CALL_LOW_EDGE</t>
        </is>
      </c>
      <c r="AP53" s="24" t="inlineStr">
        <is>
          <t>Spirit Academy Green</t>
        </is>
      </c>
      <c r="AQ53" s="24" t="inlineStr">
        <is>
          <t>Spirit Academy Green</t>
        </is>
      </c>
      <c r="AR53" s="24" t="inlineStr">
        <is>
          <t>Spirit Academy Green</t>
        </is>
      </c>
      <c r="AS53" s="24" t="inlineStr">
        <is>
          <t>LPH Gaming</t>
        </is>
      </c>
      <c r="AT53" s="24" t="inlineStr">
        <is>
          <t>LPH Gaming</t>
        </is>
      </c>
      <c r="AU53" s="24" t="inlineStr">
        <is>
          <t>LPH Gaming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ac6ceef0c5562ec6cc6578a41665f813f640606150062d7159d6470d651252c3</t>
        </is>
      </c>
      <c r="BB53" s="24" t="inlineStr">
        <is>
          <t>neutral_elo</t>
        </is>
      </c>
      <c r="BC53" s="24" t="inlineStr">
        <is>
          <t>cs2-tiered-elo-v5</t>
        </is>
      </c>
      <c r="BD53" s="24" t="inlineStr">
        <is>
          <t>ac6ceef0c5562ec6cc6578a41665f813f640606150062d7159d6470d651252c3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cs2-tiered-elo-v5</t>
        </is>
      </c>
      <c r="BH53" s="24" t="inlineStr">
        <is>
          <t>2026-08-03T16:51:12.274224Z</t>
        </is>
      </c>
      <c r="BI53" s="24" t="inlineStr">
        <is>
          <t>["same_event","same_team_same_day","same_league_same_day"]</t>
        </is>
      </c>
      <c r="BJ53" s="25" t="n"/>
      <c r="BK53" s="26" t="n">
        <v>-127</v>
      </c>
      <c r="BL53" s="27" t="n">
        <v>1.787402</v>
      </c>
      <c r="BM53" s="28" t="n">
        <v>0.5594710000000001</v>
      </c>
      <c r="BN53" s="28" t="n"/>
      <c r="BO53" s="28" t="n"/>
      <c r="BP53" s="25" t="n"/>
      <c r="BQ53" s="27" t="n">
        <v>1.787402</v>
      </c>
      <c r="BR53" s="28" t="n">
        <v>0.5600000000000001</v>
      </c>
      <c r="BS53" s="28" t="n"/>
      <c r="BT53" s="28" t="n"/>
      <c r="BU53" s="25" t="n"/>
      <c r="BV53" s="29" t="n"/>
      <c r="BW53" s="24" t="n"/>
      <c r="BX53" s="30" t="n">
        <v>1</v>
      </c>
      <c r="BY53" s="27" t="n">
        <v>0.91</v>
      </c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False</t>
        </is>
      </c>
    </row>
    <row r="54" ht="36" customHeight="1">
      <c r="A54" s="24" t="inlineStr">
        <is>
          <t>cac106ec46a04510</t>
        </is>
      </c>
      <c r="B54" s="24" t="inlineStr">
        <is>
          <t>2026-08-03T17:08:54.943979Z</t>
        </is>
      </c>
      <c r="C54" s="24" t="inlineStr">
        <is>
          <t>2026-08-03T19:15:00Z</t>
        </is>
      </c>
      <c r="D54" s="24" t="inlineStr">
        <is>
          <t>67682</t>
        </is>
      </c>
      <c r="E54" s="24" t="inlineStr">
        <is>
          <t>CS2</t>
        </is>
      </c>
      <c r="F54" s="24" t="inlineStr">
        <is>
          <t>WorldEdit Club</t>
        </is>
      </c>
      <c r="G54" s="24" t="inlineStr">
        <is>
          <t>Lixxx Club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117</v>
      </c>
      <c r="M54" s="27" t="n">
        <v>2.17</v>
      </c>
      <c r="N54" s="28" t="n">
        <v>0.460829</v>
      </c>
      <c r="O54" s="28" t="n">
        <v>0.5273679999999999</v>
      </c>
      <c r="P54" s="28" t="n"/>
      <c r="Q54" s="28" t="n">
        <v>0.066539</v>
      </c>
      <c r="R54" s="26" t="n">
        <v>53</v>
      </c>
      <c r="S54" s="29" t="n">
        <v>1</v>
      </c>
      <c r="T54" s="24" t="inlineStr">
        <is>
          <t>cs2-tiered-elo-v5</t>
        </is>
      </c>
      <c r="U54" s="24" t="inlineStr">
        <is>
          <t>settled</t>
        </is>
      </c>
      <c r="V54" s="24" t="inlineStr">
        <is>
          <t>loss</t>
        </is>
      </c>
      <c r="W54" s="26" t="n">
        <v>1</v>
      </c>
      <c r="X54" s="26" t="n">
        <v>0</v>
      </c>
      <c r="Y54" s="25" t="n"/>
      <c r="Z54" s="26" t="n">
        <v>117</v>
      </c>
      <c r="AA54" s="28" t="n">
        <v>0.46</v>
      </c>
      <c r="AB54" s="28" t="n">
        <v>-0.000829</v>
      </c>
      <c r="AC54" s="30" t="n">
        <v>-1</v>
      </c>
      <c r="AD54" s="24" t="inlineStr">
        <is>
          <t>2026-08-03T22:55:30.403877Z</t>
        </is>
      </c>
      <c r="AE54" s="31" t="inlineStr">
        <is>
          <t>Neutral Elo baseline; executable ask 0.4600 (market_slug=aec-cs2-lci-wco-2026-08-03).</t>
        </is>
      </c>
      <c r="AF54" s="31" t="inlineStr">
        <is>
          <t>Config-promoted esports baseline; gates enforced at log time.</t>
        </is>
      </c>
      <c r="AG54" s="24" t="inlineStr">
        <is>
          <t>review_required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NO_CALL_MODEL_UNVALIDATED</t>
        </is>
      </c>
      <c r="AP54" s="24" t="inlineStr">
        <is>
          <t>WorldEdit Club</t>
        </is>
      </c>
      <c r="AQ54" s="24" t="inlineStr">
        <is>
          <t>WorldEdit Club</t>
        </is>
      </c>
      <c r="AR54" s="24" t="inlineStr">
        <is>
          <t>WorldEdit Club</t>
        </is>
      </c>
      <c r="AS54" s="24" t="inlineStr">
        <is>
          <t>Lixxx Club</t>
        </is>
      </c>
      <c r="AT54" s="24" t="inlineStr">
        <is>
          <t>Lixxx Club</t>
        </is>
      </c>
      <c r="AU54" s="24" t="inlineStr">
        <is>
          <t>Lixxx Club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c35f4cde86576db9aef02f14800a622a7aeabf3f364ac4b428aed69c2c8f4d15</t>
        </is>
      </c>
      <c r="BB54" s="24" t="inlineStr">
        <is>
          <t>neutral_elo</t>
        </is>
      </c>
      <c r="BC54" s="24" t="inlineStr">
        <is>
          <t>cs2-tiered-elo-v5</t>
        </is>
      </c>
      <c r="BD54" s="24" t="inlineStr">
        <is>
          <t>c35f4cde86576db9aef02f14800a622a7aeabf3f364ac4b428aed69c2c8f4d15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cs2-tiered-elo-v5</t>
        </is>
      </c>
      <c r="BH54" s="24" t="inlineStr">
        <is>
          <t>2026-08-03T17:08:42.736665Z</t>
        </is>
      </c>
      <c r="BI54" s="24" t="inlineStr">
        <is>
          <t>["same_event","same_team_same_day","same_league_same_day"]</t>
        </is>
      </c>
      <c r="BJ54" s="25" t="n"/>
      <c r="BK54" s="26" t="n">
        <v>117</v>
      </c>
      <c r="BL54" s="27" t="n">
        <v>2.17</v>
      </c>
      <c r="BM54" s="28" t="n">
        <v>0.460829</v>
      </c>
      <c r="BN54" s="28" t="n"/>
      <c r="BO54" s="28" t="n"/>
      <c r="BP54" s="25" t="n"/>
      <c r="BQ54" s="27" t="n">
        <v>2.17</v>
      </c>
      <c r="BR54" s="28" t="n">
        <v>0.46</v>
      </c>
      <c r="BS54" s="28" t="n"/>
      <c r="BT54" s="28" t="n"/>
      <c r="BU54" s="25" t="n"/>
      <c r="BV54" s="29" t="n"/>
      <c r="BW54" s="24" t="n"/>
      <c r="BX54" s="30" t="n">
        <v>1</v>
      </c>
      <c r="BY54" s="27" t="n">
        <v>-1</v>
      </c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</row>
    <row r="55" ht="36" customHeight="1">
      <c r="A55" s="24" t="inlineStr">
        <is>
          <t>b0676fb7c7714e9f</t>
        </is>
      </c>
      <c r="B55" s="24" t="inlineStr">
        <is>
          <t>2026-08-03T19:54:57.645683Z</t>
        </is>
      </c>
      <c r="C55" s="24" t="inlineStr">
        <is>
          <t>2026-08-03T21:00:00Z</t>
        </is>
      </c>
      <c r="D55" s="24" t="inlineStr">
        <is>
          <t>70532</t>
        </is>
      </c>
      <c r="E55" s="24" t="inlineStr">
        <is>
          <t>CS2</t>
        </is>
      </c>
      <c r="F55" s="24" t="inlineStr">
        <is>
          <t>RED Canids Academy</t>
        </is>
      </c>
      <c r="G55" s="24" t="inlineStr">
        <is>
          <t>ODDIK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-150</v>
      </c>
      <c r="M55" s="27" t="n">
        <v>1.666667</v>
      </c>
      <c r="N55" s="28" t="n">
        <v>0.6</v>
      </c>
      <c r="O55" s="28" t="n">
        <v>0.6304380000000001</v>
      </c>
      <c r="P55" s="28" t="n"/>
      <c r="Q55" s="28" t="n">
        <v>0.030438</v>
      </c>
      <c r="R55" s="26" t="n">
        <v>35</v>
      </c>
      <c r="S55" s="29" t="n">
        <v>1.5</v>
      </c>
      <c r="T55" s="24" t="inlineStr">
        <is>
          <t>cs2-tiered-elo-v5</t>
        </is>
      </c>
      <c r="U55" s="24" t="inlineStr">
        <is>
          <t>settled</t>
        </is>
      </c>
      <c r="V55" s="24" t="inlineStr">
        <is>
          <t>win</t>
        </is>
      </c>
      <c r="W55" s="26" t="n">
        <v>0</v>
      </c>
      <c r="X55" s="26" t="n">
        <v>1</v>
      </c>
      <c r="Y55" s="25" t="n"/>
      <c r="Z55" s="26" t="n">
        <v>-150</v>
      </c>
      <c r="AA55" s="28" t="n">
        <v>0.6</v>
      </c>
      <c r="AB55" s="28" t="n">
        <v>0</v>
      </c>
      <c r="AC55" s="30" t="n">
        <v>1</v>
      </c>
      <c r="AD55" s="24" t="inlineStr">
        <is>
          <t>2026-08-05T01:05:49.683001Z</t>
        </is>
      </c>
      <c r="AE55" s="31" t="inlineStr">
        <is>
          <t>Neutral Elo baseline; executable ask 0.6000 (market_slug=aec-cs2-odk-reda-2026-08-03).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RED Canids Academy</t>
        </is>
      </c>
      <c r="AQ55" s="24" t="inlineStr">
        <is>
          <t>RED Canids Academy</t>
        </is>
      </c>
      <c r="AR55" s="24" t="inlineStr">
        <is>
          <t>RED Canids Academy</t>
        </is>
      </c>
      <c r="AS55" s="24" t="inlineStr">
        <is>
          <t>ODDIK</t>
        </is>
      </c>
      <c r="AT55" s="24" t="inlineStr">
        <is>
          <t>ODDIK</t>
        </is>
      </c>
      <c r="AU55" s="24" t="inlineStr">
        <is>
          <t>ODDIK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49e72bc47e8b746259057b18a0727b3402ae02f53069edfae5b6532757438c2c</t>
        </is>
      </c>
      <c r="BB55" s="24" t="inlineStr">
        <is>
          <t>neutral_elo</t>
        </is>
      </c>
      <c r="BC55" s="24" t="inlineStr">
        <is>
          <t>cs2-tiered-elo-v5</t>
        </is>
      </c>
      <c r="BD55" s="24" t="inlineStr">
        <is>
          <t>49e72bc47e8b746259057b18a0727b3402ae02f53069edfae5b6532757438c2c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cs2-tiered-elo-v5</t>
        </is>
      </c>
      <c r="BH55" s="24" t="inlineStr">
        <is>
          <t>2026-08-03T19:54:46.268393Z</t>
        </is>
      </c>
      <c r="BI55" s="24" t="inlineStr">
        <is>
          <t>["same_event","same_team_same_day","same_league_same_day"]</t>
        </is>
      </c>
      <c r="BJ55" s="25" t="n"/>
      <c r="BK55" s="26" t="n">
        <v>-150</v>
      </c>
      <c r="BL55" s="27" t="n">
        <v>1.666667</v>
      </c>
      <c r="BM55" s="28" t="n">
        <v>0.6</v>
      </c>
      <c r="BN55" s="28" t="n"/>
      <c r="BO55" s="28" t="n"/>
      <c r="BP55" s="25" t="n"/>
      <c r="BQ55" s="27" t="n">
        <v>1.666667</v>
      </c>
      <c r="BR55" s="28" t="n">
        <v>0.6</v>
      </c>
      <c r="BS55" s="28" t="n"/>
      <c r="BT55" s="28" t="n"/>
      <c r="BU55" s="25" t="n"/>
      <c r="BV55" s="29" t="n"/>
      <c r="BW55" s="24" t="n"/>
      <c r="BX55" s="30" t="n">
        <v>1</v>
      </c>
      <c r="BY55" s="27" t="n">
        <v>0.91</v>
      </c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</row>
    <row r="56" ht="36" customHeight="1">
      <c r="A56" s="24" t="inlineStr">
        <is>
          <t>824dd35618ef4ec9</t>
        </is>
      </c>
      <c r="B56" s="24" t="inlineStr">
        <is>
          <t>2026-08-03T22:58:11.099295Z</t>
        </is>
      </c>
      <c r="C56" s="24" t="inlineStr">
        <is>
          <t>2026-08-03T23:00:00Z</t>
        </is>
      </c>
      <c r="D56" s="24" t="inlineStr">
        <is>
          <t>68043</t>
        </is>
      </c>
      <c r="E56" s="24" t="inlineStr">
        <is>
          <t>CS2</t>
        </is>
      </c>
      <c r="F56" s="24" t="inlineStr">
        <is>
          <t>paiN Academy</t>
        </is>
      </c>
      <c r="G56" s="24" t="inlineStr">
        <is>
          <t>Grêmio Esports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178</v>
      </c>
      <c r="M56" s="27" t="n">
        <v>2.78</v>
      </c>
      <c r="N56" s="28" t="n">
        <v>0.359712</v>
      </c>
      <c r="O56" s="28" t="n">
        <v>0.569493</v>
      </c>
      <c r="P56" s="28" t="n"/>
      <c r="Q56" s="28" t="n">
        <v>0.209781</v>
      </c>
      <c r="R56" s="26" t="n">
        <v>100</v>
      </c>
      <c r="S56" s="29" t="n">
        <v>1.25</v>
      </c>
      <c r="T56" s="24" t="inlineStr">
        <is>
          <t>cs2-tiered-elo-v5</t>
        </is>
      </c>
      <c r="U56" s="24" t="inlineStr">
        <is>
          <t>settled</t>
        </is>
      </c>
      <c r="V56" s="24" t="inlineStr">
        <is>
          <t>win</t>
        </is>
      </c>
      <c r="W56" s="26" t="n">
        <v>0</v>
      </c>
      <c r="X56" s="26" t="n">
        <v>1</v>
      </c>
      <c r="Y56" s="25" t="n"/>
      <c r="Z56" s="26" t="n">
        <v>178</v>
      </c>
      <c r="AA56" s="28" t="n">
        <v>0.36</v>
      </c>
      <c r="AB56" s="28" t="n">
        <v>0.000288</v>
      </c>
      <c r="AC56" s="30" t="n">
        <v>2.225</v>
      </c>
      <c r="AD56" s="24" t="inlineStr">
        <is>
          <t>2026-08-04T03:58:12.882980Z</t>
        </is>
      </c>
      <c r="AE56" s="31" t="inlineStr">
        <is>
          <t>Neutral Elo baseline; executable ask 0.3600 (market_slug=aec-cs2-ger-paina-2026-08-03).</t>
        </is>
      </c>
      <c r="AF56" s="31" t="inlineStr">
        <is>
          <t>Config-promoted esports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NO_CALL_MODEL_UNVALIDATED</t>
        </is>
      </c>
      <c r="AP56" s="24" t="inlineStr">
        <is>
          <t>paiN Academy</t>
        </is>
      </c>
      <c r="AQ56" s="24" t="inlineStr">
        <is>
          <t>paiN Academy</t>
        </is>
      </c>
      <c r="AR56" s="24" t="inlineStr">
        <is>
          <t>paiN Academy</t>
        </is>
      </c>
      <c r="AS56" s="24" t="inlineStr">
        <is>
          <t>Grêmio Esports</t>
        </is>
      </c>
      <c r="AT56" s="24" t="inlineStr">
        <is>
          <t>Grêmio Esports</t>
        </is>
      </c>
      <c r="AU56" s="24" t="inlineStr">
        <is>
          <t>Grêmio Esports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2395c0bc2d118cb68697847c5524bbbcdf615284bfa6589bd672b76fe7c39141</t>
        </is>
      </c>
      <c r="BB56" s="24" t="inlineStr">
        <is>
          <t>neutral_elo</t>
        </is>
      </c>
      <c r="BC56" s="24" t="inlineStr">
        <is>
          <t>cs2-tiered-elo-v5</t>
        </is>
      </c>
      <c r="BD56" s="24" t="inlineStr">
        <is>
          <t>2395c0bc2d118cb68697847c5524bbbcdf615284bfa6589bd672b76fe7c39141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cs2-tiered-elo-v5</t>
        </is>
      </c>
      <c r="BH56" s="24" t="inlineStr">
        <is>
          <t>2026-08-03T22:57:48.744487Z</t>
        </is>
      </c>
      <c r="BI56" s="24" t="inlineStr">
        <is>
          <t>["same_event","same_team_same_day","same_league_same_day"]</t>
        </is>
      </c>
      <c r="BJ56" s="25" t="n"/>
      <c r="BK56" s="26" t="n">
        <v>178</v>
      </c>
      <c r="BL56" s="27" t="n">
        <v>2.78</v>
      </c>
      <c r="BM56" s="28" t="n">
        <v>0.359712</v>
      </c>
      <c r="BN56" s="28" t="n"/>
      <c r="BO56" s="28" t="n"/>
      <c r="BP56" s="25" t="n"/>
      <c r="BQ56" s="27" t="n">
        <v>2.78</v>
      </c>
      <c r="BR56" s="28" t="n">
        <v>0.36</v>
      </c>
      <c r="BS56" s="28" t="n"/>
      <c r="BT56" s="28" t="n"/>
      <c r="BU56" s="25" t="n"/>
      <c r="BV56" s="29" t="n"/>
      <c r="BW56" s="24" t="n"/>
      <c r="BX56" s="30" t="n">
        <v>1</v>
      </c>
      <c r="BY56" s="27" t="n">
        <v>0.91</v>
      </c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</row>
    <row r="57" ht="36" customHeight="1">
      <c r="A57" s="24" t="inlineStr">
        <is>
          <t>bfe75fb7f86545b1</t>
        </is>
      </c>
      <c r="B57" s="24" t="inlineStr">
        <is>
          <t>2026-08-04T05:18:53.002097Z</t>
        </is>
      </c>
      <c r="C57" s="24" t="inlineStr">
        <is>
          <t>2026-08-04T08:00:00Z</t>
        </is>
      </c>
      <c r="D57" s="24" t="inlineStr">
        <is>
          <t>71316</t>
        </is>
      </c>
      <c r="E57" s="24" t="inlineStr">
        <is>
          <t>CS2</t>
        </is>
      </c>
      <c r="F57" s="24" t="inlineStr">
        <is>
          <t>Johnny Speeds</t>
        </is>
      </c>
      <c r="G57" s="24" t="inlineStr">
        <is>
          <t>G2 Ares</t>
        </is>
      </c>
      <c r="H57" s="24" t="inlineStr">
        <is>
          <t>moneyline</t>
        </is>
      </c>
      <c r="I57" s="24" t="inlineStr">
        <is>
          <t>away</t>
        </is>
      </c>
      <c r="J57" s="25" t="n"/>
      <c r="K57" s="24" t="inlineStr">
        <is>
          <t>polymarket_us</t>
        </is>
      </c>
      <c r="L57" s="26" t="n">
        <v>-122</v>
      </c>
      <c r="M57" s="27" t="n">
        <v>1.819672</v>
      </c>
      <c r="N57" s="28" t="n">
        <v>0.54955</v>
      </c>
      <c r="O57" s="28" t="n">
        <v>0.5273600000000001</v>
      </c>
      <c r="P57" s="28" t="n"/>
      <c r="Q57" s="28" t="n">
        <v>-0.02219</v>
      </c>
      <c r="R57" s="26" t="n">
        <v>9</v>
      </c>
      <c r="S57" s="29" t="n">
        <v>1</v>
      </c>
      <c r="T57" s="24" t="inlineStr">
        <is>
          <t>cs2-tiered-elo-v5</t>
        </is>
      </c>
      <c r="U57" s="24" t="inlineStr">
        <is>
          <t>settled</t>
        </is>
      </c>
      <c r="V57" s="24" t="inlineStr">
        <is>
          <t>win</t>
        </is>
      </c>
      <c r="W57" s="26" t="n">
        <v>1</v>
      </c>
      <c r="X57" s="26" t="n">
        <v>0</v>
      </c>
      <c r="Y57" s="25" t="n"/>
      <c r="Z57" s="26" t="n">
        <v>-122</v>
      </c>
      <c r="AA57" s="28" t="n">
        <v>0.55</v>
      </c>
      <c r="AB57" s="28" t="n">
        <v>0.00045</v>
      </c>
      <c r="AC57" s="30" t="n">
        <v>0.8197</v>
      </c>
      <c r="AD57" s="24" t="inlineStr">
        <is>
          <t>2026-08-04T11:57:38.643502Z</t>
        </is>
      </c>
      <c r="AE57" s="31" t="inlineStr">
        <is>
          <t>Neutral Elo baseline; executable ask 0.5500 (market_slug=aec-cs2-g2a-js-2026-08-04).</t>
        </is>
      </c>
      <c r="AF57" s="31" t="inlineStr">
        <is>
          <t>Config-promoted esports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NO_CALL_LOW_EDGE</t>
        </is>
      </c>
      <c r="AP57" s="24" t="inlineStr">
        <is>
          <t>Johnny Speeds</t>
        </is>
      </c>
      <c r="AQ57" s="24" t="inlineStr">
        <is>
          <t>Johnny Speeds</t>
        </is>
      </c>
      <c r="AR57" s="24" t="inlineStr">
        <is>
          <t>Johnny Speeds</t>
        </is>
      </c>
      <c r="AS57" s="24" t="inlineStr">
        <is>
          <t>G2 Ares</t>
        </is>
      </c>
      <c r="AT57" s="24" t="inlineStr">
        <is>
          <t>G2 Ares</t>
        </is>
      </c>
      <c r="AU57" s="24" t="inlineStr">
        <is>
          <t>G2 Ares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83e1528a9bd51ea902d7704e0b3d24b0db02596c08a56e20e38f9385c7964710</t>
        </is>
      </c>
      <c r="BB57" s="24" t="inlineStr">
        <is>
          <t>neutral_elo</t>
        </is>
      </c>
      <c r="BC57" s="24" t="inlineStr">
        <is>
          <t>cs2-tiered-elo-v5</t>
        </is>
      </c>
      <c r="BD57" s="24" t="inlineStr">
        <is>
          <t>83e1528a9bd51ea902d7704e0b3d24b0db02596c08a56e20e38f9385c7964710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cs2-tiered-elo-v5</t>
        </is>
      </c>
      <c r="BH57" s="24" t="inlineStr">
        <is>
          <t>2026-08-04T05:18:19.586314Z</t>
        </is>
      </c>
      <c r="BI57" s="24" t="inlineStr">
        <is>
          <t>["same_event","same_team_same_day","same_league_same_day"]</t>
        </is>
      </c>
      <c r="BJ57" s="25" t="n"/>
      <c r="BK57" s="26" t="n">
        <v>-122</v>
      </c>
      <c r="BL57" s="27" t="n">
        <v>1.819672</v>
      </c>
      <c r="BM57" s="28" t="n">
        <v>0.54955</v>
      </c>
      <c r="BN57" s="28" t="n"/>
      <c r="BO57" s="28" t="n"/>
      <c r="BP57" s="25" t="n"/>
      <c r="BQ57" s="27" t="n">
        <v>1.819672</v>
      </c>
      <c r="BR57" s="28" t="n">
        <v>0.55</v>
      </c>
      <c r="BS57" s="28" t="n"/>
      <c r="BT57" s="28" t="n"/>
      <c r="BU57" s="25" t="n"/>
      <c r="BV57" s="29" t="n"/>
      <c r="BW57" s="24" t="n"/>
      <c r="BX57" s="30" t="n">
        <v>1</v>
      </c>
      <c r="BY57" s="27" t="n">
        <v>0.91</v>
      </c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False</t>
        </is>
      </c>
    </row>
    <row r="58" ht="36" customHeight="1">
      <c r="A58" s="24" t="inlineStr">
        <is>
          <t>63db88fad55c495a</t>
        </is>
      </c>
      <c r="B58" s="24" t="inlineStr">
        <is>
          <t>2026-08-04T05:18:53.002097Z</t>
        </is>
      </c>
      <c r="C58" s="24" t="inlineStr">
        <is>
          <t>2026-08-04T08:00:00Z</t>
        </is>
      </c>
      <c r="D58" s="24" t="inlineStr">
        <is>
          <t>68471</t>
        </is>
      </c>
      <c r="E58" s="24" t="inlineStr">
        <is>
          <t>CS2</t>
        </is>
      </c>
      <c r="F58" s="24" t="inlineStr">
        <is>
          <t>STATE</t>
        </is>
      </c>
      <c r="G58" s="24" t="inlineStr">
        <is>
          <t>INFURITY Gaming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-223</v>
      </c>
      <c r="M58" s="27" t="n">
        <v>1.44843</v>
      </c>
      <c r="N58" s="28" t="n">
        <v>0.690402</v>
      </c>
      <c r="O58" s="28" t="n">
        <v>0.571054</v>
      </c>
      <c r="P58" s="28" t="n"/>
      <c r="Q58" s="28" t="n">
        <v>-0.119348</v>
      </c>
      <c r="R58" s="26" t="n">
        <v>0</v>
      </c>
      <c r="S58" s="29" t="n">
        <v>1.25</v>
      </c>
      <c r="T58" s="24" t="inlineStr">
        <is>
          <t>cs2-tiered-elo-v5</t>
        </is>
      </c>
      <c r="U58" s="24" t="inlineStr">
        <is>
          <t>settled</t>
        </is>
      </c>
      <c r="V58" s="24" t="inlineStr">
        <is>
          <t>loss</t>
        </is>
      </c>
      <c r="W58" s="26" t="n">
        <v>0</v>
      </c>
      <c r="X58" s="26" t="n">
        <v>1</v>
      </c>
      <c r="Y58" s="25" t="n"/>
      <c r="Z58" s="26" t="n">
        <v>-223</v>
      </c>
      <c r="AA58" s="28" t="n">
        <v>0.6899999999999999</v>
      </c>
      <c r="AB58" s="28" t="n">
        <v>-0.000402</v>
      </c>
      <c r="AC58" s="30" t="n">
        <v>-1.25</v>
      </c>
      <c r="AD58" s="24" t="inlineStr">
        <is>
          <t>2026-08-04T11:57:40.271226Z</t>
        </is>
      </c>
      <c r="AE58" s="31" t="inlineStr">
        <is>
          <t>Neutral Elo baseline; executable ask 0.6900 (market_slug=aec-cs2-ign-sta-2026-08-04).</t>
        </is>
      </c>
      <c r="AF58" s="31" t="inlineStr">
        <is>
          <t>Config-promoted esports baseline; gates enforced at log time.</t>
        </is>
      </c>
      <c r="AG58" s="24" t="inlineStr">
        <is>
          <t>review_required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NO_CALL_LOW_EDGE</t>
        </is>
      </c>
      <c r="AP58" s="24" t="inlineStr">
        <is>
          <t>STATE</t>
        </is>
      </c>
      <c r="AQ58" s="24" t="inlineStr">
        <is>
          <t>STATE</t>
        </is>
      </c>
      <c r="AR58" s="24" t="inlineStr">
        <is>
          <t>STATE</t>
        </is>
      </c>
      <c r="AS58" s="24" t="inlineStr">
        <is>
          <t>INFURITY Gaming</t>
        </is>
      </c>
      <c r="AT58" s="24" t="inlineStr">
        <is>
          <t>INFURITY Gaming</t>
        </is>
      </c>
      <c r="AU58" s="24" t="inlineStr">
        <is>
          <t>INFURITY Gaming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83e1528a9bd51ea902d7704e0b3d24b0db02596c08a56e20e38f9385c7964710</t>
        </is>
      </c>
      <c r="BB58" s="24" t="inlineStr">
        <is>
          <t>neutral_elo</t>
        </is>
      </c>
      <c r="BC58" s="24" t="inlineStr">
        <is>
          <t>cs2-tiered-elo-v5</t>
        </is>
      </c>
      <c r="BD58" s="24" t="inlineStr">
        <is>
          <t>83e1528a9bd51ea902d7704e0b3d24b0db02596c08a56e20e38f9385c7964710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cs2-tiered-elo-v5</t>
        </is>
      </c>
      <c r="BH58" s="24" t="inlineStr">
        <is>
          <t>2026-08-04T05:18:20.827862Z</t>
        </is>
      </c>
      <c r="BI58" s="24" t="inlineStr">
        <is>
          <t>["same_event","same_team_same_day","same_league_same_day"]</t>
        </is>
      </c>
      <c r="BJ58" s="25" t="n"/>
      <c r="BK58" s="26" t="n">
        <v>-223</v>
      </c>
      <c r="BL58" s="27" t="n">
        <v>1.44843</v>
      </c>
      <c r="BM58" s="28" t="n">
        <v>0.690402</v>
      </c>
      <c r="BN58" s="28" t="n"/>
      <c r="BO58" s="28" t="n"/>
      <c r="BP58" s="25" t="n"/>
      <c r="BQ58" s="27" t="n">
        <v>1.44843</v>
      </c>
      <c r="BR58" s="28" t="n">
        <v>0.6899999999999999</v>
      </c>
      <c r="BS58" s="28" t="n"/>
      <c r="BT58" s="28" t="n"/>
      <c r="BU58" s="25" t="n"/>
      <c r="BV58" s="29" t="n"/>
      <c r="BW58" s="24" t="n"/>
      <c r="BX58" s="30" t="n">
        <v>1</v>
      </c>
      <c r="BY58" s="27" t="n">
        <v>-1</v>
      </c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False</t>
        </is>
      </c>
    </row>
    <row r="59" ht="36" customHeight="1">
      <c r="A59" s="24" t="inlineStr">
        <is>
          <t>2a5ef31ba3d7448c</t>
        </is>
      </c>
      <c r="B59" s="24" t="inlineStr">
        <is>
          <t>2026-08-04T08:56:55.041466Z</t>
        </is>
      </c>
      <c r="C59" s="24" t="inlineStr">
        <is>
          <t>2026-08-04T10:30:00Z</t>
        </is>
      </c>
      <c r="D59" s="24" t="inlineStr">
        <is>
          <t>68472</t>
        </is>
      </c>
      <c r="E59" s="24" t="inlineStr">
        <is>
          <t>CS2</t>
        </is>
      </c>
      <c r="F59" s="24" t="inlineStr">
        <is>
          <t>Inner Circle Prospect</t>
        </is>
      </c>
      <c r="G59" s="24" t="inlineStr">
        <is>
          <t>ENCE Prospects</t>
        </is>
      </c>
      <c r="H59" s="24" t="inlineStr">
        <is>
          <t>moneyline</t>
        </is>
      </c>
      <c r="I59" s="24" t="inlineStr">
        <is>
          <t>away</t>
        </is>
      </c>
      <c r="J59" s="25" t="n"/>
      <c r="K59" s="24" t="inlineStr">
        <is>
          <t>polymarket_us</t>
        </is>
      </c>
      <c r="L59" s="26" t="n">
        <v>-127</v>
      </c>
      <c r="M59" s="27" t="n">
        <v>1.787402</v>
      </c>
      <c r="N59" s="28" t="n">
        <v>0.5594710000000001</v>
      </c>
      <c r="O59" s="28" t="n">
        <v>0.513199</v>
      </c>
      <c r="P59" s="28" t="n"/>
      <c r="Q59" s="28" t="n">
        <v>-0.046272</v>
      </c>
      <c r="R59" s="26" t="n">
        <v>0</v>
      </c>
      <c r="S59" s="29" t="n">
        <v>1</v>
      </c>
      <c r="T59" s="24" t="inlineStr">
        <is>
          <t>cs2-tiered-elo-v5</t>
        </is>
      </c>
      <c r="U59" s="24" t="inlineStr">
        <is>
          <t>settled</t>
        </is>
      </c>
      <c r="V59" s="24" t="inlineStr">
        <is>
          <t>win</t>
        </is>
      </c>
      <c r="W59" s="26" t="n">
        <v>1</v>
      </c>
      <c r="X59" s="26" t="n">
        <v>0</v>
      </c>
      <c r="Y59" s="25" t="n"/>
      <c r="Z59" s="26" t="n">
        <v>-127</v>
      </c>
      <c r="AA59" s="28" t="n">
        <v>0.5600000000000001</v>
      </c>
      <c r="AB59" s="28" t="n">
        <v>0.000529</v>
      </c>
      <c r="AC59" s="30" t="n">
        <v>0.7874</v>
      </c>
      <c r="AD59" s="24" t="inlineStr">
        <is>
          <t>2026-08-04T14:03:06.444544Z</t>
        </is>
      </c>
      <c r="AE59" s="31" t="inlineStr">
        <is>
          <t>Neutral Elo baseline; executable ask 0.5600 (market_slug=aec-cs2-encep-icp-2026-08-04).</t>
        </is>
      </c>
      <c r="AF59" s="31" t="inlineStr">
        <is>
          <t>Config-promoted esports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NO_CALL_LOW_EDGE</t>
        </is>
      </c>
      <c r="AP59" s="24" t="inlineStr">
        <is>
          <t>Inner Circle Prospect</t>
        </is>
      </c>
      <c r="AQ59" s="24" t="inlineStr">
        <is>
          <t>Inner Circle Prospect</t>
        </is>
      </c>
      <c r="AR59" s="24" t="inlineStr">
        <is>
          <t>Inner Circle Prospect</t>
        </is>
      </c>
      <c r="AS59" s="24" t="inlineStr">
        <is>
          <t>ENCE Prospects</t>
        </is>
      </c>
      <c r="AT59" s="24" t="inlineStr">
        <is>
          <t>ENCE Prospects</t>
        </is>
      </c>
      <c r="AU59" s="24" t="inlineStr">
        <is>
          <t>ENCE Prospects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2e5d465a17379306940528ff103c7508aad908ecb9a4879bb8031bb88a86443c</t>
        </is>
      </c>
      <c r="BB59" s="24" t="inlineStr">
        <is>
          <t>neutral_elo</t>
        </is>
      </c>
      <c r="BC59" s="24" t="inlineStr">
        <is>
          <t>cs2-tiered-elo-v5</t>
        </is>
      </c>
      <c r="BD59" s="24" t="inlineStr">
        <is>
          <t>2e5d465a17379306940528ff103c7508aad908ecb9a4879bb8031bb88a86443c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cs2-tiered-elo-v5</t>
        </is>
      </c>
      <c r="BH59" s="24" t="inlineStr">
        <is>
          <t>2026-08-04T08:56:24.175897Z</t>
        </is>
      </c>
      <c r="BI59" s="24" t="inlineStr">
        <is>
          <t>["same_event","same_team_same_day","same_league_same_day"]</t>
        </is>
      </c>
      <c r="BJ59" s="25" t="n"/>
      <c r="BK59" s="26" t="n">
        <v>-127</v>
      </c>
      <c r="BL59" s="27" t="n">
        <v>1.787402</v>
      </c>
      <c r="BM59" s="28" t="n">
        <v>0.5594710000000001</v>
      </c>
      <c r="BN59" s="28" t="n"/>
      <c r="BO59" s="28" t="n"/>
      <c r="BP59" s="25" t="n"/>
      <c r="BQ59" s="27" t="n">
        <v>1.787402</v>
      </c>
      <c r="BR59" s="28" t="n">
        <v>0.5600000000000001</v>
      </c>
      <c r="BS59" s="28" t="n"/>
      <c r="BT59" s="28" t="n"/>
      <c r="BU59" s="25" t="n"/>
      <c r="BV59" s="29" t="n"/>
      <c r="BW59" s="24" t="n"/>
      <c r="BX59" s="30" t="n">
        <v>1</v>
      </c>
      <c r="BY59" s="27" t="n">
        <v>0.91</v>
      </c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False</t>
        </is>
      </c>
    </row>
    <row r="60" ht="36" customHeight="1">
      <c r="A60" s="24" t="inlineStr">
        <is>
          <t>5a02f7db72834d1f</t>
        </is>
      </c>
      <c r="B60" s="24" t="inlineStr">
        <is>
          <t>2026-08-04T08:56:55.041466Z</t>
        </is>
      </c>
      <c r="C60" s="24" t="inlineStr">
        <is>
          <t>2026-08-04T11:00:00Z</t>
        </is>
      </c>
      <c r="D60" s="24" t="inlineStr">
        <is>
          <t>68302</t>
        </is>
      </c>
      <c r="E60" s="24" t="inlineStr">
        <is>
          <t>CS2</t>
        </is>
      </c>
      <c r="F60" s="24" t="inlineStr">
        <is>
          <t>Phantom</t>
        </is>
      </c>
      <c r="G60" s="24" t="inlineStr">
        <is>
          <t>Sashi Esport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104</v>
      </c>
      <c r="M60" s="27" t="n">
        <v>2.04</v>
      </c>
      <c r="N60" s="28" t="n">
        <v>0.490196</v>
      </c>
      <c r="O60" s="28" t="n">
        <v>0.551011</v>
      </c>
      <c r="P60" s="28" t="n"/>
      <c r="Q60" s="28" t="n">
        <v>0.060815</v>
      </c>
      <c r="R60" s="26" t="n">
        <v>50</v>
      </c>
      <c r="S60" s="29" t="n">
        <v>1</v>
      </c>
      <c r="T60" s="24" t="inlineStr">
        <is>
          <t>cs2-tiered-elo-v5</t>
        </is>
      </c>
      <c r="U60" s="24" t="inlineStr">
        <is>
          <t>settled</t>
        </is>
      </c>
      <c r="V60" s="24" t="inlineStr">
        <is>
          <t>win</t>
        </is>
      </c>
      <c r="W60" s="26" t="n">
        <v>0</v>
      </c>
      <c r="X60" s="26" t="n">
        <v>1</v>
      </c>
      <c r="Y60" s="25" t="n"/>
      <c r="Z60" s="26" t="n">
        <v>104</v>
      </c>
      <c r="AA60" s="28" t="n">
        <v>0.49</v>
      </c>
      <c r="AB60" s="28" t="n">
        <v>-0.000196</v>
      </c>
      <c r="AC60" s="30" t="n">
        <v>1.04</v>
      </c>
      <c r="AD60" s="24" t="inlineStr">
        <is>
          <t>2026-08-04T14:03:08.153056Z</t>
        </is>
      </c>
      <c r="AE60" s="31" t="inlineStr">
        <is>
          <t>Neutral Elo baseline; executable ask 0.4900 (market_slug=aec-cs2-sashi-pha-2026-08-04).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3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Phantom</t>
        </is>
      </c>
      <c r="AQ60" s="24" t="inlineStr">
        <is>
          <t>Phantom</t>
        </is>
      </c>
      <c r="AR60" s="24" t="inlineStr">
        <is>
          <t>Phantom</t>
        </is>
      </c>
      <c r="AS60" s="24" t="inlineStr">
        <is>
          <t>Sashi Esport</t>
        </is>
      </c>
      <c r="AT60" s="24" t="inlineStr">
        <is>
          <t>Sashi Esport</t>
        </is>
      </c>
      <c r="AU60" s="24" t="inlineStr">
        <is>
          <t>Sashi Esport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2e5d465a17379306940528ff103c7508aad908ecb9a4879bb8031bb88a86443c</t>
        </is>
      </c>
      <c r="BB60" s="24" t="inlineStr">
        <is>
          <t>neutral_elo</t>
        </is>
      </c>
      <c r="BC60" s="24" t="inlineStr">
        <is>
          <t>cs2-tiered-elo-v5</t>
        </is>
      </c>
      <c r="BD60" s="24" t="inlineStr">
        <is>
          <t>2e5d465a17379306940528ff103c7508aad908ecb9a4879bb8031bb88a86443c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cs2-tiered-elo-v5</t>
        </is>
      </c>
      <c r="BH60" s="24" t="inlineStr">
        <is>
          <t>2026-08-04T08:56:24.737438Z</t>
        </is>
      </c>
      <c r="BI60" s="24" t="inlineStr">
        <is>
          <t>["same_event","same_team_same_day","same_league_same_day"]</t>
        </is>
      </c>
      <c r="BJ60" s="25" t="n"/>
      <c r="BK60" s="26" t="n">
        <v>104</v>
      </c>
      <c r="BL60" s="27" t="n">
        <v>2.04</v>
      </c>
      <c r="BM60" s="28" t="n">
        <v>0.490196</v>
      </c>
      <c r="BN60" s="28" t="n"/>
      <c r="BO60" s="28" t="n"/>
      <c r="BP60" s="25" t="n"/>
      <c r="BQ60" s="27" t="n">
        <v>2.04</v>
      </c>
      <c r="BR60" s="28" t="n">
        <v>0.49</v>
      </c>
      <c r="BS60" s="28" t="n"/>
      <c r="BT60" s="28" t="n"/>
      <c r="BU60" s="25" t="n"/>
      <c r="BV60" s="29" t="n"/>
      <c r="BW60" s="24" t="n"/>
      <c r="BX60" s="30" t="n">
        <v>1</v>
      </c>
      <c r="BY60" s="27" t="n">
        <v>0.91</v>
      </c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</row>
    <row r="61" ht="36" customHeight="1">
      <c r="A61" s="24" t="inlineStr">
        <is>
          <t>cb7f1fae514b4028</t>
        </is>
      </c>
      <c r="B61" s="24" t="inlineStr">
        <is>
          <t>2026-08-04T08:56:55.041466Z</t>
        </is>
      </c>
      <c r="C61" s="24" t="inlineStr">
        <is>
          <t>2026-08-04T11:00:00Z</t>
        </is>
      </c>
      <c r="D61" s="24" t="inlineStr">
        <is>
          <t>68301</t>
        </is>
      </c>
      <c r="E61" s="24" t="inlineStr">
        <is>
          <t>CS2</t>
        </is>
      </c>
      <c r="F61" s="24" t="inlineStr">
        <is>
          <t>SNAILKICK Club</t>
        </is>
      </c>
      <c r="G61" s="24" t="inlineStr">
        <is>
          <t>PCH3LK1N Club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-113</v>
      </c>
      <c r="M61" s="27" t="n">
        <v>1.884956</v>
      </c>
      <c r="N61" s="28" t="n">
        <v>0.530516</v>
      </c>
      <c r="O61" s="28" t="n">
        <v>0.527057</v>
      </c>
      <c r="P61" s="28" t="n"/>
      <c r="Q61" s="28" t="n">
        <v>-0.003459</v>
      </c>
      <c r="R61" s="26" t="n">
        <v>18</v>
      </c>
      <c r="S61" s="29" t="n">
        <v>1</v>
      </c>
      <c r="T61" s="24" t="inlineStr">
        <is>
          <t>cs2-tiered-elo-v5</t>
        </is>
      </c>
      <c r="U61" s="24" t="inlineStr">
        <is>
          <t>settled</t>
        </is>
      </c>
      <c r="V61" s="24" t="inlineStr">
        <is>
          <t>loss</t>
        </is>
      </c>
      <c r="W61" s="26" t="n">
        <v>1</v>
      </c>
      <c r="X61" s="26" t="n">
        <v>0</v>
      </c>
      <c r="Y61" s="25" t="n"/>
      <c r="Z61" s="26" t="n">
        <v>-113</v>
      </c>
      <c r="AA61" s="28" t="n">
        <v>0.53</v>
      </c>
      <c r="AB61" s="28" t="n">
        <v>-0.000516</v>
      </c>
      <c r="AC61" s="30" t="n">
        <v>-1</v>
      </c>
      <c r="AD61" s="24" t="inlineStr">
        <is>
          <t>2026-08-04T14:03:09.721402Z</t>
        </is>
      </c>
      <c r="AE61" s="31" t="inlineStr">
        <is>
          <t>Neutral Elo baseline; executable ask 0.5300 (market_slug=aec-cs2-plnc-scn-2026-08-04).</t>
        </is>
      </c>
      <c r="AF61" s="31" t="inlineStr">
        <is>
          <t>Config-promoted esports baseline; gates enforced at log time.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NO_CALL_MODEL_UNVALIDATED</t>
        </is>
      </c>
      <c r="AP61" s="24" t="inlineStr">
        <is>
          <t>SNAILKICK Club</t>
        </is>
      </c>
      <c r="AQ61" s="24" t="inlineStr">
        <is>
          <t>SNAILKICK Club</t>
        </is>
      </c>
      <c r="AR61" s="24" t="inlineStr">
        <is>
          <t>SNAILKICK Club</t>
        </is>
      </c>
      <c r="AS61" s="24" t="inlineStr">
        <is>
          <t>PCH3LK1N Club</t>
        </is>
      </c>
      <c r="AT61" s="24" t="inlineStr">
        <is>
          <t>PCH3LK1N Club</t>
        </is>
      </c>
      <c r="AU61" s="24" t="inlineStr">
        <is>
          <t>PCH3LK1N Club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2e5d465a17379306940528ff103c7508aad908ecb9a4879bb8031bb88a86443c</t>
        </is>
      </c>
      <c r="BB61" s="24" t="inlineStr">
        <is>
          <t>neutral_elo</t>
        </is>
      </c>
      <c r="BC61" s="24" t="inlineStr">
        <is>
          <t>cs2-tiered-elo-v5</t>
        </is>
      </c>
      <c r="BD61" s="24" t="inlineStr">
        <is>
          <t>2e5d465a17379306940528ff103c7508aad908ecb9a4879bb8031bb88a86443c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cs2-tiered-elo-v5</t>
        </is>
      </c>
      <c r="BH61" s="24" t="inlineStr">
        <is>
          <t>2026-08-04T08:56:25.426369Z</t>
        </is>
      </c>
      <c r="BI61" s="24" t="inlineStr">
        <is>
          <t>["same_event","same_team_same_day","same_league_same_day"]</t>
        </is>
      </c>
      <c r="BJ61" s="25" t="n"/>
      <c r="BK61" s="26" t="n">
        <v>-113</v>
      </c>
      <c r="BL61" s="27" t="n">
        <v>1.884956</v>
      </c>
      <c r="BM61" s="28" t="n">
        <v>0.530516</v>
      </c>
      <c r="BN61" s="28" t="n"/>
      <c r="BO61" s="28" t="n"/>
      <c r="BP61" s="25" t="n"/>
      <c r="BQ61" s="27" t="n">
        <v>1.884956</v>
      </c>
      <c r="BR61" s="28" t="n">
        <v>0.53</v>
      </c>
      <c r="BS61" s="28" t="n"/>
      <c r="BT61" s="28" t="n"/>
      <c r="BU61" s="25" t="n"/>
      <c r="BV61" s="29" t="n"/>
      <c r="BW61" s="24" t="n"/>
      <c r="BX61" s="30" t="n">
        <v>1</v>
      </c>
      <c r="BY61" s="27" t="n">
        <v>-1</v>
      </c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False</t>
        </is>
      </c>
    </row>
    <row r="62" ht="36" customHeight="1">
      <c r="A62" s="24" t="inlineStr">
        <is>
          <t>fe5f1ab4ae674f3c</t>
        </is>
      </c>
      <c r="B62" s="24" t="inlineStr">
        <is>
          <t>2026-08-04T08:56:55.041466Z</t>
        </is>
      </c>
      <c r="C62" s="24" t="inlineStr">
        <is>
          <t>2026-08-04T11:00:00Z</t>
        </is>
      </c>
      <c r="D62" s="24" t="inlineStr">
        <is>
          <t>71501</t>
        </is>
      </c>
      <c r="E62" s="24" t="inlineStr">
        <is>
          <t>CS2</t>
        </is>
      </c>
      <c r="F62" s="24" t="inlineStr">
        <is>
          <t>Betclic Apogee Esports</t>
        </is>
      </c>
      <c r="G62" s="24" t="inlineStr">
        <is>
          <t>Acend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-138</v>
      </c>
      <c r="M62" s="27" t="n">
        <v>1.724638</v>
      </c>
      <c r="N62" s="28" t="n">
        <v>0.579832</v>
      </c>
      <c r="O62" s="28" t="n">
        <v>0.691594</v>
      </c>
      <c r="P62" s="28" t="n"/>
      <c r="Q62" s="28" t="n">
        <v>0.111762</v>
      </c>
      <c r="R62" s="26" t="n">
        <v>76</v>
      </c>
      <c r="S62" s="29" t="n">
        <v>2</v>
      </c>
      <c r="T62" s="24" t="inlineStr">
        <is>
          <t>cs2-tiered-elo-v5</t>
        </is>
      </c>
      <c r="U62" s="24" t="inlineStr">
        <is>
          <t>settled</t>
        </is>
      </c>
      <c r="V62" s="24" t="inlineStr">
        <is>
          <t>loss</t>
        </is>
      </c>
      <c r="W62" s="26" t="n">
        <v>1</v>
      </c>
      <c r="X62" s="26" t="n">
        <v>0</v>
      </c>
      <c r="Y62" s="25" t="n"/>
      <c r="Z62" s="26" t="n">
        <v>-138</v>
      </c>
      <c r="AA62" s="28" t="n">
        <v>0.58</v>
      </c>
      <c r="AB62" s="28" t="n">
        <v>0.000168</v>
      </c>
      <c r="AC62" s="30" t="n">
        <v>-2</v>
      </c>
      <c r="AD62" s="24" t="inlineStr">
        <is>
          <t>2026-08-04T14:03:11.366824Z</t>
        </is>
      </c>
      <c r="AE62" s="31" t="inlineStr">
        <is>
          <t>Neutral Elo baseline; executable ask 0.5800 (market_slug=aec-cs2-ace-bca-2026-08-04).</t>
        </is>
      </c>
      <c r="AF62" s="31" t="inlineStr">
        <is>
          <t>Config-promoted esports baseline; gates enforced at log time.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Betclic Apogee Esports</t>
        </is>
      </c>
      <c r="AQ62" s="24" t="inlineStr">
        <is>
          <t>Betclic Apogee Esports</t>
        </is>
      </c>
      <c r="AR62" s="24" t="inlineStr">
        <is>
          <t>Betclic Apogee Esports</t>
        </is>
      </c>
      <c r="AS62" s="24" t="inlineStr">
        <is>
          <t>Acend</t>
        </is>
      </c>
      <c r="AT62" s="24" t="inlineStr">
        <is>
          <t>Acend</t>
        </is>
      </c>
      <c r="AU62" s="24" t="inlineStr">
        <is>
          <t>Acend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2e5d465a17379306940528ff103c7508aad908ecb9a4879bb8031bb88a86443c</t>
        </is>
      </c>
      <c r="BB62" s="24" t="inlineStr">
        <is>
          <t>neutral_elo</t>
        </is>
      </c>
      <c r="BC62" s="24" t="inlineStr">
        <is>
          <t>cs2-tiered-elo-v5</t>
        </is>
      </c>
      <c r="BD62" s="24" t="inlineStr">
        <is>
          <t>2e5d465a17379306940528ff103c7508aad908ecb9a4879bb8031bb88a86443c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cs2-tiered-elo-v5</t>
        </is>
      </c>
      <c r="BH62" s="24" t="inlineStr">
        <is>
          <t>2026-08-04T08:56:25.971824Z</t>
        </is>
      </c>
      <c r="BI62" s="24" t="inlineStr">
        <is>
          <t>["same_event","same_team_same_day","same_league_same_day"]</t>
        </is>
      </c>
      <c r="BJ62" s="25" t="n"/>
      <c r="BK62" s="26" t="n">
        <v>-138</v>
      </c>
      <c r="BL62" s="27" t="n">
        <v>1.724638</v>
      </c>
      <c r="BM62" s="28" t="n">
        <v>0.579832</v>
      </c>
      <c r="BN62" s="28" t="n"/>
      <c r="BO62" s="28" t="n"/>
      <c r="BP62" s="25" t="n"/>
      <c r="BQ62" s="27" t="n">
        <v>1.724638</v>
      </c>
      <c r="BR62" s="28" t="n">
        <v>0.58</v>
      </c>
      <c r="BS62" s="28" t="n"/>
      <c r="BT62" s="28" t="n"/>
      <c r="BU62" s="25" t="n"/>
      <c r="BV62" s="29" t="n"/>
      <c r="BW62" s="24" t="n"/>
      <c r="BX62" s="30" t="n">
        <v>1</v>
      </c>
      <c r="BY62" s="27" t="n">
        <v>-1</v>
      </c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</row>
    <row r="63" ht="36" customHeight="1">
      <c r="A63" s="24" t="inlineStr">
        <is>
          <t>71253e3d5d7f47e2</t>
        </is>
      </c>
      <c r="B63" s="24" t="inlineStr">
        <is>
          <t>2026-08-04T12:02:30.114508Z</t>
        </is>
      </c>
      <c r="C63" s="24" t="inlineStr">
        <is>
          <t>2026-08-04T13:00:00Z</t>
        </is>
      </c>
      <c r="D63" s="24" t="inlineStr">
        <is>
          <t>71280</t>
        </is>
      </c>
      <c r="E63" s="24" t="inlineStr">
        <is>
          <t>CS2</t>
        </is>
      </c>
      <c r="F63" s="24" t="inlineStr">
        <is>
          <t>ex-MANA eSports</t>
        </is>
      </c>
      <c r="G63" s="24" t="inlineStr">
        <is>
          <t>BASEMENT BOYS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-203</v>
      </c>
      <c r="M63" s="27" t="n">
        <v>1.492611</v>
      </c>
      <c r="N63" s="28" t="n">
        <v>0.669967</v>
      </c>
      <c r="O63" s="28" t="n">
        <v>0.640787</v>
      </c>
      <c r="P63" s="28" t="n"/>
      <c r="Q63" s="28" t="n">
        <v>-0.02918</v>
      </c>
      <c r="R63" s="26" t="n">
        <v>5</v>
      </c>
      <c r="S63" s="29" t="n">
        <v>1.5</v>
      </c>
      <c r="T63" s="24" t="inlineStr">
        <is>
          <t>cs2-tiered-elo-v5</t>
        </is>
      </c>
      <c r="U63" s="24" t="inlineStr">
        <is>
          <t>settled</t>
        </is>
      </c>
      <c r="V63" s="24" t="inlineStr">
        <is>
          <t>loss</t>
        </is>
      </c>
      <c r="W63" s="26" t="n">
        <v>1</v>
      </c>
      <c r="X63" s="26" t="n">
        <v>0</v>
      </c>
      <c r="Y63" s="25" t="n"/>
      <c r="Z63" s="26" t="n">
        <v>-203</v>
      </c>
      <c r="AA63" s="28" t="n">
        <v>0.67</v>
      </c>
      <c r="AB63" s="28" t="n">
        <v>3.3e-05</v>
      </c>
      <c r="AC63" s="30" t="n">
        <v>-1.5</v>
      </c>
      <c r="AD63" s="24" t="inlineStr">
        <is>
          <t>2026-08-04T16:48:44.982139Z</t>
        </is>
      </c>
      <c r="AE63" s="31" t="inlineStr">
        <is>
          <t>Neutral Elo baseline; executable ask 0.6700 (market_slug=aec-cs2-bmb-exmana-2026-08-04).</t>
        </is>
      </c>
      <c r="AF63" s="31" t="inlineStr">
        <is>
          <t>Config-promoted esports baseline; gates enforced at log time.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research_observation</t>
        </is>
      </c>
      <c r="AL63" s="26" t="n">
        <v>3</v>
      </c>
      <c r="AM63" s="24" t="inlineStr">
        <is>
          <t>RESEARCH_OBSERVATION</t>
        </is>
      </c>
      <c r="AN63" s="24" t="inlineStr">
        <is>
          <t>NO_CALL</t>
        </is>
      </c>
      <c r="AO63" s="24" t="inlineStr">
        <is>
          <t>NO_CALL_LOW_EDGE</t>
        </is>
      </c>
      <c r="AP63" s="24" t="inlineStr">
        <is>
          <t>ex-MANA eSports</t>
        </is>
      </c>
      <c r="AQ63" s="24" t="inlineStr">
        <is>
          <t>ex-MANA eSports</t>
        </is>
      </c>
      <c r="AR63" s="24" t="inlineStr">
        <is>
          <t>ex-MANA eSports</t>
        </is>
      </c>
      <c r="AS63" s="24" t="inlineStr">
        <is>
          <t>BASEMENT BOYS</t>
        </is>
      </c>
      <c r="AT63" s="24" t="inlineStr">
        <is>
          <t>BASEMENT BOYS</t>
        </is>
      </c>
      <c r="AU63" s="24" t="inlineStr">
        <is>
          <t>BASEMENT BOYS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c721353818b949592e0d9143f94caccefc04915eac71c58a5983a137fbf32d77</t>
        </is>
      </c>
      <c r="BB63" s="24" t="inlineStr">
        <is>
          <t>neutral_elo</t>
        </is>
      </c>
      <c r="BC63" s="24" t="inlineStr">
        <is>
          <t>cs2-tiered-elo-v5</t>
        </is>
      </c>
      <c r="BD63" s="24" t="inlineStr">
        <is>
          <t>c721353818b949592e0d9143f94caccefc04915eac71c58a5983a137fbf32d77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cs2-tiered-elo-v5</t>
        </is>
      </c>
      <c r="BH63" s="24" t="inlineStr">
        <is>
          <t>2026-08-04T12:01:37.143655Z</t>
        </is>
      </c>
      <c r="BI63" s="24" t="inlineStr">
        <is>
          <t>["same_event","same_team_same_day","same_league_same_day"]</t>
        </is>
      </c>
      <c r="BJ63" s="25" t="n"/>
      <c r="BK63" s="26" t="n">
        <v>-203</v>
      </c>
      <c r="BL63" s="27" t="n">
        <v>1.492611</v>
      </c>
      <c r="BM63" s="28" t="n">
        <v>0.669967</v>
      </c>
      <c r="BN63" s="28" t="n"/>
      <c r="BO63" s="28" t="n"/>
      <c r="BP63" s="25" t="n"/>
      <c r="BQ63" s="27" t="n">
        <v>1.492611</v>
      </c>
      <c r="BR63" s="28" t="n">
        <v>0.67</v>
      </c>
      <c r="BS63" s="28" t="n"/>
      <c r="BT63" s="28" t="n"/>
      <c r="BU63" s="25" t="n"/>
      <c r="BV63" s="29" t="n"/>
      <c r="BW63" s="24" t="n"/>
      <c r="BX63" s="30" t="n">
        <v>1</v>
      </c>
      <c r="BY63" s="27" t="n">
        <v>-1</v>
      </c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False</t>
        </is>
      </c>
    </row>
    <row r="64" ht="36" customHeight="1">
      <c r="A64" s="24" t="inlineStr">
        <is>
          <t>04bf6223d1074ca1</t>
        </is>
      </c>
      <c r="B64" s="24" t="inlineStr">
        <is>
          <t>2026-08-04T12:02:30.114508Z</t>
        </is>
      </c>
      <c r="C64" s="24" t="inlineStr">
        <is>
          <t>2026-08-04T13:00:00Z</t>
        </is>
      </c>
      <c r="D64" s="24" t="inlineStr">
        <is>
          <t>71213</t>
        </is>
      </c>
      <c r="E64" s="24" t="inlineStr">
        <is>
          <t>CS2</t>
        </is>
      </c>
      <c r="F64" s="24" t="inlineStr">
        <is>
          <t>Leo Team</t>
        </is>
      </c>
      <c r="G64" s="24" t="inlineStr">
        <is>
          <t>Bushido Wildcats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-104</v>
      </c>
      <c r="M64" s="27" t="n">
        <v>1.961538</v>
      </c>
      <c r="N64" s="28" t="n">
        <v>0.509804</v>
      </c>
      <c r="O64" s="28" t="n">
        <v>0.719395</v>
      </c>
      <c r="P64" s="28" t="n"/>
      <c r="Q64" s="28" t="n">
        <v>0.209591</v>
      </c>
      <c r="R64" s="26" t="n">
        <v>100</v>
      </c>
      <c r="S64" s="29" t="n">
        <v>2</v>
      </c>
      <c r="T64" s="24" t="inlineStr">
        <is>
          <t>cs2-tiered-elo-v5</t>
        </is>
      </c>
      <c r="U64" s="24" t="inlineStr">
        <is>
          <t>settled</t>
        </is>
      </c>
      <c r="V64" s="24" t="inlineStr">
        <is>
          <t>win</t>
        </is>
      </c>
      <c r="W64" s="26" t="n">
        <v>0</v>
      </c>
      <c r="X64" s="26" t="n">
        <v>1</v>
      </c>
      <c r="Y64" s="25" t="n"/>
      <c r="Z64" s="26" t="n">
        <v>-104</v>
      </c>
      <c r="AA64" s="28" t="n">
        <v>0.51</v>
      </c>
      <c r="AB64" s="28" t="n">
        <v>0.000196</v>
      </c>
      <c r="AC64" s="30" t="n">
        <v>1.9231</v>
      </c>
      <c r="AD64" s="24" t="inlineStr">
        <is>
          <t>2026-08-04T16:48:47.151832Z</t>
        </is>
      </c>
      <c r="AE64" s="31" t="inlineStr">
        <is>
          <t>Neutral Elo baseline; executable ask 0.5100 (market_slug=aec-cs2-bw-leo-2026-08-04).</t>
        </is>
      </c>
      <c r="AF64" s="31" t="inlineStr">
        <is>
          <t>Config-promoted esports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NO_CALL_MODEL_UNVALIDATED</t>
        </is>
      </c>
      <c r="AP64" s="24" t="inlineStr">
        <is>
          <t>Leo Team</t>
        </is>
      </c>
      <c r="AQ64" s="24" t="inlineStr">
        <is>
          <t>Leo Team</t>
        </is>
      </c>
      <c r="AR64" s="24" t="inlineStr">
        <is>
          <t>Leo Team</t>
        </is>
      </c>
      <c r="AS64" s="24" t="inlineStr">
        <is>
          <t>Bushido Wildcats</t>
        </is>
      </c>
      <c r="AT64" s="24" t="inlineStr">
        <is>
          <t>Bushido Wildcats</t>
        </is>
      </c>
      <c r="AU64" s="24" t="inlineStr">
        <is>
          <t>Bushido Wildcats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c721353818b949592e0d9143f94caccefc04915eac71c58a5983a137fbf32d77</t>
        </is>
      </c>
      <c r="BB64" s="24" t="inlineStr">
        <is>
          <t>neutral_elo</t>
        </is>
      </c>
      <c r="BC64" s="24" t="inlineStr">
        <is>
          <t>cs2-tiered-elo-v5</t>
        </is>
      </c>
      <c r="BD64" s="24" t="inlineStr">
        <is>
          <t>c721353818b949592e0d9143f94caccefc04915eac71c58a5983a137fbf32d77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cs2-tiered-elo-v5</t>
        </is>
      </c>
      <c r="BH64" s="24" t="inlineStr">
        <is>
          <t>2026-08-04T12:01:38.137077Z</t>
        </is>
      </c>
      <c r="BI64" s="24" t="inlineStr">
        <is>
          <t>["same_event","same_team_same_day","same_league_same_day"]</t>
        </is>
      </c>
      <c r="BJ64" s="25" t="n"/>
      <c r="BK64" s="26" t="n">
        <v>-104</v>
      </c>
      <c r="BL64" s="27" t="n">
        <v>1.961538</v>
      </c>
      <c r="BM64" s="28" t="n">
        <v>0.509804</v>
      </c>
      <c r="BN64" s="28" t="n"/>
      <c r="BO64" s="28" t="n"/>
      <c r="BP64" s="25" t="n"/>
      <c r="BQ64" s="27" t="n">
        <v>1.961538</v>
      </c>
      <c r="BR64" s="28" t="n">
        <v>0.51</v>
      </c>
      <c r="BS64" s="28" t="n"/>
      <c r="BT64" s="28" t="n"/>
      <c r="BU64" s="25" t="n"/>
      <c r="BV64" s="29" t="n"/>
      <c r="BW64" s="24" t="n"/>
      <c r="BX64" s="30" t="n">
        <v>1</v>
      </c>
      <c r="BY64" s="27" t="n">
        <v>0.91</v>
      </c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</row>
    <row r="65" ht="36" customHeight="1">
      <c r="A65" s="24" t="inlineStr">
        <is>
          <t>8bb216674c4240bc</t>
        </is>
      </c>
      <c r="B65" s="24" t="inlineStr">
        <is>
          <t>2026-08-04T12:02:30.114508Z</t>
        </is>
      </c>
      <c r="C65" s="24" t="inlineStr">
        <is>
          <t>2026-08-04T13:45:00Z</t>
        </is>
      </c>
      <c r="D65" s="24" t="inlineStr">
        <is>
          <t>68435</t>
        </is>
      </c>
      <c r="E65" s="24" t="inlineStr">
        <is>
          <t>CS2</t>
        </is>
      </c>
      <c r="F65" s="24" t="inlineStr">
        <is>
          <t>WorldEdit Club</t>
        </is>
      </c>
      <c r="G65" s="24" t="inlineStr">
        <is>
          <t>PCH3LK1N Club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163</v>
      </c>
      <c r="M65" s="27" t="n">
        <v>2.63</v>
      </c>
      <c r="N65" s="28" t="n">
        <v>0.380228</v>
      </c>
      <c r="O65" s="28" t="n">
        <v>0.526874</v>
      </c>
      <c r="P65" s="28" t="n"/>
      <c r="Q65" s="28" t="n">
        <v>0.146646</v>
      </c>
      <c r="R65" s="26" t="n">
        <v>93</v>
      </c>
      <c r="S65" s="29" t="n">
        <v>1</v>
      </c>
      <c r="T65" s="24" t="inlineStr">
        <is>
          <t>cs2-tiered-elo-v5</t>
        </is>
      </c>
      <c r="U65" s="24" t="inlineStr">
        <is>
          <t>settled</t>
        </is>
      </c>
      <c r="V65" s="24" t="inlineStr">
        <is>
          <t>loss</t>
        </is>
      </c>
      <c r="W65" s="26" t="n">
        <v>1</v>
      </c>
      <c r="X65" s="26" t="n">
        <v>0</v>
      </c>
      <c r="Y65" s="25" t="n"/>
      <c r="Z65" s="26" t="n">
        <v>163</v>
      </c>
      <c r="AA65" s="28" t="n">
        <v>0.38</v>
      </c>
      <c r="AB65" s="28" t="n">
        <v>-0.000228</v>
      </c>
      <c r="AC65" s="30" t="n">
        <v>-1</v>
      </c>
      <c r="AD65" s="24" t="inlineStr">
        <is>
          <t>2026-08-04T18:03:29.026778Z</t>
        </is>
      </c>
      <c r="AE65" s="31" t="inlineStr">
        <is>
          <t>Neutral Elo baseline; executable ask 0.3800 (market_slug=aec-cs2-plnc-wco-2026-08-04).</t>
        </is>
      </c>
      <c r="AF65" s="31" t="inlineStr">
        <is>
          <t>Config-promoted esports baseline; gates enforced at log time.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NO_CALL_MODEL_UNVALIDATED</t>
        </is>
      </c>
      <c r="AP65" s="24" t="inlineStr">
        <is>
          <t>WorldEdit Club</t>
        </is>
      </c>
      <c r="AQ65" s="24" t="inlineStr">
        <is>
          <t>WorldEdit Club</t>
        </is>
      </c>
      <c r="AR65" s="24" t="inlineStr">
        <is>
          <t>WorldEdit Club</t>
        </is>
      </c>
      <c r="AS65" s="24" t="inlineStr">
        <is>
          <t>PCH3LK1N Club</t>
        </is>
      </c>
      <c r="AT65" s="24" t="inlineStr">
        <is>
          <t>PCH3LK1N Club</t>
        </is>
      </c>
      <c r="AU65" s="24" t="inlineStr">
        <is>
          <t>PCH3LK1N Club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c721353818b949592e0d9143f94caccefc04915eac71c58a5983a137fbf32d77</t>
        </is>
      </c>
      <c r="BB65" s="24" t="inlineStr">
        <is>
          <t>neutral_elo</t>
        </is>
      </c>
      <c r="BC65" s="24" t="inlineStr">
        <is>
          <t>cs2-tiered-elo-v5</t>
        </is>
      </c>
      <c r="BD65" s="24" t="inlineStr">
        <is>
          <t>c721353818b949592e0d9143f94caccefc04915eac71c58a5983a137fbf32d77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cs2-tiered-elo-v5</t>
        </is>
      </c>
      <c r="BH65" s="24" t="inlineStr">
        <is>
          <t>2026-08-04T12:01:39.296037Z</t>
        </is>
      </c>
      <c r="BI65" s="24" t="inlineStr">
        <is>
          <t>["same_event","same_team_same_day","same_league_same_day"]</t>
        </is>
      </c>
      <c r="BJ65" s="25" t="n"/>
      <c r="BK65" s="26" t="n">
        <v>163</v>
      </c>
      <c r="BL65" s="27" t="n">
        <v>2.63</v>
      </c>
      <c r="BM65" s="28" t="n">
        <v>0.380228</v>
      </c>
      <c r="BN65" s="28" t="n"/>
      <c r="BO65" s="28" t="n"/>
      <c r="BP65" s="25" t="n"/>
      <c r="BQ65" s="27" t="n">
        <v>2.63</v>
      </c>
      <c r="BR65" s="28" t="n">
        <v>0.38</v>
      </c>
      <c r="BS65" s="28" t="n"/>
      <c r="BT65" s="28" t="n"/>
      <c r="BU65" s="25" t="n"/>
      <c r="BV65" s="29" t="n"/>
      <c r="BW65" s="24" t="n"/>
      <c r="BX65" s="30" t="n">
        <v>1</v>
      </c>
      <c r="BY65" s="27" t="n">
        <v>-1</v>
      </c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</row>
    <row r="66" ht="36" customHeight="1">
      <c r="A66" s="24" t="inlineStr">
        <is>
          <t>96126276e7a74d7e</t>
        </is>
      </c>
      <c r="B66" s="24" t="inlineStr">
        <is>
          <t>2026-08-04T12:02:30.114508Z</t>
        </is>
      </c>
      <c r="C66" s="24" t="inlineStr">
        <is>
          <t>2026-08-04T14:00:00Z</t>
        </is>
      </c>
      <c r="D66" s="24" t="inlineStr">
        <is>
          <t>68437</t>
        </is>
      </c>
      <c r="E66" s="24" t="inlineStr">
        <is>
          <t>CS2</t>
        </is>
      </c>
      <c r="F66" s="24" t="inlineStr">
        <is>
          <t>GenOne</t>
        </is>
      </c>
      <c r="G66" s="24" t="inlineStr">
        <is>
          <t>Nemiga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-163</v>
      </c>
      <c r="M66" s="27" t="n">
        <v>1.613497</v>
      </c>
      <c r="N66" s="28" t="n">
        <v>0.619772</v>
      </c>
      <c r="O66" s="28" t="n">
        <v>0.5179</v>
      </c>
      <c r="P66" s="28" t="n"/>
      <c r="Q66" s="28" t="n">
        <v>-0.101872</v>
      </c>
      <c r="R66" s="26" t="n">
        <v>0</v>
      </c>
      <c r="S66" s="29" t="n">
        <v>1</v>
      </c>
      <c r="T66" s="24" t="inlineStr">
        <is>
          <t>cs2-tiered-elo-v5</t>
        </is>
      </c>
      <c r="U66" s="24" t="inlineStr">
        <is>
          <t>settled</t>
        </is>
      </c>
      <c r="V66" s="24" t="inlineStr">
        <is>
          <t>loss</t>
        </is>
      </c>
      <c r="W66" s="26" t="n">
        <v>1</v>
      </c>
      <c r="X66" s="26" t="n">
        <v>0</v>
      </c>
      <c r="Y66" s="25" t="n"/>
      <c r="Z66" s="26" t="n">
        <v>-163</v>
      </c>
      <c r="AA66" s="28" t="n">
        <v>0.62</v>
      </c>
      <c r="AB66" s="28" t="n">
        <v>0.000228</v>
      </c>
      <c r="AC66" s="30" t="n">
        <v>-1</v>
      </c>
      <c r="AD66" s="24" t="inlineStr">
        <is>
          <t>2026-08-04T16:48:50.341509Z</t>
        </is>
      </c>
      <c r="AE66" s="31" t="inlineStr">
        <is>
          <t>Neutral Elo baseline; executable ask 0.6200 (market_slug=aec-cs2-nemi-g1-2026-08-04).</t>
        </is>
      </c>
      <c r="AF66" s="31" t="inlineStr">
        <is>
          <t>Config-promoted esports baseline; gates enforced at log time.</t>
        </is>
      </c>
      <c r="AG66" s="24" t="inlineStr">
        <is>
          <t>review_required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NO_CALL_LOW_EDGE</t>
        </is>
      </c>
      <c r="AP66" s="24" t="inlineStr">
        <is>
          <t>GenOne</t>
        </is>
      </c>
      <c r="AQ66" s="24" t="inlineStr">
        <is>
          <t>GenOne</t>
        </is>
      </c>
      <c r="AR66" s="24" t="inlineStr">
        <is>
          <t>GenOne</t>
        </is>
      </c>
      <c r="AS66" s="24" t="inlineStr">
        <is>
          <t>Nemiga</t>
        </is>
      </c>
      <c r="AT66" s="24" t="inlineStr">
        <is>
          <t>Nemiga</t>
        </is>
      </c>
      <c r="AU66" s="24" t="inlineStr">
        <is>
          <t>Nemiga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c721353818b949592e0d9143f94caccefc04915eac71c58a5983a137fbf32d77</t>
        </is>
      </c>
      <c r="BB66" s="24" t="inlineStr">
        <is>
          <t>neutral_elo</t>
        </is>
      </c>
      <c r="BC66" s="24" t="inlineStr">
        <is>
          <t>cs2-tiered-elo-v5</t>
        </is>
      </c>
      <c r="BD66" s="24" t="inlineStr">
        <is>
          <t>c721353818b949592e0d9143f94caccefc04915eac71c58a5983a137fbf32d77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cs2-tiered-elo-v5</t>
        </is>
      </c>
      <c r="BH66" s="24" t="inlineStr">
        <is>
          <t>2026-08-04T12:01:41.460173Z</t>
        </is>
      </c>
      <c r="BI66" s="24" t="inlineStr">
        <is>
          <t>["same_event","same_team_same_day","same_league_same_day"]</t>
        </is>
      </c>
      <c r="BJ66" s="25" t="n"/>
      <c r="BK66" s="26" t="n">
        <v>-163</v>
      </c>
      <c r="BL66" s="27" t="n">
        <v>1.613497</v>
      </c>
      <c r="BM66" s="28" t="n">
        <v>0.619772</v>
      </c>
      <c r="BN66" s="28" t="n"/>
      <c r="BO66" s="28" t="n"/>
      <c r="BP66" s="25" t="n"/>
      <c r="BQ66" s="27" t="n">
        <v>1.613497</v>
      </c>
      <c r="BR66" s="28" t="n">
        <v>0.62</v>
      </c>
      <c r="BS66" s="28" t="n"/>
      <c r="BT66" s="28" t="n"/>
      <c r="BU66" s="25" t="n"/>
      <c r="BV66" s="29" t="n"/>
      <c r="BW66" s="24" t="n"/>
      <c r="BX66" s="30" t="n">
        <v>1</v>
      </c>
      <c r="BY66" s="27" t="n">
        <v>-1</v>
      </c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</row>
    <row r="67" ht="36" customHeight="1">
      <c r="A67" s="24" t="inlineStr">
        <is>
          <t>66b3a1ade0a04bd3</t>
        </is>
      </c>
      <c r="B67" s="24" t="inlineStr">
        <is>
          <t>2026-08-04T12:02:30.114508Z</t>
        </is>
      </c>
      <c r="C67" s="24" t="inlineStr">
        <is>
          <t>2026-08-04T14:00:00Z</t>
        </is>
      </c>
      <c r="D67" s="24" t="inlineStr">
        <is>
          <t>71319</t>
        </is>
      </c>
      <c r="E67" s="24" t="inlineStr">
        <is>
          <t>CS2</t>
        </is>
      </c>
      <c r="F67" s="24" t="inlineStr">
        <is>
          <t>ENJOY</t>
        </is>
      </c>
      <c r="G67" s="24" t="inlineStr">
        <is>
          <t>Just Players</t>
        </is>
      </c>
      <c r="H67" s="24" t="inlineStr">
        <is>
          <t>moneyline</t>
        </is>
      </c>
      <c r="I67" s="24" t="inlineStr">
        <is>
          <t>away</t>
        </is>
      </c>
      <c r="J67" s="25" t="n"/>
      <c r="K67" s="24" t="inlineStr">
        <is>
          <t>polymarket_us</t>
        </is>
      </c>
      <c r="L67" s="26" t="n">
        <v>163</v>
      </c>
      <c r="M67" s="27" t="n">
        <v>2.63</v>
      </c>
      <c r="N67" s="28" t="n">
        <v>0.380228</v>
      </c>
      <c r="O67" s="28" t="n">
        <v>0.509432</v>
      </c>
      <c r="P67" s="28" t="n"/>
      <c r="Q67" s="28" t="n">
        <v>0.129204</v>
      </c>
      <c r="R67" s="26" t="n">
        <v>85</v>
      </c>
      <c r="S67" s="29" t="n">
        <v>1</v>
      </c>
      <c r="T67" s="24" t="inlineStr">
        <is>
          <t>cs2-tiered-elo-v5</t>
        </is>
      </c>
      <c r="U67" s="24" t="inlineStr">
        <is>
          <t>settled</t>
        </is>
      </c>
      <c r="V67" s="24" t="inlineStr">
        <is>
          <t>loss</t>
        </is>
      </c>
      <c r="W67" s="26" t="n">
        <v>0</v>
      </c>
      <c r="X67" s="26" t="n">
        <v>1</v>
      </c>
      <c r="Y67" s="25" t="n"/>
      <c r="Z67" s="26" t="n">
        <v>163</v>
      </c>
      <c r="AA67" s="28" t="n">
        <v>0.38</v>
      </c>
      <c r="AB67" s="28" t="n">
        <v>-0.000228</v>
      </c>
      <c r="AC67" s="30" t="n">
        <v>-1</v>
      </c>
      <c r="AD67" s="24" t="inlineStr">
        <is>
          <t>2026-08-04T16:48:52.484593Z</t>
        </is>
      </c>
      <c r="AE67" s="31" t="inlineStr">
        <is>
          <t>Neutral Elo baseline; executable ask 0.3800 (market_slug=aec-cs2-jpu-enjoy-2026-08-04).</t>
        </is>
      </c>
      <c r="AF67" s="31" t="inlineStr">
        <is>
          <t>Config-promoted esports baseline; gates enforced at log time.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NO_CALL_LOW_EDGE</t>
        </is>
      </c>
      <c r="AP67" s="24" t="inlineStr">
        <is>
          <t>ENJOY</t>
        </is>
      </c>
      <c r="AQ67" s="24" t="inlineStr">
        <is>
          <t>ENJOY</t>
        </is>
      </c>
      <c r="AR67" s="24" t="inlineStr">
        <is>
          <t>ENJOY</t>
        </is>
      </c>
      <c r="AS67" s="24" t="inlineStr">
        <is>
          <t>Just Players</t>
        </is>
      </c>
      <c r="AT67" s="24" t="inlineStr">
        <is>
          <t>Just Players</t>
        </is>
      </c>
      <c r="AU67" s="24" t="inlineStr">
        <is>
          <t>Just Players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c721353818b949592e0d9143f94caccefc04915eac71c58a5983a137fbf32d77</t>
        </is>
      </c>
      <c r="BB67" s="24" t="inlineStr">
        <is>
          <t>neutral_elo</t>
        </is>
      </c>
      <c r="BC67" s="24" t="inlineStr">
        <is>
          <t>cs2-tiered-elo-v5</t>
        </is>
      </c>
      <c r="BD67" s="24" t="inlineStr">
        <is>
          <t>c721353818b949592e0d9143f94caccefc04915eac71c58a5983a137fbf32d77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cs2-tiered-elo-v5</t>
        </is>
      </c>
      <c r="BH67" s="24" t="inlineStr">
        <is>
          <t>2026-08-04T12:01:42.547114Z</t>
        </is>
      </c>
      <c r="BI67" s="24" t="inlineStr">
        <is>
          <t>["same_event","same_team_same_day","same_league_same_day"]</t>
        </is>
      </c>
      <c r="BJ67" s="25" t="n"/>
      <c r="BK67" s="26" t="n">
        <v>163</v>
      </c>
      <c r="BL67" s="27" t="n">
        <v>2.63</v>
      </c>
      <c r="BM67" s="28" t="n">
        <v>0.380228</v>
      </c>
      <c r="BN67" s="28" t="n"/>
      <c r="BO67" s="28" t="n"/>
      <c r="BP67" s="25" t="n"/>
      <c r="BQ67" s="27" t="n">
        <v>2.63</v>
      </c>
      <c r="BR67" s="28" t="n">
        <v>0.38</v>
      </c>
      <c r="BS67" s="28" t="n"/>
      <c r="BT67" s="28" t="n"/>
      <c r="BU67" s="25" t="n"/>
      <c r="BV67" s="29" t="n"/>
      <c r="BW67" s="24" t="n"/>
      <c r="BX67" s="30" t="n">
        <v>1</v>
      </c>
      <c r="BY67" s="27" t="n">
        <v>-1</v>
      </c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</row>
    <row r="68" ht="36" customHeight="1">
      <c r="A68" s="24" t="inlineStr">
        <is>
          <t>6d604382a0a344f2</t>
        </is>
      </c>
      <c r="B68" s="24" t="inlineStr">
        <is>
          <t>2026-08-04T12:02:30.114508Z</t>
        </is>
      </c>
      <c r="C68" s="24" t="inlineStr">
        <is>
          <t>2026-08-04T14:00:00Z</t>
        </is>
      </c>
      <c r="D68" s="24" t="inlineStr">
        <is>
          <t>71318</t>
        </is>
      </c>
      <c r="E68" s="24" t="inlineStr">
        <is>
          <t>CS2</t>
        </is>
      </c>
      <c r="F68" s="24" t="inlineStr">
        <is>
          <t>9INE</t>
        </is>
      </c>
      <c r="G68" s="24" t="inlineStr">
        <is>
          <t>Liquid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-233</v>
      </c>
      <c r="M68" s="27" t="n">
        <v>1.429185</v>
      </c>
      <c r="N68" s="28" t="n">
        <v>0.6997</v>
      </c>
      <c r="O68" s="28" t="n">
        <v>0.689352</v>
      </c>
      <c r="P68" s="28" t="n"/>
      <c r="Q68" s="28" t="n">
        <v>-0.010348</v>
      </c>
      <c r="R68" s="26" t="n">
        <v>15</v>
      </c>
      <c r="S68" s="29" t="n">
        <v>2</v>
      </c>
      <c r="T68" s="24" t="inlineStr">
        <is>
          <t>cs2-tiered-elo-v5</t>
        </is>
      </c>
      <c r="U68" s="24" t="inlineStr">
        <is>
          <t>settled</t>
        </is>
      </c>
      <c r="V68" s="24" t="inlineStr">
        <is>
          <t>win</t>
        </is>
      </c>
      <c r="W68" s="26" t="n">
        <v>0</v>
      </c>
      <c r="X68" s="26" t="n">
        <v>1</v>
      </c>
      <c r="Y68" s="25" t="n"/>
      <c r="Z68" s="26" t="n">
        <v>-233</v>
      </c>
      <c r="AA68" s="28" t="n">
        <v>0.7</v>
      </c>
      <c r="AB68" s="28" t="n">
        <v>0.0003</v>
      </c>
      <c r="AC68" s="30" t="n">
        <v>0.8584000000000001</v>
      </c>
      <c r="AD68" s="24" t="inlineStr">
        <is>
          <t>2026-08-04T16:48:54.777298Z</t>
        </is>
      </c>
      <c r="AE68" s="31" t="inlineStr">
        <is>
          <t>Neutral Elo baseline; executable ask 0.7000 (market_slug=aec-cs2-tl-9ine-2026-08-04).</t>
        </is>
      </c>
      <c r="AF68" s="31" t="inlineStr">
        <is>
          <t>Config-promoted esports baseline; gates enforced at log time.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research_observation</t>
        </is>
      </c>
      <c r="AL68" s="26" t="n">
        <v>3</v>
      </c>
      <c r="AM68" s="24" t="inlineStr">
        <is>
          <t>RESEARCH_OBSERVATION</t>
        </is>
      </c>
      <c r="AN68" s="24" t="inlineStr">
        <is>
          <t>NO_CALL</t>
        </is>
      </c>
      <c r="AO68" s="24" t="inlineStr">
        <is>
          <t>NO_CALL_LOW_EDGE</t>
        </is>
      </c>
      <c r="AP68" s="24" t="inlineStr">
        <is>
          <t>9INE</t>
        </is>
      </c>
      <c r="AQ68" s="24" t="inlineStr">
        <is>
          <t>9INE</t>
        </is>
      </c>
      <c r="AR68" s="24" t="inlineStr">
        <is>
          <t>9INE</t>
        </is>
      </c>
      <c r="AS68" s="24" t="inlineStr">
        <is>
          <t>Liquid</t>
        </is>
      </c>
      <c r="AT68" s="24" t="inlineStr">
        <is>
          <t>Liquid</t>
        </is>
      </c>
      <c r="AU68" s="24" t="inlineStr">
        <is>
          <t>Liquid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c721353818b949592e0d9143f94caccefc04915eac71c58a5983a137fbf32d77</t>
        </is>
      </c>
      <c r="BB68" s="24" t="inlineStr">
        <is>
          <t>neutral_elo</t>
        </is>
      </c>
      <c r="BC68" s="24" t="inlineStr">
        <is>
          <t>cs2-tiered-elo-v5</t>
        </is>
      </c>
      <c r="BD68" s="24" t="inlineStr">
        <is>
          <t>c721353818b949592e0d9143f94caccefc04915eac71c58a5983a137fbf32d77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cs2-tiered-elo-v5</t>
        </is>
      </c>
      <c r="BH68" s="24" t="inlineStr">
        <is>
          <t>2026-08-04T12:01:43.680044Z</t>
        </is>
      </c>
      <c r="BI68" s="24" t="inlineStr">
        <is>
          <t>["same_event","same_team_same_day","same_league_same_day"]</t>
        </is>
      </c>
      <c r="BJ68" s="25" t="n"/>
      <c r="BK68" s="26" t="n">
        <v>-233</v>
      </c>
      <c r="BL68" s="27" t="n">
        <v>1.429185</v>
      </c>
      <c r="BM68" s="28" t="n">
        <v>0.6997</v>
      </c>
      <c r="BN68" s="28" t="n"/>
      <c r="BO68" s="28" t="n"/>
      <c r="BP68" s="25" t="n"/>
      <c r="BQ68" s="27" t="n">
        <v>1.429185</v>
      </c>
      <c r="BR68" s="28" t="n">
        <v>0.7</v>
      </c>
      <c r="BS68" s="28" t="n"/>
      <c r="BT68" s="28" t="n"/>
      <c r="BU68" s="25" t="n"/>
      <c r="BV68" s="29" t="n"/>
      <c r="BW68" s="24" t="n"/>
      <c r="BX68" s="30" t="n">
        <v>1</v>
      </c>
      <c r="BY68" s="27" t="n">
        <v>0.91</v>
      </c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False</t>
        </is>
      </c>
    </row>
    <row r="69" ht="36" customHeight="1">
      <c r="A69" s="24" t="inlineStr">
        <is>
          <t>4b897465742b45d6</t>
        </is>
      </c>
      <c r="B69" s="24" t="inlineStr">
        <is>
          <t>2026-08-04T15:04:43.651004Z</t>
        </is>
      </c>
      <c r="C69" s="24" t="inlineStr">
        <is>
          <t>2026-08-04T16:30:00Z</t>
        </is>
      </c>
      <c r="D69" s="24" t="inlineStr">
        <is>
          <t>68563</t>
        </is>
      </c>
      <c r="E69" s="24" t="inlineStr">
        <is>
          <t>CS2</t>
        </is>
      </c>
      <c r="F69" s="24" t="inlineStr">
        <is>
          <t>Recrent Club</t>
        </is>
      </c>
      <c r="G69" s="24" t="inlineStr">
        <is>
          <t>Buster Club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-133</v>
      </c>
      <c r="M69" s="27" t="n">
        <v>1.75188</v>
      </c>
      <c r="N69" s="28" t="n">
        <v>0.570815</v>
      </c>
      <c r="O69" s="28" t="n">
        <v>0.5267269999999999</v>
      </c>
      <c r="P69" s="28" t="n"/>
      <c r="Q69" s="28" t="n">
        <v>-0.044088</v>
      </c>
      <c r="R69" s="26" t="n">
        <v>0</v>
      </c>
      <c r="S69" s="29" t="n">
        <v>1</v>
      </c>
      <c r="T69" s="24" t="inlineStr">
        <is>
          <t>cs2-tiered-elo-v5</t>
        </is>
      </c>
      <c r="U69" s="24" t="inlineStr">
        <is>
          <t>settled</t>
        </is>
      </c>
      <c r="V69" s="24" t="inlineStr">
        <is>
          <t>win</t>
        </is>
      </c>
      <c r="W69" s="26" t="n">
        <v>0</v>
      </c>
      <c r="X69" s="26" t="n">
        <v>1</v>
      </c>
      <c r="Y69" s="25" t="n"/>
      <c r="Z69" s="26" t="n">
        <v>-133</v>
      </c>
      <c r="AA69" s="28" t="n">
        <v>0.57</v>
      </c>
      <c r="AB69" s="28" t="n">
        <v>-0.000815</v>
      </c>
      <c r="AC69" s="30" t="n">
        <v>0.7519</v>
      </c>
      <c r="AD69" s="24" t="inlineStr">
        <is>
          <t>2026-08-04T18:03:30.717665Z</t>
        </is>
      </c>
      <c r="AE69" s="31" t="inlineStr">
        <is>
          <t>Neutral Elo baseline; executable ask 0.5700 (market_slug=aec-cs2-bcu-rce-2026-08-04).</t>
        </is>
      </c>
      <c r="AF69" s="31" t="inlineStr">
        <is>
          <t>Config-promoted esports baseline; gates enforced at log time.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NO_CALL_MODEL_UNVALIDATED</t>
        </is>
      </c>
      <c r="AP69" s="24" t="inlineStr">
        <is>
          <t>Recrent Club</t>
        </is>
      </c>
      <c r="AQ69" s="24" t="inlineStr">
        <is>
          <t>Recrent Club</t>
        </is>
      </c>
      <c r="AR69" s="24" t="inlineStr">
        <is>
          <t>Recrent Club</t>
        </is>
      </c>
      <c r="AS69" s="24" t="inlineStr">
        <is>
          <t>Buster Club</t>
        </is>
      </c>
      <c r="AT69" s="24" t="inlineStr">
        <is>
          <t>Buster Club</t>
        </is>
      </c>
      <c r="AU69" s="24" t="inlineStr">
        <is>
          <t>Buster Club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9cd22a347ddd07dcb14d465784988076b2f99aac119d8a8534a3e5b7ebfc248f</t>
        </is>
      </c>
      <c r="BB69" s="24" t="inlineStr">
        <is>
          <t>neutral_elo</t>
        </is>
      </c>
      <c r="BC69" s="24" t="inlineStr">
        <is>
          <t>cs2-tiered-elo-v5</t>
        </is>
      </c>
      <c r="BD69" s="24" t="inlineStr">
        <is>
          <t>9cd22a347ddd07dcb14d465784988076b2f99aac119d8a8534a3e5b7ebfc248f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cs2-tiered-elo-v5</t>
        </is>
      </c>
      <c r="BH69" s="24" t="inlineStr">
        <is>
          <t>2026-08-04T15:04:18.275261Z</t>
        </is>
      </c>
      <c r="BI69" s="24" t="inlineStr">
        <is>
          <t>["same_event","same_team_same_day","same_league_same_day"]</t>
        </is>
      </c>
      <c r="BJ69" s="25" t="n"/>
      <c r="BK69" s="26" t="n">
        <v>-133</v>
      </c>
      <c r="BL69" s="27" t="n">
        <v>1.75188</v>
      </c>
      <c r="BM69" s="28" t="n">
        <v>0.570815</v>
      </c>
      <c r="BN69" s="28" t="n"/>
      <c r="BO69" s="28" t="n"/>
      <c r="BP69" s="25" t="n"/>
      <c r="BQ69" s="27" t="n">
        <v>1.75188</v>
      </c>
      <c r="BR69" s="28" t="n">
        <v>0.57</v>
      </c>
      <c r="BS69" s="28" t="n"/>
      <c r="BT69" s="28" t="n"/>
      <c r="BU69" s="25" t="n"/>
      <c r="BV69" s="29" t="n"/>
      <c r="BW69" s="24" t="n"/>
      <c r="BX69" s="30" t="n">
        <v>1</v>
      </c>
      <c r="BY69" s="27" t="n">
        <v>0.91</v>
      </c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False</t>
        </is>
      </c>
    </row>
    <row r="70" ht="36" customHeight="1">
      <c r="A70" s="24" t="inlineStr">
        <is>
          <t>2c3c38e1f7174d22</t>
        </is>
      </c>
      <c r="B70" s="24" t="inlineStr">
        <is>
          <t>2026-08-04T15:04:43.651004Z</t>
        </is>
      </c>
      <c r="C70" s="24" t="inlineStr">
        <is>
          <t>2026-08-04T16:30:00Z</t>
        </is>
      </c>
      <c r="D70" s="24" t="inlineStr">
        <is>
          <t>68562</t>
        </is>
      </c>
      <c r="E70" s="24" t="inlineStr">
        <is>
          <t>CS2</t>
        </is>
      </c>
      <c r="F70" s="24" t="inlineStr">
        <is>
          <t>WorldEdit Club</t>
        </is>
      </c>
      <c r="G70" s="24" t="inlineStr">
        <is>
          <t>shoke Club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-170</v>
      </c>
      <c r="M70" s="27" t="n">
        <v>1.588235</v>
      </c>
      <c r="N70" s="28" t="n">
        <v>0.62963</v>
      </c>
      <c r="O70" s="28" t="n">
        <v>0.5267269999999999</v>
      </c>
      <c r="P70" s="28" t="n"/>
      <c r="Q70" s="28" t="n">
        <v>-0.102903</v>
      </c>
      <c r="R70" s="26" t="n">
        <v>0</v>
      </c>
      <c r="S70" s="29" t="n">
        <v>1</v>
      </c>
      <c r="T70" s="24" t="inlineStr">
        <is>
          <t>cs2-tiered-elo-v5</t>
        </is>
      </c>
      <c r="U70" s="24" t="inlineStr">
        <is>
          <t>settled</t>
        </is>
      </c>
      <c r="V70" s="24" t="inlineStr">
        <is>
          <t>loss</t>
        </is>
      </c>
      <c r="W70" s="26" t="n">
        <v>1</v>
      </c>
      <c r="X70" s="26" t="n">
        <v>0</v>
      </c>
      <c r="Y70" s="25" t="n"/>
      <c r="Z70" s="26" t="n">
        <v>-170</v>
      </c>
      <c r="AA70" s="28" t="n">
        <v>0.63</v>
      </c>
      <c r="AB70" s="28" t="n">
        <v>0.00037</v>
      </c>
      <c r="AC70" s="30" t="n">
        <v>-1</v>
      </c>
      <c r="AD70" s="24" t="inlineStr">
        <is>
          <t>2026-08-04T21:59:11.430591Z</t>
        </is>
      </c>
      <c r="AE70" s="31" t="inlineStr">
        <is>
          <t>Neutral Elo baseline; executable ask 0.6300 (market_slug=aec-cs2-sch-wco-2026-08-04).</t>
        </is>
      </c>
      <c r="AF70" s="31" t="inlineStr">
        <is>
          <t>Config-promoted esports baseline; gates enforced at log time.</t>
        </is>
      </c>
      <c r="AG70" s="24" t="inlineStr">
        <is>
          <t>review_required</t>
        </is>
      </c>
      <c r="AH70" s="24" t="n"/>
      <c r="AI70" s="31" t="n"/>
      <c r="AJ70" s="31" t="n"/>
      <c r="AK70" s="24" t="inlineStr">
        <is>
          <t>research_observation</t>
        </is>
      </c>
      <c r="AL70" s="26" t="n">
        <v>3</v>
      </c>
      <c r="AM70" s="24" t="inlineStr">
        <is>
          <t>RESEARCH_OBSERVATION</t>
        </is>
      </c>
      <c r="AN70" s="24" t="inlineStr">
        <is>
          <t>NO_CALL</t>
        </is>
      </c>
      <c r="AO70" s="24" t="inlineStr">
        <is>
          <t>NO_CALL_MODEL_UNVALIDATED</t>
        </is>
      </c>
      <c r="AP70" s="24" t="inlineStr">
        <is>
          <t>WorldEdit Club</t>
        </is>
      </c>
      <c r="AQ70" s="24" t="inlineStr">
        <is>
          <t>WorldEdit Club</t>
        </is>
      </c>
      <c r="AR70" s="24" t="inlineStr">
        <is>
          <t>WorldEdit Club</t>
        </is>
      </c>
      <c r="AS70" s="24" t="inlineStr">
        <is>
          <t>shoke Club</t>
        </is>
      </c>
      <c r="AT70" s="24" t="inlineStr">
        <is>
          <t>shoke Club</t>
        </is>
      </c>
      <c r="AU70" s="24" t="inlineStr">
        <is>
          <t>shoke Club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9cd22a347ddd07dcb14d465784988076b2f99aac119d8a8534a3e5b7ebfc248f</t>
        </is>
      </c>
      <c r="BB70" s="24" t="inlineStr">
        <is>
          <t>neutral_elo</t>
        </is>
      </c>
      <c r="BC70" s="24" t="inlineStr">
        <is>
          <t>cs2-tiered-elo-v5</t>
        </is>
      </c>
      <c r="BD70" s="24" t="inlineStr">
        <is>
          <t>9cd22a347ddd07dcb14d465784988076b2f99aac119d8a8534a3e5b7ebfc248f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cs2-tiered-elo-v5</t>
        </is>
      </c>
      <c r="BH70" s="24" t="inlineStr">
        <is>
          <t>2026-08-04T15:04:18.898041Z</t>
        </is>
      </c>
      <c r="BI70" s="24" t="inlineStr">
        <is>
          <t>["same_event","same_team_same_day","same_league_same_day"]</t>
        </is>
      </c>
      <c r="BJ70" s="25" t="n"/>
      <c r="BK70" s="26" t="n">
        <v>-170</v>
      </c>
      <c r="BL70" s="27" t="n">
        <v>1.588235</v>
      </c>
      <c r="BM70" s="28" t="n">
        <v>0.62963</v>
      </c>
      <c r="BN70" s="28" t="n"/>
      <c r="BO70" s="28" t="n"/>
      <c r="BP70" s="25" t="n"/>
      <c r="BQ70" s="27" t="n">
        <v>1.588235</v>
      </c>
      <c r="BR70" s="28" t="n">
        <v>0.63</v>
      </c>
      <c r="BS70" s="28" t="n"/>
      <c r="BT70" s="28" t="n"/>
      <c r="BU70" s="25" t="n"/>
      <c r="BV70" s="29" t="n"/>
      <c r="BW70" s="24" t="n"/>
      <c r="BX70" s="30" t="n">
        <v>1</v>
      </c>
      <c r="BY70" s="27" t="n">
        <v>-1</v>
      </c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2026-08-13T11:35:37Z</dcterms:created>
  <dcterms:modified xmlns:dcterms="http://purl.org/dc/terms/" xmlns:xsi="http://www.w3.org/2001/XMLSchema-instance" xsi:type="dcterms:W3CDTF">2026-08-13T11:35:37Z</dcterms:modified>
</cp:coreProperties>
</file>