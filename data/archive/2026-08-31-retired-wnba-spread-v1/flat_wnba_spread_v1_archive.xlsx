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P49" headerRowCount="1">
  <autoFilter ref="A1:DP49"/>
  <tableColumns count="120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COUNTA('Picks'!$A$2:$A$49)</f>
        <v/>
      </c>
      <c r="C4" s="6">
        <f>COUNTIF('Picks'!$U$2:$U$49,"open")</f>
        <v/>
      </c>
      <c r="E4" s="6">
        <f>COUNTIF('Picks'!$U$2:$U$49,"settled")</f>
        <v/>
      </c>
      <c r="G4" s="6">
        <f>IF(COUNTIFS('Picks'!$U$2:$U$49,"settled",'Picks'!$V$2:$V$49,"win")+COUNTIFS('Picks'!$U$2:$U$49,"settled",'Picks'!$V$2:$V$49,"loss")&gt;=$L$2,"Ready","Insufficient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COUNTIF('Picks'!$BX$2:$BX$49,"&gt;0")</f>
        <v/>
      </c>
      <c r="C7" s="6">
        <f>COUNTIFS('Picks'!$BX$2:$BX$49,"&gt;0",'Picks'!$V$2:$V$49,"win")&amp;"-"&amp;COUNTIFS('Picks'!$BX$2:$BX$49,"&gt;0",'Picks'!$V$2:$V$49,"loss")</f>
        <v/>
      </c>
      <c r="E7" s="7">
        <f>IFERROR(COUNTIFS('Picks'!$BX$2:$BX$49,"&gt;0",'Picks'!$V$2:$V$49,"win")/(COUNTIFS('Picks'!$BX$2:$BX$49,"&gt;0",'Picks'!$V$2:$V$49,"win")+COUNTIFS('Picks'!$BX$2:$BX$49,"&gt;0",'Picks'!$V$2:$V$49,"loss")),0)</f>
        <v/>
      </c>
      <c r="G7" s="7">
        <f>IFERROR(SUM('Picks'!$BY$2:$BY$49)/SUM('Picks'!$BX$2:$BX$49),0)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SUM('Picks'!$BY$2:$BY$49)</f>
        <v/>
      </c>
      <c r="C10" s="9">
        <f>IFERROR(AVERAGEIF('Picks'!$AB$2:$AB$49,"&lt;&gt;",'Picks'!$AB$2:$AB$49),0)</f>
        <v/>
      </c>
      <c r="E10" s="6">
        <f>COUNTIFS('Picks'!$AM$2:$AM$49,"QUALIFIED_SHADOW_CALL",'Picks'!$U$2:$U$49,"settled")</f>
        <v/>
      </c>
      <c r="G10" s="8">
        <f>SUMIFS('Picks'!$AC$2:$AC$49,'Picks'!$AM$2:$AM$49,"QUALIFIED_SHADOW_CALL")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COUNTIFS('Picks'!$H$2:$H$49,$A14,'Picks'!$U$2:$U$49,"settled")</f>
        <v/>
      </c>
      <c r="C14" s="13">
        <f>COUNTIFS('Picks'!$H$2:$H$49,$A14,'Picks'!$U$2:$U$49,"settled",'Picks'!$V$2:$V$49,"win")</f>
        <v/>
      </c>
      <c r="D14" s="13">
        <f>COUNTIFS('Picks'!$H$2:$H$49,$A14,'Picks'!$U$2:$U$49,"settled",'Picks'!$V$2:$V$49,"loss")</f>
        <v/>
      </c>
      <c r="E14" s="14">
        <f>IFERROR(C14/(C14+D14),0)</f>
        <v/>
      </c>
      <c r="F14" s="15">
        <f>SUMIFS('Picks'!$BY$2:$BY$49,'Picks'!$H$2:$H$49,$A14)</f>
        <v/>
      </c>
      <c r="G14" s="16">
        <f>IFERROR(AVERAGEIFS('Picks'!$AB$2:$AB$49,'Picks'!$H$2:$H$49,$A14,'Picks'!$U$2:$U$49,"settled"),0)</f>
        <v/>
      </c>
    </row>
    <row r="15">
      <c r="A15" s="17" t="inlineStr">
        <is>
          <t>spread</t>
        </is>
      </c>
      <c r="B15" s="18">
        <f>COUNTIFS('Picks'!$H$2:$H$49,$A15,'Picks'!$U$2:$U$49,"settled")</f>
        <v/>
      </c>
      <c r="C15" s="18">
        <f>COUNTIFS('Picks'!$H$2:$H$49,$A15,'Picks'!$U$2:$U$49,"settled",'Picks'!$V$2:$V$49,"win")</f>
        <v/>
      </c>
      <c r="D15" s="18">
        <f>COUNTIFS('Picks'!$H$2:$H$49,$A15,'Picks'!$U$2:$U$49,"settled",'Picks'!$V$2:$V$49,"loss")</f>
        <v/>
      </c>
      <c r="E15" s="19">
        <f>IFERROR(C15/(C15+D15),0)</f>
        <v/>
      </c>
      <c r="F15" s="20">
        <f>SUMIFS('Picks'!$BY$2:$BY$49,'Picks'!$H$2:$H$49,$A15)</f>
        <v/>
      </c>
      <c r="G15" s="21">
        <f>IFERROR(AVERAGEIFS('Picks'!$AB$2:$AB$49,'Picks'!$H$2:$H$49,$A15,'Picks'!$U$2:$U$49,"settled"),0)</f>
        <v/>
      </c>
    </row>
    <row r="16">
      <c r="A16" s="12" t="inlineStr">
        <is>
          <t>total</t>
        </is>
      </c>
      <c r="B16" s="13">
        <f>COUNTIFS('Picks'!$H$2:$H$49,$A16,'Picks'!$U$2:$U$49,"settled")</f>
        <v/>
      </c>
      <c r="C16" s="13">
        <f>COUNTIFS('Picks'!$H$2:$H$49,$A16,'Picks'!$U$2:$U$49,"settled",'Picks'!$V$2:$V$49,"win")</f>
        <v/>
      </c>
      <c r="D16" s="13">
        <f>COUNTIFS('Picks'!$H$2:$H$49,$A16,'Picks'!$U$2:$U$49,"settled",'Picks'!$V$2:$V$49,"loss")</f>
        <v/>
      </c>
      <c r="E16" s="14">
        <f>IFERROR(C16/(C16+D16),0)</f>
        <v/>
      </c>
      <c r="F16" s="15">
        <f>SUMIFS('Picks'!$BY$2:$BY$49,'Picks'!$H$2:$H$49,$A16)</f>
        <v/>
      </c>
      <c r="G16" s="16">
        <f>IFERROR(AVERAGEIFS('Picks'!$AB$2:$AB$49,'Picks'!$H$2:$H$49,$A16,'Picks'!$U$2:$U$49,"settled"),0)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P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</row>
    <row r="2" ht="36" customHeight="1">
      <c r="A2" s="24" t="inlineStr">
        <is>
          <t>7c88877b611a47d2</t>
        </is>
      </c>
      <c r="B2" s="24" t="inlineStr">
        <is>
          <t>2026-08-13T20:13:53.996718Z</t>
        </is>
      </c>
      <c r="C2" s="24" t="inlineStr">
        <is>
          <t>2026-08-13T23:00Z</t>
        </is>
      </c>
      <c r="D2" s="24" t="inlineStr">
        <is>
          <t>401857140</t>
        </is>
      </c>
      <c r="E2" s="24" t="inlineStr">
        <is>
          <t>WNBA</t>
        </is>
      </c>
      <c r="F2" s="24" t="inlineStr">
        <is>
          <t>Atlanta Dream</t>
        </is>
      </c>
      <c r="G2" s="24" t="inlineStr">
        <is>
          <t>Connecticut Sun</t>
        </is>
      </c>
      <c r="H2" s="24" t="inlineStr">
        <is>
          <t>spread</t>
        </is>
      </c>
      <c r="I2" s="24" t="inlineStr">
        <is>
          <t>home</t>
        </is>
      </c>
      <c r="J2" s="25" t="n">
        <v>10.5</v>
      </c>
      <c r="K2" s="24" t="inlineStr">
        <is>
          <t>polymarket_us</t>
        </is>
      </c>
      <c r="L2" s="26" t="n">
        <v>-104</v>
      </c>
      <c r="M2" s="27" t="n">
        <v>1.961538</v>
      </c>
      <c r="N2" s="28" t="n">
        <v>0.509804</v>
      </c>
      <c r="O2" s="28" t="n">
        <v>0.805971</v>
      </c>
      <c r="P2" s="28" t="n">
        <v>0.03</v>
      </c>
      <c r="Q2" s="28" t="n">
        <v>0.296167</v>
      </c>
      <c r="R2" s="26" t="n">
        <v>100</v>
      </c>
      <c r="S2" s="29" t="n">
        <v>2</v>
      </c>
      <c r="T2" s="24" t="inlineStr">
        <is>
          <t>wnba-spread-margin-v1</t>
        </is>
      </c>
      <c r="U2" s="24" t="inlineStr">
        <is>
          <t>settled</t>
        </is>
      </c>
      <c r="V2" s="24" t="inlineStr">
        <is>
          <t>loss</t>
        </is>
      </c>
      <c r="W2" s="26" t="n">
        <v>104</v>
      </c>
      <c r="X2" s="26" t="n">
        <v>69</v>
      </c>
      <c r="Y2" s="25" t="n"/>
      <c r="Z2" s="26" t="n"/>
      <c r="AA2" s="28" t="n"/>
      <c r="AB2" s="28" t="n"/>
      <c r="AC2" s="30" t="n">
        <v>-2</v>
      </c>
      <c r="AD2" s="24" t="inlineStr">
        <is>
          <t>2026-08-14T02:21:09.464115Z</t>
        </is>
      </c>
      <c r="AE2" s="31" t="inlineStr">
        <is>
          <t>Projected margin -1.4 (home), sd 10.5. Executable ask 0.5100 (asc-wnba-atl-conn-2026-08-13-neg-10pt5).</t>
        </is>
      </c>
      <c r="AF2" s="31" t="inlineStr">
        <is>
          <t>Research-baseline margin-normal spread model; not yet locked-holdout qualified.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wnba-atl</t>
        </is>
      </c>
      <c r="AQ2" s="24" t="inlineStr">
        <is>
          <t>Atlanta Dream</t>
        </is>
      </c>
      <c r="AR2" s="24" t="inlineStr">
        <is>
          <t>Atlanta Dream</t>
        </is>
      </c>
      <c r="AS2" s="24" t="inlineStr">
        <is>
          <t>wnba-con</t>
        </is>
      </c>
      <c r="AT2" s="24" t="inlineStr">
        <is>
          <t>Connecticut Sun</t>
        </is>
      </c>
      <c r="AU2" s="24" t="inlineStr">
        <is>
          <t>Connecticut Sun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research</t>
        </is>
      </c>
      <c r="BA2" s="24" t="inlineStr">
        <is>
          <t>23ba88bcc86a710d76233b349116f2eefe021a993d2d3b9102922e567a027b4c</t>
        </is>
      </c>
      <c r="BB2" s="24" t="inlineStr">
        <is>
          <t>margin_normal</t>
        </is>
      </c>
      <c r="BC2" s="24" t="inlineStr">
        <is>
          <t>wnba-spread-margin-v1</t>
        </is>
      </c>
      <c r="BD2" s="24" t="inlineStr">
        <is>
          <t>23ba88bcc86a710d76233b349116f2eefe021a993d2d3b9102922e567a027b4c</t>
        </is>
      </c>
      <c r="BE2" s="24" t="inlineStr">
        <is>
          <t>wnba-spread-margin-v1</t>
        </is>
      </c>
      <c r="BF2" s="24" t="inlineStr">
        <is>
          <t>1</t>
        </is>
      </c>
      <c r="BG2" s="24" t="inlineStr">
        <is>
          <t>23ba88bcc86a710d76233b349116f2eefe021a993d2d3b9102922e567a027b4c</t>
        </is>
      </c>
      <c r="BH2" s="24" t="inlineStr">
        <is>
          <t>2026-08-13T20:13:52.634037+00:00</t>
        </is>
      </c>
      <c r="BI2" s="24" t="inlineStr">
        <is>
          <t>["same_event","same_team_same_day","same_league_same_day"]</t>
        </is>
      </c>
      <c r="BJ2" s="25" t="n">
        <v>10.5</v>
      </c>
      <c r="BK2" s="26" t="n">
        <v>-104</v>
      </c>
      <c r="BL2" s="27" t="n">
        <v>1.961538</v>
      </c>
      <c r="BM2" s="28" t="n">
        <v>0.509804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0.509804</t>
        </is>
      </c>
      <c r="DK2" s="24" t="n"/>
      <c r="DL2" s="24" t="n"/>
      <c r="DM2" s="24" t="n"/>
      <c r="DN2" s="24" t="n"/>
      <c r="DO2" s="24" t="n"/>
      <c r="DP2" s="24" t="n"/>
    </row>
    <row r="3" ht="36" customHeight="1">
      <c r="A3" s="24" t="inlineStr">
        <is>
          <t>425816bf1d6a48a0</t>
        </is>
      </c>
      <c r="B3" s="24" t="inlineStr">
        <is>
          <t>2026-08-13T23:18:50.428612Z</t>
        </is>
      </c>
      <c r="C3" s="24" t="inlineStr">
        <is>
          <t>2026-08-14T00:00Z</t>
        </is>
      </c>
      <c r="D3" s="24" t="inlineStr">
        <is>
          <t>401857141</t>
        </is>
      </c>
      <c r="E3" s="24" t="inlineStr">
        <is>
          <t>WNBA</t>
        </is>
      </c>
      <c r="F3" s="24" t="inlineStr">
        <is>
          <t>Los Angeles Sparks</t>
        </is>
      </c>
      <c r="G3" s="24" t="inlineStr">
        <is>
          <t>New York Liberty</t>
        </is>
      </c>
      <c r="H3" s="24" t="inlineStr">
        <is>
          <t>spread</t>
        </is>
      </c>
      <c r="I3" s="24" t="inlineStr">
        <is>
          <t>away</t>
        </is>
      </c>
      <c r="J3" s="25" t="n">
        <v>9.5</v>
      </c>
      <c r="K3" s="24" t="inlineStr">
        <is>
          <t>polymarket_us</t>
        </is>
      </c>
      <c r="L3" s="26" t="n">
        <v>100</v>
      </c>
      <c r="M3" s="27" t="n">
        <v>2</v>
      </c>
      <c r="N3" s="28" t="n">
        <v>0.5</v>
      </c>
      <c r="O3" s="28" t="n">
        <v>0.656249</v>
      </c>
      <c r="P3" s="28" t="n">
        <v>0.03</v>
      </c>
      <c r="Q3" s="28" t="n">
        <v>0.156249</v>
      </c>
      <c r="R3" s="26" t="n">
        <v>100</v>
      </c>
      <c r="S3" s="29" t="n">
        <v>1.75</v>
      </c>
      <c r="T3" s="24" t="inlineStr">
        <is>
          <t>wnba-spread-margin-v1</t>
        </is>
      </c>
      <c r="U3" s="24" t="inlineStr">
        <is>
          <t>settled</t>
        </is>
      </c>
      <c r="V3" s="24" t="inlineStr">
        <is>
          <t>win</t>
        </is>
      </c>
      <c r="W3" s="26" t="n">
        <v>81</v>
      </c>
      <c r="X3" s="26" t="n">
        <v>85</v>
      </c>
      <c r="Y3" s="25" t="n"/>
      <c r="Z3" s="26" t="n"/>
      <c r="AA3" s="28" t="n"/>
      <c r="AB3" s="28" t="n"/>
      <c r="AC3" s="30" t="n">
        <v>1.75</v>
      </c>
      <c r="AD3" s="24" t="inlineStr">
        <is>
          <t>2026-08-14T02:21:19.766343Z</t>
        </is>
      </c>
      <c r="AE3" s="31" t="inlineStr">
        <is>
          <t>Projected margin +5.3 (home), sd 10.5. Executable ask 0.5000 (asc-wnba-la-ny-2026-08-13-pos-9pt5).</t>
        </is>
      </c>
      <c r="AF3" s="31" t="inlineStr">
        <is>
          <t>Research-baseline margin-normal spread model; not yet locked-holdout qualified.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wnba-las</t>
        </is>
      </c>
      <c r="AQ3" s="24" t="inlineStr">
        <is>
          <t>Los Angeles Sparks</t>
        </is>
      </c>
      <c r="AR3" s="24" t="inlineStr">
        <is>
          <t>Los Angeles Sparks</t>
        </is>
      </c>
      <c r="AS3" s="24" t="inlineStr">
        <is>
          <t>wnba-nyl</t>
        </is>
      </c>
      <c r="AT3" s="24" t="inlineStr">
        <is>
          <t>New York Liberty</t>
        </is>
      </c>
      <c r="AU3" s="24" t="inlineStr">
        <is>
          <t>New York Liberty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research</t>
        </is>
      </c>
      <c r="BA3" s="24" t="inlineStr">
        <is>
          <t>23ba88bcc86a710d76233b349116f2eefe021a993d2d3b9102922e567a027b4c</t>
        </is>
      </c>
      <c r="BB3" s="24" t="inlineStr">
        <is>
          <t>margin_normal</t>
        </is>
      </c>
      <c r="BC3" s="24" t="inlineStr">
        <is>
          <t>wnba-spread-margin-v1</t>
        </is>
      </c>
      <c r="BD3" s="24" t="inlineStr">
        <is>
          <t>23ba88bcc86a710d76233b349116f2eefe021a993d2d3b9102922e567a027b4c</t>
        </is>
      </c>
      <c r="BE3" s="24" t="inlineStr">
        <is>
          <t>wnba-spread-margin-v1</t>
        </is>
      </c>
      <c r="BF3" s="24" t="inlineStr">
        <is>
          <t>1</t>
        </is>
      </c>
      <c r="BG3" s="24" t="inlineStr">
        <is>
          <t>23ba88bcc86a710d76233b349116f2eefe021a993d2d3b9102922e567a027b4c</t>
        </is>
      </c>
      <c r="BH3" s="24" t="inlineStr">
        <is>
          <t>2026-08-13T23:18:49.173873+00:00</t>
        </is>
      </c>
      <c r="BI3" s="24" t="inlineStr">
        <is>
          <t>["same_event","same_team_same_day","same_league_same_day"]</t>
        </is>
      </c>
      <c r="BJ3" s="25" t="n">
        <v>9.5</v>
      </c>
      <c r="BK3" s="26" t="n">
        <v>100</v>
      </c>
      <c r="BL3" s="27" t="n">
        <v>2</v>
      </c>
      <c r="BM3" s="28" t="n">
        <v>0.5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0.5</t>
        </is>
      </c>
      <c r="DK3" s="24" t="n"/>
      <c r="DL3" s="24" t="n"/>
      <c r="DM3" s="24" t="n"/>
      <c r="DN3" s="24" t="n"/>
      <c r="DO3" s="24" t="n"/>
      <c r="DP3" s="24" t="n"/>
    </row>
    <row r="4" ht="36" customHeight="1">
      <c r="A4" s="24" t="inlineStr">
        <is>
          <t>9eaba19fced742c2</t>
        </is>
      </c>
      <c r="B4" s="24" t="inlineStr">
        <is>
          <t>2026-08-13T23:18:50.428612Z</t>
        </is>
      </c>
      <c r="C4" s="24" t="inlineStr">
        <is>
          <t>2026-08-14T02:00Z</t>
        </is>
      </c>
      <c r="D4" s="24" t="inlineStr">
        <is>
          <t>401857142</t>
        </is>
      </c>
      <c r="E4" s="24" t="inlineStr">
        <is>
          <t>WNBA</t>
        </is>
      </c>
      <c r="F4" s="24" t="inlineStr">
        <is>
          <t>Washington Mystics</t>
        </is>
      </c>
      <c r="G4" s="24" t="inlineStr">
        <is>
          <t>Las Vegas Aces</t>
        </is>
      </c>
      <c r="H4" s="24" t="inlineStr">
        <is>
          <t>spread</t>
        </is>
      </c>
      <c r="I4" s="24" t="inlineStr">
        <is>
          <t>away</t>
        </is>
      </c>
      <c r="J4" s="25" t="n">
        <v>5.5</v>
      </c>
      <c r="K4" s="24" t="inlineStr">
        <is>
          <t>polymarket_us</t>
        </is>
      </c>
      <c r="L4" s="26" t="n">
        <v>100</v>
      </c>
      <c r="M4" s="27" t="n">
        <v>2</v>
      </c>
      <c r="N4" s="28" t="n">
        <v>0.5</v>
      </c>
      <c r="O4" s="28" t="n">
        <v>0.592154</v>
      </c>
      <c r="P4" s="28" t="n">
        <v>0.03</v>
      </c>
      <c r="Q4" s="28" t="n">
        <v>0.092154</v>
      </c>
      <c r="R4" s="26" t="n">
        <v>78</v>
      </c>
      <c r="S4" s="29" t="n">
        <v>1.5</v>
      </c>
      <c r="T4" s="24" t="inlineStr">
        <is>
          <t>wnba-spread-margin-v1</t>
        </is>
      </c>
      <c r="U4" s="24" t="inlineStr">
        <is>
          <t>settled</t>
        </is>
      </c>
      <c r="V4" s="24" t="inlineStr">
        <is>
          <t>loss</t>
        </is>
      </c>
      <c r="W4" s="26" t="n">
        <v>76</v>
      </c>
      <c r="X4" s="26" t="n">
        <v>83</v>
      </c>
      <c r="Y4" s="25" t="n"/>
      <c r="Z4" s="26" t="n"/>
      <c r="AA4" s="28" t="n"/>
      <c r="AB4" s="28" t="n"/>
      <c r="AC4" s="30" t="n">
        <v>-1.5</v>
      </c>
      <c r="AD4" s="24" t="inlineStr">
        <is>
          <t>2026-08-14T04:07:59.616776Z</t>
        </is>
      </c>
      <c r="AE4" s="31" t="inlineStr">
        <is>
          <t>Projected margin +3.1 (home), sd 10.5. Executable ask 0.5000 (asc-wnba-wsh-lv-2026-08-13-pos-5pt5).</t>
        </is>
      </c>
      <c r="AF4" s="31" t="inlineStr">
        <is>
          <t>Research-baseline margin-normal spread model; not yet locked-holdout qualified.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wnba-was</t>
        </is>
      </c>
      <c r="AQ4" s="24" t="inlineStr">
        <is>
          <t>Washington Mystics</t>
        </is>
      </c>
      <c r="AR4" s="24" t="inlineStr">
        <is>
          <t>Washington Mystics</t>
        </is>
      </c>
      <c r="AS4" s="24" t="inlineStr">
        <is>
          <t>wnba-lva</t>
        </is>
      </c>
      <c r="AT4" s="24" t="inlineStr">
        <is>
          <t>Las Vegas Aces</t>
        </is>
      </c>
      <c r="AU4" s="24" t="inlineStr">
        <is>
          <t>Las Vegas Aces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research</t>
        </is>
      </c>
      <c r="BA4" s="24" t="inlineStr">
        <is>
          <t>23ba88bcc86a710d76233b349116f2eefe021a993d2d3b9102922e567a027b4c</t>
        </is>
      </c>
      <c r="BB4" s="24" t="inlineStr">
        <is>
          <t>margin_normal</t>
        </is>
      </c>
      <c r="BC4" s="24" t="inlineStr">
        <is>
          <t>wnba-spread-margin-v1</t>
        </is>
      </c>
      <c r="BD4" s="24" t="inlineStr">
        <is>
          <t>23ba88bcc86a710d76233b349116f2eefe021a993d2d3b9102922e567a027b4c</t>
        </is>
      </c>
      <c r="BE4" s="24" t="inlineStr">
        <is>
          <t>wnba-spread-margin-v1</t>
        </is>
      </c>
      <c r="BF4" s="24" t="inlineStr">
        <is>
          <t>1</t>
        </is>
      </c>
      <c r="BG4" s="24" t="inlineStr">
        <is>
          <t>23ba88bcc86a710d76233b349116f2eefe021a993d2d3b9102922e567a027b4c</t>
        </is>
      </c>
      <c r="BH4" s="24" t="inlineStr">
        <is>
          <t>2026-08-13T23:18:49.173873+00:00</t>
        </is>
      </c>
      <c r="BI4" s="24" t="inlineStr">
        <is>
          <t>["same_event","same_team_same_day","same_league_same_day"]</t>
        </is>
      </c>
      <c r="BJ4" s="25" t="n">
        <v>5.5</v>
      </c>
      <c r="BK4" s="26" t="n">
        <v>100</v>
      </c>
      <c r="BL4" s="27" t="n">
        <v>2</v>
      </c>
      <c r="BM4" s="28" t="n">
        <v>0.5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0.5</t>
        </is>
      </c>
      <c r="DK4" s="24" t="n"/>
      <c r="DL4" s="24" t="n"/>
      <c r="DM4" s="24" t="n"/>
      <c r="DN4" s="24" t="n"/>
      <c r="DO4" s="24" t="n"/>
      <c r="DP4" s="24" t="n"/>
    </row>
    <row r="5" ht="36" customHeight="1">
      <c r="A5" s="24" t="inlineStr">
        <is>
          <t>b66d369cfbf946cf</t>
        </is>
      </c>
      <c r="B5" s="24" t="inlineStr">
        <is>
          <t>2026-08-15T14:43:01.179646Z</t>
        </is>
      </c>
      <c r="C5" s="24" t="inlineStr">
        <is>
          <t>2026-08-15T17:00Z</t>
        </is>
      </c>
      <c r="D5" s="24" t="inlineStr">
        <is>
          <t>401857145</t>
        </is>
      </c>
      <c r="E5" s="24" t="inlineStr">
        <is>
          <t>WNBA</t>
        </is>
      </c>
      <c r="F5" s="24" t="inlineStr">
        <is>
          <t>New York Liberty</t>
        </is>
      </c>
      <c r="G5" s="24" t="inlineStr">
        <is>
          <t>Connecticut Sun</t>
        </is>
      </c>
      <c r="H5" s="24" t="inlineStr">
        <is>
          <t>spread</t>
        </is>
      </c>
      <c r="I5" s="24" t="inlineStr">
        <is>
          <t>home</t>
        </is>
      </c>
      <c r="J5" s="25" t="n">
        <v>9.5</v>
      </c>
      <c r="K5" s="24" t="inlineStr">
        <is>
          <t>polymarket_us</t>
        </is>
      </c>
      <c r="L5" s="26" t="n">
        <v>-117</v>
      </c>
      <c r="M5" s="27" t="n">
        <v>1.854701</v>
      </c>
      <c r="N5" s="28" t="n">
        <v>0.539171</v>
      </c>
      <c r="O5" s="28" t="n">
        <v>0.736937</v>
      </c>
      <c r="P5" s="28" t="n">
        <v>0.03</v>
      </c>
      <c r="Q5" s="28" t="n">
        <v>0.197766</v>
      </c>
      <c r="R5" s="26" t="n">
        <v>100</v>
      </c>
      <c r="S5" s="29" t="n">
        <v>2</v>
      </c>
      <c r="T5" s="24" t="inlineStr">
        <is>
          <t>wnba-spread-margin-v1</t>
        </is>
      </c>
      <c r="U5" s="24" t="inlineStr">
        <is>
          <t>settled</t>
        </is>
      </c>
      <c r="V5" s="24" t="inlineStr">
        <is>
          <t>win</t>
        </is>
      </c>
      <c r="W5" s="26" t="n">
        <v>82</v>
      </c>
      <c r="X5" s="26" t="n">
        <v>75</v>
      </c>
      <c r="Y5" s="25" t="n"/>
      <c r="Z5" s="26" t="n"/>
      <c r="AA5" s="28" t="n"/>
      <c r="AB5" s="28" t="n"/>
      <c r="AC5" s="30" t="n">
        <v>1.7094</v>
      </c>
      <c r="AD5" s="24" t="inlineStr">
        <is>
          <t>2026-08-15T21:02:58.402938Z</t>
        </is>
      </c>
      <c r="AE5" s="31" t="inlineStr">
        <is>
          <t>Projected margin -2.8 (home), sd 10.5. Executable ask 0.5400 (asc-wnba-ny-conn-2026-08-15-neg-9pt5).</t>
        </is>
      </c>
      <c r="AF5" s="31" t="inlineStr">
        <is>
          <t>Research-baseline margin-normal spread model; not yet locked-holdout qualified.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wnba-nyl</t>
        </is>
      </c>
      <c r="AQ5" s="24" t="inlineStr">
        <is>
          <t>New York Liberty</t>
        </is>
      </c>
      <c r="AR5" s="24" t="inlineStr">
        <is>
          <t>New York Liberty</t>
        </is>
      </c>
      <c r="AS5" s="24" t="inlineStr">
        <is>
          <t>wnba-con</t>
        </is>
      </c>
      <c r="AT5" s="24" t="inlineStr">
        <is>
          <t>Connecticut Sun</t>
        </is>
      </c>
      <c r="AU5" s="24" t="inlineStr">
        <is>
          <t>Connecticut Sun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research</t>
        </is>
      </c>
      <c r="BA5" s="24" t="inlineStr">
        <is>
          <t>23ba88bcc86a710d76233b349116f2eefe021a993d2d3b9102922e567a027b4c</t>
        </is>
      </c>
      <c r="BB5" s="24" t="inlineStr">
        <is>
          <t>margin_normal</t>
        </is>
      </c>
      <c r="BC5" s="24" t="inlineStr">
        <is>
          <t>wnba-spread-margin-v1</t>
        </is>
      </c>
      <c r="BD5" s="24" t="inlineStr">
        <is>
          <t>23ba88bcc86a710d76233b349116f2eefe021a993d2d3b9102922e567a027b4c</t>
        </is>
      </c>
      <c r="BE5" s="24" t="inlineStr">
        <is>
          <t>wnba-spread-margin-v1</t>
        </is>
      </c>
      <c r="BF5" s="24" t="inlineStr">
        <is>
          <t>1</t>
        </is>
      </c>
      <c r="BG5" s="24" t="inlineStr">
        <is>
          <t>23ba88bcc86a710d76233b349116f2eefe021a993d2d3b9102922e567a027b4c</t>
        </is>
      </c>
      <c r="BH5" s="24" t="inlineStr">
        <is>
          <t>2026-08-15T14:42:57.887220+00:00</t>
        </is>
      </c>
      <c r="BI5" s="24" t="inlineStr">
        <is>
          <t>["same_event","same_team_same_day","same_league_same_day"]</t>
        </is>
      </c>
      <c r="BJ5" s="25" t="n">
        <v>9.5</v>
      </c>
      <c r="BK5" s="26" t="n">
        <v>-117</v>
      </c>
      <c r="BL5" s="27" t="n">
        <v>1.854701</v>
      </c>
      <c r="BM5" s="28" t="n">
        <v>0.539171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0.539171</t>
        </is>
      </c>
      <c r="DK5" s="24" t="n"/>
      <c r="DL5" s="24" t="n"/>
      <c r="DM5" s="24" t="n"/>
      <c r="DN5" s="24" t="n"/>
      <c r="DO5" s="24" t="n"/>
      <c r="DP5" s="24" t="n"/>
    </row>
    <row r="6" ht="36" customHeight="1">
      <c r="A6" s="24" t="inlineStr">
        <is>
          <t>6b1d0410a1c946f1</t>
        </is>
      </c>
      <c r="B6" s="24" t="inlineStr">
        <is>
          <t>2026-08-15T21:06:05.083356Z</t>
        </is>
      </c>
      <c r="C6" s="24" t="inlineStr">
        <is>
          <t>2026-08-15T23:30Z</t>
        </is>
      </c>
      <c r="D6" s="24" t="inlineStr">
        <is>
          <t>401857146</t>
        </is>
      </c>
      <c r="E6" s="24" t="inlineStr">
        <is>
          <t>WNBA</t>
        </is>
      </c>
      <c r="F6" s="24" t="inlineStr">
        <is>
          <t>Los Angeles Sparks</t>
        </is>
      </c>
      <c r="G6" s="24" t="inlineStr">
        <is>
          <t>Washington Mystics</t>
        </is>
      </c>
      <c r="H6" s="24" t="inlineStr">
        <is>
          <t>spread</t>
        </is>
      </c>
      <c r="I6" s="24" t="inlineStr">
        <is>
          <t>away</t>
        </is>
      </c>
      <c r="J6" s="25" t="n">
        <v>7.5</v>
      </c>
      <c r="K6" s="24" t="inlineStr">
        <is>
          <t>polymarket_us</t>
        </is>
      </c>
      <c r="L6" s="26" t="n">
        <v>-117</v>
      </c>
      <c r="M6" s="27" t="n">
        <v>1.854701</v>
      </c>
      <c r="N6" s="28" t="n">
        <v>0.539171</v>
      </c>
      <c r="O6" s="28" t="n">
        <v>0.642732</v>
      </c>
      <c r="P6" s="28" t="n">
        <v>0.03</v>
      </c>
      <c r="Q6" s="28" t="n">
        <v>0.103561</v>
      </c>
      <c r="R6" s="26" t="n">
        <v>84</v>
      </c>
      <c r="S6" s="29" t="n">
        <v>1.75</v>
      </c>
      <c r="T6" s="24" t="inlineStr">
        <is>
          <t>wnba-spread-margin-v1</t>
        </is>
      </c>
      <c r="U6" s="24" t="inlineStr">
        <is>
          <t>settled</t>
        </is>
      </c>
      <c r="V6" s="24" t="inlineStr">
        <is>
          <t>loss</t>
        </is>
      </c>
      <c r="W6" s="26" t="n">
        <v>70</v>
      </c>
      <c r="X6" s="26" t="n">
        <v>80</v>
      </c>
      <c r="Y6" s="25" t="n"/>
      <c r="Z6" s="26" t="n"/>
      <c r="AA6" s="28" t="n"/>
      <c r="AB6" s="28" t="n"/>
      <c r="AC6" s="30" t="n">
        <v>-1.75</v>
      </c>
      <c r="AD6" s="24" t="inlineStr">
        <is>
          <t>2026-08-16T03:14:20.857137Z</t>
        </is>
      </c>
      <c r="AE6" s="31" t="inlineStr">
        <is>
          <t>Projected margin +3.7 (home), sd 10.5. Executable ask 0.5400 (asc-wnba-la-wsh-2026-08-15-pos-7pt5).</t>
        </is>
      </c>
      <c r="AF6" s="31" t="inlineStr">
        <is>
          <t>Research-baseline margin-normal spread model; not yet locked-holdout qualified.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wnba-las</t>
        </is>
      </c>
      <c r="AQ6" s="24" t="inlineStr">
        <is>
          <t>Los Angeles Sparks</t>
        </is>
      </c>
      <c r="AR6" s="24" t="inlineStr">
        <is>
          <t>Los Angeles Sparks</t>
        </is>
      </c>
      <c r="AS6" s="24" t="inlineStr">
        <is>
          <t>wnba-was</t>
        </is>
      </c>
      <c r="AT6" s="24" t="inlineStr">
        <is>
          <t>Washington Mystics</t>
        </is>
      </c>
      <c r="AU6" s="24" t="inlineStr">
        <is>
          <t>Washington Mystics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research</t>
        </is>
      </c>
      <c r="BA6" s="24" t="inlineStr">
        <is>
          <t>23ba88bcc86a710d76233b349116f2eefe021a993d2d3b9102922e567a027b4c</t>
        </is>
      </c>
      <c r="BB6" s="24" t="inlineStr">
        <is>
          <t>margin_normal</t>
        </is>
      </c>
      <c r="BC6" s="24" t="inlineStr">
        <is>
          <t>wnba-spread-margin-v1</t>
        </is>
      </c>
      <c r="BD6" s="24" t="inlineStr">
        <is>
          <t>23ba88bcc86a710d76233b349116f2eefe021a993d2d3b9102922e567a027b4c</t>
        </is>
      </c>
      <c r="BE6" s="24" t="inlineStr">
        <is>
          <t>wnba-spread-margin-v1</t>
        </is>
      </c>
      <c r="BF6" s="24" t="inlineStr">
        <is>
          <t>1</t>
        </is>
      </c>
      <c r="BG6" s="24" t="inlineStr">
        <is>
          <t>23ba88bcc86a710d76233b349116f2eefe021a993d2d3b9102922e567a027b4c</t>
        </is>
      </c>
      <c r="BH6" s="24" t="inlineStr">
        <is>
          <t>2026-08-15T21:06:03.684792+00:00</t>
        </is>
      </c>
      <c r="BI6" s="24" t="inlineStr">
        <is>
          <t>["same_event","same_team_same_day","same_league_same_day"]</t>
        </is>
      </c>
      <c r="BJ6" s="25" t="n">
        <v>7.5</v>
      </c>
      <c r="BK6" s="26" t="n">
        <v>-117</v>
      </c>
      <c r="BL6" s="27" t="n">
        <v>1.854701</v>
      </c>
      <c r="BM6" s="28" t="n">
        <v>0.539171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0.539171</t>
        </is>
      </c>
      <c r="DK6" s="24" t="n"/>
      <c r="DL6" s="24" t="n"/>
      <c r="DM6" s="24" t="n"/>
      <c r="DN6" s="24" t="n"/>
      <c r="DO6" s="24" t="n"/>
      <c r="DP6" s="24" t="n"/>
    </row>
    <row r="7" ht="36" customHeight="1">
      <c r="A7" s="24" t="inlineStr">
        <is>
          <t>f233df21d96947b3</t>
        </is>
      </c>
      <c r="B7" s="24" t="inlineStr">
        <is>
          <t>2026-08-15T21:06:05.083356Z</t>
        </is>
      </c>
      <c r="C7" s="24" t="inlineStr">
        <is>
          <t>2026-08-16T00:00Z</t>
        </is>
      </c>
      <c r="D7" s="24" t="inlineStr">
        <is>
          <t>401857147</t>
        </is>
      </c>
      <c r="E7" s="24" t="inlineStr">
        <is>
          <t>WNBA</t>
        </is>
      </c>
      <c r="F7" s="24" t="inlineStr">
        <is>
          <t>Minnesota Lynx</t>
        </is>
      </c>
      <c r="G7" s="24" t="inlineStr">
        <is>
          <t>Las Vegas Aces</t>
        </is>
      </c>
      <c r="H7" s="24" t="inlineStr">
        <is>
          <t>spread</t>
        </is>
      </c>
      <c r="I7" s="24" t="inlineStr">
        <is>
          <t>home</t>
        </is>
      </c>
      <c r="J7" s="25" t="n">
        <v>4.5</v>
      </c>
      <c r="K7" s="24" t="inlineStr">
        <is>
          <t>polymarket_us</t>
        </is>
      </c>
      <c r="L7" s="26" t="n">
        <v>-163</v>
      </c>
      <c r="M7" s="27" t="n">
        <v>1.613497</v>
      </c>
      <c r="N7" s="28" t="n">
        <v>0.619772</v>
      </c>
      <c r="O7" s="28" t="n">
        <v>0.682588</v>
      </c>
      <c r="P7" s="28" t="n">
        <v>0.03</v>
      </c>
      <c r="Q7" s="28" t="n">
        <v>0.062816</v>
      </c>
      <c r="R7" s="26" t="n">
        <v>63</v>
      </c>
      <c r="S7" s="29" t="n">
        <v>2</v>
      </c>
      <c r="T7" s="24" t="inlineStr">
        <is>
          <t>wnba-spread-margin-v1</t>
        </is>
      </c>
      <c r="U7" s="24" t="inlineStr">
        <is>
          <t>settled</t>
        </is>
      </c>
      <c r="V7" s="24" t="inlineStr">
        <is>
          <t>loss</t>
        </is>
      </c>
      <c r="W7" s="26" t="n">
        <v>92</v>
      </c>
      <c r="X7" s="26" t="n">
        <v>87</v>
      </c>
      <c r="Y7" s="25" t="n"/>
      <c r="Z7" s="26" t="n"/>
      <c r="AA7" s="28" t="n"/>
      <c r="AB7" s="28" t="n"/>
      <c r="AC7" s="30" t="n">
        <v>-2</v>
      </c>
      <c r="AD7" s="24" t="inlineStr">
        <is>
          <t>2026-08-16T03:14:21.346143Z</t>
        </is>
      </c>
      <c r="AE7" s="31" t="inlineStr">
        <is>
          <t>Projected margin +0.5 (home), sd 10.5. Executable ask 0.6200 (asc-wnba-min-lv-2026-08-15-neg-4pt5).</t>
        </is>
      </c>
      <c r="AF7" s="31" t="inlineStr">
        <is>
          <t>Research-baseline margin-normal spread model; not yet locked-holdout qualified.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wnba-min</t>
        </is>
      </c>
      <c r="AQ7" s="24" t="inlineStr">
        <is>
          <t>Minnesota Lynx</t>
        </is>
      </c>
      <c r="AR7" s="24" t="inlineStr">
        <is>
          <t>Minnesota Lynx</t>
        </is>
      </c>
      <c r="AS7" s="24" t="inlineStr">
        <is>
          <t>wnba-lva</t>
        </is>
      </c>
      <c r="AT7" s="24" t="inlineStr">
        <is>
          <t>Las Vegas Aces</t>
        </is>
      </c>
      <c r="AU7" s="24" t="inlineStr">
        <is>
          <t>Las Vegas Aces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research</t>
        </is>
      </c>
      <c r="BA7" s="24" t="inlineStr">
        <is>
          <t>23ba88bcc86a710d76233b349116f2eefe021a993d2d3b9102922e567a027b4c</t>
        </is>
      </c>
      <c r="BB7" s="24" t="inlineStr">
        <is>
          <t>margin_normal</t>
        </is>
      </c>
      <c r="BC7" s="24" t="inlineStr">
        <is>
          <t>wnba-spread-margin-v1</t>
        </is>
      </c>
      <c r="BD7" s="24" t="inlineStr">
        <is>
          <t>23ba88bcc86a710d76233b349116f2eefe021a993d2d3b9102922e567a027b4c</t>
        </is>
      </c>
      <c r="BE7" s="24" t="inlineStr">
        <is>
          <t>wnba-spread-margin-v1</t>
        </is>
      </c>
      <c r="BF7" s="24" t="inlineStr">
        <is>
          <t>1</t>
        </is>
      </c>
      <c r="BG7" s="24" t="inlineStr">
        <is>
          <t>23ba88bcc86a710d76233b349116f2eefe021a993d2d3b9102922e567a027b4c</t>
        </is>
      </c>
      <c r="BH7" s="24" t="inlineStr">
        <is>
          <t>2026-08-15T21:06:03.684792+00:00</t>
        </is>
      </c>
      <c r="BI7" s="24" t="inlineStr">
        <is>
          <t>["same_event","same_team_same_day","same_league_same_day"]</t>
        </is>
      </c>
      <c r="BJ7" s="25" t="n">
        <v>4.5</v>
      </c>
      <c r="BK7" s="26" t="n">
        <v>-163</v>
      </c>
      <c r="BL7" s="27" t="n">
        <v>1.613497</v>
      </c>
      <c r="BM7" s="28" t="n">
        <v>0.619772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0.619772</t>
        </is>
      </c>
      <c r="DK7" s="24" t="n"/>
      <c r="DL7" s="24" t="n"/>
      <c r="DM7" s="24" t="n"/>
      <c r="DN7" s="24" t="n"/>
      <c r="DO7" s="24" t="n"/>
      <c r="DP7" s="24" t="n"/>
    </row>
    <row r="8" ht="36" customHeight="1">
      <c r="A8" s="24" t="inlineStr">
        <is>
          <t>db59d54042864e43</t>
        </is>
      </c>
      <c r="B8" s="24" t="inlineStr">
        <is>
          <t>2026-08-16T17:44:10.908553Z</t>
        </is>
      </c>
      <c r="C8" s="24" t="inlineStr">
        <is>
          <t>2026-08-16T21:00Z</t>
        </is>
      </c>
      <c r="D8" s="24" t="inlineStr">
        <is>
          <t>401857148</t>
        </is>
      </c>
      <c r="E8" s="24" t="inlineStr">
        <is>
          <t>WNBA</t>
        </is>
      </c>
      <c r="F8" s="24" t="inlineStr">
        <is>
          <t>Chicago Sky</t>
        </is>
      </c>
      <c r="G8" s="24" t="inlineStr">
        <is>
          <t>Seattle Storm</t>
        </is>
      </c>
      <c r="H8" s="24" t="inlineStr">
        <is>
          <t>spread</t>
        </is>
      </c>
      <c r="I8" s="24" t="inlineStr">
        <is>
          <t>home</t>
        </is>
      </c>
      <c r="J8" s="25" t="n">
        <v>4.5</v>
      </c>
      <c r="K8" s="24" t="inlineStr">
        <is>
          <t>polymarket_us</t>
        </is>
      </c>
      <c r="L8" s="26" t="n">
        <v>-203</v>
      </c>
      <c r="M8" s="27" t="n">
        <v>1.492611</v>
      </c>
      <c r="N8" s="28" t="n">
        <v>0.669967</v>
      </c>
      <c r="O8" s="28" t="n">
        <v>0.721278</v>
      </c>
      <c r="P8" s="28" t="n">
        <v>0.03</v>
      </c>
      <c r="Q8" s="28" t="n">
        <v>0.051311</v>
      </c>
      <c r="R8" s="26" t="n">
        <v>58</v>
      </c>
      <c r="S8" s="29" t="n">
        <v>2</v>
      </c>
      <c r="T8" s="24" t="inlineStr">
        <is>
          <t>wnba-spread-margin-v1</t>
        </is>
      </c>
      <c r="U8" s="24" t="inlineStr">
        <is>
          <t>settled</t>
        </is>
      </c>
      <c r="V8" s="24" t="inlineStr">
        <is>
          <t>win</t>
        </is>
      </c>
      <c r="W8" s="26" t="n">
        <v>82</v>
      </c>
      <c r="X8" s="26" t="n">
        <v>80</v>
      </c>
      <c r="Y8" s="25" t="n"/>
      <c r="Z8" s="26" t="n"/>
      <c r="AA8" s="28" t="n"/>
      <c r="AB8" s="28" t="n"/>
      <c r="AC8" s="30" t="n">
        <v>0.9852</v>
      </c>
      <c r="AD8" s="24" t="inlineStr">
        <is>
          <t>2026-08-17T05:25:51.549255Z</t>
        </is>
      </c>
      <c r="AE8" s="31" t="inlineStr">
        <is>
          <t>Projected margin +1.7 (home), sd 10.5. Executable ask 0.6700 (asc-wnba-chi-sea-2026-08-16-neg-4pt5).</t>
        </is>
      </c>
      <c r="AF8" s="31" t="inlineStr">
        <is>
          <t>Research-baseline margin-normal spread model; not yet locked-holdout qualified.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wnba-chi</t>
        </is>
      </c>
      <c r="AQ8" s="24" t="inlineStr">
        <is>
          <t>Chicago Sky</t>
        </is>
      </c>
      <c r="AR8" s="24" t="inlineStr">
        <is>
          <t>Chicago Sky</t>
        </is>
      </c>
      <c r="AS8" s="24" t="inlineStr">
        <is>
          <t>wnba-sea</t>
        </is>
      </c>
      <c r="AT8" s="24" t="inlineStr">
        <is>
          <t>Seattle Storm</t>
        </is>
      </c>
      <c r="AU8" s="24" t="inlineStr">
        <is>
          <t>Seattle Storm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research</t>
        </is>
      </c>
      <c r="BA8" s="24" t="inlineStr">
        <is>
          <t>23ba88bcc86a710d76233b349116f2eefe021a993d2d3b9102922e567a027b4c</t>
        </is>
      </c>
      <c r="BB8" s="24" t="inlineStr">
        <is>
          <t>margin_normal</t>
        </is>
      </c>
      <c r="BC8" s="24" t="inlineStr">
        <is>
          <t>wnba-spread-margin-v1</t>
        </is>
      </c>
      <c r="BD8" s="24" t="inlineStr">
        <is>
          <t>23ba88bcc86a710d76233b349116f2eefe021a993d2d3b9102922e567a027b4c</t>
        </is>
      </c>
      <c r="BE8" s="24" t="inlineStr">
        <is>
          <t>wnba-spread-margin-v1</t>
        </is>
      </c>
      <c r="BF8" s="24" t="inlineStr">
        <is>
          <t>1</t>
        </is>
      </c>
      <c r="BG8" s="24" t="inlineStr">
        <is>
          <t>23ba88bcc86a710d76233b349116f2eefe021a993d2d3b9102922e567a027b4c</t>
        </is>
      </c>
      <c r="BH8" s="24" t="inlineStr">
        <is>
          <t>2026-08-16T17:44:09.495327+00:00</t>
        </is>
      </c>
      <c r="BI8" s="24" t="inlineStr">
        <is>
          <t>["same_event","same_team_same_day","same_league_same_day"]</t>
        </is>
      </c>
      <c r="BJ8" s="25" t="n">
        <v>4.5</v>
      </c>
      <c r="BK8" s="26" t="n">
        <v>-203</v>
      </c>
      <c r="BL8" s="27" t="n">
        <v>1.492611</v>
      </c>
      <c r="BM8" s="28" t="n">
        <v>0.669967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0.669967</t>
        </is>
      </c>
      <c r="DK8" s="24" t="n"/>
      <c r="DL8" s="24" t="n"/>
      <c r="DM8" s="24" t="n"/>
      <c r="DN8" s="24" t="n"/>
      <c r="DO8" s="24" t="n"/>
      <c r="DP8" s="24" t="n"/>
    </row>
    <row r="9" ht="36" customHeight="1">
      <c r="A9" s="24" t="inlineStr">
        <is>
          <t>0a6604bd41d845c0</t>
        </is>
      </c>
      <c r="B9" s="24" t="inlineStr">
        <is>
          <t>2026-08-16T17:44:10.908553Z</t>
        </is>
      </c>
      <c r="C9" s="24" t="inlineStr">
        <is>
          <t>2026-08-16T21:00Z</t>
        </is>
      </c>
      <c r="D9" s="24" t="inlineStr">
        <is>
          <t>401857150</t>
        </is>
      </c>
      <c r="E9" s="24" t="inlineStr">
        <is>
          <t>WNBA</t>
        </is>
      </c>
      <c r="F9" s="24" t="inlineStr">
        <is>
          <t>Indiana Fever</t>
        </is>
      </c>
      <c r="G9" s="24" t="inlineStr">
        <is>
          <t>Atlanta Dream</t>
        </is>
      </c>
      <c r="H9" s="24" t="inlineStr">
        <is>
          <t>spread</t>
        </is>
      </c>
      <c r="I9" s="24" t="inlineStr">
        <is>
          <t>away</t>
        </is>
      </c>
      <c r="J9" s="25" t="n">
        <v>1.5</v>
      </c>
      <c r="K9" s="24" t="inlineStr">
        <is>
          <t>polymarket_us</t>
        </is>
      </c>
      <c r="L9" s="26" t="n">
        <v>100</v>
      </c>
      <c r="M9" s="27" t="n">
        <v>2</v>
      </c>
      <c r="N9" s="28" t="n">
        <v>0.5</v>
      </c>
      <c r="O9" s="28" t="n">
        <v>0.519842</v>
      </c>
      <c r="P9" s="28" t="n">
        <v>0.03</v>
      </c>
      <c r="Q9" s="28" t="n">
        <v>0.019842</v>
      </c>
      <c r="R9" s="26" t="n">
        <v>42</v>
      </c>
      <c r="S9" s="29" t="n">
        <v>1</v>
      </c>
      <c r="T9" s="24" t="inlineStr">
        <is>
          <t>wnba-spread-margin-v1</t>
        </is>
      </c>
      <c r="U9" s="24" t="inlineStr">
        <is>
          <t>settled</t>
        </is>
      </c>
      <c r="V9" s="24" t="inlineStr">
        <is>
          <t>win</t>
        </is>
      </c>
      <c r="W9" s="26" t="n">
        <v>95</v>
      </c>
      <c r="X9" s="26" t="n">
        <v>91</v>
      </c>
      <c r="Y9" s="25" t="n"/>
      <c r="Z9" s="26" t="n"/>
      <c r="AA9" s="28" t="n"/>
      <c r="AB9" s="28" t="n"/>
      <c r="AC9" s="30" t="n">
        <v>1</v>
      </c>
      <c r="AD9" s="24" t="inlineStr">
        <is>
          <t>2026-08-17T05:25:52.611808Z</t>
        </is>
      </c>
      <c r="AE9" s="31" t="inlineStr">
        <is>
          <t>Projected margin +1.0 (home), sd 10.5. Executable ask 0.5000 (asc-wnba-ind-atl-2026-08-16-pos-1pt5).</t>
        </is>
      </c>
      <c r="AF9" s="31" t="inlineStr">
        <is>
          <t>Research-baseline margin-normal spread model; not yet locked-holdout qualified.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wnba-ind</t>
        </is>
      </c>
      <c r="AQ9" s="24" t="inlineStr">
        <is>
          <t>Indiana Fever</t>
        </is>
      </c>
      <c r="AR9" s="24" t="inlineStr">
        <is>
          <t>Indiana Fever</t>
        </is>
      </c>
      <c r="AS9" s="24" t="inlineStr">
        <is>
          <t>wnba-atl</t>
        </is>
      </c>
      <c r="AT9" s="24" t="inlineStr">
        <is>
          <t>Atlanta Dream</t>
        </is>
      </c>
      <c r="AU9" s="24" t="inlineStr">
        <is>
          <t>Atlanta Dream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research</t>
        </is>
      </c>
      <c r="BA9" s="24" t="inlineStr">
        <is>
          <t>23ba88bcc86a710d76233b349116f2eefe021a993d2d3b9102922e567a027b4c</t>
        </is>
      </c>
      <c r="BB9" s="24" t="inlineStr">
        <is>
          <t>margin_normal</t>
        </is>
      </c>
      <c r="BC9" s="24" t="inlineStr">
        <is>
          <t>wnba-spread-margin-v1</t>
        </is>
      </c>
      <c r="BD9" s="24" t="inlineStr">
        <is>
          <t>23ba88bcc86a710d76233b349116f2eefe021a993d2d3b9102922e567a027b4c</t>
        </is>
      </c>
      <c r="BE9" s="24" t="inlineStr">
        <is>
          <t>wnba-spread-margin-v1</t>
        </is>
      </c>
      <c r="BF9" s="24" t="inlineStr">
        <is>
          <t>1</t>
        </is>
      </c>
      <c r="BG9" s="24" t="inlineStr">
        <is>
          <t>23ba88bcc86a710d76233b349116f2eefe021a993d2d3b9102922e567a027b4c</t>
        </is>
      </c>
      <c r="BH9" s="24" t="inlineStr">
        <is>
          <t>2026-08-16T17:44:09.495327+00:00</t>
        </is>
      </c>
      <c r="BI9" s="24" t="inlineStr">
        <is>
          <t>["same_event","same_team_same_day","same_league_same_day"]</t>
        </is>
      </c>
      <c r="BJ9" s="25" t="n">
        <v>1.5</v>
      </c>
      <c r="BK9" s="26" t="n">
        <v>100</v>
      </c>
      <c r="BL9" s="27" t="n">
        <v>2</v>
      </c>
      <c r="BM9" s="28" t="n">
        <v>0.5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0.5</t>
        </is>
      </c>
      <c r="DK9" s="24" t="n"/>
      <c r="DL9" s="24" t="n"/>
      <c r="DM9" s="24" t="n"/>
      <c r="DN9" s="24" t="n"/>
      <c r="DO9" s="24" t="n"/>
      <c r="DP9" s="24" t="n"/>
    </row>
    <row r="10" ht="36" customHeight="1">
      <c r="A10" s="24" t="inlineStr">
        <is>
          <t>4ecf1f1647f94379</t>
        </is>
      </c>
      <c r="B10" s="24" t="inlineStr">
        <is>
          <t>2026-08-16T17:44:10.908553Z</t>
        </is>
      </c>
      <c r="C10" s="24" t="inlineStr">
        <is>
          <t>2026-08-16T23:00Z</t>
        </is>
      </c>
      <c r="D10" s="24" t="inlineStr">
        <is>
          <t>401857149</t>
        </is>
      </c>
      <c r="E10" s="24" t="inlineStr">
        <is>
          <t>WNBA</t>
        </is>
      </c>
      <c r="F10" s="24" t="inlineStr">
        <is>
          <t>Portland Fire</t>
        </is>
      </c>
      <c r="G10" s="24" t="inlineStr">
        <is>
          <t>Phoenix Mercury</t>
        </is>
      </c>
      <c r="H10" s="24" t="inlineStr">
        <is>
          <t>spread</t>
        </is>
      </c>
      <c r="I10" s="24" t="inlineStr">
        <is>
          <t>away</t>
        </is>
      </c>
      <c r="J10" s="25" t="n">
        <v>3.5</v>
      </c>
      <c r="K10" s="24" t="inlineStr">
        <is>
          <t>polymarket_us</t>
        </is>
      </c>
      <c r="L10" s="26" t="n">
        <v>122</v>
      </c>
      <c r="M10" s="27" t="n">
        <v>2.22</v>
      </c>
      <c r="N10" s="28" t="n">
        <v>0.45045</v>
      </c>
      <c r="O10" s="28" t="n">
        <v>0.583745</v>
      </c>
      <c r="P10" s="28" t="n">
        <v>0.03</v>
      </c>
      <c r="Q10" s="28" t="n">
        <v>0.133295</v>
      </c>
      <c r="R10" s="26" t="n">
        <v>99</v>
      </c>
      <c r="S10" s="29" t="n">
        <v>1.25</v>
      </c>
      <c r="T10" s="24" t="inlineStr">
        <is>
          <t>wnba-spread-margin-v1</t>
        </is>
      </c>
      <c r="U10" s="24" t="inlineStr">
        <is>
          <t>settled</t>
        </is>
      </c>
      <c r="V10" s="24" t="inlineStr">
        <is>
          <t>win</t>
        </is>
      </c>
      <c r="W10" s="26" t="n">
        <v>88</v>
      </c>
      <c r="X10" s="26" t="n">
        <v>85</v>
      </c>
      <c r="Y10" s="25" t="n"/>
      <c r="Z10" s="26" t="n"/>
      <c r="AA10" s="28" t="n"/>
      <c r="AB10" s="28" t="n"/>
      <c r="AC10" s="30" t="n">
        <v>1.525</v>
      </c>
      <c r="AD10" s="24" t="inlineStr">
        <is>
          <t>2026-08-17T05:25:53.673493Z</t>
        </is>
      </c>
      <c r="AE10" s="31" t="inlineStr">
        <is>
          <t>Projected margin +1.3 (home), sd 10.5. Executable ask 0.4500 (asc-wnba-por-phx-2026-08-16-pos-3pt5).</t>
        </is>
      </c>
      <c r="AF10" s="31" t="inlineStr">
        <is>
          <t>Research-baseline margin-normal spread model; not yet locked-holdout qualified.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wnba-por</t>
        </is>
      </c>
      <c r="AQ10" s="24" t="inlineStr">
        <is>
          <t>Portland Fire</t>
        </is>
      </c>
      <c r="AR10" s="24" t="inlineStr">
        <is>
          <t>Portland Fire</t>
        </is>
      </c>
      <c r="AS10" s="24" t="inlineStr">
        <is>
          <t>wnba-phx</t>
        </is>
      </c>
      <c r="AT10" s="24" t="inlineStr">
        <is>
          <t>Phoenix Mercury</t>
        </is>
      </c>
      <c r="AU10" s="24" t="inlineStr">
        <is>
          <t>Phoenix Mercury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research</t>
        </is>
      </c>
      <c r="BA10" s="24" t="inlineStr">
        <is>
          <t>23ba88bcc86a710d76233b349116f2eefe021a993d2d3b9102922e567a027b4c</t>
        </is>
      </c>
      <c r="BB10" s="24" t="inlineStr">
        <is>
          <t>margin_normal</t>
        </is>
      </c>
      <c r="BC10" s="24" t="inlineStr">
        <is>
          <t>wnba-spread-margin-v1</t>
        </is>
      </c>
      <c r="BD10" s="24" t="inlineStr">
        <is>
          <t>23ba88bcc86a710d76233b349116f2eefe021a993d2d3b9102922e567a027b4c</t>
        </is>
      </c>
      <c r="BE10" s="24" t="inlineStr">
        <is>
          <t>wnba-spread-margin-v1</t>
        </is>
      </c>
      <c r="BF10" s="24" t="inlineStr">
        <is>
          <t>1</t>
        </is>
      </c>
      <c r="BG10" s="24" t="inlineStr">
        <is>
          <t>23ba88bcc86a710d76233b349116f2eefe021a993d2d3b9102922e567a027b4c</t>
        </is>
      </c>
      <c r="BH10" s="24" t="inlineStr">
        <is>
          <t>2026-08-16T17:44:09.495327+00:00</t>
        </is>
      </c>
      <c r="BI10" s="24" t="inlineStr">
        <is>
          <t>["same_event","same_team_same_day","same_league_same_day"]</t>
        </is>
      </c>
      <c r="BJ10" s="25" t="n">
        <v>3.5</v>
      </c>
      <c r="BK10" s="26" t="n">
        <v>122</v>
      </c>
      <c r="BL10" s="27" t="n">
        <v>2.22</v>
      </c>
      <c r="BM10" s="28" t="n">
        <v>0.45045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0.45045</t>
        </is>
      </c>
      <c r="DK10" s="24" t="n"/>
      <c r="DL10" s="24" t="n"/>
      <c r="DM10" s="24" t="n"/>
      <c r="DN10" s="24" t="n"/>
      <c r="DO10" s="24" t="n"/>
      <c r="DP10" s="24" t="n"/>
    </row>
    <row r="11" ht="36" customHeight="1">
      <c r="A11" s="24" t="inlineStr">
        <is>
          <t>5dbbb89cfb6843bd</t>
        </is>
      </c>
      <c r="B11" s="24" t="inlineStr">
        <is>
          <t>2026-08-18T22:12:45.315771Z</t>
        </is>
      </c>
      <c r="C11" s="24" t="inlineStr">
        <is>
          <t>2026-08-18T23:00Z</t>
        </is>
      </c>
      <c r="D11" s="24" t="inlineStr">
        <is>
          <t>401857152</t>
        </is>
      </c>
      <c r="E11" s="24" t="inlineStr">
        <is>
          <t>WNBA</t>
        </is>
      </c>
      <c r="F11" s="24" t="inlineStr">
        <is>
          <t>Los Angeles Sparks</t>
        </is>
      </c>
      <c r="G11" s="24" t="inlineStr">
        <is>
          <t>Connecticut Sun</t>
        </is>
      </c>
      <c r="H11" s="24" t="inlineStr">
        <is>
          <t>spread</t>
        </is>
      </c>
      <c r="I11" s="24" t="inlineStr">
        <is>
          <t>home</t>
        </is>
      </c>
      <c r="J11" s="25" t="n">
        <v>1.5</v>
      </c>
      <c r="K11" s="24" t="inlineStr">
        <is>
          <t>polymarket_us</t>
        </is>
      </c>
      <c r="L11" s="26" t="n">
        <v>-104</v>
      </c>
      <c r="M11" s="27" t="n">
        <v>1.961538</v>
      </c>
      <c r="N11" s="28" t="n">
        <v>0.509804</v>
      </c>
      <c r="O11" s="28" t="n">
        <v>0.580602</v>
      </c>
      <c r="P11" s="28" t="n">
        <v>0.03</v>
      </c>
      <c r="Q11" s="28" t="n">
        <v>0.070798</v>
      </c>
      <c r="R11" s="26" t="n">
        <v>67</v>
      </c>
      <c r="S11" s="29" t="n">
        <v>1.25</v>
      </c>
      <c r="T11" s="24" t="inlineStr">
        <is>
          <t>wnba-spread-margin-v1</t>
        </is>
      </c>
      <c r="U11" s="24" t="inlineStr">
        <is>
          <t>settled</t>
        </is>
      </c>
      <c r="V11" s="24" t="inlineStr">
        <is>
          <t>win</t>
        </is>
      </c>
      <c r="W11" s="26" t="n">
        <v>77</v>
      </c>
      <c r="X11" s="26" t="n">
        <v>85</v>
      </c>
      <c r="Y11" s="25" t="n"/>
      <c r="Z11" s="26" t="n"/>
      <c r="AA11" s="28" t="n"/>
      <c r="AB11" s="28" t="n"/>
      <c r="AC11" s="30" t="n">
        <v>1.2019</v>
      </c>
      <c r="AD11" s="24" t="inlineStr">
        <is>
          <t>2026-08-19T03:47:31.870006Z</t>
        </is>
      </c>
      <c r="AE11" s="31" t="inlineStr">
        <is>
          <t>Projected margin +0.6 (home), sd 10.5. Executable ask 0.5100 (asc-wnba-la-conn-2026-08-18-neg-1pt5).</t>
        </is>
      </c>
      <c r="AF11" s="31" t="inlineStr">
        <is>
          <t>Research-baseline margin-normal spread model; not yet locked-holdout qualified.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wnba-las</t>
        </is>
      </c>
      <c r="AQ11" s="24" t="inlineStr">
        <is>
          <t>Los Angeles Sparks</t>
        </is>
      </c>
      <c r="AR11" s="24" t="inlineStr">
        <is>
          <t>Los Angeles Sparks</t>
        </is>
      </c>
      <c r="AS11" s="24" t="inlineStr">
        <is>
          <t>wnba-con</t>
        </is>
      </c>
      <c r="AT11" s="24" t="inlineStr">
        <is>
          <t>Connecticut Sun</t>
        </is>
      </c>
      <c r="AU11" s="24" t="inlineStr">
        <is>
          <t>Connecticut Sun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research</t>
        </is>
      </c>
      <c r="BA11" s="24" t="inlineStr">
        <is>
          <t>23ba88bcc86a710d76233b349116f2eefe021a993d2d3b9102922e567a027b4c</t>
        </is>
      </c>
      <c r="BB11" s="24" t="inlineStr">
        <is>
          <t>margin_normal</t>
        </is>
      </c>
      <c r="BC11" s="24" t="inlineStr">
        <is>
          <t>wnba-spread-margin-v1</t>
        </is>
      </c>
      <c r="BD11" s="24" t="inlineStr">
        <is>
          <t>23ba88bcc86a710d76233b349116f2eefe021a993d2d3b9102922e567a027b4c</t>
        </is>
      </c>
      <c r="BE11" s="24" t="inlineStr">
        <is>
          <t>wnba-spread-margin-v1</t>
        </is>
      </c>
      <c r="BF11" s="24" t="inlineStr">
        <is>
          <t>1</t>
        </is>
      </c>
      <c r="BG11" s="24" t="inlineStr">
        <is>
          <t>23ba88bcc86a710d76233b349116f2eefe021a993d2d3b9102922e567a027b4c</t>
        </is>
      </c>
      <c r="BH11" s="24" t="inlineStr">
        <is>
          <t>2026-08-18T22:12:43.810324+00:00</t>
        </is>
      </c>
      <c r="BI11" s="24" t="inlineStr">
        <is>
          <t>["same_event","same_team_same_day","same_league_same_day"]</t>
        </is>
      </c>
      <c r="BJ11" s="25" t="n">
        <v>1.5</v>
      </c>
      <c r="BK11" s="26" t="n">
        <v>-104</v>
      </c>
      <c r="BL11" s="27" t="n">
        <v>1.961538</v>
      </c>
      <c r="BM11" s="28" t="n">
        <v>0.509804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0.509804</t>
        </is>
      </c>
      <c r="DK11" s="24" t="n"/>
      <c r="DL11" s="24" t="n"/>
      <c r="DM11" s="24" t="n"/>
      <c r="DN11" s="24" t="n"/>
      <c r="DO11" s="24" t="n"/>
      <c r="DP11" s="24" t="n"/>
    </row>
    <row r="12" ht="36" customHeight="1">
      <c r="A12" s="24" t="inlineStr">
        <is>
          <t>012a61c99eea482e</t>
        </is>
      </c>
      <c r="B12" s="24" t="inlineStr">
        <is>
          <t>2026-08-18T22:12:45.315771Z</t>
        </is>
      </c>
      <c r="C12" s="24" t="inlineStr">
        <is>
          <t>2026-08-18T23:00Z</t>
        </is>
      </c>
      <c r="D12" s="24" t="inlineStr">
        <is>
          <t>401857153</t>
        </is>
      </c>
      <c r="E12" s="24" t="inlineStr">
        <is>
          <t>WNBA</t>
        </is>
      </c>
      <c r="F12" s="24" t="inlineStr">
        <is>
          <t>Indiana Fever</t>
        </is>
      </c>
      <c r="G12" s="24" t="inlineStr">
        <is>
          <t>Toronto Tempo</t>
        </is>
      </c>
      <c r="H12" s="24" t="inlineStr">
        <is>
          <t>spread</t>
        </is>
      </c>
      <c r="I12" s="24" t="inlineStr">
        <is>
          <t>home</t>
        </is>
      </c>
      <c r="J12" s="25" t="n">
        <v>10.5</v>
      </c>
      <c r="K12" s="24" t="inlineStr">
        <is>
          <t>polymarket_us</t>
        </is>
      </c>
      <c r="L12" s="26" t="n">
        <v>-104</v>
      </c>
      <c r="M12" s="27" t="n">
        <v>1.961538</v>
      </c>
      <c r="N12" s="28" t="n">
        <v>0.509804</v>
      </c>
      <c r="O12" s="28" t="n">
        <v>0.726617</v>
      </c>
      <c r="P12" s="28" t="n">
        <v>0.03</v>
      </c>
      <c r="Q12" s="28" t="n">
        <v>0.216813</v>
      </c>
      <c r="R12" s="26" t="n">
        <v>100</v>
      </c>
      <c r="S12" s="29" t="n">
        <v>2</v>
      </c>
      <c r="T12" s="24" t="inlineStr">
        <is>
          <t>wnba-spread-margin-v1</t>
        </is>
      </c>
      <c r="U12" s="24" t="inlineStr">
        <is>
          <t>settled</t>
        </is>
      </c>
      <c r="V12" s="24" t="inlineStr">
        <is>
          <t>win</t>
        </is>
      </c>
      <c r="W12" s="26" t="n">
        <v>101</v>
      </c>
      <c r="X12" s="26" t="n">
        <v>95</v>
      </c>
      <c r="Y12" s="25" t="n"/>
      <c r="Z12" s="26" t="n"/>
      <c r="AA12" s="28" t="n"/>
      <c r="AB12" s="28" t="n"/>
      <c r="AC12" s="30" t="n">
        <v>1.9231</v>
      </c>
      <c r="AD12" s="24" t="inlineStr">
        <is>
          <t>2026-08-19T03:47:32.466974Z</t>
        </is>
      </c>
      <c r="AE12" s="31" t="inlineStr">
        <is>
          <t>Projected margin -4.2 (home), sd 10.5. Executable ask 0.5100 (asc-wnba-ind-tor-2026-08-18-neg-10pt5).</t>
        </is>
      </c>
      <c r="AF12" s="31" t="inlineStr">
        <is>
          <t>Research-baseline margin-normal spread model; not yet locked-holdout qualified.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wnba-ind</t>
        </is>
      </c>
      <c r="AQ12" s="24" t="inlineStr">
        <is>
          <t>Indiana Fever</t>
        </is>
      </c>
      <c r="AR12" s="24" t="inlineStr">
        <is>
          <t>Indiana Fever</t>
        </is>
      </c>
      <c r="AS12" s="24" t="inlineStr">
        <is>
          <t>wnba-tor</t>
        </is>
      </c>
      <c r="AT12" s="24" t="inlineStr">
        <is>
          <t>Toronto Tempo</t>
        </is>
      </c>
      <c r="AU12" s="24" t="inlineStr">
        <is>
          <t>Toronto Tempo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research</t>
        </is>
      </c>
      <c r="BA12" s="24" t="inlineStr">
        <is>
          <t>23ba88bcc86a710d76233b349116f2eefe021a993d2d3b9102922e567a027b4c</t>
        </is>
      </c>
      <c r="BB12" s="24" t="inlineStr">
        <is>
          <t>margin_normal</t>
        </is>
      </c>
      <c r="BC12" s="24" t="inlineStr">
        <is>
          <t>wnba-spread-margin-v1</t>
        </is>
      </c>
      <c r="BD12" s="24" t="inlineStr">
        <is>
          <t>23ba88bcc86a710d76233b349116f2eefe021a993d2d3b9102922e567a027b4c</t>
        </is>
      </c>
      <c r="BE12" s="24" t="inlineStr">
        <is>
          <t>wnba-spread-margin-v1</t>
        </is>
      </c>
      <c r="BF12" s="24" t="inlineStr">
        <is>
          <t>1</t>
        </is>
      </c>
      <c r="BG12" s="24" t="inlineStr">
        <is>
          <t>23ba88bcc86a710d76233b349116f2eefe021a993d2d3b9102922e567a027b4c</t>
        </is>
      </c>
      <c r="BH12" s="24" t="inlineStr">
        <is>
          <t>2026-08-18T22:12:43.810324+00:00</t>
        </is>
      </c>
      <c r="BI12" s="24" t="inlineStr">
        <is>
          <t>["same_event","same_team_same_day","same_league_same_day"]</t>
        </is>
      </c>
      <c r="BJ12" s="25" t="n">
        <v>10.5</v>
      </c>
      <c r="BK12" s="26" t="n">
        <v>-104</v>
      </c>
      <c r="BL12" s="27" t="n">
        <v>1.961538</v>
      </c>
      <c r="BM12" s="28" t="n">
        <v>0.509804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0.509804</t>
        </is>
      </c>
      <c r="DK12" s="24" t="n"/>
      <c r="DL12" s="24" t="n"/>
      <c r="DM12" s="24" t="n"/>
      <c r="DN12" s="24" t="n"/>
      <c r="DO12" s="24" t="n"/>
      <c r="DP12" s="24" t="n"/>
    </row>
    <row r="13" ht="36" customHeight="1">
      <c r="A13" s="24" t="inlineStr">
        <is>
          <t>201ef8c1e1c14b17</t>
        </is>
      </c>
      <c r="B13" s="24" t="inlineStr">
        <is>
          <t>2026-08-19T00:44:06.395371Z</t>
        </is>
      </c>
      <c r="C13" s="24" t="inlineStr">
        <is>
          <t>2026-08-19T01:00Z</t>
        </is>
      </c>
      <c r="D13" s="24" t="inlineStr">
        <is>
          <t>401857154</t>
        </is>
      </c>
      <c r="E13" s="24" t="inlineStr">
        <is>
          <t>WNBA</t>
        </is>
      </c>
      <c r="F13" s="24" t="inlineStr">
        <is>
          <t>New York Liberty</t>
        </is>
      </c>
      <c r="G13" s="24" t="inlineStr">
        <is>
          <t>Chicago Sky</t>
        </is>
      </c>
      <c r="H13" s="24" t="inlineStr">
        <is>
          <t>spread</t>
        </is>
      </c>
      <c r="I13" s="24" t="inlineStr">
        <is>
          <t>home</t>
        </is>
      </c>
      <c r="J13" s="25" t="n">
        <v>8.5</v>
      </c>
      <c r="K13" s="24" t="inlineStr">
        <is>
          <t>polymarket_us</t>
        </is>
      </c>
      <c r="L13" s="26" t="n">
        <v>-257</v>
      </c>
      <c r="M13" s="27" t="n">
        <v>1.389105</v>
      </c>
      <c r="N13" s="28" t="n">
        <v>0.719888</v>
      </c>
      <c r="O13" s="28" t="n">
        <v>0.769991</v>
      </c>
      <c r="P13" s="28" t="n">
        <v>0.03</v>
      </c>
      <c r="Q13" s="28" t="n">
        <v>0.050103</v>
      </c>
      <c r="R13" s="26" t="n">
        <v>57</v>
      </c>
      <c r="S13" s="29" t="n">
        <v>2</v>
      </c>
      <c r="T13" s="24" t="inlineStr">
        <is>
          <t>wnba-spread-margin-v1</t>
        </is>
      </c>
      <c r="U13" s="24" t="inlineStr">
        <is>
          <t>settled</t>
        </is>
      </c>
      <c r="V13" s="24" t="inlineStr">
        <is>
          <t>win</t>
        </is>
      </c>
      <c r="W13" s="26" t="n">
        <v>86</v>
      </c>
      <c r="X13" s="26" t="n">
        <v>93</v>
      </c>
      <c r="Y13" s="25" t="n"/>
      <c r="Z13" s="26" t="n"/>
      <c r="AA13" s="28" t="n"/>
      <c r="AB13" s="28" t="n"/>
      <c r="AC13" s="30" t="n">
        <v>0.7782</v>
      </c>
      <c r="AD13" s="24" t="inlineStr">
        <is>
          <t>2026-08-19T03:47:34.380651Z</t>
        </is>
      </c>
      <c r="AE13" s="31" t="inlineStr">
        <is>
          <t>Projected margin -0.7 (home), sd 10.5. Executable ask 0.7200 (asc-wnba-ny-chi-2026-08-18-neg-8pt5).</t>
        </is>
      </c>
      <c r="AF13" s="31" t="inlineStr">
        <is>
          <t>Research-baseline margin-normal spread model; not yet locked-holdout qualified.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wnba-nyl</t>
        </is>
      </c>
      <c r="AQ13" s="24" t="inlineStr">
        <is>
          <t>New York Liberty</t>
        </is>
      </c>
      <c r="AR13" s="24" t="inlineStr">
        <is>
          <t>New York Liberty</t>
        </is>
      </c>
      <c r="AS13" s="24" t="inlineStr">
        <is>
          <t>wnba-chi</t>
        </is>
      </c>
      <c r="AT13" s="24" t="inlineStr">
        <is>
          <t>Chicago Sky</t>
        </is>
      </c>
      <c r="AU13" s="24" t="inlineStr">
        <is>
          <t>Chicago Sky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research</t>
        </is>
      </c>
      <c r="BA13" s="24" t="inlineStr">
        <is>
          <t>23ba88bcc86a710d76233b349116f2eefe021a993d2d3b9102922e567a027b4c</t>
        </is>
      </c>
      <c r="BB13" s="24" t="inlineStr">
        <is>
          <t>margin_normal</t>
        </is>
      </c>
      <c r="BC13" s="24" t="inlineStr">
        <is>
          <t>wnba-spread-margin-v1</t>
        </is>
      </c>
      <c r="BD13" s="24" t="inlineStr">
        <is>
          <t>23ba88bcc86a710d76233b349116f2eefe021a993d2d3b9102922e567a027b4c</t>
        </is>
      </c>
      <c r="BE13" s="24" t="inlineStr">
        <is>
          <t>wnba-spread-margin-v1</t>
        </is>
      </c>
      <c r="BF13" s="24" t="inlineStr">
        <is>
          <t>1</t>
        </is>
      </c>
      <c r="BG13" s="24" t="inlineStr">
        <is>
          <t>23ba88bcc86a710d76233b349116f2eefe021a993d2d3b9102922e567a027b4c</t>
        </is>
      </c>
      <c r="BH13" s="24" t="inlineStr">
        <is>
          <t>2026-08-19T00:44:05.823477+00:00</t>
        </is>
      </c>
      <c r="BI13" s="24" t="inlineStr">
        <is>
          <t>["same_event","same_team_same_day","same_league_same_day"]</t>
        </is>
      </c>
      <c r="BJ13" s="25" t="n">
        <v>8.5</v>
      </c>
      <c r="BK13" s="26" t="n">
        <v>-257</v>
      </c>
      <c r="BL13" s="27" t="n">
        <v>1.389105</v>
      </c>
      <c r="BM13" s="28" t="n">
        <v>0.719888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0.719888</t>
        </is>
      </c>
      <c r="DK13" s="24" t="n"/>
      <c r="DL13" s="24" t="n"/>
      <c r="DM13" s="24" t="n"/>
      <c r="DN13" s="24" t="n"/>
      <c r="DO13" s="24" t="n"/>
      <c r="DP13" s="24" t="n"/>
    </row>
    <row r="14" ht="36" customHeight="1">
      <c r="A14" s="24" t="inlineStr">
        <is>
          <t>7965a6426ad64d6c</t>
        </is>
      </c>
      <c r="B14" s="24" t="inlineStr">
        <is>
          <t>2026-08-19T00:44:06.395371Z</t>
        </is>
      </c>
      <c r="C14" s="24" t="inlineStr">
        <is>
          <t>2026-08-19T01:00Z</t>
        </is>
      </c>
      <c r="D14" s="24" t="inlineStr">
        <is>
          <t>401857155</t>
        </is>
      </c>
      <c r="E14" s="24" t="inlineStr">
        <is>
          <t>WNBA</t>
        </is>
      </c>
      <c r="F14" s="24" t="inlineStr">
        <is>
          <t>Atlanta Dream</t>
        </is>
      </c>
      <c r="G14" s="24" t="inlineStr">
        <is>
          <t>Las Vegas Aces</t>
        </is>
      </c>
      <c r="H14" s="24" t="inlineStr">
        <is>
          <t>spread</t>
        </is>
      </c>
      <c r="I14" s="24" t="inlineStr">
        <is>
          <t>home</t>
        </is>
      </c>
      <c r="J14" s="25" t="n">
        <v>-1.5</v>
      </c>
      <c r="K14" s="24" t="inlineStr">
        <is>
          <t>polymarket_us</t>
        </is>
      </c>
      <c r="L14" s="26" t="n">
        <v>-133</v>
      </c>
      <c r="M14" s="27" t="n">
        <v>1.75188</v>
      </c>
      <c r="N14" s="28" t="n">
        <v>0.570815</v>
      </c>
      <c r="O14" s="28" t="n">
        <v>0.505279</v>
      </c>
      <c r="P14" s="28" t="n">
        <v>0.03</v>
      </c>
      <c r="Q14" s="28" t="n">
        <v>-0.065536</v>
      </c>
      <c r="R14" s="26" t="n">
        <v>0</v>
      </c>
      <c r="S14" s="29" t="n">
        <v>1</v>
      </c>
      <c r="T14" s="24" t="inlineStr">
        <is>
          <t>wnba-spread-margin-v1</t>
        </is>
      </c>
      <c r="U14" s="24" t="inlineStr">
        <is>
          <t>settled</t>
        </is>
      </c>
      <c r="V14" s="24" t="inlineStr">
        <is>
          <t>loss</t>
        </is>
      </c>
      <c r="W14" s="26" t="n">
        <v>97</v>
      </c>
      <c r="X14" s="26" t="n">
        <v>82</v>
      </c>
      <c r="Y14" s="25" t="n"/>
      <c r="Z14" s="26" t="n"/>
      <c r="AA14" s="28" t="n"/>
      <c r="AB14" s="28" t="n"/>
      <c r="AC14" s="30" t="n">
        <v>-1</v>
      </c>
      <c r="AD14" s="24" t="inlineStr">
        <is>
          <t>2026-08-19T03:47:34.978071Z</t>
        </is>
      </c>
      <c r="AE14" s="31" t="inlineStr">
        <is>
          <t>Projected margin +1.6 (home), sd 10.5. Executable ask 0.5700 (asc-wnba-atl-lv-2026-08-18-pos-1pt5).</t>
        </is>
      </c>
      <c r="AF14" s="31" t="inlineStr">
        <is>
          <t>Research-baseline margin-normal spread model; not yet locked-holdout qualified.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wnba-atl</t>
        </is>
      </c>
      <c r="AQ14" s="24" t="inlineStr">
        <is>
          <t>Atlanta Dream</t>
        </is>
      </c>
      <c r="AR14" s="24" t="inlineStr">
        <is>
          <t>Atlanta Dream</t>
        </is>
      </c>
      <c r="AS14" s="24" t="inlineStr">
        <is>
          <t>wnba-lva</t>
        </is>
      </c>
      <c r="AT14" s="24" t="inlineStr">
        <is>
          <t>Las Vegas Aces</t>
        </is>
      </c>
      <c r="AU14" s="24" t="inlineStr">
        <is>
          <t>Las Vegas Aces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research</t>
        </is>
      </c>
      <c r="BA14" s="24" t="inlineStr">
        <is>
          <t>23ba88bcc86a710d76233b349116f2eefe021a993d2d3b9102922e567a027b4c</t>
        </is>
      </c>
      <c r="BB14" s="24" t="inlineStr">
        <is>
          <t>margin_normal</t>
        </is>
      </c>
      <c r="BC14" s="24" t="inlineStr">
        <is>
          <t>wnba-spread-margin-v1</t>
        </is>
      </c>
      <c r="BD14" s="24" t="inlineStr">
        <is>
          <t>23ba88bcc86a710d76233b349116f2eefe021a993d2d3b9102922e567a027b4c</t>
        </is>
      </c>
      <c r="BE14" s="24" t="inlineStr">
        <is>
          <t>wnba-spread-margin-v1</t>
        </is>
      </c>
      <c r="BF14" s="24" t="inlineStr">
        <is>
          <t>1</t>
        </is>
      </c>
      <c r="BG14" s="24" t="inlineStr">
        <is>
          <t>23ba88bcc86a710d76233b349116f2eefe021a993d2d3b9102922e567a027b4c</t>
        </is>
      </c>
      <c r="BH14" s="24" t="inlineStr">
        <is>
          <t>2026-08-19T00:44:05.823477+00:00</t>
        </is>
      </c>
      <c r="BI14" s="24" t="inlineStr">
        <is>
          <t>["same_event","same_team_same_day","same_league_same_day"]</t>
        </is>
      </c>
      <c r="BJ14" s="25" t="n">
        <v>-1.5</v>
      </c>
      <c r="BK14" s="26" t="n">
        <v>-133</v>
      </c>
      <c r="BL14" s="27" t="n">
        <v>1.75188</v>
      </c>
      <c r="BM14" s="28" t="n">
        <v>0.570815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False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0.570815</t>
        </is>
      </c>
      <c r="DK14" s="24" t="n"/>
      <c r="DL14" s="24" t="n"/>
      <c r="DM14" s="24" t="n"/>
      <c r="DN14" s="24" t="n"/>
      <c r="DO14" s="24" t="n"/>
      <c r="DP14" s="24" t="n"/>
    </row>
    <row r="15" ht="36" customHeight="1">
      <c r="A15" s="24" t="inlineStr">
        <is>
          <t>6e5f168a43b249d6</t>
        </is>
      </c>
      <c r="B15" s="24" t="inlineStr">
        <is>
          <t>2026-08-19T23:07:14.241250Z</t>
        </is>
      </c>
      <c r="C15" s="24" t="inlineStr">
        <is>
          <t>2026-08-19T23:30Z</t>
        </is>
      </c>
      <c r="D15" s="24" t="inlineStr">
        <is>
          <t>401857156</t>
        </is>
      </c>
      <c r="E15" s="24" t="inlineStr">
        <is>
          <t>WNBA</t>
        </is>
      </c>
      <c r="F15" s="24" t="inlineStr">
        <is>
          <t>Toronto Tempo</t>
        </is>
      </c>
      <c r="G15" s="24" t="inlineStr">
        <is>
          <t>Washington Mystics</t>
        </is>
      </c>
      <c r="H15" s="24" t="inlineStr">
        <is>
          <t>spread</t>
        </is>
      </c>
      <c r="I15" s="24" t="inlineStr">
        <is>
          <t>away</t>
        </is>
      </c>
      <c r="J15" s="25" t="n">
        <v>10.5</v>
      </c>
      <c r="K15" s="24" t="inlineStr">
        <is>
          <t>polymarket_us</t>
        </is>
      </c>
      <c r="L15" s="26" t="n">
        <v>100</v>
      </c>
      <c r="M15" s="27" t="n">
        <v>2</v>
      </c>
      <c r="N15" s="28" t="n">
        <v>0.5</v>
      </c>
      <c r="O15" s="28" t="n">
        <v>0.6860810000000001</v>
      </c>
      <c r="P15" s="28" t="n">
        <v>0.03</v>
      </c>
      <c r="Q15" s="28" t="n">
        <v>0.186081</v>
      </c>
      <c r="R15" s="26" t="n">
        <v>100</v>
      </c>
      <c r="S15" s="29" t="n">
        <v>2</v>
      </c>
      <c r="T15" s="24" t="inlineStr">
        <is>
          <t>wnba-spread-margin-v1</t>
        </is>
      </c>
      <c r="U15" s="24" t="inlineStr">
        <is>
          <t>settled</t>
        </is>
      </c>
      <c r="V15" s="24" t="inlineStr">
        <is>
          <t>loss</t>
        </is>
      </c>
      <c r="W15" s="26" t="n">
        <v>82</v>
      </c>
      <c r="X15" s="26" t="n">
        <v>93</v>
      </c>
      <c r="Y15" s="25" t="n"/>
      <c r="Z15" s="26" t="n"/>
      <c r="AA15" s="28" t="n"/>
      <c r="AB15" s="28" t="n"/>
      <c r="AC15" s="30" t="n">
        <v>-2</v>
      </c>
      <c r="AD15" s="24" t="inlineStr">
        <is>
          <t>2026-08-20T02:29:37.997093Z</t>
        </is>
      </c>
      <c r="AE15" s="31" t="inlineStr">
        <is>
          <t>Projected margin +5.4 (home), sd 10.5. Executable ask 0.5000 (asc-wnba-tor-wsh-2026-08-19-pos-10pt5).</t>
        </is>
      </c>
      <c r="AF15" s="31" t="inlineStr">
        <is>
          <t>Research-baseline margin-normal spread model; not yet locked-holdout qualified.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wnba-tor</t>
        </is>
      </c>
      <c r="AQ15" s="24" t="inlineStr">
        <is>
          <t>Toronto Tempo</t>
        </is>
      </c>
      <c r="AR15" s="24" t="inlineStr">
        <is>
          <t>Toronto Tempo</t>
        </is>
      </c>
      <c r="AS15" s="24" t="inlineStr">
        <is>
          <t>wnba-was</t>
        </is>
      </c>
      <c r="AT15" s="24" t="inlineStr">
        <is>
          <t>Washington Mystics</t>
        </is>
      </c>
      <c r="AU15" s="24" t="inlineStr">
        <is>
          <t>Washington Mystics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research</t>
        </is>
      </c>
      <c r="BA15" s="24" t="inlineStr">
        <is>
          <t>23ba88bcc86a710d76233b349116f2eefe021a993d2d3b9102922e567a027b4c</t>
        </is>
      </c>
      <c r="BB15" s="24" t="inlineStr">
        <is>
          <t>margin_normal</t>
        </is>
      </c>
      <c r="BC15" s="24" t="inlineStr">
        <is>
          <t>wnba-spread-margin-v1</t>
        </is>
      </c>
      <c r="BD15" s="24" t="inlineStr">
        <is>
          <t>23ba88bcc86a710d76233b349116f2eefe021a993d2d3b9102922e567a027b4c</t>
        </is>
      </c>
      <c r="BE15" s="24" t="inlineStr">
        <is>
          <t>wnba-spread-margin-v1</t>
        </is>
      </c>
      <c r="BF15" s="24" t="inlineStr">
        <is>
          <t>1</t>
        </is>
      </c>
      <c r="BG15" s="24" t="inlineStr">
        <is>
          <t>23ba88bcc86a710d76233b349116f2eefe021a993d2d3b9102922e567a027b4c</t>
        </is>
      </c>
      <c r="BH15" s="24" t="inlineStr">
        <is>
          <t>2026-08-19T23:07:12.540564+00:00</t>
        </is>
      </c>
      <c r="BI15" s="24" t="inlineStr">
        <is>
          <t>["same_event","same_team_same_day","same_league_same_day"]</t>
        </is>
      </c>
      <c r="BJ15" s="25" t="n">
        <v>10.5</v>
      </c>
      <c r="BK15" s="26" t="n">
        <v>100</v>
      </c>
      <c r="BL15" s="27" t="n">
        <v>2</v>
      </c>
      <c r="BM15" s="28" t="n">
        <v>0.5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0.5</t>
        </is>
      </c>
      <c r="DK15" s="24" t="n"/>
      <c r="DL15" s="24" t="n"/>
      <c r="DM15" s="24" t="n"/>
      <c r="DN15" s="24" t="n"/>
      <c r="DO15" s="24" t="n"/>
      <c r="DP15" s="24" t="n"/>
    </row>
    <row r="16" ht="36" customHeight="1">
      <c r="A16" s="24" t="inlineStr">
        <is>
          <t>a9c035e6bf2d4e70</t>
        </is>
      </c>
      <c r="B16" s="24" t="inlineStr">
        <is>
          <t>2026-08-19T23:07:14.241250Z</t>
        </is>
      </c>
      <c r="C16" s="24" t="inlineStr">
        <is>
          <t>2026-08-20T02:00Z</t>
        </is>
      </c>
      <c r="D16" s="24" t="inlineStr">
        <is>
          <t>401857157</t>
        </is>
      </c>
      <c r="E16" s="24" t="inlineStr">
        <is>
          <t>WNBA</t>
        </is>
      </c>
      <c r="F16" s="24" t="inlineStr">
        <is>
          <t>Minnesota Lynx</t>
        </is>
      </c>
      <c r="G16" s="24" t="inlineStr">
        <is>
          <t>Golden State Valkyries</t>
        </is>
      </c>
      <c r="H16" s="24" t="inlineStr">
        <is>
          <t>spread</t>
        </is>
      </c>
      <c r="I16" s="24" t="inlineStr">
        <is>
          <t>home</t>
        </is>
      </c>
      <c r="J16" s="25" t="n">
        <v>4.5</v>
      </c>
      <c r="K16" s="24" t="inlineStr">
        <is>
          <t>polymarket_us</t>
        </is>
      </c>
      <c r="L16" s="26" t="n">
        <v>-163</v>
      </c>
      <c r="M16" s="27" t="n">
        <v>1.613497</v>
      </c>
      <c r="N16" s="28" t="n">
        <v>0.619772</v>
      </c>
      <c r="O16" s="28" t="n">
        <v>0.720288</v>
      </c>
      <c r="P16" s="28" t="n">
        <v>0.03</v>
      </c>
      <c r="Q16" s="28" t="n">
        <v>0.100516</v>
      </c>
      <c r="R16" s="26" t="n">
        <v>82</v>
      </c>
      <c r="S16" s="29" t="n">
        <v>2</v>
      </c>
      <c r="T16" s="24" t="inlineStr">
        <is>
          <t>wnba-spread-margin-v1</t>
        </is>
      </c>
      <c r="U16" s="24" t="inlineStr">
        <is>
          <t>settled</t>
        </is>
      </c>
      <c r="V16" s="24" t="inlineStr">
        <is>
          <t>loss</t>
        </is>
      </c>
      <c r="W16" s="26" t="n">
        <v>77</v>
      </c>
      <c r="X16" s="26" t="n">
        <v>66</v>
      </c>
      <c r="Y16" s="25" t="n"/>
      <c r="Z16" s="26" t="n"/>
      <c r="AA16" s="28" t="n"/>
      <c r="AB16" s="28" t="n"/>
      <c r="AC16" s="30" t="n">
        <v>-2</v>
      </c>
      <c r="AD16" s="24" t="inlineStr">
        <is>
          <t>2026-08-20T05:33:48.184234Z</t>
        </is>
      </c>
      <c r="AE16" s="31" t="inlineStr">
        <is>
          <t>Projected margin +1.6 (home), sd 10.5. Executable ask 0.6200 (asc-wnba-min-gsv-2026-08-19-neg-4pt5).</t>
        </is>
      </c>
      <c r="AF16" s="31" t="inlineStr">
        <is>
          <t>Research-baseline margin-normal spread model; not yet locked-holdout qualified.</t>
        </is>
      </c>
      <c r="AG16" s="24" t="inlineStr">
        <is>
          <t>review_required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wnba-min</t>
        </is>
      </c>
      <c r="AQ16" s="24" t="inlineStr">
        <is>
          <t>Minnesota Lynx</t>
        </is>
      </c>
      <c r="AR16" s="24" t="inlineStr">
        <is>
          <t>Minnesota Lynx</t>
        </is>
      </c>
      <c r="AS16" s="24" t="inlineStr">
        <is>
          <t>wnba-gsv</t>
        </is>
      </c>
      <c r="AT16" s="24" t="inlineStr">
        <is>
          <t>Golden State Valkyries</t>
        </is>
      </c>
      <c r="AU16" s="24" t="inlineStr">
        <is>
          <t>Golden State Valkyries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research</t>
        </is>
      </c>
      <c r="BA16" s="24" t="inlineStr">
        <is>
          <t>23ba88bcc86a710d76233b349116f2eefe021a993d2d3b9102922e567a027b4c</t>
        </is>
      </c>
      <c r="BB16" s="24" t="inlineStr">
        <is>
          <t>margin_normal</t>
        </is>
      </c>
      <c r="BC16" s="24" t="inlineStr">
        <is>
          <t>wnba-spread-margin-v1</t>
        </is>
      </c>
      <c r="BD16" s="24" t="inlineStr">
        <is>
          <t>23ba88bcc86a710d76233b349116f2eefe021a993d2d3b9102922e567a027b4c</t>
        </is>
      </c>
      <c r="BE16" s="24" t="inlineStr">
        <is>
          <t>wnba-spread-margin-v1</t>
        </is>
      </c>
      <c r="BF16" s="24" t="inlineStr">
        <is>
          <t>1</t>
        </is>
      </c>
      <c r="BG16" s="24" t="inlineStr">
        <is>
          <t>23ba88bcc86a710d76233b349116f2eefe021a993d2d3b9102922e567a027b4c</t>
        </is>
      </c>
      <c r="BH16" s="24" t="inlineStr">
        <is>
          <t>2026-08-19T23:07:12.540564+00:00</t>
        </is>
      </c>
      <c r="BI16" s="24" t="inlineStr">
        <is>
          <t>["same_event","same_team_same_day","same_league_same_day"]</t>
        </is>
      </c>
      <c r="BJ16" s="25" t="n">
        <v>4.5</v>
      </c>
      <c r="BK16" s="26" t="n">
        <v>-163</v>
      </c>
      <c r="BL16" s="27" t="n">
        <v>1.613497</v>
      </c>
      <c r="BM16" s="28" t="n">
        <v>0.619772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0.619772</t>
        </is>
      </c>
      <c r="DK16" s="24" t="n"/>
      <c r="DL16" s="24" t="n"/>
      <c r="DM16" s="24" t="n"/>
      <c r="DN16" s="24" t="n"/>
      <c r="DO16" s="24" t="n"/>
      <c r="DP16" s="24" t="n"/>
    </row>
    <row r="17" ht="36" customHeight="1">
      <c r="A17" s="24" t="inlineStr">
        <is>
          <t>e83ce71c042d4059</t>
        </is>
      </c>
      <c r="B17" s="24" t="inlineStr">
        <is>
          <t>2026-08-20T22:23:19.351424Z</t>
        </is>
      </c>
      <c r="C17" s="24" t="inlineStr">
        <is>
          <t>2026-08-21T00:00Z</t>
        </is>
      </c>
      <c r="D17" s="24" t="inlineStr">
        <is>
          <t>401857158</t>
        </is>
      </c>
      <c r="E17" s="24" t="inlineStr">
        <is>
          <t>WNBA</t>
        </is>
      </c>
      <c r="F17" s="24" t="inlineStr">
        <is>
          <t>Indiana Fever</t>
        </is>
      </c>
      <c r="G17" s="24" t="inlineStr">
        <is>
          <t>Dallas Wings</t>
        </is>
      </c>
      <c r="H17" s="24" t="inlineStr">
        <is>
          <t>spread</t>
        </is>
      </c>
      <c r="I17" s="24" t="inlineStr">
        <is>
          <t>home</t>
        </is>
      </c>
      <c r="J17" s="25" t="n">
        <v>4.5</v>
      </c>
      <c r="K17" s="24" t="inlineStr">
        <is>
          <t>polymarket_us</t>
        </is>
      </c>
      <c r="L17" s="26" t="n">
        <v>-117</v>
      </c>
      <c r="M17" s="27" t="n">
        <v>1.854701</v>
      </c>
      <c r="N17" s="28" t="n">
        <v>0.539171</v>
      </c>
      <c r="O17" s="28" t="n">
        <v>0.639384</v>
      </c>
      <c r="P17" s="28" t="n">
        <v>0.03</v>
      </c>
      <c r="Q17" s="28" t="n">
        <v>0.100213</v>
      </c>
      <c r="R17" s="26" t="n">
        <v>82</v>
      </c>
      <c r="S17" s="29" t="n">
        <v>1.75</v>
      </c>
      <c r="T17" s="24" t="inlineStr">
        <is>
          <t>wnba-spread-margin-v1</t>
        </is>
      </c>
      <c r="U17" s="24" t="inlineStr">
        <is>
          <t>settled</t>
        </is>
      </c>
      <c r="V17" s="24" t="inlineStr">
        <is>
          <t>win</t>
        </is>
      </c>
      <c r="W17" s="26" t="n">
        <v>85</v>
      </c>
      <c r="X17" s="26" t="n">
        <v>91</v>
      </c>
      <c r="Y17" s="25" t="n"/>
      <c r="Z17" s="26" t="n"/>
      <c r="AA17" s="28" t="n"/>
      <c r="AB17" s="28" t="n"/>
      <c r="AC17" s="30" t="n">
        <v>1.4957</v>
      </c>
      <c r="AD17" s="24" t="inlineStr">
        <is>
          <t>2026-08-21T04:29:12.931168Z</t>
        </is>
      </c>
      <c r="AE17" s="31" t="inlineStr">
        <is>
          <t>Projected margin -0.8 (home), sd 10.5. Executable ask 0.5400 (asc-wnba-ind-dal-2026-08-20-neg-4pt5).</t>
        </is>
      </c>
      <c r="AF17" s="31" t="inlineStr">
        <is>
          <t>Research-baseline margin-normal spread model; not yet locked-holdout qualified.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4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wnba-ind</t>
        </is>
      </c>
      <c r="AQ17" s="24" t="inlineStr">
        <is>
          <t>Indiana Fever</t>
        </is>
      </c>
      <c r="AR17" s="24" t="inlineStr">
        <is>
          <t>Indiana Fever</t>
        </is>
      </c>
      <c r="AS17" s="24" t="inlineStr">
        <is>
          <t>wnba-dal</t>
        </is>
      </c>
      <c r="AT17" s="24" t="inlineStr">
        <is>
          <t>Dallas Wings</t>
        </is>
      </c>
      <c r="AU17" s="24" t="inlineStr">
        <is>
          <t>Dallas Wings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research</t>
        </is>
      </c>
      <c r="BA17" s="24" t="inlineStr">
        <is>
          <t>23ba88bcc86a710d76233b349116f2eefe021a993d2d3b9102922e567a027b4c</t>
        </is>
      </c>
      <c r="BB17" s="24" t="inlineStr">
        <is>
          <t>margin_normal</t>
        </is>
      </c>
      <c r="BC17" s="24" t="inlineStr">
        <is>
          <t>wnba-spread-margin-v1</t>
        </is>
      </c>
      <c r="BD17" s="24" t="inlineStr">
        <is>
          <t>23ba88bcc86a710d76233b349116f2eefe021a993d2d3b9102922e567a027b4c</t>
        </is>
      </c>
      <c r="BE17" s="24" t="inlineStr">
        <is>
          <t>wnba-spread-margin-v1</t>
        </is>
      </c>
      <c r="BF17" s="24" t="inlineStr">
        <is>
          <t>1</t>
        </is>
      </c>
      <c r="BG17" s="24" t="inlineStr">
        <is>
          <t>23ba88bcc86a710d76233b349116f2eefe021a993d2d3b9102922e567a027b4c</t>
        </is>
      </c>
      <c r="BH17" s="24" t="inlineStr">
        <is>
          <t>2026-08-20T22:23:17.091789+00:00</t>
        </is>
      </c>
      <c r="BI17" s="24" t="inlineStr">
        <is>
          <t>["same_event","same_team_same_day","same_league_same_day"]</t>
        </is>
      </c>
      <c r="BJ17" s="25" t="n">
        <v>4.5</v>
      </c>
      <c r="BK17" s="26" t="n">
        <v>-117</v>
      </c>
      <c r="BL17" s="27" t="n">
        <v>1.854701</v>
      </c>
      <c r="BM17" s="28" t="n">
        <v>0.539171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True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0.539171</t>
        </is>
      </c>
      <c r="DK17" s="24" t="n"/>
      <c r="DL17" s="24" t="n"/>
      <c r="DM17" s="24" t="n"/>
      <c r="DN17" s="24" t="n"/>
      <c r="DO17" s="24" t="n"/>
      <c r="DP17" s="24" t="n"/>
    </row>
    <row r="18" ht="36" customHeight="1">
      <c r="A18" s="24" t="inlineStr">
        <is>
          <t>354300f26b644876</t>
        </is>
      </c>
      <c r="B18" s="24" t="inlineStr">
        <is>
          <t>2026-08-21T01:26:35.986424Z</t>
        </is>
      </c>
      <c r="C18" s="24" t="inlineStr">
        <is>
          <t>2026-08-21T02:00Z</t>
        </is>
      </c>
      <c r="D18" s="24" t="inlineStr">
        <is>
          <t>401857159</t>
        </is>
      </c>
      <c r="E18" s="24" t="inlineStr">
        <is>
          <t>WNBA</t>
        </is>
      </c>
      <c r="F18" s="24" t="inlineStr">
        <is>
          <t>Connecticut Sun</t>
        </is>
      </c>
      <c r="G18" s="24" t="inlineStr">
        <is>
          <t>Las Vegas Aces</t>
        </is>
      </c>
      <c r="H18" s="24" t="inlineStr">
        <is>
          <t>spread</t>
        </is>
      </c>
      <c r="I18" s="24" t="inlineStr">
        <is>
          <t>away</t>
        </is>
      </c>
      <c r="J18" s="25" t="n">
        <v>14.5</v>
      </c>
      <c r="K18" s="24" t="inlineStr">
        <is>
          <t>polymarket_us</t>
        </is>
      </c>
      <c r="L18" s="26" t="n">
        <v>-104</v>
      </c>
      <c r="M18" s="27" t="n">
        <v>1.961538</v>
      </c>
      <c r="N18" s="28" t="n">
        <v>0.509804</v>
      </c>
      <c r="O18" s="28" t="n">
        <v>0.797995</v>
      </c>
      <c r="P18" s="28" t="n">
        <v>0.03</v>
      </c>
      <c r="Q18" s="28" t="n">
        <v>0.288191</v>
      </c>
      <c r="R18" s="26" t="n">
        <v>100</v>
      </c>
      <c r="S18" s="29" t="n">
        <v>2</v>
      </c>
      <c r="T18" s="24" t="inlineStr">
        <is>
          <t>wnba-spread-margin-v1</t>
        </is>
      </c>
      <c r="U18" s="24" t="inlineStr">
        <is>
          <t>settled</t>
        </is>
      </c>
      <c r="V18" s="24" t="inlineStr">
        <is>
          <t>loss</t>
        </is>
      </c>
      <c r="W18" s="26" t="n">
        <v>78</v>
      </c>
      <c r="X18" s="26" t="n">
        <v>101</v>
      </c>
      <c r="Y18" s="25" t="n"/>
      <c r="Z18" s="26" t="n"/>
      <c r="AA18" s="28" t="n"/>
      <c r="AB18" s="28" t="n"/>
      <c r="AC18" s="30" t="n">
        <v>-2</v>
      </c>
      <c r="AD18" s="24" t="inlineStr">
        <is>
          <t>2026-08-21T04:29:15.789199Z</t>
        </is>
      </c>
      <c r="AE18" s="31" t="inlineStr">
        <is>
          <t>Projected margin +5.7 (home), sd 10.5. Executable ask 0.5100 (asc-wnba-conn-lv-2026-08-20-pos-14pt5).</t>
        </is>
      </c>
      <c r="AF18" s="31" t="inlineStr">
        <is>
          <t>Research-baseline margin-normal spread model; not yet locked-holdout qualified.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4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wnba-con</t>
        </is>
      </c>
      <c r="AQ18" s="24" t="inlineStr">
        <is>
          <t>Connecticut Sun</t>
        </is>
      </c>
      <c r="AR18" s="24" t="inlineStr">
        <is>
          <t>Connecticut Sun</t>
        </is>
      </c>
      <c r="AS18" s="24" t="inlineStr">
        <is>
          <t>wnba-lva</t>
        </is>
      </c>
      <c r="AT18" s="24" t="inlineStr">
        <is>
          <t>Las Vegas Aces</t>
        </is>
      </c>
      <c r="AU18" s="24" t="inlineStr">
        <is>
          <t>Las Vegas Aces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research</t>
        </is>
      </c>
      <c r="BA18" s="24" t="inlineStr">
        <is>
          <t>23ba88bcc86a710d76233b349116f2eefe021a993d2d3b9102922e567a027b4c</t>
        </is>
      </c>
      <c r="BB18" s="24" t="inlineStr">
        <is>
          <t>margin_normal</t>
        </is>
      </c>
      <c r="BC18" s="24" t="inlineStr">
        <is>
          <t>wnba-spread-margin-v1</t>
        </is>
      </c>
      <c r="BD18" s="24" t="inlineStr">
        <is>
          <t>23ba88bcc86a710d76233b349116f2eefe021a993d2d3b9102922e567a027b4c</t>
        </is>
      </c>
      <c r="BE18" s="24" t="inlineStr">
        <is>
          <t>wnba-spread-margin-v1</t>
        </is>
      </c>
      <c r="BF18" s="24" t="inlineStr">
        <is>
          <t>1</t>
        </is>
      </c>
      <c r="BG18" s="24" t="inlineStr">
        <is>
          <t>23ba88bcc86a710d76233b349116f2eefe021a993d2d3b9102922e567a027b4c</t>
        </is>
      </c>
      <c r="BH18" s="24" t="inlineStr">
        <is>
          <t>2026-08-21T01:26:35.449630+00:00</t>
        </is>
      </c>
      <c r="BI18" s="24" t="inlineStr">
        <is>
          <t>["same_event","same_team_same_day","same_league_same_day"]</t>
        </is>
      </c>
      <c r="BJ18" s="25" t="n">
        <v>14.5</v>
      </c>
      <c r="BK18" s="26" t="n">
        <v>-104</v>
      </c>
      <c r="BL18" s="27" t="n">
        <v>1.961538</v>
      </c>
      <c r="BM18" s="28" t="n">
        <v>0.509804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True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0.509804</t>
        </is>
      </c>
      <c r="DK18" s="24" t="n"/>
      <c r="DL18" s="24" t="n"/>
      <c r="DM18" s="24" t="n"/>
      <c r="DN18" s="24" t="n"/>
      <c r="DO18" s="24" t="n"/>
      <c r="DP18" s="24" t="n"/>
    </row>
    <row r="19" ht="36" customHeight="1">
      <c r="A19" s="24" t="inlineStr">
        <is>
          <t>d8e42e6cf43a4248</t>
        </is>
      </c>
      <c r="B19" s="24" t="inlineStr">
        <is>
          <t>2026-08-21T01:26:35.986424Z</t>
        </is>
      </c>
      <c r="C19" s="24" t="inlineStr">
        <is>
          <t>2026-08-21T02:00Z</t>
        </is>
      </c>
      <c r="D19" s="24" t="inlineStr">
        <is>
          <t>401857160</t>
        </is>
      </c>
      <c r="E19" s="24" t="inlineStr">
        <is>
          <t>WNBA</t>
        </is>
      </c>
      <c r="F19" s="24" t="inlineStr">
        <is>
          <t>Atlanta Dream</t>
        </is>
      </c>
      <c r="G19" s="24" t="inlineStr">
        <is>
          <t>Los Angeles Sparks</t>
        </is>
      </c>
      <c r="H19" s="24" t="inlineStr">
        <is>
          <t>spread</t>
        </is>
      </c>
      <c r="I19" s="24" t="inlineStr">
        <is>
          <t>home</t>
        </is>
      </c>
      <c r="J19" s="25" t="n">
        <v>8.5</v>
      </c>
      <c r="K19" s="24" t="inlineStr">
        <is>
          <t>polymarket_us</t>
        </is>
      </c>
      <c r="L19" s="26" t="n">
        <v>100</v>
      </c>
      <c r="M19" s="27" t="n">
        <v>2</v>
      </c>
      <c r="N19" s="28" t="n">
        <v>0.5</v>
      </c>
      <c r="O19" s="28" t="n">
        <v>0.724375</v>
      </c>
      <c r="P19" s="28" t="n">
        <v>0.03</v>
      </c>
      <c r="Q19" s="28" t="n">
        <v>0.224375</v>
      </c>
      <c r="R19" s="26" t="n">
        <v>100</v>
      </c>
      <c r="S19" s="29" t="n">
        <v>2</v>
      </c>
      <c r="T19" s="24" t="inlineStr">
        <is>
          <t>wnba-spread-margin-v1</t>
        </is>
      </c>
      <c r="U19" s="24" t="inlineStr">
        <is>
          <t>settled</t>
        </is>
      </c>
      <c r="V19" s="24" t="inlineStr">
        <is>
          <t>loss</t>
        </is>
      </c>
      <c r="W19" s="26" t="n">
        <v>124</v>
      </c>
      <c r="X19" s="26" t="n">
        <v>88</v>
      </c>
      <c r="Y19" s="25" t="n"/>
      <c r="Z19" s="26" t="n"/>
      <c r="AA19" s="28" t="n"/>
      <c r="AB19" s="28" t="n"/>
      <c r="AC19" s="30" t="n">
        <v>-2</v>
      </c>
      <c r="AD19" s="24" t="inlineStr">
        <is>
          <t>2026-08-21T04:29:16.736961Z</t>
        </is>
      </c>
      <c r="AE19" s="31" t="inlineStr">
        <is>
          <t>Projected margin -2.2 (home), sd 10.5. Executable ask 0.5000 (asc-wnba-atl-la-2026-08-20-neg-8pt5).</t>
        </is>
      </c>
      <c r="AF19" s="31" t="inlineStr">
        <is>
          <t>Research-baseline margin-normal spread model; not yet locked-holdout qualified.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4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wnba-atl</t>
        </is>
      </c>
      <c r="AQ19" s="24" t="inlineStr">
        <is>
          <t>Atlanta Dream</t>
        </is>
      </c>
      <c r="AR19" s="24" t="inlineStr">
        <is>
          <t>Atlanta Dream</t>
        </is>
      </c>
      <c r="AS19" s="24" t="inlineStr">
        <is>
          <t>wnba-las</t>
        </is>
      </c>
      <c r="AT19" s="24" t="inlineStr">
        <is>
          <t>Los Angeles Sparks</t>
        </is>
      </c>
      <c r="AU19" s="24" t="inlineStr">
        <is>
          <t>Los Angeles Sparks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research</t>
        </is>
      </c>
      <c r="BA19" s="24" t="inlineStr">
        <is>
          <t>23ba88bcc86a710d76233b349116f2eefe021a993d2d3b9102922e567a027b4c</t>
        </is>
      </c>
      <c r="BB19" s="24" t="inlineStr">
        <is>
          <t>margin_normal</t>
        </is>
      </c>
      <c r="BC19" s="24" t="inlineStr">
        <is>
          <t>wnba-spread-margin-v1</t>
        </is>
      </c>
      <c r="BD19" s="24" t="inlineStr">
        <is>
          <t>23ba88bcc86a710d76233b349116f2eefe021a993d2d3b9102922e567a027b4c</t>
        </is>
      </c>
      <c r="BE19" s="24" t="inlineStr">
        <is>
          <t>wnba-spread-margin-v1</t>
        </is>
      </c>
      <c r="BF19" s="24" t="inlineStr">
        <is>
          <t>1</t>
        </is>
      </c>
      <c r="BG19" s="24" t="inlineStr">
        <is>
          <t>23ba88bcc86a710d76233b349116f2eefe021a993d2d3b9102922e567a027b4c</t>
        </is>
      </c>
      <c r="BH19" s="24" t="inlineStr">
        <is>
          <t>2026-08-21T01:26:35.449630+00:00</t>
        </is>
      </c>
      <c r="BI19" s="24" t="inlineStr">
        <is>
          <t>["same_event","same_team_same_day","same_league_same_day"]</t>
        </is>
      </c>
      <c r="BJ19" s="25" t="n">
        <v>8.5</v>
      </c>
      <c r="BK19" s="26" t="n">
        <v>100</v>
      </c>
      <c r="BL19" s="27" t="n">
        <v>2</v>
      </c>
      <c r="BM19" s="28" t="n">
        <v>0.5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0.5</t>
        </is>
      </c>
      <c r="DK19" s="24" t="n"/>
      <c r="DL19" s="24" t="n"/>
      <c r="DM19" s="24" t="n"/>
      <c r="DN19" s="24" t="n"/>
      <c r="DO19" s="24" t="n"/>
      <c r="DP19" s="24" t="n"/>
    </row>
    <row r="20" ht="36" customHeight="1">
      <c r="A20" s="24" t="inlineStr">
        <is>
          <t>cfa123467a1443d1</t>
        </is>
      </c>
      <c r="B20" s="24" t="inlineStr">
        <is>
          <t>2026-08-21T21:56:17.253155Z</t>
        </is>
      </c>
      <c r="C20" s="24" t="inlineStr">
        <is>
          <t>2026-08-21T23:30Z</t>
        </is>
      </c>
      <c r="D20" s="24" t="inlineStr">
        <is>
          <t>401857161</t>
        </is>
      </c>
      <c r="E20" s="24" t="inlineStr">
        <is>
          <t>WNBA</t>
        </is>
      </c>
      <c r="F20" s="24" t="inlineStr">
        <is>
          <t>Minnesota Lynx</t>
        </is>
      </c>
      <c r="G20" s="24" t="inlineStr">
        <is>
          <t>Washington Mystics</t>
        </is>
      </c>
      <c r="H20" s="24" t="inlineStr">
        <is>
          <t>spread</t>
        </is>
      </c>
      <c r="I20" s="24" t="inlineStr">
        <is>
          <t>home</t>
        </is>
      </c>
      <c r="J20" s="25" t="n">
        <v>4.5</v>
      </c>
      <c r="K20" s="24" t="inlineStr">
        <is>
          <t>polymarket_us</t>
        </is>
      </c>
      <c r="L20" s="26" t="n">
        <v>-122</v>
      </c>
      <c r="M20" s="27" t="n">
        <v>1.819672</v>
      </c>
      <c r="N20" s="28" t="n">
        <v>0.54955</v>
      </c>
      <c r="O20" s="28" t="n">
        <v>0.638218</v>
      </c>
      <c r="P20" s="28" t="n">
        <v>0.03</v>
      </c>
      <c r="Q20" s="28" t="n">
        <v>0.088668</v>
      </c>
      <c r="R20" s="26" t="n">
        <v>76</v>
      </c>
      <c r="S20" s="29" t="n">
        <v>1.75</v>
      </c>
      <c r="T20" s="24" t="inlineStr">
        <is>
          <t>wnba-spread-margin-v1</t>
        </is>
      </c>
      <c r="U20" s="24" t="inlineStr">
        <is>
          <t>settled</t>
        </is>
      </c>
      <c r="V20" s="24" t="inlineStr">
        <is>
          <t>loss</t>
        </is>
      </c>
      <c r="W20" s="26" t="n">
        <v>94</v>
      </c>
      <c r="X20" s="26" t="n">
        <v>84</v>
      </c>
      <c r="Y20" s="25" t="n"/>
      <c r="Z20" s="26" t="n"/>
      <c r="AA20" s="28" t="n"/>
      <c r="AB20" s="28" t="n"/>
      <c r="AC20" s="30" t="n">
        <v>-1.75</v>
      </c>
      <c r="AD20" s="24" t="inlineStr">
        <is>
          <t>2026-08-22T04:08:21.194003Z</t>
        </is>
      </c>
      <c r="AE20" s="31" t="inlineStr">
        <is>
          <t>Projected margin -0.8 (home), sd 10.5. Executable ask 0.5500 (asc-wnba-min-wsh-2026-08-21-neg-4pt5).</t>
        </is>
      </c>
      <c r="AF20" s="31" t="inlineStr">
        <is>
          <t>Research-baseline margin-normal spread model; not yet locked-holdout qualified.</t>
        </is>
      </c>
      <c r="AG20" s="24" t="inlineStr">
        <is>
          <t>review_required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4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wnba-min</t>
        </is>
      </c>
      <c r="AQ20" s="24" t="inlineStr">
        <is>
          <t>Minnesota Lynx</t>
        </is>
      </c>
      <c r="AR20" s="24" t="inlineStr">
        <is>
          <t>Minnesota Lynx</t>
        </is>
      </c>
      <c r="AS20" s="24" t="inlineStr">
        <is>
          <t>wnba-was</t>
        </is>
      </c>
      <c r="AT20" s="24" t="inlineStr">
        <is>
          <t>Washington Mystics</t>
        </is>
      </c>
      <c r="AU20" s="24" t="inlineStr">
        <is>
          <t>Washington Mystics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research</t>
        </is>
      </c>
      <c r="BA20" s="24" t="inlineStr">
        <is>
          <t>23ba88bcc86a710d76233b349116f2eefe021a993d2d3b9102922e567a027b4c</t>
        </is>
      </c>
      <c r="BB20" s="24" t="inlineStr">
        <is>
          <t>margin_normal</t>
        </is>
      </c>
      <c r="BC20" s="24" t="inlineStr">
        <is>
          <t>wnba-spread-margin-v1</t>
        </is>
      </c>
      <c r="BD20" s="24" t="inlineStr">
        <is>
          <t>23ba88bcc86a710d76233b349116f2eefe021a993d2d3b9102922e567a027b4c</t>
        </is>
      </c>
      <c r="BE20" s="24" t="inlineStr">
        <is>
          <t>wnba-spread-margin-v1</t>
        </is>
      </c>
      <c r="BF20" s="24" t="inlineStr">
        <is>
          <t>1</t>
        </is>
      </c>
      <c r="BG20" s="24" t="inlineStr">
        <is>
          <t>23ba88bcc86a710d76233b349116f2eefe021a993d2d3b9102922e567a027b4c</t>
        </is>
      </c>
      <c r="BH20" s="24" t="inlineStr">
        <is>
          <t>2026-08-21T21:56:15.576036+00:00</t>
        </is>
      </c>
      <c r="BI20" s="24" t="inlineStr">
        <is>
          <t>["same_event","same_team_same_day","same_league_same_day"]</t>
        </is>
      </c>
      <c r="BJ20" s="25" t="n">
        <v>4.5</v>
      </c>
      <c r="BK20" s="26" t="n">
        <v>-122</v>
      </c>
      <c r="BL20" s="27" t="n">
        <v>1.819672</v>
      </c>
      <c r="BM20" s="28" t="n">
        <v>0.54955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True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0.54955</t>
        </is>
      </c>
      <c r="DK20" s="24" t="n"/>
      <c r="DL20" s="24" t="n"/>
      <c r="DM20" s="24" t="n"/>
      <c r="DN20" s="24" t="n"/>
      <c r="DO20" s="24" t="n"/>
      <c r="DP20" s="24" t="n"/>
    </row>
    <row r="21" ht="36" customHeight="1">
      <c r="A21" s="24" t="inlineStr">
        <is>
          <t>d1993198e0f34411</t>
        </is>
      </c>
      <c r="B21" s="24" t="inlineStr">
        <is>
          <t>2026-08-21T21:56:17.253155Z</t>
        </is>
      </c>
      <c r="C21" s="24" t="inlineStr">
        <is>
          <t>2026-08-21T23:30Z</t>
        </is>
      </c>
      <c r="D21" s="24" t="inlineStr">
        <is>
          <t>401857162</t>
        </is>
      </c>
      <c r="E21" s="24" t="inlineStr">
        <is>
          <t>WNBA</t>
        </is>
      </c>
      <c r="F21" s="24" t="inlineStr">
        <is>
          <t>Golden State Valkyries</t>
        </is>
      </c>
      <c r="G21" s="24" t="inlineStr">
        <is>
          <t>Chicago Sky</t>
        </is>
      </c>
      <c r="H21" s="24" t="inlineStr">
        <is>
          <t>spread</t>
        </is>
      </c>
      <c r="I21" s="24" t="inlineStr">
        <is>
          <t>home</t>
        </is>
      </c>
      <c r="J21" s="25" t="n">
        <v>10.5</v>
      </c>
      <c r="K21" s="24" t="inlineStr">
        <is>
          <t>polymarket_us</t>
        </is>
      </c>
      <c r="L21" s="26" t="n">
        <v>-257</v>
      </c>
      <c r="M21" s="27" t="n">
        <v>1.389105</v>
      </c>
      <c r="N21" s="28" t="n">
        <v>0.719888</v>
      </c>
      <c r="O21" s="28" t="n">
        <v>0.815658</v>
      </c>
      <c r="P21" s="28" t="n">
        <v>0.03</v>
      </c>
      <c r="Q21" s="28" t="n">
        <v>0.09576999999999999</v>
      </c>
      <c r="R21" s="26" t="n">
        <v>80</v>
      </c>
      <c r="S21" s="29" t="n">
        <v>2</v>
      </c>
      <c r="T21" s="24" t="inlineStr">
        <is>
          <t>wnba-spread-margin-v1</t>
        </is>
      </c>
      <c r="U21" s="24" t="inlineStr">
        <is>
          <t>settled</t>
        </is>
      </c>
      <c r="V21" s="24" t="inlineStr">
        <is>
          <t>win</t>
        </is>
      </c>
      <c r="W21" s="26" t="n">
        <v>70</v>
      </c>
      <c r="X21" s="26" t="n">
        <v>73</v>
      </c>
      <c r="Y21" s="25" t="n"/>
      <c r="Z21" s="26" t="n"/>
      <c r="AA21" s="28" t="n"/>
      <c r="AB21" s="28" t="n"/>
      <c r="AC21" s="30" t="n">
        <v>0.7782</v>
      </c>
      <c r="AD21" s="24" t="inlineStr">
        <is>
          <t>2026-08-22T04:08:22.202767Z</t>
        </is>
      </c>
      <c r="AE21" s="31" t="inlineStr">
        <is>
          <t>Projected margin -1.1 (home), sd 10.5. Executable ask 0.7200 (asc-wnba-gsv-chi-2026-08-21-neg-10pt5).</t>
        </is>
      </c>
      <c r="AF21" s="31" t="inlineStr">
        <is>
          <t>Research-baseline margin-normal spread model; not yet locked-holdout qualified.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4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wnba-gsv</t>
        </is>
      </c>
      <c r="AQ21" s="24" t="inlineStr">
        <is>
          <t>Golden State Valkyries</t>
        </is>
      </c>
      <c r="AR21" s="24" t="inlineStr">
        <is>
          <t>Golden State Valkyries</t>
        </is>
      </c>
      <c r="AS21" s="24" t="inlineStr">
        <is>
          <t>wnba-chi</t>
        </is>
      </c>
      <c r="AT21" s="24" t="inlineStr">
        <is>
          <t>Chicago Sky</t>
        </is>
      </c>
      <c r="AU21" s="24" t="inlineStr">
        <is>
          <t>Chicago Sky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research</t>
        </is>
      </c>
      <c r="BA21" s="24" t="inlineStr">
        <is>
          <t>23ba88bcc86a710d76233b349116f2eefe021a993d2d3b9102922e567a027b4c</t>
        </is>
      </c>
      <c r="BB21" s="24" t="inlineStr">
        <is>
          <t>margin_normal</t>
        </is>
      </c>
      <c r="BC21" s="24" t="inlineStr">
        <is>
          <t>wnba-spread-margin-v1</t>
        </is>
      </c>
      <c r="BD21" s="24" t="inlineStr">
        <is>
          <t>23ba88bcc86a710d76233b349116f2eefe021a993d2d3b9102922e567a027b4c</t>
        </is>
      </c>
      <c r="BE21" s="24" t="inlineStr">
        <is>
          <t>wnba-spread-margin-v1</t>
        </is>
      </c>
      <c r="BF21" s="24" t="inlineStr">
        <is>
          <t>1</t>
        </is>
      </c>
      <c r="BG21" s="24" t="inlineStr">
        <is>
          <t>23ba88bcc86a710d76233b349116f2eefe021a993d2d3b9102922e567a027b4c</t>
        </is>
      </c>
      <c r="BH21" s="24" t="inlineStr">
        <is>
          <t>2026-08-21T21:56:15.576036+00:00</t>
        </is>
      </c>
      <c r="BI21" s="24" t="inlineStr">
        <is>
          <t>["same_event","same_team_same_day","same_league_same_day"]</t>
        </is>
      </c>
      <c r="BJ21" s="25" t="n">
        <v>10.5</v>
      </c>
      <c r="BK21" s="26" t="n">
        <v>-257</v>
      </c>
      <c r="BL21" s="27" t="n">
        <v>1.389105</v>
      </c>
      <c r="BM21" s="28" t="n">
        <v>0.719888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0.719888</t>
        </is>
      </c>
      <c r="DK21" s="24" t="n"/>
      <c r="DL21" s="24" t="n"/>
      <c r="DM21" s="24" t="n"/>
      <c r="DN21" s="24" t="n"/>
      <c r="DO21" s="24" t="n"/>
      <c r="DP21" s="24" t="n"/>
    </row>
    <row r="22" ht="36" customHeight="1">
      <c r="A22" s="24" t="inlineStr">
        <is>
          <t>2dc7a37f0c9a49eb</t>
        </is>
      </c>
      <c r="B22" s="24" t="inlineStr">
        <is>
          <t>2026-08-22T01:01:38.250555Z</t>
        </is>
      </c>
      <c r="C22" s="24" t="inlineStr">
        <is>
          <t>2026-08-22T02:00Z</t>
        </is>
      </c>
      <c r="D22" s="24" t="inlineStr">
        <is>
          <t>401857163</t>
        </is>
      </c>
      <c r="E22" s="24" t="inlineStr">
        <is>
          <t>WNBA</t>
        </is>
      </c>
      <c r="F22" s="24" t="inlineStr">
        <is>
          <t>Portland Fire</t>
        </is>
      </c>
      <c r="G22" s="24" t="inlineStr">
        <is>
          <t>Toronto Tempo</t>
        </is>
      </c>
      <c r="H22" s="24" t="inlineStr">
        <is>
          <t>spread</t>
        </is>
      </c>
      <c r="I22" s="24" t="inlineStr">
        <is>
          <t>home</t>
        </is>
      </c>
      <c r="J22" s="25" t="n">
        <v>7.5</v>
      </c>
      <c r="K22" s="24" t="inlineStr">
        <is>
          <t>polymarket_us</t>
        </is>
      </c>
      <c r="L22" s="26" t="n">
        <v>-614</v>
      </c>
      <c r="M22" s="27" t="n">
        <v>1.162866</v>
      </c>
      <c r="N22" s="28" t="n">
        <v>0.859944</v>
      </c>
      <c r="O22" s="28" t="n">
        <v>0.747548</v>
      </c>
      <c r="P22" s="28" t="n">
        <v>0.03</v>
      </c>
      <c r="Q22" s="28" t="n">
        <v>-0.112396</v>
      </c>
      <c r="R22" s="26" t="n">
        <v>0</v>
      </c>
      <c r="S22" s="29" t="n">
        <v>2</v>
      </c>
      <c r="T22" s="24" t="inlineStr">
        <is>
          <t>wnba-spread-margin-v1</t>
        </is>
      </c>
      <c r="U22" s="24" t="inlineStr">
        <is>
          <t>settled</t>
        </is>
      </c>
      <c r="V22" s="24" t="inlineStr">
        <is>
          <t>win</t>
        </is>
      </c>
      <c r="W22" s="26" t="n">
        <v>79</v>
      </c>
      <c r="X22" s="26" t="n">
        <v>82</v>
      </c>
      <c r="Y22" s="25" t="n"/>
      <c r="Z22" s="26" t="n"/>
      <c r="AA22" s="28" t="n"/>
      <c r="AB22" s="28" t="n"/>
      <c r="AC22" s="30" t="n">
        <v>0.3257</v>
      </c>
      <c r="AD22" s="24" t="inlineStr">
        <is>
          <t>2026-08-22T04:18:19.446591Z</t>
        </is>
      </c>
      <c r="AE22" s="31" t="inlineStr">
        <is>
          <t>Projected margin -0.5 (home), sd 10.5. Executable ask 0.8600 (asc-wnba-por-tor-2026-08-21-neg-7pt5).</t>
        </is>
      </c>
      <c r="AF22" s="31" t="inlineStr">
        <is>
          <t>Research-baseline margin-normal spread model; not yet locked-holdout qualified.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4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wnba-por</t>
        </is>
      </c>
      <c r="AQ22" s="24" t="inlineStr">
        <is>
          <t>Portland Fire</t>
        </is>
      </c>
      <c r="AR22" s="24" t="inlineStr">
        <is>
          <t>Portland Fire</t>
        </is>
      </c>
      <c r="AS22" s="24" t="inlineStr">
        <is>
          <t>wnba-tor</t>
        </is>
      </c>
      <c r="AT22" s="24" t="inlineStr">
        <is>
          <t>Toronto Tempo</t>
        </is>
      </c>
      <c r="AU22" s="24" t="inlineStr">
        <is>
          <t>Toronto Tempo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research</t>
        </is>
      </c>
      <c r="BA22" s="24" t="inlineStr">
        <is>
          <t>23ba88bcc86a710d76233b349116f2eefe021a993d2d3b9102922e567a027b4c</t>
        </is>
      </c>
      <c r="BB22" s="24" t="inlineStr">
        <is>
          <t>margin_normal</t>
        </is>
      </c>
      <c r="BC22" s="24" t="inlineStr">
        <is>
          <t>wnba-spread-margin-v1</t>
        </is>
      </c>
      <c r="BD22" s="24" t="inlineStr">
        <is>
          <t>23ba88bcc86a710d76233b349116f2eefe021a993d2d3b9102922e567a027b4c</t>
        </is>
      </c>
      <c r="BE22" s="24" t="inlineStr">
        <is>
          <t>wnba-spread-margin-v1</t>
        </is>
      </c>
      <c r="BF22" s="24" t="inlineStr">
        <is>
          <t>1</t>
        </is>
      </c>
      <c r="BG22" s="24" t="inlineStr">
        <is>
          <t>23ba88bcc86a710d76233b349116f2eefe021a993d2d3b9102922e567a027b4c</t>
        </is>
      </c>
      <c r="BH22" s="24" t="inlineStr">
        <is>
          <t>2026-08-22T01:01:37.579560+00:00</t>
        </is>
      </c>
      <c r="BI22" s="24" t="inlineStr">
        <is>
          <t>["same_event","same_team_same_day","same_league_same_day"]</t>
        </is>
      </c>
      <c r="BJ22" s="25" t="n">
        <v>7.5</v>
      </c>
      <c r="BK22" s="26" t="n">
        <v>-614</v>
      </c>
      <c r="BL22" s="27" t="n">
        <v>1.162866</v>
      </c>
      <c r="BM22" s="28" t="n">
        <v>0.859944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False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0.859944</t>
        </is>
      </c>
      <c r="DK22" s="24" t="n"/>
      <c r="DL22" s="24" t="n"/>
      <c r="DM22" s="24" t="n"/>
      <c r="DN22" s="24" t="n"/>
      <c r="DO22" s="24" t="n"/>
      <c r="DP22" s="24" t="n"/>
    </row>
    <row r="23" ht="36" customHeight="1">
      <c r="A23" s="24" t="inlineStr">
        <is>
          <t>84d4ffce78de4cc2</t>
        </is>
      </c>
      <c r="B23" s="24" t="inlineStr">
        <is>
          <t>2026-08-22T23:00:55.527126Z</t>
        </is>
      </c>
      <c r="C23" s="24" t="inlineStr">
        <is>
          <t>2026-08-23T01:00Z</t>
        </is>
      </c>
      <c r="D23" s="24" t="inlineStr">
        <is>
          <t>401857165</t>
        </is>
      </c>
      <c r="E23" s="24" t="inlineStr">
        <is>
          <t>WNBA</t>
        </is>
      </c>
      <c r="F23" s="24" t="inlineStr">
        <is>
          <t>Connecticut Sun</t>
        </is>
      </c>
      <c r="G23" s="24" t="inlineStr">
        <is>
          <t>Los Angeles Sparks</t>
        </is>
      </c>
      <c r="H23" s="24" t="inlineStr">
        <is>
          <t>spread</t>
        </is>
      </c>
      <c r="I23" s="24" t="inlineStr">
        <is>
          <t>away</t>
        </is>
      </c>
      <c r="J23" s="25" t="n">
        <v>4.5</v>
      </c>
      <c r="K23" s="24" t="inlineStr">
        <is>
          <t>polymarket_us</t>
        </is>
      </c>
      <c r="L23" s="26" t="n">
        <v>104</v>
      </c>
      <c r="M23" s="27" t="n">
        <v>2.04</v>
      </c>
      <c r="N23" s="28" t="n">
        <v>0.490196</v>
      </c>
      <c r="O23" s="28" t="n">
        <v>0.583386</v>
      </c>
      <c r="P23" s="28" t="n">
        <v>0.03</v>
      </c>
      <c r="Q23" s="28" t="n">
        <v>0.09319</v>
      </c>
      <c r="R23" s="26" t="n">
        <v>79</v>
      </c>
      <c r="S23" s="29" t="n">
        <v>1.5</v>
      </c>
      <c r="T23" s="24" t="inlineStr">
        <is>
          <t>wnba-spread-margin-v1</t>
        </is>
      </c>
      <c r="U23" s="24" t="inlineStr">
        <is>
          <t>settled</t>
        </is>
      </c>
      <c r="V23" s="24" t="inlineStr">
        <is>
          <t>loss</t>
        </is>
      </c>
      <c r="W23" s="26" t="n">
        <v>68</v>
      </c>
      <c r="X23" s="26" t="n">
        <v>77</v>
      </c>
      <c r="Y23" s="25" t="n"/>
      <c r="Z23" s="26" t="n"/>
      <c r="AA23" s="28" t="n"/>
      <c r="AB23" s="28" t="n"/>
      <c r="AC23" s="30" t="n">
        <v>-1.5</v>
      </c>
      <c r="AD23" s="24" t="inlineStr">
        <is>
          <t>2026-08-23T04:55:11.713903Z</t>
        </is>
      </c>
      <c r="AE23" s="31" t="inlineStr">
        <is>
          <t>Projected margin +2.3 (home), sd 10.5. Executable ask 0.4900 (asc-wnba-conn-la-2026-08-22-pos-4pt5).</t>
        </is>
      </c>
      <c r="AF23" s="31" t="inlineStr">
        <is>
          <t>Research-baseline margin-normal spread model; not yet locked-holdout qualified.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4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wnba-con</t>
        </is>
      </c>
      <c r="AQ23" s="24" t="inlineStr">
        <is>
          <t>Connecticut Sun</t>
        </is>
      </c>
      <c r="AR23" s="24" t="inlineStr">
        <is>
          <t>Connecticut Sun</t>
        </is>
      </c>
      <c r="AS23" s="24" t="inlineStr">
        <is>
          <t>wnba-las</t>
        </is>
      </c>
      <c r="AT23" s="24" t="inlineStr">
        <is>
          <t>Los Angeles Sparks</t>
        </is>
      </c>
      <c r="AU23" s="24" t="inlineStr">
        <is>
          <t>Los Angeles Sparks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research</t>
        </is>
      </c>
      <c r="BA23" s="24" t="inlineStr">
        <is>
          <t>23ba88bcc86a710d76233b349116f2eefe021a993d2d3b9102922e567a027b4c</t>
        </is>
      </c>
      <c r="BB23" s="24" t="inlineStr">
        <is>
          <t>margin_normal</t>
        </is>
      </c>
      <c r="BC23" s="24" t="inlineStr">
        <is>
          <t>wnba-spread-margin-v1</t>
        </is>
      </c>
      <c r="BD23" s="24" t="inlineStr">
        <is>
          <t>23ba88bcc86a710d76233b349116f2eefe021a993d2d3b9102922e567a027b4c</t>
        </is>
      </c>
      <c r="BE23" s="24" t="inlineStr">
        <is>
          <t>wnba-spread-margin-v1</t>
        </is>
      </c>
      <c r="BF23" s="24" t="inlineStr">
        <is>
          <t>1</t>
        </is>
      </c>
      <c r="BG23" s="24" t="inlineStr">
        <is>
          <t>23ba88bcc86a710d76233b349116f2eefe021a993d2d3b9102922e567a027b4c</t>
        </is>
      </c>
      <c r="BH23" s="24" t="inlineStr">
        <is>
          <t>2026-08-22T23:00:54.391007+00:00</t>
        </is>
      </c>
      <c r="BI23" s="24" t="inlineStr">
        <is>
          <t>["same_event","same_team_same_day","same_league_same_day"]</t>
        </is>
      </c>
      <c r="BJ23" s="25" t="n">
        <v>4.5</v>
      </c>
      <c r="BK23" s="26" t="n">
        <v>104</v>
      </c>
      <c r="BL23" s="27" t="n">
        <v>2.04</v>
      </c>
      <c r="BM23" s="28" t="n">
        <v>0.490196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0.490196</t>
        </is>
      </c>
      <c r="DK23" s="24" t="n"/>
      <c r="DL23" s="24" t="n"/>
      <c r="DM23" s="24" t="n"/>
      <c r="DN23" s="24" t="n"/>
      <c r="DO23" s="24" t="n"/>
      <c r="DP23" s="24" t="n"/>
    </row>
    <row r="24" ht="36" customHeight="1">
      <c r="A24" s="24" t="inlineStr">
        <is>
          <t>990567367d7344ea</t>
        </is>
      </c>
      <c r="B24" s="24" t="inlineStr">
        <is>
          <t>2026-08-22T23:00:55.527126Z</t>
        </is>
      </c>
      <c r="C24" s="24" t="inlineStr">
        <is>
          <t>2026-08-23T02:00Z</t>
        </is>
      </c>
      <c r="D24" s="24" t="inlineStr">
        <is>
          <t>401857166</t>
        </is>
      </c>
      <c r="E24" s="24" t="inlineStr">
        <is>
          <t>WNBA</t>
        </is>
      </c>
      <c r="F24" s="24" t="inlineStr">
        <is>
          <t>Atlanta Dream</t>
        </is>
      </c>
      <c r="G24" s="24" t="inlineStr">
        <is>
          <t>Phoenix Mercury</t>
        </is>
      </c>
      <c r="H24" s="24" t="inlineStr">
        <is>
          <t>spread</t>
        </is>
      </c>
      <c r="I24" s="24" t="inlineStr">
        <is>
          <t>home</t>
        </is>
      </c>
      <c r="J24" s="25" t="n">
        <v>6.5</v>
      </c>
      <c r="K24" s="24" t="inlineStr">
        <is>
          <t>polymarket_us</t>
        </is>
      </c>
      <c r="L24" s="26" t="n">
        <v>108</v>
      </c>
      <c r="M24" s="27" t="n">
        <v>2.08</v>
      </c>
      <c r="N24" s="28" t="n">
        <v>0.480769</v>
      </c>
      <c r="O24" s="28" t="n">
        <v>0.641585</v>
      </c>
      <c r="P24" s="28" t="n">
        <v>0.03</v>
      </c>
      <c r="Q24" s="28" t="n">
        <v>0.160816</v>
      </c>
      <c r="R24" s="26" t="n">
        <v>100</v>
      </c>
      <c r="S24" s="29" t="n">
        <v>1.75</v>
      </c>
      <c r="T24" s="24" t="inlineStr">
        <is>
          <t>wnba-spread-margin-v1</t>
        </is>
      </c>
      <c r="U24" s="24" t="inlineStr">
        <is>
          <t>settled</t>
        </is>
      </c>
      <c r="V24" s="24" t="inlineStr">
        <is>
          <t>loss</t>
        </is>
      </c>
      <c r="W24" s="26" t="n">
        <v>99</v>
      </c>
      <c r="X24" s="26" t="n">
        <v>89</v>
      </c>
      <c r="Y24" s="25" t="n"/>
      <c r="Z24" s="26" t="n"/>
      <c r="AA24" s="28" t="n"/>
      <c r="AB24" s="28" t="n"/>
      <c r="AC24" s="30" t="n">
        <v>-1.75</v>
      </c>
      <c r="AD24" s="24" t="inlineStr">
        <is>
          <t>2026-08-23T04:55:12.594437Z</t>
        </is>
      </c>
      <c r="AE24" s="31" t="inlineStr">
        <is>
          <t>Projected margin -2.7 (home), sd 10.5. Executable ask 0.4800 (asc-wnba-atl-phx-2026-08-22-neg-6pt5).</t>
        </is>
      </c>
      <c r="AF24" s="31" t="inlineStr">
        <is>
          <t>Research-baseline margin-normal spread model; not yet locked-holdout qualified.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4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wnba-atl</t>
        </is>
      </c>
      <c r="AQ24" s="24" t="inlineStr">
        <is>
          <t>Atlanta Dream</t>
        </is>
      </c>
      <c r="AR24" s="24" t="inlineStr">
        <is>
          <t>Atlanta Dream</t>
        </is>
      </c>
      <c r="AS24" s="24" t="inlineStr">
        <is>
          <t>wnba-phx</t>
        </is>
      </c>
      <c r="AT24" s="24" t="inlineStr">
        <is>
          <t>Phoenix Mercury</t>
        </is>
      </c>
      <c r="AU24" s="24" t="inlineStr">
        <is>
          <t>Phoenix Mercury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research</t>
        </is>
      </c>
      <c r="BA24" s="24" t="inlineStr">
        <is>
          <t>23ba88bcc86a710d76233b349116f2eefe021a993d2d3b9102922e567a027b4c</t>
        </is>
      </c>
      <c r="BB24" s="24" t="inlineStr">
        <is>
          <t>margin_normal</t>
        </is>
      </c>
      <c r="BC24" s="24" t="inlineStr">
        <is>
          <t>wnba-spread-margin-v1</t>
        </is>
      </c>
      <c r="BD24" s="24" t="inlineStr">
        <is>
          <t>23ba88bcc86a710d76233b349116f2eefe021a993d2d3b9102922e567a027b4c</t>
        </is>
      </c>
      <c r="BE24" s="24" t="inlineStr">
        <is>
          <t>wnba-spread-margin-v1</t>
        </is>
      </c>
      <c r="BF24" s="24" t="inlineStr">
        <is>
          <t>1</t>
        </is>
      </c>
      <c r="BG24" s="24" t="inlineStr">
        <is>
          <t>23ba88bcc86a710d76233b349116f2eefe021a993d2d3b9102922e567a027b4c</t>
        </is>
      </c>
      <c r="BH24" s="24" t="inlineStr">
        <is>
          <t>2026-08-22T23:00:54.391007+00:00</t>
        </is>
      </c>
      <c r="BI24" s="24" t="inlineStr">
        <is>
          <t>["same_event","same_team_same_day","same_league_same_day"]</t>
        </is>
      </c>
      <c r="BJ24" s="25" t="n">
        <v>6.5</v>
      </c>
      <c r="BK24" s="26" t="n">
        <v>108</v>
      </c>
      <c r="BL24" s="27" t="n">
        <v>2.08</v>
      </c>
      <c r="BM24" s="28" t="n">
        <v>0.480769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0.480769</t>
        </is>
      </c>
      <c r="DK24" s="24" t="n"/>
      <c r="DL24" s="24" t="n"/>
      <c r="DM24" s="24" t="n"/>
      <c r="DN24" s="24" t="n"/>
      <c r="DO24" s="24" t="n"/>
      <c r="DP24" s="24" t="n"/>
    </row>
    <row r="25" ht="36" customHeight="1">
      <c r="A25" s="24" t="inlineStr">
        <is>
          <t>8e928aeab97a46c9</t>
        </is>
      </c>
      <c r="B25" s="24" t="inlineStr">
        <is>
          <t>2026-08-23T16:10:33.147801Z</t>
        </is>
      </c>
      <c r="C25" s="24" t="inlineStr">
        <is>
          <t>2026-08-23T23:00Z</t>
        </is>
      </c>
      <c r="D25" s="24" t="inlineStr">
        <is>
          <t>401857168</t>
        </is>
      </c>
      <c r="E25" s="24" t="inlineStr">
        <is>
          <t>WNBA</t>
        </is>
      </c>
      <c r="F25" s="24" t="inlineStr">
        <is>
          <t>Indiana Fever</t>
        </is>
      </c>
      <c r="G25" s="24" t="inlineStr">
        <is>
          <t>Chicago Sky</t>
        </is>
      </c>
      <c r="H25" s="24" t="inlineStr">
        <is>
          <t>spread</t>
        </is>
      </c>
      <c r="I25" s="24" t="inlineStr">
        <is>
          <t>home</t>
        </is>
      </c>
      <c r="J25" s="25" t="n">
        <v>5.5</v>
      </c>
      <c r="K25" s="24" t="inlineStr">
        <is>
          <t>polymarket_us</t>
        </is>
      </c>
      <c r="L25" s="26" t="n">
        <v>-186</v>
      </c>
      <c r="M25" s="27" t="n">
        <v>1.537634</v>
      </c>
      <c r="N25" s="28" t="n">
        <v>0.65035</v>
      </c>
      <c r="O25" s="28" t="n">
        <v>0.678471</v>
      </c>
      <c r="P25" s="28" t="n">
        <v>0.03</v>
      </c>
      <c r="Q25" s="28" t="n">
        <v>0.028121</v>
      </c>
      <c r="R25" s="26" t="n">
        <v>46</v>
      </c>
      <c r="S25" s="29" t="n">
        <v>1</v>
      </c>
      <c r="T25" s="24" t="inlineStr">
        <is>
          <t>wnba-spread-margin-v1</t>
        </is>
      </c>
      <c r="U25" s="24" t="inlineStr">
        <is>
          <t>settled</t>
        </is>
      </c>
      <c r="V25" s="24" t="inlineStr">
        <is>
          <t>loss</t>
        </is>
      </c>
      <c r="W25" s="26" t="n">
        <v>113</v>
      </c>
      <c r="X25" s="26" t="n">
        <v>90</v>
      </c>
      <c r="Y25" s="25" t="n"/>
      <c r="Z25" s="26" t="n"/>
      <c r="AA25" s="28" t="n"/>
      <c r="AB25" s="28" t="n"/>
      <c r="AC25" s="30" t="n">
        <v>-1</v>
      </c>
      <c r="AD25" s="24" t="inlineStr">
        <is>
          <t>2026-08-24T04:46:43.108473Z</t>
        </is>
      </c>
      <c r="AE25" s="31" t="inlineStr">
        <is>
          <t>Projected margin -0.6 (home), sd 10.5. Executable ask 0.6500 (asc-wnba-ind-chi-2026-08-23-neg-5pt5).</t>
        </is>
      </c>
      <c r="AF25" s="31" t="inlineStr">
        <is>
          <t>Research-baseline margin-normal spread model; not yet locked-holdout qualified.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4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wnba-ind</t>
        </is>
      </c>
      <c r="AQ25" s="24" t="inlineStr">
        <is>
          <t>Indiana Fever</t>
        </is>
      </c>
      <c r="AR25" s="24" t="inlineStr">
        <is>
          <t>Indiana Fever</t>
        </is>
      </c>
      <c r="AS25" s="24" t="inlineStr">
        <is>
          <t>wnba-chi</t>
        </is>
      </c>
      <c r="AT25" s="24" t="inlineStr">
        <is>
          <t>Chicago Sky</t>
        </is>
      </c>
      <c r="AU25" s="24" t="inlineStr">
        <is>
          <t>Chicago Sky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research</t>
        </is>
      </c>
      <c r="BA25" s="24" t="inlineStr">
        <is>
          <t>23ba88bcc86a710d76233b349116f2eefe021a993d2d3b9102922e567a027b4c</t>
        </is>
      </c>
      <c r="BB25" s="24" t="inlineStr">
        <is>
          <t>margin_normal</t>
        </is>
      </c>
      <c r="BC25" s="24" t="inlineStr">
        <is>
          <t>wnba-spread-margin-v1</t>
        </is>
      </c>
      <c r="BD25" s="24" t="inlineStr">
        <is>
          <t>23ba88bcc86a710d76233b349116f2eefe021a993d2d3b9102922e567a027b4c</t>
        </is>
      </c>
      <c r="BE25" s="24" t="inlineStr">
        <is>
          <t>wnba-spread-margin-v1</t>
        </is>
      </c>
      <c r="BF25" s="24" t="inlineStr">
        <is>
          <t>1</t>
        </is>
      </c>
      <c r="BG25" s="24" t="inlineStr">
        <is>
          <t>23ba88bcc86a710d76233b349116f2eefe021a993d2d3b9102922e567a027b4c</t>
        </is>
      </c>
      <c r="BH25" s="24" t="inlineStr">
        <is>
          <t>2026-08-23T16:10:24.975062+00:00</t>
        </is>
      </c>
      <c r="BI25" s="24" t="inlineStr">
        <is>
          <t>["same_event","same_team_same_day","same_league_same_day"]</t>
        </is>
      </c>
      <c r="BJ25" s="25" t="n">
        <v>5.5</v>
      </c>
      <c r="BK25" s="26" t="n">
        <v>-186</v>
      </c>
      <c r="BL25" s="27" t="n">
        <v>1.537634</v>
      </c>
      <c r="BM25" s="28" t="n">
        <v>0.65035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0.65035</t>
        </is>
      </c>
      <c r="DK25" s="24" t="n"/>
      <c r="DL25" s="24" t="n"/>
      <c r="DM25" s="24" t="n"/>
      <c r="DN25" s="24" t="n"/>
      <c r="DO25" s="24" t="n"/>
      <c r="DP25" s="24" t="n"/>
    </row>
    <row r="26" ht="36" customHeight="1">
      <c r="A26" s="24" t="inlineStr">
        <is>
          <t>4592dc7baca34408</t>
        </is>
      </c>
      <c r="B26" s="24" t="inlineStr">
        <is>
          <t>2026-08-23T16:10:33.147801Z</t>
        </is>
      </c>
      <c r="C26" s="24" t="inlineStr">
        <is>
          <t>2026-08-23T23:00Z</t>
        </is>
      </c>
      <c r="D26" s="24" t="inlineStr">
        <is>
          <t>401857170</t>
        </is>
      </c>
      <c r="E26" s="24" t="inlineStr">
        <is>
          <t>WNBA</t>
        </is>
      </c>
      <c r="F26" s="24" t="inlineStr">
        <is>
          <t>Las Vegas Aces</t>
        </is>
      </c>
      <c r="G26" s="24" t="inlineStr">
        <is>
          <t>Toronto Tempo</t>
        </is>
      </c>
      <c r="H26" s="24" t="inlineStr">
        <is>
          <t>spread</t>
        </is>
      </c>
      <c r="I26" s="24" t="inlineStr">
        <is>
          <t>home</t>
        </is>
      </c>
      <c r="J26" s="25" t="n">
        <v>13.5</v>
      </c>
      <c r="K26" s="24" t="inlineStr">
        <is>
          <t>polymarket_us</t>
        </is>
      </c>
      <c r="L26" s="26" t="n">
        <v>104</v>
      </c>
      <c r="M26" s="27" t="n">
        <v>2.04</v>
      </c>
      <c r="N26" s="28" t="n">
        <v>0.490196</v>
      </c>
      <c r="O26" s="28" t="n">
        <v>0.850931</v>
      </c>
      <c r="P26" s="28" t="n">
        <v>0.03</v>
      </c>
      <c r="Q26" s="28" t="n">
        <v>0.360735</v>
      </c>
      <c r="R26" s="26" t="n">
        <v>100</v>
      </c>
      <c r="S26" s="29" t="n">
        <v>2</v>
      </c>
      <c r="T26" s="24" t="inlineStr">
        <is>
          <t>wnba-spread-margin-v1</t>
        </is>
      </c>
      <c r="U26" s="24" t="inlineStr">
        <is>
          <t>settled</t>
        </is>
      </c>
      <c r="V26" s="24" t="inlineStr">
        <is>
          <t>win</t>
        </is>
      </c>
      <c r="W26" s="26" t="n">
        <v>88</v>
      </c>
      <c r="X26" s="26" t="n">
        <v>78</v>
      </c>
      <c r="Y26" s="25" t="n"/>
      <c r="Z26" s="26" t="n"/>
      <c r="AA26" s="28" t="n"/>
      <c r="AB26" s="28" t="n"/>
      <c r="AC26" s="30" t="n">
        <v>2.08</v>
      </c>
      <c r="AD26" s="24" t="inlineStr">
        <is>
          <t>2026-08-24T04:46:44.308322Z</t>
        </is>
      </c>
      <c r="AE26" s="31" t="inlineStr">
        <is>
          <t>Projected margin -2.6 (home), sd 10.5. Executable ask 0.4900 (asc-wnba-lv-tor-2026-08-23-neg-13pt5).</t>
        </is>
      </c>
      <c r="AF26" s="31" t="inlineStr">
        <is>
          <t>Research-baseline margin-normal spread model; not yet locked-holdout qualified.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4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wnba-lva</t>
        </is>
      </c>
      <c r="AQ26" s="24" t="inlineStr">
        <is>
          <t>Las Vegas Aces</t>
        </is>
      </c>
      <c r="AR26" s="24" t="inlineStr">
        <is>
          <t>Las Vegas Aces</t>
        </is>
      </c>
      <c r="AS26" s="24" t="inlineStr">
        <is>
          <t>wnba-tor</t>
        </is>
      </c>
      <c r="AT26" s="24" t="inlineStr">
        <is>
          <t>Toronto Tempo</t>
        </is>
      </c>
      <c r="AU26" s="24" t="inlineStr">
        <is>
          <t>Toronto Tempo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research</t>
        </is>
      </c>
      <c r="BA26" s="24" t="inlineStr">
        <is>
          <t>23ba88bcc86a710d76233b349116f2eefe021a993d2d3b9102922e567a027b4c</t>
        </is>
      </c>
      <c r="BB26" s="24" t="inlineStr">
        <is>
          <t>margin_normal</t>
        </is>
      </c>
      <c r="BC26" s="24" t="inlineStr">
        <is>
          <t>wnba-spread-margin-v1</t>
        </is>
      </c>
      <c r="BD26" s="24" t="inlineStr">
        <is>
          <t>23ba88bcc86a710d76233b349116f2eefe021a993d2d3b9102922e567a027b4c</t>
        </is>
      </c>
      <c r="BE26" s="24" t="inlineStr">
        <is>
          <t>wnba-spread-margin-v1</t>
        </is>
      </c>
      <c r="BF26" s="24" t="inlineStr">
        <is>
          <t>1</t>
        </is>
      </c>
      <c r="BG26" s="24" t="inlineStr">
        <is>
          <t>23ba88bcc86a710d76233b349116f2eefe021a993d2d3b9102922e567a027b4c</t>
        </is>
      </c>
      <c r="BH26" s="24" t="inlineStr">
        <is>
          <t>2026-08-23T16:10:24.975062+00:00</t>
        </is>
      </c>
      <c r="BI26" s="24" t="inlineStr">
        <is>
          <t>["same_event","same_team_same_day","same_league_same_day"]</t>
        </is>
      </c>
      <c r="BJ26" s="25" t="n">
        <v>13.5</v>
      </c>
      <c r="BK26" s="26" t="n">
        <v>104</v>
      </c>
      <c r="BL26" s="27" t="n">
        <v>2.04</v>
      </c>
      <c r="BM26" s="28" t="n">
        <v>0.490196</v>
      </c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True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0.490196</t>
        </is>
      </c>
      <c r="DK26" s="24" t="n"/>
      <c r="DL26" s="24" t="n"/>
      <c r="DM26" s="24" t="n"/>
      <c r="DN26" s="24" t="n"/>
      <c r="DO26" s="24" t="n"/>
      <c r="DP26" s="24" t="n"/>
    </row>
    <row r="27" ht="36" customHeight="1">
      <c r="A27" s="24" t="inlineStr">
        <is>
          <t>2cdc035d92704389</t>
        </is>
      </c>
      <c r="B27" s="24" t="inlineStr">
        <is>
          <t>2026-08-23T19:19:47.880597Z</t>
        </is>
      </c>
      <c r="C27" s="24" t="inlineStr">
        <is>
          <t>2026-08-23T20:00Z</t>
        </is>
      </c>
      <c r="D27" s="24" t="inlineStr">
        <is>
          <t>401857167</t>
        </is>
      </c>
      <c r="E27" s="24" t="inlineStr">
        <is>
          <t>WNBA</t>
        </is>
      </c>
      <c r="F27" s="24" t="inlineStr">
        <is>
          <t>Seattle Storm</t>
        </is>
      </c>
      <c r="G27" s="24" t="inlineStr">
        <is>
          <t>Dallas Wings</t>
        </is>
      </c>
      <c r="H27" s="24" t="inlineStr">
        <is>
          <t>spread</t>
        </is>
      </c>
      <c r="I27" s="24" t="inlineStr">
        <is>
          <t>away</t>
        </is>
      </c>
      <c r="J27" s="25" t="n">
        <v>8.5</v>
      </c>
      <c r="K27" s="24" t="inlineStr">
        <is>
          <t>polymarket_us</t>
        </is>
      </c>
      <c r="L27" s="26" t="n">
        <v>100</v>
      </c>
      <c r="M27" s="27" t="n">
        <v>2</v>
      </c>
      <c r="N27" s="28" t="n">
        <v>0.5</v>
      </c>
      <c r="O27" s="28" t="n">
        <v>0.66484</v>
      </c>
      <c r="P27" s="28" t="n">
        <v>0.03</v>
      </c>
      <c r="Q27" s="28" t="n">
        <v>0.16484</v>
      </c>
      <c r="R27" s="26" t="n">
        <v>100</v>
      </c>
      <c r="S27" s="29" t="n">
        <v>2</v>
      </c>
      <c r="T27" s="24" t="inlineStr">
        <is>
          <t>wnba-spread-margin-v1</t>
        </is>
      </c>
      <c r="U27" s="24" t="inlineStr">
        <is>
          <t>settled</t>
        </is>
      </c>
      <c r="V27" s="24" t="inlineStr">
        <is>
          <t>loss</t>
        </is>
      </c>
      <c r="W27" s="26" t="n">
        <v>70</v>
      </c>
      <c r="X27" s="26" t="n">
        <v>92</v>
      </c>
      <c r="Y27" s="25" t="n"/>
      <c r="Z27" s="26" t="n"/>
      <c r="AA27" s="28" t="n"/>
      <c r="AB27" s="28" t="n"/>
      <c r="AC27" s="30" t="n">
        <v>-2</v>
      </c>
      <c r="AD27" s="24" t="inlineStr">
        <is>
          <t>2026-08-23T22:28:04.821081Z</t>
        </is>
      </c>
      <c r="AE27" s="31" t="inlineStr">
        <is>
          <t>Projected margin +4.0 (home), sd 10.5. Executable ask 0.5000 (asc-wnba-sea-dal-2026-08-23-pos-8pt5).</t>
        </is>
      </c>
      <c r="AF27" s="31" t="inlineStr">
        <is>
          <t>Research-baseline margin-normal spread model; not yet locked-holdout qualified.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4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wnba-sea</t>
        </is>
      </c>
      <c r="AQ27" s="24" t="inlineStr">
        <is>
          <t>Seattle Storm</t>
        </is>
      </c>
      <c r="AR27" s="24" t="inlineStr">
        <is>
          <t>Seattle Storm</t>
        </is>
      </c>
      <c r="AS27" s="24" t="inlineStr">
        <is>
          <t>wnba-dal</t>
        </is>
      </c>
      <c r="AT27" s="24" t="inlineStr">
        <is>
          <t>Dallas Wings</t>
        </is>
      </c>
      <c r="AU27" s="24" t="inlineStr">
        <is>
          <t>Dallas Wings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research</t>
        </is>
      </c>
      <c r="BA27" s="24" t="inlineStr">
        <is>
          <t>23ba88bcc86a710d76233b349116f2eefe021a993d2d3b9102922e567a027b4c</t>
        </is>
      </c>
      <c r="BB27" s="24" t="inlineStr">
        <is>
          <t>margin_normal</t>
        </is>
      </c>
      <c r="BC27" s="24" t="inlineStr">
        <is>
          <t>wnba-spread-margin-v1</t>
        </is>
      </c>
      <c r="BD27" s="24" t="inlineStr">
        <is>
          <t>23ba88bcc86a710d76233b349116f2eefe021a993d2d3b9102922e567a027b4c</t>
        </is>
      </c>
      <c r="BE27" s="24" t="inlineStr">
        <is>
          <t>wnba-spread-margin-v1</t>
        </is>
      </c>
      <c r="BF27" s="24" t="inlineStr">
        <is>
          <t>1</t>
        </is>
      </c>
      <c r="BG27" s="24" t="inlineStr">
        <is>
          <t>23ba88bcc86a710d76233b349116f2eefe021a993d2d3b9102922e567a027b4c</t>
        </is>
      </c>
      <c r="BH27" s="24" t="inlineStr">
        <is>
          <t>2026-08-23T19:19:47.643357+00:00</t>
        </is>
      </c>
      <c r="BI27" s="24" t="inlineStr">
        <is>
          <t>["same_event","same_team_same_day","same_league_same_day"]</t>
        </is>
      </c>
      <c r="BJ27" s="25" t="n">
        <v>8.5</v>
      </c>
      <c r="BK27" s="26" t="n">
        <v>100</v>
      </c>
      <c r="BL27" s="27" t="n">
        <v>2</v>
      </c>
      <c r="BM27" s="28" t="n">
        <v>0.5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True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0.5</t>
        </is>
      </c>
      <c r="DK27" s="24" t="n"/>
      <c r="DL27" s="24" t="n"/>
      <c r="DM27" s="24" t="n"/>
      <c r="DN27" s="24" t="n"/>
      <c r="DO27" s="24" t="n"/>
      <c r="DP27" s="24" t="n"/>
    </row>
    <row r="28" ht="36" customHeight="1">
      <c r="A28" s="24" t="inlineStr">
        <is>
          <t>8145d349b94c4689</t>
        </is>
      </c>
      <c r="B28" s="24" t="inlineStr">
        <is>
          <t>2026-08-23T22:31:14.067624Z</t>
        </is>
      </c>
      <c r="C28" s="24" t="inlineStr">
        <is>
          <t>2026-08-23T23:00Z</t>
        </is>
      </c>
      <c r="D28" s="24" t="inlineStr">
        <is>
          <t>401857168</t>
        </is>
      </c>
      <c r="E28" s="24" t="inlineStr">
        <is>
          <t>WNBA</t>
        </is>
      </c>
      <c r="F28" s="24" t="inlineStr">
        <is>
          <t>Indiana Fever</t>
        </is>
      </c>
      <c r="G28" s="24" t="inlineStr">
        <is>
          <t>Chicago Sky</t>
        </is>
      </c>
      <c r="H28" s="24" t="inlineStr">
        <is>
          <t>spread</t>
        </is>
      </c>
      <c r="I28" s="24" t="inlineStr">
        <is>
          <t>home</t>
        </is>
      </c>
      <c r="J28" s="25" t="n">
        <v>2.5</v>
      </c>
      <c r="K28" s="24" t="inlineStr">
        <is>
          <t>polymarket_us</t>
        </is>
      </c>
      <c r="L28" s="26" t="n">
        <v>-113</v>
      </c>
      <c r="M28" s="27" t="n">
        <v>1.884956</v>
      </c>
      <c r="N28" s="28" t="n">
        <v>0.530516</v>
      </c>
      <c r="O28" s="28" t="n">
        <v>0.570526</v>
      </c>
      <c r="P28" s="28" t="n">
        <v>0.03</v>
      </c>
      <c r="Q28" s="28" t="n">
        <v>0.04001</v>
      </c>
      <c r="R28" s="26" t="n">
        <v>52</v>
      </c>
      <c r="S28" s="29" t="n">
        <v>1</v>
      </c>
      <c r="T28" s="24" t="inlineStr">
        <is>
          <t>wnba-spread-margin-v1</t>
        </is>
      </c>
      <c r="U28" s="24" t="inlineStr">
        <is>
          <t>settled</t>
        </is>
      </c>
      <c r="V28" s="24" t="inlineStr">
        <is>
          <t>loss</t>
        </is>
      </c>
      <c r="W28" s="26" t="n">
        <v>113</v>
      </c>
      <c r="X28" s="26" t="n">
        <v>90</v>
      </c>
      <c r="Y28" s="25" t="n"/>
      <c r="Z28" s="26" t="n"/>
      <c r="AA28" s="28" t="n"/>
      <c r="AB28" s="28" t="n"/>
      <c r="AC28" s="30" t="n">
        <v>-1</v>
      </c>
      <c r="AD28" s="24" t="inlineStr">
        <is>
          <t>2026-08-24T01:35:13.239101Z</t>
        </is>
      </c>
      <c r="AE28" s="31" t="inlineStr">
        <is>
          <t>Projected margin -0.6 (home), sd 10.5. Executable ask 0.5300 (asc-wnba-ind-chi-2026-08-23-neg-2pt5).</t>
        </is>
      </c>
      <c r="AF28" s="31" t="inlineStr">
        <is>
          <t>Research-baseline margin-normal spread model; not yet locked-holdout qualified.</t>
        </is>
      </c>
      <c r="AG28" s="24" t="inlineStr">
        <is>
          <t>review_required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4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wnba-ind</t>
        </is>
      </c>
      <c r="AQ28" s="24" t="inlineStr">
        <is>
          <t>Indiana Fever</t>
        </is>
      </c>
      <c r="AR28" s="24" t="inlineStr">
        <is>
          <t>Indiana Fever</t>
        </is>
      </c>
      <c r="AS28" s="24" t="inlineStr">
        <is>
          <t>wnba-chi</t>
        </is>
      </c>
      <c r="AT28" s="24" t="inlineStr">
        <is>
          <t>Chicago Sky</t>
        </is>
      </c>
      <c r="AU28" s="24" t="inlineStr">
        <is>
          <t>Chicago Sky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research</t>
        </is>
      </c>
      <c r="BA28" s="24" t="inlineStr">
        <is>
          <t>23ba88bcc86a710d76233b349116f2eefe021a993d2d3b9102922e567a027b4c</t>
        </is>
      </c>
      <c r="BB28" s="24" t="inlineStr">
        <is>
          <t>margin_normal</t>
        </is>
      </c>
      <c r="BC28" s="24" t="inlineStr">
        <is>
          <t>wnba-spread-margin-v1</t>
        </is>
      </c>
      <c r="BD28" s="24" t="inlineStr">
        <is>
          <t>23ba88bcc86a710d76233b349116f2eefe021a993d2d3b9102922e567a027b4c</t>
        </is>
      </c>
      <c r="BE28" s="24" t="inlineStr">
        <is>
          <t>wnba-spread-margin-v1</t>
        </is>
      </c>
      <c r="BF28" s="24" t="inlineStr">
        <is>
          <t>1</t>
        </is>
      </c>
      <c r="BG28" s="24" t="inlineStr">
        <is>
          <t>23ba88bcc86a710d76233b349116f2eefe021a993d2d3b9102922e567a027b4c</t>
        </is>
      </c>
      <c r="BH28" s="24" t="inlineStr">
        <is>
          <t>2026-08-23T22:31:13.901652+00:00</t>
        </is>
      </c>
      <c r="BI28" s="24" t="inlineStr">
        <is>
          <t>["same_event","same_team_same_day","same_league_same_day"]</t>
        </is>
      </c>
      <c r="BJ28" s="25" t="n">
        <v>2.5</v>
      </c>
      <c r="BK28" s="26" t="n">
        <v>-113</v>
      </c>
      <c r="BL28" s="27" t="n">
        <v>1.884956</v>
      </c>
      <c r="BM28" s="28" t="n">
        <v>0.530516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0.530516</t>
        </is>
      </c>
      <c r="DK28" s="24" t="n"/>
      <c r="DL28" s="24" t="n"/>
      <c r="DM28" s="24" t="n"/>
      <c r="DN28" s="24" t="n"/>
      <c r="DO28" s="24" t="n"/>
      <c r="DP28" s="24" t="n"/>
    </row>
    <row r="29" ht="36" customHeight="1">
      <c r="A29" s="24" t="inlineStr">
        <is>
          <t>8f686dbed7dc484b</t>
        </is>
      </c>
      <c r="B29" s="24" t="inlineStr">
        <is>
          <t>2026-08-23T22:31:14.067624Z</t>
        </is>
      </c>
      <c r="C29" s="24" t="inlineStr">
        <is>
          <t>2026-08-23T23:00Z</t>
        </is>
      </c>
      <c r="D29" s="24" t="inlineStr">
        <is>
          <t>401857169</t>
        </is>
      </c>
      <c r="E29" s="24" t="inlineStr">
        <is>
          <t>WNBA</t>
        </is>
      </c>
      <c r="F29" s="24" t="inlineStr">
        <is>
          <t>Washington Mystics</t>
        </is>
      </c>
      <c r="G29" s="24" t="inlineStr">
        <is>
          <t>Portland Fire</t>
        </is>
      </c>
      <c r="H29" s="24" t="inlineStr">
        <is>
          <t>spread</t>
        </is>
      </c>
      <c r="I29" s="24" t="inlineStr">
        <is>
          <t>home</t>
        </is>
      </c>
      <c r="J29" s="25" t="n">
        <v>5.5</v>
      </c>
      <c r="K29" s="24" t="inlineStr">
        <is>
          <t>polymarket_us</t>
        </is>
      </c>
      <c r="L29" s="26" t="n">
        <v>-108</v>
      </c>
      <c r="M29" s="27" t="n">
        <v>1.925926</v>
      </c>
      <c r="N29" s="28" t="n">
        <v>0.519231</v>
      </c>
      <c r="O29" s="28" t="n">
        <v>0.722981</v>
      </c>
      <c r="P29" s="28" t="n">
        <v>0.03</v>
      </c>
      <c r="Q29" s="28" t="n">
        <v>0.20375</v>
      </c>
      <c r="R29" s="26" t="n">
        <v>100</v>
      </c>
      <c r="S29" s="29" t="n">
        <v>2</v>
      </c>
      <c r="T29" s="24" t="inlineStr">
        <is>
          <t>wnba-spread-margin-v1</t>
        </is>
      </c>
      <c r="U29" s="24" t="inlineStr">
        <is>
          <t>settled</t>
        </is>
      </c>
      <c r="V29" s="24" t="inlineStr">
        <is>
          <t>win</t>
        </is>
      </c>
      <c r="W29" s="26" t="n">
        <v>105</v>
      </c>
      <c r="X29" s="26" t="n">
        <v>100</v>
      </c>
      <c r="Y29" s="25" t="n"/>
      <c r="Z29" s="26" t="n"/>
      <c r="AA29" s="28" t="n"/>
      <c r="AB29" s="28" t="n"/>
      <c r="AC29" s="30" t="n">
        <v>1.8519</v>
      </c>
      <c r="AD29" s="24" t="inlineStr">
        <is>
          <t>2026-08-24T01:35:14.220087Z</t>
        </is>
      </c>
      <c r="AE29" s="31" t="inlineStr">
        <is>
          <t>Projected margin +0.7 (home), sd 10.5. Executable ask 0.5200 (asc-wnba-wsh-por-2026-08-23-neg-5pt5).</t>
        </is>
      </c>
      <c r="AF29" s="31" t="inlineStr">
        <is>
          <t>Research-baseline margin-normal spread model; not yet locked-holdout qualified.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4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wnba-was</t>
        </is>
      </c>
      <c r="AQ29" s="24" t="inlineStr">
        <is>
          <t>Washington Mystics</t>
        </is>
      </c>
      <c r="AR29" s="24" t="inlineStr">
        <is>
          <t>Washington Mystics</t>
        </is>
      </c>
      <c r="AS29" s="24" t="inlineStr">
        <is>
          <t>wnba-por</t>
        </is>
      </c>
      <c r="AT29" s="24" t="inlineStr">
        <is>
          <t>Portland Fire</t>
        </is>
      </c>
      <c r="AU29" s="24" t="inlineStr">
        <is>
          <t>Portland Fire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research</t>
        </is>
      </c>
      <c r="BA29" s="24" t="inlineStr">
        <is>
          <t>23ba88bcc86a710d76233b349116f2eefe021a993d2d3b9102922e567a027b4c</t>
        </is>
      </c>
      <c r="BB29" s="24" t="inlineStr">
        <is>
          <t>margin_normal</t>
        </is>
      </c>
      <c r="BC29" s="24" t="inlineStr">
        <is>
          <t>wnba-spread-margin-v1</t>
        </is>
      </c>
      <c r="BD29" s="24" t="inlineStr">
        <is>
          <t>23ba88bcc86a710d76233b349116f2eefe021a993d2d3b9102922e567a027b4c</t>
        </is>
      </c>
      <c r="BE29" s="24" t="inlineStr">
        <is>
          <t>wnba-spread-margin-v1</t>
        </is>
      </c>
      <c r="BF29" s="24" t="inlineStr">
        <is>
          <t>1</t>
        </is>
      </c>
      <c r="BG29" s="24" t="inlineStr">
        <is>
          <t>23ba88bcc86a710d76233b349116f2eefe021a993d2d3b9102922e567a027b4c</t>
        </is>
      </c>
      <c r="BH29" s="24" t="inlineStr">
        <is>
          <t>2026-08-23T22:31:13.901652+00:00</t>
        </is>
      </c>
      <c r="BI29" s="24" t="inlineStr">
        <is>
          <t>["same_event","same_team_same_day","same_league_same_day"]</t>
        </is>
      </c>
      <c r="BJ29" s="25" t="n">
        <v>5.5</v>
      </c>
      <c r="BK29" s="26" t="n">
        <v>-108</v>
      </c>
      <c r="BL29" s="27" t="n">
        <v>1.925926</v>
      </c>
      <c r="BM29" s="28" t="n">
        <v>0.519231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0.519231</t>
        </is>
      </c>
      <c r="DK29" s="24" t="n"/>
      <c r="DL29" s="24" t="n"/>
      <c r="DM29" s="24" t="n"/>
      <c r="DN29" s="24" t="n"/>
      <c r="DO29" s="24" t="n"/>
      <c r="DP29" s="24" t="n"/>
    </row>
    <row r="30" ht="36" customHeight="1">
      <c r="A30" s="24" t="inlineStr">
        <is>
          <t>1bd4c10780204399</t>
        </is>
      </c>
      <c r="B30" s="24" t="inlineStr">
        <is>
          <t>2026-08-23T22:31:14.067624Z</t>
        </is>
      </c>
      <c r="C30" s="24" t="inlineStr">
        <is>
          <t>2026-08-23T23:00Z</t>
        </is>
      </c>
      <c r="D30" s="24" t="inlineStr">
        <is>
          <t>401857170</t>
        </is>
      </c>
      <c r="E30" s="24" t="inlineStr">
        <is>
          <t>WNBA</t>
        </is>
      </c>
      <c r="F30" s="24" t="inlineStr">
        <is>
          <t>Las Vegas Aces</t>
        </is>
      </c>
      <c r="G30" s="24" t="inlineStr">
        <is>
          <t>Toronto Tempo</t>
        </is>
      </c>
      <c r="H30" s="24" t="inlineStr">
        <is>
          <t>spread</t>
        </is>
      </c>
      <c r="I30" s="24" t="inlineStr">
        <is>
          <t>home</t>
        </is>
      </c>
      <c r="J30" s="25" t="n">
        <v>10.5</v>
      </c>
      <c r="K30" s="24" t="inlineStr">
        <is>
          <t>polymarket_us</t>
        </is>
      </c>
      <c r="L30" s="26" t="n">
        <v>-104</v>
      </c>
      <c r="M30" s="27" t="n">
        <v>1.961538</v>
      </c>
      <c r="N30" s="28" t="n">
        <v>0.509804</v>
      </c>
      <c r="O30" s="28" t="n">
        <v>0.774792</v>
      </c>
      <c r="P30" s="28" t="n">
        <v>0.03</v>
      </c>
      <c r="Q30" s="28" t="n">
        <v>0.264988</v>
      </c>
      <c r="R30" s="26" t="n">
        <v>100</v>
      </c>
      <c r="S30" s="29" t="n">
        <v>2</v>
      </c>
      <c r="T30" s="24" t="inlineStr">
        <is>
          <t>wnba-spread-margin-v1</t>
        </is>
      </c>
      <c r="U30" s="24" t="inlineStr">
        <is>
          <t>settled</t>
        </is>
      </c>
      <c r="V30" s="24" t="inlineStr">
        <is>
          <t>win</t>
        </is>
      </c>
      <c r="W30" s="26" t="n">
        <v>88</v>
      </c>
      <c r="X30" s="26" t="n">
        <v>78</v>
      </c>
      <c r="Y30" s="25" t="n"/>
      <c r="Z30" s="26" t="n"/>
      <c r="AA30" s="28" t="n"/>
      <c r="AB30" s="28" t="n"/>
      <c r="AC30" s="30" t="n">
        <v>1.9231</v>
      </c>
      <c r="AD30" s="24" t="inlineStr">
        <is>
          <t>2026-08-24T01:35:15.268021Z</t>
        </is>
      </c>
      <c r="AE30" s="31" t="inlineStr">
        <is>
          <t>Projected margin -2.6 (home), sd 10.5. Executable ask 0.5100 (asc-wnba-lv-tor-2026-08-23-neg-10pt5).</t>
        </is>
      </c>
      <c r="AF30" s="31" t="inlineStr">
        <is>
          <t>Research-baseline margin-normal spread model; not yet locked-holdout qualified.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4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wnba-lva</t>
        </is>
      </c>
      <c r="AQ30" s="24" t="inlineStr">
        <is>
          <t>Las Vegas Aces</t>
        </is>
      </c>
      <c r="AR30" s="24" t="inlineStr">
        <is>
          <t>Las Vegas Aces</t>
        </is>
      </c>
      <c r="AS30" s="24" t="inlineStr">
        <is>
          <t>wnba-tor</t>
        </is>
      </c>
      <c r="AT30" s="24" t="inlineStr">
        <is>
          <t>Toronto Tempo</t>
        </is>
      </c>
      <c r="AU30" s="24" t="inlineStr">
        <is>
          <t>Toronto Tempo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research</t>
        </is>
      </c>
      <c r="BA30" s="24" t="inlineStr">
        <is>
          <t>23ba88bcc86a710d76233b349116f2eefe021a993d2d3b9102922e567a027b4c</t>
        </is>
      </c>
      <c r="BB30" s="24" t="inlineStr">
        <is>
          <t>margin_normal</t>
        </is>
      </c>
      <c r="BC30" s="24" t="inlineStr">
        <is>
          <t>wnba-spread-margin-v1</t>
        </is>
      </c>
      <c r="BD30" s="24" t="inlineStr">
        <is>
          <t>23ba88bcc86a710d76233b349116f2eefe021a993d2d3b9102922e567a027b4c</t>
        </is>
      </c>
      <c r="BE30" s="24" t="inlineStr">
        <is>
          <t>wnba-spread-margin-v1</t>
        </is>
      </c>
      <c r="BF30" s="24" t="inlineStr">
        <is>
          <t>1</t>
        </is>
      </c>
      <c r="BG30" s="24" t="inlineStr">
        <is>
          <t>23ba88bcc86a710d76233b349116f2eefe021a993d2d3b9102922e567a027b4c</t>
        </is>
      </c>
      <c r="BH30" s="24" t="inlineStr">
        <is>
          <t>2026-08-23T22:31:13.901652+00:00</t>
        </is>
      </c>
      <c r="BI30" s="24" t="inlineStr">
        <is>
          <t>["same_event","same_team_same_day","same_league_same_day"]</t>
        </is>
      </c>
      <c r="BJ30" s="25" t="n">
        <v>10.5</v>
      </c>
      <c r="BK30" s="26" t="n">
        <v>-104</v>
      </c>
      <c r="BL30" s="27" t="n">
        <v>1.961538</v>
      </c>
      <c r="BM30" s="28" t="n">
        <v>0.509804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True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0.509804</t>
        </is>
      </c>
      <c r="DK30" s="24" t="n"/>
      <c r="DL30" s="24" t="n"/>
      <c r="DM30" s="24" t="n"/>
      <c r="DN30" s="24" t="n"/>
      <c r="DO30" s="24" t="n"/>
      <c r="DP30" s="24" t="n"/>
    </row>
    <row r="31" ht="36" customHeight="1">
      <c r="A31" s="24" t="inlineStr">
        <is>
          <t>3c4b631eca1d4024</t>
        </is>
      </c>
      <c r="B31" s="24" t="inlineStr">
        <is>
          <t>2026-08-24T21:15:25.892264Z</t>
        </is>
      </c>
      <c r="C31" s="24" t="inlineStr">
        <is>
          <t>2026-08-25T00:00Z</t>
        </is>
      </c>
      <c r="D31" s="24" t="inlineStr">
        <is>
          <t>401857171</t>
        </is>
      </c>
      <c r="E31" s="24" t="inlineStr">
        <is>
          <t>WNBA</t>
        </is>
      </c>
      <c r="F31" s="24" t="inlineStr">
        <is>
          <t>Golden State Valkyries</t>
        </is>
      </c>
      <c r="G31" s="24" t="inlineStr">
        <is>
          <t>Minnesota Lynx</t>
        </is>
      </c>
      <c r="H31" s="24" t="inlineStr">
        <is>
          <t>spread</t>
        </is>
      </c>
      <c r="I31" s="24" t="inlineStr">
        <is>
          <t>away</t>
        </is>
      </c>
      <c r="J31" s="25" t="n">
        <v>4.5</v>
      </c>
      <c r="K31" s="24" t="inlineStr">
        <is>
          <t>polymarket_us</t>
        </is>
      </c>
      <c r="L31" s="26" t="n">
        <v>100</v>
      </c>
      <c r="M31" s="27" t="n">
        <v>2</v>
      </c>
      <c r="N31" s="28" t="n">
        <v>0.5</v>
      </c>
      <c r="O31" s="28" t="n">
        <v>0.545075</v>
      </c>
      <c r="P31" s="28" t="n">
        <v>0.03</v>
      </c>
      <c r="Q31" s="28" t="n">
        <v>0.045075</v>
      </c>
      <c r="R31" s="26" t="n">
        <v>55</v>
      </c>
      <c r="S31" s="29" t="n">
        <v>1</v>
      </c>
      <c r="T31" s="24" t="inlineStr">
        <is>
          <t>wnba-spread-margin-v1</t>
        </is>
      </c>
      <c r="U31" s="24" t="inlineStr">
        <is>
          <t>settled</t>
        </is>
      </c>
      <c r="V31" s="24" t="inlineStr">
        <is>
          <t>win</t>
        </is>
      </c>
      <c r="W31" s="26" t="n">
        <v>80</v>
      </c>
      <c r="X31" s="26" t="n">
        <v>66</v>
      </c>
      <c r="Y31" s="25" t="n"/>
      <c r="Z31" s="26" t="n"/>
      <c r="AA31" s="28" t="n"/>
      <c r="AB31" s="28" t="n"/>
      <c r="AC31" s="30" t="n">
        <v>1</v>
      </c>
      <c r="AD31" s="24" t="inlineStr">
        <is>
          <t>2026-08-25T03:25:02.155182Z</t>
        </is>
      </c>
      <c r="AE31" s="31" t="inlineStr">
        <is>
          <t>Projected margin +3.3 (home), sd 10.5. Executable ask 0.5000 (asc-wnba-gsv-min-2026-08-24-pos-4pt5).</t>
        </is>
      </c>
      <c r="AF31" s="31" t="inlineStr">
        <is>
          <t>Research-baseline margin-normal spread model; not yet locked-holdout qualified.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paper_call</t>
        </is>
      </c>
      <c r="AL31" s="26" t="n">
        <v>4</v>
      </c>
      <c r="AM31" s="24" t="inlineStr">
        <is>
          <t>RESEARCH_OBSERVATION</t>
        </is>
      </c>
      <c r="AN31" s="24" t="inlineStr">
        <is>
          <t>CALL</t>
        </is>
      </c>
      <c r="AO31" s="24" t="inlineStr">
        <is>
          <t>PAPER_CALL_MODEL_UNVALIDATED</t>
        </is>
      </c>
      <c r="AP31" s="24" t="inlineStr">
        <is>
          <t>wnba-gsv</t>
        </is>
      </c>
      <c r="AQ31" s="24" t="inlineStr">
        <is>
          <t>Golden State Valkyries</t>
        </is>
      </c>
      <c r="AR31" s="24" t="inlineStr">
        <is>
          <t>Golden State Valkyries</t>
        </is>
      </c>
      <c r="AS31" s="24" t="inlineStr">
        <is>
          <t>wnba-min</t>
        </is>
      </c>
      <c r="AT31" s="24" t="inlineStr">
        <is>
          <t>Minnesota Lynx</t>
        </is>
      </c>
      <c r="AU31" s="24" t="inlineStr">
        <is>
          <t>Minnesota Lynx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research</t>
        </is>
      </c>
      <c r="BA31" s="24" t="inlineStr">
        <is>
          <t>23ba88bcc86a710d76233b349116f2eefe021a993d2d3b9102922e567a027b4c</t>
        </is>
      </c>
      <c r="BB31" s="24" t="inlineStr">
        <is>
          <t>margin_normal</t>
        </is>
      </c>
      <c r="BC31" s="24" t="inlineStr">
        <is>
          <t>wnba-spread-margin-v1</t>
        </is>
      </c>
      <c r="BD31" s="24" t="inlineStr">
        <is>
          <t>23ba88bcc86a710d76233b349116f2eefe021a993d2d3b9102922e567a027b4c</t>
        </is>
      </c>
      <c r="BE31" s="24" t="inlineStr">
        <is>
          <t>wnba-spread-margin-v1</t>
        </is>
      </c>
      <c r="BF31" s="24" t="inlineStr">
        <is>
          <t>1</t>
        </is>
      </c>
      <c r="BG31" s="24" t="inlineStr">
        <is>
          <t>23ba88bcc86a710d76233b349116f2eefe021a993d2d3b9102922e567a027b4c</t>
        </is>
      </c>
      <c r="BH31" s="24" t="inlineStr">
        <is>
          <t>2026-08-24T14:59:18.162119Z</t>
        </is>
      </c>
      <c r="BI31" s="24" t="inlineStr">
        <is>
          <t>["same_event","same_team_same_day","same_league_same_day"]</t>
        </is>
      </c>
      <c r="BJ31" s="25" t="n">
        <v>4.5</v>
      </c>
      <c r="BK31" s="26" t="n">
        <v>100</v>
      </c>
      <c r="BL31" s="27" t="n">
        <v>2</v>
      </c>
      <c r="BM31" s="28" t="n">
        <v>0.5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True</t>
        </is>
      </c>
      <c r="CT31" s="24" t="n"/>
      <c r="CU31" s="24" t="n"/>
      <c r="CV31" s="24" t="n"/>
      <c r="CW31" s="24" t="n"/>
      <c r="CX31" s="24" t="n"/>
      <c r="CY31" s="24" t="inlineStr">
        <is>
          <t>2026-08-24T14:59:18.162119Z</t>
        </is>
      </c>
      <c r="CZ31" s="24" t="inlineStr">
        <is>
          <t>True</t>
        </is>
      </c>
      <c r="DA31" s="24" t="inlineStr">
        <is>
          <t>polymarket_us</t>
        </is>
      </c>
      <c r="DB31" s="24" t="inlineStr">
        <is>
          <t>decision_time_executable_quote</t>
        </is>
      </c>
      <c r="DC31" s="24" t="inlineStr">
        <is>
          <t>False</t>
        </is>
      </c>
      <c r="DD31" s="24" t="inlineStr">
        <is>
          <t>61f57cdc33dc56182a6d0fdb877b2b718293f6fe0ddc95631d988a2df61fbd88</t>
        </is>
      </c>
      <c r="DE31" s="24" t="inlineStr">
        <is>
          <t>/Users/vincentc9002/model-prediction/data/odds/wnba/2026-08-24/polymarket_snapshots.jsonl</t>
        </is>
      </c>
      <c r="DF31" s="24" t="inlineStr">
        <is>
          <t>61f57cdc33dc56182a6d0fdb877b2b718293f6fe0ddc95631d988a2df61fbd88</t>
        </is>
      </c>
      <c r="DG31" s="24" t="n"/>
      <c r="DH31" s="24" t="n"/>
      <c r="DI31" s="24" t="n"/>
      <c r="DJ31" s="24" t="inlineStr">
        <is>
          <t>0.5</t>
        </is>
      </c>
      <c r="DK31" s="24" t="n"/>
      <c r="DL31" s="24" t="n"/>
      <c r="DM31" s="24" t="n"/>
      <c r="DN31" s="24" t="n"/>
      <c r="DO31" s="24" t="n"/>
      <c r="DP31" s="24" t="n"/>
    </row>
    <row r="32" ht="36" customHeight="1">
      <c r="A32" s="24" t="inlineStr">
        <is>
          <t>f3e3918d2fbf4a39</t>
        </is>
      </c>
      <c r="B32" s="24" t="inlineStr">
        <is>
          <t>2026-08-25T00:22:08.626169Z</t>
        </is>
      </c>
      <c r="C32" s="24" t="inlineStr">
        <is>
          <t>2026-08-25T02:00Z</t>
        </is>
      </c>
      <c r="D32" s="24" t="inlineStr">
        <is>
          <t>401857172</t>
        </is>
      </c>
      <c r="E32" s="24" t="inlineStr">
        <is>
          <t>WNBA</t>
        </is>
      </c>
      <c r="F32" s="24" t="inlineStr">
        <is>
          <t>Atlanta Dream</t>
        </is>
      </c>
      <c r="G32" s="24" t="inlineStr">
        <is>
          <t>Los Angeles Sparks</t>
        </is>
      </c>
      <c r="H32" s="24" t="inlineStr">
        <is>
          <t>spread</t>
        </is>
      </c>
      <c r="I32" s="24" t="inlineStr">
        <is>
          <t>home</t>
        </is>
      </c>
      <c r="J32" s="25" t="n">
        <v>10.5</v>
      </c>
      <c r="K32" s="24" t="inlineStr">
        <is>
          <t>polymarket_us</t>
        </is>
      </c>
      <c r="L32" s="26" t="n">
        <v>-104</v>
      </c>
      <c r="M32" s="27" t="n">
        <v>1.961538</v>
      </c>
      <c r="N32" s="28" t="n">
        <v>0.509804</v>
      </c>
      <c r="O32" s="28" t="n">
        <v>0.745718</v>
      </c>
      <c r="P32" s="28" t="n">
        <v>0.03</v>
      </c>
      <c r="Q32" s="28" t="n">
        <v>0.235914</v>
      </c>
      <c r="R32" s="26" t="n">
        <v>100</v>
      </c>
      <c r="S32" s="29" t="n">
        <v>2</v>
      </c>
      <c r="T32" s="24" t="inlineStr">
        <is>
          <t>wnba-spread-margin-v1</t>
        </is>
      </c>
      <c r="U32" s="24" t="inlineStr">
        <is>
          <t>settled</t>
        </is>
      </c>
      <c r="V32" s="24" t="inlineStr">
        <is>
          <t>win</t>
        </is>
      </c>
      <c r="W32" s="26" t="n">
        <v>78</v>
      </c>
      <c r="X32" s="26" t="n">
        <v>71</v>
      </c>
      <c r="Y32" s="25" t="n"/>
      <c r="Z32" s="26" t="n"/>
      <c r="AA32" s="28" t="n"/>
      <c r="AB32" s="28" t="n"/>
      <c r="AC32" s="30" t="n">
        <v>1.9231</v>
      </c>
      <c r="AD32" s="24" t="inlineStr">
        <is>
          <t>2026-08-25T04:32:28.752059Z</t>
        </is>
      </c>
      <c r="AE32" s="31" t="inlineStr">
        <is>
          <t>Projected margin -3.6 (home), sd 10.5. Executable ask 0.5100 (asc-wnba-atl-la-2026-08-24-neg-10pt5).</t>
        </is>
      </c>
      <c r="AF32" s="31" t="inlineStr">
        <is>
          <t>Research-baseline margin-normal spread model; not yet locked-holdout qualified.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paper_call</t>
        </is>
      </c>
      <c r="AL32" s="26" t="n">
        <v>4</v>
      </c>
      <c r="AM32" s="24" t="inlineStr">
        <is>
          <t>RESEARCH_OBSERVATION</t>
        </is>
      </c>
      <c r="AN32" s="24" t="inlineStr">
        <is>
          <t>CALL</t>
        </is>
      </c>
      <c r="AO32" s="24" t="inlineStr">
        <is>
          <t>PAPER_CALL_MODEL_UNVALIDATED</t>
        </is>
      </c>
      <c r="AP32" s="24" t="inlineStr">
        <is>
          <t>wnba-atl</t>
        </is>
      </c>
      <c r="AQ32" s="24" t="inlineStr">
        <is>
          <t>Atlanta Dream</t>
        </is>
      </c>
      <c r="AR32" s="24" t="inlineStr">
        <is>
          <t>Atlanta Dream</t>
        </is>
      </c>
      <c r="AS32" s="24" t="inlineStr">
        <is>
          <t>wnba-las</t>
        </is>
      </c>
      <c r="AT32" s="24" t="inlineStr">
        <is>
          <t>Los Angeles Sparks</t>
        </is>
      </c>
      <c r="AU32" s="24" t="inlineStr">
        <is>
          <t>Los Angeles Sparks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research</t>
        </is>
      </c>
      <c r="BA32" s="24" t="inlineStr">
        <is>
          <t>23ba88bcc86a710d76233b349116f2eefe021a993d2d3b9102922e567a027b4c</t>
        </is>
      </c>
      <c r="BB32" s="24" t="inlineStr">
        <is>
          <t>margin_normal</t>
        </is>
      </c>
      <c r="BC32" s="24" t="inlineStr">
        <is>
          <t>wnba-spread-margin-v1</t>
        </is>
      </c>
      <c r="BD32" s="24" t="inlineStr">
        <is>
          <t>23ba88bcc86a710d76233b349116f2eefe021a993d2d3b9102922e567a027b4c</t>
        </is>
      </c>
      <c r="BE32" s="24" t="inlineStr">
        <is>
          <t>wnba-spread-margin-v1</t>
        </is>
      </c>
      <c r="BF32" s="24" t="inlineStr">
        <is>
          <t>1</t>
        </is>
      </c>
      <c r="BG32" s="24" t="inlineStr">
        <is>
          <t>23ba88bcc86a710d76233b349116f2eefe021a993d2d3b9102922e567a027b4c</t>
        </is>
      </c>
      <c r="BH32" s="24" t="inlineStr">
        <is>
          <t>2026-08-24T14:59:18.247971Z</t>
        </is>
      </c>
      <c r="BI32" s="24" t="inlineStr">
        <is>
          <t>["same_event","same_team_same_day","same_league_same_day"]</t>
        </is>
      </c>
      <c r="BJ32" s="25" t="n">
        <v>10.5</v>
      </c>
      <c r="BK32" s="26" t="n">
        <v>-104</v>
      </c>
      <c r="BL32" s="27" t="n">
        <v>1.961538</v>
      </c>
      <c r="BM32" s="28" t="n">
        <v>0.509804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True</t>
        </is>
      </c>
      <c r="CT32" s="24" t="n"/>
      <c r="CU32" s="24" t="n"/>
      <c r="CV32" s="24" t="n"/>
      <c r="CW32" s="24" t="n"/>
      <c r="CX32" s="24" t="n"/>
      <c r="CY32" s="24" t="inlineStr">
        <is>
          <t>2026-08-24T14:59:18.247971Z</t>
        </is>
      </c>
      <c r="CZ32" s="24" t="inlineStr">
        <is>
          <t>True</t>
        </is>
      </c>
      <c r="DA32" s="24" t="inlineStr">
        <is>
          <t>polymarket_us</t>
        </is>
      </c>
      <c r="DB32" s="24" t="inlineStr">
        <is>
          <t>decision_time_executable_quote</t>
        </is>
      </c>
      <c r="DC32" s="24" t="inlineStr">
        <is>
          <t>False</t>
        </is>
      </c>
      <c r="DD32" s="24" t="inlineStr">
        <is>
          <t>b4dc630fabff25518d5b2eb4c071aa186e89aeb405c4a3a7da87e8f09bcd25ac</t>
        </is>
      </c>
      <c r="DE32" s="24" t="inlineStr">
        <is>
          <t>/Users/vincentc9002/model-prediction/data/odds/wnba/2026-08-24/polymarket_snapshots.jsonl</t>
        </is>
      </c>
      <c r="DF32" s="24" t="inlineStr">
        <is>
          <t>b4dc630fabff25518d5b2eb4c071aa186e89aeb405c4a3a7da87e8f09bcd25ac</t>
        </is>
      </c>
      <c r="DG32" s="24" t="n"/>
      <c r="DH32" s="24" t="n"/>
      <c r="DI32" s="24" t="n"/>
      <c r="DJ32" s="24" t="inlineStr">
        <is>
          <t>0.509804</t>
        </is>
      </c>
      <c r="DK32" s="24" t="n"/>
      <c r="DL32" s="24" t="n"/>
      <c r="DM32" s="24" t="n"/>
      <c r="DN32" s="24" t="n"/>
      <c r="DO32" s="24" t="n"/>
      <c r="DP32" s="24" t="n"/>
    </row>
    <row r="33" ht="36" customHeight="1">
      <c r="A33" s="24" t="inlineStr">
        <is>
          <t>813f3097f2424156</t>
        </is>
      </c>
      <c r="B33" s="24" t="inlineStr">
        <is>
          <t>2026-08-25T13:31:47.671398Z</t>
        </is>
      </c>
      <c r="C33" s="24" t="inlineStr">
        <is>
          <t>2026-08-25T23:00Z</t>
        </is>
      </c>
      <c r="D33" s="24" t="inlineStr">
        <is>
          <t>401857173</t>
        </is>
      </c>
      <c r="E33" s="24" t="inlineStr">
        <is>
          <t>WNBA</t>
        </is>
      </c>
      <c r="F33" s="24" t="inlineStr">
        <is>
          <t>Chicago Sky</t>
        </is>
      </c>
      <c r="G33" s="24" t="inlineStr">
        <is>
          <t>Connecticut Sun</t>
        </is>
      </c>
      <c r="H33" s="24" t="inlineStr">
        <is>
          <t>spread</t>
        </is>
      </c>
      <c r="I33" s="24" t="inlineStr">
        <is>
          <t>home</t>
        </is>
      </c>
      <c r="J33" s="25" t="n">
        <v>5.5</v>
      </c>
      <c r="K33" s="24" t="inlineStr">
        <is>
          <t>polymarket_us</t>
        </is>
      </c>
      <c r="L33" s="26" t="n">
        <v>100</v>
      </c>
      <c r="M33" s="27" t="n">
        <v>2</v>
      </c>
      <c r="N33" s="28" t="n">
        <v>0.5</v>
      </c>
      <c r="O33" s="28" t="n">
        <v>0.691258</v>
      </c>
      <c r="P33" s="28" t="n">
        <v>0.03</v>
      </c>
      <c r="Q33" s="28" t="n">
        <v>0.191258</v>
      </c>
      <c r="R33" s="26" t="n">
        <v>100</v>
      </c>
      <c r="S33" s="29" t="n">
        <v>2</v>
      </c>
      <c r="T33" s="24" t="inlineStr">
        <is>
          <t>wnba-spread-margin-v1</t>
        </is>
      </c>
      <c r="U33" s="24" t="inlineStr">
        <is>
          <t>settled</t>
        </is>
      </c>
      <c r="V33" s="24" t="inlineStr">
        <is>
          <t>win</t>
        </is>
      </c>
      <c r="W33" s="26" t="n">
        <v>81</v>
      </c>
      <c r="X33" s="26" t="n">
        <v>87</v>
      </c>
      <c r="Y33" s="25" t="n"/>
      <c r="Z33" s="26" t="n"/>
      <c r="AA33" s="28" t="n"/>
      <c r="AB33" s="28" t="n"/>
      <c r="AC33" s="30" t="n">
        <v>2</v>
      </c>
      <c r="AD33" s="24" t="inlineStr">
        <is>
          <t>2026-08-26T12:35:34.825041Z</t>
        </is>
      </c>
      <c r="AE33" s="31" t="inlineStr">
        <is>
          <t>Projected margin -0.3 (home), sd 10.5. Executable ask 0.5000 (asc-wnba-chi-conn-2026-08-25-neg-5pt5).</t>
        </is>
      </c>
      <c r="AF33" s="31" t="inlineStr">
        <is>
          <t>Research-baseline margin-normal spread model; not yet locked-holdout qualified.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paper_call</t>
        </is>
      </c>
      <c r="AL33" s="26" t="n">
        <v>4</v>
      </c>
      <c r="AM33" s="24" t="inlineStr">
        <is>
          <t>RESEARCH_OBSERVATION</t>
        </is>
      </c>
      <c r="AN33" s="24" t="inlineStr">
        <is>
          <t>CALL</t>
        </is>
      </c>
      <c r="AO33" s="24" t="inlineStr">
        <is>
          <t>PAPER_CALL_MODEL_UNVALIDATED</t>
        </is>
      </c>
      <c r="AP33" s="24" t="inlineStr">
        <is>
          <t>wnba-chi</t>
        </is>
      </c>
      <c r="AQ33" s="24" t="inlineStr">
        <is>
          <t>Chicago Sky</t>
        </is>
      </c>
      <c r="AR33" s="24" t="inlineStr">
        <is>
          <t>Chicago Sky</t>
        </is>
      </c>
      <c r="AS33" s="24" t="inlineStr">
        <is>
          <t>wnba-con</t>
        </is>
      </c>
      <c r="AT33" s="24" t="inlineStr">
        <is>
          <t>Connecticut Sun</t>
        </is>
      </c>
      <c r="AU33" s="24" t="inlineStr">
        <is>
          <t>Connecticut Sun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research</t>
        </is>
      </c>
      <c r="BA33" s="24" t="inlineStr">
        <is>
          <t>23ba88bcc86a710d76233b349116f2eefe021a993d2d3b9102922e567a027b4c</t>
        </is>
      </c>
      <c r="BB33" s="24" t="inlineStr">
        <is>
          <t>margin_normal</t>
        </is>
      </c>
      <c r="BC33" s="24" t="inlineStr">
        <is>
          <t>wnba-spread-margin-v1</t>
        </is>
      </c>
      <c r="BD33" s="24" t="inlineStr">
        <is>
          <t>23ba88bcc86a710d76233b349116f2eefe021a993d2d3b9102922e567a027b4c</t>
        </is>
      </c>
      <c r="BE33" s="24" t="inlineStr">
        <is>
          <t>wnba-spread-margin-v1</t>
        </is>
      </c>
      <c r="BF33" s="24" t="inlineStr">
        <is>
          <t>1</t>
        </is>
      </c>
      <c r="BG33" s="24" t="inlineStr">
        <is>
          <t>23ba88bcc86a710d76233b349116f2eefe021a993d2d3b9102922e567a027b4c</t>
        </is>
      </c>
      <c r="BH33" s="24" t="inlineStr">
        <is>
          <t>2026-08-25T04:58:24.179335Z</t>
        </is>
      </c>
      <c r="BI33" s="24" t="inlineStr">
        <is>
          <t>["same_event","same_team_same_day","same_league_same_day"]</t>
        </is>
      </c>
      <c r="BJ33" s="25" t="n">
        <v>5.5</v>
      </c>
      <c r="BK33" s="26" t="n">
        <v>100</v>
      </c>
      <c r="BL33" s="27" t="n">
        <v>2</v>
      </c>
      <c r="BM33" s="28" t="n">
        <v>0.5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True</t>
        </is>
      </c>
      <c r="CT33" s="24" t="n"/>
      <c r="CU33" s="24" t="n"/>
      <c r="CV33" s="24" t="n"/>
      <c r="CW33" s="24" t="n"/>
      <c r="CX33" s="24" t="n"/>
      <c r="CY33" s="24" t="inlineStr">
        <is>
          <t>2026-08-25T04:58:24.179335Z</t>
        </is>
      </c>
      <c r="CZ33" s="24" t="inlineStr">
        <is>
          <t>True</t>
        </is>
      </c>
      <c r="DA33" s="24" t="inlineStr">
        <is>
          <t>polymarket_us</t>
        </is>
      </c>
      <c r="DB33" s="24" t="inlineStr">
        <is>
          <t>decision_time_executable_quote</t>
        </is>
      </c>
      <c r="DC33" s="24" t="inlineStr">
        <is>
          <t>False</t>
        </is>
      </c>
      <c r="DD33" s="24" t="inlineStr">
        <is>
          <t>d3e29d44779efb8160275b2e36b028b5e1e81e87a06caec427f2e9b1a7239491</t>
        </is>
      </c>
      <c r="DE33" s="24" t="inlineStr">
        <is>
          <t>/Users/vincentc9002/model-prediction/data/odds/wnba/2026-08-25/polymarket_snapshots.jsonl</t>
        </is>
      </c>
      <c r="DF33" s="24" t="inlineStr">
        <is>
          <t>d3e29d44779efb8160275b2e36b028b5e1e81e87a06caec427f2e9b1a7239491</t>
        </is>
      </c>
      <c r="DG33" s="24" t="n"/>
      <c r="DH33" s="24" t="n"/>
      <c r="DI33" s="24" t="n"/>
      <c r="DJ33" s="24" t="inlineStr">
        <is>
          <t>0.5</t>
        </is>
      </c>
      <c r="DK33" s="24" t="n"/>
      <c r="DL33" s="24" t="n"/>
      <c r="DM33" s="24" t="n"/>
      <c r="DN33" s="24" t="n"/>
      <c r="DO33" s="24" t="n"/>
      <c r="DP33" s="24" t="n"/>
    </row>
    <row r="34" ht="36" customHeight="1">
      <c r="A34" s="24" t="inlineStr">
        <is>
          <t>2d18dbdeb7c94c9c</t>
        </is>
      </c>
      <c r="B34" s="24" t="inlineStr">
        <is>
          <t>2026-08-25T13:31:47.671398Z</t>
        </is>
      </c>
      <c r="C34" s="24" t="inlineStr">
        <is>
          <t>2026-08-26T00:00Z</t>
        </is>
      </c>
      <c r="D34" s="24" t="inlineStr">
        <is>
          <t>401857174</t>
        </is>
      </c>
      <c r="E34" s="24" t="inlineStr">
        <is>
          <t>WNBA</t>
        </is>
      </c>
      <c r="F34" s="24" t="inlineStr">
        <is>
          <t>Portland Fire</t>
        </is>
      </c>
      <c r="G34" s="24" t="inlineStr">
        <is>
          <t>Dallas Wings</t>
        </is>
      </c>
      <c r="H34" s="24" t="inlineStr">
        <is>
          <t>spread</t>
        </is>
      </c>
      <c r="I34" s="24" t="inlineStr">
        <is>
          <t>away</t>
        </is>
      </c>
      <c r="J34" s="25" t="n">
        <v>8.5</v>
      </c>
      <c r="K34" s="24" t="inlineStr">
        <is>
          <t>polymarket_us</t>
        </is>
      </c>
      <c r="L34" s="26" t="n">
        <v>100</v>
      </c>
      <c r="M34" s="27" t="n">
        <v>2</v>
      </c>
      <c r="N34" s="28" t="n">
        <v>0.5</v>
      </c>
      <c r="O34" s="28" t="n">
        <v>0.6644409999999999</v>
      </c>
      <c r="P34" s="28" t="n">
        <v>0.03</v>
      </c>
      <c r="Q34" s="28" t="n">
        <v>0.164441</v>
      </c>
      <c r="R34" s="26" t="n">
        <v>100</v>
      </c>
      <c r="S34" s="29" t="n">
        <v>2</v>
      </c>
      <c r="T34" s="24" t="inlineStr">
        <is>
          <t>wnba-spread-margin-v1</t>
        </is>
      </c>
      <c r="U34" s="24" t="inlineStr">
        <is>
          <t>settled</t>
        </is>
      </c>
      <c r="V34" s="24" t="inlineStr">
        <is>
          <t>loss</t>
        </is>
      </c>
      <c r="W34" s="26" t="n">
        <v>78</v>
      </c>
      <c r="X34" s="26" t="n">
        <v>96</v>
      </c>
      <c r="Y34" s="25" t="n"/>
      <c r="Z34" s="26" t="n"/>
      <c r="AA34" s="28" t="n"/>
      <c r="AB34" s="28" t="n"/>
      <c r="AC34" s="30" t="n">
        <v>-2</v>
      </c>
      <c r="AD34" s="24" t="inlineStr">
        <is>
          <t>2026-08-26T12:35:35.406102Z</t>
        </is>
      </c>
      <c r="AE34" s="31" t="inlineStr">
        <is>
          <t>Projected margin +4.0 (home), sd 10.5. Executable ask 0.5000 (asc-wnba-por-dal-2026-08-25-pos-8pt5).</t>
        </is>
      </c>
      <c r="AF34" s="31" t="inlineStr">
        <is>
          <t>Research-baseline margin-normal spread model; not yet locked-holdout qualified.</t>
        </is>
      </c>
      <c r="AG34" s="24" t="inlineStr">
        <is>
          <t>review_required</t>
        </is>
      </c>
      <c r="AH34" s="24" t="n"/>
      <c r="AI34" s="31" t="n"/>
      <c r="AJ34" s="31" t="n"/>
      <c r="AK34" s="24" t="inlineStr">
        <is>
          <t>paper_call</t>
        </is>
      </c>
      <c r="AL34" s="26" t="n">
        <v>4</v>
      </c>
      <c r="AM34" s="24" t="inlineStr">
        <is>
          <t>RESEARCH_OBSERVATION</t>
        </is>
      </c>
      <c r="AN34" s="24" t="inlineStr">
        <is>
          <t>CALL</t>
        </is>
      </c>
      <c r="AO34" s="24" t="inlineStr">
        <is>
          <t>PAPER_CALL_MODEL_UNVALIDATED</t>
        </is>
      </c>
      <c r="AP34" s="24" t="inlineStr">
        <is>
          <t>wnba-por</t>
        </is>
      </c>
      <c r="AQ34" s="24" t="inlineStr">
        <is>
          <t>Portland Fire</t>
        </is>
      </c>
      <c r="AR34" s="24" t="inlineStr">
        <is>
          <t>Portland Fire</t>
        </is>
      </c>
      <c r="AS34" s="24" t="inlineStr">
        <is>
          <t>wnba-dal</t>
        </is>
      </c>
      <c r="AT34" s="24" t="inlineStr">
        <is>
          <t>Dallas Wings</t>
        </is>
      </c>
      <c r="AU34" s="24" t="inlineStr">
        <is>
          <t>Dallas Wings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research</t>
        </is>
      </c>
      <c r="BA34" s="24" t="inlineStr">
        <is>
          <t>23ba88bcc86a710d76233b349116f2eefe021a993d2d3b9102922e567a027b4c</t>
        </is>
      </c>
      <c r="BB34" s="24" t="inlineStr">
        <is>
          <t>margin_normal</t>
        </is>
      </c>
      <c r="BC34" s="24" t="inlineStr">
        <is>
          <t>wnba-spread-margin-v1</t>
        </is>
      </c>
      <c r="BD34" s="24" t="inlineStr">
        <is>
          <t>23ba88bcc86a710d76233b349116f2eefe021a993d2d3b9102922e567a027b4c</t>
        </is>
      </c>
      <c r="BE34" s="24" t="inlineStr">
        <is>
          <t>wnba-spread-margin-v1</t>
        </is>
      </c>
      <c r="BF34" s="24" t="inlineStr">
        <is>
          <t>1</t>
        </is>
      </c>
      <c r="BG34" s="24" t="inlineStr">
        <is>
          <t>23ba88bcc86a710d76233b349116f2eefe021a993d2d3b9102922e567a027b4c</t>
        </is>
      </c>
      <c r="BH34" s="24" t="inlineStr">
        <is>
          <t>2026-08-25T13:29:42.987142Z</t>
        </is>
      </c>
      <c r="BI34" s="24" t="inlineStr">
        <is>
          <t>["same_event","same_team_same_day","same_league_same_day"]</t>
        </is>
      </c>
      <c r="BJ34" s="25" t="n">
        <v>8.5</v>
      </c>
      <c r="BK34" s="26" t="n">
        <v>100</v>
      </c>
      <c r="BL34" s="27" t="n">
        <v>2</v>
      </c>
      <c r="BM34" s="28" t="n">
        <v>0.5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True</t>
        </is>
      </c>
      <c r="CT34" s="24" t="n"/>
      <c r="CU34" s="24" t="n"/>
      <c r="CV34" s="24" t="n"/>
      <c r="CW34" s="24" t="n"/>
      <c r="CX34" s="24" t="n"/>
      <c r="CY34" s="24" t="inlineStr">
        <is>
          <t>2026-08-25T13:29:42.987142Z</t>
        </is>
      </c>
      <c r="CZ34" s="24" t="inlineStr">
        <is>
          <t>True</t>
        </is>
      </c>
      <c r="DA34" s="24" t="inlineStr">
        <is>
          <t>polymarket_us</t>
        </is>
      </c>
      <c r="DB34" s="24" t="inlineStr">
        <is>
          <t>decision_time_executable_quote</t>
        </is>
      </c>
      <c r="DC34" s="24" t="inlineStr">
        <is>
          <t>False</t>
        </is>
      </c>
      <c r="DD34" s="24" t="inlineStr">
        <is>
          <t>405ab0d082dded5d349329deaf416fc0e85e3dbad6e6a81cab1268df7102d8ea</t>
        </is>
      </c>
      <c r="DE34" s="24" t="inlineStr">
        <is>
          <t>/Users/vincentc9002/model-prediction/data/odds/wnba/2026-08-25/polymarket_snapshots.jsonl</t>
        </is>
      </c>
      <c r="DF34" s="24" t="inlineStr">
        <is>
          <t>405ab0d082dded5d349329deaf416fc0e85e3dbad6e6a81cab1268df7102d8ea</t>
        </is>
      </c>
      <c r="DG34" s="24" t="n"/>
      <c r="DH34" s="24" t="n"/>
      <c r="DI34" s="24" t="n"/>
      <c r="DJ34" s="24" t="inlineStr">
        <is>
          <t>0.5</t>
        </is>
      </c>
      <c r="DK34" s="24" t="n"/>
      <c r="DL34" s="24" t="n"/>
      <c r="DM34" s="24" t="n"/>
      <c r="DN34" s="24" t="n"/>
      <c r="DO34" s="24" t="n"/>
      <c r="DP34" s="24" t="n"/>
    </row>
    <row r="35" ht="36" customHeight="1">
      <c r="A35" s="24" t="inlineStr">
        <is>
          <t>c41b269282834072</t>
        </is>
      </c>
      <c r="B35" s="24" t="inlineStr">
        <is>
          <t>2026-08-25T13:31:47.671398Z</t>
        </is>
      </c>
      <c r="C35" s="24" t="inlineStr">
        <is>
          <t>2026-08-26T02:00Z</t>
        </is>
      </c>
      <c r="D35" s="24" t="inlineStr">
        <is>
          <t>401857175</t>
        </is>
      </c>
      <c r="E35" s="24" t="inlineStr">
        <is>
          <t>WNBA</t>
        </is>
      </c>
      <c r="F35" s="24" t="inlineStr">
        <is>
          <t>Washington Mystics</t>
        </is>
      </c>
      <c r="G35" s="24" t="inlineStr">
        <is>
          <t>Phoenix Mercury</t>
        </is>
      </c>
      <c r="H35" s="24" t="inlineStr">
        <is>
          <t>spread</t>
        </is>
      </c>
      <c r="I35" s="24" t="inlineStr">
        <is>
          <t>home</t>
        </is>
      </c>
      <c r="J35" s="25" t="n">
        <v>1.5</v>
      </c>
      <c r="K35" s="24" t="inlineStr">
        <is>
          <t>polymarket_us</t>
        </is>
      </c>
      <c r="L35" s="26" t="n">
        <v>104</v>
      </c>
      <c r="M35" s="27" t="n">
        <v>2.04</v>
      </c>
      <c r="N35" s="28" t="n">
        <v>0.490196</v>
      </c>
      <c r="O35" s="28" t="n">
        <v>0.552114</v>
      </c>
      <c r="P35" s="28" t="n">
        <v>0.03</v>
      </c>
      <c r="Q35" s="28" t="n">
        <v>0.061918</v>
      </c>
      <c r="R35" s="26" t="n">
        <v>63</v>
      </c>
      <c r="S35" s="29" t="n">
        <v>1.25</v>
      </c>
      <c r="T35" s="24" t="inlineStr">
        <is>
          <t>wnba-spread-margin-v1</t>
        </is>
      </c>
      <c r="U35" s="24" t="inlineStr">
        <is>
          <t>settled</t>
        </is>
      </c>
      <c r="V35" s="24" t="inlineStr">
        <is>
          <t>loss</t>
        </is>
      </c>
      <c r="W35" s="26" t="n">
        <v>94</v>
      </c>
      <c r="X35" s="26" t="n">
        <v>84</v>
      </c>
      <c r="Y35" s="25" t="n"/>
      <c r="Z35" s="26" t="n"/>
      <c r="AA35" s="28" t="n"/>
      <c r="AB35" s="28" t="n"/>
      <c r="AC35" s="30" t="n">
        <v>-1.25</v>
      </c>
      <c r="AD35" s="24" t="inlineStr">
        <is>
          <t>2026-08-26T12:35:35.972609Z</t>
        </is>
      </c>
      <c r="AE35" s="31" t="inlineStr">
        <is>
          <t>Projected margin -0.1 (home), sd 10.5. Executable ask 0.4900 (asc-wnba-wsh-phx-2026-08-25-neg-1pt5).</t>
        </is>
      </c>
      <c r="AF35" s="31" t="inlineStr">
        <is>
          <t>Research-baseline margin-normal spread model; not yet locked-holdout qualified.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paper_call</t>
        </is>
      </c>
      <c r="AL35" s="26" t="n">
        <v>4</v>
      </c>
      <c r="AM35" s="24" t="inlineStr">
        <is>
          <t>RESEARCH_OBSERVATION</t>
        </is>
      </c>
      <c r="AN35" s="24" t="inlineStr">
        <is>
          <t>CALL</t>
        </is>
      </c>
      <c r="AO35" s="24" t="inlineStr">
        <is>
          <t>PAPER_CALL_MODEL_UNVALIDATED</t>
        </is>
      </c>
      <c r="AP35" s="24" t="inlineStr">
        <is>
          <t>wnba-was</t>
        </is>
      </c>
      <c r="AQ35" s="24" t="inlineStr">
        <is>
          <t>Washington Mystics</t>
        </is>
      </c>
      <c r="AR35" s="24" t="inlineStr">
        <is>
          <t>Washington Mystics</t>
        </is>
      </c>
      <c r="AS35" s="24" t="inlineStr">
        <is>
          <t>wnba-phx</t>
        </is>
      </c>
      <c r="AT35" s="24" t="inlineStr">
        <is>
          <t>Phoenix Mercury</t>
        </is>
      </c>
      <c r="AU35" s="24" t="inlineStr">
        <is>
          <t>Phoenix Mercury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research</t>
        </is>
      </c>
      <c r="BA35" s="24" t="inlineStr">
        <is>
          <t>23ba88bcc86a710d76233b349116f2eefe021a993d2d3b9102922e567a027b4c</t>
        </is>
      </c>
      <c r="BB35" s="24" t="inlineStr">
        <is>
          <t>margin_normal</t>
        </is>
      </c>
      <c r="BC35" s="24" t="inlineStr">
        <is>
          <t>wnba-spread-margin-v1</t>
        </is>
      </c>
      <c r="BD35" s="24" t="inlineStr">
        <is>
          <t>23ba88bcc86a710d76233b349116f2eefe021a993d2d3b9102922e567a027b4c</t>
        </is>
      </c>
      <c r="BE35" s="24" t="inlineStr">
        <is>
          <t>wnba-spread-margin-v1</t>
        </is>
      </c>
      <c r="BF35" s="24" t="inlineStr">
        <is>
          <t>1</t>
        </is>
      </c>
      <c r="BG35" s="24" t="inlineStr">
        <is>
          <t>23ba88bcc86a710d76233b349116f2eefe021a993d2d3b9102922e567a027b4c</t>
        </is>
      </c>
      <c r="BH35" s="24" t="inlineStr">
        <is>
          <t>2026-08-25T12:32:36.066789Z</t>
        </is>
      </c>
      <c r="BI35" s="24" t="inlineStr">
        <is>
          <t>["same_event","same_team_same_day","same_league_same_day"]</t>
        </is>
      </c>
      <c r="BJ35" s="25" t="n">
        <v>1.5</v>
      </c>
      <c r="BK35" s="26" t="n">
        <v>104</v>
      </c>
      <c r="BL35" s="27" t="n">
        <v>2.04</v>
      </c>
      <c r="BM35" s="28" t="n">
        <v>0.490196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True</t>
        </is>
      </c>
      <c r="CT35" s="24" t="n"/>
      <c r="CU35" s="24" t="n"/>
      <c r="CV35" s="24" t="n"/>
      <c r="CW35" s="24" t="n"/>
      <c r="CX35" s="24" t="n"/>
      <c r="CY35" s="24" t="inlineStr">
        <is>
          <t>2026-08-25T12:32:36.066789Z</t>
        </is>
      </c>
      <c r="CZ35" s="24" t="inlineStr">
        <is>
          <t>True</t>
        </is>
      </c>
      <c r="DA35" s="24" t="inlineStr">
        <is>
          <t>polymarket_us</t>
        </is>
      </c>
      <c r="DB35" s="24" t="inlineStr">
        <is>
          <t>decision_time_executable_quote</t>
        </is>
      </c>
      <c r="DC35" s="24" t="inlineStr">
        <is>
          <t>False</t>
        </is>
      </c>
      <c r="DD35" s="24" t="inlineStr">
        <is>
          <t>0bbab4403443c61a98d87bd11b6883ceb7a9012bed85d9533332a610477b9b63</t>
        </is>
      </c>
      <c r="DE35" s="24" t="inlineStr">
        <is>
          <t>/Users/vincentc9002/model-prediction/data/odds/wnba/2026-08-25/polymarket_snapshots.jsonl</t>
        </is>
      </c>
      <c r="DF35" s="24" t="inlineStr">
        <is>
          <t>0bbab4403443c61a98d87bd11b6883ceb7a9012bed85d9533332a610477b9b63</t>
        </is>
      </c>
      <c r="DG35" s="24" t="n"/>
      <c r="DH35" s="24" t="n"/>
      <c r="DI35" s="24" t="n"/>
      <c r="DJ35" s="24" t="inlineStr">
        <is>
          <t>0.490196</t>
        </is>
      </c>
      <c r="DK35" s="24" t="n"/>
      <c r="DL35" s="24" t="n"/>
      <c r="DM35" s="24" t="n"/>
      <c r="DN35" s="24" t="n"/>
      <c r="DO35" s="24" t="n"/>
      <c r="DP35" s="24" t="n"/>
    </row>
    <row r="36" ht="36" customHeight="1">
      <c r="A36" s="24" t="inlineStr">
        <is>
          <t>bf6126a362b745cf</t>
        </is>
      </c>
      <c r="B36" s="24" t="inlineStr">
        <is>
          <t>2026-08-26T22:17:59.847537Z</t>
        </is>
      </c>
      <c r="C36" s="24" t="inlineStr">
        <is>
          <t>2026-08-26T23:00Z</t>
        </is>
      </c>
      <c r="D36" s="24" t="inlineStr">
        <is>
          <t>401857176</t>
        </is>
      </c>
      <c r="E36" s="24" t="inlineStr">
        <is>
          <t>WNBA</t>
        </is>
      </c>
      <c r="F36" s="24" t="inlineStr">
        <is>
          <t>Golden State Valkyries</t>
        </is>
      </c>
      <c r="G36" s="24" t="inlineStr">
        <is>
          <t>Connecticut Sun</t>
        </is>
      </c>
      <c r="H36" s="24" t="inlineStr">
        <is>
          <t>spread</t>
        </is>
      </c>
      <c r="I36" s="24" t="inlineStr">
        <is>
          <t>home</t>
        </is>
      </c>
      <c r="J36" s="25" t="n">
        <v>13.5</v>
      </c>
      <c r="K36" s="24" t="inlineStr">
        <is>
          <t>polymarket_us</t>
        </is>
      </c>
      <c r="L36" s="26" t="n">
        <v>100</v>
      </c>
      <c r="M36" s="27" t="n">
        <v>2</v>
      </c>
      <c r="N36" s="28" t="n">
        <v>0.5</v>
      </c>
      <c r="O36" s="28" t="n">
        <v>0.828981</v>
      </c>
      <c r="P36" s="28" t="n">
        <v>0.03</v>
      </c>
      <c r="Q36" s="28" t="n">
        <v>0.328981</v>
      </c>
      <c r="R36" s="26" t="n">
        <v>100</v>
      </c>
      <c r="S36" s="29" t="n">
        <v>2</v>
      </c>
      <c r="T36" s="24" t="inlineStr">
        <is>
          <t>wnba-spread-margin-v1</t>
        </is>
      </c>
      <c r="U36" s="24" t="inlineStr">
        <is>
          <t>settled</t>
        </is>
      </c>
      <c r="V36" s="24" t="inlineStr">
        <is>
          <t>loss</t>
        </is>
      </c>
      <c r="W36" s="26" t="n">
        <v>89</v>
      </c>
      <c r="X36" s="26" t="n">
        <v>64</v>
      </c>
      <c r="Y36" s="25" t="n"/>
      <c r="Z36" s="26" t="n"/>
      <c r="AA36" s="28" t="n"/>
      <c r="AB36" s="28" t="n"/>
      <c r="AC36" s="30" t="n">
        <v>-2</v>
      </c>
      <c r="AD36" s="24" t="inlineStr">
        <is>
          <t>2026-08-27T03:43:44.228475Z</t>
        </is>
      </c>
      <c r="AE36" s="31" t="inlineStr">
        <is>
          <t>Projected margin -3.5 (home), sd 10.5. Executable ask 0.5000 (asc-wnba-gsv-conn-2026-08-26-neg-13pt5).</t>
        </is>
      </c>
      <c r="AF36" s="31" t="inlineStr">
        <is>
          <t>Research-baseline margin-normal spread model; not yet locked-holdout qualified.</t>
        </is>
      </c>
      <c r="AG36" s="24" t="inlineStr">
        <is>
          <t>review_required</t>
        </is>
      </c>
      <c r="AH36" s="24" t="n"/>
      <c r="AI36" s="31" t="n"/>
      <c r="AJ36" s="31" t="n"/>
      <c r="AK36" s="24" t="inlineStr">
        <is>
          <t>paper_call</t>
        </is>
      </c>
      <c r="AL36" s="26" t="n">
        <v>4</v>
      </c>
      <c r="AM36" s="24" t="inlineStr">
        <is>
          <t>RESEARCH_OBSERVATION</t>
        </is>
      </c>
      <c r="AN36" s="24" t="inlineStr">
        <is>
          <t>CALL</t>
        </is>
      </c>
      <c r="AO36" s="24" t="inlineStr">
        <is>
          <t>PAPER_CALL_MODEL_UNVALIDATED</t>
        </is>
      </c>
      <c r="AP36" s="24" t="inlineStr">
        <is>
          <t>wnba-gsv</t>
        </is>
      </c>
      <c r="AQ36" s="24" t="inlineStr">
        <is>
          <t>Golden State Valkyries</t>
        </is>
      </c>
      <c r="AR36" s="24" t="inlineStr">
        <is>
          <t>Golden State Valkyries</t>
        </is>
      </c>
      <c r="AS36" s="24" t="inlineStr">
        <is>
          <t>wnba-con</t>
        </is>
      </c>
      <c r="AT36" s="24" t="inlineStr">
        <is>
          <t>Connecticut Sun</t>
        </is>
      </c>
      <c r="AU36" s="24" t="inlineStr">
        <is>
          <t>Connecticut Sun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research</t>
        </is>
      </c>
      <c r="BA36" s="24" t="inlineStr">
        <is>
          <t>23ba88bcc86a710d76233b349116f2eefe021a993d2d3b9102922e567a027b4c</t>
        </is>
      </c>
      <c r="BB36" s="24" t="inlineStr">
        <is>
          <t>margin_normal</t>
        </is>
      </c>
      <c r="BC36" s="24" t="inlineStr">
        <is>
          <t>wnba-spread-margin-v1</t>
        </is>
      </c>
      <c r="BD36" s="24" t="inlineStr">
        <is>
          <t>23ba88bcc86a710d76233b349116f2eefe021a993d2d3b9102922e567a027b4c</t>
        </is>
      </c>
      <c r="BE36" s="24" t="inlineStr">
        <is>
          <t>wnba-spread-margin-v1</t>
        </is>
      </c>
      <c r="BF36" s="24" t="inlineStr">
        <is>
          <t>1</t>
        </is>
      </c>
      <c r="BG36" s="24" t="inlineStr">
        <is>
          <t>23ba88bcc86a710d76233b349116f2eefe021a993d2d3b9102922e567a027b4c</t>
        </is>
      </c>
      <c r="BH36" s="24" t="inlineStr">
        <is>
          <t>2026-08-26T12:42:14.292294Z</t>
        </is>
      </c>
      <c r="BI36" s="24" t="inlineStr">
        <is>
          <t>["same_event","same_team_same_day","same_league_same_day"]</t>
        </is>
      </c>
      <c r="BJ36" s="25" t="n">
        <v>13.5</v>
      </c>
      <c r="BK36" s="26" t="n">
        <v>100</v>
      </c>
      <c r="BL36" s="27" t="n">
        <v>2</v>
      </c>
      <c r="BM36" s="28" t="n">
        <v>0.5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True</t>
        </is>
      </c>
      <c r="CT36" s="24" t="n"/>
      <c r="CU36" s="24" t="n"/>
      <c r="CV36" s="24" t="n"/>
      <c r="CW36" s="24" t="n"/>
      <c r="CX36" s="24" t="n"/>
      <c r="CY36" s="24" t="inlineStr">
        <is>
          <t>2026-08-26T12:42:14.292294Z</t>
        </is>
      </c>
      <c r="CZ36" s="24" t="inlineStr">
        <is>
          <t>True</t>
        </is>
      </c>
      <c r="DA36" s="24" t="inlineStr">
        <is>
          <t>polymarket_us</t>
        </is>
      </c>
      <c r="DB36" s="24" t="inlineStr">
        <is>
          <t>decision_time_executable_quote</t>
        </is>
      </c>
      <c r="DC36" s="24" t="inlineStr">
        <is>
          <t>False</t>
        </is>
      </c>
      <c r="DD36" s="24" t="inlineStr">
        <is>
          <t>15e830f9e8b4bfa8f7e6ef2843d9f607e63532c2f12ae7215da2fc5457537f1a</t>
        </is>
      </c>
      <c r="DE36" s="24" t="inlineStr">
        <is>
          <t>/Users/vincentc9002/model-prediction/data/odds/wnba/2026-08-26/polymarket_snapshots.jsonl</t>
        </is>
      </c>
      <c r="DF36" s="24" t="inlineStr">
        <is>
          <t>15e830f9e8b4bfa8f7e6ef2843d9f607e63532c2f12ae7215da2fc5457537f1a</t>
        </is>
      </c>
      <c r="DG36" s="24" t="n"/>
      <c r="DH36" s="24" t="n"/>
      <c r="DI36" s="24" t="n"/>
      <c r="DJ36" s="24" t="inlineStr">
        <is>
          <t>0.5</t>
        </is>
      </c>
      <c r="DK36" s="24" t="n"/>
      <c r="DL36" s="24" t="n"/>
      <c r="DM36" s="24" t="n"/>
      <c r="DN36" s="24" t="n"/>
      <c r="DO36" s="24" t="n"/>
      <c r="DP36" s="24" t="n"/>
    </row>
    <row r="37" ht="36" customHeight="1">
      <c r="A37" s="24" t="inlineStr">
        <is>
          <t>c24b6557992f4413</t>
        </is>
      </c>
      <c r="B37" s="24" t="inlineStr">
        <is>
          <t>2026-08-27T00:43:54.634274Z</t>
        </is>
      </c>
      <c r="C37" s="24" t="inlineStr">
        <is>
          <t>2026-08-27T02:00Z</t>
        </is>
      </c>
      <c r="D37" s="24" t="inlineStr">
        <is>
          <t>401857177</t>
        </is>
      </c>
      <c r="E37" s="24" t="inlineStr">
        <is>
          <t>WNBA</t>
        </is>
      </c>
      <c r="F37" s="24" t="inlineStr">
        <is>
          <t>Toronto Tempo</t>
        </is>
      </c>
      <c r="G37" s="24" t="inlineStr">
        <is>
          <t>Seattle Storm</t>
        </is>
      </c>
      <c r="H37" s="24" t="inlineStr">
        <is>
          <t>spread</t>
        </is>
      </c>
      <c r="I37" s="24" t="inlineStr">
        <is>
          <t>away</t>
        </is>
      </c>
      <c r="J37" s="25" t="n">
        <v>5.5</v>
      </c>
      <c r="K37" s="24" t="inlineStr">
        <is>
          <t>polymarket_us</t>
        </is>
      </c>
      <c r="L37" s="26" t="n">
        <v>113</v>
      </c>
      <c r="M37" s="27" t="n">
        <v>2.13</v>
      </c>
      <c r="N37" s="28" t="n">
        <v>0.469484</v>
      </c>
      <c r="O37" s="28" t="n">
        <v>0.609766</v>
      </c>
      <c r="P37" s="28" t="n">
        <v>0.03</v>
      </c>
      <c r="Q37" s="28" t="n">
        <v>0.140282</v>
      </c>
      <c r="R37" s="26" t="n">
        <v>100</v>
      </c>
      <c r="S37" s="29" t="n">
        <v>1.75</v>
      </c>
      <c r="T37" s="24" t="inlineStr">
        <is>
          <t>wnba-spread-margin-v1</t>
        </is>
      </c>
      <c r="U37" s="24" t="inlineStr">
        <is>
          <t>settled</t>
        </is>
      </c>
      <c r="V37" s="24" t="inlineStr">
        <is>
          <t>loss</t>
        </is>
      </c>
      <c r="W37" s="26" t="n">
        <v>78</v>
      </c>
      <c r="X37" s="26" t="n">
        <v>90</v>
      </c>
      <c r="Y37" s="25" t="n"/>
      <c r="Z37" s="26" t="n"/>
      <c r="AA37" s="28" t="n"/>
      <c r="AB37" s="28" t="n"/>
      <c r="AC37" s="30" t="n">
        <v>-1.75</v>
      </c>
      <c r="AD37" s="24" t="inlineStr">
        <is>
          <t>2026-08-27T12:30:16.412688Z</t>
        </is>
      </c>
      <c r="AE37" s="31" t="inlineStr">
        <is>
          <t>Projected margin +2.6 (home), sd 10.5. Executable ask 0.4700 (asc-wnba-tor-sea-2026-08-26-pos-5pt5).</t>
        </is>
      </c>
      <c r="AF37" s="31" t="inlineStr">
        <is>
          <t>Research-baseline margin-normal spread model; not yet locked-holdout qualified.</t>
        </is>
      </c>
      <c r="AG37" s="24" t="inlineStr">
        <is>
          <t>review_required</t>
        </is>
      </c>
      <c r="AH37" s="24" t="n"/>
      <c r="AI37" s="31" t="n"/>
      <c r="AJ37" s="31" t="n"/>
      <c r="AK37" s="24" t="inlineStr">
        <is>
          <t>paper_call</t>
        </is>
      </c>
      <c r="AL37" s="26" t="n">
        <v>4</v>
      </c>
      <c r="AM37" s="24" t="inlineStr">
        <is>
          <t>RESEARCH_OBSERVATION</t>
        </is>
      </c>
      <c r="AN37" s="24" t="inlineStr">
        <is>
          <t>CALL</t>
        </is>
      </c>
      <c r="AO37" s="24" t="inlineStr">
        <is>
          <t>PAPER_CALL_MODEL_UNVALIDATED</t>
        </is>
      </c>
      <c r="AP37" s="24" t="inlineStr">
        <is>
          <t>wnba-tor</t>
        </is>
      </c>
      <c r="AQ37" s="24" t="inlineStr">
        <is>
          <t>Toronto Tempo</t>
        </is>
      </c>
      <c r="AR37" s="24" t="inlineStr">
        <is>
          <t>Toronto Tempo</t>
        </is>
      </c>
      <c r="AS37" s="24" t="inlineStr">
        <is>
          <t>wnba-sea</t>
        </is>
      </c>
      <c r="AT37" s="24" t="inlineStr">
        <is>
          <t>Seattle Storm</t>
        </is>
      </c>
      <c r="AU37" s="24" t="inlineStr">
        <is>
          <t>Seattle Storm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research</t>
        </is>
      </c>
      <c r="BA37" s="24" t="inlineStr">
        <is>
          <t>23ba88bcc86a710d76233b349116f2eefe021a993d2d3b9102922e567a027b4c</t>
        </is>
      </c>
      <c r="BB37" s="24" t="inlineStr">
        <is>
          <t>margin_normal</t>
        </is>
      </c>
      <c r="BC37" s="24" t="inlineStr">
        <is>
          <t>wnba-spread-margin-v1</t>
        </is>
      </c>
      <c r="BD37" s="24" t="inlineStr">
        <is>
          <t>23ba88bcc86a710d76233b349116f2eefe021a993d2d3b9102922e567a027b4c</t>
        </is>
      </c>
      <c r="BE37" s="24" t="inlineStr">
        <is>
          <t>wnba-spread-margin-v1</t>
        </is>
      </c>
      <c r="BF37" s="24" t="inlineStr">
        <is>
          <t>1</t>
        </is>
      </c>
      <c r="BG37" s="24" t="inlineStr">
        <is>
          <t>23ba88bcc86a710d76233b349116f2eefe021a993d2d3b9102922e567a027b4c</t>
        </is>
      </c>
      <c r="BH37" s="24" t="inlineStr">
        <is>
          <t>2026-08-26T22:16:54.523637Z</t>
        </is>
      </c>
      <c r="BI37" s="24" t="inlineStr">
        <is>
          <t>["same_event","same_team_same_day","same_league_same_day"]</t>
        </is>
      </c>
      <c r="BJ37" s="25" t="n">
        <v>5.5</v>
      </c>
      <c r="BK37" s="26" t="n">
        <v>113</v>
      </c>
      <c r="BL37" s="27" t="n">
        <v>2.13</v>
      </c>
      <c r="BM37" s="28" t="n">
        <v>0.469484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True</t>
        </is>
      </c>
      <c r="CT37" s="24" t="n"/>
      <c r="CU37" s="24" t="n"/>
      <c r="CV37" s="24" t="n"/>
      <c r="CW37" s="24" t="n"/>
      <c r="CX37" s="24" t="n"/>
      <c r="CY37" s="24" t="inlineStr">
        <is>
          <t>2026-08-26T22:16:54.523637Z</t>
        </is>
      </c>
      <c r="CZ37" s="24" t="inlineStr">
        <is>
          <t>True</t>
        </is>
      </c>
      <c r="DA37" s="24" t="inlineStr">
        <is>
          <t>polymarket_us</t>
        </is>
      </c>
      <c r="DB37" s="24" t="inlineStr">
        <is>
          <t>decision_time_executable_quote</t>
        </is>
      </c>
      <c r="DC37" s="24" t="inlineStr">
        <is>
          <t>False</t>
        </is>
      </c>
      <c r="DD37" s="24" t="inlineStr">
        <is>
          <t>211ed6f862b017de0259cb3ed5299261f2ce02e0d00c98e4f64ddea881a15bd2</t>
        </is>
      </c>
      <c r="DE37" s="24" t="inlineStr">
        <is>
          <t>/Users/vincentc9002/model-prediction/data/odds/wnba/2026-08-26/polymarket_snapshots.jsonl</t>
        </is>
      </c>
      <c r="DF37" s="24" t="inlineStr">
        <is>
          <t>211ed6f862b017de0259cb3ed5299261f2ce02e0d00c98e4f64ddea881a15bd2</t>
        </is>
      </c>
      <c r="DG37" s="24" t="n"/>
      <c r="DH37" s="24" t="n"/>
      <c r="DI37" s="24" t="n"/>
      <c r="DJ37" s="24" t="inlineStr">
        <is>
          <t>0.469484</t>
        </is>
      </c>
      <c r="DK37" s="24" t="n"/>
      <c r="DL37" s="24" t="n"/>
      <c r="DM37" s="24" t="n"/>
      <c r="DN37" s="24" t="n"/>
      <c r="DO37" s="24" t="n"/>
      <c r="DP37" s="24" t="n"/>
    </row>
    <row r="38" ht="36" customHeight="1">
      <c r="A38" s="24" t="inlineStr">
        <is>
          <t>ea7c5adc51904b4a</t>
        </is>
      </c>
      <c r="B38" s="24" t="inlineStr">
        <is>
          <t>2026-08-27T22:19:15.110910Z</t>
        </is>
      </c>
      <c r="C38" s="24" t="inlineStr">
        <is>
          <t>2026-08-28T00:00Z</t>
        </is>
      </c>
      <c r="D38" s="24" t="inlineStr">
        <is>
          <t>401857178</t>
        </is>
      </c>
      <c r="E38" s="24" t="inlineStr">
        <is>
          <t>WNBA</t>
        </is>
      </c>
      <c r="F38" s="24" t="inlineStr">
        <is>
          <t>Golden State Valkyries</t>
        </is>
      </c>
      <c r="G38" s="24" t="inlineStr">
        <is>
          <t>New York Liberty</t>
        </is>
      </c>
      <c r="H38" s="24" t="inlineStr">
        <is>
          <t>spread</t>
        </is>
      </c>
      <c r="I38" s="24" t="inlineStr">
        <is>
          <t>away</t>
        </is>
      </c>
      <c r="J38" s="25" t="n">
        <v>1.5</v>
      </c>
      <c r="K38" s="24" t="inlineStr">
        <is>
          <t>polymarket_us</t>
        </is>
      </c>
      <c r="L38" s="26" t="n">
        <v>117</v>
      </c>
      <c r="M38" s="27" t="n">
        <v>2.17</v>
      </c>
      <c r="N38" s="28" t="n">
        <v>0.460829</v>
      </c>
      <c r="O38" s="28" t="n">
        <v>0.544821</v>
      </c>
      <c r="P38" s="28" t="n">
        <v>0.03</v>
      </c>
      <c r="Q38" s="28" t="n">
        <v>0.083992</v>
      </c>
      <c r="R38" s="26" t="n">
        <v>74</v>
      </c>
      <c r="S38" s="29" t="n">
        <v>1.25</v>
      </c>
      <c r="T38" s="24" t="inlineStr">
        <is>
          <t>wnba-spread-margin-v1</t>
        </is>
      </c>
      <c r="U38" s="24" t="inlineStr">
        <is>
          <t>settled</t>
        </is>
      </c>
      <c r="V38" s="24" t="inlineStr">
        <is>
          <t>win</t>
        </is>
      </c>
      <c r="W38" s="26" t="n">
        <v>79</v>
      </c>
      <c r="X38" s="26" t="n">
        <v>60</v>
      </c>
      <c r="Y38" s="25" t="n"/>
      <c r="Z38" s="26" t="n"/>
      <c r="AA38" s="28" t="n"/>
      <c r="AB38" s="28" t="n"/>
      <c r="AC38" s="30" t="n">
        <v>1.4625</v>
      </c>
      <c r="AD38" s="24" t="inlineStr">
        <is>
          <t>2026-08-28T02:39:32.517392Z</t>
        </is>
      </c>
      <c r="AE38" s="31" t="inlineStr">
        <is>
          <t>Projected margin +0.3 (home), sd 10.5. Executable ask 0.4600 (asc-wnba-gsv-ny-2026-08-27-pos-1pt5).</t>
        </is>
      </c>
      <c r="AF38" s="31" t="inlineStr">
        <is>
          <t>Research-baseline margin-normal spread model; not yet locked-holdout qualified.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paper_call</t>
        </is>
      </c>
      <c r="AL38" s="26" t="n">
        <v>4</v>
      </c>
      <c r="AM38" s="24" t="inlineStr">
        <is>
          <t>RESEARCH_OBSERVATION</t>
        </is>
      </c>
      <c r="AN38" s="24" t="inlineStr">
        <is>
          <t>CALL</t>
        </is>
      </c>
      <c r="AO38" s="24" t="inlineStr">
        <is>
          <t>PAPER_CALL_MODEL_UNVALIDATED</t>
        </is>
      </c>
      <c r="AP38" s="24" t="inlineStr">
        <is>
          <t>wnba-gsv</t>
        </is>
      </c>
      <c r="AQ38" s="24" t="inlineStr">
        <is>
          <t>Golden State Valkyries</t>
        </is>
      </c>
      <c r="AR38" s="24" t="inlineStr">
        <is>
          <t>Golden State Valkyries</t>
        </is>
      </c>
      <c r="AS38" s="24" t="inlineStr">
        <is>
          <t>wnba-nyl</t>
        </is>
      </c>
      <c r="AT38" s="24" t="inlineStr">
        <is>
          <t>New York Liberty</t>
        </is>
      </c>
      <c r="AU38" s="24" t="inlineStr">
        <is>
          <t>New York Liberty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research</t>
        </is>
      </c>
      <c r="BA38" s="24" t="inlineStr">
        <is>
          <t>23ba88bcc86a710d76233b349116f2eefe021a993d2d3b9102922e567a027b4c</t>
        </is>
      </c>
      <c r="BB38" s="24" t="inlineStr">
        <is>
          <t>margin_normal</t>
        </is>
      </c>
      <c r="BC38" s="24" t="inlineStr">
        <is>
          <t>wnba-spread-margin-v1</t>
        </is>
      </c>
      <c r="BD38" s="24" t="inlineStr">
        <is>
          <t>23ba88bcc86a710d76233b349116f2eefe021a993d2d3b9102922e567a027b4c</t>
        </is>
      </c>
      <c r="BE38" s="24" t="inlineStr">
        <is>
          <t>wnba-spread-margin-v1</t>
        </is>
      </c>
      <c r="BF38" s="24" t="inlineStr">
        <is>
          <t>1</t>
        </is>
      </c>
      <c r="BG38" s="24" t="inlineStr">
        <is>
          <t>23ba88bcc86a710d76233b349116f2eefe021a993d2d3b9102922e567a027b4c</t>
        </is>
      </c>
      <c r="BH38" s="24" t="inlineStr">
        <is>
          <t>2026-08-27T12:32:36.071998Z</t>
        </is>
      </c>
      <c r="BI38" s="24" t="inlineStr">
        <is>
          <t>["same_event","same_team_same_day","same_league_same_day"]</t>
        </is>
      </c>
      <c r="BJ38" s="25" t="n">
        <v>1.5</v>
      </c>
      <c r="BK38" s="26" t="n">
        <v>117</v>
      </c>
      <c r="BL38" s="27" t="n">
        <v>2.17</v>
      </c>
      <c r="BM38" s="28" t="n">
        <v>0.460829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True</t>
        </is>
      </c>
      <c r="CT38" s="24" t="n"/>
      <c r="CU38" s="24" t="n"/>
      <c r="CV38" s="24" t="n"/>
      <c r="CW38" s="24" t="n"/>
      <c r="CX38" s="24" t="n"/>
      <c r="CY38" s="24" t="inlineStr">
        <is>
          <t>2026-08-27T12:32:36.071998Z</t>
        </is>
      </c>
      <c r="CZ38" s="24" t="inlineStr">
        <is>
          <t>True</t>
        </is>
      </c>
      <c r="DA38" s="24" t="inlineStr">
        <is>
          <t>polymarket_us</t>
        </is>
      </c>
      <c r="DB38" s="24" t="inlineStr">
        <is>
          <t>decision_time_executable_quote</t>
        </is>
      </c>
      <c r="DC38" s="24" t="inlineStr">
        <is>
          <t>False</t>
        </is>
      </c>
      <c r="DD38" s="24" t="inlineStr">
        <is>
          <t>591edb5b16d02f95a8ad2e0afb27be8e3aec5356eab51887d260db8e94b0f934</t>
        </is>
      </c>
      <c r="DE38" s="24" t="inlineStr">
        <is>
          <t>/Users/vincentc9002/model-prediction/data/odds/wnba/2026-08-27/polymarket_snapshots.jsonl</t>
        </is>
      </c>
      <c r="DF38" s="24" t="inlineStr">
        <is>
          <t>591edb5b16d02f95a8ad2e0afb27be8e3aec5356eab51887d260db8e94b0f934</t>
        </is>
      </c>
      <c r="DG38" s="24" t="n"/>
      <c r="DH38" s="24" t="n"/>
      <c r="DI38" s="24" t="n"/>
      <c r="DJ38" s="24" t="inlineStr">
        <is>
          <t>0.460829</t>
        </is>
      </c>
      <c r="DK38" s="24" t="n"/>
      <c r="DL38" s="24" t="n"/>
      <c r="DM38" s="24" t="n"/>
      <c r="DN38" s="24" t="n"/>
      <c r="DO38" s="24" t="n"/>
      <c r="DP38" s="24" t="n"/>
    </row>
    <row r="39" ht="36" customHeight="1">
      <c r="A39" s="24" t="inlineStr">
        <is>
          <t>cecd9545b10e49a3</t>
        </is>
      </c>
      <c r="B39" s="24" t="inlineStr">
        <is>
          <t>2026-08-27T22:19:15.110910Z</t>
        </is>
      </c>
      <c r="C39" s="24" t="inlineStr">
        <is>
          <t>2026-08-28T02:00Z</t>
        </is>
      </c>
      <c r="D39" s="24" t="inlineStr">
        <is>
          <t>401857179</t>
        </is>
      </c>
      <c r="E39" s="24" t="inlineStr">
        <is>
          <t>WNBA</t>
        </is>
      </c>
      <c r="F39" s="24" t="inlineStr">
        <is>
          <t>Washington Mystics</t>
        </is>
      </c>
      <c r="G39" s="24" t="inlineStr">
        <is>
          <t>Phoenix Mercury</t>
        </is>
      </c>
      <c r="H39" s="24" t="inlineStr">
        <is>
          <t>spread</t>
        </is>
      </c>
      <c r="I39" s="24" t="inlineStr">
        <is>
          <t>home</t>
        </is>
      </c>
      <c r="J39" s="25" t="n">
        <v>4.5</v>
      </c>
      <c r="K39" s="24" t="inlineStr">
        <is>
          <t>polymarket_us</t>
        </is>
      </c>
      <c r="L39" s="26" t="n">
        <v>-113</v>
      </c>
      <c r="M39" s="27" t="n">
        <v>1.884956</v>
      </c>
      <c r="N39" s="28" t="n">
        <v>0.530516</v>
      </c>
      <c r="O39" s="28" t="n">
        <v>0.643005</v>
      </c>
      <c r="P39" s="28" t="n">
        <v>0.03</v>
      </c>
      <c r="Q39" s="28" t="n">
        <v>0.112489</v>
      </c>
      <c r="R39" s="26" t="n">
        <v>88</v>
      </c>
      <c r="S39" s="29" t="n">
        <v>1.5</v>
      </c>
      <c r="T39" s="24" t="inlineStr">
        <is>
          <t>wnba-spread-margin-v1</t>
        </is>
      </c>
      <c r="U39" s="24" t="inlineStr">
        <is>
          <t>settled</t>
        </is>
      </c>
      <c r="V39" s="24" t="inlineStr">
        <is>
          <t>loss</t>
        </is>
      </c>
      <c r="W39" s="26" t="n">
        <v>80</v>
      </c>
      <c r="X39" s="26" t="n">
        <v>73</v>
      </c>
      <c r="Y39" s="25" t="n"/>
      <c r="Z39" s="26" t="n"/>
      <c r="AA39" s="28" t="n"/>
      <c r="AB39" s="28" t="n"/>
      <c r="AC39" s="30" t="n">
        <v>-1.5</v>
      </c>
      <c r="AD39" s="24" t="inlineStr">
        <is>
          <t>2026-08-28T12:30:32.760171Z</t>
        </is>
      </c>
      <c r="AE39" s="31" t="inlineStr">
        <is>
          <t>Projected margin -0.7 (home), sd 10.5. Executable ask 0.5300 (asc-wnba-wsh-phx-2026-08-27-neg-4pt5).</t>
        </is>
      </c>
      <c r="AF39" s="31" t="inlineStr">
        <is>
          <t>Research-baseline margin-normal spread model; not yet locked-holdout qualified.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paper_call</t>
        </is>
      </c>
      <c r="AL39" s="26" t="n">
        <v>4</v>
      </c>
      <c r="AM39" s="24" t="inlineStr">
        <is>
          <t>RESEARCH_OBSERVATION</t>
        </is>
      </c>
      <c r="AN39" s="24" t="inlineStr">
        <is>
          <t>CALL</t>
        </is>
      </c>
      <c r="AO39" s="24" t="inlineStr">
        <is>
          <t>PAPER_CALL_MODEL_UNVALIDATED</t>
        </is>
      </c>
      <c r="AP39" s="24" t="inlineStr">
        <is>
          <t>wnba-was</t>
        </is>
      </c>
      <c r="AQ39" s="24" t="inlineStr">
        <is>
          <t>Washington Mystics</t>
        </is>
      </c>
      <c r="AR39" s="24" t="inlineStr">
        <is>
          <t>Washington Mystics</t>
        </is>
      </c>
      <c r="AS39" s="24" t="inlineStr">
        <is>
          <t>wnba-phx</t>
        </is>
      </c>
      <c r="AT39" s="24" t="inlineStr">
        <is>
          <t>Phoenix Mercury</t>
        </is>
      </c>
      <c r="AU39" s="24" t="inlineStr">
        <is>
          <t>Phoenix Mercury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research</t>
        </is>
      </c>
      <c r="BA39" s="24" t="inlineStr">
        <is>
          <t>23ba88bcc86a710d76233b349116f2eefe021a993d2d3b9102922e567a027b4c</t>
        </is>
      </c>
      <c r="BB39" s="24" t="inlineStr">
        <is>
          <t>margin_normal</t>
        </is>
      </c>
      <c r="BC39" s="24" t="inlineStr">
        <is>
          <t>wnba-spread-margin-v1</t>
        </is>
      </c>
      <c r="BD39" s="24" t="inlineStr">
        <is>
          <t>23ba88bcc86a710d76233b349116f2eefe021a993d2d3b9102922e567a027b4c</t>
        </is>
      </c>
      <c r="BE39" s="24" t="inlineStr">
        <is>
          <t>wnba-spread-margin-v1</t>
        </is>
      </c>
      <c r="BF39" s="24" t="inlineStr">
        <is>
          <t>1</t>
        </is>
      </c>
      <c r="BG39" s="24" t="inlineStr">
        <is>
          <t>23ba88bcc86a710d76233b349116f2eefe021a993d2d3b9102922e567a027b4c</t>
        </is>
      </c>
      <c r="BH39" s="24" t="inlineStr">
        <is>
          <t>2026-08-27T12:32:36.129719Z</t>
        </is>
      </c>
      <c r="BI39" s="24" t="inlineStr">
        <is>
          <t>["same_event","same_team_same_day","same_league_same_day"]</t>
        </is>
      </c>
      <c r="BJ39" s="25" t="n">
        <v>4.5</v>
      </c>
      <c r="BK39" s="26" t="n">
        <v>-113</v>
      </c>
      <c r="BL39" s="27" t="n">
        <v>1.884956</v>
      </c>
      <c r="BM39" s="28" t="n">
        <v>0.530516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True</t>
        </is>
      </c>
      <c r="CT39" s="24" t="n"/>
      <c r="CU39" s="24" t="n"/>
      <c r="CV39" s="24" t="n"/>
      <c r="CW39" s="24" t="n"/>
      <c r="CX39" s="24" t="n"/>
      <c r="CY39" s="24" t="inlineStr">
        <is>
          <t>2026-08-27T12:32:36.129719Z</t>
        </is>
      </c>
      <c r="CZ39" s="24" t="inlineStr">
        <is>
          <t>True</t>
        </is>
      </c>
      <c r="DA39" s="24" t="inlineStr">
        <is>
          <t>polymarket_us</t>
        </is>
      </c>
      <c r="DB39" s="24" t="inlineStr">
        <is>
          <t>decision_time_executable_quote</t>
        </is>
      </c>
      <c r="DC39" s="24" t="inlineStr">
        <is>
          <t>False</t>
        </is>
      </c>
      <c r="DD39" s="24" t="inlineStr">
        <is>
          <t>fac14375b9e067eb27bc75e8ee1a7b2359c3d930f9ccd3e50c041221e27e4485</t>
        </is>
      </c>
      <c r="DE39" s="24" t="inlineStr">
        <is>
          <t>/Users/vincentc9002/model-prediction/data/odds/wnba/2026-08-27/polymarket_snapshots.jsonl</t>
        </is>
      </c>
      <c r="DF39" s="24" t="inlineStr">
        <is>
          <t>fac14375b9e067eb27bc75e8ee1a7b2359c3d930f9ccd3e50c041221e27e4485</t>
        </is>
      </c>
      <c r="DG39" s="24" t="n"/>
      <c r="DH39" s="24" t="n"/>
      <c r="DI39" s="24" t="n"/>
      <c r="DJ39" s="24" t="inlineStr">
        <is>
          <t>0.530516</t>
        </is>
      </c>
      <c r="DK39" s="24" t="n"/>
      <c r="DL39" s="24" t="n"/>
      <c r="DM39" s="24" t="n"/>
      <c r="DN39" s="24" t="n"/>
      <c r="DO39" s="24" t="n"/>
      <c r="DP39" s="24" t="n"/>
    </row>
    <row r="40" ht="36" customHeight="1">
      <c r="A40" s="24" t="inlineStr">
        <is>
          <t>0728d6f77a5848af</t>
        </is>
      </c>
      <c r="B40" s="24" t="inlineStr">
        <is>
          <t>2026-08-28T12:35:00.230912Z</t>
        </is>
      </c>
      <c r="C40" s="24" t="inlineStr">
        <is>
          <t>2026-08-28T23:30Z</t>
        </is>
      </c>
      <c r="D40" s="24" t="inlineStr">
        <is>
          <t>401857180</t>
        </is>
      </c>
      <c r="E40" s="24" t="inlineStr">
        <is>
          <t>WNBA</t>
        </is>
      </c>
      <c r="F40" s="24" t="inlineStr">
        <is>
          <t>Portland Fire</t>
        </is>
      </c>
      <c r="G40" s="24" t="inlineStr">
        <is>
          <t>Atlanta Dream</t>
        </is>
      </c>
      <c r="H40" s="24" t="inlineStr">
        <is>
          <t>spread</t>
        </is>
      </c>
      <c r="I40" s="24" t="inlineStr">
        <is>
          <t>away</t>
        </is>
      </c>
      <c r="J40" s="25" t="n">
        <v>13.5</v>
      </c>
      <c r="K40" s="24" t="inlineStr">
        <is>
          <t>polymarket_us</t>
        </is>
      </c>
      <c r="L40" s="26" t="n">
        <v>-117</v>
      </c>
      <c r="M40" s="27" t="n">
        <v>1.854701</v>
      </c>
      <c r="N40" s="28" t="n">
        <v>0.539171</v>
      </c>
      <c r="O40" s="28" t="n">
        <v>0.7457859999999999</v>
      </c>
      <c r="P40" s="28" t="n">
        <v>0.03</v>
      </c>
      <c r="Q40" s="28" t="n">
        <v>0.206615</v>
      </c>
      <c r="R40" s="26" t="n">
        <v>100</v>
      </c>
      <c r="S40" s="29" t="n">
        <v>2</v>
      </c>
      <c r="T40" s="24" t="inlineStr">
        <is>
          <t>wnba-spread-margin-v1</t>
        </is>
      </c>
      <c r="U40" s="24" t="inlineStr">
        <is>
          <t>settled</t>
        </is>
      </c>
      <c r="V40" s="24" t="inlineStr">
        <is>
          <t>win</t>
        </is>
      </c>
      <c r="W40" s="26" t="n">
        <v>101</v>
      </c>
      <c r="X40" s="26" t="n">
        <v>83</v>
      </c>
      <c r="Y40" s="25" t="n"/>
      <c r="Z40" s="26" t="n"/>
      <c r="AA40" s="28" t="n"/>
      <c r="AB40" s="28" t="n"/>
      <c r="AC40" s="30" t="n">
        <v>1.7094</v>
      </c>
      <c r="AD40" s="24" t="inlineStr">
        <is>
          <t>2026-08-29T12:36:24.808043Z</t>
        </is>
      </c>
      <c r="AE40" s="31" t="inlineStr">
        <is>
          <t>Projected margin +6.6 (home), sd 10.5. Executable ask 0.5400 (asc-wnba-por-atl-2026-08-28-pos-13pt5).</t>
        </is>
      </c>
      <c r="AF40" s="31" t="inlineStr">
        <is>
          <t>Research-baseline margin-normal spread model; not yet locked-holdout qualified.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paper_call</t>
        </is>
      </c>
      <c r="AL40" s="26" t="n">
        <v>4</v>
      </c>
      <c r="AM40" s="24" t="inlineStr">
        <is>
          <t>RESEARCH_OBSERVATION</t>
        </is>
      </c>
      <c r="AN40" s="24" t="inlineStr">
        <is>
          <t>CALL</t>
        </is>
      </c>
      <c r="AO40" s="24" t="inlineStr">
        <is>
          <t>PAPER_CALL_MODEL_UNVALIDATED</t>
        </is>
      </c>
      <c r="AP40" s="24" t="inlineStr">
        <is>
          <t>wnba-por</t>
        </is>
      </c>
      <c r="AQ40" s="24" t="inlineStr">
        <is>
          <t>Portland Fire</t>
        </is>
      </c>
      <c r="AR40" s="24" t="inlineStr">
        <is>
          <t>Portland Fire</t>
        </is>
      </c>
      <c r="AS40" s="24" t="inlineStr">
        <is>
          <t>wnba-atl</t>
        </is>
      </c>
      <c r="AT40" s="24" t="inlineStr">
        <is>
          <t>Atlanta Dream</t>
        </is>
      </c>
      <c r="AU40" s="24" t="inlineStr">
        <is>
          <t>Atlanta Dream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research</t>
        </is>
      </c>
      <c r="BA40" s="24" t="inlineStr">
        <is>
          <t>23ba88bcc86a710d76233b349116f2eefe021a993d2d3b9102922e567a027b4c</t>
        </is>
      </c>
      <c r="BB40" s="24" t="inlineStr">
        <is>
          <t>margin_normal</t>
        </is>
      </c>
      <c r="BC40" s="24" t="inlineStr">
        <is>
          <t>wnba-spread-margin-v1</t>
        </is>
      </c>
      <c r="BD40" s="24" t="inlineStr">
        <is>
          <t>23ba88bcc86a710d76233b349116f2eefe021a993d2d3b9102922e567a027b4c</t>
        </is>
      </c>
      <c r="BE40" s="24" t="inlineStr">
        <is>
          <t>wnba-spread-margin-v1</t>
        </is>
      </c>
      <c r="BF40" s="24" t="inlineStr">
        <is>
          <t>1</t>
        </is>
      </c>
      <c r="BG40" s="24" t="inlineStr">
        <is>
          <t>23ba88bcc86a710d76233b349116f2eefe021a993d2d3b9102922e567a027b4c</t>
        </is>
      </c>
      <c r="BH40" s="24" t="inlineStr">
        <is>
          <t>2026-08-28T12:33:30.240379Z</t>
        </is>
      </c>
      <c r="BI40" s="24" t="inlineStr">
        <is>
          <t>["same_event","same_team_same_day","same_league_same_day"]</t>
        </is>
      </c>
      <c r="BJ40" s="25" t="n">
        <v>13.5</v>
      </c>
      <c r="BK40" s="26" t="n">
        <v>-117</v>
      </c>
      <c r="BL40" s="27" t="n">
        <v>1.854701</v>
      </c>
      <c r="BM40" s="28" t="n">
        <v>0.539171</v>
      </c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True</t>
        </is>
      </c>
      <c r="CT40" s="24" t="n"/>
      <c r="CU40" s="24" t="n"/>
      <c r="CV40" s="24" t="n"/>
      <c r="CW40" s="24" t="n"/>
      <c r="CX40" s="24" t="n"/>
      <c r="CY40" s="24" t="inlineStr">
        <is>
          <t>2026-08-28T12:33:30.240379Z</t>
        </is>
      </c>
      <c r="CZ40" s="24" t="inlineStr">
        <is>
          <t>True</t>
        </is>
      </c>
      <c r="DA40" s="24" t="inlineStr">
        <is>
          <t>polymarket_us</t>
        </is>
      </c>
      <c r="DB40" s="24" t="inlineStr">
        <is>
          <t>decision_time_executable_quote</t>
        </is>
      </c>
      <c r="DC40" s="24" t="inlineStr">
        <is>
          <t>False</t>
        </is>
      </c>
      <c r="DD40" s="24" t="inlineStr">
        <is>
          <t>96ffaaf8b58000ff3c34a54fe956f911b2d1fbfcb4106eeab4070ed93ac77c06</t>
        </is>
      </c>
      <c r="DE40" s="24" t="inlineStr">
        <is>
          <t>/Users/vincentc9002/model-prediction/data/odds/wnba/2026-08-28/polymarket_snapshots.jsonl</t>
        </is>
      </c>
      <c r="DF40" s="24" t="inlineStr">
        <is>
          <t>96ffaaf8b58000ff3c34a54fe956f911b2d1fbfcb4106eeab4070ed93ac77c06</t>
        </is>
      </c>
      <c r="DG40" s="24" t="n"/>
      <c r="DH40" s="24" t="n"/>
      <c r="DI40" s="24" t="n"/>
      <c r="DJ40" s="24" t="inlineStr">
        <is>
          <t>0.539171</t>
        </is>
      </c>
      <c r="DK40" s="24" t="n"/>
      <c r="DL40" s="24" t="n"/>
      <c r="DM40" s="24" t="n"/>
      <c r="DN40" s="24" t="n"/>
      <c r="DO40" s="24" t="n"/>
      <c r="DP40" s="24" t="n"/>
    </row>
    <row r="41" ht="36" customHeight="1">
      <c r="A41" s="24" t="inlineStr">
        <is>
          <t>bc027f784c3247a7</t>
        </is>
      </c>
      <c r="B41" s="24" t="inlineStr">
        <is>
          <t>2026-08-28T12:35:00.230912Z</t>
        </is>
      </c>
      <c r="C41" s="24" t="inlineStr">
        <is>
          <t>2026-08-28T23:30Z</t>
        </is>
      </c>
      <c r="D41" s="24" t="inlineStr">
        <is>
          <t>401857181</t>
        </is>
      </c>
      <c r="E41" s="24" t="inlineStr">
        <is>
          <t>WNBA</t>
        </is>
      </c>
      <c r="F41" s="24" t="inlineStr">
        <is>
          <t>Connecticut Sun</t>
        </is>
      </c>
      <c r="G41" s="24" t="inlineStr">
        <is>
          <t>Indiana Fever</t>
        </is>
      </c>
      <c r="H41" s="24" t="inlineStr">
        <is>
          <t>spread</t>
        </is>
      </c>
      <c r="I41" s="24" t="inlineStr">
        <is>
          <t>away</t>
        </is>
      </c>
      <c r="J41" s="25" t="n">
        <v>17.5</v>
      </c>
      <c r="K41" s="24" t="inlineStr">
        <is>
          <t>polymarket_us</t>
        </is>
      </c>
      <c r="L41" s="26" t="n">
        <v>-113</v>
      </c>
      <c r="M41" s="27" t="n">
        <v>1.884956</v>
      </c>
      <c r="N41" s="28" t="n">
        <v>0.530516</v>
      </c>
      <c r="O41" s="28" t="n">
        <v>0.8156</v>
      </c>
      <c r="P41" s="28" t="n">
        <v>0.03</v>
      </c>
      <c r="Q41" s="28" t="n">
        <v>0.285084</v>
      </c>
      <c r="R41" s="26" t="n">
        <v>100</v>
      </c>
      <c r="S41" s="29" t="n">
        <v>2</v>
      </c>
      <c r="T41" s="24" t="inlineStr">
        <is>
          <t>wnba-spread-margin-v1</t>
        </is>
      </c>
      <c r="U41" s="24" t="inlineStr">
        <is>
          <t>settled</t>
        </is>
      </c>
      <c r="V41" s="24" t="inlineStr">
        <is>
          <t>loss</t>
        </is>
      </c>
      <c r="W41" s="26" t="n">
        <v>91</v>
      </c>
      <c r="X41" s="26" t="n">
        <v>111</v>
      </c>
      <c r="Y41" s="25" t="n"/>
      <c r="Z41" s="26" t="n"/>
      <c r="AA41" s="28" t="n"/>
      <c r="AB41" s="28" t="n"/>
      <c r="AC41" s="30" t="n">
        <v>-2</v>
      </c>
      <c r="AD41" s="24" t="inlineStr">
        <is>
          <t>2026-08-29T12:36:25.541427Z</t>
        </is>
      </c>
      <c r="AE41" s="31" t="inlineStr">
        <is>
          <t>Projected margin +8.1 (home), sd 10.5. Executable ask 0.5300 (asc-wnba-conn-ind-2026-08-28-pos-17pt5).</t>
        </is>
      </c>
      <c r="AF41" s="31" t="inlineStr">
        <is>
          <t>Research-baseline margin-normal spread model; not yet locked-holdout qualified.</t>
        </is>
      </c>
      <c r="AG41" s="24" t="inlineStr">
        <is>
          <t>review_required</t>
        </is>
      </c>
      <c r="AH41" s="24" t="n"/>
      <c r="AI41" s="31" t="n"/>
      <c r="AJ41" s="31" t="n"/>
      <c r="AK41" s="24" t="inlineStr">
        <is>
          <t>paper_call</t>
        </is>
      </c>
      <c r="AL41" s="26" t="n">
        <v>4</v>
      </c>
      <c r="AM41" s="24" t="inlineStr">
        <is>
          <t>RESEARCH_OBSERVATION</t>
        </is>
      </c>
      <c r="AN41" s="24" t="inlineStr">
        <is>
          <t>CALL</t>
        </is>
      </c>
      <c r="AO41" s="24" t="inlineStr">
        <is>
          <t>PAPER_CALL_MODEL_UNVALIDATED</t>
        </is>
      </c>
      <c r="AP41" s="24" t="inlineStr">
        <is>
          <t>wnba-con</t>
        </is>
      </c>
      <c r="AQ41" s="24" t="inlineStr">
        <is>
          <t>Connecticut Sun</t>
        </is>
      </c>
      <c r="AR41" s="24" t="inlineStr">
        <is>
          <t>Connecticut Sun</t>
        </is>
      </c>
      <c r="AS41" s="24" t="inlineStr">
        <is>
          <t>wnba-ind</t>
        </is>
      </c>
      <c r="AT41" s="24" t="inlineStr">
        <is>
          <t>Indiana Fever</t>
        </is>
      </c>
      <c r="AU41" s="24" t="inlineStr">
        <is>
          <t>Indiana Fever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research</t>
        </is>
      </c>
      <c r="BA41" s="24" t="inlineStr">
        <is>
          <t>23ba88bcc86a710d76233b349116f2eefe021a993d2d3b9102922e567a027b4c</t>
        </is>
      </c>
      <c r="BB41" s="24" t="inlineStr">
        <is>
          <t>margin_normal</t>
        </is>
      </c>
      <c r="BC41" s="24" t="inlineStr">
        <is>
          <t>wnba-spread-margin-v1</t>
        </is>
      </c>
      <c r="BD41" s="24" t="inlineStr">
        <is>
          <t>23ba88bcc86a710d76233b349116f2eefe021a993d2d3b9102922e567a027b4c</t>
        </is>
      </c>
      <c r="BE41" s="24" t="inlineStr">
        <is>
          <t>wnba-spread-margin-v1</t>
        </is>
      </c>
      <c r="BF41" s="24" t="inlineStr">
        <is>
          <t>1</t>
        </is>
      </c>
      <c r="BG41" s="24" t="inlineStr">
        <is>
          <t>23ba88bcc86a710d76233b349116f2eefe021a993d2d3b9102922e567a027b4c</t>
        </is>
      </c>
      <c r="BH41" s="24" t="inlineStr">
        <is>
          <t>2026-08-28T12:33:30.302367Z</t>
        </is>
      </c>
      <c r="BI41" s="24" t="inlineStr">
        <is>
          <t>["same_event","same_team_same_day","same_league_same_day"]</t>
        </is>
      </c>
      <c r="BJ41" s="25" t="n">
        <v>17.5</v>
      </c>
      <c r="BK41" s="26" t="n">
        <v>-113</v>
      </c>
      <c r="BL41" s="27" t="n">
        <v>1.884956</v>
      </c>
      <c r="BM41" s="28" t="n">
        <v>0.530516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  <c r="CT41" s="24" t="n"/>
      <c r="CU41" s="24" t="n"/>
      <c r="CV41" s="24" t="n"/>
      <c r="CW41" s="24" t="n"/>
      <c r="CX41" s="24" t="n"/>
      <c r="CY41" s="24" t="inlineStr">
        <is>
          <t>2026-08-28T12:33:30.302367Z</t>
        </is>
      </c>
      <c r="CZ41" s="24" t="inlineStr">
        <is>
          <t>True</t>
        </is>
      </c>
      <c r="DA41" s="24" t="inlineStr">
        <is>
          <t>polymarket_us</t>
        </is>
      </c>
      <c r="DB41" s="24" t="inlineStr">
        <is>
          <t>decision_time_executable_quote</t>
        </is>
      </c>
      <c r="DC41" s="24" t="inlineStr">
        <is>
          <t>False</t>
        </is>
      </c>
      <c r="DD41" s="24" t="inlineStr">
        <is>
          <t>04bf53a3cf27f024459e9a8039ec69da22de3a0943f2f31615d0ee76b0947f2e</t>
        </is>
      </c>
      <c r="DE41" s="24" t="inlineStr">
        <is>
          <t>/Users/vincentc9002/model-prediction/data/odds/wnba/2026-08-28/polymarket_snapshots.jsonl</t>
        </is>
      </c>
      <c r="DF41" s="24" t="inlineStr">
        <is>
          <t>04bf53a3cf27f024459e9a8039ec69da22de3a0943f2f31615d0ee76b0947f2e</t>
        </is>
      </c>
      <c r="DG41" s="24" t="n"/>
      <c r="DH41" s="24" t="n"/>
      <c r="DI41" s="24" t="n"/>
      <c r="DJ41" s="24" t="inlineStr">
        <is>
          <t>0.530516</t>
        </is>
      </c>
      <c r="DK41" s="24" t="n"/>
      <c r="DL41" s="24" t="n"/>
      <c r="DM41" s="24" t="n"/>
      <c r="DN41" s="24" t="n"/>
      <c r="DO41" s="24" t="n"/>
      <c r="DP41" s="24" t="n"/>
    </row>
    <row r="42" ht="36" customHeight="1">
      <c r="A42" s="24" t="inlineStr">
        <is>
          <t>afe9887df3fe4980</t>
        </is>
      </c>
      <c r="B42" s="24" t="inlineStr">
        <is>
          <t>2026-08-28T12:35:00.230912Z</t>
        </is>
      </c>
      <c r="C42" s="24" t="inlineStr">
        <is>
          <t>2026-08-29T02:00Z</t>
        </is>
      </c>
      <c r="D42" s="24" t="inlineStr">
        <is>
          <t>401857182</t>
        </is>
      </c>
      <c r="E42" s="24" t="inlineStr">
        <is>
          <t>WNBA</t>
        </is>
      </c>
      <c r="F42" s="24" t="inlineStr">
        <is>
          <t>Toronto Tempo</t>
        </is>
      </c>
      <c r="G42" s="24" t="inlineStr">
        <is>
          <t>Las Vegas Aces</t>
        </is>
      </c>
      <c r="H42" s="24" t="inlineStr">
        <is>
          <t>spread</t>
        </is>
      </c>
      <c r="I42" s="24" t="inlineStr">
        <is>
          <t>away</t>
        </is>
      </c>
      <c r="J42" s="25" t="n">
        <v>13.5</v>
      </c>
      <c r="K42" s="24" t="inlineStr">
        <is>
          <t>polymarket_us</t>
        </is>
      </c>
      <c r="L42" s="26" t="n">
        <v>104</v>
      </c>
      <c r="M42" s="27" t="n">
        <v>2.04</v>
      </c>
      <c r="N42" s="28" t="n">
        <v>0.490196</v>
      </c>
      <c r="O42" s="28" t="n">
        <v>0.744188</v>
      </c>
      <c r="P42" s="28" t="n">
        <v>0.03</v>
      </c>
      <c r="Q42" s="28" t="n">
        <v>0.253992</v>
      </c>
      <c r="R42" s="26" t="n">
        <v>100</v>
      </c>
      <c r="S42" s="29" t="n">
        <v>2</v>
      </c>
      <c r="T42" s="24" t="inlineStr">
        <is>
          <t>wnba-spread-margin-v1</t>
        </is>
      </c>
      <c r="U42" s="24" t="inlineStr">
        <is>
          <t>settled</t>
        </is>
      </c>
      <c r="V42" s="24" t="inlineStr">
        <is>
          <t>loss</t>
        </is>
      </c>
      <c r="W42" s="26" t="n">
        <v>73</v>
      </c>
      <c r="X42" s="26" t="n">
        <v>93</v>
      </c>
      <c r="Y42" s="25" t="n"/>
      <c r="Z42" s="26" t="n"/>
      <c r="AA42" s="28" t="n"/>
      <c r="AB42" s="28" t="n"/>
      <c r="AC42" s="30" t="n">
        <v>-2</v>
      </c>
      <c r="AD42" s="24" t="inlineStr">
        <is>
          <t>2026-08-29T12:36:26.185418Z</t>
        </is>
      </c>
      <c r="AE42" s="31" t="inlineStr">
        <is>
          <t>Projected margin +6.6 (home), sd 10.5. Executable ask 0.4900 (asc-wnba-tor-lv-2026-08-28-pos-13pt5).</t>
        </is>
      </c>
      <c r="AF42" s="31" t="inlineStr">
        <is>
          <t>Research-baseline margin-normal spread model; not yet locked-holdout qualified.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paper_call</t>
        </is>
      </c>
      <c r="AL42" s="26" t="n">
        <v>4</v>
      </c>
      <c r="AM42" s="24" t="inlineStr">
        <is>
          <t>RESEARCH_OBSERVATION</t>
        </is>
      </c>
      <c r="AN42" s="24" t="inlineStr">
        <is>
          <t>CALL</t>
        </is>
      </c>
      <c r="AO42" s="24" t="inlineStr">
        <is>
          <t>PAPER_CALL_MODEL_UNVALIDATED</t>
        </is>
      </c>
      <c r="AP42" s="24" t="inlineStr">
        <is>
          <t>wnba-tor</t>
        </is>
      </c>
      <c r="AQ42" s="24" t="inlineStr">
        <is>
          <t>Toronto Tempo</t>
        </is>
      </c>
      <c r="AR42" s="24" t="inlineStr">
        <is>
          <t>Toronto Tempo</t>
        </is>
      </c>
      <c r="AS42" s="24" t="inlineStr">
        <is>
          <t>wnba-lva</t>
        </is>
      </c>
      <c r="AT42" s="24" t="inlineStr">
        <is>
          <t>Las Vegas Aces</t>
        </is>
      </c>
      <c r="AU42" s="24" t="inlineStr">
        <is>
          <t>Las Vegas Aces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research</t>
        </is>
      </c>
      <c r="BA42" s="24" t="inlineStr">
        <is>
          <t>23ba88bcc86a710d76233b349116f2eefe021a993d2d3b9102922e567a027b4c</t>
        </is>
      </c>
      <c r="BB42" s="24" t="inlineStr">
        <is>
          <t>margin_normal</t>
        </is>
      </c>
      <c r="BC42" s="24" t="inlineStr">
        <is>
          <t>wnba-spread-margin-v1</t>
        </is>
      </c>
      <c r="BD42" s="24" t="inlineStr">
        <is>
          <t>23ba88bcc86a710d76233b349116f2eefe021a993d2d3b9102922e567a027b4c</t>
        </is>
      </c>
      <c r="BE42" s="24" t="inlineStr">
        <is>
          <t>wnba-spread-margin-v1</t>
        </is>
      </c>
      <c r="BF42" s="24" t="inlineStr">
        <is>
          <t>1</t>
        </is>
      </c>
      <c r="BG42" s="24" t="inlineStr">
        <is>
          <t>23ba88bcc86a710d76233b349116f2eefe021a993d2d3b9102922e567a027b4c</t>
        </is>
      </c>
      <c r="BH42" s="24" t="inlineStr">
        <is>
          <t>2026-08-28T12:33:30.401017Z</t>
        </is>
      </c>
      <c r="BI42" s="24" t="inlineStr">
        <is>
          <t>["same_event","same_team_same_day","same_league_same_day"]</t>
        </is>
      </c>
      <c r="BJ42" s="25" t="n">
        <v>13.5</v>
      </c>
      <c r="BK42" s="26" t="n">
        <v>104</v>
      </c>
      <c r="BL42" s="27" t="n">
        <v>2.04</v>
      </c>
      <c r="BM42" s="28" t="n">
        <v>0.490196</v>
      </c>
      <c r="BN42" s="28" t="n"/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True</t>
        </is>
      </c>
      <c r="CT42" s="24" t="n"/>
      <c r="CU42" s="24" t="n"/>
      <c r="CV42" s="24" t="n"/>
      <c r="CW42" s="24" t="n"/>
      <c r="CX42" s="24" t="n"/>
      <c r="CY42" s="24" t="inlineStr">
        <is>
          <t>2026-08-28T12:33:30.401017Z</t>
        </is>
      </c>
      <c r="CZ42" s="24" t="inlineStr">
        <is>
          <t>True</t>
        </is>
      </c>
      <c r="DA42" s="24" t="inlineStr">
        <is>
          <t>polymarket_us</t>
        </is>
      </c>
      <c r="DB42" s="24" t="inlineStr">
        <is>
          <t>decision_time_executable_quote</t>
        </is>
      </c>
      <c r="DC42" s="24" t="inlineStr">
        <is>
          <t>False</t>
        </is>
      </c>
      <c r="DD42" s="24" t="inlineStr">
        <is>
          <t>94b8e1388d616b8ca7c869353eae9f200d9eafee9c9545332e832664ca952497</t>
        </is>
      </c>
      <c r="DE42" s="24" t="inlineStr">
        <is>
          <t>/Users/vincentc9002/model-prediction/data/odds/wnba/2026-08-28/polymarket_snapshots.jsonl</t>
        </is>
      </c>
      <c r="DF42" s="24" t="inlineStr">
        <is>
          <t>94b8e1388d616b8ca7c869353eae9f200d9eafee9c9545332e832664ca952497</t>
        </is>
      </c>
      <c r="DG42" s="24" t="n"/>
      <c r="DH42" s="24" t="n"/>
      <c r="DI42" s="24" t="n"/>
      <c r="DJ42" s="24" t="inlineStr">
        <is>
          <t>0.490196</t>
        </is>
      </c>
      <c r="DK42" s="24" t="n"/>
      <c r="DL42" s="24" t="n"/>
      <c r="DM42" s="24" t="n"/>
      <c r="DN42" s="24" t="n"/>
      <c r="DO42" s="24" t="n"/>
      <c r="DP42" s="24" t="n"/>
    </row>
    <row r="43" ht="36" customHeight="1">
      <c r="A43" s="24" t="inlineStr">
        <is>
          <t>b9a290b2de744791</t>
        </is>
      </c>
      <c r="B43" s="24" t="inlineStr">
        <is>
          <t>2026-08-28T12:35:00.230912Z</t>
        </is>
      </c>
      <c r="C43" s="24" t="inlineStr">
        <is>
          <t>2026-08-29T02:00Z</t>
        </is>
      </c>
      <c r="D43" s="24" t="inlineStr">
        <is>
          <t>401857183</t>
        </is>
      </c>
      <c r="E43" s="24" t="inlineStr">
        <is>
          <t>WNBA</t>
        </is>
      </c>
      <c r="F43" s="24" t="inlineStr">
        <is>
          <t>Washington Mystics</t>
        </is>
      </c>
      <c r="G43" s="24" t="inlineStr">
        <is>
          <t>Los Angeles Sparks</t>
        </is>
      </c>
      <c r="H43" s="24" t="inlineStr">
        <is>
          <t>spread</t>
        </is>
      </c>
      <c r="I43" s="24" t="inlineStr">
        <is>
          <t>home</t>
        </is>
      </c>
      <c r="J43" s="25" t="n">
        <v>4.5</v>
      </c>
      <c r="K43" s="24" t="inlineStr">
        <is>
          <t>polymarket_us</t>
        </is>
      </c>
      <c r="L43" s="26" t="n">
        <v>113</v>
      </c>
      <c r="M43" s="27" t="n">
        <v>2.13</v>
      </c>
      <c r="N43" s="28" t="n">
        <v>0.469484</v>
      </c>
      <c r="O43" s="28" t="n">
        <v>0.624024</v>
      </c>
      <c r="P43" s="28" t="n">
        <v>0.03</v>
      </c>
      <c r="Q43" s="28" t="n">
        <v>0.15454</v>
      </c>
      <c r="R43" s="26" t="n">
        <v>100</v>
      </c>
      <c r="S43" s="29" t="n">
        <v>1.75</v>
      </c>
      <c r="T43" s="24" t="inlineStr">
        <is>
          <t>wnba-spread-margin-v1</t>
        </is>
      </c>
      <c r="U43" s="24" t="inlineStr">
        <is>
          <t>settled</t>
        </is>
      </c>
      <c r="V43" s="24" t="inlineStr">
        <is>
          <t>win</t>
        </is>
      </c>
      <c r="W43" s="26" t="n">
        <v>82</v>
      </c>
      <c r="X43" s="26" t="n">
        <v>88</v>
      </c>
      <c r="Y43" s="25" t="n"/>
      <c r="Z43" s="26" t="n"/>
      <c r="AA43" s="28" t="n"/>
      <c r="AB43" s="28" t="n"/>
      <c r="AC43" s="30" t="n">
        <v>1.9775</v>
      </c>
      <c r="AD43" s="24" t="inlineStr">
        <is>
          <t>2026-08-29T12:36:26.850904Z</t>
        </is>
      </c>
      <c r="AE43" s="31" t="inlineStr">
        <is>
          <t>Projected margin -1.2 (home), sd 10.5. Executable ask 0.4700 (asc-wnba-wsh-la-2026-08-28-neg-4pt5).</t>
        </is>
      </c>
      <c r="AF43" s="31" t="inlineStr">
        <is>
          <t>Research-baseline margin-normal spread model; not yet locked-holdout qualified.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paper_call</t>
        </is>
      </c>
      <c r="AL43" s="26" t="n">
        <v>4</v>
      </c>
      <c r="AM43" s="24" t="inlineStr">
        <is>
          <t>RESEARCH_OBSERVATION</t>
        </is>
      </c>
      <c r="AN43" s="24" t="inlineStr">
        <is>
          <t>CALL</t>
        </is>
      </c>
      <c r="AO43" s="24" t="inlineStr">
        <is>
          <t>PAPER_CALL_MODEL_UNVALIDATED</t>
        </is>
      </c>
      <c r="AP43" s="24" t="inlineStr">
        <is>
          <t>wnba-was</t>
        </is>
      </c>
      <c r="AQ43" s="24" t="inlineStr">
        <is>
          <t>Washington Mystics</t>
        </is>
      </c>
      <c r="AR43" s="24" t="inlineStr">
        <is>
          <t>Washington Mystics</t>
        </is>
      </c>
      <c r="AS43" s="24" t="inlineStr">
        <is>
          <t>wnba-las</t>
        </is>
      </c>
      <c r="AT43" s="24" t="inlineStr">
        <is>
          <t>Los Angeles Sparks</t>
        </is>
      </c>
      <c r="AU43" s="24" t="inlineStr">
        <is>
          <t>Los Angeles Sparks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research</t>
        </is>
      </c>
      <c r="BA43" s="24" t="inlineStr">
        <is>
          <t>23ba88bcc86a710d76233b349116f2eefe021a993d2d3b9102922e567a027b4c</t>
        </is>
      </c>
      <c r="BB43" s="24" t="inlineStr">
        <is>
          <t>margin_normal</t>
        </is>
      </c>
      <c r="BC43" s="24" t="inlineStr">
        <is>
          <t>wnba-spread-margin-v1</t>
        </is>
      </c>
      <c r="BD43" s="24" t="inlineStr">
        <is>
          <t>23ba88bcc86a710d76233b349116f2eefe021a993d2d3b9102922e567a027b4c</t>
        </is>
      </c>
      <c r="BE43" s="24" t="inlineStr">
        <is>
          <t>wnba-spread-margin-v1</t>
        </is>
      </c>
      <c r="BF43" s="24" t="inlineStr">
        <is>
          <t>1</t>
        </is>
      </c>
      <c r="BG43" s="24" t="inlineStr">
        <is>
          <t>23ba88bcc86a710d76233b349116f2eefe021a993d2d3b9102922e567a027b4c</t>
        </is>
      </c>
      <c r="BH43" s="24" t="inlineStr">
        <is>
          <t>2026-08-28T12:33:30.481635Z</t>
        </is>
      </c>
      <c r="BI43" s="24" t="inlineStr">
        <is>
          <t>["same_event","same_team_same_day","same_league_same_day"]</t>
        </is>
      </c>
      <c r="BJ43" s="25" t="n">
        <v>4.5</v>
      </c>
      <c r="BK43" s="26" t="n">
        <v>113</v>
      </c>
      <c r="BL43" s="27" t="n">
        <v>2.13</v>
      </c>
      <c r="BM43" s="28" t="n">
        <v>0.469484</v>
      </c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True</t>
        </is>
      </c>
      <c r="CT43" s="24" t="n"/>
      <c r="CU43" s="24" t="n"/>
      <c r="CV43" s="24" t="n"/>
      <c r="CW43" s="24" t="n"/>
      <c r="CX43" s="24" t="n"/>
      <c r="CY43" s="24" t="inlineStr">
        <is>
          <t>2026-08-28T12:33:30.481635Z</t>
        </is>
      </c>
      <c r="CZ43" s="24" t="inlineStr">
        <is>
          <t>True</t>
        </is>
      </c>
      <c r="DA43" s="24" t="inlineStr">
        <is>
          <t>polymarket_us</t>
        </is>
      </c>
      <c r="DB43" s="24" t="inlineStr">
        <is>
          <t>decision_time_executable_quote</t>
        </is>
      </c>
      <c r="DC43" s="24" t="inlineStr">
        <is>
          <t>False</t>
        </is>
      </c>
      <c r="DD43" s="24" t="inlineStr">
        <is>
          <t>86718472e11f857a9c746b1e4118d89f29d707d45223b4a1c7fba8e76d71e6b4</t>
        </is>
      </c>
      <c r="DE43" s="24" t="inlineStr">
        <is>
          <t>/Users/vincentc9002/model-prediction/data/odds/wnba/2026-08-28/polymarket_snapshots.jsonl</t>
        </is>
      </c>
      <c r="DF43" s="24" t="inlineStr">
        <is>
          <t>86718472e11f857a9c746b1e4118d89f29d707d45223b4a1c7fba8e76d71e6b4</t>
        </is>
      </c>
      <c r="DG43" s="24" t="n"/>
      <c r="DH43" s="24" t="n"/>
      <c r="DI43" s="24" t="n"/>
      <c r="DJ43" s="24" t="inlineStr">
        <is>
          <t>0.469484</t>
        </is>
      </c>
      <c r="DK43" s="24" t="n"/>
      <c r="DL43" s="24" t="n"/>
      <c r="DM43" s="24" t="n"/>
      <c r="DN43" s="24" t="n"/>
      <c r="DO43" s="24" t="n"/>
      <c r="DP43" s="24" t="n"/>
    </row>
    <row r="44" ht="36" customHeight="1">
      <c r="A44" s="24" t="inlineStr">
        <is>
          <t>088cdb70a6e24bef</t>
        </is>
      </c>
      <c r="B44" s="24" t="inlineStr">
        <is>
          <t>2026-08-29T16:04:47.771438Z</t>
        </is>
      </c>
      <c r="C44" s="24" t="inlineStr">
        <is>
          <t>2026-08-29T17:00Z</t>
        </is>
      </c>
      <c r="D44" s="24" t="inlineStr">
        <is>
          <t>401857184</t>
        </is>
      </c>
      <c r="E44" s="24" t="inlineStr">
        <is>
          <t>WNBA</t>
        </is>
      </c>
      <c r="F44" s="24" t="inlineStr">
        <is>
          <t>Chicago Sky</t>
        </is>
      </c>
      <c r="G44" s="24" t="inlineStr">
        <is>
          <t>New York Liberty</t>
        </is>
      </c>
      <c r="H44" s="24" t="inlineStr">
        <is>
          <t>spread</t>
        </is>
      </c>
      <c r="I44" s="24" t="inlineStr">
        <is>
          <t>away</t>
        </is>
      </c>
      <c r="J44" s="25" t="n">
        <v>7.5</v>
      </c>
      <c r="K44" s="24" t="inlineStr">
        <is>
          <t>polymarket_us</t>
        </is>
      </c>
      <c r="L44" s="26" t="n">
        <v>117</v>
      </c>
      <c r="M44" s="27" t="n">
        <v>2.17</v>
      </c>
      <c r="N44" s="28" t="n">
        <v>0.460829</v>
      </c>
      <c r="O44" s="28" t="n">
        <v>0.632035</v>
      </c>
      <c r="P44" s="28" t="n">
        <v>0.03</v>
      </c>
      <c r="Q44" s="28" t="n">
        <v>0.171206</v>
      </c>
      <c r="R44" s="26" t="n">
        <v>100</v>
      </c>
      <c r="S44" s="29" t="n">
        <v>2</v>
      </c>
      <c r="T44" s="24" t="inlineStr">
        <is>
          <t>wnba-spread-margin-v1</t>
        </is>
      </c>
      <c r="U44" s="24" t="inlineStr">
        <is>
          <t>settled</t>
        </is>
      </c>
      <c r="V44" s="24" t="inlineStr">
        <is>
          <t>loss</t>
        </is>
      </c>
      <c r="W44" s="26" t="n">
        <v>66</v>
      </c>
      <c r="X44" s="26" t="n">
        <v>85</v>
      </c>
      <c r="Y44" s="25" t="n"/>
      <c r="Z44" s="26" t="n"/>
      <c r="AA44" s="28" t="n"/>
      <c r="AB44" s="28" t="n"/>
      <c r="AC44" s="30" t="n">
        <v>-2</v>
      </c>
      <c r="AD44" s="24" t="inlineStr">
        <is>
          <t>2026-08-30T03:29:46.202154Z</t>
        </is>
      </c>
      <c r="AE44" s="31" t="inlineStr">
        <is>
          <t>Projected margin +4.0 (home), sd 10.5. Executable ask 0.4600 (asc-wnba-chi-ny-2026-08-29-pos-7pt5).</t>
        </is>
      </c>
      <c r="AF44" s="31" t="inlineStr">
        <is>
          <t>Research-baseline margin-normal spread model; not yet locked-holdout qualified.</t>
        </is>
      </c>
      <c r="AG44" s="24" t="inlineStr">
        <is>
          <t>review_required</t>
        </is>
      </c>
      <c r="AH44" s="24" t="n"/>
      <c r="AI44" s="31" t="n"/>
      <c r="AJ44" s="31" t="n"/>
      <c r="AK44" s="24" t="inlineStr">
        <is>
          <t>paper_call</t>
        </is>
      </c>
      <c r="AL44" s="26" t="n">
        <v>4</v>
      </c>
      <c r="AM44" s="24" t="inlineStr">
        <is>
          <t>RESEARCH_OBSERVATION</t>
        </is>
      </c>
      <c r="AN44" s="24" t="inlineStr">
        <is>
          <t>CALL</t>
        </is>
      </c>
      <c r="AO44" s="24" t="inlineStr">
        <is>
          <t>PAPER_CALL_MODEL_UNVALIDATED</t>
        </is>
      </c>
      <c r="AP44" s="24" t="inlineStr">
        <is>
          <t>wnba-chi</t>
        </is>
      </c>
      <c r="AQ44" s="24" t="inlineStr">
        <is>
          <t>Chicago Sky</t>
        </is>
      </c>
      <c r="AR44" s="24" t="inlineStr">
        <is>
          <t>Chicago Sky</t>
        </is>
      </c>
      <c r="AS44" s="24" t="inlineStr">
        <is>
          <t>wnba-nyl</t>
        </is>
      </c>
      <c r="AT44" s="24" t="inlineStr">
        <is>
          <t>New York Liberty</t>
        </is>
      </c>
      <c r="AU44" s="24" t="inlineStr">
        <is>
          <t>New York Liberty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research</t>
        </is>
      </c>
      <c r="BA44" s="24" t="inlineStr">
        <is>
          <t>23ba88bcc86a710d76233b349116f2eefe021a993d2d3b9102922e567a027b4c</t>
        </is>
      </c>
      <c r="BB44" s="24" t="inlineStr">
        <is>
          <t>margin_normal</t>
        </is>
      </c>
      <c r="BC44" s="24" t="inlineStr">
        <is>
          <t>wnba-spread-margin-v1</t>
        </is>
      </c>
      <c r="BD44" s="24" t="inlineStr">
        <is>
          <t>23ba88bcc86a710d76233b349116f2eefe021a993d2d3b9102922e567a027b4c</t>
        </is>
      </c>
      <c r="BE44" s="24" t="inlineStr">
        <is>
          <t>wnba-spread-margin-v1</t>
        </is>
      </c>
      <c r="BF44" s="24" t="inlineStr">
        <is>
          <t>1</t>
        </is>
      </c>
      <c r="BG44" s="24" t="inlineStr">
        <is>
          <t>23ba88bcc86a710d76233b349116f2eefe021a993d2d3b9102922e567a027b4c</t>
        </is>
      </c>
      <c r="BH44" s="24" t="inlineStr">
        <is>
          <t>2026-08-29T12:40:47.288764Z</t>
        </is>
      </c>
      <c r="BI44" s="24" t="inlineStr">
        <is>
          <t>["same_event","same_team_same_day","same_league_same_day"]</t>
        </is>
      </c>
      <c r="BJ44" s="25" t="n">
        <v>7.5</v>
      </c>
      <c r="BK44" s="26" t="n">
        <v>117</v>
      </c>
      <c r="BL44" s="27" t="n">
        <v>2.17</v>
      </c>
      <c r="BM44" s="28" t="n">
        <v>0.460829</v>
      </c>
      <c r="BN44" s="28" t="n"/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True</t>
        </is>
      </c>
      <c r="CT44" s="24" t="n"/>
      <c r="CU44" s="24" t="n"/>
      <c r="CV44" s="24" t="n"/>
      <c r="CW44" s="24" t="n"/>
      <c r="CX44" s="24" t="n"/>
      <c r="CY44" s="24" t="inlineStr">
        <is>
          <t>2026-08-29T12:40:47.288764Z</t>
        </is>
      </c>
      <c r="CZ44" s="24" t="inlineStr">
        <is>
          <t>True</t>
        </is>
      </c>
      <c r="DA44" s="24" t="inlineStr">
        <is>
          <t>polymarket_us</t>
        </is>
      </c>
      <c r="DB44" s="24" t="inlineStr">
        <is>
          <t>decision_time_executable_quote</t>
        </is>
      </c>
      <c r="DC44" s="24" t="inlineStr">
        <is>
          <t>False</t>
        </is>
      </c>
      <c r="DD44" s="24" t="inlineStr">
        <is>
          <t>8140601c536cf19e0e5e4be23dfbc1846a85b36da824487af7b1d88477e02497</t>
        </is>
      </c>
      <c r="DE44" s="24" t="inlineStr">
        <is>
          <t>/Users/vincentc9002/model-prediction/data/odds/wnba/2026-08-29/polymarket_snapshots.jsonl</t>
        </is>
      </c>
      <c r="DF44" s="24" t="inlineStr">
        <is>
          <t>8140601c536cf19e0e5e4be23dfbc1846a85b36da824487af7b1d88477e02497</t>
        </is>
      </c>
      <c r="DG44" s="24" t="n"/>
      <c r="DH44" s="24" t="n"/>
      <c r="DI44" s="24" t="n"/>
      <c r="DJ44" s="24" t="inlineStr">
        <is>
          <t>0.460829</t>
        </is>
      </c>
      <c r="DK44" s="24" t="n"/>
      <c r="DL44" s="24" t="n"/>
      <c r="DM44" s="24" t="n"/>
      <c r="DN44" s="24" t="n"/>
      <c r="DO44" s="24" t="n"/>
      <c r="DP44" s="24" t="n"/>
    </row>
    <row r="45" ht="36" customHeight="1">
      <c r="A45" s="24" t="inlineStr">
        <is>
          <t>f67e246005de4a3b</t>
        </is>
      </c>
      <c r="B45" s="24" t="inlineStr">
        <is>
          <t>2026-08-29T16:04:47.771438Z</t>
        </is>
      </c>
      <c r="C45" s="24" t="inlineStr">
        <is>
          <t>2026-08-30T02:00Z</t>
        </is>
      </c>
      <c r="D45" s="24" t="inlineStr">
        <is>
          <t>401857185</t>
        </is>
      </c>
      <c r="E45" s="24" t="inlineStr">
        <is>
          <t>WNBA</t>
        </is>
      </c>
      <c r="F45" s="24" t="inlineStr">
        <is>
          <t>Toronto Tempo</t>
        </is>
      </c>
      <c r="G45" s="24" t="inlineStr">
        <is>
          <t>Phoenix Mercury</t>
        </is>
      </c>
      <c r="H45" s="24" t="inlineStr">
        <is>
          <t>spread</t>
        </is>
      </c>
      <c r="I45" s="24" t="inlineStr">
        <is>
          <t>away</t>
        </is>
      </c>
      <c r="J45" s="25" t="n">
        <v>7.5</v>
      </c>
      <c r="K45" s="24" t="inlineStr">
        <is>
          <t>polymarket_us</t>
        </is>
      </c>
      <c r="L45" s="26" t="n">
        <v>127</v>
      </c>
      <c r="M45" s="27" t="n">
        <v>2.27</v>
      </c>
      <c r="N45" s="28" t="n">
        <v>0.440529</v>
      </c>
      <c r="O45" s="28" t="n">
        <v>0.6637690000000001</v>
      </c>
      <c r="P45" s="28" t="n">
        <v>0.03</v>
      </c>
      <c r="Q45" s="28" t="n">
        <v>0.22324</v>
      </c>
      <c r="R45" s="26" t="n">
        <v>100</v>
      </c>
      <c r="S45" s="29" t="n">
        <v>2</v>
      </c>
      <c r="T45" s="24" t="inlineStr">
        <is>
          <t>wnba-spread-margin-v1</t>
        </is>
      </c>
      <c r="U45" s="24" t="inlineStr">
        <is>
          <t>settled</t>
        </is>
      </c>
      <c r="V45" s="24" t="inlineStr">
        <is>
          <t>loss</t>
        </is>
      </c>
      <c r="W45" s="26" t="n">
        <v>69</v>
      </c>
      <c r="X45" s="26" t="n">
        <v>101</v>
      </c>
      <c r="Y45" s="25" t="n"/>
      <c r="Z45" s="26" t="n"/>
      <c r="AA45" s="28" t="n"/>
      <c r="AB45" s="28" t="n"/>
      <c r="AC45" s="30" t="n">
        <v>-2</v>
      </c>
      <c r="AD45" s="24" t="inlineStr">
        <is>
          <t>2026-08-30T16:00:51.778417Z</t>
        </is>
      </c>
      <c r="AE45" s="31" t="inlineStr">
        <is>
          <t>Projected margin +3.1 (home), sd 10.5. Executable ask 0.4400 (asc-wnba-tor-phx-2026-08-29-pos-7pt5).</t>
        </is>
      </c>
      <c r="AF45" s="31" t="inlineStr">
        <is>
          <t>Research-baseline margin-normal spread model; not yet locked-holdout qualified.</t>
        </is>
      </c>
      <c r="AG45" s="24" t="inlineStr">
        <is>
          <t>review_required</t>
        </is>
      </c>
      <c r="AH45" s="24" t="n"/>
      <c r="AI45" s="31" t="n"/>
      <c r="AJ45" s="31" t="n"/>
      <c r="AK45" s="24" t="inlineStr">
        <is>
          <t>paper_call</t>
        </is>
      </c>
      <c r="AL45" s="26" t="n">
        <v>4</v>
      </c>
      <c r="AM45" s="24" t="inlineStr">
        <is>
          <t>RESEARCH_OBSERVATION</t>
        </is>
      </c>
      <c r="AN45" s="24" t="inlineStr">
        <is>
          <t>CALL</t>
        </is>
      </c>
      <c r="AO45" s="24" t="inlineStr">
        <is>
          <t>PAPER_CALL_MODEL_UNVALIDATED</t>
        </is>
      </c>
      <c r="AP45" s="24" t="inlineStr">
        <is>
          <t>wnba-tor</t>
        </is>
      </c>
      <c r="AQ45" s="24" t="inlineStr">
        <is>
          <t>Toronto Tempo</t>
        </is>
      </c>
      <c r="AR45" s="24" t="inlineStr">
        <is>
          <t>Toronto Tempo</t>
        </is>
      </c>
      <c r="AS45" s="24" t="inlineStr">
        <is>
          <t>wnba-phx</t>
        </is>
      </c>
      <c r="AT45" s="24" t="inlineStr">
        <is>
          <t>Phoenix Mercury</t>
        </is>
      </c>
      <c r="AU45" s="24" t="inlineStr">
        <is>
          <t>Phoenix Mercury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research</t>
        </is>
      </c>
      <c r="BA45" s="24" t="inlineStr">
        <is>
          <t>23ba88bcc86a710d76233b349116f2eefe021a993d2d3b9102922e567a027b4c</t>
        </is>
      </c>
      <c r="BB45" s="24" t="inlineStr">
        <is>
          <t>margin_normal</t>
        </is>
      </c>
      <c r="BC45" s="24" t="inlineStr">
        <is>
          <t>wnba-spread-margin-v1</t>
        </is>
      </c>
      <c r="BD45" s="24" t="inlineStr">
        <is>
          <t>23ba88bcc86a710d76233b349116f2eefe021a993d2d3b9102922e567a027b4c</t>
        </is>
      </c>
      <c r="BE45" s="24" t="inlineStr">
        <is>
          <t>wnba-spread-margin-v1</t>
        </is>
      </c>
      <c r="BF45" s="24" t="inlineStr">
        <is>
          <t>1</t>
        </is>
      </c>
      <c r="BG45" s="24" t="inlineStr">
        <is>
          <t>23ba88bcc86a710d76233b349116f2eefe021a993d2d3b9102922e567a027b4c</t>
        </is>
      </c>
      <c r="BH45" s="24" t="inlineStr">
        <is>
          <t>2026-08-29T12:40:47.358563Z</t>
        </is>
      </c>
      <c r="BI45" s="24" t="inlineStr">
        <is>
          <t>["same_event","same_team_same_day","same_league_same_day"]</t>
        </is>
      </c>
      <c r="BJ45" s="25" t="n">
        <v>7.5</v>
      </c>
      <c r="BK45" s="26" t="n">
        <v>127</v>
      </c>
      <c r="BL45" s="27" t="n">
        <v>2.27</v>
      </c>
      <c r="BM45" s="28" t="n">
        <v>0.440529</v>
      </c>
      <c r="BN45" s="28" t="n"/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True</t>
        </is>
      </c>
      <c r="CT45" s="24" t="n"/>
      <c r="CU45" s="24" t="n"/>
      <c r="CV45" s="24" t="n"/>
      <c r="CW45" s="24" t="n"/>
      <c r="CX45" s="24" t="n"/>
      <c r="CY45" s="24" t="inlineStr">
        <is>
          <t>2026-08-29T12:40:47.358563Z</t>
        </is>
      </c>
      <c r="CZ45" s="24" t="inlineStr">
        <is>
          <t>True</t>
        </is>
      </c>
      <c r="DA45" s="24" t="inlineStr">
        <is>
          <t>polymarket_us</t>
        </is>
      </c>
      <c r="DB45" s="24" t="inlineStr">
        <is>
          <t>decision_time_executable_quote</t>
        </is>
      </c>
      <c r="DC45" s="24" t="inlineStr">
        <is>
          <t>False</t>
        </is>
      </c>
      <c r="DD45" s="24" t="inlineStr">
        <is>
          <t>2d0650483b8da7eebf36ba1bd16e727dbf09a6c23e39c984ce2705c6c22b904c</t>
        </is>
      </c>
      <c r="DE45" s="24" t="inlineStr">
        <is>
          <t>/Users/vincentc9002/model-prediction/data/odds/wnba/2026-08-29/polymarket_snapshots.jsonl</t>
        </is>
      </c>
      <c r="DF45" s="24" t="inlineStr">
        <is>
          <t>2d0650483b8da7eebf36ba1bd16e727dbf09a6c23e39c984ce2705c6c22b904c</t>
        </is>
      </c>
      <c r="DG45" s="24" t="n"/>
      <c r="DH45" s="24" t="n"/>
      <c r="DI45" s="24" t="n"/>
      <c r="DJ45" s="24" t="inlineStr">
        <is>
          <t>0.440529</t>
        </is>
      </c>
      <c r="DK45" s="24" t="n"/>
      <c r="DL45" s="24" t="n"/>
      <c r="DM45" s="24" t="n"/>
      <c r="DN45" s="24" t="n"/>
      <c r="DO45" s="24" t="n"/>
      <c r="DP45" s="24" t="n"/>
    </row>
    <row r="46" ht="36" customHeight="1">
      <c r="A46" s="24" t="inlineStr">
        <is>
          <t>59785a0973bf4d8c</t>
        </is>
      </c>
      <c r="B46" s="24" t="inlineStr">
        <is>
          <t>2026-08-30T16:06:27.993902Z</t>
        </is>
      </c>
      <c r="C46" s="24" t="inlineStr">
        <is>
          <t>2026-08-30T19:00Z</t>
        </is>
      </c>
      <c r="D46" s="24" t="inlineStr">
        <is>
          <t>401857186</t>
        </is>
      </c>
      <c r="E46" s="24" t="inlineStr">
        <is>
          <t>WNBA</t>
        </is>
      </c>
      <c r="F46" s="24" t="inlineStr">
        <is>
          <t>Minnesota Lynx</t>
        </is>
      </c>
      <c r="G46" s="24" t="inlineStr">
        <is>
          <t>Atlanta Dream</t>
        </is>
      </c>
      <c r="H46" s="24" t="inlineStr">
        <is>
          <t>spread</t>
        </is>
      </c>
      <c r="I46" s="24" t="inlineStr">
        <is>
          <t>home</t>
        </is>
      </c>
      <c r="J46" s="25" t="n">
        <v>1.5</v>
      </c>
      <c r="K46" s="24" t="inlineStr">
        <is>
          <t>polymarket_us</t>
        </is>
      </c>
      <c r="L46" s="26" t="n">
        <v>108</v>
      </c>
      <c r="M46" s="27" t="n">
        <v>2.08</v>
      </c>
      <c r="N46" s="28" t="n">
        <v>0.480769</v>
      </c>
      <c r="O46" s="28" t="n">
        <v>0.608769</v>
      </c>
      <c r="P46" s="28" t="n">
        <v>0.03</v>
      </c>
      <c r="Q46" s="28" t="n">
        <v>0.128</v>
      </c>
      <c r="R46" s="26" t="n">
        <v>96</v>
      </c>
      <c r="S46" s="29" t="n">
        <v>1.75</v>
      </c>
      <c r="T46" s="24" t="inlineStr">
        <is>
          <t>wnba-spread-margin-v1</t>
        </is>
      </c>
      <c r="U46" s="24" t="inlineStr">
        <is>
          <t>settled</t>
        </is>
      </c>
      <c r="V46" s="24" t="inlineStr">
        <is>
          <t>win</t>
        </is>
      </c>
      <c r="W46" s="26" t="n">
        <v>81</v>
      </c>
      <c r="X46" s="26" t="n">
        <v>89</v>
      </c>
      <c r="Y46" s="25" t="n"/>
      <c r="Z46" s="26" t="n"/>
      <c r="AA46" s="28" t="n"/>
      <c r="AB46" s="28" t="n"/>
      <c r="AC46" s="30" t="n">
        <v>1.89</v>
      </c>
      <c r="AD46" s="24" t="inlineStr">
        <is>
          <t>2026-08-31T04:37:10.110958Z</t>
        </is>
      </c>
      <c r="AE46" s="31" t="inlineStr">
        <is>
          <t>Projected margin +1.4 (home), sd 10.5. Executable ask 0.4800 (asc-wnba-min-atl-2026-08-30-neg-1pt5).</t>
        </is>
      </c>
      <c r="AF46" s="31" t="inlineStr">
        <is>
          <t>Research-baseline margin-normal spread model; not yet locked-holdout qualified.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paper_call</t>
        </is>
      </c>
      <c r="AL46" s="26" t="n">
        <v>4</v>
      </c>
      <c r="AM46" s="24" t="inlineStr">
        <is>
          <t>RESEARCH_OBSERVATION</t>
        </is>
      </c>
      <c r="AN46" s="24" t="inlineStr">
        <is>
          <t>CALL</t>
        </is>
      </c>
      <c r="AO46" s="24" t="inlineStr">
        <is>
          <t>PAPER_CALL_MODEL_UNVALIDATED</t>
        </is>
      </c>
      <c r="AP46" s="24" t="inlineStr">
        <is>
          <t>wnba-min</t>
        </is>
      </c>
      <c r="AQ46" s="24" t="inlineStr">
        <is>
          <t>Minnesota Lynx</t>
        </is>
      </c>
      <c r="AR46" s="24" t="inlineStr">
        <is>
          <t>Minnesota Lynx</t>
        </is>
      </c>
      <c r="AS46" s="24" t="inlineStr">
        <is>
          <t>wnba-atl</t>
        </is>
      </c>
      <c r="AT46" s="24" t="inlineStr">
        <is>
          <t>Atlanta Dream</t>
        </is>
      </c>
      <c r="AU46" s="24" t="inlineStr">
        <is>
          <t>Atlanta Dream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research</t>
        </is>
      </c>
      <c r="BA46" s="24" t="inlineStr">
        <is>
          <t>23ba88bcc86a710d76233b349116f2eefe021a993d2d3b9102922e567a027b4c</t>
        </is>
      </c>
      <c r="BB46" s="24" t="inlineStr">
        <is>
          <t>margin_normal</t>
        </is>
      </c>
      <c r="BC46" s="24" t="inlineStr">
        <is>
          <t>wnba-spread-margin-v1</t>
        </is>
      </c>
      <c r="BD46" s="24" t="inlineStr">
        <is>
          <t>23ba88bcc86a710d76233b349116f2eefe021a993d2d3b9102922e567a027b4c</t>
        </is>
      </c>
      <c r="BE46" s="24" t="inlineStr">
        <is>
          <t>wnba-spread-margin-v1</t>
        </is>
      </c>
      <c r="BF46" s="24" t="inlineStr">
        <is>
          <t>1</t>
        </is>
      </c>
      <c r="BG46" s="24" t="inlineStr">
        <is>
          <t>23ba88bcc86a710d76233b349116f2eefe021a993d2d3b9102922e567a027b4c</t>
        </is>
      </c>
      <c r="BH46" s="24" t="inlineStr">
        <is>
          <t>2026-08-30T05:39:20.257418Z</t>
        </is>
      </c>
      <c r="BI46" s="24" t="inlineStr">
        <is>
          <t>["same_event","same_team_same_day","same_league_same_day"]</t>
        </is>
      </c>
      <c r="BJ46" s="25" t="n">
        <v>1.5</v>
      </c>
      <c r="BK46" s="26" t="n">
        <v>108</v>
      </c>
      <c r="BL46" s="27" t="n">
        <v>2.08</v>
      </c>
      <c r="BM46" s="28" t="n">
        <v>0.480769</v>
      </c>
      <c r="BN46" s="28" t="n"/>
      <c r="BO46" s="28" t="n"/>
      <c r="BP46" s="25" t="n"/>
      <c r="BQ46" s="27" t="n"/>
      <c r="BR46" s="28" t="n"/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True</t>
        </is>
      </c>
      <c r="CT46" s="24" t="n"/>
      <c r="CU46" s="24" t="n"/>
      <c r="CV46" s="24" t="n"/>
      <c r="CW46" s="24" t="n"/>
      <c r="CX46" s="24" t="n"/>
      <c r="CY46" s="24" t="inlineStr">
        <is>
          <t>2026-08-30T05:39:20.257418Z</t>
        </is>
      </c>
      <c r="CZ46" s="24" t="inlineStr">
        <is>
          <t>True</t>
        </is>
      </c>
      <c r="DA46" s="24" t="inlineStr">
        <is>
          <t>polymarket_us</t>
        </is>
      </c>
      <c r="DB46" s="24" t="inlineStr">
        <is>
          <t>decision_time_executable_quote</t>
        </is>
      </c>
      <c r="DC46" s="24" t="inlineStr">
        <is>
          <t>False</t>
        </is>
      </c>
      <c r="DD46" s="24" t="inlineStr">
        <is>
          <t>6e1903620631e516dd85d8347a4a4747a5680bd626ad21e5bbe298656a44879c</t>
        </is>
      </c>
      <c r="DE46" s="24" t="inlineStr">
        <is>
          <t>/Users/vincentc9002/model-prediction/data/odds/wnba/2026-08-30/polymarket_snapshots.jsonl</t>
        </is>
      </c>
      <c r="DF46" s="24" t="inlineStr">
        <is>
          <t>6e1903620631e516dd85d8347a4a4747a5680bd626ad21e5bbe298656a44879c</t>
        </is>
      </c>
      <c r="DG46" s="24" t="n"/>
      <c r="DH46" s="24" t="n"/>
      <c r="DI46" s="24" t="n"/>
      <c r="DJ46" s="24" t="inlineStr">
        <is>
          <t>0.480769</t>
        </is>
      </c>
      <c r="DK46" s="24" t="n"/>
      <c r="DL46" s="24" t="n"/>
      <c r="DM46" s="24" t="n"/>
      <c r="DN46" s="24" t="n"/>
      <c r="DO46" s="24" t="n"/>
      <c r="DP46" s="24" t="n"/>
    </row>
    <row r="47" ht="36" customHeight="1">
      <c r="A47" s="24" t="inlineStr">
        <is>
          <t>4fe2473246284dac</t>
        </is>
      </c>
      <c r="B47" s="24" t="inlineStr">
        <is>
          <t>2026-08-30T16:06:27.993902Z</t>
        </is>
      </c>
      <c r="C47" s="24" t="inlineStr">
        <is>
          <t>2026-08-30T21:00Z</t>
        </is>
      </c>
      <c r="D47" s="24" t="inlineStr">
        <is>
          <t>401857187</t>
        </is>
      </c>
      <c r="E47" s="24" t="inlineStr">
        <is>
          <t>WNBA</t>
        </is>
      </c>
      <c r="F47" s="24" t="inlineStr">
        <is>
          <t>Los Angeles Sparks</t>
        </is>
      </c>
      <c r="G47" s="24" t="inlineStr">
        <is>
          <t>Seattle Storm</t>
        </is>
      </c>
      <c r="H47" s="24" t="inlineStr">
        <is>
          <t>spread</t>
        </is>
      </c>
      <c r="I47" s="24" t="inlineStr">
        <is>
          <t>home</t>
        </is>
      </c>
      <c r="J47" s="25" t="n">
        <v>1.5</v>
      </c>
      <c r="K47" s="24" t="inlineStr">
        <is>
          <t>polymarket_us</t>
        </is>
      </c>
      <c r="L47" s="26" t="n">
        <v>-117</v>
      </c>
      <c r="M47" s="27" t="n">
        <v>1.854701</v>
      </c>
      <c r="N47" s="28" t="n">
        <v>0.539171</v>
      </c>
      <c r="O47" s="28" t="n">
        <v>0.634288</v>
      </c>
      <c r="P47" s="28" t="n">
        <v>0.03</v>
      </c>
      <c r="Q47" s="28" t="n">
        <v>0.09511699999999999</v>
      </c>
      <c r="R47" s="26" t="n">
        <v>80</v>
      </c>
      <c r="S47" s="29" t="n">
        <v>1.5</v>
      </c>
      <c r="T47" s="24" t="inlineStr">
        <is>
          <t>wnba-spread-margin-v1</t>
        </is>
      </c>
      <c r="U47" s="24" t="inlineStr">
        <is>
          <t>settled</t>
        </is>
      </c>
      <c r="V47" s="24" t="inlineStr">
        <is>
          <t>loss</t>
        </is>
      </c>
      <c r="W47" s="26" t="n">
        <v>90</v>
      </c>
      <c r="X47" s="26" t="n">
        <v>74</v>
      </c>
      <c r="Y47" s="25" t="n"/>
      <c r="Z47" s="26" t="n"/>
      <c r="AA47" s="28" t="n"/>
      <c r="AB47" s="28" t="n"/>
      <c r="AC47" s="30" t="n">
        <v>-1.5</v>
      </c>
      <c r="AD47" s="24" t="inlineStr">
        <is>
          <t>2026-08-31T04:37:10.815397Z</t>
        </is>
      </c>
      <c r="AE47" s="31" t="inlineStr">
        <is>
          <t>Projected margin +2.1 (home), sd 10.5. Executable ask 0.5400 (asc-wnba-la-sea-2026-08-30-neg-1pt5).</t>
        </is>
      </c>
      <c r="AF47" s="31" t="inlineStr">
        <is>
          <t>Research-baseline margin-normal spread model; not yet locked-holdout qualified.</t>
        </is>
      </c>
      <c r="AG47" s="24" t="inlineStr">
        <is>
          <t>review_required</t>
        </is>
      </c>
      <c r="AH47" s="24" t="n"/>
      <c r="AI47" s="31" t="n"/>
      <c r="AJ47" s="31" t="n"/>
      <c r="AK47" s="24" t="inlineStr">
        <is>
          <t>paper_call</t>
        </is>
      </c>
      <c r="AL47" s="26" t="n">
        <v>4</v>
      </c>
      <c r="AM47" s="24" t="inlineStr">
        <is>
          <t>RESEARCH_OBSERVATION</t>
        </is>
      </c>
      <c r="AN47" s="24" t="inlineStr">
        <is>
          <t>CALL</t>
        </is>
      </c>
      <c r="AO47" s="24" t="inlineStr">
        <is>
          <t>PAPER_CALL_MODEL_UNVALIDATED</t>
        </is>
      </c>
      <c r="AP47" s="24" t="inlineStr">
        <is>
          <t>wnba-las</t>
        </is>
      </c>
      <c r="AQ47" s="24" t="inlineStr">
        <is>
          <t>Los Angeles Sparks</t>
        </is>
      </c>
      <c r="AR47" s="24" t="inlineStr">
        <is>
          <t>Los Angeles Sparks</t>
        </is>
      </c>
      <c r="AS47" s="24" t="inlineStr">
        <is>
          <t>wnba-sea</t>
        </is>
      </c>
      <c r="AT47" s="24" t="inlineStr">
        <is>
          <t>Seattle Storm</t>
        </is>
      </c>
      <c r="AU47" s="24" t="inlineStr">
        <is>
          <t>Seattle Storm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research</t>
        </is>
      </c>
      <c r="BA47" s="24" t="inlineStr">
        <is>
          <t>23ba88bcc86a710d76233b349116f2eefe021a993d2d3b9102922e567a027b4c</t>
        </is>
      </c>
      <c r="BB47" s="24" t="inlineStr">
        <is>
          <t>margin_normal</t>
        </is>
      </c>
      <c r="BC47" s="24" t="inlineStr">
        <is>
          <t>wnba-spread-margin-v1</t>
        </is>
      </c>
      <c r="BD47" s="24" t="inlineStr">
        <is>
          <t>23ba88bcc86a710d76233b349116f2eefe021a993d2d3b9102922e567a027b4c</t>
        </is>
      </c>
      <c r="BE47" s="24" t="inlineStr">
        <is>
          <t>wnba-spread-margin-v1</t>
        </is>
      </c>
      <c r="BF47" s="24" t="inlineStr">
        <is>
          <t>1</t>
        </is>
      </c>
      <c r="BG47" s="24" t="inlineStr">
        <is>
          <t>23ba88bcc86a710d76233b349116f2eefe021a993d2d3b9102922e567a027b4c</t>
        </is>
      </c>
      <c r="BH47" s="24" t="inlineStr">
        <is>
          <t>2026-08-30T05:39:20.313563Z</t>
        </is>
      </c>
      <c r="BI47" s="24" t="inlineStr">
        <is>
          <t>["same_event","same_team_same_day","same_league_same_day"]</t>
        </is>
      </c>
      <c r="BJ47" s="25" t="n">
        <v>1.5</v>
      </c>
      <c r="BK47" s="26" t="n">
        <v>-117</v>
      </c>
      <c r="BL47" s="27" t="n">
        <v>1.854701</v>
      </c>
      <c r="BM47" s="28" t="n">
        <v>0.539171</v>
      </c>
      <c r="BN47" s="28" t="n"/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  <c r="CT47" s="24" t="n"/>
      <c r="CU47" s="24" t="n"/>
      <c r="CV47" s="24" t="n"/>
      <c r="CW47" s="24" t="n"/>
      <c r="CX47" s="24" t="n"/>
      <c r="CY47" s="24" t="inlineStr">
        <is>
          <t>2026-08-30T05:39:20.313563Z</t>
        </is>
      </c>
      <c r="CZ47" s="24" t="inlineStr">
        <is>
          <t>True</t>
        </is>
      </c>
      <c r="DA47" s="24" t="inlineStr">
        <is>
          <t>polymarket_us</t>
        </is>
      </c>
      <c r="DB47" s="24" t="inlineStr">
        <is>
          <t>decision_time_executable_quote</t>
        </is>
      </c>
      <c r="DC47" s="24" t="inlineStr">
        <is>
          <t>False</t>
        </is>
      </c>
      <c r="DD47" s="24" t="inlineStr">
        <is>
          <t>b21fe46c72174a6e20b8071a3dd2365c00a2c089a7c834e33105de4d843c4977</t>
        </is>
      </c>
      <c r="DE47" s="24" t="inlineStr">
        <is>
          <t>/Users/vincentc9002/model-prediction/data/odds/wnba/2026-08-30/polymarket_snapshots.jsonl</t>
        </is>
      </c>
      <c r="DF47" s="24" t="inlineStr">
        <is>
          <t>b21fe46c72174a6e20b8071a3dd2365c00a2c089a7c834e33105de4d843c4977</t>
        </is>
      </c>
      <c r="DG47" s="24" t="n"/>
      <c r="DH47" s="24" t="n"/>
      <c r="DI47" s="24" t="n"/>
      <c r="DJ47" s="24" t="inlineStr">
        <is>
          <t>0.539171</t>
        </is>
      </c>
      <c r="DK47" s="24" t="n"/>
      <c r="DL47" s="24" t="n"/>
      <c r="DM47" s="24" t="n"/>
      <c r="DN47" s="24" t="n"/>
      <c r="DO47" s="24" t="n"/>
      <c r="DP47" s="24" t="n"/>
    </row>
    <row r="48" ht="36" customHeight="1">
      <c r="A48" s="24" t="inlineStr">
        <is>
          <t>aaa10f4e9a3c49eb</t>
        </is>
      </c>
      <c r="B48" s="24" t="inlineStr">
        <is>
          <t>2026-08-30T16:06:27.993902Z</t>
        </is>
      </c>
      <c r="C48" s="24" t="inlineStr">
        <is>
          <t>2026-08-30T23:00Z</t>
        </is>
      </c>
      <c r="D48" s="24" t="inlineStr">
        <is>
          <t>401857188</t>
        </is>
      </c>
      <c r="E48" s="24" t="inlineStr">
        <is>
          <t>WNBA</t>
        </is>
      </c>
      <c r="F48" s="24" t="inlineStr">
        <is>
          <t>Golden State Valkyries</t>
        </is>
      </c>
      <c r="G48" s="24" t="inlineStr">
        <is>
          <t>Portland Fire</t>
        </is>
      </c>
      <c r="H48" s="24" t="inlineStr">
        <is>
          <t>spread</t>
        </is>
      </c>
      <c r="I48" s="24" t="inlineStr">
        <is>
          <t>home</t>
        </is>
      </c>
      <c r="J48" s="25" t="n">
        <v>6.5</v>
      </c>
      <c r="K48" s="24" t="inlineStr">
        <is>
          <t>polymarket_us</t>
        </is>
      </c>
      <c r="L48" s="26" t="n">
        <v>-117</v>
      </c>
      <c r="M48" s="27" t="n">
        <v>1.854701</v>
      </c>
      <c r="N48" s="28" t="n">
        <v>0.539171</v>
      </c>
      <c r="O48" s="28" t="n">
        <v>0.654944</v>
      </c>
      <c r="P48" s="28" t="n">
        <v>0.03</v>
      </c>
      <c r="Q48" s="28" t="n">
        <v>0.115773</v>
      </c>
      <c r="R48" s="26" t="n">
        <v>90</v>
      </c>
      <c r="S48" s="29" t="n">
        <v>1.5</v>
      </c>
      <c r="T48" s="24" t="inlineStr">
        <is>
          <t>wnba-spread-margin-v1</t>
        </is>
      </c>
      <c r="U48" s="24" t="inlineStr">
        <is>
          <t>settled</t>
        </is>
      </c>
      <c r="V48" s="24" t="inlineStr">
        <is>
          <t>loss</t>
        </is>
      </c>
      <c r="W48" s="26" t="n">
        <v>86</v>
      </c>
      <c r="X48" s="26" t="n">
        <v>69</v>
      </c>
      <c r="Y48" s="25" t="n"/>
      <c r="Z48" s="26" t="n"/>
      <c r="AA48" s="28" t="n"/>
      <c r="AB48" s="28" t="n"/>
      <c r="AC48" s="30" t="n">
        <v>-1.5</v>
      </c>
      <c r="AD48" s="24" t="inlineStr">
        <is>
          <t>2026-08-31T04:37:11.593223Z</t>
        </is>
      </c>
      <c r="AE48" s="31" t="inlineStr">
        <is>
          <t>Projected margin -2.3 (home), sd 10.5. Executable ask 0.5400 (asc-wnba-gsv-por-2026-08-30-neg-6pt5).</t>
        </is>
      </c>
      <c r="AF48" s="31" t="inlineStr">
        <is>
          <t>Research-baseline margin-normal spread model; not yet locked-holdout qualified.</t>
        </is>
      </c>
      <c r="AG48" s="24" t="inlineStr">
        <is>
          <t>review_required</t>
        </is>
      </c>
      <c r="AH48" s="24" t="n"/>
      <c r="AI48" s="31" t="n"/>
      <c r="AJ48" s="31" t="n"/>
      <c r="AK48" s="24" t="inlineStr">
        <is>
          <t>paper_call</t>
        </is>
      </c>
      <c r="AL48" s="26" t="n">
        <v>4</v>
      </c>
      <c r="AM48" s="24" t="inlineStr">
        <is>
          <t>RESEARCH_OBSERVATION</t>
        </is>
      </c>
      <c r="AN48" s="24" t="inlineStr">
        <is>
          <t>CALL</t>
        </is>
      </c>
      <c r="AO48" s="24" t="inlineStr">
        <is>
          <t>PAPER_CALL_MODEL_UNVALIDATED</t>
        </is>
      </c>
      <c r="AP48" s="24" t="inlineStr">
        <is>
          <t>wnba-gsv</t>
        </is>
      </c>
      <c r="AQ48" s="24" t="inlineStr">
        <is>
          <t>Golden State Valkyries</t>
        </is>
      </c>
      <c r="AR48" s="24" t="inlineStr">
        <is>
          <t>Golden State Valkyries</t>
        </is>
      </c>
      <c r="AS48" s="24" t="inlineStr">
        <is>
          <t>wnba-por</t>
        </is>
      </c>
      <c r="AT48" s="24" t="inlineStr">
        <is>
          <t>Portland Fire</t>
        </is>
      </c>
      <c r="AU48" s="24" t="inlineStr">
        <is>
          <t>Portland Fire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research</t>
        </is>
      </c>
      <c r="BA48" s="24" t="inlineStr">
        <is>
          <t>23ba88bcc86a710d76233b349116f2eefe021a993d2d3b9102922e567a027b4c</t>
        </is>
      </c>
      <c r="BB48" s="24" t="inlineStr">
        <is>
          <t>margin_normal</t>
        </is>
      </c>
      <c r="BC48" s="24" t="inlineStr">
        <is>
          <t>wnba-spread-margin-v1</t>
        </is>
      </c>
      <c r="BD48" s="24" t="inlineStr">
        <is>
          <t>23ba88bcc86a710d76233b349116f2eefe021a993d2d3b9102922e567a027b4c</t>
        </is>
      </c>
      <c r="BE48" s="24" t="inlineStr">
        <is>
          <t>wnba-spread-margin-v1</t>
        </is>
      </c>
      <c r="BF48" s="24" t="inlineStr">
        <is>
          <t>1</t>
        </is>
      </c>
      <c r="BG48" s="24" t="inlineStr">
        <is>
          <t>23ba88bcc86a710d76233b349116f2eefe021a993d2d3b9102922e567a027b4c</t>
        </is>
      </c>
      <c r="BH48" s="24" t="inlineStr">
        <is>
          <t>2026-08-30T05:39:20.386991Z</t>
        </is>
      </c>
      <c r="BI48" s="24" t="inlineStr">
        <is>
          <t>["same_event","same_team_same_day","same_league_same_day"]</t>
        </is>
      </c>
      <c r="BJ48" s="25" t="n">
        <v>6.5</v>
      </c>
      <c r="BK48" s="26" t="n">
        <v>-117</v>
      </c>
      <c r="BL48" s="27" t="n">
        <v>1.854701</v>
      </c>
      <c r="BM48" s="28" t="n">
        <v>0.539171</v>
      </c>
      <c r="BN48" s="28" t="n"/>
      <c r="BO48" s="28" t="n"/>
      <c r="BP48" s="25" t="n"/>
      <c r="BQ48" s="27" t="n"/>
      <c r="BR48" s="28" t="n"/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True</t>
        </is>
      </c>
      <c r="CT48" s="24" t="n"/>
      <c r="CU48" s="24" t="n"/>
      <c r="CV48" s="24" t="n"/>
      <c r="CW48" s="24" t="n"/>
      <c r="CX48" s="24" t="n"/>
      <c r="CY48" s="24" t="inlineStr">
        <is>
          <t>2026-08-30T05:39:20.386991Z</t>
        </is>
      </c>
      <c r="CZ48" s="24" t="inlineStr">
        <is>
          <t>True</t>
        </is>
      </c>
      <c r="DA48" s="24" t="inlineStr">
        <is>
          <t>polymarket_us</t>
        </is>
      </c>
      <c r="DB48" s="24" t="inlineStr">
        <is>
          <t>decision_time_executable_quote</t>
        </is>
      </c>
      <c r="DC48" s="24" t="inlineStr">
        <is>
          <t>False</t>
        </is>
      </c>
      <c r="DD48" s="24" t="inlineStr">
        <is>
          <t>467acdb01e0571f4dcf218001f3617e067d8c8396895ae60357958973a9c9c7d</t>
        </is>
      </c>
      <c r="DE48" s="24" t="inlineStr">
        <is>
          <t>/Users/vincentc9002/model-prediction/data/odds/wnba/2026-08-30/polymarket_snapshots.jsonl</t>
        </is>
      </c>
      <c r="DF48" s="24" t="inlineStr">
        <is>
          <t>467acdb01e0571f4dcf218001f3617e067d8c8396895ae60357958973a9c9c7d</t>
        </is>
      </c>
      <c r="DG48" s="24" t="n"/>
      <c r="DH48" s="24" t="n"/>
      <c r="DI48" s="24" t="n"/>
      <c r="DJ48" s="24" t="inlineStr">
        <is>
          <t>0.539171</t>
        </is>
      </c>
      <c r="DK48" s="24" t="n"/>
      <c r="DL48" s="24" t="n"/>
      <c r="DM48" s="24" t="n"/>
      <c r="DN48" s="24" t="n"/>
      <c r="DO48" s="24" t="n"/>
      <c r="DP48" s="24" t="n"/>
    </row>
    <row r="49" ht="36" customHeight="1">
      <c r="A49" s="24" t="inlineStr">
        <is>
          <t>6db2d4cbd9ff4e81</t>
        </is>
      </c>
      <c r="B49" s="24" t="inlineStr">
        <is>
          <t>2026-08-30T16:06:27.993902Z</t>
        </is>
      </c>
      <c r="C49" s="24" t="inlineStr">
        <is>
          <t>2026-08-31T00:30Z</t>
        </is>
      </c>
      <c r="D49" s="24" t="inlineStr">
        <is>
          <t>401857189</t>
        </is>
      </c>
      <c r="E49" s="24" t="inlineStr">
        <is>
          <t>WNBA</t>
        </is>
      </c>
      <c r="F49" s="24" t="inlineStr">
        <is>
          <t>Connecticut Sun</t>
        </is>
      </c>
      <c r="G49" s="24" t="inlineStr">
        <is>
          <t>Dallas Wings</t>
        </is>
      </c>
      <c r="H49" s="24" t="inlineStr">
        <is>
          <t>spread</t>
        </is>
      </c>
      <c r="I49" s="24" t="inlineStr">
        <is>
          <t>away</t>
        </is>
      </c>
      <c r="J49" s="25" t="n">
        <v>10.5</v>
      </c>
      <c r="K49" s="24" t="inlineStr">
        <is>
          <t>polymarket_us</t>
        </is>
      </c>
      <c r="L49" s="26" t="n">
        <v>-104</v>
      </c>
      <c r="M49" s="27" t="n">
        <v>1.961538</v>
      </c>
      <c r="N49" s="28" t="n">
        <v>0.509804</v>
      </c>
      <c r="O49" s="28" t="n">
        <v>0.627306</v>
      </c>
      <c r="P49" s="28" t="n">
        <v>0.03</v>
      </c>
      <c r="Q49" s="28" t="n">
        <v>0.117502</v>
      </c>
      <c r="R49" s="26" t="n">
        <v>91</v>
      </c>
      <c r="S49" s="29" t="n">
        <v>1.5</v>
      </c>
      <c r="T49" s="24" t="inlineStr">
        <is>
          <t>wnba-spread-margin-v1</t>
        </is>
      </c>
      <c r="U49" s="24" t="inlineStr">
        <is>
          <t>settled</t>
        </is>
      </c>
      <c r="V49" s="24" t="inlineStr">
        <is>
          <t>loss</t>
        </is>
      </c>
      <c r="W49" s="26" t="n">
        <v>71</v>
      </c>
      <c r="X49" s="26" t="n">
        <v>97</v>
      </c>
      <c r="Y49" s="25" t="n"/>
      <c r="Z49" s="26" t="n"/>
      <c r="AA49" s="28" t="n"/>
      <c r="AB49" s="28" t="n"/>
      <c r="AC49" s="30" t="n">
        <v>-1.5</v>
      </c>
      <c r="AD49" s="24" t="inlineStr">
        <is>
          <t>2026-08-31T04:37:12.299776Z</t>
        </is>
      </c>
      <c r="AE49" s="31" t="inlineStr">
        <is>
          <t>Projected margin +7.1 (home), sd 10.5. Executable ask 0.5100 (asc-wnba-conn-dal-2026-08-30-pos-10pt5).</t>
        </is>
      </c>
      <c r="AF49" s="31" t="inlineStr">
        <is>
          <t>Research-baseline margin-normal spread model; not yet locked-holdout qualified.</t>
        </is>
      </c>
      <c r="AG49" s="24" t="inlineStr">
        <is>
          <t>review_required</t>
        </is>
      </c>
      <c r="AH49" s="24" t="n"/>
      <c r="AI49" s="31" t="n"/>
      <c r="AJ49" s="31" t="n"/>
      <c r="AK49" s="24" t="inlineStr">
        <is>
          <t>paper_call</t>
        </is>
      </c>
      <c r="AL49" s="26" t="n">
        <v>4</v>
      </c>
      <c r="AM49" s="24" t="inlineStr">
        <is>
          <t>RESEARCH_OBSERVATION</t>
        </is>
      </c>
      <c r="AN49" s="24" t="inlineStr">
        <is>
          <t>CALL</t>
        </is>
      </c>
      <c r="AO49" s="24" t="inlineStr">
        <is>
          <t>PAPER_CALL_MODEL_UNVALIDATED</t>
        </is>
      </c>
      <c r="AP49" s="24" t="inlineStr">
        <is>
          <t>wnba-con</t>
        </is>
      </c>
      <c r="AQ49" s="24" t="inlineStr">
        <is>
          <t>Connecticut Sun</t>
        </is>
      </c>
      <c r="AR49" s="24" t="inlineStr">
        <is>
          <t>Connecticut Sun</t>
        </is>
      </c>
      <c r="AS49" s="24" t="inlineStr">
        <is>
          <t>wnba-dal</t>
        </is>
      </c>
      <c r="AT49" s="24" t="inlineStr">
        <is>
          <t>Dallas Wings</t>
        </is>
      </c>
      <c r="AU49" s="24" t="inlineStr">
        <is>
          <t>Dallas Wings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research</t>
        </is>
      </c>
      <c r="BA49" s="24" t="inlineStr">
        <is>
          <t>23ba88bcc86a710d76233b349116f2eefe021a993d2d3b9102922e567a027b4c</t>
        </is>
      </c>
      <c r="BB49" s="24" t="inlineStr">
        <is>
          <t>margin_normal</t>
        </is>
      </c>
      <c r="BC49" s="24" t="inlineStr">
        <is>
          <t>wnba-spread-margin-v1</t>
        </is>
      </c>
      <c r="BD49" s="24" t="inlineStr">
        <is>
          <t>23ba88bcc86a710d76233b349116f2eefe021a993d2d3b9102922e567a027b4c</t>
        </is>
      </c>
      <c r="BE49" s="24" t="inlineStr">
        <is>
          <t>wnba-spread-margin-v1</t>
        </is>
      </c>
      <c r="BF49" s="24" t="inlineStr">
        <is>
          <t>1</t>
        </is>
      </c>
      <c r="BG49" s="24" t="inlineStr">
        <is>
          <t>23ba88bcc86a710d76233b349116f2eefe021a993d2d3b9102922e567a027b4c</t>
        </is>
      </c>
      <c r="BH49" s="24" t="inlineStr">
        <is>
          <t>2026-08-30T05:39:20.440708Z</t>
        </is>
      </c>
      <c r="BI49" s="24" t="inlineStr">
        <is>
          <t>["same_event","same_team_same_day","same_league_same_day"]</t>
        </is>
      </c>
      <c r="BJ49" s="25" t="n">
        <v>10.5</v>
      </c>
      <c r="BK49" s="26" t="n">
        <v>-104</v>
      </c>
      <c r="BL49" s="27" t="n">
        <v>1.961538</v>
      </c>
      <c r="BM49" s="28" t="n">
        <v>0.509804</v>
      </c>
      <c r="BN49" s="28" t="n"/>
      <c r="BO49" s="28" t="n"/>
      <c r="BP49" s="25" t="n"/>
      <c r="BQ49" s="27" t="n"/>
      <c r="BR49" s="28" t="n"/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True</t>
        </is>
      </c>
      <c r="CT49" s="24" t="n"/>
      <c r="CU49" s="24" t="n"/>
      <c r="CV49" s="24" t="n"/>
      <c r="CW49" s="24" t="n"/>
      <c r="CX49" s="24" t="n"/>
      <c r="CY49" s="24" t="inlineStr">
        <is>
          <t>2026-08-30T05:39:20.440708Z</t>
        </is>
      </c>
      <c r="CZ49" s="24" t="inlineStr">
        <is>
          <t>True</t>
        </is>
      </c>
      <c r="DA49" s="24" t="inlineStr">
        <is>
          <t>polymarket_us</t>
        </is>
      </c>
      <c r="DB49" s="24" t="inlineStr">
        <is>
          <t>decision_time_executable_quote</t>
        </is>
      </c>
      <c r="DC49" s="24" t="inlineStr">
        <is>
          <t>False</t>
        </is>
      </c>
      <c r="DD49" s="24" t="inlineStr">
        <is>
          <t>6cd8576597c74bccc5eb1b71006d19896f3b08fd8ea7668518710cf45ded8ae6</t>
        </is>
      </c>
      <c r="DE49" s="24" t="inlineStr">
        <is>
          <t>/Users/vincentc9002/model-prediction/data/odds/wnba/2026-08-30/polymarket_snapshots.jsonl</t>
        </is>
      </c>
      <c r="DF49" s="24" t="inlineStr">
        <is>
          <t>6cd8576597c74bccc5eb1b71006d19896f3b08fd8ea7668518710cf45ded8ae6</t>
        </is>
      </c>
      <c r="DG49" s="24" t="n"/>
      <c r="DH49" s="24" t="n"/>
      <c r="DI49" s="24" t="n"/>
      <c r="DJ49" s="24" t="inlineStr">
        <is>
          <t>0.509804</t>
        </is>
      </c>
      <c r="DK49" s="24" t="n"/>
      <c r="DL49" s="24" t="n"/>
      <c r="DM49" s="24" t="n"/>
      <c r="DN49" s="24" t="n"/>
      <c r="DO49" s="24" t="n"/>
      <c r="DP49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2026-08-31T06:08:55Z</dcterms:created>
  <dcterms:modified xmlns:dcterms="http://purl.org/dc/terms/" xmlns:xsi="http://www.w3.org/2001/XMLSchema-instance" xsi:type="dcterms:W3CDTF">2026-08-31T06:08:55Z</dcterms:modified>
</cp:coreProperties>
</file>