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90" headerRowCount="1">
  <autoFilter ref="A1:CO90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COUNTA('Picks'!$A$2:$A$90)</f>
        <v/>
      </c>
      <c r="C4" s="6">
        <f>COUNTIF('Picks'!$U$2:$U$90,"open")</f>
        <v/>
      </c>
      <c r="E4" s="6">
        <f>COUNTIF('Picks'!$U$2:$U$90,"settled")</f>
        <v/>
      </c>
      <c r="G4" s="6">
        <f>IF(COUNTIFS('Picks'!$U$2:$U$90,"settled",'Picks'!$V$2:$V$90,"win")+COUNTIFS('Picks'!$U$2:$U$90,"settled",'Picks'!$V$2:$V$90,"loss")&gt;=$L$2,"Ready","Insufficient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COUNTIF('Picks'!$BX$2:$BX$90,"&gt;0")</f>
        <v/>
      </c>
      <c r="C7" s="6">
        <f>COUNTIFS('Picks'!$BX$2:$BX$90,"&gt;0",'Picks'!$V$2:$V$90,"win")&amp;"-"&amp;COUNTIFS('Picks'!$BX$2:$BX$90,"&gt;0",'Picks'!$V$2:$V$90,"loss")</f>
        <v/>
      </c>
      <c r="E7" s="7">
        <f>IFERROR(COUNTIFS('Picks'!$BX$2:$BX$90,"&gt;0",'Picks'!$V$2:$V$90,"win")/(COUNTIFS('Picks'!$BX$2:$BX$90,"&gt;0",'Picks'!$V$2:$V$90,"win")+COUNTIFS('Picks'!$BX$2:$BX$90,"&gt;0",'Picks'!$V$2:$V$90,"loss")),0)</f>
        <v/>
      </c>
      <c r="G7" s="7">
        <f>IFERROR(SUM('Picks'!$BY$2:$BY$90)/SUM('Picks'!$BX$2:$BX$90),0)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SUM('Picks'!$BY$2:$BY$90)</f>
        <v/>
      </c>
      <c r="C10" s="9">
        <f>IFERROR(AVERAGEIF('Picks'!$AB$2:$AB$90,"&lt;&gt;",'Picks'!$AB$2:$AB$90),0)</f>
        <v/>
      </c>
      <c r="E10" s="6">
        <f>COUNTIFS('Picks'!$AM$2:$AM$90,"QUALIFIED_SHADOW_CALL",'Picks'!$U$2:$U$90,"settled")</f>
        <v/>
      </c>
      <c r="G10" s="8">
        <f>SUMIFS('Picks'!$AC$2:$AC$90,'Picks'!$AM$2:$AM$90,"QUALIFIED_SHADOW_CALL")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COUNTIFS('Picks'!$H$2:$H$90,$A14,'Picks'!$U$2:$U$90,"settled")</f>
        <v/>
      </c>
      <c r="C14" s="13">
        <f>COUNTIFS('Picks'!$H$2:$H$90,$A14,'Picks'!$U$2:$U$90,"settled",'Picks'!$V$2:$V$90,"win")</f>
        <v/>
      </c>
      <c r="D14" s="13">
        <f>COUNTIFS('Picks'!$H$2:$H$90,$A14,'Picks'!$U$2:$U$90,"settled",'Picks'!$V$2:$V$90,"loss")</f>
        <v/>
      </c>
      <c r="E14" s="14">
        <f>IFERROR(C14/(C14+D14),0)</f>
        <v/>
      </c>
      <c r="F14" s="15">
        <f>SUMIFS('Picks'!$BY$2:$BY$90,'Picks'!$H$2:$H$90,$A14)</f>
        <v/>
      </c>
      <c r="G14" s="16">
        <f>IFERROR(AVERAGEIFS('Picks'!$AB$2:$AB$90,'Picks'!$H$2:$H$90,$A14,'Picks'!$U$2:$U$90,"settled"),0)</f>
        <v/>
      </c>
    </row>
    <row r="15">
      <c r="A15" s="17" t="inlineStr">
        <is>
          <t>spread</t>
        </is>
      </c>
      <c r="B15" s="18">
        <f>COUNTIFS('Picks'!$H$2:$H$90,$A15,'Picks'!$U$2:$U$90,"settled")</f>
        <v/>
      </c>
      <c r="C15" s="18">
        <f>COUNTIFS('Picks'!$H$2:$H$90,$A15,'Picks'!$U$2:$U$90,"settled",'Picks'!$V$2:$V$90,"win")</f>
        <v/>
      </c>
      <c r="D15" s="18">
        <f>COUNTIFS('Picks'!$H$2:$H$90,$A15,'Picks'!$U$2:$U$90,"settled",'Picks'!$V$2:$V$90,"loss")</f>
        <v/>
      </c>
      <c r="E15" s="19">
        <f>IFERROR(C15/(C15+D15),0)</f>
        <v/>
      </c>
      <c r="F15" s="20">
        <f>SUMIFS('Picks'!$BY$2:$BY$90,'Picks'!$H$2:$H$90,$A15)</f>
        <v/>
      </c>
      <c r="G15" s="21">
        <f>IFERROR(AVERAGEIFS('Picks'!$AB$2:$AB$90,'Picks'!$H$2:$H$90,$A15,'Picks'!$U$2:$U$90,"settled"),0)</f>
        <v/>
      </c>
    </row>
    <row r="16">
      <c r="A16" s="12" t="inlineStr">
        <is>
          <t>total</t>
        </is>
      </c>
      <c r="B16" s="13">
        <f>COUNTIFS('Picks'!$H$2:$H$90,$A16,'Picks'!$U$2:$U$90,"settled")</f>
        <v/>
      </c>
      <c r="C16" s="13">
        <f>COUNTIFS('Picks'!$H$2:$H$90,$A16,'Picks'!$U$2:$U$90,"settled",'Picks'!$V$2:$V$90,"win")</f>
        <v/>
      </c>
      <c r="D16" s="13">
        <f>COUNTIFS('Picks'!$H$2:$H$90,$A16,'Picks'!$U$2:$U$90,"settled",'Picks'!$V$2:$V$90,"loss")</f>
        <v/>
      </c>
      <c r="E16" s="14">
        <f>IFERROR(C16/(C16+D16),0)</f>
        <v/>
      </c>
      <c r="F16" s="15">
        <f>SUMIFS('Picks'!$BY$2:$BY$90,'Picks'!$H$2:$H$90,$A16)</f>
        <v/>
      </c>
      <c r="G16" s="16">
        <f>IFERROR(AVERAGEIFS('Picks'!$AB$2:$AB$90,'Picks'!$H$2:$H$90,$A16,'Picks'!$U$2:$U$90,"settled"),0)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25528d43c7c547fd</t>
        </is>
      </c>
      <c r="B2" s="24" t="inlineStr">
        <is>
          <t>2026-07-24T23:40:24.344007Z</t>
        </is>
      </c>
      <c r="C2" s="24" t="inlineStr">
        <is>
          <t>2026-07-24T20:05:00-0400</t>
        </is>
      </c>
      <c r="D2" s="24" t="inlineStr">
        <is>
          <t>401816248</t>
        </is>
      </c>
      <c r="E2" s="24" t="inlineStr">
        <is>
          <t>MLB</t>
        </is>
      </c>
      <c r="F2" s="24" t="inlineStr">
        <is>
          <t>Seattle Mariners</t>
        </is>
      </c>
      <c r="G2" s="24" t="inlineStr">
        <is>
          <t>Texas Rangers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106</v>
      </c>
      <c r="M2" s="27" t="n">
        <v>2.06</v>
      </c>
      <c r="N2" s="28" t="n">
        <v>0.485437</v>
      </c>
      <c r="O2" s="28" t="n">
        <v>0.588465</v>
      </c>
      <c r="P2" s="28" t="n"/>
      <c r="Q2" s="28" t="n">
        <v>0.103028</v>
      </c>
      <c r="R2" s="26" t="n">
        <v>100</v>
      </c>
      <c r="S2" s="29" t="n">
        <v>1.5</v>
      </c>
      <c r="T2" s="24" t="inlineStr">
        <is>
          <t>mlb-elo-trend-lr-v5</t>
        </is>
      </c>
      <c r="U2" s="24" t="inlineStr">
        <is>
          <t>settled</t>
        </is>
      </c>
      <c r="V2" s="24" t="inlineStr">
        <is>
          <t>win</t>
        </is>
      </c>
      <c r="W2" s="26" t="n">
        <v>4</v>
      </c>
      <c r="X2" s="26" t="n">
        <v>5</v>
      </c>
      <c r="Y2" s="25" t="n"/>
      <c r="Z2" s="26" t="n"/>
      <c r="AA2" s="28" t="n"/>
      <c r="AB2" s="28" t="n"/>
      <c r="AC2" s="30" t="n">
        <v>1.59</v>
      </c>
      <c r="AD2" s="24" t="inlineStr">
        <is>
          <t>2026-07-25T03:59:35.372834Z</t>
        </is>
      </c>
      <c r="AE2" s="31" t="inlineStr">
        <is>
          <t>Learned LR call at threshold 0.5750; executable ask 0.4850 (aec-mlb-sea-tex-2026-07-24).</t>
        </is>
      </c>
      <c r="AF2" s="31" t="inlineStr">
        <is>
          <t>Learned model; promotion gate not yet open; zero-unit research until review.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NO_CALL_LARGE_DISAGREEMENT_REVIEW</t>
        </is>
      </c>
      <c r="AP2" s="24" t="inlineStr">
        <is>
          <t>mlb-sea</t>
        </is>
      </c>
      <c r="AQ2" s="24" t="inlineStr">
        <is>
          <t>Seattle Mariners</t>
        </is>
      </c>
      <c r="AR2" s="24" t="inlineStr">
        <is>
          <t>Seattle Mariners</t>
        </is>
      </c>
      <c r="AS2" s="24" t="inlineStr">
        <is>
          <t>mlb-tex</t>
        </is>
      </c>
      <c r="AT2" s="24" t="inlineStr">
        <is>
          <t>Texas Rangers</t>
        </is>
      </c>
      <c r="AU2" s="24" t="inlineStr">
        <is>
          <t>Texas Rangers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8a12d027cf1d2c206cb369c47da80e014f8ac4dfc414ffee96ae34656c46fef5</t>
        </is>
      </c>
      <c r="BB2" s="24" t="inlineStr">
        <is>
          <t>learned_lr</t>
        </is>
      </c>
      <c r="BC2" s="24" t="inlineStr">
        <is>
          <t>mlb-elo-trend-lr-v5</t>
        </is>
      </c>
      <c r="BD2" s="24" t="inlineStr">
        <is>
          <t>8a12d027cf1d2c206cb369c47da80e014f8ac4dfc414ffee96ae34656c46fef5</t>
        </is>
      </c>
      <c r="BE2" s="24" t="inlineStr">
        <is>
          <t>79eb281d550dd0ce</t>
        </is>
      </c>
      <c r="BF2" s="24" t="inlineStr">
        <is>
          <t>1</t>
        </is>
      </c>
      <c r="BG2" s="24" t="inlineStr">
        <is>
          <t>mlb-elo-trend-lr-v5</t>
        </is>
      </c>
      <c r="BH2" s="24" t="inlineStr">
        <is>
          <t>2026-07-24T23:40:05.731659Z</t>
        </is>
      </c>
      <c r="BI2" s="24" t="inlineStr">
        <is>
          <t>["same_event","same_team_same_day","same_league_same_day"]</t>
        </is>
      </c>
      <c r="BJ2" s="25" t="n"/>
      <c r="BK2" s="26" t="n">
        <v>106</v>
      </c>
      <c r="BL2" s="27" t="n">
        <v>2.06</v>
      </c>
      <c r="BM2" s="28" t="n">
        <v>0.485437</v>
      </c>
      <c r="BN2" s="28" t="n">
        <v>0.482587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6470107684e849eb</t>
        </is>
      </c>
      <c r="B3" s="24" t="inlineStr">
        <is>
          <t>2026-07-24T23:40:24.344007Z</t>
        </is>
      </c>
      <c r="C3" s="24" t="inlineStr">
        <is>
          <t>2026-07-24T20:10:00-0400</t>
        </is>
      </c>
      <c r="D3" s="24" t="inlineStr">
        <is>
          <t>401816244</t>
        </is>
      </c>
      <c r="E3" s="24" t="inlineStr">
        <is>
          <t>MLB</t>
        </is>
      </c>
      <c r="F3" s="24" t="inlineStr">
        <is>
          <t>Athletics</t>
        </is>
      </c>
      <c r="G3" s="24" t="inlineStr">
        <is>
          <t>Minnesota Twins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-133</v>
      </c>
      <c r="M3" s="27" t="n">
        <v>1.75188</v>
      </c>
      <c r="N3" s="28" t="n">
        <v>0.570815</v>
      </c>
      <c r="O3" s="28" t="n">
        <v>0.5307229999999999</v>
      </c>
      <c r="P3" s="28" t="n"/>
      <c r="Q3" s="28" t="n">
        <v>-0.040092</v>
      </c>
      <c r="R3" s="26" t="n">
        <v>0</v>
      </c>
      <c r="S3" s="29" t="n">
        <v>0.75</v>
      </c>
      <c r="T3" s="24" t="inlineStr">
        <is>
          <t>mlb-elo-trend-lr-v5</t>
        </is>
      </c>
      <c r="U3" s="24" t="inlineStr">
        <is>
          <t>settled</t>
        </is>
      </c>
      <c r="V3" s="24" t="inlineStr">
        <is>
          <t>loss</t>
        </is>
      </c>
      <c r="W3" s="26" t="n">
        <v>2</v>
      </c>
      <c r="X3" s="26" t="n">
        <v>0</v>
      </c>
      <c r="Y3" s="25" t="n"/>
      <c r="Z3" s="26" t="n"/>
      <c r="AA3" s="28" t="n"/>
      <c r="AB3" s="28" t="n"/>
      <c r="AC3" s="30" t="n">
        <v>-0.75</v>
      </c>
      <c r="AD3" s="24" t="inlineStr">
        <is>
          <t>2026-07-25T03:59:36.010284Z</t>
        </is>
      </c>
      <c r="AE3" s="31" t="inlineStr">
        <is>
          <t>Learned LR call at threshold 0.5750; executable ask 0.5700 (aec-mlb-ath-min-2026-07-24).</t>
        </is>
      </c>
      <c r="AF3" s="31" t="inlineStr">
        <is>
          <t>Learned model; promotion gate not yet open; zero-unit research until review.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NO_CALL_LOW_EDGE</t>
        </is>
      </c>
      <c r="AP3" s="24" t="inlineStr">
        <is>
          <t>mlb-ath</t>
        </is>
      </c>
      <c r="AQ3" s="24" t="inlineStr">
        <is>
          <t>Athletics</t>
        </is>
      </c>
      <c r="AR3" s="24" t="inlineStr">
        <is>
          <t>Athletics</t>
        </is>
      </c>
      <c r="AS3" s="24" t="inlineStr">
        <is>
          <t>mlb-min</t>
        </is>
      </c>
      <c r="AT3" s="24" t="inlineStr">
        <is>
          <t>Minnesota Twins</t>
        </is>
      </c>
      <c r="AU3" s="24" t="inlineStr">
        <is>
          <t>Minnesota Twins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8a12d027cf1d2c206cb369c47da80e014f8ac4dfc414ffee96ae34656c46fef5</t>
        </is>
      </c>
      <c r="BB3" s="24" t="inlineStr">
        <is>
          <t>learned_lr</t>
        </is>
      </c>
      <c r="BC3" s="24" t="inlineStr">
        <is>
          <t>mlb-elo-trend-lr-v5</t>
        </is>
      </c>
      <c r="BD3" s="24" t="inlineStr">
        <is>
          <t>8a12d027cf1d2c206cb369c47da80e014f8ac4dfc414ffee96ae34656c46fef5</t>
        </is>
      </c>
      <c r="BE3" s="24" t="inlineStr">
        <is>
          <t>32d586049ac41eec</t>
        </is>
      </c>
      <c r="BF3" s="24" t="inlineStr">
        <is>
          <t>1</t>
        </is>
      </c>
      <c r="BG3" s="24" t="inlineStr">
        <is>
          <t>mlb-elo-trend-lr-v5</t>
        </is>
      </c>
      <c r="BH3" s="24" t="inlineStr">
        <is>
          <t>2026-07-24T23:40:07.043793Z</t>
        </is>
      </c>
      <c r="BI3" s="24" t="inlineStr">
        <is>
          <t>["same_event","same_team_same_day","same_league_same_day"]</t>
        </is>
      </c>
      <c r="BJ3" s="25" t="n"/>
      <c r="BK3" s="26" t="n">
        <v>-133</v>
      </c>
      <c r="BL3" s="27" t="n">
        <v>1.75188</v>
      </c>
      <c r="BM3" s="28" t="n">
        <v>0.570815</v>
      </c>
      <c r="BN3" s="28" t="n">
        <v>0.567164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545f9cc46b9f4f05</t>
        </is>
      </c>
      <c r="B4" s="24" t="inlineStr">
        <is>
          <t>2026-07-25T00:14:59.789159Z</t>
        </is>
      </c>
      <c r="C4" s="24" t="inlineStr">
        <is>
          <t>2026-07-24T20:15:00-0400</t>
        </is>
      </c>
      <c r="D4" s="24" t="inlineStr">
        <is>
          <t>401816245</t>
        </is>
      </c>
      <c r="E4" s="24" t="inlineStr">
        <is>
          <t>MLB</t>
        </is>
      </c>
      <c r="F4" s="24" t="inlineStr">
        <is>
          <t>Cincinnati Reds</t>
        </is>
      </c>
      <c r="G4" s="24" t="inlineStr">
        <is>
          <t>St. Louis Cardinals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-141</v>
      </c>
      <c r="M4" s="27" t="n">
        <v>1.70922</v>
      </c>
      <c r="N4" s="28" t="n">
        <v>0.585062</v>
      </c>
      <c r="O4" s="28" t="n">
        <v>0.549377</v>
      </c>
      <c r="P4" s="28" t="n"/>
      <c r="Q4" s="28" t="n">
        <v>-0.035685</v>
      </c>
      <c r="R4" s="26" t="n">
        <v>2</v>
      </c>
      <c r="S4" s="29" t="n">
        <v>1</v>
      </c>
      <c r="T4" s="24" t="inlineStr">
        <is>
          <t>mlb-elo-trend-lr-v5</t>
        </is>
      </c>
      <c r="U4" s="24" t="inlineStr">
        <is>
          <t>settled</t>
        </is>
      </c>
      <c r="V4" s="24" t="inlineStr">
        <is>
          <t>loss</t>
        </is>
      </c>
      <c r="W4" s="26" t="n">
        <v>4</v>
      </c>
      <c r="X4" s="26" t="n">
        <v>2</v>
      </c>
      <c r="Y4" s="25" t="n"/>
      <c r="Z4" s="26" t="n"/>
      <c r="AA4" s="28" t="n"/>
      <c r="AB4" s="28" t="n"/>
      <c r="AC4" s="30" t="n">
        <v>-1</v>
      </c>
      <c r="AD4" s="24" t="inlineStr">
        <is>
          <t>2026-07-25T03:59:36.651414Z</t>
        </is>
      </c>
      <c r="AE4" s="31" t="inlineStr">
        <is>
          <t>Learned LR call at threshold 0.5750; executable ask 0.5850 (aec-mlb-cin-stl-2026-07-24).</t>
        </is>
      </c>
      <c r="AF4" s="31" t="inlineStr">
        <is>
          <t>Learned model; promotion gate not yet open; zero-unit research until review.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mlb-cin</t>
        </is>
      </c>
      <c r="AQ4" s="24" t="inlineStr">
        <is>
          <t>Cincinnati Reds</t>
        </is>
      </c>
      <c r="AR4" s="24" t="inlineStr">
        <is>
          <t>Cincinnati Reds</t>
        </is>
      </c>
      <c r="AS4" s="24" t="inlineStr">
        <is>
          <t>mlb-stl</t>
        </is>
      </c>
      <c r="AT4" s="24" t="inlineStr">
        <is>
          <t>St. Louis Cardinals</t>
        </is>
      </c>
      <c r="AU4" s="24" t="inlineStr">
        <is>
          <t>St. Louis Cardinals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8a12d027cf1d2c206cb369c47da80e014f8ac4dfc414ffee96ae34656c46fef5</t>
        </is>
      </c>
      <c r="BB4" s="24" t="inlineStr">
        <is>
          <t>learned_lr</t>
        </is>
      </c>
      <c r="BC4" s="24" t="inlineStr">
        <is>
          <t>mlb-elo-trend-lr-v5</t>
        </is>
      </c>
      <c r="BD4" s="24" t="inlineStr">
        <is>
          <t>8a12d027cf1d2c206cb369c47da80e014f8ac4dfc414ffee96ae34656c46fef5</t>
        </is>
      </c>
      <c r="BE4" s="24" t="inlineStr">
        <is>
          <t>73756967beddc98c</t>
        </is>
      </c>
      <c r="BF4" s="24" t="inlineStr">
        <is>
          <t>1</t>
        </is>
      </c>
      <c r="BG4" s="24" t="inlineStr">
        <is>
          <t>mlb-elo-trend-lr-v5</t>
        </is>
      </c>
      <c r="BH4" s="24" t="inlineStr">
        <is>
          <t>2026-07-24T23:40:08.101543Z</t>
        </is>
      </c>
      <c r="BI4" s="24" t="inlineStr">
        <is>
          <t>["same_event","same_team_same_day","same_league_same_day"]</t>
        </is>
      </c>
      <c r="BJ4" s="25" t="n"/>
      <c r="BK4" s="26" t="n">
        <v>-141</v>
      </c>
      <c r="BL4" s="27" t="n">
        <v>1.70922</v>
      </c>
      <c r="BM4" s="28" t="n">
        <v>0.585062</v>
      </c>
      <c r="BN4" s="28" t="n">
        <v>0.58209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3fe6067b082548ce</t>
        </is>
      </c>
      <c r="B5" s="24" t="inlineStr">
        <is>
          <t>2026-07-24T20:09:00Z</t>
        </is>
      </c>
      <c r="C5" s="24" t="inlineStr">
        <is>
          <t>2026-07-24T16:10:00-0400</t>
        </is>
      </c>
      <c r="D5" s="24" t="inlineStr">
        <is>
          <t>401816246</t>
        </is>
      </c>
      <c r="E5" s="24" t="inlineStr">
        <is>
          <t>MLB</t>
        </is>
      </c>
      <c r="F5" s="24" t="inlineStr">
        <is>
          <t>Colorado Rockies</t>
        </is>
      </c>
      <c r="G5" s="24" t="inlineStr">
        <is>
          <t>Milwaukee Brewers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-245</v>
      </c>
      <c r="M5" s="27" t="n">
        <v>1.408163</v>
      </c>
      <c r="N5" s="28" t="n">
        <v>0.710145</v>
      </c>
      <c r="O5" s="28" t="n">
        <v>0.640807</v>
      </c>
      <c r="P5" s="28" t="n"/>
      <c r="Q5" s="28" t="n">
        <v>-0.069338</v>
      </c>
      <c r="R5" s="26" t="n">
        <v>0</v>
      </c>
      <c r="S5" s="29" t="n">
        <v>2</v>
      </c>
      <c r="T5" s="24" t="inlineStr">
        <is>
          <t>mlb-elo-trend-lr-v5</t>
        </is>
      </c>
      <c r="U5" s="24" t="inlineStr">
        <is>
          <t>settled</t>
        </is>
      </c>
      <c r="V5" s="24" t="inlineStr">
        <is>
          <t>loss</t>
        </is>
      </c>
      <c r="W5" s="26" t="n">
        <v>5</v>
      </c>
      <c r="X5" s="26" t="n">
        <v>2</v>
      </c>
      <c r="Y5" s="25" t="n"/>
      <c r="Z5" s="26" t="n"/>
      <c r="AA5" s="28" t="n"/>
      <c r="AB5" s="28" t="n"/>
      <c r="AC5" s="30" t="n">
        <v>-2</v>
      </c>
      <c r="AD5" s="24" t="inlineStr">
        <is>
          <t>2026-07-25T00:31:02.441199Z</t>
        </is>
      </c>
      <c r="AE5" s="31" t="inlineStr">
        <is>
          <t>BACKFILL 2026-07-24: Learned LR call at threshold 0.5750; executable ask 0.7100 (aec-mlb-col-mil-2026-07-24); reconstructed using the freshest pregame BBO snapshot for this game after the original run silently lost this pick to a same-day re-forecast bug.</t>
        </is>
      </c>
      <c r="AF5" s="31" t="inlineStr">
        <is>
          <t>Backfilled after original pick lost to _clear_today_open bug (fixed 2026-07-25); reconstructed from genuinely pregame data.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mlb-col</t>
        </is>
      </c>
      <c r="AQ5" s="24" t="inlineStr">
        <is>
          <t>Colorado Rockies</t>
        </is>
      </c>
      <c r="AR5" s="24" t="inlineStr">
        <is>
          <t>Colorado Rockies</t>
        </is>
      </c>
      <c r="AS5" s="24" t="inlineStr">
        <is>
          <t>mlb-mil</t>
        </is>
      </c>
      <c r="AT5" s="24" t="inlineStr">
        <is>
          <t>Milwaukee Brewers</t>
        </is>
      </c>
      <c r="AU5" s="24" t="inlineStr">
        <is>
          <t>Milwaukee Brewers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8a12d027cf1d2c206cb369c47da80e014f8ac4dfc414ffee96ae34656c46fef5</t>
        </is>
      </c>
      <c r="BB5" s="24" t="inlineStr">
        <is>
          <t>learned_lr</t>
        </is>
      </c>
      <c r="BC5" s="24" t="inlineStr">
        <is>
          <t>mlb-elo-trend-lr-v5</t>
        </is>
      </c>
      <c r="BD5" s="24" t="inlineStr">
        <is>
          <t>8a12d027cf1d2c206cb369c47da80e014f8ac4dfc414ffee96ae34656c46fef5</t>
        </is>
      </c>
      <c r="BE5" s="24" t="inlineStr">
        <is>
          <t>8709de87fe60f3fe</t>
        </is>
      </c>
      <c r="BF5" s="24" t="inlineStr">
        <is>
          <t>1</t>
        </is>
      </c>
      <c r="BG5" s="24" t="inlineStr">
        <is>
          <t>mlb-elo-trend-lr-v5</t>
        </is>
      </c>
      <c r="BH5" s="24" t="inlineStr">
        <is>
          <t>2026-07-24T18:12:54.726973Z</t>
        </is>
      </c>
      <c r="BI5" s="24" t="inlineStr">
        <is>
          <t>["same_event","same_team_same_day","same_league_same_day"]</t>
        </is>
      </c>
      <c r="BJ5" s="25" t="n"/>
      <c r="BK5" s="26" t="n">
        <v>-245</v>
      </c>
      <c r="BL5" s="27" t="n">
        <v>1.408163</v>
      </c>
      <c r="BM5" s="28" t="n">
        <v>0.710145</v>
      </c>
      <c r="BN5" s="28" t="n">
        <v>0.706468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797edb7f42a441ad</t>
        </is>
      </c>
      <c r="B6" s="24" t="inlineStr">
        <is>
          <t>2026-07-24T22:39:00Z</t>
        </is>
      </c>
      <c r="C6" s="24" t="inlineStr">
        <is>
          <t>2026-07-24T18:40:00-0400</t>
        </is>
      </c>
      <c r="D6" s="24" t="inlineStr">
        <is>
          <t>401816237</t>
        </is>
      </c>
      <c r="E6" s="24" t="inlineStr">
        <is>
          <t>MLB</t>
        </is>
      </c>
      <c r="F6" s="24" t="inlineStr">
        <is>
          <t>Chicago Cubs</t>
        </is>
      </c>
      <c r="G6" s="24" t="inlineStr">
        <is>
          <t>Pittsburgh Pirates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100</v>
      </c>
      <c r="M6" s="27" t="n">
        <v>2</v>
      </c>
      <c r="N6" s="28" t="n">
        <v>0.5</v>
      </c>
      <c r="O6" s="28" t="n">
        <v>0.502911</v>
      </c>
      <c r="P6" s="28" t="n"/>
      <c r="Q6" s="28" t="n">
        <v>0.002911</v>
      </c>
      <c r="R6" s="26" t="n">
        <v>21</v>
      </c>
      <c r="S6" s="29" t="n">
        <v>0.5</v>
      </c>
      <c r="T6" s="24" t="inlineStr">
        <is>
          <t>mlb-elo-trend-lr-v5</t>
        </is>
      </c>
      <c r="U6" s="24" t="inlineStr">
        <is>
          <t>settled</t>
        </is>
      </c>
      <c r="V6" s="24" t="inlineStr">
        <is>
          <t>win</t>
        </is>
      </c>
      <c r="W6" s="26" t="n">
        <v>3</v>
      </c>
      <c r="X6" s="26" t="n">
        <v>2</v>
      </c>
      <c r="Y6" s="25" t="n"/>
      <c r="Z6" s="26" t="n"/>
      <c r="AA6" s="28" t="n"/>
      <c r="AB6" s="28" t="n"/>
      <c r="AC6" s="30" t="n">
        <v>0.5</v>
      </c>
      <c r="AD6" s="24" t="inlineStr">
        <is>
          <t>2026-07-25T02:30:12.848248Z</t>
        </is>
      </c>
      <c r="AE6" s="31" t="inlineStr">
        <is>
          <t>BACKFILL 2026-07-24: Learned LR call at threshold 0.5750; executable ask 0.5000 (aec-mlb-chc-pit-2026-07-24); reconstructed using the freshest pregame BBO snapshot for this game after the original run silently lost this pick to a same-day re-forecast bug.</t>
        </is>
      </c>
      <c r="AF6" s="31" t="inlineStr">
        <is>
          <t>Backfilled after original pick lost to _clear_today_open bug (fixed 2026-07-25); reconstructed from genuinely pregame data.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mlb-chc</t>
        </is>
      </c>
      <c r="AQ6" s="24" t="inlineStr">
        <is>
          <t>Chicago Cubs</t>
        </is>
      </c>
      <c r="AR6" s="24" t="inlineStr">
        <is>
          <t>Chicago Cubs</t>
        </is>
      </c>
      <c r="AS6" s="24" t="inlineStr">
        <is>
          <t>mlb-pit</t>
        </is>
      </c>
      <c r="AT6" s="24" t="inlineStr">
        <is>
          <t>Pittsburgh Pirates</t>
        </is>
      </c>
      <c r="AU6" s="24" t="inlineStr">
        <is>
          <t>Pittsburgh Pirates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8a12d027cf1d2c206cb369c47da80e014f8ac4dfc414ffee96ae34656c46fef5</t>
        </is>
      </c>
      <c r="BB6" s="24" t="inlineStr">
        <is>
          <t>learned_lr</t>
        </is>
      </c>
      <c r="BC6" s="24" t="inlineStr">
        <is>
          <t>mlb-elo-trend-lr-v5</t>
        </is>
      </c>
      <c r="BD6" s="24" t="inlineStr">
        <is>
          <t>8a12d027cf1d2c206cb369c47da80e014f8ac4dfc414ffee96ae34656c46fef5</t>
        </is>
      </c>
      <c r="BE6" s="24" t="inlineStr">
        <is>
          <t>0db73bd38d3dddfd</t>
        </is>
      </c>
      <c r="BF6" s="24" t="inlineStr">
        <is>
          <t>1</t>
        </is>
      </c>
      <c r="BG6" s="24" t="inlineStr">
        <is>
          <t>mlb-elo-trend-lr-v5</t>
        </is>
      </c>
      <c r="BH6" s="24" t="inlineStr">
        <is>
          <t>2026-07-24T21:17:05.662526Z</t>
        </is>
      </c>
      <c r="BI6" s="24" t="inlineStr">
        <is>
          <t>["same_event","same_team_same_day","same_league_same_day"]</t>
        </is>
      </c>
      <c r="BJ6" s="25" t="n"/>
      <c r="BK6" s="26" t="n">
        <v>100</v>
      </c>
      <c r="BL6" s="27" t="n">
        <v>2</v>
      </c>
      <c r="BM6" s="28" t="n">
        <v>0.5</v>
      </c>
      <c r="BN6" s="28" t="n">
        <v>0.497512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2fb2da0ab97a49a5</t>
        </is>
      </c>
      <c r="B7" s="24" t="inlineStr">
        <is>
          <t>2026-07-24T22:39:00Z</t>
        </is>
      </c>
      <c r="C7" s="24" t="inlineStr">
        <is>
          <t>2026-07-24T18:40:00-0400</t>
        </is>
      </c>
      <c r="D7" s="24" t="inlineStr">
        <is>
          <t>401816239</t>
        </is>
      </c>
      <c r="E7" s="24" t="inlineStr">
        <is>
          <t>MLB</t>
        </is>
      </c>
      <c r="F7" s="24" t="inlineStr">
        <is>
          <t>Kansas City Royals</t>
        </is>
      </c>
      <c r="G7" s="24" t="inlineStr">
        <is>
          <t>Detroit Tigers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-245</v>
      </c>
      <c r="M7" s="27" t="n">
        <v>1.408163</v>
      </c>
      <c r="N7" s="28" t="n">
        <v>0.710145</v>
      </c>
      <c r="O7" s="28" t="n">
        <v>0.514395</v>
      </c>
      <c r="P7" s="28" t="n"/>
      <c r="Q7" s="28" t="n">
        <v>-0.19575</v>
      </c>
      <c r="R7" s="26" t="n">
        <v>0</v>
      </c>
      <c r="S7" s="29" t="n">
        <v>0.75</v>
      </c>
      <c r="T7" s="24" t="inlineStr">
        <is>
          <t>mlb-elo-trend-lr-v5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2</v>
      </c>
      <c r="Y7" s="25" t="n"/>
      <c r="Z7" s="26" t="n"/>
      <c r="AA7" s="28" t="n"/>
      <c r="AB7" s="28" t="n"/>
      <c r="AC7" s="30" t="n">
        <v>0.3061</v>
      </c>
      <c r="AD7" s="24" t="inlineStr">
        <is>
          <t>2026-07-25T02:30:13.526941Z</t>
        </is>
      </c>
      <c r="AE7" s="31" t="inlineStr">
        <is>
          <t>BACKFILL 2026-07-24: Learned LR call at threshold 0.5750; executable ask 0.7100 (aec-mlb-kc-det-2026-07-24); reconstructed using the freshest pregame BBO snapshot for this game after the original run silently lost this pick to a same-day re-forecast bug.</t>
        </is>
      </c>
      <c r="AF7" s="31" t="inlineStr">
        <is>
          <t>Backfilled after original pick lost to _clear_today_open bug (fixed 2026-07-25); reconstructed from genuinely pregame data.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NO_CALL_LARGE_DISAGREEMENT_REVIEW</t>
        </is>
      </c>
      <c r="AP7" s="24" t="inlineStr">
        <is>
          <t>mlb-kc</t>
        </is>
      </c>
      <c r="AQ7" s="24" t="inlineStr">
        <is>
          <t>Kansas City Royals</t>
        </is>
      </c>
      <c r="AR7" s="24" t="inlineStr">
        <is>
          <t>Kansas City Royals</t>
        </is>
      </c>
      <c r="AS7" s="24" t="inlineStr">
        <is>
          <t>mlb-det</t>
        </is>
      </c>
      <c r="AT7" s="24" t="inlineStr">
        <is>
          <t>Detroit Tigers</t>
        </is>
      </c>
      <c r="AU7" s="24" t="inlineStr">
        <is>
          <t>Detroit Tigers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8a12d027cf1d2c206cb369c47da80e014f8ac4dfc414ffee96ae34656c46fef5</t>
        </is>
      </c>
      <c r="BB7" s="24" t="inlineStr">
        <is>
          <t>learned_lr</t>
        </is>
      </c>
      <c r="BC7" s="24" t="inlineStr">
        <is>
          <t>mlb-elo-trend-lr-v5</t>
        </is>
      </c>
      <c r="BD7" s="24" t="inlineStr">
        <is>
          <t>8a12d027cf1d2c206cb369c47da80e014f8ac4dfc414ffee96ae34656c46fef5</t>
        </is>
      </c>
      <c r="BE7" s="24" t="inlineStr">
        <is>
          <t>c6682ff3aeb79a2a</t>
        </is>
      </c>
      <c r="BF7" s="24" t="inlineStr">
        <is>
          <t>1</t>
        </is>
      </c>
      <c r="BG7" s="24" t="inlineStr">
        <is>
          <t>mlb-elo-trend-lr-v5</t>
        </is>
      </c>
      <c r="BH7" s="24" t="inlineStr">
        <is>
          <t>2026-07-24T21:17:04.954417Z</t>
        </is>
      </c>
      <c r="BI7" s="24" t="inlineStr">
        <is>
          <t>["same_event","same_team_same_day","same_league_same_day"]</t>
        </is>
      </c>
      <c r="BJ7" s="25" t="n"/>
      <c r="BK7" s="26" t="n">
        <v>-245</v>
      </c>
      <c r="BL7" s="27" t="n">
        <v>1.408163</v>
      </c>
      <c r="BM7" s="28" t="n">
        <v>0.710145</v>
      </c>
      <c r="BN7" s="28" t="n">
        <v>0.706468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62bdaed12abd4579</t>
        </is>
      </c>
      <c r="B8" s="24" t="inlineStr">
        <is>
          <t>2026-07-24T22:44:00Z</t>
        </is>
      </c>
      <c r="C8" s="24" t="inlineStr">
        <is>
          <t>2026-07-24T18:45:00-0400</t>
        </is>
      </c>
      <c r="D8" s="24" t="inlineStr">
        <is>
          <t>401816235</t>
        </is>
      </c>
      <c r="E8" s="24" t="inlineStr">
        <is>
          <t>MLB</t>
        </is>
      </c>
      <c r="F8" s="24" t="inlineStr">
        <is>
          <t>Arizona Diamondbacks</t>
        </is>
      </c>
      <c r="G8" s="24" t="inlineStr">
        <is>
          <t>Washington Nationals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115</v>
      </c>
      <c r="M8" s="27" t="n">
        <v>2.15</v>
      </c>
      <c r="N8" s="28" t="n">
        <v>0.465116</v>
      </c>
      <c r="O8" s="28" t="n">
        <v>0.5273679999999999</v>
      </c>
      <c r="P8" s="28" t="n"/>
      <c r="Q8" s="28" t="n">
        <v>0.062252</v>
      </c>
      <c r="R8" s="26" t="n">
        <v>51</v>
      </c>
      <c r="S8" s="29" t="n">
        <v>0.75</v>
      </c>
      <c r="T8" s="24" t="inlineStr">
        <is>
          <t>mlb-elo-trend-lr-v5</t>
        </is>
      </c>
      <c r="U8" s="24" t="inlineStr">
        <is>
          <t>settled</t>
        </is>
      </c>
      <c r="V8" s="24" t="inlineStr">
        <is>
          <t>loss</t>
        </is>
      </c>
      <c r="W8" s="26" t="n">
        <v>3</v>
      </c>
      <c r="X8" s="26" t="n">
        <v>2</v>
      </c>
      <c r="Y8" s="25" t="n"/>
      <c r="Z8" s="26" t="n"/>
      <c r="AA8" s="28" t="n"/>
      <c r="AB8" s="28" t="n"/>
      <c r="AC8" s="30" t="n">
        <v>-0.75</v>
      </c>
      <c r="AD8" s="24" t="inlineStr">
        <is>
          <t>2026-07-25T02:30:14.193420Z</t>
        </is>
      </c>
      <c r="AE8" s="31" t="inlineStr">
        <is>
          <t>BACKFILL 2026-07-24: Learned LR call at threshold 0.5750; executable ask 0.4650 (aec-mlb-az-wsh-2026-07-24); reconstructed using the freshest pregame BBO snapshot for this game after the original run silently lost this pick to a same-day re-forecast bug.</t>
        </is>
      </c>
      <c r="AF8" s="31" t="inlineStr">
        <is>
          <t>Backfilled after original pick lost to _clear_today_open bug (fixed 2026-07-25); reconstructed from genuinely pregame data.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NO_CALL_LOW_EDGE</t>
        </is>
      </c>
      <c r="AP8" s="24" t="inlineStr">
        <is>
          <t>mlb-ari</t>
        </is>
      </c>
      <c r="AQ8" s="24" t="inlineStr">
        <is>
          <t>Arizona Diamondbacks</t>
        </is>
      </c>
      <c r="AR8" s="24" t="inlineStr">
        <is>
          <t>Arizona Diamondbacks</t>
        </is>
      </c>
      <c r="AS8" s="24" t="inlineStr">
        <is>
          <t>mlb-wsh</t>
        </is>
      </c>
      <c r="AT8" s="24" t="inlineStr">
        <is>
          <t>Washington Nationals</t>
        </is>
      </c>
      <c r="AU8" s="24" t="inlineStr">
        <is>
          <t>Washington Nationals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8a12d027cf1d2c206cb369c47da80e014f8ac4dfc414ffee96ae34656c46fef5</t>
        </is>
      </c>
      <c r="BB8" s="24" t="inlineStr">
        <is>
          <t>learned_lr</t>
        </is>
      </c>
      <c r="BC8" s="24" t="inlineStr">
        <is>
          <t>mlb-elo-trend-lr-v5</t>
        </is>
      </c>
      <c r="BD8" s="24" t="inlineStr">
        <is>
          <t>8a12d027cf1d2c206cb369c47da80e014f8ac4dfc414ffee96ae34656c46fef5</t>
        </is>
      </c>
      <c r="BE8" s="24" t="inlineStr">
        <is>
          <t>7b3e962d9e9d69df</t>
        </is>
      </c>
      <c r="BF8" s="24" t="inlineStr">
        <is>
          <t>1</t>
        </is>
      </c>
      <c r="BG8" s="24" t="inlineStr">
        <is>
          <t>mlb-elo-trend-lr-v5</t>
        </is>
      </c>
      <c r="BH8" s="24" t="inlineStr">
        <is>
          <t>2026-07-24T21:17:08.236153Z</t>
        </is>
      </c>
      <c r="BI8" s="24" t="inlineStr">
        <is>
          <t>["same_event","same_team_same_day","same_league_same_day"]</t>
        </is>
      </c>
      <c r="BJ8" s="25" t="n"/>
      <c r="BK8" s="26" t="n">
        <v>115</v>
      </c>
      <c r="BL8" s="27" t="n">
        <v>2.15</v>
      </c>
      <c r="BM8" s="28" t="n">
        <v>0.465116</v>
      </c>
      <c r="BN8" s="28" t="n">
        <v>0.462687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fe3e7d8a27d24bdd</t>
        </is>
      </c>
      <c r="B9" s="24" t="inlineStr">
        <is>
          <t>2026-07-24T22:44:00Z</t>
        </is>
      </c>
      <c r="C9" s="24" t="inlineStr">
        <is>
          <t>2026-07-24T18:45:00-0400</t>
        </is>
      </c>
      <c r="D9" s="24" t="inlineStr">
        <is>
          <t>401816241</t>
        </is>
      </c>
      <c r="E9" s="24" t="inlineStr">
        <is>
          <t>MLB</t>
        </is>
      </c>
      <c r="F9" s="24" t="inlineStr">
        <is>
          <t>New York Yankees</t>
        </is>
      </c>
      <c r="G9" s="24" t="inlineStr">
        <is>
          <t>Philadelphia Phillies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-127</v>
      </c>
      <c r="M9" s="27" t="n">
        <v>1.787402</v>
      </c>
      <c r="N9" s="28" t="n">
        <v>0.5594710000000001</v>
      </c>
      <c r="O9" s="28" t="n">
        <v>0.510304</v>
      </c>
      <c r="P9" s="28" t="n"/>
      <c r="Q9" s="28" t="n">
        <v>-0.049167</v>
      </c>
      <c r="R9" s="26" t="n">
        <v>0</v>
      </c>
      <c r="S9" s="29" t="n">
        <v>0.5</v>
      </c>
      <c r="T9" s="24" t="inlineStr">
        <is>
          <t>mlb-elo-trend-lr-v5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/>
      <c r="AA9" s="28" t="n"/>
      <c r="AB9" s="28" t="n"/>
      <c r="AC9" s="30" t="n">
        <v>-0.5</v>
      </c>
      <c r="AD9" s="24" t="inlineStr">
        <is>
          <t>2026-07-25T02:30:14.894840Z</t>
        </is>
      </c>
      <c r="AE9" s="31" t="inlineStr">
        <is>
          <t>BACKFILL 2026-07-24: Learned LR call at threshold 0.5750; executable ask 0.5600 (aec-mlb-nyy-phi-2026-07-24); reconstructed using the freshest pregame BBO snapshot for this game after the original run silently lost this pick to a same-day re-forecast bug.</t>
        </is>
      </c>
      <c r="AF9" s="31" t="inlineStr">
        <is>
          <t>Backfilled after original pick lost to _clear_today_open bug (fixed 2026-07-25); reconstructed from genuinely pregame data.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mlb-nyy</t>
        </is>
      </c>
      <c r="AQ9" s="24" t="inlineStr">
        <is>
          <t>New York Yankees</t>
        </is>
      </c>
      <c r="AR9" s="24" t="inlineStr">
        <is>
          <t>New York Yankees</t>
        </is>
      </c>
      <c r="AS9" s="24" t="inlineStr">
        <is>
          <t>mlb-phi</t>
        </is>
      </c>
      <c r="AT9" s="24" t="inlineStr">
        <is>
          <t>Philadelphia Phillies</t>
        </is>
      </c>
      <c r="AU9" s="24" t="inlineStr">
        <is>
          <t>Philadelphia Phillies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8a12d027cf1d2c206cb369c47da80e014f8ac4dfc414ffee96ae34656c46fef5</t>
        </is>
      </c>
      <c r="BB9" s="24" t="inlineStr">
        <is>
          <t>learned_lr</t>
        </is>
      </c>
      <c r="BC9" s="24" t="inlineStr">
        <is>
          <t>mlb-elo-trend-lr-v5</t>
        </is>
      </c>
      <c r="BD9" s="24" t="inlineStr">
        <is>
          <t>8a12d027cf1d2c206cb369c47da80e014f8ac4dfc414ffee96ae34656c46fef5</t>
        </is>
      </c>
      <c r="BE9" s="24" t="inlineStr">
        <is>
          <t>46b943bff41b36e6</t>
        </is>
      </c>
      <c r="BF9" s="24" t="inlineStr">
        <is>
          <t>1</t>
        </is>
      </c>
      <c r="BG9" s="24" t="inlineStr">
        <is>
          <t>mlb-elo-trend-lr-v5</t>
        </is>
      </c>
      <c r="BH9" s="24" t="inlineStr">
        <is>
          <t>2026-07-24T21:17:06.847662Z</t>
        </is>
      </c>
      <c r="BI9" s="24" t="inlineStr">
        <is>
          <t>["same_event","same_team_same_day","same_league_same_day"]</t>
        </is>
      </c>
      <c r="BJ9" s="25" t="n"/>
      <c r="BK9" s="26" t="n">
        <v>-127</v>
      </c>
      <c r="BL9" s="27" t="n">
        <v>1.787402</v>
      </c>
      <c r="BM9" s="28" t="n">
        <v>0.5594710000000001</v>
      </c>
      <c r="BN9" s="28" t="n">
        <v>0.557214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8e806809077145d8</t>
        </is>
      </c>
      <c r="B10" s="24" t="inlineStr">
        <is>
          <t>2026-07-24T23:04:00Z</t>
        </is>
      </c>
      <c r="C10" s="24" t="inlineStr">
        <is>
          <t>2026-07-24T19:05:00-0400</t>
        </is>
      </c>
      <c r="D10" s="24" t="inlineStr">
        <is>
          <t>401816236</t>
        </is>
      </c>
      <c r="E10" s="24" t="inlineStr">
        <is>
          <t>MLB</t>
        </is>
      </c>
      <c r="F10" s="24" t="inlineStr">
        <is>
          <t>Atlanta Braves</t>
        </is>
      </c>
      <c r="G10" s="24" t="inlineStr">
        <is>
          <t>Baltimore Orioles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-120</v>
      </c>
      <c r="M10" s="27" t="n">
        <v>1.833333</v>
      </c>
      <c r="N10" s="28" t="n">
        <v>0.545455</v>
      </c>
      <c r="O10" s="28" t="n">
        <v>0.506958</v>
      </c>
      <c r="P10" s="28" t="n"/>
      <c r="Q10" s="28" t="n">
        <v>-0.038497</v>
      </c>
      <c r="R10" s="26" t="n">
        <v>1</v>
      </c>
      <c r="S10" s="29" t="n">
        <v>0.5</v>
      </c>
      <c r="T10" s="24" t="inlineStr">
        <is>
          <t>mlb-elo-trend-lr-v5</t>
        </is>
      </c>
      <c r="U10" s="24" t="inlineStr">
        <is>
          <t>settled</t>
        </is>
      </c>
      <c r="V10" s="24" t="inlineStr">
        <is>
          <t>loss</t>
        </is>
      </c>
      <c r="W10" s="26" t="n">
        <v>7</v>
      </c>
      <c r="X10" s="26" t="n">
        <v>6</v>
      </c>
      <c r="Y10" s="25" t="n"/>
      <c r="Z10" s="26" t="n"/>
      <c r="AA10" s="28" t="n"/>
      <c r="AB10" s="28" t="n"/>
      <c r="AC10" s="30" t="n">
        <v>-0.5</v>
      </c>
      <c r="AD10" s="24" t="inlineStr">
        <is>
          <t>2026-07-25T02:30:15.664226Z</t>
        </is>
      </c>
      <c r="AE10" s="31" t="inlineStr">
        <is>
          <t>BACKFILL 2026-07-24: Learned LR call at threshold 0.5750; executable ask 0.5450 (aec-mlb-atl-bal-2026-07-24); reconstructed using the freshest pregame BBO snapshot for this game after the original run silently lost this pick to a same-day re-forecast bug.</t>
        </is>
      </c>
      <c r="AF10" s="31" t="inlineStr">
        <is>
          <t>Backfilled after original pick lost to _clear_today_open bug (fixed 2026-07-25); reconstructed from genuinely pregame data.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mlb-atl</t>
        </is>
      </c>
      <c r="AQ10" s="24" t="inlineStr">
        <is>
          <t>Atlanta Braves</t>
        </is>
      </c>
      <c r="AR10" s="24" t="inlineStr">
        <is>
          <t>Atlanta Braves</t>
        </is>
      </c>
      <c r="AS10" s="24" t="inlineStr">
        <is>
          <t>mlb-bal</t>
        </is>
      </c>
      <c r="AT10" s="24" t="inlineStr">
        <is>
          <t>Baltimore Orioles</t>
        </is>
      </c>
      <c r="AU10" s="24" t="inlineStr">
        <is>
          <t>Baltimore Orioles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8a12d027cf1d2c206cb369c47da80e014f8ac4dfc414ffee96ae34656c46fef5</t>
        </is>
      </c>
      <c r="BB10" s="24" t="inlineStr">
        <is>
          <t>learned_lr</t>
        </is>
      </c>
      <c r="BC10" s="24" t="inlineStr">
        <is>
          <t>mlb-elo-trend-lr-v5</t>
        </is>
      </c>
      <c r="BD10" s="24" t="inlineStr">
        <is>
          <t>8a12d027cf1d2c206cb369c47da80e014f8ac4dfc414ffee96ae34656c46fef5</t>
        </is>
      </c>
      <c r="BE10" s="24" t="inlineStr">
        <is>
          <t>a5f9881fb87c075d</t>
        </is>
      </c>
      <c r="BF10" s="24" t="inlineStr">
        <is>
          <t>1</t>
        </is>
      </c>
      <c r="BG10" s="24" t="inlineStr">
        <is>
          <t>mlb-elo-trend-lr-v5</t>
        </is>
      </c>
      <c r="BH10" s="24" t="inlineStr">
        <is>
          <t>2026-07-24T21:17:09.220873Z</t>
        </is>
      </c>
      <c r="BI10" s="24" t="inlineStr">
        <is>
          <t>["same_event","same_team_same_day","same_league_same_day"]</t>
        </is>
      </c>
      <c r="BJ10" s="25" t="n"/>
      <c r="BK10" s="26" t="n">
        <v>-120</v>
      </c>
      <c r="BL10" s="27" t="n">
        <v>1.833333</v>
      </c>
      <c r="BM10" s="28" t="n">
        <v>0.545455</v>
      </c>
      <c r="BN10" s="28" t="n">
        <v>0.542289</v>
      </c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867d0bce63d8492a</t>
        </is>
      </c>
      <c r="B11" s="24" t="inlineStr">
        <is>
          <t>2026-07-24T23:09:00Z</t>
        </is>
      </c>
      <c r="C11" s="24" t="inlineStr">
        <is>
          <t>2026-07-24T19:10:00-0400</t>
        </is>
      </c>
      <c r="D11" s="24" t="inlineStr">
        <is>
          <t>401816238</t>
        </is>
      </c>
      <c r="E11" s="24" t="inlineStr">
        <is>
          <t>MLB</t>
        </is>
      </c>
      <c r="F11" s="24" t="inlineStr">
        <is>
          <t>Cleveland Guardians</t>
        </is>
      </c>
      <c r="G11" s="24" t="inlineStr">
        <is>
          <t>Tampa Bay Rays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-125</v>
      </c>
      <c r="M11" s="27" t="n">
        <v>1.8</v>
      </c>
      <c r="N11" s="28" t="n">
        <v>0.555556</v>
      </c>
      <c r="O11" s="28" t="n">
        <v>0.54098</v>
      </c>
      <c r="P11" s="28" t="n"/>
      <c r="Q11" s="28" t="n">
        <v>-0.014576</v>
      </c>
      <c r="R11" s="26" t="n">
        <v>13</v>
      </c>
      <c r="S11" s="29" t="n">
        <v>1</v>
      </c>
      <c r="T11" s="24" t="inlineStr">
        <is>
          <t>mlb-elo-trend-lr-v5</t>
        </is>
      </c>
      <c r="U11" s="24" t="inlineStr">
        <is>
          <t>settled</t>
        </is>
      </c>
      <c r="V11" s="24" t="inlineStr">
        <is>
          <t>win</t>
        </is>
      </c>
      <c r="W11" s="26" t="n">
        <v>3</v>
      </c>
      <c r="X11" s="26" t="n">
        <v>11</v>
      </c>
      <c r="Y11" s="25" t="n"/>
      <c r="Z11" s="26" t="n"/>
      <c r="AA11" s="28" t="n"/>
      <c r="AB11" s="28" t="n"/>
      <c r="AC11" s="30" t="n">
        <v>0.8</v>
      </c>
      <c r="AD11" s="24" t="inlineStr">
        <is>
          <t>2026-07-25T02:30:16.385533Z</t>
        </is>
      </c>
      <c r="AE11" s="31" t="inlineStr">
        <is>
          <t>BACKFILL 2026-07-24: Learned LR call at threshold 0.5750; executable ask 0.5550 (aec-mlb-cle-tb-2026-07-24); reconstructed using the freshest pregame BBO snapshot for this game after the original run silently lost this pick to a same-day re-forecast bug.</t>
        </is>
      </c>
      <c r="AF11" s="31" t="inlineStr">
        <is>
          <t>Backfilled after original pick lost to _clear_today_open bug (fixed 2026-07-25); reconstructed from genuinely pregame data.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mlb-cle</t>
        </is>
      </c>
      <c r="AQ11" s="24" t="inlineStr">
        <is>
          <t>Cleveland Guardians</t>
        </is>
      </c>
      <c r="AR11" s="24" t="inlineStr">
        <is>
          <t>Cleveland Guardians</t>
        </is>
      </c>
      <c r="AS11" s="24" t="inlineStr">
        <is>
          <t>mlb-tb</t>
        </is>
      </c>
      <c r="AT11" s="24" t="inlineStr">
        <is>
          <t>Tampa Bay Rays</t>
        </is>
      </c>
      <c r="AU11" s="24" t="inlineStr">
        <is>
          <t>Tampa Bay Rays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8a12d027cf1d2c206cb369c47da80e014f8ac4dfc414ffee96ae34656c46fef5</t>
        </is>
      </c>
      <c r="BB11" s="24" t="inlineStr">
        <is>
          <t>learned_lr</t>
        </is>
      </c>
      <c r="BC11" s="24" t="inlineStr">
        <is>
          <t>mlb-elo-trend-lr-v5</t>
        </is>
      </c>
      <c r="BD11" s="24" t="inlineStr">
        <is>
          <t>8a12d027cf1d2c206cb369c47da80e014f8ac4dfc414ffee96ae34656c46fef5</t>
        </is>
      </c>
      <c r="BE11" s="24" t="inlineStr">
        <is>
          <t>f67aa7bad2ac360f</t>
        </is>
      </c>
      <c r="BF11" s="24" t="inlineStr">
        <is>
          <t>1</t>
        </is>
      </c>
      <c r="BG11" s="24" t="inlineStr">
        <is>
          <t>mlb-elo-trend-lr-v5</t>
        </is>
      </c>
      <c r="BH11" s="24" t="inlineStr">
        <is>
          <t>2026-07-24T21:17:10.317059Z</t>
        </is>
      </c>
      <c r="BI11" s="24" t="inlineStr">
        <is>
          <t>["same_event","same_team_same_day","same_league_same_day"]</t>
        </is>
      </c>
      <c r="BJ11" s="25" t="n"/>
      <c r="BK11" s="26" t="n">
        <v>-125</v>
      </c>
      <c r="BL11" s="27" t="n">
        <v>1.8</v>
      </c>
      <c r="BM11" s="28" t="n">
        <v>0.555556</v>
      </c>
      <c r="BN11" s="28" t="n">
        <v>0.552239</v>
      </c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ef95cb8f980f4060</t>
        </is>
      </c>
      <c r="B12" s="24" t="inlineStr">
        <is>
          <t>2026-07-24T23:09:00Z</t>
        </is>
      </c>
      <c r="C12" s="24" t="inlineStr">
        <is>
          <t>2026-07-24T19:10:00-0400</t>
        </is>
      </c>
      <c r="D12" s="24" t="inlineStr">
        <is>
          <t>401816240</t>
        </is>
      </c>
      <c r="E12" s="24" t="inlineStr">
        <is>
          <t>MLB</t>
        </is>
      </c>
      <c r="F12" s="24" t="inlineStr">
        <is>
          <t>Los Angeles Dodgers</t>
        </is>
      </c>
      <c r="G12" s="24" t="inlineStr">
        <is>
          <t>New York Mets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-120</v>
      </c>
      <c r="M12" s="27" t="n">
        <v>1.833333</v>
      </c>
      <c r="N12" s="28" t="n">
        <v>0.545455</v>
      </c>
      <c r="O12" s="28" t="n">
        <v>0.559795</v>
      </c>
      <c r="P12" s="28" t="n"/>
      <c r="Q12" s="28" t="n">
        <v>0.01434</v>
      </c>
      <c r="R12" s="26" t="n">
        <v>27</v>
      </c>
      <c r="S12" s="29" t="n">
        <v>1</v>
      </c>
      <c r="T12" s="24" t="inlineStr">
        <is>
          <t>mlb-elo-trend-lr-v5</t>
        </is>
      </c>
      <c r="U12" s="24" t="inlineStr">
        <is>
          <t>settled</t>
        </is>
      </c>
      <c r="V12" s="24" t="inlineStr">
        <is>
          <t>win</t>
        </is>
      </c>
      <c r="W12" s="26" t="n">
        <v>4</v>
      </c>
      <c r="X12" s="26" t="n">
        <v>2</v>
      </c>
      <c r="Y12" s="25" t="n"/>
      <c r="Z12" s="26" t="n"/>
      <c r="AA12" s="28" t="n"/>
      <c r="AB12" s="28" t="n"/>
      <c r="AC12" s="30" t="n">
        <v>0.8333</v>
      </c>
      <c r="AD12" s="24" t="inlineStr">
        <is>
          <t>2026-07-25T02:30:17.028474Z</t>
        </is>
      </c>
      <c r="AE12" s="31" t="inlineStr">
        <is>
          <t>BACKFILL 2026-07-24: Learned LR call at threshold 0.5750; executable ask 0.5450 (aec-mlb-lad-nym-2026-07-24); reconstructed using the freshest pregame BBO snapshot for this game after the original run silently lost this pick to a same-day re-forecast bug.</t>
        </is>
      </c>
      <c r="AF12" s="31" t="inlineStr">
        <is>
          <t>Backfilled after original pick lost to _clear_today_open bug (fixed 2026-07-25); reconstructed from genuinely pregame data.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mlb-lad</t>
        </is>
      </c>
      <c r="AQ12" s="24" t="inlineStr">
        <is>
          <t>Los Angeles Dodgers</t>
        </is>
      </c>
      <c r="AR12" s="24" t="inlineStr">
        <is>
          <t>Los Angeles Dodgers</t>
        </is>
      </c>
      <c r="AS12" s="24" t="inlineStr">
        <is>
          <t>mlb-nym</t>
        </is>
      </c>
      <c r="AT12" s="24" t="inlineStr">
        <is>
          <t>New York Mets</t>
        </is>
      </c>
      <c r="AU12" s="24" t="inlineStr">
        <is>
          <t>New York Mets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8a12d027cf1d2c206cb369c47da80e014f8ac4dfc414ffee96ae34656c46fef5</t>
        </is>
      </c>
      <c r="BB12" s="24" t="inlineStr">
        <is>
          <t>learned_lr</t>
        </is>
      </c>
      <c r="BC12" s="24" t="inlineStr">
        <is>
          <t>mlb-elo-trend-lr-v5</t>
        </is>
      </c>
      <c r="BD12" s="24" t="inlineStr">
        <is>
          <t>8a12d027cf1d2c206cb369c47da80e014f8ac4dfc414ffee96ae34656c46fef5</t>
        </is>
      </c>
      <c r="BE12" s="24" t="inlineStr">
        <is>
          <t>c9beddb401e3a3c8</t>
        </is>
      </c>
      <c r="BF12" s="24" t="inlineStr">
        <is>
          <t>1</t>
        </is>
      </c>
      <c r="BG12" s="24" t="inlineStr">
        <is>
          <t>mlb-elo-trend-lr-v5</t>
        </is>
      </c>
      <c r="BH12" s="24" t="inlineStr">
        <is>
          <t>2026-07-24T21:17:12.657758Z</t>
        </is>
      </c>
      <c r="BI12" s="24" t="inlineStr">
        <is>
          <t>["same_event","same_team_same_day","same_league_same_day"]</t>
        </is>
      </c>
      <c r="BJ12" s="25" t="n"/>
      <c r="BK12" s="26" t="n">
        <v>-120</v>
      </c>
      <c r="BL12" s="27" t="n">
        <v>1.833333</v>
      </c>
      <c r="BM12" s="28" t="n">
        <v>0.545455</v>
      </c>
      <c r="BN12" s="28" t="n">
        <v>0.542289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81f45c800d6a4394</t>
        </is>
      </c>
      <c r="B13" s="24" t="inlineStr">
        <is>
          <t>2026-07-24T23:09:00Z</t>
        </is>
      </c>
      <c r="C13" s="24" t="inlineStr">
        <is>
          <t>2026-07-24T19:10:00-0400</t>
        </is>
      </c>
      <c r="D13" s="24" t="inlineStr">
        <is>
          <t>401816242</t>
        </is>
      </c>
      <c r="E13" s="24" t="inlineStr">
        <is>
          <t>MLB</t>
        </is>
      </c>
      <c r="F13" s="24" t="inlineStr">
        <is>
          <t>San Diego Padres</t>
        </is>
      </c>
      <c r="G13" s="24" t="inlineStr">
        <is>
          <t>Miami Marlins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-120</v>
      </c>
      <c r="M13" s="27" t="n">
        <v>1.833333</v>
      </c>
      <c r="N13" s="28" t="n">
        <v>0.545455</v>
      </c>
      <c r="O13" s="28" t="n">
        <v>0.587495</v>
      </c>
      <c r="P13" s="28" t="n"/>
      <c r="Q13" s="28" t="n">
        <v>0.04204</v>
      </c>
      <c r="R13" s="26" t="n">
        <v>41</v>
      </c>
      <c r="S13" s="29" t="n">
        <v>1.25</v>
      </c>
      <c r="T13" s="24" t="inlineStr">
        <is>
          <t>mlb-elo-trend-lr-v5</t>
        </is>
      </c>
      <c r="U13" s="24" t="inlineStr">
        <is>
          <t>settled</t>
        </is>
      </c>
      <c r="V13" s="24" t="inlineStr">
        <is>
          <t>loss</t>
        </is>
      </c>
      <c r="W13" s="26" t="n">
        <v>4</v>
      </c>
      <c r="X13" s="26" t="n">
        <v>2</v>
      </c>
      <c r="Y13" s="25" t="n"/>
      <c r="Z13" s="26" t="n"/>
      <c r="AA13" s="28" t="n"/>
      <c r="AB13" s="28" t="n"/>
      <c r="AC13" s="30" t="n">
        <v>-1.25</v>
      </c>
      <c r="AD13" s="24" t="inlineStr">
        <is>
          <t>2026-07-25T02:30:17.679795Z</t>
        </is>
      </c>
      <c r="AE13" s="31" t="inlineStr">
        <is>
          <t>BACKFILL 2026-07-24: Learned LR call at threshold 0.5750; executable ask 0.5450 (aec-mlb-sd-mia-2026-07-24); reconstructed using the freshest pregame BBO snapshot for this game after the original run silently lost this pick to a same-day re-forecast bug.</t>
        </is>
      </c>
      <c r="AF13" s="31" t="inlineStr">
        <is>
          <t>Backfilled after original pick lost to _clear_today_open bug (fixed 2026-07-25); reconstructed from genuinely pregame data.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mlb-sd</t>
        </is>
      </c>
      <c r="AQ13" s="24" t="inlineStr">
        <is>
          <t>San Diego Padres</t>
        </is>
      </c>
      <c r="AR13" s="24" t="inlineStr">
        <is>
          <t>San Diego Padres</t>
        </is>
      </c>
      <c r="AS13" s="24" t="inlineStr">
        <is>
          <t>mlb-mia</t>
        </is>
      </c>
      <c r="AT13" s="24" t="inlineStr">
        <is>
          <t>Miami Marlins</t>
        </is>
      </c>
      <c r="AU13" s="24" t="inlineStr">
        <is>
          <t>Miami Marlins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8a12d027cf1d2c206cb369c47da80e014f8ac4dfc414ffee96ae34656c46fef5</t>
        </is>
      </c>
      <c r="BB13" s="24" t="inlineStr">
        <is>
          <t>learned_lr</t>
        </is>
      </c>
      <c r="BC13" s="24" t="inlineStr">
        <is>
          <t>mlb-elo-trend-lr-v5</t>
        </is>
      </c>
      <c r="BD13" s="24" t="inlineStr">
        <is>
          <t>8a12d027cf1d2c206cb369c47da80e014f8ac4dfc414ffee96ae34656c46fef5</t>
        </is>
      </c>
      <c r="BE13" s="24" t="inlineStr">
        <is>
          <t>164667b7e69f3da0</t>
        </is>
      </c>
      <c r="BF13" s="24" t="inlineStr">
        <is>
          <t>1</t>
        </is>
      </c>
      <c r="BG13" s="24" t="inlineStr">
        <is>
          <t>mlb-elo-trend-lr-v5</t>
        </is>
      </c>
      <c r="BH13" s="24" t="inlineStr">
        <is>
          <t>2026-07-24T21:17:11.478643Z</t>
        </is>
      </c>
      <c r="BI13" s="24" t="inlineStr">
        <is>
          <t>["same_event","same_team_same_day","same_league_same_day"]</t>
        </is>
      </c>
      <c r="BJ13" s="25" t="n"/>
      <c r="BK13" s="26" t="n">
        <v>-120</v>
      </c>
      <c r="BL13" s="27" t="n">
        <v>1.833333</v>
      </c>
      <c r="BM13" s="28" t="n">
        <v>0.545455</v>
      </c>
      <c r="BN13" s="28" t="n">
        <v>0.542289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aef09c18633a4ca6</t>
        </is>
      </c>
      <c r="B14" s="24" t="inlineStr">
        <is>
          <t>2026-07-24T23:14:00Z</t>
        </is>
      </c>
      <c r="C14" s="24" t="inlineStr">
        <is>
          <t>2026-07-24T19:15:00-0400</t>
        </is>
      </c>
      <c r="D14" s="24" t="inlineStr">
        <is>
          <t>401816243</t>
        </is>
      </c>
      <c r="E14" s="24" t="inlineStr">
        <is>
          <t>MLB</t>
        </is>
      </c>
      <c r="F14" s="24" t="inlineStr">
        <is>
          <t>Toronto Blue Jays</t>
        </is>
      </c>
      <c r="G14" s="24" t="inlineStr">
        <is>
          <t>Boston Red Sox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-117</v>
      </c>
      <c r="M14" s="27" t="n">
        <v>1.854701</v>
      </c>
      <c r="N14" s="28" t="n">
        <v>0.539171</v>
      </c>
      <c r="O14" s="28" t="n">
        <v>0.526052</v>
      </c>
      <c r="P14" s="28" t="n"/>
      <c r="Q14" s="28" t="n">
        <v>-0.013119</v>
      </c>
      <c r="R14" s="26" t="n">
        <v>13</v>
      </c>
      <c r="S14" s="29" t="n">
        <v>0.75</v>
      </c>
      <c r="T14" s="24" t="inlineStr">
        <is>
          <t>mlb-elo-trend-lr-v5</t>
        </is>
      </c>
      <c r="U14" s="24" t="inlineStr">
        <is>
          <t>settled</t>
        </is>
      </c>
      <c r="V14" s="24" t="inlineStr">
        <is>
          <t>win</t>
        </is>
      </c>
      <c r="W14" s="26" t="n">
        <v>4</v>
      </c>
      <c r="X14" s="26" t="n">
        <v>6</v>
      </c>
      <c r="Y14" s="25" t="n"/>
      <c r="Z14" s="26" t="n"/>
      <c r="AA14" s="28" t="n"/>
      <c r="AB14" s="28" t="n"/>
      <c r="AC14" s="30" t="n">
        <v>0.641</v>
      </c>
      <c r="AD14" s="24" t="inlineStr">
        <is>
          <t>2026-07-25T03:59:37.289075Z</t>
        </is>
      </c>
      <c r="AE14" s="31" t="inlineStr">
        <is>
          <t>BACKFILL 2026-07-24: Learned LR call at threshold 0.5750; executable ask 0.5400 (aec-mlb-tor-bos-2026-07-24); reconstructed using the freshest pregame BBO snapshot for this game after the original run silently lost this pick to a same-day re-forecast bug.</t>
        </is>
      </c>
      <c r="AF14" s="31" t="inlineStr">
        <is>
          <t>Backfilled after original pick lost to _clear_today_open bug (fixed 2026-07-25); reconstructed from genuinely pregame data.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mlb-tor</t>
        </is>
      </c>
      <c r="AQ14" s="24" t="inlineStr">
        <is>
          <t>Toronto Blue Jays</t>
        </is>
      </c>
      <c r="AR14" s="24" t="inlineStr">
        <is>
          <t>Toronto Blue Jays</t>
        </is>
      </c>
      <c r="AS14" s="24" t="inlineStr">
        <is>
          <t>mlb-bos</t>
        </is>
      </c>
      <c r="AT14" s="24" t="inlineStr">
        <is>
          <t>Boston Red Sox</t>
        </is>
      </c>
      <c r="AU14" s="24" t="inlineStr">
        <is>
          <t>Boston Red Sox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8a12d027cf1d2c206cb369c47da80e014f8ac4dfc414ffee96ae34656c46fef5</t>
        </is>
      </c>
      <c r="BB14" s="24" t="inlineStr">
        <is>
          <t>learned_lr</t>
        </is>
      </c>
      <c r="BC14" s="24" t="inlineStr">
        <is>
          <t>mlb-elo-trend-lr-v5</t>
        </is>
      </c>
      <c r="BD14" s="24" t="inlineStr">
        <is>
          <t>8a12d027cf1d2c206cb369c47da80e014f8ac4dfc414ffee96ae34656c46fef5</t>
        </is>
      </c>
      <c r="BE14" s="24" t="inlineStr">
        <is>
          <t>22fa7668b7708bf4</t>
        </is>
      </c>
      <c r="BF14" s="24" t="inlineStr">
        <is>
          <t>1</t>
        </is>
      </c>
      <c r="BG14" s="24" t="inlineStr">
        <is>
          <t>mlb-elo-trend-lr-v5</t>
        </is>
      </c>
      <c r="BH14" s="24" t="inlineStr">
        <is>
          <t>2026-07-24T21:17:13.845637Z</t>
        </is>
      </c>
      <c r="BI14" s="24" t="inlineStr">
        <is>
          <t>["same_event","same_team_same_day","same_league_same_day"]</t>
        </is>
      </c>
      <c r="BJ14" s="25" t="n"/>
      <c r="BK14" s="26" t="n">
        <v>-117</v>
      </c>
      <c r="BL14" s="27" t="n">
        <v>1.854701</v>
      </c>
      <c r="BM14" s="28" t="n">
        <v>0.539171</v>
      </c>
      <c r="BN14" s="28" t="n">
        <v>0.537313</v>
      </c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5ad194adcbfc486b</t>
        </is>
      </c>
      <c r="B15" s="24" t="inlineStr">
        <is>
          <t>2026-07-24T23:39:00Z</t>
        </is>
      </c>
      <c r="C15" s="24" t="inlineStr">
        <is>
          <t>2026-07-24T19:40:00-0400</t>
        </is>
      </c>
      <c r="D15" s="24" t="inlineStr">
        <is>
          <t>401816247</t>
        </is>
      </c>
      <c r="E15" s="24" t="inlineStr">
        <is>
          <t>MLB</t>
        </is>
      </c>
      <c r="F15" s="24" t="inlineStr">
        <is>
          <t>Houston Astros</t>
        </is>
      </c>
      <c r="G15" s="24" t="inlineStr">
        <is>
          <t>Chicago White Sox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-125</v>
      </c>
      <c r="M15" s="27" t="n">
        <v>1.8</v>
      </c>
      <c r="N15" s="28" t="n">
        <v>0.555556</v>
      </c>
      <c r="O15" s="28" t="n">
        <v>0.518176</v>
      </c>
      <c r="P15" s="28" t="n"/>
      <c r="Q15" s="28" t="n">
        <v>-0.03738</v>
      </c>
      <c r="R15" s="26" t="n">
        <v>1</v>
      </c>
      <c r="S15" s="29" t="n">
        <v>0.75</v>
      </c>
      <c r="T15" s="24" t="inlineStr">
        <is>
          <t>mlb-elo-trend-lr-v5</t>
        </is>
      </c>
      <c r="U15" s="24" t="inlineStr">
        <is>
          <t>settled</t>
        </is>
      </c>
      <c r="V15" s="24" t="inlineStr">
        <is>
          <t>loss</t>
        </is>
      </c>
      <c r="W15" s="26" t="n">
        <v>9</v>
      </c>
      <c r="X15" s="26" t="n">
        <v>5</v>
      </c>
      <c r="Y15" s="25" t="n"/>
      <c r="Z15" s="26" t="n"/>
      <c r="AA15" s="28" t="n"/>
      <c r="AB15" s="28" t="n"/>
      <c r="AC15" s="30" t="n">
        <v>-0.75</v>
      </c>
      <c r="AD15" s="24" t="inlineStr">
        <is>
          <t>2026-07-25T03:59:37.928484Z</t>
        </is>
      </c>
      <c r="AE15" s="31" t="inlineStr">
        <is>
          <t>BACKFILL 2026-07-24: Learned LR call at threshold 0.5750; executable ask 0.5550 (aec-mlb-hou-cws-2026-07-24); reconstructed using the freshest pregame BBO snapshot for this game after the original run silently lost this pick to a same-day re-forecast bug.</t>
        </is>
      </c>
      <c r="AF15" s="31" t="inlineStr">
        <is>
          <t>Backfilled after original pick lost to _clear_today_open bug (fixed 2026-07-25); reconstructed from genuinely pregame data.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NO_CALL_LOW_EDGE</t>
        </is>
      </c>
      <c r="AP15" s="24" t="inlineStr">
        <is>
          <t>mlb-hou</t>
        </is>
      </c>
      <c r="AQ15" s="24" t="inlineStr">
        <is>
          <t>Houston Astros</t>
        </is>
      </c>
      <c r="AR15" s="24" t="inlineStr">
        <is>
          <t>Houston Astros</t>
        </is>
      </c>
      <c r="AS15" s="24" t="inlineStr">
        <is>
          <t>mlb-cws</t>
        </is>
      </c>
      <c r="AT15" s="24" t="inlineStr">
        <is>
          <t>Chicago White Sox</t>
        </is>
      </c>
      <c r="AU15" s="24" t="inlineStr">
        <is>
          <t>Chicago White Sox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8a12d027cf1d2c206cb369c47da80e014f8ac4dfc414ffee96ae34656c46fef5</t>
        </is>
      </c>
      <c r="BB15" s="24" t="inlineStr">
        <is>
          <t>learned_lr</t>
        </is>
      </c>
      <c r="BC15" s="24" t="inlineStr">
        <is>
          <t>mlb-elo-trend-lr-v5</t>
        </is>
      </c>
      <c r="BD15" s="24" t="inlineStr">
        <is>
          <t>8a12d027cf1d2c206cb369c47da80e014f8ac4dfc414ffee96ae34656c46fef5</t>
        </is>
      </c>
      <c r="BE15" s="24" t="inlineStr">
        <is>
          <t>c43993ddeb53c7fe</t>
        </is>
      </c>
      <c r="BF15" s="24" t="inlineStr">
        <is>
          <t>1</t>
        </is>
      </c>
      <c r="BG15" s="24" t="inlineStr">
        <is>
          <t>mlb-elo-trend-lr-v5</t>
        </is>
      </c>
      <c r="BH15" s="24" t="inlineStr">
        <is>
          <t>2026-07-24T21:17:14.907859Z</t>
        </is>
      </c>
      <c r="BI15" s="24" t="inlineStr">
        <is>
          <t>["same_event","same_team_same_day","same_league_same_day"]</t>
        </is>
      </c>
      <c r="BJ15" s="25" t="n"/>
      <c r="BK15" s="26" t="n">
        <v>-125</v>
      </c>
      <c r="BL15" s="27" t="n">
        <v>1.8</v>
      </c>
      <c r="BM15" s="28" t="n">
        <v>0.555556</v>
      </c>
      <c r="BN15" s="28" t="n">
        <v>0.552239</v>
      </c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0eb85ee568904626</t>
        </is>
      </c>
      <c r="B16" s="24" t="inlineStr">
        <is>
          <t>2026-07-25T02:14:00Z</t>
        </is>
      </c>
      <c r="C16" s="24" t="inlineStr">
        <is>
          <t>2026-07-24T22:15:00-0400</t>
        </is>
      </c>
      <c r="D16" s="24" t="inlineStr">
        <is>
          <t>401816249</t>
        </is>
      </c>
      <c r="E16" s="24" t="inlineStr">
        <is>
          <t>MLB</t>
        </is>
      </c>
      <c r="F16" s="24" t="inlineStr">
        <is>
          <t>Los Angeles Angels</t>
        </is>
      </c>
      <c r="G16" s="24" t="inlineStr">
        <is>
          <t>San Francisco Giants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-147</v>
      </c>
      <c r="M16" s="27" t="n">
        <v>1.680272</v>
      </c>
      <c r="N16" s="28" t="n">
        <v>0.5951419999999999</v>
      </c>
      <c r="O16" s="28" t="n">
        <v>0.572973</v>
      </c>
      <c r="P16" s="28" t="n"/>
      <c r="Q16" s="28" t="n">
        <v>-0.022169</v>
      </c>
      <c r="R16" s="26" t="n">
        <v>9</v>
      </c>
      <c r="S16" s="29" t="n">
        <v>1.25</v>
      </c>
      <c r="T16" s="24" t="inlineStr">
        <is>
          <t>mlb-elo-trend-lr-v5</t>
        </is>
      </c>
      <c r="U16" s="24" t="inlineStr">
        <is>
          <t>settled</t>
        </is>
      </c>
      <c r="V16" s="24" t="inlineStr">
        <is>
          <t>win</t>
        </is>
      </c>
      <c r="W16" s="26" t="n">
        <v>6</v>
      </c>
      <c r="X16" s="26" t="n">
        <v>7</v>
      </c>
      <c r="Y16" s="25" t="n"/>
      <c r="Z16" s="26" t="n"/>
      <c r="AA16" s="28" t="n"/>
      <c r="AB16" s="28" t="n"/>
      <c r="AC16" s="30" t="n">
        <v>0.8502999999999999</v>
      </c>
      <c r="AD16" s="24" t="inlineStr">
        <is>
          <t>2026-07-25T15:25:20.955748Z</t>
        </is>
      </c>
      <c r="AE16" s="31" t="inlineStr">
        <is>
          <t>BACKFILL 2026-07-24: Learned LR call at threshold 0.5750; executable ask 0.5950 (aec-mlb-laa-sf-2026-07-24); reconstructed after a same-day re-forecast run (predating the _clear_today_open fix) cleared this pick and never recreated it.</t>
        </is>
      </c>
      <c r="AF16" s="31" t="inlineStr">
        <is>
          <t>Backfilled after original pick lost to _clear_today_open bug (fixed 2026-07-25); reconstructed from genuinely pregame data.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mlb-laa</t>
        </is>
      </c>
      <c r="AQ16" s="24" t="inlineStr">
        <is>
          <t>Los Angeles Angels</t>
        </is>
      </c>
      <c r="AR16" s="24" t="inlineStr">
        <is>
          <t>Los Angeles Angels</t>
        </is>
      </c>
      <c r="AS16" s="24" t="inlineStr">
        <is>
          <t>mlb-sf</t>
        </is>
      </c>
      <c r="AT16" s="24" t="inlineStr">
        <is>
          <t>San Francisco Giants</t>
        </is>
      </c>
      <c r="AU16" s="24" t="inlineStr">
        <is>
          <t>San Francisco Giants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8a12d027cf1d2c206cb369c47da80e014f8ac4dfc414ffee96ae34656c46fef5</t>
        </is>
      </c>
      <c r="BB16" s="24" t="inlineStr">
        <is>
          <t>learned_lr</t>
        </is>
      </c>
      <c r="BC16" s="24" t="inlineStr">
        <is>
          <t>mlb-elo-trend-lr-v5</t>
        </is>
      </c>
      <c r="BD16" s="24" t="inlineStr">
        <is>
          <t>8a12d027cf1d2c206cb369c47da80e014f8ac4dfc414ffee96ae34656c46fef5</t>
        </is>
      </c>
      <c r="BE16" s="24" t="inlineStr">
        <is>
          <t>9072ba031ec06338</t>
        </is>
      </c>
      <c r="BF16" s="24" t="inlineStr">
        <is>
          <t>1</t>
        </is>
      </c>
      <c r="BG16" s="24" t="inlineStr">
        <is>
          <t>mlb-elo-trend-lr-v5</t>
        </is>
      </c>
      <c r="BH16" s="24" t="inlineStr">
        <is>
          <t>2026-07-25T00:28:44.645802Z</t>
        </is>
      </c>
      <c r="BI16" s="24" t="inlineStr">
        <is>
          <t>["same_event","same_team_same_day","same_league_same_day"]</t>
        </is>
      </c>
      <c r="BJ16" s="25" t="n"/>
      <c r="BK16" s="26" t="n">
        <v>-147</v>
      </c>
      <c r="BL16" s="27" t="n">
        <v>1.680272</v>
      </c>
      <c r="BM16" s="28" t="n">
        <v>0.5951419999999999</v>
      </c>
      <c r="BN16" s="28" t="n">
        <v>0.59204</v>
      </c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fad53380a628400a</t>
        </is>
      </c>
      <c r="B17" s="24" t="inlineStr">
        <is>
          <t>2026-07-25T16:13:14.594087Z</t>
        </is>
      </c>
      <c r="C17" s="24" t="inlineStr">
        <is>
          <t>2026-07-25T13:10:00-0400</t>
        </is>
      </c>
      <c r="D17" s="24" t="inlineStr">
        <is>
          <t>401816254</t>
        </is>
      </c>
      <c r="E17" s="24" t="inlineStr">
        <is>
          <t>MLB</t>
        </is>
      </c>
      <c r="F17" s="24" t="inlineStr">
        <is>
          <t>Kansas City Royals</t>
        </is>
      </c>
      <c r="G17" s="24" t="inlineStr">
        <is>
          <t>Detroit Tigers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-153</v>
      </c>
      <c r="M17" s="27" t="n">
        <v>1.653595</v>
      </c>
      <c r="N17" s="28" t="n">
        <v>0.604743</v>
      </c>
      <c r="O17" s="28" t="n">
        <v>0.591131</v>
      </c>
      <c r="P17" s="28" t="n"/>
      <c r="Q17" s="28" t="n">
        <v>-0.013612</v>
      </c>
      <c r="R17" s="26" t="n">
        <v>13</v>
      </c>
      <c r="S17" s="29" t="n">
        <v>1.5</v>
      </c>
      <c r="T17" s="24" t="inlineStr">
        <is>
          <t>mlb-elo-trend-lr-v6</t>
        </is>
      </c>
      <c r="U17" s="24" t="inlineStr">
        <is>
          <t>settled</t>
        </is>
      </c>
      <c r="V17" s="24" t="inlineStr">
        <is>
          <t>loss</t>
        </is>
      </c>
      <c r="W17" s="26" t="n">
        <v>3</v>
      </c>
      <c r="X17" s="26" t="n">
        <v>2</v>
      </c>
      <c r="Y17" s="25" t="n"/>
      <c r="Z17" s="26" t="n"/>
      <c r="AA17" s="28" t="n"/>
      <c r="AB17" s="28" t="n"/>
      <c r="AC17" s="30" t="n">
        <v>-1.5</v>
      </c>
      <c r="AD17" s="24" t="inlineStr">
        <is>
          <t>2026-07-25T19:53:37.410703Z</t>
        </is>
      </c>
      <c r="AE17" s="31" t="inlineStr">
        <is>
          <t>Learned LR call at threshold 0.5690; executable ask 0.6050 (aec-mlb-kc-det-2026-07-25).</t>
        </is>
      </c>
      <c r="AF17" s="31" t="inlineStr">
        <is>
          <t>Learned model; promotion gate not yet open; zero-unit research until review.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mlb-kc</t>
        </is>
      </c>
      <c r="AQ17" s="24" t="inlineStr">
        <is>
          <t>Kansas City Royals</t>
        </is>
      </c>
      <c r="AR17" s="24" t="inlineStr">
        <is>
          <t>Kansas City Royals</t>
        </is>
      </c>
      <c r="AS17" s="24" t="inlineStr">
        <is>
          <t>mlb-det</t>
        </is>
      </c>
      <c r="AT17" s="24" t="inlineStr">
        <is>
          <t>Detroit Tigers</t>
        </is>
      </c>
      <c r="AU17" s="24" t="inlineStr">
        <is>
          <t>Detroit Tigers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10a412e78306d1f4d1a66590dd7cd2087ed53520bfa3bb925889a6371153732f</t>
        </is>
      </c>
      <c r="BB17" s="24" t="inlineStr">
        <is>
          <t>learned_lr</t>
        </is>
      </c>
      <c r="BC17" s="24" t="inlineStr">
        <is>
          <t>mlb-elo-trend-lr-v6</t>
        </is>
      </c>
      <c r="BD17" s="24" t="inlineStr">
        <is>
          <t>10a412e78306d1f4d1a66590dd7cd2087ed53520bfa3bb925889a6371153732f</t>
        </is>
      </c>
      <c r="BE17" s="24" t="inlineStr">
        <is>
          <t>d6d80db4c0064f65</t>
        </is>
      </c>
      <c r="BF17" s="24" t="inlineStr">
        <is>
          <t>1</t>
        </is>
      </c>
      <c r="BG17" s="24" t="inlineStr">
        <is>
          <t>mlb-elo-trend-lr-v6</t>
        </is>
      </c>
      <c r="BH17" s="24" t="inlineStr">
        <is>
          <t>2026-07-25T16:12:03.063110Z</t>
        </is>
      </c>
      <c r="BI17" s="24" t="inlineStr">
        <is>
          <t>["same_event","same_team_same_day","same_league_same_day"]</t>
        </is>
      </c>
      <c r="BJ17" s="25" t="n"/>
      <c r="BK17" s="26" t="n">
        <v>-153</v>
      </c>
      <c r="BL17" s="27" t="n">
        <v>1.653595</v>
      </c>
      <c r="BM17" s="28" t="n">
        <v>0.604743</v>
      </c>
      <c r="BN17" s="28" t="n">
        <v>0.60199</v>
      </c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0.6075687895</t>
        </is>
      </c>
      <c r="CD17" s="24" t="inlineStr">
        <is>
          <t>0.526674</t>
        </is>
      </c>
      <c r="CE17" s="24" t="inlineStr">
        <is>
          <t>0.98</t>
        </is>
      </c>
      <c r="CF17" s="24" t="n"/>
      <c r="CG17" s="24" t="n"/>
      <c r="CH17" s="24" t="inlineStr">
        <is>
          <t>-0.87</t>
        </is>
      </c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d059b44efb704551</t>
        </is>
      </c>
      <c r="B18" s="24" t="inlineStr">
        <is>
          <t>2026-07-25T19:56:13.028676Z</t>
        </is>
      </c>
      <c r="C18" s="24" t="inlineStr">
        <is>
          <t>2026-07-25T16:05:00-0400</t>
        </is>
      </c>
      <c r="D18" s="24" t="inlineStr">
        <is>
          <t>401816250</t>
        </is>
      </c>
      <c r="E18" s="24" t="inlineStr">
        <is>
          <t>MLB</t>
        </is>
      </c>
      <c r="F18" s="24" t="inlineStr">
        <is>
          <t>Arizona Diamondbacks</t>
        </is>
      </c>
      <c r="G18" s="24" t="inlineStr">
        <is>
          <t>Washington Nationals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-127</v>
      </c>
      <c r="M18" s="27" t="n">
        <v>1.787402</v>
      </c>
      <c r="N18" s="28" t="n">
        <v>0.5594710000000001</v>
      </c>
      <c r="O18" s="28" t="n">
        <v>0.706759</v>
      </c>
      <c r="P18" s="28" t="n"/>
      <c r="Q18" s="28" t="n">
        <v>0.147288</v>
      </c>
      <c r="R18" s="26" t="n">
        <v>100</v>
      </c>
      <c r="S18" s="29" t="n">
        <v>2</v>
      </c>
      <c r="T18" s="24" t="inlineStr">
        <is>
          <t>mlb-elo-trend-lr-v6</t>
        </is>
      </c>
      <c r="U18" s="24" t="inlineStr">
        <is>
          <t>settled</t>
        </is>
      </c>
      <c r="V18" s="24" t="inlineStr">
        <is>
          <t>win</t>
        </is>
      </c>
      <c r="W18" s="26" t="n">
        <v>3</v>
      </c>
      <c r="X18" s="26" t="n">
        <v>5</v>
      </c>
      <c r="Y18" s="25" t="n"/>
      <c r="Z18" s="26" t="n"/>
      <c r="AA18" s="28" t="n"/>
      <c r="AB18" s="28" t="n"/>
      <c r="AC18" s="30" t="n">
        <v>1.5748</v>
      </c>
      <c r="AD18" s="24" t="inlineStr">
        <is>
          <t>2026-07-25T22:49:18.317906Z</t>
        </is>
      </c>
      <c r="AE18" s="31" t="inlineStr">
        <is>
          <t>Learned LR call at threshold 0.5690; executable ask 0.5600 (aec-mlb-az-wsh-2026-07-25).</t>
        </is>
      </c>
      <c r="AF18" s="31" t="inlineStr">
        <is>
          <t>Learned model; promotion gate not yet open; zero-unit research until review.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NO_CALL_LARGE_DISAGREEMENT_REVIEW</t>
        </is>
      </c>
      <c r="AP18" s="24" t="inlineStr">
        <is>
          <t>mlb-ari</t>
        </is>
      </c>
      <c r="AQ18" s="24" t="inlineStr">
        <is>
          <t>Arizona Diamondbacks</t>
        </is>
      </c>
      <c r="AR18" s="24" t="inlineStr">
        <is>
          <t>Arizona Diamondbacks</t>
        </is>
      </c>
      <c r="AS18" s="24" t="inlineStr">
        <is>
          <t>mlb-wsh</t>
        </is>
      </c>
      <c r="AT18" s="24" t="inlineStr">
        <is>
          <t>Washington Nationals</t>
        </is>
      </c>
      <c r="AU18" s="24" t="inlineStr">
        <is>
          <t>Washington Nationals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10a412e78306d1f4d1a66590dd7cd2087ed53520bfa3bb925889a6371153732f</t>
        </is>
      </c>
      <c r="BB18" s="24" t="inlineStr">
        <is>
          <t>learned_lr</t>
        </is>
      </c>
      <c r="BC18" s="24" t="inlineStr">
        <is>
          <t>mlb-elo-trend-lr-v6</t>
        </is>
      </c>
      <c r="BD18" s="24" t="inlineStr">
        <is>
          <t>10a412e78306d1f4d1a66590dd7cd2087ed53520bfa3bb925889a6371153732f</t>
        </is>
      </c>
      <c r="BE18" s="24" t="inlineStr">
        <is>
          <t>2fef0aa37610add0</t>
        </is>
      </c>
      <c r="BF18" s="24" t="inlineStr">
        <is>
          <t>1</t>
        </is>
      </c>
      <c r="BG18" s="24" t="inlineStr">
        <is>
          <t>mlb-elo-trend-lr-v6</t>
        </is>
      </c>
      <c r="BH18" s="24" t="inlineStr">
        <is>
          <t>2026-07-25T19:54:15.806472Z</t>
        </is>
      </c>
      <c r="BI18" s="24" t="inlineStr">
        <is>
          <t>["same_event","same_team_same_day","same_league_same_day"]</t>
        </is>
      </c>
      <c r="BJ18" s="25" t="n"/>
      <c r="BK18" s="26" t="n">
        <v>-127</v>
      </c>
      <c r="BL18" s="27" t="n">
        <v>1.787402</v>
      </c>
      <c r="BM18" s="28" t="n">
        <v>0.5594710000000001</v>
      </c>
      <c r="BN18" s="28" t="n">
        <v>0.557214</v>
      </c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0.4832709168</t>
        </is>
      </c>
      <c r="CD18" s="24" t="inlineStr">
        <is>
          <t>-1.557247</t>
        </is>
      </c>
      <c r="CE18" s="24" t="inlineStr">
        <is>
          <t>1.0</t>
        </is>
      </c>
      <c r="CF18" s="24" t="n"/>
      <c r="CG18" s="24" t="n"/>
      <c r="CH18" s="24" t="inlineStr">
        <is>
          <t>-2.38</t>
        </is>
      </c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16bb720c3a8d423b</t>
        </is>
      </c>
      <c r="B19" s="24" t="inlineStr">
        <is>
          <t>2026-07-25T19:56:13.028676Z</t>
        </is>
      </c>
      <c r="C19" s="24" t="inlineStr">
        <is>
          <t>2026-07-25T16:05:00-0400</t>
        </is>
      </c>
      <c r="D19" s="24" t="inlineStr">
        <is>
          <t>401816264</t>
        </is>
      </c>
      <c r="E19" s="24" t="inlineStr">
        <is>
          <t>MLB</t>
        </is>
      </c>
      <c r="F19" s="24" t="inlineStr">
        <is>
          <t>Los Angeles Angels</t>
        </is>
      </c>
      <c r="G19" s="24" t="inlineStr">
        <is>
          <t>San Francisco Giants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-120</v>
      </c>
      <c r="M19" s="27" t="n">
        <v>1.833333</v>
      </c>
      <c r="N19" s="28" t="n">
        <v>0.545455</v>
      </c>
      <c r="O19" s="28" t="n">
        <v>0.707445</v>
      </c>
      <c r="P19" s="28" t="n"/>
      <c r="Q19" s="28" t="n">
        <v>0.16199</v>
      </c>
      <c r="R19" s="26" t="n">
        <v>100</v>
      </c>
      <c r="S19" s="29" t="n">
        <v>2</v>
      </c>
      <c r="T19" s="24" t="inlineStr">
        <is>
          <t>mlb-elo-trend-lr-v6</t>
        </is>
      </c>
      <c r="U19" s="24" t="inlineStr">
        <is>
          <t>settled</t>
        </is>
      </c>
      <c r="V19" s="24" t="inlineStr">
        <is>
          <t>win</t>
        </is>
      </c>
      <c r="W19" s="26" t="n">
        <v>2</v>
      </c>
      <c r="X19" s="26" t="n">
        <v>9</v>
      </c>
      <c r="Y19" s="25" t="n"/>
      <c r="Z19" s="26" t="n"/>
      <c r="AA19" s="28" t="n"/>
      <c r="AB19" s="28" t="n"/>
      <c r="AC19" s="30" t="n">
        <v>1.6667</v>
      </c>
      <c r="AD19" s="24" t="inlineStr">
        <is>
          <t>2026-07-25T22:49:18.692896Z</t>
        </is>
      </c>
      <c r="AE19" s="31" t="inlineStr">
        <is>
          <t>Learned LR call at threshold 0.5690; executable ask 0.5450 (aec-mlb-laa-sf-2026-07-25).</t>
        </is>
      </c>
      <c r="AF19" s="31" t="inlineStr">
        <is>
          <t>Learned model; promotion gate not yet open; zero-unit research until review.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NO_CALL_LARGE_DISAGREEMENT_REVIEW</t>
        </is>
      </c>
      <c r="AP19" s="24" t="inlineStr">
        <is>
          <t>mlb-laa</t>
        </is>
      </c>
      <c r="AQ19" s="24" t="inlineStr">
        <is>
          <t>Los Angeles Angels</t>
        </is>
      </c>
      <c r="AR19" s="24" t="inlineStr">
        <is>
          <t>Los Angeles Angels</t>
        </is>
      </c>
      <c r="AS19" s="24" t="inlineStr">
        <is>
          <t>mlb-sf</t>
        </is>
      </c>
      <c r="AT19" s="24" t="inlineStr">
        <is>
          <t>San Francisco Giants</t>
        </is>
      </c>
      <c r="AU19" s="24" t="inlineStr">
        <is>
          <t>San Francisco Giants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10a412e78306d1f4d1a66590dd7cd2087ed53520bfa3bb925889a6371153732f</t>
        </is>
      </c>
      <c r="BB19" s="24" t="inlineStr">
        <is>
          <t>learned_lr</t>
        </is>
      </c>
      <c r="BC19" s="24" t="inlineStr">
        <is>
          <t>mlb-elo-trend-lr-v6</t>
        </is>
      </c>
      <c r="BD19" s="24" t="inlineStr">
        <is>
          <t>10a412e78306d1f4d1a66590dd7cd2087ed53520bfa3bb925889a6371153732f</t>
        </is>
      </c>
      <c r="BE19" s="24" t="inlineStr">
        <is>
          <t>8863cc8ce5b40a1d</t>
        </is>
      </c>
      <c r="BF19" s="24" t="inlineStr">
        <is>
          <t>1</t>
        </is>
      </c>
      <c r="BG19" s="24" t="inlineStr">
        <is>
          <t>mlb-elo-trend-lr-v6</t>
        </is>
      </c>
      <c r="BH19" s="24" t="inlineStr">
        <is>
          <t>2026-07-25T19:54:17.248754Z</t>
        </is>
      </c>
      <c r="BI19" s="24" t="inlineStr">
        <is>
          <t>["same_event","same_team_same_day","same_league_same_day"]</t>
        </is>
      </c>
      <c r="BJ19" s="25" t="n"/>
      <c r="BK19" s="26" t="n">
        <v>-120</v>
      </c>
      <c r="BL19" s="27" t="n">
        <v>1.833333</v>
      </c>
      <c r="BM19" s="28" t="n">
        <v>0.545455</v>
      </c>
      <c r="BN19" s="28" t="n">
        <v>0.542289</v>
      </c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0.5910200645</t>
        </is>
      </c>
      <c r="CD19" s="24" t="inlineStr">
        <is>
          <t>1.053308</t>
        </is>
      </c>
      <c r="CE19" s="24" t="inlineStr">
        <is>
          <t>0.96</t>
        </is>
      </c>
      <c r="CF19" s="24" t="n"/>
      <c r="CG19" s="24" t="n"/>
      <c r="CH19" s="24" t="inlineStr">
        <is>
          <t>-2.77</t>
        </is>
      </c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ef03a7424b8f44fb</t>
        </is>
      </c>
      <c r="B20" s="24" t="inlineStr">
        <is>
          <t>2026-07-25T19:56:13.028676Z</t>
        </is>
      </c>
      <c r="C20" s="24" t="inlineStr">
        <is>
          <t>2026-07-25T16:10:00-0400</t>
        </is>
      </c>
      <c r="D20" s="24" t="inlineStr">
        <is>
          <t>401816257</t>
        </is>
      </c>
      <c r="E20" s="24" t="inlineStr">
        <is>
          <t>MLB</t>
        </is>
      </c>
      <c r="F20" s="24" t="inlineStr">
        <is>
          <t>San Diego Padres</t>
        </is>
      </c>
      <c r="G20" s="24" t="inlineStr">
        <is>
          <t>Miami Marlins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-133</v>
      </c>
      <c r="M20" s="27" t="n">
        <v>1.75188</v>
      </c>
      <c r="N20" s="28" t="n">
        <v>0.570815</v>
      </c>
      <c r="O20" s="28" t="n">
        <v>0.6451710000000001</v>
      </c>
      <c r="P20" s="28" t="n"/>
      <c r="Q20" s="28" t="n">
        <v>0.07435600000000001</v>
      </c>
      <c r="R20" s="26" t="n">
        <v>57</v>
      </c>
      <c r="S20" s="29" t="n">
        <v>2</v>
      </c>
      <c r="T20" s="24" t="inlineStr">
        <is>
          <t>mlb-elo-trend-lr-v6</t>
        </is>
      </c>
      <c r="U20" s="24" t="inlineStr">
        <is>
          <t>settled</t>
        </is>
      </c>
      <c r="V20" s="24" t="inlineStr">
        <is>
          <t>loss</t>
        </is>
      </c>
      <c r="W20" s="26" t="n">
        <v>7</v>
      </c>
      <c r="X20" s="26" t="n">
        <v>2</v>
      </c>
      <c r="Y20" s="25" t="n"/>
      <c r="Z20" s="26" t="n"/>
      <c r="AA20" s="28" t="n"/>
      <c r="AB20" s="28" t="n"/>
      <c r="AC20" s="30" t="n">
        <v>-2</v>
      </c>
      <c r="AD20" s="24" t="inlineStr">
        <is>
          <t>2026-07-26T00:01:55.929982Z</t>
        </is>
      </c>
      <c r="AE20" s="31" t="inlineStr">
        <is>
          <t>Learned LR call at threshold 0.5690; executable ask 0.5700 (aec-mlb-sd-mia-2026-07-25).</t>
        </is>
      </c>
      <c r="AF20" s="31" t="inlineStr">
        <is>
          <t>Learned model; promotion gate not yet open; zero-unit research until review.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mlb-sd</t>
        </is>
      </c>
      <c r="AQ20" s="24" t="inlineStr">
        <is>
          <t>San Diego Padres</t>
        </is>
      </c>
      <c r="AR20" s="24" t="inlineStr">
        <is>
          <t>San Diego Padres</t>
        </is>
      </c>
      <c r="AS20" s="24" t="inlineStr">
        <is>
          <t>mlb-mia</t>
        </is>
      </c>
      <c r="AT20" s="24" t="inlineStr">
        <is>
          <t>Miami Marlins</t>
        </is>
      </c>
      <c r="AU20" s="24" t="inlineStr">
        <is>
          <t>Miami Marlins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10a412e78306d1f4d1a66590dd7cd2087ed53520bfa3bb925889a6371153732f</t>
        </is>
      </c>
      <c r="BB20" s="24" t="inlineStr">
        <is>
          <t>learned_lr</t>
        </is>
      </c>
      <c r="BC20" s="24" t="inlineStr">
        <is>
          <t>mlb-elo-trend-lr-v6</t>
        </is>
      </c>
      <c r="BD20" s="24" t="inlineStr">
        <is>
          <t>10a412e78306d1f4d1a66590dd7cd2087ed53520bfa3bb925889a6371153732f</t>
        </is>
      </c>
      <c r="BE20" s="24" t="inlineStr">
        <is>
          <t>bd6850e29eada6af</t>
        </is>
      </c>
      <c r="BF20" s="24" t="inlineStr">
        <is>
          <t>1</t>
        </is>
      </c>
      <c r="BG20" s="24" t="inlineStr">
        <is>
          <t>mlb-elo-trend-lr-v6</t>
        </is>
      </c>
      <c r="BH20" s="24" t="inlineStr">
        <is>
          <t>2026-07-25T19:54:18.355539Z</t>
        </is>
      </c>
      <c r="BI20" s="24" t="inlineStr">
        <is>
          <t>["same_event","same_team_same_day","same_league_same_day"]</t>
        </is>
      </c>
      <c r="BJ20" s="25" t="n"/>
      <c r="BK20" s="26" t="n">
        <v>-133</v>
      </c>
      <c r="BL20" s="27" t="n">
        <v>1.75188</v>
      </c>
      <c r="BM20" s="28" t="n">
        <v>0.570815</v>
      </c>
      <c r="BN20" s="28" t="n">
        <v>0.567164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0.5121449899</t>
        </is>
      </c>
      <c r="CD20" s="24" t="inlineStr">
        <is>
          <t>-2.399361</t>
        </is>
      </c>
      <c r="CE20" s="24" t="inlineStr">
        <is>
          <t>0.99</t>
        </is>
      </c>
      <c r="CF20" s="24" t="n"/>
      <c r="CG20" s="24" t="n"/>
      <c r="CH20" s="24" t="inlineStr">
        <is>
          <t>-1.19</t>
        </is>
      </c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8231c5ae11ed415d</t>
        </is>
      </c>
      <c r="B21" s="24" t="inlineStr">
        <is>
          <t>2026-07-25T19:56:13.028676Z</t>
        </is>
      </c>
      <c r="C21" s="24" t="inlineStr">
        <is>
          <t>2026-07-25T16:10:00-0400</t>
        </is>
      </c>
      <c r="D21" s="24" t="inlineStr">
        <is>
          <t>401816258</t>
        </is>
      </c>
      <c r="E21" s="24" t="inlineStr">
        <is>
          <t>MLB</t>
        </is>
      </c>
      <c r="F21" s="24" t="inlineStr">
        <is>
          <t>Toronto Blue Jays</t>
        </is>
      </c>
      <c r="G21" s="24" t="inlineStr">
        <is>
          <t>Boston Red Sox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-104</v>
      </c>
      <c r="M21" s="27" t="n">
        <v>1.961538</v>
      </c>
      <c r="N21" s="28" t="n">
        <v>0.509804</v>
      </c>
      <c r="O21" s="28" t="n">
        <v>0.527004</v>
      </c>
      <c r="P21" s="28" t="n"/>
      <c r="Q21" s="28" t="n">
        <v>0.0172</v>
      </c>
      <c r="R21" s="26" t="n">
        <v>59</v>
      </c>
      <c r="S21" s="29" t="n">
        <v>0.75</v>
      </c>
      <c r="T21" s="24" t="inlineStr">
        <is>
          <t>mlb-elo-trend-lr-v6</t>
        </is>
      </c>
      <c r="U21" s="24" t="inlineStr">
        <is>
          <t>settled</t>
        </is>
      </c>
      <c r="V21" s="24" t="inlineStr">
        <is>
          <t>loss</t>
        </is>
      </c>
      <c r="W21" s="26" t="n">
        <v>6</v>
      </c>
      <c r="X21" s="26" t="n">
        <v>0</v>
      </c>
      <c r="Y21" s="25" t="n"/>
      <c r="Z21" s="26" t="n"/>
      <c r="AA21" s="28" t="n"/>
      <c r="AB21" s="28" t="n"/>
      <c r="AC21" s="30" t="n">
        <v>-0.75</v>
      </c>
      <c r="AD21" s="24" t="inlineStr">
        <is>
          <t>2026-07-25T22:49:19.072311Z</t>
        </is>
      </c>
      <c r="AE21" s="31" t="inlineStr">
        <is>
          <t>Learned LR call at threshold 0.5690; executable ask 0.5100 (aec-mlb-tor-bos-2026-07-25).</t>
        </is>
      </c>
      <c r="AF21" s="31" t="inlineStr">
        <is>
          <t>Learned model; promotion gate not yet open; zero-unit research until review.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NO_CALL_LOW_EDGE</t>
        </is>
      </c>
      <c r="AP21" s="24" t="inlineStr">
        <is>
          <t>mlb-tor</t>
        </is>
      </c>
      <c r="AQ21" s="24" t="inlineStr">
        <is>
          <t>Toronto Blue Jays</t>
        </is>
      </c>
      <c r="AR21" s="24" t="inlineStr">
        <is>
          <t>Toronto Blue Jays</t>
        </is>
      </c>
      <c r="AS21" s="24" t="inlineStr">
        <is>
          <t>mlb-bos</t>
        </is>
      </c>
      <c r="AT21" s="24" t="inlineStr">
        <is>
          <t>Boston Red Sox</t>
        </is>
      </c>
      <c r="AU21" s="24" t="inlineStr">
        <is>
          <t>Boston Red Sox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10a412e78306d1f4d1a66590dd7cd2087ed53520bfa3bb925889a6371153732f</t>
        </is>
      </c>
      <c r="BB21" s="24" t="inlineStr">
        <is>
          <t>learned_lr</t>
        </is>
      </c>
      <c r="BC21" s="24" t="inlineStr">
        <is>
          <t>mlb-elo-trend-lr-v6</t>
        </is>
      </c>
      <c r="BD21" s="24" t="inlineStr">
        <is>
          <t>10a412e78306d1f4d1a66590dd7cd2087ed53520bfa3bb925889a6371153732f</t>
        </is>
      </c>
      <c r="BE21" s="24" t="inlineStr">
        <is>
          <t>c8001da872f8ea6d</t>
        </is>
      </c>
      <c r="BF21" s="24" t="inlineStr">
        <is>
          <t>1</t>
        </is>
      </c>
      <c r="BG21" s="24" t="inlineStr">
        <is>
          <t>mlb-elo-trend-lr-v6</t>
        </is>
      </c>
      <c r="BH21" s="24" t="inlineStr">
        <is>
          <t>2026-07-25T19:54:19.350997Z</t>
        </is>
      </c>
      <c r="BI21" s="24" t="inlineStr">
        <is>
          <t>["same_event","same_team_same_day","same_league_same_day"]</t>
        </is>
      </c>
      <c r="BJ21" s="25" t="n"/>
      <c r="BK21" s="26" t="n">
        <v>-104</v>
      </c>
      <c r="BL21" s="27" t="n">
        <v>1.961538</v>
      </c>
      <c r="BM21" s="28" t="n">
        <v>0.509804</v>
      </c>
      <c r="BN21" s="28" t="n">
        <v>0.507463</v>
      </c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0.6098870035</t>
        </is>
      </c>
      <c r="CD21" s="24" t="inlineStr">
        <is>
          <t>1.431426</t>
        </is>
      </c>
      <c r="CE21" s="24" t="inlineStr">
        <is>
          <t>1.04</t>
        </is>
      </c>
      <c r="CF21" s="24" t="n"/>
      <c r="CG21" s="24" t="n"/>
      <c r="CH21" s="24" t="inlineStr">
        <is>
          <t>-0.19</t>
        </is>
      </c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cf69e63e9e83445a</t>
        </is>
      </c>
      <c r="B22" s="24" t="inlineStr">
        <is>
          <t>2026-07-25T19:56:13.028676Z</t>
        </is>
      </c>
      <c r="C22" s="24" t="inlineStr">
        <is>
          <t>2026-07-25T18:05:00-0400</t>
        </is>
      </c>
      <c r="D22" s="24" t="inlineStr">
        <is>
          <t>401816256</t>
        </is>
      </c>
      <c r="E22" s="24" t="inlineStr">
        <is>
          <t>MLB</t>
        </is>
      </c>
      <c r="F22" s="24" t="inlineStr">
        <is>
          <t>New York Yankees</t>
        </is>
      </c>
      <c r="G22" s="24" t="inlineStr">
        <is>
          <t>Philadelphia Phillies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113</v>
      </c>
      <c r="M22" s="27" t="n">
        <v>2.13</v>
      </c>
      <c r="N22" s="28" t="n">
        <v>0.469484</v>
      </c>
      <c r="O22" s="28" t="n">
        <v>0.546941</v>
      </c>
      <c r="P22" s="28" t="n"/>
      <c r="Q22" s="28" t="n">
        <v>0.077457</v>
      </c>
      <c r="R22" s="26" t="n">
        <v>89</v>
      </c>
      <c r="S22" s="29" t="n">
        <v>1</v>
      </c>
      <c r="T22" s="24" t="inlineStr">
        <is>
          <t>mlb-elo-trend-lr-v6</t>
        </is>
      </c>
      <c r="U22" s="24" t="inlineStr">
        <is>
          <t>settled</t>
        </is>
      </c>
      <c r="V22" s="24" t="inlineStr">
        <is>
          <t>loss</t>
        </is>
      </c>
      <c r="W22" s="26" t="n">
        <v>3</v>
      </c>
      <c r="X22" s="26" t="n">
        <v>1</v>
      </c>
      <c r="Y22" s="25" t="n"/>
      <c r="Z22" s="26" t="n"/>
      <c r="AA22" s="28" t="n"/>
      <c r="AB22" s="28" t="n"/>
      <c r="AC22" s="30" t="n">
        <v>-1</v>
      </c>
      <c r="AD22" s="24" t="inlineStr">
        <is>
          <t>2026-07-26T03:33:59.751925Z</t>
        </is>
      </c>
      <c r="AE22" s="31" t="inlineStr">
        <is>
          <t>Learned LR call at threshold 0.5690; executable ask 0.4700 (aec-mlb-nyy-phi-2026-07-25).</t>
        </is>
      </c>
      <c r="AF22" s="31" t="inlineStr">
        <is>
          <t>Learned model; promotion gate not yet open; zero-unit research until review.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NO_CALL_EXPOSURE_LIMIT</t>
        </is>
      </c>
      <c r="AP22" s="24" t="inlineStr">
        <is>
          <t>mlb-nyy</t>
        </is>
      </c>
      <c r="AQ22" s="24" t="inlineStr">
        <is>
          <t>New York Yankees</t>
        </is>
      </c>
      <c r="AR22" s="24" t="inlineStr">
        <is>
          <t>New York Yankees</t>
        </is>
      </c>
      <c r="AS22" s="24" t="inlineStr">
        <is>
          <t>mlb-phi</t>
        </is>
      </c>
      <c r="AT22" s="24" t="inlineStr">
        <is>
          <t>Philadelphia Phillies</t>
        </is>
      </c>
      <c r="AU22" s="24" t="inlineStr">
        <is>
          <t>Philadelphia Phillies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10a412e78306d1f4d1a66590dd7cd2087ed53520bfa3bb925889a6371153732f</t>
        </is>
      </c>
      <c r="BB22" s="24" t="inlineStr">
        <is>
          <t>learned_lr</t>
        </is>
      </c>
      <c r="BC22" s="24" t="inlineStr">
        <is>
          <t>mlb-elo-trend-lr-v6</t>
        </is>
      </c>
      <c r="BD22" s="24" t="inlineStr">
        <is>
          <t>10a412e78306d1f4d1a66590dd7cd2087ed53520bfa3bb925889a6371153732f</t>
        </is>
      </c>
      <c r="BE22" s="24" t="inlineStr">
        <is>
          <t>aacee633ac56e853</t>
        </is>
      </c>
      <c r="BF22" s="24" t="inlineStr">
        <is>
          <t>1</t>
        </is>
      </c>
      <c r="BG22" s="24" t="inlineStr">
        <is>
          <t>mlb-elo-trend-lr-v6</t>
        </is>
      </c>
      <c r="BH22" s="24" t="inlineStr">
        <is>
          <t>2026-07-25T19:54:20.637652Z</t>
        </is>
      </c>
      <c r="BI22" s="24" t="inlineStr">
        <is>
          <t>["same_event","same_team_same_day","same_league_same_day"]</t>
        </is>
      </c>
      <c r="BJ22" s="25" t="n"/>
      <c r="BK22" s="26" t="n">
        <v>113</v>
      </c>
      <c r="BL22" s="27" t="n">
        <v>2.13</v>
      </c>
      <c r="BM22" s="28" t="n">
        <v>0.469484</v>
      </c>
      <c r="BN22" s="28" t="n">
        <v>0.467662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0.5250194834</t>
        </is>
      </c>
      <c r="CD22" s="24" t="inlineStr">
        <is>
          <t>0.764165</t>
        </is>
      </c>
      <c r="CE22" s="24" t="inlineStr">
        <is>
          <t>1.01</t>
        </is>
      </c>
      <c r="CF22" s="24" t="n"/>
      <c r="CG22" s="24" t="n"/>
      <c r="CH22" s="24" t="inlineStr">
        <is>
          <t>-0.4</t>
        </is>
      </c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ad9253f83d14463b</t>
        </is>
      </c>
      <c r="B23" s="24" t="inlineStr">
        <is>
          <t>2026-07-25T19:56:13.028676Z</t>
        </is>
      </c>
      <c r="C23" s="24" t="inlineStr">
        <is>
          <t>2026-07-25T18:10:00-0400</t>
        </is>
      </c>
      <c r="D23" s="24" t="inlineStr">
        <is>
          <t>401816253</t>
        </is>
      </c>
      <c r="E23" s="24" t="inlineStr">
        <is>
          <t>MLB</t>
        </is>
      </c>
      <c r="F23" s="24" t="inlineStr">
        <is>
          <t>Cleveland Guardians</t>
        </is>
      </c>
      <c r="G23" s="24" t="inlineStr">
        <is>
          <t>Tampa Bay Rays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-111</v>
      </c>
      <c r="M23" s="27" t="n">
        <v>1.900901</v>
      </c>
      <c r="N23" s="28" t="n">
        <v>0.526066</v>
      </c>
      <c r="O23" s="28" t="n">
        <v>0.6146470000000001</v>
      </c>
      <c r="P23" s="28" t="n"/>
      <c r="Q23" s="28" t="n">
        <v>0.08858099999999999</v>
      </c>
      <c r="R23" s="26" t="n">
        <v>64</v>
      </c>
      <c r="S23" s="29" t="n">
        <v>1</v>
      </c>
      <c r="T23" s="24" t="inlineStr">
        <is>
          <t>mlb-elo-trend-lr-v6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3</v>
      </c>
      <c r="Y23" s="25" t="n"/>
      <c r="Z23" s="26" t="n"/>
      <c r="AA23" s="28" t="n"/>
      <c r="AB23" s="28" t="n"/>
      <c r="AC23" s="30" t="n">
        <v>0.9009</v>
      </c>
      <c r="AD23" s="24" t="inlineStr">
        <is>
          <t>2026-07-26T03:34:00.458025Z</t>
        </is>
      </c>
      <c r="AE23" s="31" t="inlineStr">
        <is>
          <t>Learned LR call at threshold 0.5690; executable ask 0.5250 (aec-mlb-cle-tb-2026-07-25).</t>
        </is>
      </c>
      <c r="AF23" s="31" t="inlineStr">
        <is>
          <t>Learned model; promotion gate not yet open; zero-unit research until review.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mlb-cle</t>
        </is>
      </c>
      <c r="AQ23" s="24" t="inlineStr">
        <is>
          <t>Cleveland Guardians</t>
        </is>
      </c>
      <c r="AR23" s="24" t="inlineStr">
        <is>
          <t>Cleveland Guardians</t>
        </is>
      </c>
      <c r="AS23" s="24" t="inlineStr">
        <is>
          <t>mlb-tb</t>
        </is>
      </c>
      <c r="AT23" s="24" t="inlineStr">
        <is>
          <t>Tampa Bay Rays</t>
        </is>
      </c>
      <c r="AU23" s="24" t="inlineStr">
        <is>
          <t>Tampa Bay Rays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10a412e78306d1f4d1a66590dd7cd2087ed53520bfa3bb925889a6371153732f</t>
        </is>
      </c>
      <c r="BB23" s="24" t="inlineStr">
        <is>
          <t>learned_lr</t>
        </is>
      </c>
      <c r="BC23" s="24" t="inlineStr">
        <is>
          <t>mlb-elo-trend-lr-v6</t>
        </is>
      </c>
      <c r="BD23" s="24" t="inlineStr">
        <is>
          <t>10a412e78306d1f4d1a66590dd7cd2087ed53520bfa3bb925889a6371153732f</t>
        </is>
      </c>
      <c r="BE23" s="24" t="inlineStr">
        <is>
          <t>9498bb787406ec04</t>
        </is>
      </c>
      <c r="BF23" s="24" t="inlineStr">
        <is>
          <t>1</t>
        </is>
      </c>
      <c r="BG23" s="24" t="inlineStr">
        <is>
          <t>mlb-elo-trend-lr-v6</t>
        </is>
      </c>
      <c r="BH23" s="24" t="inlineStr">
        <is>
          <t>2026-07-25T19:54:21.566967Z</t>
        </is>
      </c>
      <c r="BI23" s="24" t="inlineStr">
        <is>
          <t>["same_event","same_team_same_day","same_league_same_day"]</t>
        </is>
      </c>
      <c r="BJ23" s="25" t="n"/>
      <c r="BK23" s="26" t="n">
        <v>-111</v>
      </c>
      <c r="BL23" s="27" t="n">
        <v>1.900901</v>
      </c>
      <c r="BM23" s="28" t="n">
        <v>0.526066</v>
      </c>
      <c r="BN23" s="28" t="n">
        <v>0.522388</v>
      </c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0.5498194022</t>
        </is>
      </c>
      <c r="CD23" s="24" t="inlineStr">
        <is>
          <t>0.593127</t>
        </is>
      </c>
      <c r="CE23" s="24" t="inlineStr">
        <is>
          <t>0.96</t>
        </is>
      </c>
      <c r="CF23" s="24" t="n"/>
      <c r="CG23" s="24" t="n"/>
      <c r="CH23" s="24" t="inlineStr">
        <is>
          <t>-1.27</t>
        </is>
      </c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65eb59569aa14072</t>
        </is>
      </c>
      <c r="B24" s="24" t="inlineStr">
        <is>
          <t>2026-07-25T22:24:10.611095Z</t>
        </is>
      </c>
      <c r="C24" s="24" t="inlineStr">
        <is>
          <t>2026-07-25T18:40:00-0400</t>
        </is>
      </c>
      <c r="D24" s="24" t="inlineStr">
        <is>
          <t>401816252</t>
        </is>
      </c>
      <c r="E24" s="24" t="inlineStr">
        <is>
          <t>MLB</t>
        </is>
      </c>
      <c r="F24" s="24" t="inlineStr">
        <is>
          <t>Chicago Cubs</t>
        </is>
      </c>
      <c r="G24" s="24" t="inlineStr">
        <is>
          <t>Pittsburgh Pirates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-115</v>
      </c>
      <c r="M24" s="27" t="n">
        <v>1.869565</v>
      </c>
      <c r="N24" s="28" t="n">
        <v>0.534884</v>
      </c>
      <c r="O24" s="28" t="n">
        <v>0.566176</v>
      </c>
      <c r="P24" s="28" t="n"/>
      <c r="Q24" s="28" t="n">
        <v>0.031292</v>
      </c>
      <c r="R24" s="26" t="n">
        <v>66</v>
      </c>
      <c r="S24" s="29" t="n">
        <v>1.25</v>
      </c>
      <c r="T24" s="24" t="inlineStr">
        <is>
          <t>mlb-elo-trend-lr-v6</t>
        </is>
      </c>
      <c r="U24" s="24" t="inlineStr">
        <is>
          <t>settled</t>
        </is>
      </c>
      <c r="V24" s="24" t="inlineStr">
        <is>
          <t>loss</t>
        </is>
      </c>
      <c r="W24" s="26" t="n">
        <v>11</v>
      </c>
      <c r="X24" s="26" t="n">
        <v>0</v>
      </c>
      <c r="Y24" s="25" t="n"/>
      <c r="Z24" s="26" t="n"/>
      <c r="AA24" s="28" t="n"/>
      <c r="AB24" s="28" t="n"/>
      <c r="AC24" s="30" t="n">
        <v>-1.25</v>
      </c>
      <c r="AD24" s="24" t="inlineStr">
        <is>
          <t>2026-07-26T03:34:00.705249Z</t>
        </is>
      </c>
      <c r="AE24" s="31" t="inlineStr">
        <is>
          <t>Learned LR call at threshold 0.5690; executable ask 0.5350 (aec-mlb-chc-pit-2026-07-25).</t>
        </is>
      </c>
      <c r="AF24" s="31" t="inlineStr">
        <is>
          <t>Learned model; promotion gate not yet open; zero-unit research until review.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NO_CALL_LOW_EDGE</t>
        </is>
      </c>
      <c r="AP24" s="24" t="inlineStr">
        <is>
          <t>mlb-chc</t>
        </is>
      </c>
      <c r="AQ24" s="24" t="inlineStr">
        <is>
          <t>Chicago Cubs</t>
        </is>
      </c>
      <c r="AR24" s="24" t="inlineStr">
        <is>
          <t>Chicago Cubs</t>
        </is>
      </c>
      <c r="AS24" s="24" t="inlineStr">
        <is>
          <t>mlb-pit</t>
        </is>
      </c>
      <c r="AT24" s="24" t="inlineStr">
        <is>
          <t>Pittsburgh Pirates</t>
        </is>
      </c>
      <c r="AU24" s="24" t="inlineStr">
        <is>
          <t>Pittsburgh Pirates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10a412e78306d1f4d1a66590dd7cd2087ed53520bfa3bb925889a6371153732f</t>
        </is>
      </c>
      <c r="BB24" s="24" t="inlineStr">
        <is>
          <t>learned_lr</t>
        </is>
      </c>
      <c r="BC24" s="24" t="inlineStr">
        <is>
          <t>mlb-elo-trend-lr-v6</t>
        </is>
      </c>
      <c r="BD24" s="24" t="inlineStr">
        <is>
          <t>10a412e78306d1f4d1a66590dd7cd2087ed53520bfa3bb925889a6371153732f</t>
        </is>
      </c>
      <c r="BE24" s="24" t="inlineStr">
        <is>
          <t>61cc053297e5f6df</t>
        </is>
      </c>
      <c r="BF24" s="24" t="inlineStr">
        <is>
          <t>1</t>
        </is>
      </c>
      <c r="BG24" s="24" t="inlineStr">
        <is>
          <t>mlb-elo-trend-lr-v6</t>
        </is>
      </c>
      <c r="BH24" s="24" t="inlineStr">
        <is>
          <t>2026-07-25T22:22:20.691487Z</t>
        </is>
      </c>
      <c r="BI24" s="24" t="inlineStr">
        <is>
          <t>["same_event","same_team_same_day","same_league_same_day"]</t>
        </is>
      </c>
      <c r="BJ24" s="25" t="n"/>
      <c r="BK24" s="26" t="n">
        <v>-115</v>
      </c>
      <c r="BL24" s="27" t="n">
        <v>1.869565</v>
      </c>
      <c r="BM24" s="28" t="n">
        <v>0.534884</v>
      </c>
      <c r="BN24" s="28" t="n">
        <v>0.532338</v>
      </c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0.4912443015</t>
        </is>
      </c>
      <c r="CD24" s="24" t="inlineStr">
        <is>
          <t>-0.326562</t>
        </is>
      </c>
      <c r="CE24" s="24" t="inlineStr">
        <is>
          <t>1.0</t>
        </is>
      </c>
      <c r="CF24" s="24" t="n"/>
      <c r="CG24" s="24" t="n"/>
      <c r="CH24" s="24" t="inlineStr">
        <is>
          <t>-0.48</t>
        </is>
      </c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6d11e0e020804f6b</t>
        </is>
      </c>
      <c r="B25" s="24" t="inlineStr">
        <is>
          <t>2026-07-25T23:04:33.291918Z</t>
        </is>
      </c>
      <c r="C25" s="24" t="inlineStr">
        <is>
          <t>2026-07-25T19:05:00-0400</t>
        </is>
      </c>
      <c r="D25" s="24" t="inlineStr">
        <is>
          <t>401816251</t>
        </is>
      </c>
      <c r="E25" s="24" t="inlineStr">
        <is>
          <t>MLB</t>
        </is>
      </c>
      <c r="F25" s="24" t="inlineStr">
        <is>
          <t>Atlanta Braves</t>
        </is>
      </c>
      <c r="G25" s="24" t="inlineStr">
        <is>
          <t>Baltimore Orioles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-104</v>
      </c>
      <c r="M25" s="27" t="n">
        <v>1.961538</v>
      </c>
      <c r="N25" s="28" t="n">
        <v>0.509804</v>
      </c>
      <c r="O25" s="28" t="n">
        <v>0.598249</v>
      </c>
      <c r="P25" s="28" t="n"/>
      <c r="Q25" s="28" t="n">
        <v>0.088445</v>
      </c>
      <c r="R25" s="26" t="n">
        <v>94</v>
      </c>
      <c r="S25" s="29" t="n">
        <v>1.5</v>
      </c>
      <c r="T25" s="24" t="inlineStr">
        <is>
          <t>mlb-elo-trend-lr-v6</t>
        </is>
      </c>
      <c r="U25" s="24" t="inlineStr">
        <is>
          <t>settled</t>
        </is>
      </c>
      <c r="V25" s="24" t="inlineStr">
        <is>
          <t>win</t>
        </is>
      </c>
      <c r="W25" s="26" t="n">
        <v>2</v>
      </c>
      <c r="X25" s="26" t="n">
        <v>3</v>
      </c>
      <c r="Y25" s="25" t="n"/>
      <c r="Z25" s="26" t="n"/>
      <c r="AA25" s="28" t="n"/>
      <c r="AB25" s="28" t="n"/>
      <c r="AC25" s="30" t="n">
        <v>1.4423</v>
      </c>
      <c r="AD25" s="24" t="inlineStr">
        <is>
          <t>2026-07-26T03:34:00.923757Z</t>
        </is>
      </c>
      <c r="AE25" s="31" t="inlineStr">
        <is>
          <t>Learned LR call at threshold 0.5690; executable ask 0.5100 (aec-mlb-atl-bal-2026-07-25).</t>
        </is>
      </c>
      <c r="AF25" s="31" t="inlineStr">
        <is>
          <t>Learned model; promotion gate not yet open; zero-unit research until review.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NO_CALL_EXPOSURE_LIMIT</t>
        </is>
      </c>
      <c r="AP25" s="24" t="inlineStr">
        <is>
          <t>mlb-atl</t>
        </is>
      </c>
      <c r="AQ25" s="24" t="inlineStr">
        <is>
          <t>Atlanta Braves</t>
        </is>
      </c>
      <c r="AR25" s="24" t="inlineStr">
        <is>
          <t>Atlanta Braves</t>
        </is>
      </c>
      <c r="AS25" s="24" t="inlineStr">
        <is>
          <t>mlb-bal</t>
        </is>
      </c>
      <c r="AT25" s="24" t="inlineStr">
        <is>
          <t>Baltimore Orioles</t>
        </is>
      </c>
      <c r="AU25" s="24" t="inlineStr">
        <is>
          <t>Baltimore Orioles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10a412e78306d1f4d1a66590dd7cd2087ed53520bfa3bb925889a6371153732f</t>
        </is>
      </c>
      <c r="BB25" s="24" t="inlineStr">
        <is>
          <t>learned_lr</t>
        </is>
      </c>
      <c r="BC25" s="24" t="inlineStr">
        <is>
          <t>mlb-elo-trend-lr-v6</t>
        </is>
      </c>
      <c r="BD25" s="24" t="inlineStr">
        <is>
          <t>10a412e78306d1f4d1a66590dd7cd2087ed53520bfa3bb925889a6371153732f</t>
        </is>
      </c>
      <c r="BE25" s="24" t="inlineStr">
        <is>
          <t>b0f8897af59f8218</t>
        </is>
      </c>
      <c r="BF25" s="24" t="inlineStr">
        <is>
          <t>1</t>
        </is>
      </c>
      <c r="BG25" s="24" t="inlineStr">
        <is>
          <t>mlb-elo-trend-lr-v6</t>
        </is>
      </c>
      <c r="BH25" s="24" t="inlineStr">
        <is>
          <t>2026-07-25T22:50:07.934208Z</t>
        </is>
      </c>
      <c r="BI25" s="24" t="inlineStr">
        <is>
          <t>["same_event","same_team_same_day","same_league_same_day"]</t>
        </is>
      </c>
      <c r="BJ25" s="25" t="n"/>
      <c r="BK25" s="26" t="n">
        <v>-104</v>
      </c>
      <c r="BL25" s="27" t="n">
        <v>1.961538</v>
      </c>
      <c r="BM25" s="28" t="n">
        <v>0.509804</v>
      </c>
      <c r="BN25" s="28" t="n">
        <v>0.507463</v>
      </c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0.4805983803</t>
        </is>
      </c>
      <c r="CD25" s="24" t="inlineStr">
        <is>
          <t>-1.06997</t>
        </is>
      </c>
      <c r="CE25" s="24" t="inlineStr">
        <is>
          <t>1.01</t>
        </is>
      </c>
      <c r="CF25" s="24" t="n"/>
      <c r="CG25" s="24" t="n"/>
      <c r="CH25" s="24" t="inlineStr">
        <is>
          <t>-0.81</t>
        </is>
      </c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08df937fcc024415</t>
        </is>
      </c>
      <c r="B26" s="24" t="inlineStr">
        <is>
          <t>2026-07-25T23:04:33.291918Z</t>
        </is>
      </c>
      <c r="C26" s="24" t="inlineStr">
        <is>
          <t>2026-07-25T19:10:00-0400</t>
        </is>
      </c>
      <c r="D26" s="24" t="inlineStr">
        <is>
          <t>401816259</t>
        </is>
      </c>
      <c r="E26" s="24" t="inlineStr">
        <is>
          <t>MLB</t>
        </is>
      </c>
      <c r="F26" s="24" t="inlineStr">
        <is>
          <t>Athletics</t>
        </is>
      </c>
      <c r="G26" s="24" t="inlineStr">
        <is>
          <t>Minnesota Twins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-141</v>
      </c>
      <c r="M26" s="27" t="n">
        <v>1.70922</v>
      </c>
      <c r="N26" s="28" t="n">
        <v>0.585062</v>
      </c>
      <c r="O26" s="28" t="n">
        <v>0.655327</v>
      </c>
      <c r="P26" s="28" t="n"/>
      <c r="Q26" s="28" t="n">
        <v>0.07026499999999999</v>
      </c>
      <c r="R26" s="26" t="n">
        <v>85</v>
      </c>
      <c r="S26" s="29" t="n">
        <v>2</v>
      </c>
      <c r="T26" s="24" t="inlineStr">
        <is>
          <t>mlb-elo-trend-lr-v6</t>
        </is>
      </c>
      <c r="U26" s="24" t="inlineStr">
        <is>
          <t>settled</t>
        </is>
      </c>
      <c r="V26" s="24" t="inlineStr">
        <is>
          <t>win</t>
        </is>
      </c>
      <c r="W26" s="26" t="n">
        <v>0</v>
      </c>
      <c r="X26" s="26" t="n">
        <v>2</v>
      </c>
      <c r="Y26" s="25" t="n"/>
      <c r="Z26" s="26" t="n"/>
      <c r="AA26" s="28" t="n"/>
      <c r="AB26" s="28" t="n"/>
      <c r="AC26" s="30" t="n">
        <v>1.4184</v>
      </c>
      <c r="AD26" s="24" t="inlineStr">
        <is>
          <t>2026-07-26T03:34:01.261896Z</t>
        </is>
      </c>
      <c r="AE26" s="31" t="inlineStr">
        <is>
          <t>Learned LR call at threshold 0.5690; executable ask 0.5850 (aec-mlb-ath-min-2026-07-25).</t>
        </is>
      </c>
      <c r="AF26" s="31" t="inlineStr">
        <is>
          <t>Learned model; promotion gate not yet open; zero-unit research until review.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NO_CALL_EXPOSURE_LIMIT</t>
        </is>
      </c>
      <c r="AP26" s="24" t="inlineStr">
        <is>
          <t>mlb-ath</t>
        </is>
      </c>
      <c r="AQ26" s="24" t="inlineStr">
        <is>
          <t>Athletics</t>
        </is>
      </c>
      <c r="AR26" s="24" t="inlineStr">
        <is>
          <t>Athletics</t>
        </is>
      </c>
      <c r="AS26" s="24" t="inlineStr">
        <is>
          <t>mlb-min</t>
        </is>
      </c>
      <c r="AT26" s="24" t="inlineStr">
        <is>
          <t>Minnesota Twins</t>
        </is>
      </c>
      <c r="AU26" s="24" t="inlineStr">
        <is>
          <t>Minnesota Twins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10a412e78306d1f4d1a66590dd7cd2087ed53520bfa3bb925889a6371153732f</t>
        </is>
      </c>
      <c r="BB26" s="24" t="inlineStr">
        <is>
          <t>learned_lr</t>
        </is>
      </c>
      <c r="BC26" s="24" t="inlineStr">
        <is>
          <t>mlb-elo-trend-lr-v6</t>
        </is>
      </c>
      <c r="BD26" s="24" t="inlineStr">
        <is>
          <t>10a412e78306d1f4d1a66590dd7cd2087ed53520bfa3bb925889a6371153732f</t>
        </is>
      </c>
      <c r="BE26" s="24" t="inlineStr">
        <is>
          <t>8074196c2383cd19</t>
        </is>
      </c>
      <c r="BF26" s="24" t="inlineStr">
        <is>
          <t>1</t>
        </is>
      </c>
      <c r="BG26" s="24" t="inlineStr">
        <is>
          <t>mlb-elo-trend-lr-v6</t>
        </is>
      </c>
      <c r="BH26" s="24" t="inlineStr">
        <is>
          <t>2026-07-25T22:50:11.999483Z</t>
        </is>
      </c>
      <c r="BI26" s="24" t="inlineStr">
        <is>
          <t>["same_event","same_team_same_day","same_league_same_day"]</t>
        </is>
      </c>
      <c r="BJ26" s="25" t="n"/>
      <c r="BK26" s="26" t="n">
        <v>-141</v>
      </c>
      <c r="BL26" s="27" t="n">
        <v>1.70922</v>
      </c>
      <c r="BM26" s="28" t="n">
        <v>0.585062</v>
      </c>
      <c r="BN26" s="28" t="n">
        <v>0.58209</v>
      </c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0.574450019</t>
        </is>
      </c>
      <c r="CD26" s="24" t="inlineStr">
        <is>
          <t>-0.051147</t>
        </is>
      </c>
      <c r="CE26" s="24" t="inlineStr">
        <is>
          <t>1.0</t>
        </is>
      </c>
      <c r="CF26" s="24" t="n"/>
      <c r="CG26" s="24" t="n"/>
      <c r="CH26" s="24" t="inlineStr">
        <is>
          <t>-1.76</t>
        </is>
      </c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92a4d8cfa3144cb3</t>
        </is>
      </c>
      <c r="B27" s="24" t="inlineStr">
        <is>
          <t>2026-07-25T23:04:33.291918Z</t>
        </is>
      </c>
      <c r="C27" s="24" t="inlineStr">
        <is>
          <t>2026-07-25T19:10:00-0400</t>
        </is>
      </c>
      <c r="D27" s="24" t="inlineStr">
        <is>
          <t>401816261</t>
        </is>
      </c>
      <c r="E27" s="24" t="inlineStr">
        <is>
          <t>MLB</t>
        </is>
      </c>
      <c r="F27" s="24" t="inlineStr">
        <is>
          <t>Colorado Rockies</t>
        </is>
      </c>
      <c r="G27" s="24" t="inlineStr">
        <is>
          <t>Milwaukee Brewers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-213</v>
      </c>
      <c r="M27" s="27" t="n">
        <v>1.469484</v>
      </c>
      <c r="N27" s="28" t="n">
        <v>0.680511</v>
      </c>
      <c r="O27" s="28" t="n">
        <v>0.585776</v>
      </c>
      <c r="P27" s="28" t="n"/>
      <c r="Q27" s="28" t="n">
        <v>-0.094735</v>
      </c>
      <c r="R27" s="26" t="n">
        <v>3</v>
      </c>
      <c r="S27" s="29" t="n">
        <v>1.25</v>
      </c>
      <c r="T27" s="24" t="inlineStr">
        <is>
          <t>mlb-elo-trend-lr-v6</t>
        </is>
      </c>
      <c r="U27" s="24" t="inlineStr">
        <is>
          <t>settled</t>
        </is>
      </c>
      <c r="V27" s="24" t="inlineStr">
        <is>
          <t>win</t>
        </is>
      </c>
      <c r="W27" s="26" t="n">
        <v>5</v>
      </c>
      <c r="X27" s="26" t="n">
        <v>8</v>
      </c>
      <c r="Y27" s="25" t="n"/>
      <c r="Z27" s="26" t="n"/>
      <c r="AA27" s="28" t="n"/>
      <c r="AB27" s="28" t="n"/>
      <c r="AC27" s="30" t="n">
        <v>0.5869</v>
      </c>
      <c r="AD27" s="24" t="inlineStr">
        <is>
          <t>2026-07-26T03:34:01.696770Z</t>
        </is>
      </c>
      <c r="AE27" s="31" t="inlineStr">
        <is>
          <t>Learned LR call at threshold 0.5690; executable ask 0.6800 (aec-mlb-col-mil-2026-07-25).</t>
        </is>
      </c>
      <c r="AF27" s="31" t="inlineStr">
        <is>
          <t>Learned model; promotion gate not yet open; zero-unit research until review.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mlb-col</t>
        </is>
      </c>
      <c r="AQ27" s="24" t="inlineStr">
        <is>
          <t>Colorado Rockies</t>
        </is>
      </c>
      <c r="AR27" s="24" t="inlineStr">
        <is>
          <t>Colorado Rockies</t>
        </is>
      </c>
      <c r="AS27" s="24" t="inlineStr">
        <is>
          <t>mlb-mil</t>
        </is>
      </c>
      <c r="AT27" s="24" t="inlineStr">
        <is>
          <t>Milwaukee Brewers</t>
        </is>
      </c>
      <c r="AU27" s="24" t="inlineStr">
        <is>
          <t>Milwaukee Brewers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10a412e78306d1f4d1a66590dd7cd2087ed53520bfa3bb925889a6371153732f</t>
        </is>
      </c>
      <c r="BB27" s="24" t="inlineStr">
        <is>
          <t>learned_lr</t>
        </is>
      </c>
      <c r="BC27" s="24" t="inlineStr">
        <is>
          <t>mlb-elo-trend-lr-v6</t>
        </is>
      </c>
      <c r="BD27" s="24" t="inlineStr">
        <is>
          <t>10a412e78306d1f4d1a66590dd7cd2087ed53520bfa3bb925889a6371153732f</t>
        </is>
      </c>
      <c r="BE27" s="24" t="inlineStr">
        <is>
          <t>74c7ff2840abe7fb</t>
        </is>
      </c>
      <c r="BF27" s="24" t="inlineStr">
        <is>
          <t>1</t>
        </is>
      </c>
      <c r="BG27" s="24" t="inlineStr">
        <is>
          <t>mlb-elo-trend-lr-v6</t>
        </is>
      </c>
      <c r="BH27" s="24" t="inlineStr">
        <is>
          <t>2026-07-25T22:50:10.667797Z</t>
        </is>
      </c>
      <c r="BI27" s="24" t="inlineStr">
        <is>
          <t>["same_event","same_team_same_day","same_league_same_day"]</t>
        </is>
      </c>
      <c r="BJ27" s="25" t="n"/>
      <c r="BK27" s="26" t="n">
        <v>-213</v>
      </c>
      <c r="BL27" s="27" t="n">
        <v>1.469484</v>
      </c>
      <c r="BM27" s="28" t="n">
        <v>0.680511</v>
      </c>
      <c r="BN27" s="28" t="n">
        <v>0.676617</v>
      </c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0.7661240932</t>
        </is>
      </c>
      <c r="CD27" s="24" t="inlineStr">
        <is>
          <t>0.243505</t>
        </is>
      </c>
      <c r="CE27" s="24" t="inlineStr">
        <is>
          <t>0.98</t>
        </is>
      </c>
      <c r="CF27" s="24" t="n"/>
      <c r="CG27" s="24" t="n"/>
      <c r="CH27" s="24" t="inlineStr">
        <is>
          <t>-0.57</t>
        </is>
      </c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edf90ab6182d4c90</t>
        </is>
      </c>
      <c r="B28" s="24" t="inlineStr">
        <is>
          <t>2026-07-25T23:04:33.291918Z</t>
        </is>
      </c>
      <c r="C28" s="24" t="inlineStr">
        <is>
          <t>2026-07-25T19:10:00-0400</t>
        </is>
      </c>
      <c r="D28" s="24" t="inlineStr">
        <is>
          <t>401816262</t>
        </is>
      </c>
      <c r="E28" s="24" t="inlineStr">
        <is>
          <t>MLB</t>
        </is>
      </c>
      <c r="F28" s="24" t="inlineStr">
        <is>
          <t>Houston Astros</t>
        </is>
      </c>
      <c r="G28" s="24" t="inlineStr">
        <is>
          <t>Chicago White Sox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-117</v>
      </c>
      <c r="M28" s="27" t="n">
        <v>1.854701</v>
      </c>
      <c r="N28" s="28" t="n">
        <v>0.539171</v>
      </c>
      <c r="O28" s="28" t="n">
        <v>0.597365</v>
      </c>
      <c r="P28" s="28" t="n"/>
      <c r="Q28" s="28" t="n">
        <v>0.058194</v>
      </c>
      <c r="R28" s="26" t="n">
        <v>79</v>
      </c>
      <c r="S28" s="29" t="n">
        <v>1.5</v>
      </c>
      <c r="T28" s="24" t="inlineStr">
        <is>
          <t>mlb-elo-trend-lr-v6</t>
        </is>
      </c>
      <c r="U28" s="24" t="inlineStr">
        <is>
          <t>settled</t>
        </is>
      </c>
      <c r="V28" s="24" t="inlineStr">
        <is>
          <t>loss</t>
        </is>
      </c>
      <c r="W28" s="26" t="n">
        <v>4</v>
      </c>
      <c r="X28" s="26" t="n">
        <v>1</v>
      </c>
      <c r="Y28" s="25" t="n"/>
      <c r="Z28" s="26" t="n"/>
      <c r="AA28" s="28" t="n"/>
      <c r="AB28" s="28" t="n"/>
      <c r="AC28" s="30" t="n">
        <v>-1.5</v>
      </c>
      <c r="AD28" s="24" t="inlineStr">
        <is>
          <t>2026-07-26T03:34:02.045311Z</t>
        </is>
      </c>
      <c r="AE28" s="31" t="inlineStr">
        <is>
          <t>Learned LR call at threshold 0.5690; executable ask 0.5400 (aec-mlb-hou-cws-2026-07-25).</t>
        </is>
      </c>
      <c r="AF28" s="31" t="inlineStr">
        <is>
          <t>Learned model; promotion gate not yet open; zero-unit research until review.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NO_CALL_LOW_EDGE</t>
        </is>
      </c>
      <c r="AP28" s="24" t="inlineStr">
        <is>
          <t>mlb-hou</t>
        </is>
      </c>
      <c r="AQ28" s="24" t="inlineStr">
        <is>
          <t>Houston Astros</t>
        </is>
      </c>
      <c r="AR28" s="24" t="inlineStr">
        <is>
          <t>Houston Astros</t>
        </is>
      </c>
      <c r="AS28" s="24" t="inlineStr">
        <is>
          <t>mlb-cws</t>
        </is>
      </c>
      <c r="AT28" s="24" t="inlineStr">
        <is>
          <t>Chicago White Sox</t>
        </is>
      </c>
      <c r="AU28" s="24" t="inlineStr">
        <is>
          <t>Chicago White Sox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10a412e78306d1f4d1a66590dd7cd2087ed53520bfa3bb925889a6371153732f</t>
        </is>
      </c>
      <c r="BB28" s="24" t="inlineStr">
        <is>
          <t>learned_lr</t>
        </is>
      </c>
      <c r="BC28" s="24" t="inlineStr">
        <is>
          <t>mlb-elo-trend-lr-v6</t>
        </is>
      </c>
      <c r="BD28" s="24" t="inlineStr">
        <is>
          <t>10a412e78306d1f4d1a66590dd7cd2087ed53520bfa3bb925889a6371153732f</t>
        </is>
      </c>
      <c r="BE28" s="24" t="inlineStr">
        <is>
          <t>99426d9e271ba40f</t>
        </is>
      </c>
      <c r="BF28" s="24" t="inlineStr">
        <is>
          <t>1</t>
        </is>
      </c>
      <c r="BG28" s="24" t="inlineStr">
        <is>
          <t>mlb-elo-trend-lr-v6</t>
        </is>
      </c>
      <c r="BH28" s="24" t="inlineStr">
        <is>
          <t>2026-07-25T22:50:09.206081Z</t>
        </is>
      </c>
      <c r="BI28" s="24" t="inlineStr">
        <is>
          <t>["same_event","same_team_same_day","same_league_same_day"]</t>
        </is>
      </c>
      <c r="BJ28" s="25" t="n"/>
      <c r="BK28" s="26" t="n">
        <v>-117</v>
      </c>
      <c r="BL28" s="27" t="n">
        <v>1.854701</v>
      </c>
      <c r="BM28" s="28" t="n">
        <v>0.539171</v>
      </c>
      <c r="BN28" s="28" t="n">
        <v>0.537313</v>
      </c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inlineStr">
        <is>
          <t>0.5495737644</t>
        </is>
      </c>
      <c r="CD28" s="24" t="inlineStr">
        <is>
          <t>-0.365446</t>
        </is>
      </c>
      <c r="CE28" s="24" t="inlineStr">
        <is>
          <t>0.99</t>
        </is>
      </c>
      <c r="CF28" s="24" t="n"/>
      <c r="CG28" s="24" t="n"/>
      <c r="CH28" s="24" t="inlineStr">
        <is>
          <t>-0.85</t>
        </is>
      </c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e3c5c9772f274232</t>
        </is>
      </c>
      <c r="B29" s="24" t="inlineStr">
        <is>
          <t>2026-07-25T23:04:33.291918Z</t>
        </is>
      </c>
      <c r="C29" s="24" t="inlineStr">
        <is>
          <t>2026-07-25T19:15:00-0400</t>
        </is>
      </c>
      <c r="D29" s="24" t="inlineStr">
        <is>
          <t>401816255</t>
        </is>
      </c>
      <c r="E29" s="24" t="inlineStr">
        <is>
          <t>MLB</t>
        </is>
      </c>
      <c r="F29" s="24" t="inlineStr">
        <is>
          <t>Los Angeles Dodgers</t>
        </is>
      </c>
      <c r="G29" s="24" t="inlineStr">
        <is>
          <t>New York Mets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-147</v>
      </c>
      <c r="M29" s="27" t="n">
        <v>1.680272</v>
      </c>
      <c r="N29" s="28" t="n">
        <v>0.5951419999999999</v>
      </c>
      <c r="O29" s="28" t="n">
        <v>0.506008</v>
      </c>
      <c r="P29" s="28" t="n"/>
      <c r="Q29" s="28" t="n">
        <v>-0.089134</v>
      </c>
      <c r="R29" s="26" t="n">
        <v>5</v>
      </c>
      <c r="S29" s="29" t="n">
        <v>0.5</v>
      </c>
      <c r="T29" s="24" t="inlineStr">
        <is>
          <t>mlb-elo-trend-lr-v6</t>
        </is>
      </c>
      <c r="U29" s="24" t="inlineStr">
        <is>
          <t>settled</t>
        </is>
      </c>
      <c r="V29" s="24" t="inlineStr">
        <is>
          <t>win</t>
        </is>
      </c>
      <c r="W29" s="26" t="n">
        <v>4</v>
      </c>
      <c r="X29" s="26" t="n">
        <v>3</v>
      </c>
      <c r="Y29" s="25" t="n"/>
      <c r="Z29" s="26" t="n"/>
      <c r="AA29" s="28" t="n"/>
      <c r="AB29" s="28" t="n"/>
      <c r="AC29" s="30" t="n">
        <v>0.3401</v>
      </c>
      <c r="AD29" s="24" t="inlineStr">
        <is>
          <t>2026-07-26T03:34:02.258716Z</t>
        </is>
      </c>
      <c r="AE29" s="31" t="inlineStr">
        <is>
          <t>Learned LR call at threshold 0.5690; executable ask 0.5950 (aec-mlb-lad-nym-2026-07-25).</t>
        </is>
      </c>
      <c r="AF29" s="31" t="inlineStr">
        <is>
          <t>Learned model; promotion gate not yet open; zero-unit research until review.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NO_CALL_LOW_EDGE</t>
        </is>
      </c>
      <c r="AP29" s="24" t="inlineStr">
        <is>
          <t>mlb-lad</t>
        </is>
      </c>
      <c r="AQ29" s="24" t="inlineStr">
        <is>
          <t>Los Angeles Dodgers</t>
        </is>
      </c>
      <c r="AR29" s="24" t="inlineStr">
        <is>
          <t>Los Angeles Dodgers</t>
        </is>
      </c>
      <c r="AS29" s="24" t="inlineStr">
        <is>
          <t>mlb-nym</t>
        </is>
      </c>
      <c r="AT29" s="24" t="inlineStr">
        <is>
          <t>New York Mets</t>
        </is>
      </c>
      <c r="AU29" s="24" t="inlineStr">
        <is>
          <t>New York Mets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10a412e78306d1f4d1a66590dd7cd2087ed53520bfa3bb925889a6371153732f</t>
        </is>
      </c>
      <c r="BB29" s="24" t="inlineStr">
        <is>
          <t>learned_lr</t>
        </is>
      </c>
      <c r="BC29" s="24" t="inlineStr">
        <is>
          <t>mlb-elo-trend-lr-v6</t>
        </is>
      </c>
      <c r="BD29" s="24" t="inlineStr">
        <is>
          <t>10a412e78306d1f4d1a66590dd7cd2087ed53520bfa3bb925889a6371153732f</t>
        </is>
      </c>
      <c r="BE29" s="24" t="inlineStr">
        <is>
          <t>35d98c7876b819da</t>
        </is>
      </c>
      <c r="BF29" s="24" t="inlineStr">
        <is>
          <t>1</t>
        </is>
      </c>
      <c r="BG29" s="24" t="inlineStr">
        <is>
          <t>mlb-elo-trend-lr-v6</t>
        </is>
      </c>
      <c r="BH29" s="24" t="inlineStr">
        <is>
          <t>2026-07-25T22:50:15.766168Z</t>
        </is>
      </c>
      <c r="BI29" s="24" t="inlineStr">
        <is>
          <t>["same_event","same_team_same_day","same_league_same_day"]</t>
        </is>
      </c>
      <c r="BJ29" s="25" t="n"/>
      <c r="BK29" s="26" t="n">
        <v>-147</v>
      </c>
      <c r="BL29" s="27" t="n">
        <v>1.680272</v>
      </c>
      <c r="BM29" s="28" t="n">
        <v>0.5951419999999999</v>
      </c>
      <c r="BN29" s="28" t="n">
        <v>0.59204</v>
      </c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inlineStr">
        <is>
          <t>0.3742927358</t>
        </is>
      </c>
      <c r="CD29" s="24" t="inlineStr">
        <is>
          <t>-0.95341</t>
        </is>
      </c>
      <c r="CE29" s="24" t="inlineStr">
        <is>
          <t>0.97</t>
        </is>
      </c>
      <c r="CF29" s="24" t="n"/>
      <c r="CG29" s="24" t="n"/>
      <c r="CH29" s="24" t="inlineStr">
        <is>
          <t>0.56</t>
        </is>
      </c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3e5637d55c1947f7</t>
        </is>
      </c>
      <c r="B30" s="24" t="inlineStr">
        <is>
          <t>2026-07-25T23:04:33.291918Z</t>
        </is>
      </c>
      <c r="C30" s="24" t="inlineStr">
        <is>
          <t>2026-07-25T19:15:00-0400</t>
        </is>
      </c>
      <c r="D30" s="24" t="inlineStr">
        <is>
          <t>401816260</t>
        </is>
      </c>
      <c r="E30" s="24" t="inlineStr">
        <is>
          <t>MLB</t>
        </is>
      </c>
      <c r="F30" s="24" t="inlineStr">
        <is>
          <t>Cincinnati Reds</t>
        </is>
      </c>
      <c r="G30" s="24" t="inlineStr">
        <is>
          <t>St. Louis Cardinals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100</v>
      </c>
      <c r="M30" s="27" t="n">
        <v>2</v>
      </c>
      <c r="N30" s="28" t="n">
        <v>0.5</v>
      </c>
      <c r="O30" s="28" t="n">
        <v>0.685245</v>
      </c>
      <c r="P30" s="28" t="n"/>
      <c r="Q30" s="28" t="n">
        <v>0.185245</v>
      </c>
      <c r="R30" s="26" t="n">
        <v>100</v>
      </c>
      <c r="S30" s="29" t="n">
        <v>2</v>
      </c>
      <c r="T30" s="24" t="inlineStr">
        <is>
          <t>mlb-elo-trend-lr-v6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7</v>
      </c>
      <c r="Y30" s="25" t="n"/>
      <c r="Z30" s="26" t="n"/>
      <c r="AA30" s="28" t="n"/>
      <c r="AB30" s="28" t="n"/>
      <c r="AC30" s="30" t="n">
        <v>2</v>
      </c>
      <c r="AD30" s="24" t="inlineStr">
        <is>
          <t>2026-07-26T03:34:02.468282Z</t>
        </is>
      </c>
      <c r="AE30" s="31" t="inlineStr">
        <is>
          <t>Learned LR call at threshold 0.5690; executable ask 0.5000 (aec-mlb-cin-stl-2026-07-25).</t>
        </is>
      </c>
      <c r="AF30" s="31" t="inlineStr">
        <is>
          <t>Learned model; promotion gate not yet open; zero-unit research until review.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NO_CALL_LARGE_DISAGREEMENT_REVIEW</t>
        </is>
      </c>
      <c r="AP30" s="24" t="inlineStr">
        <is>
          <t>mlb-cin</t>
        </is>
      </c>
      <c r="AQ30" s="24" t="inlineStr">
        <is>
          <t>Cincinnati Reds</t>
        </is>
      </c>
      <c r="AR30" s="24" t="inlineStr">
        <is>
          <t>Cincinnati Reds</t>
        </is>
      </c>
      <c r="AS30" s="24" t="inlineStr">
        <is>
          <t>mlb-stl</t>
        </is>
      </c>
      <c r="AT30" s="24" t="inlineStr">
        <is>
          <t>St. Louis Cardinals</t>
        </is>
      </c>
      <c r="AU30" s="24" t="inlineStr">
        <is>
          <t>St. Louis Cardinals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10a412e78306d1f4d1a66590dd7cd2087ed53520bfa3bb925889a6371153732f</t>
        </is>
      </c>
      <c r="BB30" s="24" t="inlineStr">
        <is>
          <t>learned_lr</t>
        </is>
      </c>
      <c r="BC30" s="24" t="inlineStr">
        <is>
          <t>mlb-elo-trend-lr-v6</t>
        </is>
      </c>
      <c r="BD30" s="24" t="inlineStr">
        <is>
          <t>10a412e78306d1f4d1a66590dd7cd2087ed53520bfa3bb925889a6371153732f</t>
        </is>
      </c>
      <c r="BE30" s="24" t="inlineStr">
        <is>
          <t>0fad44f254db7d02</t>
        </is>
      </c>
      <c r="BF30" s="24" t="inlineStr">
        <is>
          <t>1</t>
        </is>
      </c>
      <c r="BG30" s="24" t="inlineStr">
        <is>
          <t>mlb-elo-trend-lr-v6</t>
        </is>
      </c>
      <c r="BH30" s="24" t="inlineStr">
        <is>
          <t>2026-07-25T22:50:14.595978Z</t>
        </is>
      </c>
      <c r="BI30" s="24" t="inlineStr">
        <is>
          <t>["same_event","same_team_same_day","same_league_same_day"]</t>
        </is>
      </c>
      <c r="BJ30" s="25" t="n"/>
      <c r="BK30" s="26" t="n">
        <v>100</v>
      </c>
      <c r="BL30" s="27" t="n">
        <v>2</v>
      </c>
      <c r="BM30" s="28" t="n">
        <v>0.5</v>
      </c>
      <c r="BN30" s="28" t="n">
        <v>0.497512</v>
      </c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0.5554985391</t>
        </is>
      </c>
      <c r="CD30" s="24" t="inlineStr">
        <is>
          <t>-1.066813</t>
        </is>
      </c>
      <c r="CE30" s="24" t="inlineStr">
        <is>
          <t>0.99</t>
        </is>
      </c>
      <c r="CF30" s="24" t="n"/>
      <c r="CG30" s="24" t="n"/>
      <c r="CH30" s="24" t="inlineStr">
        <is>
          <t>-2.04</t>
        </is>
      </c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ca3330d623614926</t>
        </is>
      </c>
      <c r="B31" s="24" t="inlineStr">
        <is>
          <t>2026-07-25T23:04:33.291918Z</t>
        </is>
      </c>
      <c r="C31" s="24" t="inlineStr">
        <is>
          <t>2026-07-25T19:15:00-0400</t>
        </is>
      </c>
      <c r="D31" s="24" t="inlineStr">
        <is>
          <t>401816263</t>
        </is>
      </c>
      <c r="E31" s="24" t="inlineStr">
        <is>
          <t>MLB</t>
        </is>
      </c>
      <c r="F31" s="24" t="inlineStr">
        <is>
          <t>Seattle Mariners</t>
        </is>
      </c>
      <c r="G31" s="24" t="inlineStr">
        <is>
          <t>Texas Rangers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102</v>
      </c>
      <c r="M31" s="27" t="n">
        <v>2.02</v>
      </c>
      <c r="N31" s="28" t="n">
        <v>0.49505</v>
      </c>
      <c r="O31" s="28" t="n">
        <v>0.528938</v>
      </c>
      <c r="P31" s="28" t="n"/>
      <c r="Q31" s="28" t="n">
        <v>0.033888</v>
      </c>
      <c r="R31" s="26" t="n">
        <v>67</v>
      </c>
      <c r="S31" s="29" t="n">
        <v>0.75</v>
      </c>
      <c r="T31" s="24" t="inlineStr">
        <is>
          <t>mlb-elo-trend-lr-v6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>
        <v>7</v>
      </c>
      <c r="Y31" s="25" t="n"/>
      <c r="Z31" s="26" t="n"/>
      <c r="AA31" s="28" t="n"/>
      <c r="AB31" s="28" t="n"/>
      <c r="AC31" s="30" t="n">
        <v>0.765</v>
      </c>
      <c r="AD31" s="24" t="inlineStr">
        <is>
          <t>2026-07-26T03:34:02.680076Z</t>
        </is>
      </c>
      <c r="AE31" s="31" t="inlineStr">
        <is>
          <t>Learned LR call at threshold 0.5690; executable ask 0.4950 (aec-mlb-sea-tex-2026-07-25).</t>
        </is>
      </c>
      <c r="AF31" s="31" t="inlineStr">
        <is>
          <t>Learned model; promotion gate not yet open; zero-unit research until review.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mlb-sea</t>
        </is>
      </c>
      <c r="AQ31" s="24" t="inlineStr">
        <is>
          <t>Seattle Mariners</t>
        </is>
      </c>
      <c r="AR31" s="24" t="inlineStr">
        <is>
          <t>Seattle Mariners</t>
        </is>
      </c>
      <c r="AS31" s="24" t="inlineStr">
        <is>
          <t>mlb-tex</t>
        </is>
      </c>
      <c r="AT31" s="24" t="inlineStr">
        <is>
          <t>Texas Rangers</t>
        </is>
      </c>
      <c r="AU31" s="24" t="inlineStr">
        <is>
          <t>Texas Rangers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10a412e78306d1f4d1a66590dd7cd2087ed53520bfa3bb925889a6371153732f</t>
        </is>
      </c>
      <c r="BB31" s="24" t="inlineStr">
        <is>
          <t>learned_lr</t>
        </is>
      </c>
      <c r="BC31" s="24" t="inlineStr">
        <is>
          <t>mlb-elo-trend-lr-v6</t>
        </is>
      </c>
      <c r="BD31" s="24" t="inlineStr">
        <is>
          <t>10a412e78306d1f4d1a66590dd7cd2087ed53520bfa3bb925889a6371153732f</t>
        </is>
      </c>
      <c r="BE31" s="24" t="inlineStr">
        <is>
          <t>130172df1163a059</t>
        </is>
      </c>
      <c r="BF31" s="24" t="inlineStr">
        <is>
          <t>1</t>
        </is>
      </c>
      <c r="BG31" s="24" t="inlineStr">
        <is>
          <t>mlb-elo-trend-lr-v6</t>
        </is>
      </c>
      <c r="BH31" s="24" t="inlineStr">
        <is>
          <t>2026-07-25T22:50:13.568802Z</t>
        </is>
      </c>
      <c r="BI31" s="24" t="inlineStr">
        <is>
          <t>["same_event","same_team_same_day","same_league_same_day"]</t>
        </is>
      </c>
      <c r="BJ31" s="25" t="n"/>
      <c r="BK31" s="26" t="n">
        <v>102</v>
      </c>
      <c r="BL31" s="27" t="n">
        <v>2.02</v>
      </c>
      <c r="BM31" s="28" t="n">
        <v>0.49505</v>
      </c>
      <c r="BN31" s="28" t="n">
        <v>0.492537</v>
      </c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inlineStr">
        <is>
          <t>0.492334675</t>
        </is>
      </c>
      <c r="CD31" s="24" t="inlineStr">
        <is>
          <t>-0.43076</t>
        </is>
      </c>
      <c r="CE31" s="24" t="inlineStr">
        <is>
          <t>1.02</t>
        </is>
      </c>
      <c r="CF31" s="24" t="n"/>
      <c r="CG31" s="24" t="n"/>
      <c r="CH31" s="24" t="inlineStr">
        <is>
          <t>0.05</t>
        </is>
      </c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6e22a33af453400a</t>
        </is>
      </c>
      <c r="B32" s="24" t="inlineStr">
        <is>
          <t>2026-07-26T12:48:45.878703Z</t>
        </is>
      </c>
      <c r="C32" s="24" t="inlineStr">
        <is>
          <t>2026-07-26T12:15:00-0400</t>
        </is>
      </c>
      <c r="D32" s="24" t="inlineStr">
        <is>
          <t>401816268</t>
        </is>
      </c>
      <c r="E32" s="24" t="inlineStr">
        <is>
          <t>MLB</t>
        </is>
      </c>
      <c r="F32" s="24" t="inlineStr">
        <is>
          <t>Cleveland Guardians</t>
        </is>
      </c>
      <c r="G32" s="24" t="inlineStr">
        <is>
          <t>Tampa Bay Rays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125</v>
      </c>
      <c r="M32" s="27" t="n">
        <v>2.25</v>
      </c>
      <c r="N32" s="28" t="n">
        <v>0.444444</v>
      </c>
      <c r="O32" s="28" t="n">
        <v>0.517361</v>
      </c>
      <c r="P32" s="28" t="n"/>
      <c r="Q32" s="28" t="n">
        <v>0.072917</v>
      </c>
      <c r="R32" s="26" t="n">
        <v>57</v>
      </c>
      <c r="S32" s="29" t="n">
        <v>0.75</v>
      </c>
      <c r="T32" s="24" t="inlineStr">
        <is>
          <t>mlb-elo-trend-lr-v6</t>
        </is>
      </c>
      <c r="U32" s="24" t="inlineStr">
        <is>
          <t>settled</t>
        </is>
      </c>
      <c r="V32" s="24" t="inlineStr">
        <is>
          <t>loss</t>
        </is>
      </c>
      <c r="W32" s="26" t="n">
        <v>0</v>
      </c>
      <c r="X32" s="26" t="n">
        <v>1</v>
      </c>
      <c r="Y32" s="25" t="n"/>
      <c r="Z32" s="26" t="n"/>
      <c r="AA32" s="28" t="n"/>
      <c r="AB32" s="28" t="n"/>
      <c r="AC32" s="30" t="n">
        <v>-0.75</v>
      </c>
      <c r="AD32" s="24" t="inlineStr">
        <is>
          <t>2026-07-26T18:25:19.272822Z</t>
        </is>
      </c>
      <c r="AE32" s="31" t="inlineStr">
        <is>
          <t>Learned LR call at threshold 0.5690; executable ask 0.4450 (aec-mlb-cle-tb-2026-07-26).</t>
        </is>
      </c>
      <c r="AF32" s="31" t="inlineStr">
        <is>
          <t>Learned model; promotion gate not yet open; zero-unit research until review.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mlb-cle</t>
        </is>
      </c>
      <c r="AQ32" s="24" t="inlineStr">
        <is>
          <t>Cleveland Guardians</t>
        </is>
      </c>
      <c r="AR32" s="24" t="inlineStr">
        <is>
          <t>Cleveland Guardians</t>
        </is>
      </c>
      <c r="AS32" s="24" t="inlineStr">
        <is>
          <t>mlb-tb</t>
        </is>
      </c>
      <c r="AT32" s="24" t="inlineStr">
        <is>
          <t>Tampa Bay Rays</t>
        </is>
      </c>
      <c r="AU32" s="24" t="inlineStr">
        <is>
          <t>Tampa Bay Rays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10a412e78306d1f4d1a66590dd7cd2087ed53520bfa3bb925889a6371153732f</t>
        </is>
      </c>
      <c r="BB32" s="24" t="inlineStr">
        <is>
          <t>learned_lr</t>
        </is>
      </c>
      <c r="BC32" s="24" t="inlineStr">
        <is>
          <t>mlb-elo-trend-lr-v6</t>
        </is>
      </c>
      <c r="BD32" s="24" t="inlineStr">
        <is>
          <t>10a412e78306d1f4d1a66590dd7cd2087ed53520bfa3bb925889a6371153732f</t>
        </is>
      </c>
      <c r="BE32" s="24" t="inlineStr">
        <is>
          <t>c5ef23c568ffe4c5</t>
        </is>
      </c>
      <c r="BF32" s="24" t="inlineStr">
        <is>
          <t>1</t>
        </is>
      </c>
      <c r="BG32" s="24" t="inlineStr">
        <is>
          <t>mlb-elo-trend-lr-v6</t>
        </is>
      </c>
      <c r="BH32" s="24" t="inlineStr">
        <is>
          <t>2026-07-26T12:45:21.769042Z</t>
        </is>
      </c>
      <c r="BI32" s="24" t="inlineStr">
        <is>
          <t>["same_event","same_team_same_day","same_league_same_day"]</t>
        </is>
      </c>
      <c r="BJ32" s="25" t="n"/>
      <c r="BK32" s="26" t="n">
        <v>125</v>
      </c>
      <c r="BL32" s="27" t="n">
        <v>2.25</v>
      </c>
      <c r="BM32" s="28" t="n">
        <v>0.444444</v>
      </c>
      <c r="BN32" s="28" t="n">
        <v>0.442786</v>
      </c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0.5498194022</t>
        </is>
      </c>
      <c r="CD32" s="24" t="inlineStr">
        <is>
          <t>0.593127</t>
        </is>
      </c>
      <c r="CE32" s="24" t="inlineStr">
        <is>
          <t>0.96</t>
        </is>
      </c>
      <c r="CF32" s="24" t="n"/>
      <c r="CG32" s="24" t="n"/>
      <c r="CH32" s="24" t="inlineStr">
        <is>
          <t>0.6</t>
        </is>
      </c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09a1ceefea134e39</t>
        </is>
      </c>
      <c r="B33" s="24" t="inlineStr">
        <is>
          <t>2026-07-26T12:48:45.878703Z</t>
        </is>
      </c>
      <c r="C33" s="24" t="inlineStr">
        <is>
          <t>2026-07-26T13:35:00-0400</t>
        </is>
      </c>
      <c r="D33" s="24" t="inlineStr">
        <is>
          <t>401816265</t>
        </is>
      </c>
      <c r="E33" s="24" t="inlineStr">
        <is>
          <t>MLB</t>
        </is>
      </c>
      <c r="F33" s="24" t="inlineStr">
        <is>
          <t>Arizona Diamondbacks</t>
        </is>
      </c>
      <c r="G33" s="24" t="inlineStr">
        <is>
          <t>Washington Nationals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-111</v>
      </c>
      <c r="M33" s="27" t="n">
        <v>1.900901</v>
      </c>
      <c r="N33" s="28" t="n">
        <v>0.526066</v>
      </c>
      <c r="O33" s="28" t="n">
        <v>0.709483</v>
      </c>
      <c r="P33" s="28" t="n"/>
      <c r="Q33" s="28" t="n">
        <v>0.183417</v>
      </c>
      <c r="R33" s="26" t="n">
        <v>100</v>
      </c>
      <c r="S33" s="29" t="n">
        <v>2</v>
      </c>
      <c r="T33" s="24" t="inlineStr">
        <is>
          <t>mlb-elo-trend-lr-v6</t>
        </is>
      </c>
      <c r="U33" s="24" t="inlineStr">
        <is>
          <t>settled</t>
        </is>
      </c>
      <c r="V33" s="24" t="inlineStr">
        <is>
          <t>loss</t>
        </is>
      </c>
      <c r="W33" s="26" t="n">
        <v>7</v>
      </c>
      <c r="X33" s="26" t="n">
        <v>10</v>
      </c>
      <c r="Y33" s="25" t="n"/>
      <c r="Z33" s="26" t="n"/>
      <c r="AA33" s="28" t="n"/>
      <c r="AB33" s="28" t="n"/>
      <c r="AC33" s="30" t="n">
        <v>-2</v>
      </c>
      <c r="AD33" s="24" t="inlineStr">
        <is>
          <t>2026-07-27T01:51:54.797262Z</t>
        </is>
      </c>
      <c r="AE33" s="31" t="inlineStr">
        <is>
          <t>Learned LR call at threshold 0.5690; executable ask 0.5250 (aec-mlb-az-wsh-2026-07-26).</t>
        </is>
      </c>
      <c r="AF33" s="31" t="inlineStr">
        <is>
          <t>Learned model; promotion gate not yet open; zero-unit research until review.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mlb-ari</t>
        </is>
      </c>
      <c r="AQ33" s="24" t="inlineStr">
        <is>
          <t>Arizona Diamondbacks</t>
        </is>
      </c>
      <c r="AR33" s="24" t="inlineStr">
        <is>
          <t>Arizona Diamondbacks</t>
        </is>
      </c>
      <c r="AS33" s="24" t="inlineStr">
        <is>
          <t>mlb-wsh</t>
        </is>
      </c>
      <c r="AT33" s="24" t="inlineStr">
        <is>
          <t>Washington Nationals</t>
        </is>
      </c>
      <c r="AU33" s="24" t="inlineStr">
        <is>
          <t>Washington Nationals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10a412e78306d1f4d1a66590dd7cd2087ed53520bfa3bb925889a6371153732f</t>
        </is>
      </c>
      <c r="BB33" s="24" t="inlineStr">
        <is>
          <t>learned_lr</t>
        </is>
      </c>
      <c r="BC33" s="24" t="inlineStr">
        <is>
          <t>mlb-elo-trend-lr-v6</t>
        </is>
      </c>
      <c r="BD33" s="24" t="inlineStr">
        <is>
          <t>10a412e78306d1f4d1a66590dd7cd2087ed53520bfa3bb925889a6371153732f</t>
        </is>
      </c>
      <c r="BE33" s="24" t="inlineStr">
        <is>
          <t>e06933348ee1d73e</t>
        </is>
      </c>
      <c r="BF33" s="24" t="inlineStr">
        <is>
          <t>1</t>
        </is>
      </c>
      <c r="BG33" s="24" t="inlineStr">
        <is>
          <t>mlb-elo-trend-lr-v6</t>
        </is>
      </c>
      <c r="BH33" s="24" t="inlineStr">
        <is>
          <t>2026-07-26T12:45:26.806731Z</t>
        </is>
      </c>
      <c r="BI33" s="24" t="inlineStr">
        <is>
          <t>["same_event","same_team_same_day","same_league_same_day"]</t>
        </is>
      </c>
      <c r="BJ33" s="25" t="n"/>
      <c r="BK33" s="26" t="n">
        <v>-111</v>
      </c>
      <c r="BL33" s="27" t="n">
        <v>1.900901</v>
      </c>
      <c r="BM33" s="28" t="n">
        <v>0.526066</v>
      </c>
      <c r="BN33" s="28" t="n">
        <v>0.522388</v>
      </c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0.4832709168</t>
        </is>
      </c>
      <c r="CD33" s="24" t="inlineStr">
        <is>
          <t>-1.557247</t>
        </is>
      </c>
      <c r="CE33" s="24" t="inlineStr">
        <is>
          <t>1.0</t>
        </is>
      </c>
      <c r="CF33" s="24" t="n"/>
      <c r="CG33" s="24" t="n"/>
      <c r="CH33" s="24" t="inlineStr">
        <is>
          <t>3.8</t>
        </is>
      </c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e6bcde5dcbf54ff4</t>
        </is>
      </c>
      <c r="B34" s="24" t="inlineStr">
        <is>
          <t>2026-07-26T12:48:45.878703Z</t>
        </is>
      </c>
      <c r="C34" s="24" t="inlineStr">
        <is>
          <t>2026-07-26T13:35:00-0400</t>
        </is>
      </c>
      <c r="D34" s="24" t="inlineStr">
        <is>
          <t>401816266</t>
        </is>
      </c>
      <c r="E34" s="24" t="inlineStr">
        <is>
          <t>MLB</t>
        </is>
      </c>
      <c r="F34" s="24" t="inlineStr">
        <is>
          <t>Atlanta Braves</t>
        </is>
      </c>
      <c r="G34" s="24" t="inlineStr">
        <is>
          <t>Baltimore Orioles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-102</v>
      </c>
      <c r="M34" s="27" t="n">
        <v>1.980392</v>
      </c>
      <c r="N34" s="28" t="n">
        <v>0.50495</v>
      </c>
      <c r="O34" s="28" t="n">
        <v>0.534238</v>
      </c>
      <c r="P34" s="28" t="n"/>
      <c r="Q34" s="28" t="n">
        <v>0.029288</v>
      </c>
      <c r="R34" s="26" t="n">
        <v>36</v>
      </c>
      <c r="S34" s="29" t="n">
        <v>0.75</v>
      </c>
      <c r="T34" s="24" t="inlineStr">
        <is>
          <t>mlb-elo-trend-lr-v6</t>
        </is>
      </c>
      <c r="U34" s="24" t="inlineStr">
        <is>
          <t>settled</t>
        </is>
      </c>
      <c r="V34" s="24" t="inlineStr">
        <is>
          <t>loss</t>
        </is>
      </c>
      <c r="W34" s="26" t="n">
        <v>3</v>
      </c>
      <c r="X34" s="26" t="n">
        <v>2</v>
      </c>
      <c r="Y34" s="25" t="n"/>
      <c r="Z34" s="26" t="n"/>
      <c r="AA34" s="28" t="n"/>
      <c r="AB34" s="28" t="n"/>
      <c r="AC34" s="30" t="n">
        <v>-0.75</v>
      </c>
      <c r="AD34" s="24" t="inlineStr">
        <is>
          <t>2026-07-27T01:51:55.204048Z</t>
        </is>
      </c>
      <c r="AE34" s="31" t="inlineStr">
        <is>
          <t>Learned LR call at threshold 0.5690; executable ask 0.5050 (aec-mlb-atl-bal-2026-07-26).</t>
        </is>
      </c>
      <c r="AF34" s="31" t="inlineStr">
        <is>
          <t>Learned model; promotion gate not yet open; zero-unit research until review.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mlb-atl</t>
        </is>
      </c>
      <c r="AQ34" s="24" t="inlineStr">
        <is>
          <t>Atlanta Braves</t>
        </is>
      </c>
      <c r="AR34" s="24" t="inlineStr">
        <is>
          <t>Atlanta Braves</t>
        </is>
      </c>
      <c r="AS34" s="24" t="inlineStr">
        <is>
          <t>mlb-bal</t>
        </is>
      </c>
      <c r="AT34" s="24" t="inlineStr">
        <is>
          <t>Baltimore Orioles</t>
        </is>
      </c>
      <c r="AU34" s="24" t="inlineStr">
        <is>
          <t>Baltimore Orioles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10a412e78306d1f4d1a66590dd7cd2087ed53520bfa3bb925889a6371153732f</t>
        </is>
      </c>
      <c r="BB34" s="24" t="inlineStr">
        <is>
          <t>learned_lr</t>
        </is>
      </c>
      <c r="BC34" s="24" t="inlineStr">
        <is>
          <t>mlb-elo-trend-lr-v6</t>
        </is>
      </c>
      <c r="BD34" s="24" t="inlineStr">
        <is>
          <t>10a412e78306d1f4d1a66590dd7cd2087ed53520bfa3bb925889a6371153732f</t>
        </is>
      </c>
      <c r="BE34" s="24" t="inlineStr">
        <is>
          <t>02c2231f4040c432</t>
        </is>
      </c>
      <c r="BF34" s="24" t="inlineStr">
        <is>
          <t>1</t>
        </is>
      </c>
      <c r="BG34" s="24" t="inlineStr">
        <is>
          <t>mlb-elo-trend-lr-v6</t>
        </is>
      </c>
      <c r="BH34" s="24" t="inlineStr">
        <is>
          <t>2026-07-26T12:45:27.980422Z</t>
        </is>
      </c>
      <c r="BI34" s="24" t="inlineStr">
        <is>
          <t>["same_event","same_team_same_day","same_league_same_day"]</t>
        </is>
      </c>
      <c r="BJ34" s="25" t="n"/>
      <c r="BK34" s="26" t="n">
        <v>-102</v>
      </c>
      <c r="BL34" s="27" t="n">
        <v>1.980392</v>
      </c>
      <c r="BM34" s="28" t="n">
        <v>0.50495</v>
      </c>
      <c r="BN34" s="28" t="n">
        <v>0.502488</v>
      </c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inlineStr">
        <is>
          <t>0.4805983803</t>
        </is>
      </c>
      <c r="CD34" s="24" t="inlineStr">
        <is>
          <t>-1.06997</t>
        </is>
      </c>
      <c r="CE34" s="24" t="inlineStr">
        <is>
          <t>1.01</t>
        </is>
      </c>
      <c r="CF34" s="24" t="n"/>
      <c r="CG34" s="24" t="n"/>
      <c r="CH34" s="24" t="inlineStr">
        <is>
          <t>0.1</t>
        </is>
      </c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4e058a3c359349f6</t>
        </is>
      </c>
      <c r="B35" s="24" t="inlineStr">
        <is>
          <t>2026-07-26T12:48:45.878703Z</t>
        </is>
      </c>
      <c r="C35" s="24" t="inlineStr">
        <is>
          <t>2026-07-26T13:35:00-0400</t>
        </is>
      </c>
      <c r="D35" s="24" t="inlineStr">
        <is>
          <t>401816267</t>
        </is>
      </c>
      <c r="E35" s="24" t="inlineStr">
        <is>
          <t>MLB</t>
        </is>
      </c>
      <c r="F35" s="24" t="inlineStr">
        <is>
          <t>Chicago Cubs</t>
        </is>
      </c>
      <c r="G35" s="24" t="inlineStr">
        <is>
          <t>Pittsburgh Pirates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-120</v>
      </c>
      <c r="M35" s="27" t="n">
        <v>1.833333</v>
      </c>
      <c r="N35" s="28" t="n">
        <v>0.545455</v>
      </c>
      <c r="O35" s="28" t="n">
        <v>0.631521</v>
      </c>
      <c r="P35" s="28" t="n"/>
      <c r="Q35" s="28" t="n">
        <v>0.086066</v>
      </c>
      <c r="R35" s="26" t="n">
        <v>65</v>
      </c>
      <c r="S35" s="29" t="n">
        <v>1.75</v>
      </c>
      <c r="T35" s="24" t="inlineStr">
        <is>
          <t>mlb-elo-trend-lr-v6</t>
        </is>
      </c>
      <c r="U35" s="24" t="inlineStr">
        <is>
          <t>settled</t>
        </is>
      </c>
      <c r="V35" s="24" t="inlineStr">
        <is>
          <t>win</t>
        </is>
      </c>
      <c r="W35" s="26" t="n">
        <v>7</v>
      </c>
      <c r="X35" s="26" t="n">
        <v>8</v>
      </c>
      <c r="Y35" s="25" t="n"/>
      <c r="Z35" s="26" t="n"/>
      <c r="AA35" s="28" t="n"/>
      <c r="AB35" s="28" t="n"/>
      <c r="AC35" s="30" t="n">
        <v>1.4583</v>
      </c>
      <c r="AD35" s="24" t="inlineStr">
        <is>
          <t>2026-07-27T01:51:55.611588Z</t>
        </is>
      </c>
      <c r="AE35" s="31" t="inlineStr">
        <is>
          <t>Learned LR call at threshold 0.5690; executable ask 0.5450 (aec-mlb-chc-pit-2026-07-26).</t>
        </is>
      </c>
      <c r="AF35" s="31" t="inlineStr">
        <is>
          <t>Learned model; promotion gate not yet open; zero-unit research until review.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mlb-chc</t>
        </is>
      </c>
      <c r="AQ35" s="24" t="inlineStr">
        <is>
          <t>Chicago Cubs</t>
        </is>
      </c>
      <c r="AR35" s="24" t="inlineStr">
        <is>
          <t>Chicago Cubs</t>
        </is>
      </c>
      <c r="AS35" s="24" t="inlineStr">
        <is>
          <t>mlb-pit</t>
        </is>
      </c>
      <c r="AT35" s="24" t="inlineStr">
        <is>
          <t>Pittsburgh Pirates</t>
        </is>
      </c>
      <c r="AU35" s="24" t="inlineStr">
        <is>
          <t>Pittsburgh Pirates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10a412e78306d1f4d1a66590dd7cd2087ed53520bfa3bb925889a6371153732f</t>
        </is>
      </c>
      <c r="BB35" s="24" t="inlineStr">
        <is>
          <t>learned_lr</t>
        </is>
      </c>
      <c r="BC35" s="24" t="inlineStr">
        <is>
          <t>mlb-elo-trend-lr-v6</t>
        </is>
      </c>
      <c r="BD35" s="24" t="inlineStr">
        <is>
          <t>10a412e78306d1f4d1a66590dd7cd2087ed53520bfa3bb925889a6371153732f</t>
        </is>
      </c>
      <c r="BE35" s="24" t="inlineStr">
        <is>
          <t>db34c66819f2c034</t>
        </is>
      </c>
      <c r="BF35" s="24" t="inlineStr">
        <is>
          <t>1</t>
        </is>
      </c>
      <c r="BG35" s="24" t="inlineStr">
        <is>
          <t>mlb-elo-trend-lr-v6</t>
        </is>
      </c>
      <c r="BH35" s="24" t="inlineStr">
        <is>
          <t>2026-07-26T12:45:25.302203Z</t>
        </is>
      </c>
      <c r="BI35" s="24" t="inlineStr">
        <is>
          <t>["same_event","same_team_same_day","same_league_same_day"]</t>
        </is>
      </c>
      <c r="BJ35" s="25" t="n"/>
      <c r="BK35" s="26" t="n">
        <v>-120</v>
      </c>
      <c r="BL35" s="27" t="n">
        <v>1.833333</v>
      </c>
      <c r="BM35" s="28" t="n">
        <v>0.545455</v>
      </c>
      <c r="BN35" s="28" t="n">
        <v>0.542289</v>
      </c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inlineStr">
        <is>
          <t>0.4912443015</t>
        </is>
      </c>
      <c r="CD35" s="24" t="inlineStr">
        <is>
          <t>-0.326562</t>
        </is>
      </c>
      <c r="CE35" s="24" t="inlineStr">
        <is>
          <t>1.0</t>
        </is>
      </c>
      <c r="CF35" s="24" t="n"/>
      <c r="CG35" s="24" t="n"/>
      <c r="CH35" s="24" t="inlineStr">
        <is>
          <t>-1.43</t>
        </is>
      </c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02ff8fdc1dd540ed</t>
        </is>
      </c>
      <c r="B36" s="24" t="inlineStr">
        <is>
          <t>2026-07-26T12:48:45.878703Z</t>
        </is>
      </c>
      <c r="C36" s="24" t="inlineStr">
        <is>
          <t>2026-07-26T13:35:00-0400</t>
        </is>
      </c>
      <c r="D36" s="24" t="inlineStr">
        <is>
          <t>401816273</t>
        </is>
      </c>
      <c r="E36" s="24" t="inlineStr">
        <is>
          <t>MLB</t>
        </is>
      </c>
      <c r="F36" s="24" t="inlineStr">
        <is>
          <t>Toronto Blue Jays</t>
        </is>
      </c>
      <c r="G36" s="24" t="inlineStr">
        <is>
          <t>Boston Red Sox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-133</v>
      </c>
      <c r="M36" s="27" t="n">
        <v>1.75188</v>
      </c>
      <c r="N36" s="28" t="n">
        <v>0.570815</v>
      </c>
      <c r="O36" s="28" t="n">
        <v>0.609142</v>
      </c>
      <c r="P36" s="28" t="n"/>
      <c r="Q36" s="28" t="n">
        <v>0.038327</v>
      </c>
      <c r="R36" s="26" t="n">
        <v>41</v>
      </c>
      <c r="S36" s="29" t="n">
        <v>1.5</v>
      </c>
      <c r="T36" s="24" t="inlineStr">
        <is>
          <t>mlb-elo-trend-lr-v6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6</v>
      </c>
      <c r="Y36" s="25" t="n"/>
      <c r="Z36" s="26" t="n"/>
      <c r="AA36" s="28" t="n"/>
      <c r="AB36" s="28" t="n"/>
      <c r="AC36" s="30" t="n">
        <v>1.1278</v>
      </c>
      <c r="AD36" s="24" t="inlineStr">
        <is>
          <t>2026-07-27T01:51:55.965621Z</t>
        </is>
      </c>
      <c r="AE36" s="31" t="inlineStr">
        <is>
          <t>Learned LR call at threshold 0.5690; executable ask 0.5700 (aec-mlb-tor-bos-2026-07-26).</t>
        </is>
      </c>
      <c r="AF36" s="31" t="inlineStr">
        <is>
          <t>Learned model; promotion gate not yet open; zero-unit research until review.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mlb-tor</t>
        </is>
      </c>
      <c r="AQ36" s="24" t="inlineStr">
        <is>
          <t>Toronto Blue Jays</t>
        </is>
      </c>
      <c r="AR36" s="24" t="inlineStr">
        <is>
          <t>Toronto Blue Jays</t>
        </is>
      </c>
      <c r="AS36" s="24" t="inlineStr">
        <is>
          <t>mlb-bos</t>
        </is>
      </c>
      <c r="AT36" s="24" t="inlineStr">
        <is>
          <t>Boston Red Sox</t>
        </is>
      </c>
      <c r="AU36" s="24" t="inlineStr">
        <is>
          <t>Boston Red Sox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10a412e78306d1f4d1a66590dd7cd2087ed53520bfa3bb925889a6371153732f</t>
        </is>
      </c>
      <c r="BB36" s="24" t="inlineStr">
        <is>
          <t>learned_lr</t>
        </is>
      </c>
      <c r="BC36" s="24" t="inlineStr">
        <is>
          <t>mlb-elo-trend-lr-v6</t>
        </is>
      </c>
      <c r="BD36" s="24" t="inlineStr">
        <is>
          <t>10a412e78306d1f4d1a66590dd7cd2087ed53520bfa3bb925889a6371153732f</t>
        </is>
      </c>
      <c r="BE36" s="24" t="inlineStr">
        <is>
          <t>617498b239035ded</t>
        </is>
      </c>
      <c r="BF36" s="24" t="inlineStr">
        <is>
          <t>1</t>
        </is>
      </c>
      <c r="BG36" s="24" t="inlineStr">
        <is>
          <t>mlb-elo-trend-lr-v6</t>
        </is>
      </c>
      <c r="BH36" s="24" t="inlineStr">
        <is>
          <t>2026-07-26T12:45:23.647339Z</t>
        </is>
      </c>
      <c r="BI36" s="24" t="inlineStr">
        <is>
          <t>["same_event","same_team_same_day","same_league_same_day"]</t>
        </is>
      </c>
      <c r="BJ36" s="25" t="n"/>
      <c r="BK36" s="26" t="n">
        <v>-133</v>
      </c>
      <c r="BL36" s="27" t="n">
        <v>1.75188</v>
      </c>
      <c r="BM36" s="28" t="n">
        <v>0.570815</v>
      </c>
      <c r="BN36" s="28" t="n">
        <v>0.567164</v>
      </c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inlineStr">
        <is>
          <t>0.6098870035</t>
        </is>
      </c>
      <c r="CD36" s="24" t="inlineStr">
        <is>
          <t>1.431426</t>
        </is>
      </c>
      <c r="CE36" s="24" t="inlineStr">
        <is>
          <t>1.04</t>
        </is>
      </c>
      <c r="CF36" s="24" t="n"/>
      <c r="CG36" s="24" t="n"/>
      <c r="CH36" s="24" t="inlineStr">
        <is>
          <t>-1.36</t>
        </is>
      </c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67109b31a47c4754</t>
        </is>
      </c>
      <c r="B37" s="24" t="inlineStr">
        <is>
          <t>2026-07-26T12:48:45.878703Z</t>
        </is>
      </c>
      <c r="C37" s="24" t="inlineStr">
        <is>
          <t>2026-07-26T13:40:00-0400</t>
        </is>
      </c>
      <c r="D37" s="24" t="inlineStr">
        <is>
          <t>401816269</t>
        </is>
      </c>
      <c r="E37" s="24" t="inlineStr">
        <is>
          <t>MLB</t>
        </is>
      </c>
      <c r="F37" s="24" t="inlineStr">
        <is>
          <t>Kansas City Royals</t>
        </is>
      </c>
      <c r="G37" s="24" t="inlineStr">
        <is>
          <t>Detroit Tigers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-174</v>
      </c>
      <c r="M37" s="27" t="n">
        <v>1.574713</v>
      </c>
      <c r="N37" s="28" t="n">
        <v>0.635036</v>
      </c>
      <c r="O37" s="28" t="n">
        <v>0.550399</v>
      </c>
      <c r="P37" s="28" t="n"/>
      <c r="Q37" s="28" t="n">
        <v>-0.084637</v>
      </c>
      <c r="R37" s="26" t="n">
        <v>0</v>
      </c>
      <c r="S37" s="29" t="n">
        <v>1</v>
      </c>
      <c r="T37" s="24" t="inlineStr">
        <is>
          <t>mlb-elo-trend-lr-v6</t>
        </is>
      </c>
      <c r="U37" s="24" t="inlineStr">
        <is>
          <t>settled</t>
        </is>
      </c>
      <c r="V37" s="24" t="inlineStr">
        <is>
          <t>loss</t>
        </is>
      </c>
      <c r="W37" s="26" t="n">
        <v>5</v>
      </c>
      <c r="X37" s="26" t="n">
        <v>4</v>
      </c>
      <c r="Y37" s="25" t="n"/>
      <c r="Z37" s="26" t="n"/>
      <c r="AA37" s="28" t="n"/>
      <c r="AB37" s="28" t="n"/>
      <c r="AC37" s="30" t="n">
        <v>-1</v>
      </c>
      <c r="AD37" s="24" t="inlineStr">
        <is>
          <t>2026-07-27T01:51:56.652959Z</t>
        </is>
      </c>
      <c r="AE37" s="31" t="inlineStr">
        <is>
          <t>Learned LR call at threshold 0.5690; executable ask 0.6350 (aec-mlb-kc-det-2026-07-26).</t>
        </is>
      </c>
      <c r="AF37" s="31" t="inlineStr">
        <is>
          <t>Learned model; promotion gate not yet open; zero-unit research until review.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mlb-kc</t>
        </is>
      </c>
      <c r="AQ37" s="24" t="inlineStr">
        <is>
          <t>Kansas City Royals</t>
        </is>
      </c>
      <c r="AR37" s="24" t="inlineStr">
        <is>
          <t>Kansas City Royals</t>
        </is>
      </c>
      <c r="AS37" s="24" t="inlineStr">
        <is>
          <t>mlb-det</t>
        </is>
      </c>
      <c r="AT37" s="24" t="inlineStr">
        <is>
          <t>Detroit Tigers</t>
        </is>
      </c>
      <c r="AU37" s="24" t="inlineStr">
        <is>
          <t>Detroit Tigers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10a412e78306d1f4d1a66590dd7cd2087ed53520bfa3bb925889a6371153732f</t>
        </is>
      </c>
      <c r="BB37" s="24" t="inlineStr">
        <is>
          <t>learned_lr</t>
        </is>
      </c>
      <c r="BC37" s="24" t="inlineStr">
        <is>
          <t>mlb-elo-trend-lr-v6</t>
        </is>
      </c>
      <c r="BD37" s="24" t="inlineStr">
        <is>
          <t>10a412e78306d1f4d1a66590dd7cd2087ed53520bfa3bb925889a6371153732f</t>
        </is>
      </c>
      <c r="BE37" s="24" t="inlineStr">
        <is>
          <t>ab13ade7b58c9aa8</t>
        </is>
      </c>
      <c r="BF37" s="24" t="inlineStr">
        <is>
          <t>1</t>
        </is>
      </c>
      <c r="BG37" s="24" t="inlineStr">
        <is>
          <t>mlb-elo-trend-lr-v6</t>
        </is>
      </c>
      <c r="BH37" s="24" t="inlineStr">
        <is>
          <t>2026-07-26T12:45:29.765826Z</t>
        </is>
      </c>
      <c r="BI37" s="24" t="inlineStr">
        <is>
          <t>["same_event","same_team_same_day","same_league_same_day"]</t>
        </is>
      </c>
      <c r="BJ37" s="25" t="n"/>
      <c r="BK37" s="26" t="n">
        <v>-174</v>
      </c>
      <c r="BL37" s="27" t="n">
        <v>1.574713</v>
      </c>
      <c r="BM37" s="28" t="n">
        <v>0.635036</v>
      </c>
      <c r="BN37" s="28" t="n">
        <v>0.631841</v>
      </c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inlineStr">
        <is>
          <t>0.6075687895</t>
        </is>
      </c>
      <c r="CD37" s="24" t="inlineStr">
        <is>
          <t>0.526674</t>
        </is>
      </c>
      <c r="CE37" s="24" t="inlineStr">
        <is>
          <t>0.98</t>
        </is>
      </c>
      <c r="CF37" s="24" t="n"/>
      <c r="CG37" s="24" t="n"/>
      <c r="CH37" s="24" t="inlineStr">
        <is>
          <t>-0.29</t>
        </is>
      </c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b263f0dc47df4609</t>
        </is>
      </c>
      <c r="B38" s="24" t="inlineStr">
        <is>
          <t>2026-07-26T12:48:45.878703Z</t>
        </is>
      </c>
      <c r="C38" s="24" t="inlineStr">
        <is>
          <t>2026-07-26T13:40:00-0400</t>
        </is>
      </c>
      <c r="D38" s="24" t="inlineStr">
        <is>
          <t>401816270</t>
        </is>
      </c>
      <c r="E38" s="24" t="inlineStr">
        <is>
          <t>MLB</t>
        </is>
      </c>
      <c r="F38" s="24" t="inlineStr">
        <is>
          <t>Los Angeles Dodgers</t>
        </is>
      </c>
      <c r="G38" s="24" t="inlineStr">
        <is>
          <t>New York Mets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144</v>
      </c>
      <c r="M38" s="27" t="n">
        <v>2.44</v>
      </c>
      <c r="N38" s="28" t="n">
        <v>0.409836</v>
      </c>
      <c r="O38" s="28" t="n">
        <v>0.542648</v>
      </c>
      <c r="P38" s="28" t="n"/>
      <c r="Q38" s="28" t="n">
        <v>0.132812</v>
      </c>
      <c r="R38" s="26" t="n">
        <v>87</v>
      </c>
      <c r="S38" s="29" t="n">
        <v>1</v>
      </c>
      <c r="T38" s="24" t="inlineStr">
        <is>
          <t>mlb-elo-trend-lr-v6</t>
        </is>
      </c>
      <c r="U38" s="24" t="inlineStr">
        <is>
          <t>settled</t>
        </is>
      </c>
      <c r="V38" s="24" t="inlineStr">
        <is>
          <t>win</t>
        </is>
      </c>
      <c r="W38" s="26" t="n">
        <v>3</v>
      </c>
      <c r="X38" s="26" t="n">
        <v>8</v>
      </c>
      <c r="Y38" s="25" t="n"/>
      <c r="Z38" s="26" t="n"/>
      <c r="AA38" s="28" t="n"/>
      <c r="AB38" s="28" t="n"/>
      <c r="AC38" s="30" t="n">
        <v>1.44</v>
      </c>
      <c r="AD38" s="24" t="inlineStr">
        <is>
          <t>2026-07-27T01:51:57.021462Z</t>
        </is>
      </c>
      <c r="AE38" s="31" t="inlineStr">
        <is>
          <t>Learned LR call at threshold 0.5690; executable ask 0.4100 (aec-mlb-lad-nym-2026-07-26).</t>
        </is>
      </c>
      <c r="AF38" s="31" t="inlineStr">
        <is>
          <t>Learned model; promotion gate not yet open; zero-unit research until review.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mlb-lad</t>
        </is>
      </c>
      <c r="AQ38" s="24" t="inlineStr">
        <is>
          <t>Los Angeles Dodgers</t>
        </is>
      </c>
      <c r="AR38" s="24" t="inlineStr">
        <is>
          <t>Los Angeles Dodgers</t>
        </is>
      </c>
      <c r="AS38" s="24" t="inlineStr">
        <is>
          <t>mlb-nym</t>
        </is>
      </c>
      <c r="AT38" s="24" t="inlineStr">
        <is>
          <t>New York Mets</t>
        </is>
      </c>
      <c r="AU38" s="24" t="inlineStr">
        <is>
          <t>New York Mets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10a412e78306d1f4d1a66590dd7cd2087ed53520bfa3bb925889a6371153732f</t>
        </is>
      </c>
      <c r="BB38" s="24" t="inlineStr">
        <is>
          <t>learned_lr</t>
        </is>
      </c>
      <c r="BC38" s="24" t="inlineStr">
        <is>
          <t>mlb-elo-trend-lr-v6</t>
        </is>
      </c>
      <c r="BD38" s="24" t="inlineStr">
        <is>
          <t>10a412e78306d1f4d1a66590dd7cd2087ed53520bfa3bb925889a6371153732f</t>
        </is>
      </c>
      <c r="BE38" s="24" t="inlineStr">
        <is>
          <t>0ad0538283a703c8</t>
        </is>
      </c>
      <c r="BF38" s="24" t="inlineStr">
        <is>
          <t>1</t>
        </is>
      </c>
      <c r="BG38" s="24" t="inlineStr">
        <is>
          <t>mlb-elo-trend-lr-v6</t>
        </is>
      </c>
      <c r="BH38" s="24" t="inlineStr">
        <is>
          <t>2026-07-26T12:45:32.381224Z</t>
        </is>
      </c>
      <c r="BI38" s="24" t="inlineStr">
        <is>
          <t>["same_event","same_team_same_day","same_league_same_day"]</t>
        </is>
      </c>
      <c r="BJ38" s="25" t="n"/>
      <c r="BK38" s="26" t="n">
        <v>144</v>
      </c>
      <c r="BL38" s="27" t="n">
        <v>2.44</v>
      </c>
      <c r="BM38" s="28" t="n">
        <v>0.409836</v>
      </c>
      <c r="BN38" s="28" t="n">
        <v>0.40796</v>
      </c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inlineStr">
        <is>
          <t>0.3742927358</t>
        </is>
      </c>
      <c r="CD38" s="24" t="inlineStr">
        <is>
          <t>-0.95341</t>
        </is>
      </c>
      <c r="CE38" s="24" t="inlineStr">
        <is>
          <t>0.97</t>
        </is>
      </c>
      <c r="CF38" s="24" t="n"/>
      <c r="CG38" s="24" t="n"/>
      <c r="CH38" s="24" t="inlineStr">
        <is>
          <t>-0.12</t>
        </is>
      </c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811f7acb47cc4843</t>
        </is>
      </c>
      <c r="B39" s="24" t="inlineStr">
        <is>
          <t>2026-07-26T12:48:45.878703Z</t>
        </is>
      </c>
      <c r="C39" s="24" t="inlineStr">
        <is>
          <t>2026-07-26T13:40:00-0400</t>
        </is>
      </c>
      <c r="D39" s="24" t="inlineStr">
        <is>
          <t>401816272</t>
        </is>
      </c>
      <c r="E39" s="24" t="inlineStr">
        <is>
          <t>MLB</t>
        </is>
      </c>
      <c r="F39" s="24" t="inlineStr">
        <is>
          <t>San Diego Padres</t>
        </is>
      </c>
      <c r="G39" s="24" t="inlineStr">
        <is>
          <t>Miami Marlins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-120</v>
      </c>
      <c r="M39" s="27" t="n">
        <v>1.833333</v>
      </c>
      <c r="N39" s="28" t="n">
        <v>0.545455</v>
      </c>
      <c r="O39" s="28" t="n">
        <v>0.573639</v>
      </c>
      <c r="P39" s="28" t="n"/>
      <c r="Q39" s="28" t="n">
        <v>0.028184</v>
      </c>
      <c r="R39" s="26" t="n">
        <v>36</v>
      </c>
      <c r="S39" s="29" t="n">
        <v>1.25</v>
      </c>
      <c r="T39" s="24" t="inlineStr">
        <is>
          <t>mlb-elo-trend-lr-v6</t>
        </is>
      </c>
      <c r="U39" s="24" t="inlineStr">
        <is>
          <t>settled</t>
        </is>
      </c>
      <c r="V39" s="24" t="inlineStr">
        <is>
          <t>loss</t>
        </is>
      </c>
      <c r="W39" s="26" t="n">
        <v>5</v>
      </c>
      <c r="X39" s="26" t="n">
        <v>3</v>
      </c>
      <c r="Y39" s="25" t="n"/>
      <c r="Z39" s="26" t="n"/>
      <c r="AA39" s="28" t="n"/>
      <c r="AB39" s="28" t="n"/>
      <c r="AC39" s="30" t="n">
        <v>-1.25</v>
      </c>
      <c r="AD39" s="24" t="inlineStr">
        <is>
          <t>2026-07-27T01:51:57.345317Z</t>
        </is>
      </c>
      <c r="AE39" s="31" t="inlineStr">
        <is>
          <t>Learned LR call at threshold 0.5690; executable ask 0.5450 (aec-mlb-sd-mia-2026-07-26).</t>
        </is>
      </c>
      <c r="AF39" s="31" t="inlineStr">
        <is>
          <t>Learned model; promotion gate not yet open; zero-unit research until review.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mlb-sd</t>
        </is>
      </c>
      <c r="AQ39" s="24" t="inlineStr">
        <is>
          <t>San Diego Padres</t>
        </is>
      </c>
      <c r="AR39" s="24" t="inlineStr">
        <is>
          <t>San Diego Padres</t>
        </is>
      </c>
      <c r="AS39" s="24" t="inlineStr">
        <is>
          <t>mlb-mia</t>
        </is>
      </c>
      <c r="AT39" s="24" t="inlineStr">
        <is>
          <t>Miami Marlins</t>
        </is>
      </c>
      <c r="AU39" s="24" t="inlineStr">
        <is>
          <t>Miami Marlins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10a412e78306d1f4d1a66590dd7cd2087ed53520bfa3bb925889a6371153732f</t>
        </is>
      </c>
      <c r="BB39" s="24" t="inlineStr">
        <is>
          <t>learned_lr</t>
        </is>
      </c>
      <c r="BC39" s="24" t="inlineStr">
        <is>
          <t>mlb-elo-trend-lr-v6</t>
        </is>
      </c>
      <c r="BD39" s="24" t="inlineStr">
        <is>
          <t>10a412e78306d1f4d1a66590dd7cd2087ed53520bfa3bb925889a6371153732f</t>
        </is>
      </c>
      <c r="BE39" s="24" t="inlineStr">
        <is>
          <t>8504bc80207f60bf</t>
        </is>
      </c>
      <c r="BF39" s="24" t="inlineStr">
        <is>
          <t>1</t>
        </is>
      </c>
      <c r="BG39" s="24" t="inlineStr">
        <is>
          <t>mlb-elo-trend-lr-v6</t>
        </is>
      </c>
      <c r="BH39" s="24" t="inlineStr">
        <is>
          <t>2026-07-26T12:45:31.083521Z</t>
        </is>
      </c>
      <c r="BI39" s="24" t="inlineStr">
        <is>
          <t>["same_event","same_team_same_day","same_league_same_day"]</t>
        </is>
      </c>
      <c r="BJ39" s="25" t="n"/>
      <c r="BK39" s="26" t="n">
        <v>-120</v>
      </c>
      <c r="BL39" s="27" t="n">
        <v>1.833333</v>
      </c>
      <c r="BM39" s="28" t="n">
        <v>0.545455</v>
      </c>
      <c r="BN39" s="28" t="n">
        <v>0.542289</v>
      </c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inlineStr">
        <is>
          <t>0.5121449899</t>
        </is>
      </c>
      <c r="CD39" s="24" t="inlineStr">
        <is>
          <t>-2.399361</t>
        </is>
      </c>
      <c r="CE39" s="24" t="inlineStr">
        <is>
          <t>0.99</t>
        </is>
      </c>
      <c r="CF39" s="24" t="n"/>
      <c r="CG39" s="24" t="n"/>
      <c r="CH39" s="24" t="inlineStr">
        <is>
          <t>-0.14</t>
        </is>
      </c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64cc35250c2442da</t>
        </is>
      </c>
      <c r="B40" s="24" t="inlineStr">
        <is>
          <t>2026-07-26T17:56:02.643847Z</t>
        </is>
      </c>
      <c r="C40" s="24" t="inlineStr">
        <is>
          <t>2026-07-26T14:10:00-0400</t>
        </is>
      </c>
      <c r="D40" s="24" t="inlineStr">
        <is>
          <t>401816274</t>
        </is>
      </c>
      <c r="E40" s="24" t="inlineStr">
        <is>
          <t>MLB</t>
        </is>
      </c>
      <c r="F40" s="24" t="inlineStr">
        <is>
          <t>Athletics</t>
        </is>
      </c>
      <c r="G40" s="24" t="inlineStr">
        <is>
          <t>Minnesota Twins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-147</v>
      </c>
      <c r="M40" s="27" t="n">
        <v>1.680272</v>
      </c>
      <c r="N40" s="28" t="n">
        <v>0.5951419999999999</v>
      </c>
      <c r="O40" s="28" t="n">
        <v>0.601826</v>
      </c>
      <c r="P40" s="28" t="n"/>
      <c r="Q40" s="28" t="n">
        <v>0.006684</v>
      </c>
      <c r="R40" s="26" t="n">
        <v>25</v>
      </c>
      <c r="S40" s="29" t="n">
        <v>1.5</v>
      </c>
      <c r="T40" s="24" t="inlineStr">
        <is>
          <t>mlb-elo-trend-lr-v6</t>
        </is>
      </c>
      <c r="U40" s="24" t="inlineStr">
        <is>
          <t>settled</t>
        </is>
      </c>
      <c r="V40" s="24" t="inlineStr">
        <is>
          <t>win</t>
        </is>
      </c>
      <c r="W40" s="26" t="n">
        <v>8</v>
      </c>
      <c r="X40" s="26" t="n">
        <v>11</v>
      </c>
      <c r="Y40" s="25" t="n"/>
      <c r="Z40" s="26" t="n"/>
      <c r="AA40" s="28" t="n"/>
      <c r="AB40" s="28" t="n"/>
      <c r="AC40" s="30" t="n">
        <v>1.0204</v>
      </c>
      <c r="AD40" s="24" t="inlineStr">
        <is>
          <t>2026-07-27T01:51:57.680397Z</t>
        </is>
      </c>
      <c r="AE40" s="31" t="inlineStr">
        <is>
          <t>Learned LR call at threshold 0.5690; executable ask 0.5950 (aec-mlb-ath-min-2026-07-26).</t>
        </is>
      </c>
      <c r="AF40" s="31" t="inlineStr">
        <is>
          <t>Learned model; promotion gate not yet open; zero-unit research until review.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mlb-ath</t>
        </is>
      </c>
      <c r="AQ40" s="24" t="inlineStr">
        <is>
          <t>Athletics</t>
        </is>
      </c>
      <c r="AR40" s="24" t="inlineStr">
        <is>
          <t>Athletics</t>
        </is>
      </c>
      <c r="AS40" s="24" t="inlineStr">
        <is>
          <t>mlb-min</t>
        </is>
      </c>
      <c r="AT40" s="24" t="inlineStr">
        <is>
          <t>Minnesota Twins</t>
        </is>
      </c>
      <c r="AU40" s="24" t="inlineStr">
        <is>
          <t>Minnesota Twins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10a412e78306d1f4d1a66590dd7cd2087ed53520bfa3bb925889a6371153732f</t>
        </is>
      </c>
      <c r="BB40" s="24" t="inlineStr">
        <is>
          <t>learned_lr</t>
        </is>
      </c>
      <c r="BC40" s="24" t="inlineStr">
        <is>
          <t>mlb-elo-trend-lr-v6</t>
        </is>
      </c>
      <c r="BD40" s="24" t="inlineStr">
        <is>
          <t>10a412e78306d1f4d1a66590dd7cd2087ed53520bfa3bb925889a6371153732f</t>
        </is>
      </c>
      <c r="BE40" s="24" t="inlineStr">
        <is>
          <t>957cc4ec14af077f</t>
        </is>
      </c>
      <c r="BF40" s="24" t="inlineStr">
        <is>
          <t>1</t>
        </is>
      </c>
      <c r="BG40" s="24" t="inlineStr">
        <is>
          <t>mlb-elo-trend-lr-v6</t>
        </is>
      </c>
      <c r="BH40" s="24" t="inlineStr">
        <is>
          <t>2026-07-26T17:53:53.914839Z</t>
        </is>
      </c>
      <c r="BI40" s="24" t="inlineStr">
        <is>
          <t>["same_event","same_team_same_day","same_league_same_day"]</t>
        </is>
      </c>
      <c r="BJ40" s="25" t="n"/>
      <c r="BK40" s="26" t="n">
        <v>-147</v>
      </c>
      <c r="BL40" s="27" t="n">
        <v>1.680272</v>
      </c>
      <c r="BM40" s="28" t="n">
        <v>0.5951419999999999</v>
      </c>
      <c r="BN40" s="28" t="n">
        <v>0.59204</v>
      </c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inlineStr">
        <is>
          <t>0.574450019</t>
        </is>
      </c>
      <c r="CD40" s="24" t="inlineStr">
        <is>
          <t>-0.051147</t>
        </is>
      </c>
      <c r="CE40" s="24" t="inlineStr">
        <is>
          <t>1.0</t>
        </is>
      </c>
      <c r="CF40" s="24" t="n"/>
      <c r="CG40" s="24" t="n"/>
      <c r="CH40" s="24" t="inlineStr">
        <is>
          <t>-0.96</t>
        </is>
      </c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adb43705638f49ea</t>
        </is>
      </c>
      <c r="B41" s="24" t="inlineStr">
        <is>
          <t>2026-07-26T17:56:02.643847Z</t>
        </is>
      </c>
      <c r="C41" s="24" t="inlineStr">
        <is>
          <t>2026-07-26T14:10:00-0400</t>
        </is>
      </c>
      <c r="D41" s="24" t="inlineStr">
        <is>
          <t>401816276</t>
        </is>
      </c>
      <c r="E41" s="24" t="inlineStr">
        <is>
          <t>MLB</t>
        </is>
      </c>
      <c r="F41" s="24" t="inlineStr">
        <is>
          <t>Colorado Rockies</t>
        </is>
      </c>
      <c r="G41" s="24" t="inlineStr">
        <is>
          <t>Milwaukee Brewers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-317</v>
      </c>
      <c r="M41" s="27" t="n">
        <v>1.315457</v>
      </c>
      <c r="N41" s="28" t="n">
        <v>0.760192</v>
      </c>
      <c r="O41" s="28" t="n">
        <v>0.860663</v>
      </c>
      <c r="P41" s="28" t="n"/>
      <c r="Q41" s="28" t="n">
        <v>0.100471</v>
      </c>
      <c r="R41" s="26" t="n">
        <v>72</v>
      </c>
      <c r="S41" s="29" t="n">
        <v>2</v>
      </c>
      <c r="T41" s="24" t="inlineStr">
        <is>
          <t>mlb-elo-trend-lr-v6</t>
        </is>
      </c>
      <c r="U41" s="24" t="inlineStr">
        <is>
          <t>settled</t>
        </is>
      </c>
      <c r="V41" s="24" t="inlineStr">
        <is>
          <t>win</t>
        </is>
      </c>
      <c r="W41" s="26" t="n">
        <v>2</v>
      </c>
      <c r="X41" s="26" t="n">
        <v>11</v>
      </c>
      <c r="Y41" s="25" t="n"/>
      <c r="Z41" s="26" t="n"/>
      <c r="AA41" s="28" t="n"/>
      <c r="AB41" s="28" t="n"/>
      <c r="AC41" s="30" t="n">
        <v>0.6309</v>
      </c>
      <c r="AD41" s="24" t="inlineStr">
        <is>
          <t>2026-07-27T01:51:58.008830Z</t>
        </is>
      </c>
      <c r="AE41" s="31" t="inlineStr">
        <is>
          <t>Learned LR call at threshold 0.5690; executable ask 0.7600 (aec-mlb-col-mil-2026-07-26).</t>
        </is>
      </c>
      <c r="AF41" s="31" t="inlineStr">
        <is>
          <t>Learned model; promotion gate not yet open; zero-unit research until review.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mlb-col</t>
        </is>
      </c>
      <c r="AQ41" s="24" t="inlineStr">
        <is>
          <t>Colorado Rockies</t>
        </is>
      </c>
      <c r="AR41" s="24" t="inlineStr">
        <is>
          <t>Colorado Rockies</t>
        </is>
      </c>
      <c r="AS41" s="24" t="inlineStr">
        <is>
          <t>mlb-mil</t>
        </is>
      </c>
      <c r="AT41" s="24" t="inlineStr">
        <is>
          <t>Milwaukee Brewers</t>
        </is>
      </c>
      <c r="AU41" s="24" t="inlineStr">
        <is>
          <t>Milwaukee Brewers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10a412e78306d1f4d1a66590dd7cd2087ed53520bfa3bb925889a6371153732f</t>
        </is>
      </c>
      <c r="BB41" s="24" t="inlineStr">
        <is>
          <t>learned_lr</t>
        </is>
      </c>
      <c r="BC41" s="24" t="inlineStr">
        <is>
          <t>mlb-elo-trend-lr-v6</t>
        </is>
      </c>
      <c r="BD41" s="24" t="inlineStr">
        <is>
          <t>10a412e78306d1f4d1a66590dd7cd2087ed53520bfa3bb925889a6371153732f</t>
        </is>
      </c>
      <c r="BE41" s="24" t="inlineStr">
        <is>
          <t>b16669b146172d5b</t>
        </is>
      </c>
      <c r="BF41" s="24" t="inlineStr">
        <is>
          <t>1</t>
        </is>
      </c>
      <c r="BG41" s="24" t="inlineStr">
        <is>
          <t>mlb-elo-trend-lr-v6</t>
        </is>
      </c>
      <c r="BH41" s="24" t="inlineStr">
        <is>
          <t>2026-07-26T17:53:52.064462Z</t>
        </is>
      </c>
      <c r="BI41" s="24" t="inlineStr">
        <is>
          <t>["same_event","same_team_same_day","same_league_same_day"]</t>
        </is>
      </c>
      <c r="BJ41" s="25" t="n"/>
      <c r="BK41" s="26" t="n">
        <v>-317</v>
      </c>
      <c r="BL41" s="27" t="n">
        <v>1.315457</v>
      </c>
      <c r="BM41" s="28" t="n">
        <v>0.760192</v>
      </c>
      <c r="BN41" s="28" t="n">
        <v>0.756219</v>
      </c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inlineStr">
        <is>
          <t>0.7661240932</t>
        </is>
      </c>
      <c r="CD41" s="24" t="inlineStr">
        <is>
          <t>0.243505</t>
        </is>
      </c>
      <c r="CE41" s="24" t="inlineStr">
        <is>
          <t>0.98</t>
        </is>
      </c>
      <c r="CF41" s="24" t="n"/>
      <c r="CG41" s="24" t="n"/>
      <c r="CH41" s="24" t="inlineStr">
        <is>
          <t>-5.71</t>
        </is>
      </c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08f2e6a5911b49be</t>
        </is>
      </c>
      <c r="B42" s="24" t="inlineStr">
        <is>
          <t>2026-07-26T17:56:02.643847Z</t>
        </is>
      </c>
      <c r="C42" s="24" t="inlineStr">
        <is>
          <t>2026-07-26T14:10:00-0400</t>
        </is>
      </c>
      <c r="D42" s="24" t="inlineStr">
        <is>
          <t>401816277</t>
        </is>
      </c>
      <c r="E42" s="24" t="inlineStr">
        <is>
          <t>MLB</t>
        </is>
      </c>
      <c r="F42" s="24" t="inlineStr">
        <is>
          <t>Houston Astros</t>
        </is>
      </c>
      <c r="G42" s="24" t="inlineStr">
        <is>
          <t>Chicago White Sox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-108</v>
      </c>
      <c r="M42" s="27" t="n">
        <v>1.925926</v>
      </c>
      <c r="N42" s="28" t="n">
        <v>0.519231</v>
      </c>
      <c r="O42" s="28" t="n">
        <v>0.76295</v>
      </c>
      <c r="P42" s="28" t="n"/>
      <c r="Q42" s="28" t="n">
        <v>0.243719</v>
      </c>
      <c r="R42" s="26" t="n">
        <v>100</v>
      </c>
      <c r="S42" s="29" t="n">
        <v>2</v>
      </c>
      <c r="T42" s="24" t="inlineStr">
        <is>
          <t>mlb-elo-trend-lr-v6</t>
        </is>
      </c>
      <c r="U42" s="24" t="inlineStr">
        <is>
          <t>settled</t>
        </is>
      </c>
      <c r="V42" s="24" t="inlineStr">
        <is>
          <t>win</t>
        </is>
      </c>
      <c r="W42" s="26" t="n">
        <v>3</v>
      </c>
      <c r="X42" s="26" t="n">
        <v>12</v>
      </c>
      <c r="Y42" s="25" t="n"/>
      <c r="Z42" s="26" t="n"/>
      <c r="AA42" s="28" t="n"/>
      <c r="AB42" s="28" t="n"/>
      <c r="AC42" s="30" t="n">
        <v>1.8519</v>
      </c>
      <c r="AD42" s="24" t="inlineStr">
        <is>
          <t>2026-07-27T01:51:58.472290Z</t>
        </is>
      </c>
      <c r="AE42" s="31" t="inlineStr">
        <is>
          <t>Learned LR call at threshold 0.5690; executable ask 0.5200 (aec-mlb-hou-cws-2026-07-26).</t>
        </is>
      </c>
      <c r="AF42" s="31" t="inlineStr">
        <is>
          <t>Learned model; promotion gate not yet open; zero-unit research until review.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mlb-hou</t>
        </is>
      </c>
      <c r="AQ42" s="24" t="inlineStr">
        <is>
          <t>Houston Astros</t>
        </is>
      </c>
      <c r="AR42" s="24" t="inlineStr">
        <is>
          <t>Houston Astros</t>
        </is>
      </c>
      <c r="AS42" s="24" t="inlineStr">
        <is>
          <t>mlb-cws</t>
        </is>
      </c>
      <c r="AT42" s="24" t="inlineStr">
        <is>
          <t>Chicago White Sox</t>
        </is>
      </c>
      <c r="AU42" s="24" t="inlineStr">
        <is>
          <t>Chicago White Sox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10a412e78306d1f4d1a66590dd7cd2087ed53520bfa3bb925889a6371153732f</t>
        </is>
      </c>
      <c r="BB42" s="24" t="inlineStr">
        <is>
          <t>learned_lr</t>
        </is>
      </c>
      <c r="BC42" s="24" t="inlineStr">
        <is>
          <t>mlb-elo-trend-lr-v6</t>
        </is>
      </c>
      <c r="BD42" s="24" t="inlineStr">
        <is>
          <t>10a412e78306d1f4d1a66590dd7cd2087ed53520bfa3bb925889a6371153732f</t>
        </is>
      </c>
      <c r="BE42" s="24" t="inlineStr">
        <is>
          <t>def27f316aaee3f3</t>
        </is>
      </c>
      <c r="BF42" s="24" t="inlineStr">
        <is>
          <t>1</t>
        </is>
      </c>
      <c r="BG42" s="24" t="inlineStr">
        <is>
          <t>mlb-elo-trend-lr-v6</t>
        </is>
      </c>
      <c r="BH42" s="24" t="inlineStr">
        <is>
          <t>2026-07-26T17:53:52.943898Z</t>
        </is>
      </c>
      <c r="BI42" s="24" t="inlineStr">
        <is>
          <t>["same_event","same_team_same_day","same_league_same_day"]</t>
        </is>
      </c>
      <c r="BJ42" s="25" t="n"/>
      <c r="BK42" s="26" t="n">
        <v>-108</v>
      </c>
      <c r="BL42" s="27" t="n">
        <v>1.925926</v>
      </c>
      <c r="BM42" s="28" t="n">
        <v>0.519231</v>
      </c>
      <c r="BN42" s="28" t="n">
        <v>0.517413</v>
      </c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0.5495737644</t>
        </is>
      </c>
      <c r="CD42" s="24" t="inlineStr">
        <is>
          <t>-0.365446</t>
        </is>
      </c>
      <c r="CE42" s="24" t="inlineStr">
        <is>
          <t>0.99</t>
        </is>
      </c>
      <c r="CF42" s="24" t="n"/>
      <c r="CG42" s="24" t="n"/>
      <c r="CH42" s="24" t="inlineStr">
        <is>
          <t>-3.55</t>
        </is>
      </c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1693f579da2c4e1b</t>
        </is>
      </c>
      <c r="B43" s="24" t="inlineStr">
        <is>
          <t>2026-07-26T17:56:02.643847Z</t>
        </is>
      </c>
      <c r="C43" s="24" t="inlineStr">
        <is>
          <t>2026-07-26T14:15:00-0400</t>
        </is>
      </c>
      <c r="D43" s="24" t="inlineStr">
        <is>
          <t>401816275</t>
        </is>
      </c>
      <c r="E43" s="24" t="inlineStr">
        <is>
          <t>MLB</t>
        </is>
      </c>
      <c r="F43" s="24" t="inlineStr">
        <is>
          <t>Cincinnati Reds</t>
        </is>
      </c>
      <c r="G43" s="24" t="inlineStr">
        <is>
          <t>St. Louis Cardinals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-122</v>
      </c>
      <c r="M43" s="27" t="n">
        <v>1.819672</v>
      </c>
      <c r="N43" s="28" t="n">
        <v>0.54955</v>
      </c>
      <c r="O43" s="28" t="n">
        <v>0.569279</v>
      </c>
      <c r="P43" s="28" t="n"/>
      <c r="Q43" s="28" t="n">
        <v>0.019729</v>
      </c>
      <c r="R43" s="26" t="n">
        <v>31</v>
      </c>
      <c r="S43" s="29" t="n">
        <v>1.25</v>
      </c>
      <c r="T43" s="24" t="inlineStr">
        <is>
          <t>mlb-elo-trend-lr-v6</t>
        </is>
      </c>
      <c r="U43" s="24" t="inlineStr">
        <is>
          <t>settled</t>
        </is>
      </c>
      <c r="V43" s="24" t="inlineStr">
        <is>
          <t>loss</t>
        </is>
      </c>
      <c r="W43" s="26" t="n">
        <v>5</v>
      </c>
      <c r="X43" s="26" t="n">
        <v>3</v>
      </c>
      <c r="Y43" s="25" t="n"/>
      <c r="Z43" s="26" t="n"/>
      <c r="AA43" s="28" t="n"/>
      <c r="AB43" s="28" t="n"/>
      <c r="AC43" s="30" t="n">
        <v>-1.25</v>
      </c>
      <c r="AD43" s="24" t="inlineStr">
        <is>
          <t>2026-07-27T01:51:58.876965Z</t>
        </is>
      </c>
      <c r="AE43" s="31" t="inlineStr">
        <is>
          <t>Learned LR call at threshold 0.5690; executable ask 0.5500 (aec-mlb-cin-stl-2026-07-26).</t>
        </is>
      </c>
      <c r="AF43" s="31" t="inlineStr">
        <is>
          <t>Learned model; promotion gate not yet open; zero-unit research until review.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mlb-cin</t>
        </is>
      </c>
      <c r="AQ43" s="24" t="inlineStr">
        <is>
          <t>Cincinnati Reds</t>
        </is>
      </c>
      <c r="AR43" s="24" t="inlineStr">
        <is>
          <t>Cincinnati Reds</t>
        </is>
      </c>
      <c r="AS43" s="24" t="inlineStr">
        <is>
          <t>mlb-stl</t>
        </is>
      </c>
      <c r="AT43" s="24" t="inlineStr">
        <is>
          <t>St. Louis Cardinals</t>
        </is>
      </c>
      <c r="AU43" s="24" t="inlineStr">
        <is>
          <t>St. Louis Cardinals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10a412e78306d1f4d1a66590dd7cd2087ed53520bfa3bb925889a6371153732f</t>
        </is>
      </c>
      <c r="BB43" s="24" t="inlineStr">
        <is>
          <t>learned_lr</t>
        </is>
      </c>
      <c r="BC43" s="24" t="inlineStr">
        <is>
          <t>mlb-elo-trend-lr-v6</t>
        </is>
      </c>
      <c r="BD43" s="24" t="inlineStr">
        <is>
          <t>10a412e78306d1f4d1a66590dd7cd2087ed53520bfa3bb925889a6371153732f</t>
        </is>
      </c>
      <c r="BE43" s="24" t="inlineStr">
        <is>
          <t>f68c536a1cdbc8f9</t>
        </is>
      </c>
      <c r="BF43" s="24" t="inlineStr">
        <is>
          <t>1</t>
        </is>
      </c>
      <c r="BG43" s="24" t="inlineStr">
        <is>
          <t>mlb-elo-trend-lr-v6</t>
        </is>
      </c>
      <c r="BH43" s="24" t="inlineStr">
        <is>
          <t>2026-07-26T17:53:54.792406Z</t>
        </is>
      </c>
      <c r="BI43" s="24" t="inlineStr">
        <is>
          <t>["same_event","same_team_same_day","same_league_same_day"]</t>
        </is>
      </c>
      <c r="BJ43" s="25" t="n"/>
      <c r="BK43" s="26" t="n">
        <v>-122</v>
      </c>
      <c r="BL43" s="27" t="n">
        <v>1.819672</v>
      </c>
      <c r="BM43" s="28" t="n">
        <v>0.54955</v>
      </c>
      <c r="BN43" s="28" t="n">
        <v>0.547264</v>
      </c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0.5554985391</t>
        </is>
      </c>
      <c r="CD43" s="24" t="inlineStr">
        <is>
          <t>-1.066813</t>
        </is>
      </c>
      <c r="CE43" s="24" t="inlineStr">
        <is>
          <t>0.99</t>
        </is>
      </c>
      <c r="CF43" s="24" t="n"/>
      <c r="CG43" s="24" t="n"/>
      <c r="CH43" s="24" t="inlineStr">
        <is>
          <t>-0.3</t>
        </is>
      </c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da9748108377478e</t>
        </is>
      </c>
      <c r="B44" s="24" t="inlineStr">
        <is>
          <t>2026-07-26T18:26:27.600695Z</t>
        </is>
      </c>
      <c r="C44" s="24" t="inlineStr">
        <is>
          <t>2026-07-26T14:35:00-0400</t>
        </is>
      </c>
      <c r="D44" s="24" t="inlineStr">
        <is>
          <t>401816278</t>
        </is>
      </c>
      <c r="E44" s="24" t="inlineStr">
        <is>
          <t>MLB</t>
        </is>
      </c>
      <c r="F44" s="24" t="inlineStr">
        <is>
          <t>Seattle Mariners</t>
        </is>
      </c>
      <c r="G44" s="24" t="inlineStr">
        <is>
          <t>Texas Rangers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-102</v>
      </c>
      <c r="M44" s="27" t="n">
        <v>1.980392</v>
      </c>
      <c r="N44" s="28" t="n">
        <v>0.50495</v>
      </c>
      <c r="O44" s="28" t="n">
        <v>0.505307</v>
      </c>
      <c r="P44" s="28" t="n"/>
      <c r="Q44" s="28" t="n">
        <v>0.000357</v>
      </c>
      <c r="R44" s="26" t="n">
        <v>21</v>
      </c>
      <c r="S44" s="29" t="n">
        <v>0.5</v>
      </c>
      <c r="T44" s="24" t="inlineStr">
        <is>
          <t>mlb-elo-trend-lr-v6</t>
        </is>
      </c>
      <c r="U44" s="24" t="inlineStr">
        <is>
          <t>settled</t>
        </is>
      </c>
      <c r="V44" s="24" t="inlineStr">
        <is>
          <t>loss</t>
        </is>
      </c>
      <c r="W44" s="26" t="n">
        <v>6</v>
      </c>
      <c r="X44" s="26" t="n">
        <v>4</v>
      </c>
      <c r="Y44" s="25" t="n"/>
      <c r="Z44" s="26" t="n"/>
      <c r="AA44" s="28" t="n"/>
      <c r="AB44" s="28" t="n"/>
      <c r="AC44" s="30" t="n">
        <v>-0.5</v>
      </c>
      <c r="AD44" s="24" t="inlineStr">
        <is>
          <t>2026-07-27T01:51:59.390063Z</t>
        </is>
      </c>
      <c r="AE44" s="31" t="inlineStr">
        <is>
          <t>Learned LR call at threshold 0.5690; executable ask 0.5050 (aec-mlb-sea-tex-2026-07-26).</t>
        </is>
      </c>
      <c r="AF44" s="31" t="inlineStr">
        <is>
          <t>Learned model; promotion gate not yet open; zero-unit research until review.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mlb-sea</t>
        </is>
      </c>
      <c r="AQ44" s="24" t="inlineStr">
        <is>
          <t>Seattle Mariners</t>
        </is>
      </c>
      <c r="AR44" s="24" t="inlineStr">
        <is>
          <t>Seattle Mariners</t>
        </is>
      </c>
      <c r="AS44" s="24" t="inlineStr">
        <is>
          <t>mlb-tex</t>
        </is>
      </c>
      <c r="AT44" s="24" t="inlineStr">
        <is>
          <t>Texas Rangers</t>
        </is>
      </c>
      <c r="AU44" s="24" t="inlineStr">
        <is>
          <t>Texas Rangers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10a412e78306d1f4d1a66590dd7cd2087ed53520bfa3bb925889a6371153732f</t>
        </is>
      </c>
      <c r="BB44" s="24" t="inlineStr">
        <is>
          <t>learned_lr</t>
        </is>
      </c>
      <c r="BC44" s="24" t="inlineStr">
        <is>
          <t>mlb-elo-trend-lr-v6</t>
        </is>
      </c>
      <c r="BD44" s="24" t="inlineStr">
        <is>
          <t>10a412e78306d1f4d1a66590dd7cd2087ed53520bfa3bb925889a6371153732f</t>
        </is>
      </c>
      <c r="BE44" s="24" t="inlineStr">
        <is>
          <t>00ba68e7dd721aff</t>
        </is>
      </c>
      <c r="BF44" s="24" t="inlineStr">
        <is>
          <t>1</t>
        </is>
      </c>
      <c r="BG44" s="24" t="inlineStr">
        <is>
          <t>mlb-elo-trend-lr-v6</t>
        </is>
      </c>
      <c r="BH44" s="24" t="inlineStr">
        <is>
          <t>2026-07-26T18:26:09.586089Z</t>
        </is>
      </c>
      <c r="BI44" s="24" t="inlineStr">
        <is>
          <t>["same_event","same_team_same_day","same_league_same_day"]</t>
        </is>
      </c>
      <c r="BJ44" s="25" t="n"/>
      <c r="BK44" s="26" t="n">
        <v>-102</v>
      </c>
      <c r="BL44" s="27" t="n">
        <v>1.980392</v>
      </c>
      <c r="BM44" s="28" t="n">
        <v>0.50495</v>
      </c>
      <c r="BN44" s="28" t="n">
        <v>0.502488</v>
      </c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inlineStr">
        <is>
          <t>0.492334675</t>
        </is>
      </c>
      <c r="CD44" s="24" t="inlineStr">
        <is>
          <t>-0.43076</t>
        </is>
      </c>
      <c r="CE44" s="24" t="inlineStr">
        <is>
          <t>1.02</t>
        </is>
      </c>
      <c r="CF44" s="24" t="n"/>
      <c r="CG44" s="24" t="n"/>
      <c r="CH44" s="24" t="inlineStr">
        <is>
          <t>0.38</t>
        </is>
      </c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a7c37f7410524d17</t>
        </is>
      </c>
      <c r="B45" s="24" t="inlineStr">
        <is>
          <t>2026-07-26T19:31:38.876416Z</t>
        </is>
      </c>
      <c r="C45" s="24" t="inlineStr">
        <is>
          <t>2026-07-26T16:05:00-0400</t>
        </is>
      </c>
      <c r="D45" s="24" t="inlineStr">
        <is>
          <t>401816279</t>
        </is>
      </c>
      <c r="E45" s="24" t="inlineStr">
        <is>
          <t>MLB</t>
        </is>
      </c>
      <c r="F45" s="24" t="inlineStr">
        <is>
          <t>Los Angeles Angels</t>
        </is>
      </c>
      <c r="G45" s="24" t="inlineStr">
        <is>
          <t>San Francisco Giants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106</v>
      </c>
      <c r="M45" s="27" t="n">
        <v>2.06</v>
      </c>
      <c r="N45" s="28" t="n">
        <v>0.485437</v>
      </c>
      <c r="O45" s="28" t="n">
        <v>0.525689</v>
      </c>
      <c r="P45" s="28" t="n"/>
      <c r="Q45" s="28" t="n">
        <v>0.040252</v>
      </c>
      <c r="R45" s="26" t="n">
        <v>42</v>
      </c>
      <c r="S45" s="29" t="n">
        <v>0.75</v>
      </c>
      <c r="T45" s="24" t="inlineStr">
        <is>
          <t>mlb-elo-trend-lr-v6</t>
        </is>
      </c>
      <c r="U45" s="24" t="inlineStr">
        <is>
          <t>settled</t>
        </is>
      </c>
      <c r="V45" s="24" t="inlineStr">
        <is>
          <t>loss</t>
        </is>
      </c>
      <c r="W45" s="26" t="n">
        <v>4</v>
      </c>
      <c r="X45" s="26" t="n">
        <v>3</v>
      </c>
      <c r="Y45" s="25" t="n"/>
      <c r="Z45" s="26" t="n"/>
      <c r="AA45" s="28" t="n"/>
      <c r="AB45" s="28" t="n"/>
      <c r="AC45" s="30" t="n">
        <v>-0.75</v>
      </c>
      <c r="AD45" s="24" t="inlineStr">
        <is>
          <t>2026-07-27T01:51:59.904392Z</t>
        </is>
      </c>
      <c r="AE45" s="31" t="inlineStr">
        <is>
          <t>Learned LR call at threshold 0.5690; executable ask 0.4850 (aec-mlb-laa-sf-2026-07-26).</t>
        </is>
      </c>
      <c r="AF45" s="31" t="inlineStr">
        <is>
          <t>Learned model; promotion gate not yet open; zero-unit research until review.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mlb-laa</t>
        </is>
      </c>
      <c r="AQ45" s="24" t="inlineStr">
        <is>
          <t>Los Angeles Angels</t>
        </is>
      </c>
      <c r="AR45" s="24" t="inlineStr">
        <is>
          <t>Los Angeles Angels</t>
        </is>
      </c>
      <c r="AS45" s="24" t="inlineStr">
        <is>
          <t>mlb-sf</t>
        </is>
      </c>
      <c r="AT45" s="24" t="inlineStr">
        <is>
          <t>San Francisco Giants</t>
        </is>
      </c>
      <c r="AU45" s="24" t="inlineStr">
        <is>
          <t>San Francisco Giants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10a412e78306d1f4d1a66590dd7cd2087ed53520bfa3bb925889a6371153732f</t>
        </is>
      </c>
      <c r="BB45" s="24" t="inlineStr">
        <is>
          <t>learned_lr</t>
        </is>
      </c>
      <c r="BC45" s="24" t="inlineStr">
        <is>
          <t>mlb-elo-trend-lr-v6</t>
        </is>
      </c>
      <c r="BD45" s="24" t="inlineStr">
        <is>
          <t>10a412e78306d1f4d1a66590dd7cd2087ed53520bfa3bb925889a6371153732f</t>
        </is>
      </c>
      <c r="BE45" s="24" t="inlineStr">
        <is>
          <t>187942ed70dd936a</t>
        </is>
      </c>
      <c r="BF45" s="24" t="inlineStr">
        <is>
          <t>1</t>
        </is>
      </c>
      <c r="BG45" s="24" t="inlineStr">
        <is>
          <t>mlb-elo-trend-lr-v6</t>
        </is>
      </c>
      <c r="BH45" s="24" t="inlineStr">
        <is>
          <t>2026-07-26T19:31:30.124691Z</t>
        </is>
      </c>
      <c r="BI45" s="24" t="inlineStr">
        <is>
          <t>["same_event","same_team_same_day","same_league_same_day"]</t>
        </is>
      </c>
      <c r="BJ45" s="25" t="n"/>
      <c r="BK45" s="26" t="n">
        <v>106</v>
      </c>
      <c r="BL45" s="27" t="n">
        <v>2.06</v>
      </c>
      <c r="BM45" s="28" t="n">
        <v>0.485437</v>
      </c>
      <c r="BN45" s="28" t="n">
        <v>0.482587</v>
      </c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inlineStr">
        <is>
          <t>0.5910200645</t>
        </is>
      </c>
      <c r="CD45" s="24" t="inlineStr">
        <is>
          <t>1.053308</t>
        </is>
      </c>
      <c r="CE45" s="24" t="inlineStr">
        <is>
          <t>0.96</t>
        </is>
      </c>
      <c r="CF45" s="24" t="n"/>
      <c r="CG45" s="24" t="n"/>
      <c r="CH45" s="24" t="inlineStr">
        <is>
          <t>-0.05</t>
        </is>
      </c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f58752110dd8410b</t>
        </is>
      </c>
      <c r="B46" s="24" t="inlineStr">
        <is>
          <t>2026-07-26T20:05:35.816652Z</t>
        </is>
      </c>
      <c r="C46" s="24" t="inlineStr">
        <is>
          <t>2026-07-26T19:20:00-0400</t>
        </is>
      </c>
      <c r="D46" s="24" t="inlineStr">
        <is>
          <t>401816271</t>
        </is>
      </c>
      <c r="E46" s="24" t="inlineStr">
        <is>
          <t>MLB</t>
        </is>
      </c>
      <c r="F46" s="24" t="inlineStr">
        <is>
          <t>New York Yankees</t>
        </is>
      </c>
      <c r="G46" s="24" t="inlineStr">
        <is>
          <t>Philadelphia Phillies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-182</v>
      </c>
      <c r="M46" s="27" t="n">
        <v>1.549451</v>
      </c>
      <c r="N46" s="28" t="n">
        <v>0.64539</v>
      </c>
      <c r="O46" s="28" t="n">
        <v>0.613204</v>
      </c>
      <c r="P46" s="28" t="n"/>
      <c r="Q46" s="28" t="n">
        <v>-0.032186</v>
      </c>
      <c r="R46" s="26" t="n">
        <v>6</v>
      </c>
      <c r="S46" s="29" t="n">
        <v>1.75</v>
      </c>
      <c r="T46" s="24" t="inlineStr">
        <is>
          <t>mlb-elo-trend-lr-v6</t>
        </is>
      </c>
      <c r="U46" s="24" t="inlineStr">
        <is>
          <t>settled</t>
        </is>
      </c>
      <c r="V46" s="24" t="inlineStr">
        <is>
          <t>win</t>
        </is>
      </c>
      <c r="W46" s="26" t="n">
        <v>4</v>
      </c>
      <c r="X46" s="26" t="n">
        <v>11</v>
      </c>
      <c r="Y46" s="25" t="n"/>
      <c r="Z46" s="26" t="n"/>
      <c r="AA46" s="28" t="n"/>
      <c r="AB46" s="28" t="n"/>
      <c r="AC46" s="30" t="n">
        <v>0.9615</v>
      </c>
      <c r="AD46" s="24" t="inlineStr">
        <is>
          <t>2026-07-27T02:58:24.920727Z</t>
        </is>
      </c>
      <c r="AE46" s="31" t="inlineStr">
        <is>
          <t>Learned LR call at threshold 0.5690; executable ask 0.6450 (aec-mlb-nyy-phi-2026-07-26).</t>
        </is>
      </c>
      <c r="AF46" s="31" t="inlineStr">
        <is>
          <t>Learned model; promotion gate not yet open; zero-unit research until review.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mlb-nyy</t>
        </is>
      </c>
      <c r="AQ46" s="24" t="inlineStr">
        <is>
          <t>New York Yankees</t>
        </is>
      </c>
      <c r="AR46" s="24" t="inlineStr">
        <is>
          <t>New York Yankees</t>
        </is>
      </c>
      <c r="AS46" s="24" t="inlineStr">
        <is>
          <t>mlb-phi</t>
        </is>
      </c>
      <c r="AT46" s="24" t="inlineStr">
        <is>
          <t>Philadelphia Phillies</t>
        </is>
      </c>
      <c r="AU46" s="24" t="inlineStr">
        <is>
          <t>Philadelphia Phillies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10a412e78306d1f4d1a66590dd7cd2087ed53520bfa3bb925889a6371153732f</t>
        </is>
      </c>
      <c r="BB46" s="24" t="inlineStr">
        <is>
          <t>learned_lr</t>
        </is>
      </c>
      <c r="BC46" s="24" t="inlineStr">
        <is>
          <t>mlb-elo-trend-lr-v6</t>
        </is>
      </c>
      <c r="BD46" s="24" t="inlineStr">
        <is>
          <t>10a412e78306d1f4d1a66590dd7cd2087ed53520bfa3bb925889a6371153732f</t>
        </is>
      </c>
      <c r="BE46" s="24" t="inlineStr">
        <is>
          <t>ca9068d953d8b094</t>
        </is>
      </c>
      <c r="BF46" s="24" t="inlineStr">
        <is>
          <t>1</t>
        </is>
      </c>
      <c r="BG46" s="24" t="inlineStr">
        <is>
          <t>mlb-elo-trend-lr-v6</t>
        </is>
      </c>
      <c r="BH46" s="24" t="inlineStr">
        <is>
          <t>2026-07-26T20:05:29.450679Z</t>
        </is>
      </c>
      <c r="BI46" s="24" t="inlineStr">
        <is>
          <t>["same_event","same_team_same_day","same_league_same_day"]</t>
        </is>
      </c>
      <c r="BJ46" s="25" t="n"/>
      <c r="BK46" s="26" t="n">
        <v>-182</v>
      </c>
      <c r="BL46" s="27" t="n">
        <v>1.549451</v>
      </c>
      <c r="BM46" s="28" t="n">
        <v>0.64539</v>
      </c>
      <c r="BN46" s="28" t="n">
        <v>0.641791</v>
      </c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inlineStr">
        <is>
          <t>0.5250194834</t>
        </is>
      </c>
      <c r="CD46" s="24" t="inlineStr">
        <is>
          <t>0.764165</t>
        </is>
      </c>
      <c r="CE46" s="24" t="inlineStr">
        <is>
          <t>1.01</t>
        </is>
      </c>
      <c r="CF46" s="24" t="n"/>
      <c r="CG46" s="24" t="n"/>
      <c r="CH46" s="24" t="inlineStr">
        <is>
          <t>-1.35</t>
        </is>
      </c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320f0723c3804b39</t>
        </is>
      </c>
      <c r="B47" s="24" t="inlineStr">
        <is>
          <t>2026-07-27T17:34:41.743446Z</t>
        </is>
      </c>
      <c r="C47" s="24" t="inlineStr">
        <is>
          <t>2026-07-27T14:35:00-0400</t>
        </is>
      </c>
      <c r="D47" s="24" t="inlineStr">
        <is>
          <t>401816288</t>
        </is>
      </c>
      <c r="E47" s="24" t="inlineStr">
        <is>
          <t>MLB</t>
        </is>
      </c>
      <c r="F47" s="24" t="inlineStr">
        <is>
          <t>Seattle Mariners</t>
        </is>
      </c>
      <c r="G47" s="24" t="inlineStr">
        <is>
          <t>Texas Rangers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-122</v>
      </c>
      <c r="M47" s="27" t="n">
        <v>1.819672</v>
      </c>
      <c r="N47" s="28" t="n">
        <v>0.54955</v>
      </c>
      <c r="O47" s="28" t="n">
        <v>0.507599</v>
      </c>
      <c r="P47" s="28" t="n"/>
      <c r="Q47" s="28" t="n">
        <v>-0.041951</v>
      </c>
      <c r="R47" s="26" t="n">
        <v>0</v>
      </c>
      <c r="S47" s="29" t="n">
        <v>0.5</v>
      </c>
      <c r="T47" s="24" t="inlineStr">
        <is>
          <t>mlb-elo-trend-lr-v6</t>
        </is>
      </c>
      <c r="U47" s="24" t="inlineStr">
        <is>
          <t>settled</t>
        </is>
      </c>
      <c r="V47" s="24" t="inlineStr">
        <is>
          <t>loss</t>
        </is>
      </c>
      <c r="W47" s="26" t="n">
        <v>3</v>
      </c>
      <c r="X47" s="26" t="n">
        <v>7</v>
      </c>
      <c r="Y47" s="25" t="n"/>
      <c r="Z47" s="26" t="n">
        <v>-122</v>
      </c>
      <c r="AA47" s="28" t="n">
        <v>0.55</v>
      </c>
      <c r="AB47" s="28" t="n">
        <v>0.00045</v>
      </c>
      <c r="AC47" s="30" t="n">
        <v>-0.5</v>
      </c>
      <c r="AD47" s="24" t="inlineStr">
        <is>
          <t>2026-07-27T22:51:46.446979Z</t>
        </is>
      </c>
      <c r="AE47" s="31" t="inlineStr">
        <is>
          <t>Learned LR call at threshold 0.5690; executable ask 0.5500 (aec-mlb-sea-tex-2026-07-27).</t>
        </is>
      </c>
      <c r="AF47" s="31" t="inlineStr">
        <is>
          <t>Learned model; promotion gate not yet open; zero-unit research until review.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mlb-sea</t>
        </is>
      </c>
      <c r="AQ47" s="24" t="inlineStr">
        <is>
          <t>Seattle Mariners</t>
        </is>
      </c>
      <c r="AR47" s="24" t="inlineStr">
        <is>
          <t>Seattle Mariners</t>
        </is>
      </c>
      <c r="AS47" s="24" t="inlineStr">
        <is>
          <t>mlb-tex</t>
        </is>
      </c>
      <c r="AT47" s="24" t="inlineStr">
        <is>
          <t>Texas Rangers</t>
        </is>
      </c>
      <c r="AU47" s="24" t="inlineStr">
        <is>
          <t>Texas Rangers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10a412e78306d1f4d1a66590dd7cd2087ed53520bfa3bb925889a6371153732f</t>
        </is>
      </c>
      <c r="BB47" s="24" t="inlineStr">
        <is>
          <t>learned_lr</t>
        </is>
      </c>
      <c r="BC47" s="24" t="inlineStr">
        <is>
          <t>mlb-elo-trend-lr-v6</t>
        </is>
      </c>
      <c r="BD47" s="24" t="inlineStr">
        <is>
          <t>10a412e78306d1f4d1a66590dd7cd2087ed53520bfa3bb925889a6371153732f</t>
        </is>
      </c>
      <c r="BE47" s="24" t="inlineStr">
        <is>
          <t>a37c4a50fb01129a</t>
        </is>
      </c>
      <c r="BF47" s="24" t="inlineStr">
        <is>
          <t>1</t>
        </is>
      </c>
      <c r="BG47" s="24" t="inlineStr">
        <is>
          <t>mlb-elo-trend-lr-v6</t>
        </is>
      </c>
      <c r="BH47" s="24" t="inlineStr">
        <is>
          <t>2026-07-27T17:33:59.725337Z</t>
        </is>
      </c>
      <c r="BI47" s="24" t="inlineStr">
        <is>
          <t>["same_event","same_team_same_day","same_league_same_day"]</t>
        </is>
      </c>
      <c r="BJ47" s="25" t="n"/>
      <c r="BK47" s="26" t="n">
        <v>-122</v>
      </c>
      <c r="BL47" s="27" t="n">
        <v>1.819672</v>
      </c>
      <c r="BM47" s="28" t="n">
        <v>0.54955</v>
      </c>
      <c r="BN47" s="28" t="n">
        <v>0.547264</v>
      </c>
      <c r="BO47" s="28" t="n"/>
      <c r="BP47" s="25" t="n"/>
      <c r="BQ47" s="27" t="n">
        <v>1.819672</v>
      </c>
      <c r="BR47" s="28" t="n">
        <v>0.55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inlineStr">
        <is>
          <t>0.492334675</t>
        </is>
      </c>
      <c r="CD47" s="24" t="inlineStr">
        <is>
          <t>-0.43076</t>
        </is>
      </c>
      <c r="CE47" s="24" t="inlineStr">
        <is>
          <t>1.02</t>
        </is>
      </c>
      <c r="CF47" s="24" t="n"/>
      <c r="CG47" s="24" t="n"/>
      <c r="CH47" s="24" t="inlineStr">
        <is>
          <t>0.56</t>
        </is>
      </c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ad72817fb7064337</t>
        </is>
      </c>
      <c r="B48" s="24" t="inlineStr">
        <is>
          <t>2026-07-27T22:39:59Z</t>
        </is>
      </c>
      <c r="C48" s="24" t="inlineStr">
        <is>
          <t>2026-07-27T18:40:00-0400</t>
        </is>
      </c>
      <c r="D48" s="24" t="inlineStr">
        <is>
          <t>401816280</t>
        </is>
      </c>
      <c r="E48" s="24" t="inlineStr">
        <is>
          <t>MLB</t>
        </is>
      </c>
      <c r="F48" s="24" t="inlineStr">
        <is>
          <t>Arizona Diamondbacks</t>
        </is>
      </c>
      <c r="G48" s="24" t="inlineStr">
        <is>
          <t>Pittsburgh Pirates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-111</v>
      </c>
      <c r="M48" s="27" t="n">
        <v>1.900901</v>
      </c>
      <c r="N48" s="28" t="n">
        <v>0.526066</v>
      </c>
      <c r="O48" s="28" t="n">
        <v>0.5618379999999999</v>
      </c>
      <c r="P48" s="28" t="n"/>
      <c r="Q48" s="28" t="n">
        <v>0.035772</v>
      </c>
      <c r="R48" s="26" t="n">
        <v>40</v>
      </c>
      <c r="S48" s="29" t="n">
        <v>1</v>
      </c>
      <c r="T48" s="24" t="inlineStr">
        <is>
          <t>mlb-elo-trend-lr-v6</t>
        </is>
      </c>
      <c r="U48" s="24" t="inlineStr">
        <is>
          <t>settled</t>
        </is>
      </c>
      <c r="V48" s="24" t="inlineStr">
        <is>
          <t>win</t>
        </is>
      </c>
      <c r="W48" s="26" t="n">
        <v>2</v>
      </c>
      <c r="X48" s="26" t="n">
        <v>3</v>
      </c>
      <c r="Y48" s="25" t="n"/>
      <c r="Z48" s="26" t="n">
        <v>-111</v>
      </c>
      <c r="AA48" s="28" t="n">
        <v>0.525</v>
      </c>
      <c r="AB48" s="28" t="n">
        <v>-0.001066</v>
      </c>
      <c r="AC48" s="30" t="n">
        <v>0.9009</v>
      </c>
      <c r="AD48" s="24" t="inlineStr">
        <is>
          <t>2026-07-28T16:01:58.952093Z</t>
        </is>
      </c>
      <c r="AE48" s="31" t="inlineStr">
        <is>
          <t>Learned LR call at threshold 0.5690; executable ask 0.5250 (aec-mlb-az-pit-2026-07-27).</t>
        </is>
      </c>
      <c r="AF48" s="31" t="inlineStr">
        <is>
          <t>Learned model; shadow-qualified via operator override.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mlb-ari</t>
        </is>
      </c>
      <c r="AQ48" s="24" t="inlineStr">
        <is>
          <t>Arizona Diamondbacks</t>
        </is>
      </c>
      <c r="AR48" s="24" t="inlineStr">
        <is>
          <t>Arizona Diamondbacks</t>
        </is>
      </c>
      <c r="AS48" s="24" t="inlineStr">
        <is>
          <t>mlb-pit</t>
        </is>
      </c>
      <c r="AT48" s="24" t="inlineStr">
        <is>
          <t>Pittsburgh Pirates</t>
        </is>
      </c>
      <c r="AU48" s="24" t="inlineStr">
        <is>
          <t>Pittsburgh Pirates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0633355b1144e4205ca6d08e3f328d99cab0970358846bd77228f3bcbfcd70ee</t>
        </is>
      </c>
      <c r="BB48" s="24" t="inlineStr">
        <is>
          <t>learned_lr</t>
        </is>
      </c>
      <c r="BC48" s="24" t="inlineStr">
        <is>
          <t>mlb-elo-trend-lr-v6</t>
        </is>
      </c>
      <c r="BD48" s="24" t="inlineStr">
        <is>
          <t>0633355b1144e4205ca6d08e3f328d99cab0970358846bd77228f3bcbfcd70ee</t>
        </is>
      </c>
      <c r="BE48" s="24" t="inlineStr">
        <is>
          <t>f150919c7cff83b2</t>
        </is>
      </c>
      <c r="BF48" s="24" t="inlineStr">
        <is>
          <t>1</t>
        </is>
      </c>
      <c r="BG48" s="24" t="inlineStr">
        <is>
          <t>mlb-elo-trend-lr-v6</t>
        </is>
      </c>
      <c r="BH48" s="24" t="inlineStr">
        <is>
          <t>2026-07-27T19:48:05.872666Z</t>
        </is>
      </c>
      <c r="BI48" s="24" t="inlineStr">
        <is>
          <t>["same_event","same_team_same_day","same_league_same_day"]</t>
        </is>
      </c>
      <c r="BJ48" s="25" t="n"/>
      <c r="BK48" s="26" t="n">
        <v>-111</v>
      </c>
      <c r="BL48" s="27" t="n">
        <v>1.900901</v>
      </c>
      <c r="BM48" s="28" t="n">
        <v>0.526066</v>
      </c>
      <c r="BN48" s="28" t="n">
        <v>0.522388</v>
      </c>
      <c r="BO48" s="28" t="n"/>
      <c r="BP48" s="25" t="n"/>
      <c r="BQ48" s="27" t="n">
        <v>1.900901</v>
      </c>
      <c r="BR48" s="28" t="n">
        <v>0.525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inlineStr">
        <is>
          <t>0.5377279767</t>
        </is>
      </c>
      <c r="CD48" s="24" t="inlineStr">
        <is>
          <t>-2.019377</t>
        </is>
      </c>
      <c r="CE48" s="24" t="inlineStr">
        <is>
          <t>1.0</t>
        </is>
      </c>
      <c r="CF48" s="24" t="n"/>
      <c r="CG48" s="24" t="n"/>
      <c r="CH48" s="24" t="inlineStr">
        <is>
          <t>-0.03</t>
        </is>
      </c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f72b0b3e5a4c4739</t>
        </is>
      </c>
      <c r="B49" s="24" t="inlineStr">
        <is>
          <t>2026-07-27T22:39:59Z</t>
        </is>
      </c>
      <c r="C49" s="24" t="inlineStr">
        <is>
          <t>2026-07-27T18:40:00-0400</t>
        </is>
      </c>
      <c r="D49" s="24" t="inlineStr">
        <is>
          <t>401816282</t>
        </is>
      </c>
      <c r="E49" s="24" t="inlineStr">
        <is>
          <t>MLB</t>
        </is>
      </c>
      <c r="F49" s="24" t="inlineStr">
        <is>
          <t>Baltimore Orioles</t>
        </is>
      </c>
      <c r="G49" s="24" t="inlineStr">
        <is>
          <t>Detroit Tigers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-111</v>
      </c>
      <c r="M49" s="27" t="n">
        <v>1.900901</v>
      </c>
      <c r="N49" s="28" t="n">
        <v>0.526066</v>
      </c>
      <c r="O49" s="28" t="n">
        <v>0.569464</v>
      </c>
      <c r="P49" s="28" t="n"/>
      <c r="Q49" s="28" t="n">
        <v>0.043398</v>
      </c>
      <c r="R49" s="26" t="n">
        <v>44</v>
      </c>
      <c r="S49" s="29" t="n">
        <v>1.25</v>
      </c>
      <c r="T49" s="24" t="inlineStr">
        <is>
          <t>mlb-elo-trend-lr-v6</t>
        </is>
      </c>
      <c r="U49" s="24" t="inlineStr">
        <is>
          <t>settled</t>
        </is>
      </c>
      <c r="V49" s="24" t="inlineStr">
        <is>
          <t>loss</t>
        </is>
      </c>
      <c r="W49" s="26" t="n">
        <v>8</v>
      </c>
      <c r="X49" s="26" t="n">
        <v>5</v>
      </c>
      <c r="Y49" s="25" t="n"/>
      <c r="Z49" s="26" t="n">
        <v>-111</v>
      </c>
      <c r="AA49" s="28" t="n">
        <v>0.525</v>
      </c>
      <c r="AB49" s="28" t="n">
        <v>-0.001066</v>
      </c>
      <c r="AC49" s="30" t="n">
        <v>-1.25</v>
      </c>
      <c r="AD49" s="24" t="inlineStr">
        <is>
          <t>2026-07-28T16:01:59.352359Z</t>
        </is>
      </c>
      <c r="AE49" s="31" t="inlineStr">
        <is>
          <t>Learned LR call at threshold 0.5690; executable ask 0.5250 (aec-mlb-bal-det-2026-07-27).</t>
        </is>
      </c>
      <c r="AF49" s="31" t="inlineStr">
        <is>
          <t>Learned model; shadow-qualified via operator override.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mlb-bal</t>
        </is>
      </c>
      <c r="AQ49" s="24" t="inlineStr">
        <is>
          <t>Baltimore Orioles</t>
        </is>
      </c>
      <c r="AR49" s="24" t="inlineStr">
        <is>
          <t>Baltimore Orioles</t>
        </is>
      </c>
      <c r="AS49" s="24" t="inlineStr">
        <is>
          <t>mlb-det</t>
        </is>
      </c>
      <c r="AT49" s="24" t="inlineStr">
        <is>
          <t>Detroit Tigers</t>
        </is>
      </c>
      <c r="AU49" s="24" t="inlineStr">
        <is>
          <t>Detroit Tigers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0633355b1144e4205ca6d08e3f328d99cab0970358846bd77228f3bcbfcd70ee</t>
        </is>
      </c>
      <c r="BB49" s="24" t="inlineStr">
        <is>
          <t>learned_lr</t>
        </is>
      </c>
      <c r="BC49" s="24" t="inlineStr">
        <is>
          <t>mlb-elo-trend-lr-v6</t>
        </is>
      </c>
      <c r="BD49" s="24" t="inlineStr">
        <is>
          <t>0633355b1144e4205ca6d08e3f328d99cab0970358846bd77228f3bcbfcd70ee</t>
        </is>
      </c>
      <c r="BE49" s="24" t="inlineStr">
        <is>
          <t>59409a7dc9cee4e0</t>
        </is>
      </c>
      <c r="BF49" s="24" t="inlineStr">
        <is>
          <t>1</t>
        </is>
      </c>
      <c r="BG49" s="24" t="inlineStr">
        <is>
          <t>mlb-elo-trend-lr-v6</t>
        </is>
      </c>
      <c r="BH49" s="24" t="inlineStr">
        <is>
          <t>2026-07-27T19:48:04.828944Z</t>
        </is>
      </c>
      <c r="BI49" s="24" t="inlineStr">
        <is>
          <t>["same_event","same_team_same_day","same_league_same_day"]</t>
        </is>
      </c>
      <c r="BJ49" s="25" t="n"/>
      <c r="BK49" s="26" t="n">
        <v>-111</v>
      </c>
      <c r="BL49" s="27" t="n">
        <v>1.900901</v>
      </c>
      <c r="BM49" s="28" t="n">
        <v>0.526066</v>
      </c>
      <c r="BN49" s="28" t="n">
        <v>0.522388</v>
      </c>
      <c r="BO49" s="28" t="n"/>
      <c r="BP49" s="25" t="n"/>
      <c r="BQ49" s="27" t="n">
        <v>1.900901</v>
      </c>
      <c r="BR49" s="28" t="n">
        <v>0.525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inlineStr">
        <is>
          <t>0.5578182793</t>
        </is>
      </c>
      <c r="CD49" s="24" t="inlineStr">
        <is>
          <t>-0.528912</t>
        </is>
      </c>
      <c r="CE49" s="24" t="inlineStr">
        <is>
          <t>0.98</t>
        </is>
      </c>
      <c r="CF49" s="24" t="n"/>
      <c r="CG49" s="24" t="n"/>
      <c r="CH49" s="24" t="inlineStr">
        <is>
          <t>-0.4</t>
        </is>
      </c>
      <c r="CI49" s="24" t="n"/>
      <c r="CJ49" s="24" t="n"/>
      <c r="CK49" s="24" t="n"/>
      <c r="CL49" s="24" t="n"/>
      <c r="CM49" s="24" t="n"/>
      <c r="CN49" s="24" t="n"/>
      <c r="CO49" s="24" t="n"/>
    </row>
    <row r="50" ht="36" customHeight="1">
      <c r="A50" s="24" t="inlineStr">
        <is>
          <t>e335d49e68c94ce9</t>
        </is>
      </c>
      <c r="B50" s="24" t="inlineStr">
        <is>
          <t>2026-07-27T22:39:59Z</t>
        </is>
      </c>
      <c r="C50" s="24" t="inlineStr">
        <is>
          <t>2026-07-27T18:40:00-0400</t>
        </is>
      </c>
      <c r="D50" s="24" t="inlineStr">
        <is>
          <t>401816284</t>
        </is>
      </c>
      <c r="E50" s="24" t="inlineStr">
        <is>
          <t>MLB</t>
        </is>
      </c>
      <c r="F50" s="24" t="inlineStr">
        <is>
          <t>Philadelphia Phillies</t>
        </is>
      </c>
      <c r="G50" s="24" t="inlineStr">
        <is>
          <t>Miami Marlins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-174</v>
      </c>
      <c r="M50" s="27" t="n">
        <v>1.574713</v>
      </c>
      <c r="N50" s="28" t="n">
        <v>0.635036</v>
      </c>
      <c r="O50" s="28" t="n">
        <v>0.534637</v>
      </c>
      <c r="P50" s="28" t="n"/>
      <c r="Q50" s="28" t="n">
        <v>-0.100399</v>
      </c>
      <c r="R50" s="26" t="n">
        <v>0</v>
      </c>
      <c r="S50" s="29" t="n">
        <v>0.75</v>
      </c>
      <c r="T50" s="24" t="inlineStr">
        <is>
          <t>mlb-elo-trend-lr-v6</t>
        </is>
      </c>
      <c r="U50" s="24" t="inlineStr">
        <is>
          <t>settled</t>
        </is>
      </c>
      <c r="V50" s="24" t="inlineStr">
        <is>
          <t>loss</t>
        </is>
      </c>
      <c r="W50" s="26" t="n">
        <v>7</v>
      </c>
      <c r="X50" s="26" t="n">
        <v>8</v>
      </c>
      <c r="Y50" s="25" t="n"/>
      <c r="Z50" s="26" t="n">
        <v>-174</v>
      </c>
      <c r="AA50" s="28" t="n">
        <v>0.635</v>
      </c>
      <c r="AB50" s="28" t="n">
        <v>-3.6e-05</v>
      </c>
      <c r="AC50" s="30" t="n">
        <v>-0.75</v>
      </c>
      <c r="AD50" s="24" t="inlineStr">
        <is>
          <t>2026-07-28T16:01:59.742087Z</t>
        </is>
      </c>
      <c r="AE50" s="31" t="inlineStr">
        <is>
          <t>Learned LR call at threshold 0.5690; executable ask 0.6350 (aec-mlb-phi-mia-2026-07-27).</t>
        </is>
      </c>
      <c r="AF50" s="31" t="inlineStr">
        <is>
          <t>Learned model; shadow-qualified via operator override.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mlb-phi</t>
        </is>
      </c>
      <c r="AQ50" s="24" t="inlineStr">
        <is>
          <t>Philadelphia Phillies</t>
        </is>
      </c>
      <c r="AR50" s="24" t="inlineStr">
        <is>
          <t>Philadelphia Phillies</t>
        </is>
      </c>
      <c r="AS50" s="24" t="inlineStr">
        <is>
          <t>mlb-mia</t>
        </is>
      </c>
      <c r="AT50" s="24" t="inlineStr">
        <is>
          <t>Miami Marlins</t>
        </is>
      </c>
      <c r="AU50" s="24" t="inlineStr">
        <is>
          <t>Miami Marlins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0633355b1144e4205ca6d08e3f328d99cab0970358846bd77228f3bcbfcd70ee</t>
        </is>
      </c>
      <c r="BB50" s="24" t="inlineStr">
        <is>
          <t>learned_lr</t>
        </is>
      </c>
      <c r="BC50" s="24" t="inlineStr">
        <is>
          <t>mlb-elo-trend-lr-v6</t>
        </is>
      </c>
      <c r="BD50" s="24" t="inlineStr">
        <is>
          <t>0633355b1144e4205ca6d08e3f328d99cab0970358846bd77228f3bcbfcd70ee</t>
        </is>
      </c>
      <c r="BE50" s="24" t="inlineStr">
        <is>
          <t>5c232793b362e155</t>
        </is>
      </c>
      <c r="BF50" s="24" t="inlineStr">
        <is>
          <t>1</t>
        </is>
      </c>
      <c r="BG50" s="24" t="inlineStr">
        <is>
          <t>mlb-elo-trend-lr-v6</t>
        </is>
      </c>
      <c r="BH50" s="24" t="inlineStr">
        <is>
          <t>2026-07-27T19:48:03.771186Z</t>
        </is>
      </c>
      <c r="BI50" s="24" t="inlineStr">
        <is>
          <t>["same_event","same_team_same_day","same_league_same_day"]</t>
        </is>
      </c>
      <c r="BJ50" s="25" t="n"/>
      <c r="BK50" s="26" t="n">
        <v>-174</v>
      </c>
      <c r="BL50" s="27" t="n">
        <v>1.574713</v>
      </c>
      <c r="BM50" s="28" t="n">
        <v>0.635036</v>
      </c>
      <c r="BN50" s="28" t="n">
        <v>0.631841</v>
      </c>
      <c r="BO50" s="28" t="n"/>
      <c r="BP50" s="25" t="n"/>
      <c r="BQ50" s="27" t="n">
        <v>1.574713</v>
      </c>
      <c r="BR50" s="28" t="n">
        <v>0.635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inlineStr">
        <is>
          <t>0.477817603</t>
        </is>
      </c>
      <c r="CD50" s="24" t="inlineStr">
        <is>
          <t>-0.644046</t>
        </is>
      </c>
      <c r="CE50" s="24" t="inlineStr">
        <is>
          <t>0.99</t>
        </is>
      </c>
      <c r="CF50" s="24" t="n"/>
      <c r="CG50" s="24" t="n"/>
      <c r="CH50" s="24" t="inlineStr">
        <is>
          <t>0.99</t>
        </is>
      </c>
      <c r="CI50" s="24" t="n"/>
      <c r="CJ50" s="24" t="n"/>
      <c r="CK50" s="24" t="n"/>
      <c r="CL50" s="24" t="n"/>
      <c r="CM50" s="24" t="n"/>
      <c r="CN50" s="24" t="n"/>
      <c r="CO50" s="24" t="n"/>
    </row>
    <row r="51" ht="36" customHeight="1">
      <c r="A51" s="24" t="inlineStr">
        <is>
          <t>bcd818cd77c04b50</t>
        </is>
      </c>
      <c r="B51" s="24" t="inlineStr">
        <is>
          <t>2026-07-27T22:44:59Z</t>
        </is>
      </c>
      <c r="C51" s="24" t="inlineStr">
        <is>
          <t>2026-07-27T18:45:00-0400</t>
        </is>
      </c>
      <c r="D51" s="24" t="inlineStr">
        <is>
          <t>401816285</t>
        </is>
      </c>
      <c r="E51" s="24" t="inlineStr">
        <is>
          <t>MLB</t>
        </is>
      </c>
      <c r="F51" s="24" t="inlineStr">
        <is>
          <t>Toronto Blue Jays</t>
        </is>
      </c>
      <c r="G51" s="24" t="inlineStr">
        <is>
          <t>Washington Nationals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-115</v>
      </c>
      <c r="M51" s="27" t="n">
        <v>1.869565</v>
      </c>
      <c r="N51" s="28" t="n">
        <v>0.534884</v>
      </c>
      <c r="O51" s="28" t="n">
        <v>0.893765</v>
      </c>
      <c r="P51" s="28" t="n"/>
      <c r="Q51" s="28" t="n">
        <v>0.358881</v>
      </c>
      <c r="R51" s="26" t="n">
        <v>100</v>
      </c>
      <c r="S51" s="29" t="n">
        <v>2</v>
      </c>
      <c r="T51" s="24" t="inlineStr">
        <is>
          <t>mlb-elo-trend-lr-v6</t>
        </is>
      </c>
      <c r="U51" s="24" t="inlineStr">
        <is>
          <t>settled</t>
        </is>
      </c>
      <c r="V51" s="24" t="inlineStr">
        <is>
          <t>loss</t>
        </is>
      </c>
      <c r="W51" s="26" t="n">
        <v>3</v>
      </c>
      <c r="X51" s="26" t="n">
        <v>2</v>
      </c>
      <c r="Y51" s="25" t="n"/>
      <c r="Z51" s="26" t="n">
        <v>-115</v>
      </c>
      <c r="AA51" s="28" t="n">
        <v>0.535</v>
      </c>
      <c r="AB51" s="28" t="n">
        <v>0.000116</v>
      </c>
      <c r="AC51" s="30" t="n">
        <v>-2</v>
      </c>
      <c r="AD51" s="24" t="inlineStr">
        <is>
          <t>2026-07-28T16:02:00.164460Z</t>
        </is>
      </c>
      <c r="AE51" s="31" t="inlineStr">
        <is>
          <t>Learned LR call at threshold 0.5690; executable ask 0.5350 (aec-mlb-tor-wsh-2026-07-27).</t>
        </is>
      </c>
      <c r="AF51" s="31" t="inlineStr">
        <is>
          <t>Learned model; shadow-qualified via operator override.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mlb-tor</t>
        </is>
      </c>
      <c r="AQ51" s="24" t="inlineStr">
        <is>
          <t>Toronto Blue Jays</t>
        </is>
      </c>
      <c r="AR51" s="24" t="inlineStr">
        <is>
          <t>Toronto Blue Jays</t>
        </is>
      </c>
      <c r="AS51" s="24" t="inlineStr">
        <is>
          <t>mlb-wsh</t>
        </is>
      </c>
      <c r="AT51" s="24" t="inlineStr">
        <is>
          <t>Washington Nationals</t>
        </is>
      </c>
      <c r="AU51" s="24" t="inlineStr">
        <is>
          <t>Washington Nationals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0633355b1144e4205ca6d08e3f328d99cab0970358846bd77228f3bcbfcd70ee</t>
        </is>
      </c>
      <c r="BB51" s="24" t="inlineStr">
        <is>
          <t>learned_lr</t>
        </is>
      </c>
      <c r="BC51" s="24" t="inlineStr">
        <is>
          <t>mlb-elo-trend-lr-v6</t>
        </is>
      </c>
      <c r="BD51" s="24" t="inlineStr">
        <is>
          <t>0633355b1144e4205ca6d08e3f328d99cab0970358846bd77228f3bcbfcd70ee</t>
        </is>
      </c>
      <c r="BE51" s="24" t="inlineStr">
        <is>
          <t>c6e1a409809dfa96</t>
        </is>
      </c>
      <c r="BF51" s="24" t="inlineStr">
        <is>
          <t>1</t>
        </is>
      </c>
      <c r="BG51" s="24" t="inlineStr">
        <is>
          <t>mlb-elo-trend-lr-v6</t>
        </is>
      </c>
      <c r="BH51" s="24" t="inlineStr">
        <is>
          <t>2026-07-27T19:48:06.913287Z</t>
        </is>
      </c>
      <c r="BI51" s="24" t="inlineStr">
        <is>
          <t>["same_event","same_team_same_day","same_league_same_day"]</t>
        </is>
      </c>
      <c r="BJ51" s="25" t="n"/>
      <c r="BK51" s="26" t="n">
        <v>-115</v>
      </c>
      <c r="BL51" s="27" t="n">
        <v>1.869565</v>
      </c>
      <c r="BM51" s="28" t="n">
        <v>0.534884</v>
      </c>
      <c r="BN51" s="28" t="n">
        <v>0.532338</v>
      </c>
      <c r="BO51" s="28" t="n"/>
      <c r="BP51" s="25" t="n"/>
      <c r="BQ51" s="27" t="n">
        <v>1.869565</v>
      </c>
      <c r="BR51" s="28" t="n">
        <v>0.535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inlineStr">
        <is>
          <t>0.5019196627</t>
        </is>
      </c>
      <c r="CD51" s="24" t="inlineStr">
        <is>
          <t>0.540593</t>
        </is>
      </c>
      <c r="CE51" s="24" t="inlineStr">
        <is>
          <t>1.0</t>
        </is>
      </c>
      <c r="CF51" s="24" t="n"/>
      <c r="CG51" s="24" t="n"/>
      <c r="CH51" s="24" t="inlineStr">
        <is>
          <t>-7.14</t>
        </is>
      </c>
      <c r="CI51" s="24" t="n"/>
      <c r="CJ51" s="24" t="n"/>
      <c r="CK51" s="24" t="n"/>
      <c r="CL51" s="24" t="n"/>
      <c r="CM51" s="24" t="n"/>
      <c r="CN51" s="24" t="n"/>
      <c r="CO51" s="24" t="n"/>
    </row>
    <row r="52" ht="36" customHeight="1">
      <c r="A52" s="24" t="inlineStr">
        <is>
          <t>ac93e73b97bf4eb0</t>
        </is>
      </c>
      <c r="B52" s="24" t="inlineStr">
        <is>
          <t>2026-07-27T22:59:59Z</t>
        </is>
      </c>
      <c r="C52" s="24" t="inlineStr">
        <is>
          <t>2026-07-27T19:00:00-0400</t>
        </is>
      </c>
      <c r="D52" s="24" t="inlineStr">
        <is>
          <t>401816283</t>
        </is>
      </c>
      <c r="E52" s="24" t="inlineStr">
        <is>
          <t>MLB</t>
        </is>
      </c>
      <c r="F52" s="24" t="inlineStr">
        <is>
          <t>Cleveland Guardians</t>
        </is>
      </c>
      <c r="G52" s="24" t="inlineStr">
        <is>
          <t>Cincinnati Reds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-147</v>
      </c>
      <c r="M52" s="27" t="n">
        <v>1.680272</v>
      </c>
      <c r="N52" s="28" t="n">
        <v>0.5951419999999999</v>
      </c>
      <c r="O52" s="28" t="n">
        <v>0.684329</v>
      </c>
      <c r="P52" s="28" t="n"/>
      <c r="Q52" s="28" t="n">
        <v>0.089187</v>
      </c>
      <c r="R52" s="26" t="n">
        <v>66</v>
      </c>
      <c r="S52" s="29" t="n">
        <v>2</v>
      </c>
      <c r="T52" s="24" t="inlineStr">
        <is>
          <t>mlb-elo-trend-lr-v6</t>
        </is>
      </c>
      <c r="U52" s="24" t="inlineStr">
        <is>
          <t>settled</t>
        </is>
      </c>
      <c r="V52" s="24" t="inlineStr">
        <is>
          <t>win</t>
        </is>
      </c>
      <c r="W52" s="26" t="n">
        <v>0</v>
      </c>
      <c r="X52" s="26" t="n">
        <v>2</v>
      </c>
      <c r="Y52" s="25" t="n"/>
      <c r="Z52" s="26" t="n"/>
      <c r="AA52" s="28" t="n"/>
      <c r="AB52" s="28" t="n"/>
      <c r="AC52" s="30" t="n">
        <v>1.3605</v>
      </c>
      <c r="AD52" s="24" t="inlineStr">
        <is>
          <t>2026-07-29T05:32:39.134064Z</t>
        </is>
      </c>
      <c r="AE52" s="31" t="inlineStr">
        <is>
          <t>Learned LR call at threshold 0.5690; executable ask 0.5950 (aec-mlb-cle-cin-2026-07-27).</t>
        </is>
      </c>
      <c r="AF52" s="31" t="inlineStr">
        <is>
          <t>Learned model; shadow-qualified via operator override.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mlb-cle</t>
        </is>
      </c>
      <c r="AQ52" s="24" t="inlineStr">
        <is>
          <t>Cleveland Guardians</t>
        </is>
      </c>
      <c r="AR52" s="24" t="inlineStr">
        <is>
          <t>Cleveland Guardians</t>
        </is>
      </c>
      <c r="AS52" s="24" t="inlineStr">
        <is>
          <t>mlb-cin</t>
        </is>
      </c>
      <c r="AT52" s="24" t="inlineStr">
        <is>
          <t>Cincinnati Reds</t>
        </is>
      </c>
      <c r="AU52" s="24" t="inlineStr">
        <is>
          <t>Cincinnati Reds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0633355b1144e4205ca6d08e3f328d99cab0970358846bd77228f3bcbfcd70ee</t>
        </is>
      </c>
      <c r="BB52" s="24" t="inlineStr">
        <is>
          <t>learned_lr</t>
        </is>
      </c>
      <c r="BC52" s="24" t="inlineStr">
        <is>
          <t>mlb-elo-trend-lr-v6</t>
        </is>
      </c>
      <c r="BD52" s="24" t="inlineStr">
        <is>
          <t>0633355b1144e4205ca6d08e3f328d99cab0970358846bd77228f3bcbfcd70ee</t>
        </is>
      </c>
      <c r="BE52" s="24" t="inlineStr">
        <is>
          <t>bd6f2b0e9ab44b21</t>
        </is>
      </c>
      <c r="BF52" s="24" t="inlineStr">
        <is>
          <t>1</t>
        </is>
      </c>
      <c r="BG52" s="24" t="inlineStr">
        <is>
          <t>mlb-elo-trend-lr-v6</t>
        </is>
      </c>
      <c r="BH52" s="24" t="inlineStr">
        <is>
          <t>2026-07-27T22:52:40.069101Z</t>
        </is>
      </c>
      <c r="BI52" s="24" t="inlineStr">
        <is>
          <t>["same_event","same_team_same_day","same_league_same_day"]</t>
        </is>
      </c>
      <c r="BJ52" s="25" t="n"/>
      <c r="BK52" s="26" t="n">
        <v>-147</v>
      </c>
      <c r="BL52" s="27" t="n">
        <v>1.680272</v>
      </c>
      <c r="BM52" s="28" t="n">
        <v>0.5951419999999999</v>
      </c>
      <c r="BN52" s="28" t="n">
        <v>0.59204</v>
      </c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inlineStr">
        <is>
          <t>0.4926827475</t>
        </is>
      </c>
      <c r="CD52" s="24" t="inlineStr">
        <is>
          <t>-0.86802</t>
        </is>
      </c>
      <c r="CE52" s="24" t="inlineStr">
        <is>
          <t>1.05</t>
        </is>
      </c>
      <c r="CF52" s="24" t="n"/>
      <c r="CG52" s="24" t="n"/>
      <c r="CH52" s="24" t="inlineStr">
        <is>
          <t>-2.18</t>
        </is>
      </c>
      <c r="CI52" s="24" t="n"/>
      <c r="CJ52" s="24" t="n"/>
      <c r="CK52" s="24" t="n"/>
      <c r="CL52" s="24" t="n"/>
      <c r="CM52" s="24" t="n"/>
      <c r="CN52" s="24" t="n"/>
      <c r="CO52" s="24" t="n"/>
    </row>
    <row r="53" ht="36" customHeight="1">
      <c r="A53" s="24" t="inlineStr">
        <is>
          <t>efaa774d60cc4d1c</t>
        </is>
      </c>
      <c r="B53" s="24" t="inlineStr">
        <is>
          <t>2026-07-27T23:09:59Z</t>
        </is>
      </c>
      <c r="C53" s="24" t="inlineStr">
        <is>
          <t>2026-07-27T19:10:00-0400</t>
        </is>
      </c>
      <c r="D53" s="24" t="inlineStr">
        <is>
          <t>401816281</t>
        </is>
      </c>
      <c r="E53" s="24" t="inlineStr">
        <is>
          <t>MLB</t>
        </is>
      </c>
      <c r="F53" s="24" t="inlineStr">
        <is>
          <t>Atlanta Braves</t>
        </is>
      </c>
      <c r="G53" s="24" t="inlineStr">
        <is>
          <t>New York Mets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-102</v>
      </c>
      <c r="M53" s="27" t="n">
        <v>1.980392</v>
      </c>
      <c r="N53" s="28" t="n">
        <v>0.50495</v>
      </c>
      <c r="O53" s="28" t="n">
        <v>0.629264</v>
      </c>
      <c r="P53" s="28" t="n"/>
      <c r="Q53" s="28" t="n">
        <v>0.124314</v>
      </c>
      <c r="R53" s="26" t="n">
        <v>83</v>
      </c>
      <c r="S53" s="29" t="n">
        <v>1.75</v>
      </c>
      <c r="T53" s="24" t="inlineStr">
        <is>
          <t>mlb-elo-trend-lr-v6</t>
        </is>
      </c>
      <c r="U53" s="24" t="inlineStr">
        <is>
          <t>settled</t>
        </is>
      </c>
      <c r="V53" s="24" t="inlineStr">
        <is>
          <t>win</t>
        </is>
      </c>
      <c r="W53" s="26" t="n">
        <v>3</v>
      </c>
      <c r="X53" s="26" t="n">
        <v>14</v>
      </c>
      <c r="Y53" s="25" t="n"/>
      <c r="Z53" s="26" t="n">
        <v>-102</v>
      </c>
      <c r="AA53" s="28" t="n">
        <v>0.505</v>
      </c>
      <c r="AB53" s="28" t="n">
        <v>5e-05</v>
      </c>
      <c r="AC53" s="30" t="n">
        <v>1.7157</v>
      </c>
      <c r="AD53" s="24" t="inlineStr">
        <is>
          <t>2026-07-28T16:02:00.605673Z</t>
        </is>
      </c>
      <c r="AE53" s="31" t="inlineStr">
        <is>
          <t>Learned LR call at threshold 0.5690; executable ask 0.5050 (aec-mlb-atl-nym-2026-07-27).</t>
        </is>
      </c>
      <c r="AF53" s="31" t="inlineStr">
        <is>
          <t>Learned model; shadow-qualified via operator override.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mlb-atl</t>
        </is>
      </c>
      <c r="AQ53" s="24" t="inlineStr">
        <is>
          <t>Atlanta Braves</t>
        </is>
      </c>
      <c r="AR53" s="24" t="inlineStr">
        <is>
          <t>Atlanta Braves</t>
        </is>
      </c>
      <c r="AS53" s="24" t="inlineStr">
        <is>
          <t>mlb-nym</t>
        </is>
      </c>
      <c r="AT53" s="24" t="inlineStr">
        <is>
          <t>New York Mets</t>
        </is>
      </c>
      <c r="AU53" s="24" t="inlineStr">
        <is>
          <t>New York Mets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0633355b1144e4205ca6d08e3f328d99cab0970358846bd77228f3bcbfcd70ee</t>
        </is>
      </c>
      <c r="BB53" s="24" t="inlineStr">
        <is>
          <t>learned_lr</t>
        </is>
      </c>
      <c r="BC53" s="24" t="inlineStr">
        <is>
          <t>mlb-elo-trend-lr-v6</t>
        </is>
      </c>
      <c r="BD53" s="24" t="inlineStr">
        <is>
          <t>0633355b1144e4205ca6d08e3f328d99cab0970358846bd77228f3bcbfcd70ee</t>
        </is>
      </c>
      <c r="BE53" s="24" t="inlineStr">
        <is>
          <t>3ef0103e6db8ea51</t>
        </is>
      </c>
      <c r="BF53" s="24" t="inlineStr">
        <is>
          <t>1</t>
        </is>
      </c>
      <c r="BG53" s="24" t="inlineStr">
        <is>
          <t>mlb-elo-trend-lr-v6</t>
        </is>
      </c>
      <c r="BH53" s="24" t="inlineStr">
        <is>
          <t>2026-07-27T22:52:39.124210Z</t>
        </is>
      </c>
      <c r="BI53" s="24" t="inlineStr">
        <is>
          <t>["same_event","same_team_same_day","same_league_same_day"]</t>
        </is>
      </c>
      <c r="BJ53" s="25" t="n"/>
      <c r="BK53" s="26" t="n">
        <v>-102</v>
      </c>
      <c r="BL53" s="27" t="n">
        <v>1.980392</v>
      </c>
      <c r="BM53" s="28" t="n">
        <v>0.50495</v>
      </c>
      <c r="BN53" s="28" t="n">
        <v>0.502488</v>
      </c>
      <c r="BO53" s="28" t="n"/>
      <c r="BP53" s="25" t="n"/>
      <c r="BQ53" s="27" t="n">
        <v>1.980392</v>
      </c>
      <c r="BR53" s="28" t="n">
        <v>0.505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inlineStr">
        <is>
          <t>0.4315693087</t>
        </is>
      </c>
      <c r="CD53" s="24" t="inlineStr">
        <is>
          <t>-2.190624</t>
        </is>
      </c>
      <c r="CE53" s="24" t="inlineStr">
        <is>
          <t>0.97</t>
        </is>
      </c>
      <c r="CF53" s="24" t="n"/>
      <c r="CG53" s="24" t="n"/>
      <c r="CH53" s="24" t="inlineStr">
        <is>
          <t>-1.06</t>
        </is>
      </c>
      <c r="CI53" s="24" t="n"/>
      <c r="CJ53" s="24" t="n"/>
      <c r="CK53" s="24" t="n"/>
      <c r="CL53" s="24" t="n"/>
      <c r="CM53" s="24" t="n"/>
      <c r="CN53" s="24" t="n"/>
      <c r="CO53" s="24" t="n"/>
    </row>
    <row r="54" ht="36" customHeight="1">
      <c r="A54" s="24" t="inlineStr">
        <is>
          <t>79a642e33e354169</t>
        </is>
      </c>
      <c r="B54" s="24" t="inlineStr">
        <is>
          <t>2026-07-27T23:39:59Z</t>
        </is>
      </c>
      <c r="C54" s="24" t="inlineStr">
        <is>
          <t>2026-07-27T19:40:00-0400</t>
        </is>
      </c>
      <c r="D54" s="24" t="inlineStr">
        <is>
          <t>401816287</t>
        </is>
      </c>
      <c r="E54" s="24" t="inlineStr">
        <is>
          <t>MLB</t>
        </is>
      </c>
      <c r="F54" s="24" t="inlineStr">
        <is>
          <t>New York Yankees</t>
        </is>
      </c>
      <c r="G54" s="24" t="inlineStr">
        <is>
          <t>Chicago White Sox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-133</v>
      </c>
      <c r="M54" s="27" t="n">
        <v>1.75188</v>
      </c>
      <c r="N54" s="28" t="n">
        <v>0.570815</v>
      </c>
      <c r="O54" s="28" t="n">
        <v>0.693452</v>
      </c>
      <c r="P54" s="28" t="n"/>
      <c r="Q54" s="28" t="n">
        <v>0.122637</v>
      </c>
      <c r="R54" s="26" t="n">
        <v>83</v>
      </c>
      <c r="S54" s="29" t="n">
        <v>2</v>
      </c>
      <c r="T54" s="24" t="inlineStr">
        <is>
          <t>mlb-elo-trend-lr-v6</t>
        </is>
      </c>
      <c r="U54" s="24" t="inlineStr">
        <is>
          <t>settled</t>
        </is>
      </c>
      <c r="V54" s="24" t="inlineStr">
        <is>
          <t>win</t>
        </is>
      </c>
      <c r="W54" s="26" t="n">
        <v>9</v>
      </c>
      <c r="X54" s="26" t="n">
        <v>5</v>
      </c>
      <c r="Y54" s="25" t="n"/>
      <c r="Z54" s="26" t="n">
        <v>-133</v>
      </c>
      <c r="AA54" s="28" t="n">
        <v>0.57</v>
      </c>
      <c r="AB54" s="28" t="n">
        <v>-0.000815</v>
      </c>
      <c r="AC54" s="30" t="n">
        <v>1.5038</v>
      </c>
      <c r="AD54" s="24" t="inlineStr">
        <is>
          <t>2026-07-28T16:02:00.991463Z</t>
        </is>
      </c>
      <c r="AE54" s="31" t="inlineStr">
        <is>
          <t>Learned LR call at threshold 0.5690; executable ask 0.5700 (aec-mlb-nyy-cws-2026-07-27).</t>
        </is>
      </c>
      <c r="AF54" s="31" t="inlineStr">
        <is>
          <t>Learned model; shadow-qualified via operator override.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mlb-nyy</t>
        </is>
      </c>
      <c r="AQ54" s="24" t="inlineStr">
        <is>
          <t>New York Yankees</t>
        </is>
      </c>
      <c r="AR54" s="24" t="inlineStr">
        <is>
          <t>New York Yankees</t>
        </is>
      </c>
      <c r="AS54" s="24" t="inlineStr">
        <is>
          <t>mlb-cws</t>
        </is>
      </c>
      <c r="AT54" s="24" t="inlineStr">
        <is>
          <t>Chicago White Sox</t>
        </is>
      </c>
      <c r="AU54" s="24" t="inlineStr">
        <is>
          <t>Chicago White Sox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0633355b1144e4205ca6d08e3f328d99cab0970358846bd77228f3bcbfcd70ee</t>
        </is>
      </c>
      <c r="BB54" s="24" t="inlineStr">
        <is>
          <t>learned_lr</t>
        </is>
      </c>
      <c r="BC54" s="24" t="inlineStr">
        <is>
          <t>mlb-elo-trend-lr-v6</t>
        </is>
      </c>
      <c r="BD54" s="24" t="inlineStr">
        <is>
          <t>0633355b1144e4205ca6d08e3f328d99cab0970358846bd77228f3bcbfcd70ee</t>
        </is>
      </c>
      <c r="BE54" s="24" t="inlineStr">
        <is>
          <t>240c7cb854526226</t>
        </is>
      </c>
      <c r="BF54" s="24" t="inlineStr">
        <is>
          <t>1</t>
        </is>
      </c>
      <c r="BG54" s="24" t="inlineStr">
        <is>
          <t>mlb-elo-trend-lr-v6</t>
        </is>
      </c>
      <c r="BH54" s="24" t="inlineStr">
        <is>
          <t>2026-07-27T22:52:40.563303Z</t>
        </is>
      </c>
      <c r="BI54" s="24" t="inlineStr">
        <is>
          <t>["same_event","same_team_same_day","same_league_same_day"]</t>
        </is>
      </c>
      <c r="BJ54" s="25" t="n"/>
      <c r="BK54" s="26" t="n">
        <v>-133</v>
      </c>
      <c r="BL54" s="27" t="n">
        <v>1.75188</v>
      </c>
      <c r="BM54" s="28" t="n">
        <v>0.570815</v>
      </c>
      <c r="BN54" s="28" t="n">
        <v>0.567164</v>
      </c>
      <c r="BO54" s="28" t="n"/>
      <c r="BP54" s="25" t="n"/>
      <c r="BQ54" s="27" t="n">
        <v>1.75188</v>
      </c>
      <c r="BR54" s="28" t="n">
        <v>0.57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inlineStr">
        <is>
          <t>0.4761494151</t>
        </is>
      </c>
      <c r="CD54" s="24" t="inlineStr">
        <is>
          <t>1.500354</t>
        </is>
      </c>
      <c r="CE54" s="24" t="inlineStr">
        <is>
          <t>0.99</t>
        </is>
      </c>
      <c r="CF54" s="24" t="n"/>
      <c r="CG54" s="24" t="n"/>
      <c r="CH54" s="24" t="inlineStr">
        <is>
          <t>2.92</t>
        </is>
      </c>
      <c r="CI54" s="24" t="n"/>
      <c r="CJ54" s="24" t="n"/>
      <c r="CK54" s="24" t="n"/>
      <c r="CL54" s="24" t="n"/>
      <c r="CM54" s="24" t="n"/>
      <c r="CN54" s="24" t="n"/>
      <c r="CO54" s="24" t="n"/>
    </row>
    <row r="55" ht="36" customHeight="1">
      <c r="A55" s="24" t="inlineStr">
        <is>
          <t>cc1ab745702b445f</t>
        </is>
      </c>
      <c r="B55" s="24" t="inlineStr">
        <is>
          <t>2026-07-27T23:44:59Z</t>
        </is>
      </c>
      <c r="C55" s="24" t="inlineStr">
        <is>
          <t>2026-07-27T19:45:00-0400</t>
        </is>
      </c>
      <c r="D55" s="24" t="inlineStr">
        <is>
          <t>401816286</t>
        </is>
      </c>
      <c r="E55" s="24" t="inlineStr">
        <is>
          <t>MLB</t>
        </is>
      </c>
      <c r="F55" s="24" t="inlineStr">
        <is>
          <t>Chicago Cubs</t>
        </is>
      </c>
      <c r="G55" s="24" t="inlineStr">
        <is>
          <t>St. Louis Cardinals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111</v>
      </c>
      <c r="M55" s="27" t="n">
        <v>2.11</v>
      </c>
      <c r="N55" s="28" t="n">
        <v>0.473934</v>
      </c>
      <c r="O55" s="28" t="n">
        <v>0.574883</v>
      </c>
      <c r="P55" s="28" t="n"/>
      <c r="Q55" s="28" t="n">
        <v>0.100949</v>
      </c>
      <c r="R55" s="26" t="n">
        <v>71</v>
      </c>
      <c r="S55" s="29" t="n">
        <v>1.25</v>
      </c>
      <c r="T55" s="24" t="inlineStr">
        <is>
          <t>mlb-elo-trend-lr-v6</t>
        </is>
      </c>
      <c r="U55" s="24" t="inlineStr">
        <is>
          <t>settled</t>
        </is>
      </c>
      <c r="V55" s="24" t="inlineStr">
        <is>
          <t>loss</t>
        </is>
      </c>
      <c r="W55" s="26" t="n">
        <v>7</v>
      </c>
      <c r="X55" s="26" t="n">
        <v>3</v>
      </c>
      <c r="Y55" s="25" t="n"/>
      <c r="Z55" s="26" t="n">
        <v>111</v>
      </c>
      <c r="AA55" s="28" t="n">
        <v>0.475</v>
      </c>
      <c r="AB55" s="28" t="n">
        <v>0.001066</v>
      </c>
      <c r="AC55" s="30" t="n">
        <v>-1.25</v>
      </c>
      <c r="AD55" s="24" t="inlineStr">
        <is>
          <t>2026-07-28T16:02:01.423103Z</t>
        </is>
      </c>
      <c r="AE55" s="31" t="inlineStr">
        <is>
          <t>Learned LR call at threshold 0.5690; executable ask 0.4750 (aec-mlb-chc-stl-2026-07-27).</t>
        </is>
      </c>
      <c r="AF55" s="31" t="inlineStr">
        <is>
          <t>Learned model; shadow-qualified via operator override.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mlb-chc</t>
        </is>
      </c>
      <c r="AQ55" s="24" t="inlineStr">
        <is>
          <t>Chicago Cubs</t>
        </is>
      </c>
      <c r="AR55" s="24" t="inlineStr">
        <is>
          <t>Chicago Cubs</t>
        </is>
      </c>
      <c r="AS55" s="24" t="inlineStr">
        <is>
          <t>mlb-stl</t>
        </is>
      </c>
      <c r="AT55" s="24" t="inlineStr">
        <is>
          <t>St. Louis Cardinals</t>
        </is>
      </c>
      <c r="AU55" s="24" t="inlineStr">
        <is>
          <t>St. Louis Cardinals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0633355b1144e4205ca6d08e3f328d99cab0970358846bd77228f3bcbfcd70ee</t>
        </is>
      </c>
      <c r="BB55" s="24" t="inlineStr">
        <is>
          <t>learned_lr</t>
        </is>
      </c>
      <c r="BC55" s="24" t="inlineStr">
        <is>
          <t>mlb-elo-trend-lr-v6</t>
        </is>
      </c>
      <c r="BD55" s="24" t="inlineStr">
        <is>
          <t>0633355b1144e4205ca6d08e3f328d99cab0970358846bd77228f3bcbfcd70ee</t>
        </is>
      </c>
      <c r="BE55" s="24" t="inlineStr">
        <is>
          <t>01075785a4cf42a4</t>
        </is>
      </c>
      <c r="BF55" s="24" t="inlineStr">
        <is>
          <t>1</t>
        </is>
      </c>
      <c r="BG55" s="24" t="inlineStr">
        <is>
          <t>mlb-elo-trend-lr-v6</t>
        </is>
      </c>
      <c r="BH55" s="24" t="inlineStr">
        <is>
          <t>2026-07-27T22:52:41.511217Z</t>
        </is>
      </c>
      <c r="BI55" s="24" t="inlineStr">
        <is>
          <t>["same_event","same_team_same_day","same_league_same_day"]</t>
        </is>
      </c>
      <c r="BJ55" s="25" t="n"/>
      <c r="BK55" s="26" t="n">
        <v>111</v>
      </c>
      <c r="BL55" s="27" t="n">
        <v>2.11</v>
      </c>
      <c r="BM55" s="28" t="n">
        <v>0.473934</v>
      </c>
      <c r="BN55" s="28" t="n">
        <v>0.472637</v>
      </c>
      <c r="BO55" s="28" t="n"/>
      <c r="BP55" s="25" t="n"/>
      <c r="BQ55" s="27" t="n">
        <v>2.11</v>
      </c>
      <c r="BR55" s="28" t="n">
        <v>0.475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inlineStr">
        <is>
          <t>0.4644554475</t>
        </is>
      </c>
      <c r="CD55" s="24" t="inlineStr">
        <is>
          <t>-0.743911</t>
        </is>
      </c>
      <c r="CE55" s="24" t="inlineStr">
        <is>
          <t>0.99</t>
        </is>
      </c>
      <c r="CF55" s="24" t="n"/>
      <c r="CG55" s="24" t="n"/>
      <c r="CH55" s="24" t="inlineStr">
        <is>
          <t>-0.54</t>
        </is>
      </c>
      <c r="CI55" s="24" t="n"/>
      <c r="CJ55" s="24" t="n"/>
      <c r="CK55" s="24" t="n"/>
      <c r="CL55" s="24" t="n"/>
      <c r="CM55" s="24" t="n"/>
      <c r="CN55" s="24" t="n"/>
      <c r="CO55" s="24" t="n"/>
    </row>
    <row r="56" ht="36" customHeight="1">
      <c r="A56" s="24" t="inlineStr">
        <is>
          <t>7b2b2c79ff1d4b98</t>
        </is>
      </c>
      <c r="B56" s="24" t="inlineStr">
        <is>
          <t>2026-07-28T01:37:59Z</t>
        </is>
      </c>
      <c r="C56" s="24" t="inlineStr">
        <is>
          <t>2026-07-27T21:38:00-0400</t>
        </is>
      </c>
      <c r="D56" s="24" t="inlineStr">
        <is>
          <t>401816290</t>
        </is>
      </c>
      <c r="E56" s="24" t="inlineStr">
        <is>
          <t>MLB</t>
        </is>
      </c>
      <c r="F56" s="24" t="inlineStr">
        <is>
          <t>Houston Astros</t>
        </is>
      </c>
      <c r="G56" s="24" t="inlineStr">
        <is>
          <t>Los Angeles Angels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102</v>
      </c>
      <c r="M56" s="27" t="n">
        <v>2.02</v>
      </c>
      <c r="N56" s="28" t="n">
        <v>0.49505</v>
      </c>
      <c r="O56" s="28" t="n">
        <v>0.747572</v>
      </c>
      <c r="P56" s="28" t="n"/>
      <c r="Q56" s="28" t="n">
        <v>0.252522</v>
      </c>
      <c r="R56" s="26" t="n">
        <v>100</v>
      </c>
      <c r="S56" s="29" t="n">
        <v>2</v>
      </c>
      <c r="T56" s="24" t="inlineStr">
        <is>
          <t>mlb-elo-trend-lr-v6</t>
        </is>
      </c>
      <c r="U56" s="24" t="inlineStr">
        <is>
          <t>settled</t>
        </is>
      </c>
      <c r="V56" s="24" t="inlineStr">
        <is>
          <t>loss</t>
        </is>
      </c>
      <c r="W56" s="26" t="n">
        <v>6</v>
      </c>
      <c r="X56" s="26" t="n">
        <v>4</v>
      </c>
      <c r="Y56" s="25" t="n"/>
      <c r="Z56" s="26" t="n">
        <v>102</v>
      </c>
      <c r="AA56" s="28" t="n">
        <v>0.495</v>
      </c>
      <c r="AB56" s="28" t="n">
        <v>-5e-05</v>
      </c>
      <c r="AC56" s="30" t="n">
        <v>-2</v>
      </c>
      <c r="AD56" s="24" t="inlineStr">
        <is>
          <t>2026-07-28T16:02:01.810815Z</t>
        </is>
      </c>
      <c r="AE56" s="31" t="inlineStr">
        <is>
          <t>Learned LR call at threshold 0.5690; executable ask 0.4950 (aec-mlb-hou-laa-2026-07-27).</t>
        </is>
      </c>
      <c r="AF56" s="31" t="inlineStr">
        <is>
          <t>Learned model; shadow-qualified via operator override.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mlb-hou</t>
        </is>
      </c>
      <c r="AQ56" s="24" t="inlineStr">
        <is>
          <t>Houston Astros</t>
        </is>
      </c>
      <c r="AR56" s="24" t="inlineStr">
        <is>
          <t>Houston Astros</t>
        </is>
      </c>
      <c r="AS56" s="24" t="inlineStr">
        <is>
          <t>mlb-laa</t>
        </is>
      </c>
      <c r="AT56" s="24" t="inlineStr">
        <is>
          <t>Los Angeles Angels</t>
        </is>
      </c>
      <c r="AU56" s="24" t="inlineStr">
        <is>
          <t>Los Angeles Angels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0633355b1144e4205ca6d08e3f328d99cab0970358846bd77228f3bcbfcd70ee</t>
        </is>
      </c>
      <c r="BB56" s="24" t="inlineStr">
        <is>
          <t>learned_lr</t>
        </is>
      </c>
      <c r="BC56" s="24" t="inlineStr">
        <is>
          <t>mlb-elo-trend-lr-v6</t>
        </is>
      </c>
      <c r="BD56" s="24" t="inlineStr">
        <is>
          <t>0633355b1144e4205ca6d08e3f328d99cab0970358846bd77228f3bcbfcd70ee</t>
        </is>
      </c>
      <c r="BE56" s="24" t="inlineStr">
        <is>
          <t>5fa6950739bd6684</t>
        </is>
      </c>
      <c r="BF56" s="24" t="inlineStr">
        <is>
          <t>1</t>
        </is>
      </c>
      <c r="BG56" s="24" t="inlineStr">
        <is>
          <t>mlb-elo-trend-lr-v6</t>
        </is>
      </c>
      <c r="BH56" s="24" t="inlineStr">
        <is>
          <t>2026-07-27T22:52:42.458048Z</t>
        </is>
      </c>
      <c r="BI56" s="24" t="inlineStr">
        <is>
          <t>["same_event","same_team_same_day","same_league_same_day"]</t>
        </is>
      </c>
      <c r="BJ56" s="25" t="n"/>
      <c r="BK56" s="26" t="n">
        <v>102</v>
      </c>
      <c r="BL56" s="27" t="n">
        <v>2.02</v>
      </c>
      <c r="BM56" s="28" t="n">
        <v>0.49505</v>
      </c>
      <c r="BN56" s="28" t="n">
        <v>0.492537</v>
      </c>
      <c r="BO56" s="28" t="n"/>
      <c r="BP56" s="25" t="n"/>
      <c r="BQ56" s="27" t="n">
        <v>2.02</v>
      </c>
      <c r="BR56" s="28" t="n">
        <v>0.495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inlineStr">
        <is>
          <t>0.4559426507</t>
        </is>
      </c>
      <c r="CD56" s="24" t="inlineStr">
        <is>
          <t>-1.582476</t>
        </is>
      </c>
      <c r="CE56" s="24" t="inlineStr">
        <is>
          <t>1.01</t>
        </is>
      </c>
      <c r="CF56" s="24" t="n"/>
      <c r="CG56" s="24" t="n"/>
      <c r="CH56" s="24" t="inlineStr">
        <is>
          <t>-3.13</t>
        </is>
      </c>
      <c r="CI56" s="24" t="n"/>
      <c r="CJ56" s="24" t="n"/>
      <c r="CK56" s="24" t="n"/>
      <c r="CL56" s="24" t="n"/>
      <c r="CM56" s="24" t="n"/>
      <c r="CN56" s="24" t="n"/>
      <c r="CO56" s="24" t="n"/>
    </row>
    <row r="57" ht="36" customHeight="1">
      <c r="A57" s="24" t="inlineStr">
        <is>
          <t>b974b66f092f416f</t>
        </is>
      </c>
      <c r="B57" s="24" t="inlineStr">
        <is>
          <t>2026-07-28T01:39:59Z</t>
        </is>
      </c>
      <c r="C57" s="24" t="inlineStr">
        <is>
          <t>2026-07-27T21:40:00-0400</t>
        </is>
      </c>
      <c r="D57" s="24" t="inlineStr">
        <is>
          <t>401816289</t>
        </is>
      </c>
      <c r="E57" s="24" t="inlineStr">
        <is>
          <t>MLB</t>
        </is>
      </c>
      <c r="F57" s="24" t="inlineStr">
        <is>
          <t>Boston Red Sox</t>
        </is>
      </c>
      <c r="G57" s="24" t="inlineStr">
        <is>
          <t>Athletics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-170</v>
      </c>
      <c r="M57" s="27" t="n">
        <v>1.588235</v>
      </c>
      <c r="N57" s="28" t="n">
        <v>0.62963</v>
      </c>
      <c r="O57" s="28" t="n">
        <v>0.67974</v>
      </c>
      <c r="P57" s="28" t="n"/>
      <c r="Q57" s="28" t="n">
        <v>0.05011</v>
      </c>
      <c r="R57" s="26" t="n">
        <v>46</v>
      </c>
      <c r="S57" s="29" t="n">
        <v>2</v>
      </c>
      <c r="T57" s="24" t="inlineStr">
        <is>
          <t>mlb-elo-trend-lr-v6</t>
        </is>
      </c>
      <c r="U57" s="24" t="inlineStr">
        <is>
          <t>settled</t>
        </is>
      </c>
      <c r="V57" s="24" t="inlineStr">
        <is>
          <t>win</t>
        </is>
      </c>
      <c r="W57" s="26" t="n">
        <v>4</v>
      </c>
      <c r="X57" s="26" t="n">
        <v>2</v>
      </c>
      <c r="Y57" s="25" t="n"/>
      <c r="Z57" s="26" t="n">
        <v>-170</v>
      </c>
      <c r="AA57" s="28" t="n">
        <v>0.63</v>
      </c>
      <c r="AB57" s="28" t="n">
        <v>0.00037</v>
      </c>
      <c r="AC57" s="30" t="n">
        <v>1.1765</v>
      </c>
      <c r="AD57" s="24" t="inlineStr">
        <is>
          <t>2026-07-28T16:02:02.192644Z</t>
        </is>
      </c>
      <c r="AE57" s="31" t="inlineStr">
        <is>
          <t>Learned LR call at threshold 0.5690; executable ask 0.6300 (aec-mlb-bos-ath-2026-07-27).</t>
        </is>
      </c>
      <c r="AF57" s="31" t="inlineStr">
        <is>
          <t>Learned model; shadow-qualified via operator override.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mlb-bos</t>
        </is>
      </c>
      <c r="AQ57" s="24" t="inlineStr">
        <is>
          <t>Boston Red Sox</t>
        </is>
      </c>
      <c r="AR57" s="24" t="inlineStr">
        <is>
          <t>Boston Red Sox</t>
        </is>
      </c>
      <c r="AS57" s="24" t="inlineStr">
        <is>
          <t>mlb-ath</t>
        </is>
      </c>
      <c r="AT57" s="24" t="inlineStr">
        <is>
          <t>Athletics</t>
        </is>
      </c>
      <c r="AU57" s="24" t="inlineStr">
        <is>
          <t>Athletics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0633355b1144e4205ca6d08e3f328d99cab0970358846bd77228f3bcbfcd70ee</t>
        </is>
      </c>
      <c r="BB57" s="24" t="inlineStr">
        <is>
          <t>learned_lr</t>
        </is>
      </c>
      <c r="BC57" s="24" t="inlineStr">
        <is>
          <t>mlb-elo-trend-lr-v6</t>
        </is>
      </c>
      <c r="BD57" s="24" t="inlineStr">
        <is>
          <t>0633355b1144e4205ca6d08e3f328d99cab0970358846bd77228f3bcbfcd70ee</t>
        </is>
      </c>
      <c r="BE57" s="24" t="inlineStr">
        <is>
          <t>dd5973d6f0a1cad5</t>
        </is>
      </c>
      <c r="BF57" s="24" t="inlineStr">
        <is>
          <t>1</t>
        </is>
      </c>
      <c r="BG57" s="24" t="inlineStr">
        <is>
          <t>mlb-elo-trend-lr-v6</t>
        </is>
      </c>
      <c r="BH57" s="24" t="inlineStr">
        <is>
          <t>2026-07-27T22:52:43.269067Z</t>
        </is>
      </c>
      <c r="BI57" s="24" t="inlineStr">
        <is>
          <t>["same_event","same_team_same_day","same_league_same_day"]</t>
        </is>
      </c>
      <c r="BJ57" s="25" t="n"/>
      <c r="BK57" s="26" t="n">
        <v>-170</v>
      </c>
      <c r="BL57" s="27" t="n">
        <v>1.588235</v>
      </c>
      <c r="BM57" s="28" t="n">
        <v>0.62963</v>
      </c>
      <c r="BN57" s="28" t="n">
        <v>0.626866</v>
      </c>
      <c r="BO57" s="28" t="n"/>
      <c r="BP57" s="25" t="n"/>
      <c r="BQ57" s="27" t="n">
        <v>1.588235</v>
      </c>
      <c r="BR57" s="28" t="n">
        <v>0.63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inlineStr">
        <is>
          <t>0.3891185316</t>
        </is>
      </c>
      <c r="CD57" s="24" t="inlineStr">
        <is>
          <t>-1.066043</t>
        </is>
      </c>
      <c r="CE57" s="24" t="inlineStr">
        <is>
          <t>0.98</t>
        </is>
      </c>
      <c r="CF57" s="24" t="n"/>
      <c r="CG57" s="24" t="n"/>
      <c r="CH57" s="24" t="inlineStr">
        <is>
          <t>3.13</t>
        </is>
      </c>
      <c r="CI57" s="24" t="n"/>
      <c r="CJ57" s="24" t="n"/>
      <c r="CK57" s="24" t="n"/>
      <c r="CL57" s="24" t="n"/>
      <c r="CM57" s="24" t="n"/>
      <c r="CN57" s="24" t="n"/>
      <c r="CO57" s="24" t="n"/>
    </row>
    <row r="58" ht="36" customHeight="1">
      <c r="A58" s="24" t="inlineStr">
        <is>
          <t>9ea507fe70864843</t>
        </is>
      </c>
      <c r="B58" s="24" t="inlineStr">
        <is>
          <t>2026-07-28T01:44:59Z</t>
        </is>
      </c>
      <c r="C58" s="24" t="inlineStr">
        <is>
          <t>2026-07-27T21:45:00-0400</t>
        </is>
      </c>
      <c r="D58" s="24" t="inlineStr">
        <is>
          <t>401816291</t>
        </is>
      </c>
      <c r="E58" s="24" t="inlineStr">
        <is>
          <t>MLB</t>
        </is>
      </c>
      <c r="F58" s="24" t="inlineStr">
        <is>
          <t>Milwaukee Brewers</t>
        </is>
      </c>
      <c r="G58" s="24" t="inlineStr">
        <is>
          <t>San Francisco Giants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125</v>
      </c>
      <c r="M58" s="27" t="n">
        <v>2.25</v>
      </c>
      <c r="N58" s="28" t="n">
        <v>0.444444</v>
      </c>
      <c r="O58" s="28" t="n">
        <v>0.517891</v>
      </c>
      <c r="P58" s="28" t="n"/>
      <c r="Q58" s="28" t="n">
        <v>0.073447</v>
      </c>
      <c r="R58" s="26" t="n">
        <v>58</v>
      </c>
      <c r="S58" s="29" t="n">
        <v>0.75</v>
      </c>
      <c r="T58" s="24" t="inlineStr">
        <is>
          <t>mlb-elo-trend-lr-v6</t>
        </is>
      </c>
      <c r="U58" s="24" t="inlineStr">
        <is>
          <t>settled</t>
        </is>
      </c>
      <c r="V58" s="24" t="inlineStr">
        <is>
          <t>win</t>
        </is>
      </c>
      <c r="W58" s="26" t="n">
        <v>0</v>
      </c>
      <c r="X58" s="26" t="n">
        <v>3</v>
      </c>
      <c r="Y58" s="25" t="n"/>
      <c r="Z58" s="26" t="n">
        <v>125</v>
      </c>
      <c r="AA58" s="28" t="n">
        <v>0.445</v>
      </c>
      <c r="AB58" s="28" t="n">
        <v>0.000556</v>
      </c>
      <c r="AC58" s="30" t="n">
        <v>0.9375</v>
      </c>
      <c r="AD58" s="24" t="inlineStr">
        <is>
          <t>2026-07-28T16:02:02.571501Z</t>
        </is>
      </c>
      <c r="AE58" s="31" t="inlineStr">
        <is>
          <t>Learned LR call at threshold 0.5690; executable ask 0.4450 (aec-mlb-mil-sf-2026-07-27).</t>
        </is>
      </c>
      <c r="AF58" s="31" t="inlineStr">
        <is>
          <t>Learned model; shadow-qualified via operator override.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mlb-mil</t>
        </is>
      </c>
      <c r="AQ58" s="24" t="inlineStr">
        <is>
          <t>Milwaukee Brewers</t>
        </is>
      </c>
      <c r="AR58" s="24" t="inlineStr">
        <is>
          <t>Milwaukee Brewers</t>
        </is>
      </c>
      <c r="AS58" s="24" t="inlineStr">
        <is>
          <t>mlb-sf</t>
        </is>
      </c>
      <c r="AT58" s="24" t="inlineStr">
        <is>
          <t>San Francisco Giants</t>
        </is>
      </c>
      <c r="AU58" s="24" t="inlineStr">
        <is>
          <t>San Francisco Giants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0633355b1144e4205ca6d08e3f328d99cab0970358846bd77228f3bcbfcd70ee</t>
        </is>
      </c>
      <c r="BB58" s="24" t="inlineStr">
        <is>
          <t>learned_lr</t>
        </is>
      </c>
      <c r="BC58" s="24" t="inlineStr">
        <is>
          <t>mlb-elo-trend-lr-v6</t>
        </is>
      </c>
      <c r="BD58" s="24" t="inlineStr">
        <is>
          <t>0633355b1144e4205ca6d08e3f328d99cab0970358846bd77228f3bcbfcd70ee</t>
        </is>
      </c>
      <c r="BE58" s="24" t="inlineStr">
        <is>
          <t>af4d528d6f8875d3</t>
        </is>
      </c>
      <c r="BF58" s="24" t="inlineStr">
        <is>
          <t>1</t>
        </is>
      </c>
      <c r="BG58" s="24" t="inlineStr">
        <is>
          <t>mlb-elo-trend-lr-v6</t>
        </is>
      </c>
      <c r="BH58" s="24" t="inlineStr">
        <is>
          <t>2026-07-27T22:52:44.313382Z</t>
        </is>
      </c>
      <c r="BI58" s="24" t="inlineStr">
        <is>
          <t>["same_event","same_team_same_day","same_league_same_day"]</t>
        </is>
      </c>
      <c r="BJ58" s="25" t="n"/>
      <c r="BK58" s="26" t="n">
        <v>125</v>
      </c>
      <c r="BL58" s="27" t="n">
        <v>2.25</v>
      </c>
      <c r="BM58" s="28" t="n">
        <v>0.444444</v>
      </c>
      <c r="BN58" s="28" t="n">
        <v>0.442786</v>
      </c>
      <c r="BO58" s="28" t="n"/>
      <c r="BP58" s="25" t="n"/>
      <c r="BQ58" s="27" t="n">
        <v>2.25</v>
      </c>
      <c r="BR58" s="28" t="n">
        <v>0.445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inlineStr">
        <is>
          <t>0.386809701</t>
        </is>
      </c>
      <c r="CD58" s="24" t="inlineStr">
        <is>
          <t>0.729859</t>
        </is>
      </c>
      <c r="CE58" s="24" t="inlineStr">
        <is>
          <t>0.96</t>
        </is>
      </c>
      <c r="CF58" s="24" t="n"/>
      <c r="CG58" s="24" t="n"/>
      <c r="CH58" s="24" t="inlineStr">
        <is>
          <t>-0.09</t>
        </is>
      </c>
      <c r="CI58" s="24" t="n"/>
      <c r="CJ58" s="24" t="n"/>
      <c r="CK58" s="24" t="n"/>
      <c r="CL58" s="24" t="n"/>
      <c r="CM58" s="24" t="n"/>
      <c r="CN58" s="24" t="n"/>
      <c r="CO58" s="24" t="n"/>
    </row>
    <row r="59" ht="36" customHeight="1">
      <c r="A59" s="24" t="inlineStr">
        <is>
          <t>a43cca6d2fa644c9</t>
        </is>
      </c>
      <c r="B59" s="24" t="inlineStr">
        <is>
          <t>2026-07-28T17:26:33.566799Z</t>
        </is>
      </c>
      <c r="C59" s="24" t="inlineStr">
        <is>
          <t>2026-07-28T13:40:00-0400</t>
        </is>
      </c>
      <c r="D59" s="24" t="inlineStr">
        <is>
          <t>401901849</t>
        </is>
      </c>
      <c r="E59" s="24" t="inlineStr">
        <is>
          <t>MLB</t>
        </is>
      </c>
      <c r="F59" s="24" t="inlineStr">
        <is>
          <t>Cleveland Guardians</t>
        </is>
      </c>
      <c r="G59" s="24" t="inlineStr">
        <is>
          <t>Cincinnati Reds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espn</t>
        </is>
      </c>
      <c r="L59" s="26" t="n">
        <v>-110</v>
      </c>
      <c r="M59" s="27" t="n">
        <v>1.909091</v>
      </c>
      <c r="N59" s="28" t="n">
        <v>0.52381</v>
      </c>
      <c r="O59" s="28" t="n">
        <v>0.684329</v>
      </c>
      <c r="P59" s="28" t="n"/>
      <c r="Q59" s="28" t="n">
        <v>0.160519</v>
      </c>
      <c r="R59" s="26" t="n">
        <v>100</v>
      </c>
      <c r="S59" s="29" t="n">
        <v>0</v>
      </c>
      <c r="T59" s="24" t="inlineStr">
        <is>
          <t>mlb-elo-trend-lr-v6</t>
        </is>
      </c>
      <c r="U59" s="24" t="inlineStr">
        <is>
          <t>settled</t>
        </is>
      </c>
      <c r="V59" s="24" t="inlineStr">
        <is>
          <t>loss</t>
        </is>
      </c>
      <c r="W59" s="26" t="n">
        <v>6</v>
      </c>
      <c r="X59" s="26" t="n">
        <v>5</v>
      </c>
      <c r="Y59" s="25" t="n"/>
      <c r="Z59" s="26" t="n">
        <v>-147</v>
      </c>
      <c r="AA59" s="28" t="n">
        <v>0.595</v>
      </c>
      <c r="AB59" s="28" t="n">
        <v>0.07119</v>
      </c>
      <c r="AC59" s="30" t="n">
        <v>0</v>
      </c>
      <c r="AD59" s="24" t="inlineStr">
        <is>
          <t>2026-07-28T23:36:43.694434Z</t>
        </is>
      </c>
      <c r="AE59" s="31" t="inlineStr">
        <is>
          <t>Learned LR call at threshold 0.5690; no Polymarket quote available — using -110 default odds.</t>
        </is>
      </c>
      <c r="AF59" s="31" t="inlineStr">
        <is>
          <t>Learned model; shadow-qualified via operator override.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mlb-cle</t>
        </is>
      </c>
      <c r="AQ59" s="24" t="inlineStr">
        <is>
          <t>Cleveland Guardians</t>
        </is>
      </c>
      <c r="AR59" s="24" t="inlineStr">
        <is>
          <t>Cleveland Guardians</t>
        </is>
      </c>
      <c r="AS59" s="24" t="inlineStr">
        <is>
          <t>mlb-cin</t>
        </is>
      </c>
      <c r="AT59" s="24" t="inlineStr">
        <is>
          <t>Cincinnati Reds</t>
        </is>
      </c>
      <c r="AU59" s="24" t="inlineStr">
        <is>
          <t>Cincinnati Reds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0633355b1144e4205ca6d08e3f328d99cab0970358846bd77228f3bcbfcd70ee</t>
        </is>
      </c>
      <c r="BB59" s="24" t="inlineStr">
        <is>
          <t>learned_lr</t>
        </is>
      </c>
      <c r="BC59" s="24" t="inlineStr">
        <is>
          <t>mlb-elo-trend-lr-v6</t>
        </is>
      </c>
      <c r="BD59" s="24" t="inlineStr">
        <is>
          <t>0633355b1144e4205ca6d08e3f328d99cab0970358846bd77228f3bcbfcd70ee</t>
        </is>
      </c>
      <c r="BE59" s="24" t="inlineStr">
        <is>
          <t>985793cc1b640b1d</t>
        </is>
      </c>
      <c r="BF59" s="24" t="inlineStr">
        <is>
          <t>1</t>
        </is>
      </c>
      <c r="BG59" s="24" t="inlineStr">
        <is>
          <t>mlb-elo-trend-lr-v6</t>
        </is>
      </c>
      <c r="BH59" s="24" t="inlineStr">
        <is>
          <t>2026-07-28T17:26:33.566799Z</t>
        </is>
      </c>
      <c r="BI59" s="24" t="inlineStr">
        <is>
          <t>["same_event","same_team_same_day","same_league_same_day"]</t>
        </is>
      </c>
      <c r="BJ59" s="25" t="n"/>
      <c r="BK59" s="26" t="n">
        <v>-110</v>
      </c>
      <c r="BL59" s="27" t="n">
        <v>1.909091</v>
      </c>
      <c r="BM59" s="28" t="n">
        <v>0.52381</v>
      </c>
      <c r="BN59" s="28" t="n"/>
      <c r="BO59" s="28" t="n"/>
      <c r="BP59" s="25" t="n"/>
      <c r="BQ59" s="27" t="n">
        <v>1.680272</v>
      </c>
      <c r="BR59" s="28" t="n">
        <v>0.595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inlineStr">
        <is>
          <t>0.4926827475</t>
        </is>
      </c>
      <c r="CD59" s="24" t="inlineStr">
        <is>
          <t>-0.86802</t>
        </is>
      </c>
      <c r="CE59" s="24" t="inlineStr">
        <is>
          <t>1.05</t>
        </is>
      </c>
      <c r="CF59" s="24" t="n"/>
      <c r="CG59" s="24" t="n"/>
      <c r="CH59" s="24" t="inlineStr">
        <is>
          <t>-2.18</t>
        </is>
      </c>
      <c r="CI59" s="24" t="n"/>
      <c r="CJ59" s="24" t="n"/>
      <c r="CK59" s="24" t="n"/>
      <c r="CL59" s="24" t="n"/>
      <c r="CM59" s="24" t="n"/>
      <c r="CN59" s="24" t="n"/>
      <c r="CO59" s="24" t="n"/>
    </row>
    <row r="60" ht="36" customHeight="1">
      <c r="A60" s="24" t="inlineStr">
        <is>
          <t>b15b689a44994858</t>
        </is>
      </c>
      <c r="B60" s="24" t="inlineStr">
        <is>
          <t>2026-07-28T20:32:52.305699Z</t>
        </is>
      </c>
      <c r="C60" s="24" t="inlineStr">
        <is>
          <t>2026-07-28T18:40:00-0400</t>
        </is>
      </c>
      <c r="D60" s="24" t="inlineStr">
        <is>
          <t>401816292</t>
        </is>
      </c>
      <c r="E60" s="24" t="inlineStr">
        <is>
          <t>MLB</t>
        </is>
      </c>
      <c r="F60" s="24" t="inlineStr">
        <is>
          <t>Arizona Diamondbacks</t>
        </is>
      </c>
      <c r="G60" s="24" t="inlineStr">
        <is>
          <t>Pittsburgh Pirates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-106</v>
      </c>
      <c r="M60" s="27" t="n">
        <v>1.943396</v>
      </c>
      <c r="N60" s="28" t="n">
        <v>0.514563</v>
      </c>
      <c r="O60" s="28" t="n">
        <v>0.55689</v>
      </c>
      <c r="P60" s="28" t="n"/>
      <c r="Q60" s="28" t="n">
        <v>0.042327</v>
      </c>
      <c r="R60" s="26" t="n">
        <v>42</v>
      </c>
      <c r="S60" s="29" t="n">
        <v>1</v>
      </c>
      <c r="T60" s="24" t="inlineStr">
        <is>
          <t>mlb-elo-trend-lr-v6</t>
        </is>
      </c>
      <c r="U60" s="24" t="inlineStr">
        <is>
          <t>settled</t>
        </is>
      </c>
      <c r="V60" s="24" t="inlineStr">
        <is>
          <t>loss</t>
        </is>
      </c>
      <c r="W60" s="26" t="n">
        <v>8</v>
      </c>
      <c r="X60" s="26" t="n">
        <v>7</v>
      </c>
      <c r="Y60" s="25" t="n"/>
      <c r="Z60" s="26" t="n">
        <v>-106</v>
      </c>
      <c r="AA60" s="28" t="n">
        <v>0.515</v>
      </c>
      <c r="AB60" s="28" t="n">
        <v>0.000437</v>
      </c>
      <c r="AC60" s="30" t="n">
        <v>-1</v>
      </c>
      <c r="AD60" s="24" t="inlineStr">
        <is>
          <t>2026-07-29T05:44:52.815354Z</t>
        </is>
      </c>
      <c r="AE60" s="31" t="inlineStr">
        <is>
          <t>Learned LR call at threshold 0.5690; executable ask 0.5150 (aec-mlb-az-pit-2026-07-28).</t>
        </is>
      </c>
      <c r="AF60" s="31" t="inlineStr">
        <is>
          <t>Learned model; shadow-qualified via operator override.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mlb-ari</t>
        </is>
      </c>
      <c r="AQ60" s="24" t="inlineStr">
        <is>
          <t>Arizona Diamondbacks</t>
        </is>
      </c>
      <c r="AR60" s="24" t="inlineStr">
        <is>
          <t>Arizona Diamondbacks</t>
        </is>
      </c>
      <c r="AS60" s="24" t="inlineStr">
        <is>
          <t>mlb-pit</t>
        </is>
      </c>
      <c r="AT60" s="24" t="inlineStr">
        <is>
          <t>Pittsburgh Pirates</t>
        </is>
      </c>
      <c r="AU60" s="24" t="inlineStr">
        <is>
          <t>Pittsburgh Pirates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0633355b1144e4205ca6d08e3f328d99cab0970358846bd77228f3bcbfcd70ee</t>
        </is>
      </c>
      <c r="BB60" s="24" t="inlineStr">
        <is>
          <t>learned_lr</t>
        </is>
      </c>
      <c r="BC60" s="24" t="inlineStr">
        <is>
          <t>mlb-elo-trend-lr-v6</t>
        </is>
      </c>
      <c r="BD60" s="24" t="inlineStr">
        <is>
          <t>0633355b1144e4205ca6d08e3f328d99cab0970358846bd77228f3bcbfcd70ee</t>
        </is>
      </c>
      <c r="BE60" s="24" t="inlineStr">
        <is>
          <t>5ac7b1c7cdd622ff</t>
        </is>
      </c>
      <c r="BF60" s="24" t="inlineStr">
        <is>
          <t>1</t>
        </is>
      </c>
      <c r="BG60" s="24" t="inlineStr">
        <is>
          <t>mlb-elo-trend-lr-v6</t>
        </is>
      </c>
      <c r="BH60" s="24" t="inlineStr">
        <is>
          <t>2026-07-28T20:32:07.566950Z</t>
        </is>
      </c>
      <c r="BI60" s="24" t="inlineStr">
        <is>
          <t>["same_event","same_team_same_day","same_league_same_day"]</t>
        </is>
      </c>
      <c r="BJ60" s="25" t="n"/>
      <c r="BK60" s="26" t="n">
        <v>-106</v>
      </c>
      <c r="BL60" s="27" t="n">
        <v>1.943396</v>
      </c>
      <c r="BM60" s="28" t="n">
        <v>0.514563</v>
      </c>
      <c r="BN60" s="28" t="n">
        <v>0.5124379999999999</v>
      </c>
      <c r="BO60" s="28" t="n"/>
      <c r="BP60" s="25" t="n"/>
      <c r="BQ60" s="27" t="n">
        <v>1.943396</v>
      </c>
      <c r="BR60" s="28" t="n">
        <v>0.515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inlineStr">
        <is>
          <t>0.5377279767</t>
        </is>
      </c>
      <c r="CD60" s="24" t="inlineStr">
        <is>
          <t>-2.019377</t>
        </is>
      </c>
      <c r="CE60" s="24" t="inlineStr">
        <is>
          <t>1.0</t>
        </is>
      </c>
      <c r="CF60" s="24" t="n"/>
      <c r="CG60" s="24" t="n"/>
      <c r="CH60" s="24" t="inlineStr">
        <is>
          <t>0.04</t>
        </is>
      </c>
      <c r="CI60" s="24" t="n"/>
      <c r="CJ60" s="24" t="n"/>
      <c r="CK60" s="24" t="n"/>
      <c r="CL60" s="24" t="n"/>
      <c r="CM60" s="24" t="n"/>
      <c r="CN60" s="24" t="n"/>
      <c r="CO60" s="24" t="n"/>
    </row>
    <row r="61" ht="36" customHeight="1">
      <c r="A61" s="24" t="inlineStr">
        <is>
          <t>cb2375d6a7df4c82</t>
        </is>
      </c>
      <c r="B61" s="24" t="inlineStr">
        <is>
          <t>2026-07-28T20:32:52.305699Z</t>
        </is>
      </c>
      <c r="C61" s="24" t="inlineStr">
        <is>
          <t>2026-07-28T18:40:00-0400</t>
        </is>
      </c>
      <c r="D61" s="24" t="inlineStr">
        <is>
          <t>401816294</t>
        </is>
      </c>
      <c r="E61" s="24" t="inlineStr">
        <is>
          <t>MLB</t>
        </is>
      </c>
      <c r="F61" s="24" t="inlineStr">
        <is>
          <t>Baltimore Orioles</t>
        </is>
      </c>
      <c r="G61" s="24" t="inlineStr">
        <is>
          <t>Detroit Tigers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-135</v>
      </c>
      <c r="M61" s="27" t="n">
        <v>1.740741</v>
      </c>
      <c r="N61" s="28" t="n">
        <v>0.574468</v>
      </c>
      <c r="O61" s="28" t="n">
        <v>0.742108</v>
      </c>
      <c r="P61" s="28" t="n"/>
      <c r="Q61" s="28" t="n">
        <v>0.16764</v>
      </c>
      <c r="R61" s="26" t="n">
        <v>100</v>
      </c>
      <c r="S61" s="29" t="n">
        <v>2</v>
      </c>
      <c r="T61" s="24" t="inlineStr">
        <is>
          <t>mlb-elo-trend-lr-v6</t>
        </is>
      </c>
      <c r="U61" s="24" t="inlineStr">
        <is>
          <t>settled</t>
        </is>
      </c>
      <c r="V61" s="24" t="inlineStr">
        <is>
          <t>win</t>
        </is>
      </c>
      <c r="W61" s="26" t="n">
        <v>0</v>
      </c>
      <c r="X61" s="26" t="n">
        <v>14</v>
      </c>
      <c r="Y61" s="25" t="n"/>
      <c r="Z61" s="26" t="n">
        <v>-135</v>
      </c>
      <c r="AA61" s="28" t="n">
        <v>0.575</v>
      </c>
      <c r="AB61" s="28" t="n">
        <v>0.000532</v>
      </c>
      <c r="AC61" s="30" t="n">
        <v>1.4815</v>
      </c>
      <c r="AD61" s="24" t="inlineStr">
        <is>
          <t>2026-07-29T02:41:28.274633Z</t>
        </is>
      </c>
      <c r="AE61" s="31" t="inlineStr">
        <is>
          <t>Learned LR call at threshold 0.5690; executable ask 0.5750 (aec-mlb-bal-det-2026-07-28).</t>
        </is>
      </c>
      <c r="AF61" s="31" t="inlineStr">
        <is>
          <t>Learned model; shadow-qualified via operator override.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mlb-bal</t>
        </is>
      </c>
      <c r="AQ61" s="24" t="inlineStr">
        <is>
          <t>Baltimore Orioles</t>
        </is>
      </c>
      <c r="AR61" s="24" t="inlineStr">
        <is>
          <t>Baltimore Orioles</t>
        </is>
      </c>
      <c r="AS61" s="24" t="inlineStr">
        <is>
          <t>mlb-det</t>
        </is>
      </c>
      <c r="AT61" s="24" t="inlineStr">
        <is>
          <t>Detroit Tigers</t>
        </is>
      </c>
      <c r="AU61" s="24" t="inlineStr">
        <is>
          <t>Detroit Tigers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0633355b1144e4205ca6d08e3f328d99cab0970358846bd77228f3bcbfcd70ee</t>
        </is>
      </c>
      <c r="BB61" s="24" t="inlineStr">
        <is>
          <t>learned_lr</t>
        </is>
      </c>
      <c r="BC61" s="24" t="inlineStr">
        <is>
          <t>mlb-elo-trend-lr-v6</t>
        </is>
      </c>
      <c r="BD61" s="24" t="inlineStr">
        <is>
          <t>0633355b1144e4205ca6d08e3f328d99cab0970358846bd77228f3bcbfcd70ee</t>
        </is>
      </c>
      <c r="BE61" s="24" t="inlineStr">
        <is>
          <t>1ef6dbb2275c6f7d</t>
        </is>
      </c>
      <c r="BF61" s="24" t="inlineStr">
        <is>
          <t>1</t>
        </is>
      </c>
      <c r="BG61" s="24" t="inlineStr">
        <is>
          <t>mlb-elo-trend-lr-v6</t>
        </is>
      </c>
      <c r="BH61" s="24" t="inlineStr">
        <is>
          <t>2026-07-28T20:32:05.666915Z</t>
        </is>
      </c>
      <c r="BI61" s="24" t="inlineStr">
        <is>
          <t>["same_event","same_team_same_day","same_league_same_day"]</t>
        </is>
      </c>
      <c r="BJ61" s="25" t="n"/>
      <c r="BK61" s="26" t="n">
        <v>-135</v>
      </c>
      <c r="BL61" s="27" t="n">
        <v>1.740741</v>
      </c>
      <c r="BM61" s="28" t="n">
        <v>0.574468</v>
      </c>
      <c r="BN61" s="28" t="n">
        <v>0.572139</v>
      </c>
      <c r="BO61" s="28" t="n"/>
      <c r="BP61" s="25" t="n"/>
      <c r="BQ61" s="27" t="n">
        <v>1.740741</v>
      </c>
      <c r="BR61" s="28" t="n">
        <v>0.575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inlineStr">
        <is>
          <t>0.5578182793</t>
        </is>
      </c>
      <c r="CD61" s="24" t="inlineStr">
        <is>
          <t>-0.528912</t>
        </is>
      </c>
      <c r="CE61" s="24" t="inlineStr">
        <is>
          <t>0.98</t>
        </is>
      </c>
      <c r="CF61" s="24" t="n"/>
      <c r="CG61" s="24" t="n"/>
      <c r="CH61" s="24" t="inlineStr">
        <is>
          <t>-3.11</t>
        </is>
      </c>
      <c r="CI61" s="24" t="n"/>
      <c r="CJ61" s="24" t="n"/>
      <c r="CK61" s="24" t="n"/>
      <c r="CL61" s="24" t="n"/>
      <c r="CM61" s="24" t="n"/>
      <c r="CN61" s="24" t="n"/>
      <c r="CO61" s="24" t="n"/>
    </row>
    <row r="62" ht="36" customHeight="1">
      <c r="A62" s="24" t="inlineStr">
        <is>
          <t>20cc299c84a14093</t>
        </is>
      </c>
      <c r="B62" s="24" t="inlineStr">
        <is>
          <t>2026-07-28T20:32:52.305699Z</t>
        </is>
      </c>
      <c r="C62" s="24" t="inlineStr">
        <is>
          <t>2026-07-28T18:40:00-0400</t>
        </is>
      </c>
      <c r="D62" s="24" t="inlineStr">
        <is>
          <t>401816296</t>
        </is>
      </c>
      <c r="E62" s="24" t="inlineStr">
        <is>
          <t>MLB</t>
        </is>
      </c>
      <c r="F62" s="24" t="inlineStr">
        <is>
          <t>Philadelphia Phillies</t>
        </is>
      </c>
      <c r="G62" s="24" t="inlineStr">
        <is>
          <t>Miami Marlins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-125</v>
      </c>
      <c r="M62" s="27" t="n">
        <v>1.8</v>
      </c>
      <c r="N62" s="28" t="n">
        <v>0.555556</v>
      </c>
      <c r="O62" s="28" t="n">
        <v>0.660233</v>
      </c>
      <c r="P62" s="28" t="n"/>
      <c r="Q62" s="28" t="n">
        <v>0.104677</v>
      </c>
      <c r="R62" s="26" t="n">
        <v>74</v>
      </c>
      <c r="S62" s="29" t="n">
        <v>2</v>
      </c>
      <c r="T62" s="24" t="inlineStr">
        <is>
          <t>mlb-elo-trend-lr-v6</t>
        </is>
      </c>
      <c r="U62" s="24" t="inlineStr">
        <is>
          <t>settled</t>
        </is>
      </c>
      <c r="V62" s="24" t="inlineStr">
        <is>
          <t>win</t>
        </is>
      </c>
      <c r="W62" s="26" t="n">
        <v>0</v>
      </c>
      <c r="X62" s="26" t="n">
        <v>1</v>
      </c>
      <c r="Y62" s="25" t="n"/>
      <c r="Z62" s="26" t="n">
        <v>-125</v>
      </c>
      <c r="AA62" s="28" t="n">
        <v>0.555</v>
      </c>
      <c r="AB62" s="28" t="n">
        <v>-0.000556</v>
      </c>
      <c r="AC62" s="30" t="n">
        <v>1.6</v>
      </c>
      <c r="AD62" s="24" t="inlineStr">
        <is>
          <t>2026-07-29T02:41:28.677576Z</t>
        </is>
      </c>
      <c r="AE62" s="31" t="inlineStr">
        <is>
          <t>Learned LR call at threshold 0.5690; executable ask 0.5550 (aec-mlb-phi-mia-2026-07-28).</t>
        </is>
      </c>
      <c r="AF62" s="31" t="inlineStr">
        <is>
          <t>Learned model; shadow-qualified via operator override.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mlb-phi</t>
        </is>
      </c>
      <c r="AQ62" s="24" t="inlineStr">
        <is>
          <t>Philadelphia Phillies</t>
        </is>
      </c>
      <c r="AR62" s="24" t="inlineStr">
        <is>
          <t>Philadelphia Phillies</t>
        </is>
      </c>
      <c r="AS62" s="24" t="inlineStr">
        <is>
          <t>mlb-mia</t>
        </is>
      </c>
      <c r="AT62" s="24" t="inlineStr">
        <is>
          <t>Miami Marlins</t>
        </is>
      </c>
      <c r="AU62" s="24" t="inlineStr">
        <is>
          <t>Miami Marlins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0633355b1144e4205ca6d08e3f328d99cab0970358846bd77228f3bcbfcd70ee</t>
        </is>
      </c>
      <c r="BB62" s="24" t="inlineStr">
        <is>
          <t>learned_lr</t>
        </is>
      </c>
      <c r="BC62" s="24" t="inlineStr">
        <is>
          <t>mlb-elo-trend-lr-v6</t>
        </is>
      </c>
      <c r="BD62" s="24" t="inlineStr">
        <is>
          <t>0633355b1144e4205ca6d08e3f328d99cab0970358846bd77228f3bcbfcd70ee</t>
        </is>
      </c>
      <c r="BE62" s="24" t="inlineStr">
        <is>
          <t>0ecf6d5d6b8524ff</t>
        </is>
      </c>
      <c r="BF62" s="24" t="inlineStr">
        <is>
          <t>1</t>
        </is>
      </c>
      <c r="BG62" s="24" t="inlineStr">
        <is>
          <t>mlb-elo-trend-lr-v6</t>
        </is>
      </c>
      <c r="BH62" s="24" t="inlineStr">
        <is>
          <t>2026-07-28T20:32:06.628497Z</t>
        </is>
      </c>
      <c r="BI62" s="24" t="inlineStr">
        <is>
          <t>["same_event","same_team_same_day","same_league_same_day"]</t>
        </is>
      </c>
      <c r="BJ62" s="25" t="n"/>
      <c r="BK62" s="26" t="n">
        <v>-125</v>
      </c>
      <c r="BL62" s="27" t="n">
        <v>1.8</v>
      </c>
      <c r="BM62" s="28" t="n">
        <v>0.555556</v>
      </c>
      <c r="BN62" s="28" t="n">
        <v>0.552239</v>
      </c>
      <c r="BO62" s="28" t="n"/>
      <c r="BP62" s="25" t="n"/>
      <c r="BQ62" s="27" t="n">
        <v>1.8</v>
      </c>
      <c r="BR62" s="28" t="n">
        <v>0.555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inlineStr">
        <is>
          <t>0.477817603</t>
        </is>
      </c>
      <c r="CD62" s="24" t="inlineStr">
        <is>
          <t>-0.644046</t>
        </is>
      </c>
      <c r="CE62" s="24" t="inlineStr">
        <is>
          <t>0.99</t>
        </is>
      </c>
      <c r="CF62" s="24" t="n"/>
      <c r="CG62" s="24" t="n"/>
      <c r="CH62" s="24" t="inlineStr">
        <is>
          <t>-1.81</t>
        </is>
      </c>
      <c r="CI62" s="24" t="n"/>
      <c r="CJ62" s="24" t="n"/>
      <c r="CK62" s="24" t="n"/>
      <c r="CL62" s="24" t="n"/>
      <c r="CM62" s="24" t="n"/>
      <c r="CN62" s="24" t="n"/>
      <c r="CO62" s="24" t="n"/>
    </row>
    <row r="63" ht="36" customHeight="1">
      <c r="A63" s="24" t="inlineStr">
        <is>
          <t>4e8cd2b9b0394af3</t>
        </is>
      </c>
      <c r="B63" s="24" t="inlineStr">
        <is>
          <t>2026-07-28T20:32:52.305699Z</t>
        </is>
      </c>
      <c r="C63" s="24" t="inlineStr">
        <is>
          <t>2026-07-28T18:40:00-0400</t>
        </is>
      </c>
      <c r="D63" s="24" t="inlineStr">
        <is>
          <t>401816297</t>
        </is>
      </c>
      <c r="E63" s="24" t="inlineStr">
        <is>
          <t>MLB</t>
        </is>
      </c>
      <c r="F63" s="24" t="inlineStr">
        <is>
          <t>Texas Rangers</t>
        </is>
      </c>
      <c r="G63" s="24" t="inlineStr">
        <is>
          <t>Tampa Bay Rays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-163</v>
      </c>
      <c r="M63" s="27" t="n">
        <v>1.613497</v>
      </c>
      <c r="N63" s="28" t="n">
        <v>0.619772</v>
      </c>
      <c r="O63" s="28" t="n">
        <v>0.5296999999999999</v>
      </c>
      <c r="P63" s="28" t="n"/>
      <c r="Q63" s="28" t="n">
        <v>-0.090072</v>
      </c>
      <c r="R63" s="26" t="n">
        <v>0</v>
      </c>
      <c r="S63" s="29" t="n">
        <v>0.75</v>
      </c>
      <c r="T63" s="24" t="inlineStr">
        <is>
          <t>mlb-elo-trend-lr-v6</t>
        </is>
      </c>
      <c r="U63" s="24" t="inlineStr">
        <is>
          <t>settled</t>
        </is>
      </c>
      <c r="V63" s="24" t="inlineStr">
        <is>
          <t>loss</t>
        </is>
      </c>
      <c r="W63" s="26" t="n">
        <v>4</v>
      </c>
      <c r="X63" s="26" t="n">
        <v>1</v>
      </c>
      <c r="Y63" s="25" t="n"/>
      <c r="Z63" s="26" t="n">
        <v>-163</v>
      </c>
      <c r="AA63" s="28" t="n">
        <v>0.62</v>
      </c>
      <c r="AB63" s="28" t="n">
        <v>0.000228</v>
      </c>
      <c r="AC63" s="30" t="n">
        <v>-0.75</v>
      </c>
      <c r="AD63" s="24" t="inlineStr">
        <is>
          <t>2026-07-29T02:41:29.082651Z</t>
        </is>
      </c>
      <c r="AE63" s="31" t="inlineStr">
        <is>
          <t>Learned LR call at threshold 0.5690; executable ask 0.6200 (aec-mlb-tex-tb-2026-07-28).</t>
        </is>
      </c>
      <c r="AF63" s="31" t="inlineStr">
        <is>
          <t>Learned model; shadow-qualified via operator override.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mlb-tex</t>
        </is>
      </c>
      <c r="AQ63" s="24" t="inlineStr">
        <is>
          <t>Texas Rangers</t>
        </is>
      </c>
      <c r="AR63" s="24" t="inlineStr">
        <is>
          <t>Texas Rangers</t>
        </is>
      </c>
      <c r="AS63" s="24" t="inlineStr">
        <is>
          <t>mlb-tb</t>
        </is>
      </c>
      <c r="AT63" s="24" t="inlineStr">
        <is>
          <t>Tampa Bay Rays</t>
        </is>
      </c>
      <c r="AU63" s="24" t="inlineStr">
        <is>
          <t>Tampa Bay Rays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0633355b1144e4205ca6d08e3f328d99cab0970358846bd77228f3bcbfcd70ee</t>
        </is>
      </c>
      <c r="BB63" s="24" t="inlineStr">
        <is>
          <t>learned_lr</t>
        </is>
      </c>
      <c r="BC63" s="24" t="inlineStr">
        <is>
          <t>mlb-elo-trend-lr-v6</t>
        </is>
      </c>
      <c r="BD63" s="24" t="inlineStr">
        <is>
          <t>0633355b1144e4205ca6d08e3f328d99cab0970358846bd77228f3bcbfcd70ee</t>
        </is>
      </c>
      <c r="BE63" s="24" t="inlineStr">
        <is>
          <t>0ce009c39529d1e9</t>
        </is>
      </c>
      <c r="BF63" s="24" t="inlineStr">
        <is>
          <t>1</t>
        </is>
      </c>
      <c r="BG63" s="24" t="inlineStr">
        <is>
          <t>mlb-elo-trend-lr-v6</t>
        </is>
      </c>
      <c r="BH63" s="24" t="inlineStr">
        <is>
          <t>2026-07-28T20:32:08.585214Z</t>
        </is>
      </c>
      <c r="BI63" s="24" t="inlineStr">
        <is>
          <t>["same_event","same_team_same_day","same_league_same_day"]</t>
        </is>
      </c>
      <c r="BJ63" s="25" t="n"/>
      <c r="BK63" s="26" t="n">
        <v>-163</v>
      </c>
      <c r="BL63" s="27" t="n">
        <v>1.613497</v>
      </c>
      <c r="BM63" s="28" t="n">
        <v>0.619772</v>
      </c>
      <c r="BN63" s="28" t="n">
        <v>0.616915</v>
      </c>
      <c r="BO63" s="28" t="n"/>
      <c r="BP63" s="25" t="n"/>
      <c r="BQ63" s="27" t="n">
        <v>1.613497</v>
      </c>
      <c r="BR63" s="28" t="n">
        <v>0.62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inlineStr">
        <is>
          <t>0.5812862212</t>
        </is>
      </c>
      <c r="CD63" s="24" t="inlineStr">
        <is>
          <t>1.271016</t>
        </is>
      </c>
      <c r="CE63" s="24" t="inlineStr">
        <is>
          <t>0.96</t>
        </is>
      </c>
      <c r="CF63" s="24" t="n"/>
      <c r="CG63" s="24" t="n"/>
      <c r="CH63" s="24" t="inlineStr">
        <is>
          <t>-0.16</t>
        </is>
      </c>
      <c r="CI63" s="24" t="n"/>
      <c r="CJ63" s="24" t="n"/>
      <c r="CK63" s="24" t="n"/>
      <c r="CL63" s="24" t="n"/>
      <c r="CM63" s="24" t="n"/>
      <c r="CN63" s="24" t="n"/>
      <c r="CO63" s="24" t="n"/>
    </row>
    <row r="64" ht="36" customHeight="1">
      <c r="A64" s="24" t="inlineStr">
        <is>
          <t>ec059d729ac14646</t>
        </is>
      </c>
      <c r="B64" s="24" t="inlineStr">
        <is>
          <t>2026-07-28T20:32:52.305699Z</t>
        </is>
      </c>
      <c r="C64" s="24" t="inlineStr">
        <is>
          <t>2026-07-28T18:45:00-0400</t>
        </is>
      </c>
      <c r="D64" s="24" t="inlineStr">
        <is>
          <t>401816298</t>
        </is>
      </c>
      <c r="E64" s="24" t="inlineStr">
        <is>
          <t>MLB</t>
        </is>
      </c>
      <c r="F64" s="24" t="inlineStr">
        <is>
          <t>Toronto Blue Jays</t>
        </is>
      </c>
      <c r="G64" s="24" t="inlineStr">
        <is>
          <t>Washington Nationals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-130</v>
      </c>
      <c r="M64" s="27" t="n">
        <v>1.769231</v>
      </c>
      <c r="N64" s="28" t="n">
        <v>0.565217</v>
      </c>
      <c r="O64" s="28" t="n">
        <v>0.5994350000000001</v>
      </c>
      <c r="P64" s="28" t="n"/>
      <c r="Q64" s="28" t="n">
        <v>0.034218</v>
      </c>
      <c r="R64" s="26" t="n">
        <v>39</v>
      </c>
      <c r="S64" s="29" t="n">
        <v>1.5</v>
      </c>
      <c r="T64" s="24" t="inlineStr">
        <is>
          <t>mlb-elo-trend-lr-v6</t>
        </is>
      </c>
      <c r="U64" s="24" t="inlineStr">
        <is>
          <t>settled</t>
        </is>
      </c>
      <c r="V64" s="24" t="inlineStr">
        <is>
          <t>win</t>
        </is>
      </c>
      <c r="W64" s="26" t="n">
        <v>6</v>
      </c>
      <c r="X64" s="26" t="n">
        <v>8</v>
      </c>
      <c r="Y64" s="25" t="n"/>
      <c r="Z64" s="26" t="n">
        <v>-130</v>
      </c>
      <c r="AA64" s="28" t="n">
        <v>0.5649999999999999</v>
      </c>
      <c r="AB64" s="28" t="n">
        <v>-0.000217</v>
      </c>
      <c r="AC64" s="30" t="n">
        <v>1.1538</v>
      </c>
      <c r="AD64" s="24" t="inlineStr">
        <is>
          <t>2026-07-29T05:44:53.167482Z</t>
        </is>
      </c>
      <c r="AE64" s="31" t="inlineStr">
        <is>
          <t>Learned LR call at threshold 0.5690; executable ask 0.5650 (aec-mlb-tor-wsh-2026-07-28).</t>
        </is>
      </c>
      <c r="AF64" s="31" t="inlineStr">
        <is>
          <t>Learned model; shadow-qualified via operator override.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mlb-tor</t>
        </is>
      </c>
      <c r="AQ64" s="24" t="inlineStr">
        <is>
          <t>Toronto Blue Jays</t>
        </is>
      </c>
      <c r="AR64" s="24" t="inlineStr">
        <is>
          <t>Toronto Blue Jays</t>
        </is>
      </c>
      <c r="AS64" s="24" t="inlineStr">
        <is>
          <t>mlb-wsh</t>
        </is>
      </c>
      <c r="AT64" s="24" t="inlineStr">
        <is>
          <t>Washington Nationals</t>
        </is>
      </c>
      <c r="AU64" s="24" t="inlineStr">
        <is>
          <t>Washington Nationals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0633355b1144e4205ca6d08e3f328d99cab0970358846bd77228f3bcbfcd70ee</t>
        </is>
      </c>
      <c r="BB64" s="24" t="inlineStr">
        <is>
          <t>learned_lr</t>
        </is>
      </c>
      <c r="BC64" s="24" t="inlineStr">
        <is>
          <t>mlb-elo-trend-lr-v6</t>
        </is>
      </c>
      <c r="BD64" s="24" t="inlineStr">
        <is>
          <t>0633355b1144e4205ca6d08e3f328d99cab0970358846bd77228f3bcbfcd70ee</t>
        </is>
      </c>
      <c r="BE64" s="24" t="inlineStr">
        <is>
          <t>8c225d14e2cc727d</t>
        </is>
      </c>
      <c r="BF64" s="24" t="inlineStr">
        <is>
          <t>1</t>
        </is>
      </c>
      <c r="BG64" s="24" t="inlineStr">
        <is>
          <t>mlb-elo-trend-lr-v6</t>
        </is>
      </c>
      <c r="BH64" s="24" t="inlineStr">
        <is>
          <t>2026-07-28T20:32:09.534652Z</t>
        </is>
      </c>
      <c r="BI64" s="24" t="inlineStr">
        <is>
          <t>["same_event","same_team_same_day","same_league_same_day"]</t>
        </is>
      </c>
      <c r="BJ64" s="25" t="n"/>
      <c r="BK64" s="26" t="n">
        <v>-130</v>
      </c>
      <c r="BL64" s="27" t="n">
        <v>1.769231</v>
      </c>
      <c r="BM64" s="28" t="n">
        <v>0.565217</v>
      </c>
      <c r="BN64" s="28" t="n">
        <v>0.562189</v>
      </c>
      <c r="BO64" s="28" t="n"/>
      <c r="BP64" s="25" t="n"/>
      <c r="BQ64" s="27" t="n">
        <v>1.769231</v>
      </c>
      <c r="BR64" s="28" t="n">
        <v>0.5649999999999999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inlineStr">
        <is>
          <t>0.5019196627</t>
        </is>
      </c>
      <c r="CD64" s="24" t="inlineStr">
        <is>
          <t>0.540593</t>
        </is>
      </c>
      <c r="CE64" s="24" t="inlineStr">
        <is>
          <t>1.0</t>
        </is>
      </c>
      <c r="CF64" s="24" t="n"/>
      <c r="CG64" s="24" t="n"/>
      <c r="CH64" s="24" t="inlineStr">
        <is>
          <t>-1.12</t>
        </is>
      </c>
      <c r="CI64" s="24" t="n"/>
      <c r="CJ64" s="24" t="n"/>
      <c r="CK64" s="24" t="n"/>
      <c r="CL64" s="24" t="n"/>
      <c r="CM64" s="24" t="n"/>
      <c r="CN64" s="24" t="n"/>
      <c r="CO64" s="24" t="n"/>
    </row>
    <row r="65" ht="36" customHeight="1">
      <c r="A65" s="24" t="inlineStr">
        <is>
          <t>36f4768783d14f40</t>
        </is>
      </c>
      <c r="B65" s="24" t="inlineStr">
        <is>
          <t>2026-07-28T20:32:52.305699Z</t>
        </is>
      </c>
      <c r="C65" s="24" t="inlineStr">
        <is>
          <t>2026-07-28T19:10:00-0400</t>
        </is>
      </c>
      <c r="D65" s="24" t="inlineStr">
        <is>
          <t>401816293</t>
        </is>
      </c>
      <c r="E65" s="24" t="inlineStr">
        <is>
          <t>MLB</t>
        </is>
      </c>
      <c r="F65" s="24" t="inlineStr">
        <is>
          <t>Atlanta Braves</t>
        </is>
      </c>
      <c r="G65" s="24" t="inlineStr">
        <is>
          <t>New York Mets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-147</v>
      </c>
      <c r="M65" s="27" t="n">
        <v>1.680272</v>
      </c>
      <c r="N65" s="28" t="n">
        <v>0.5951419999999999</v>
      </c>
      <c r="O65" s="28" t="n">
        <v>0.511144</v>
      </c>
      <c r="P65" s="28" t="n"/>
      <c r="Q65" s="28" t="n">
        <v>-0.083998</v>
      </c>
      <c r="R65" s="26" t="n">
        <v>0</v>
      </c>
      <c r="S65" s="29" t="n">
        <v>0.5</v>
      </c>
      <c r="T65" s="24" t="inlineStr">
        <is>
          <t>mlb-elo-trend-lr-v6</t>
        </is>
      </c>
      <c r="U65" s="24" t="inlineStr">
        <is>
          <t>settled</t>
        </is>
      </c>
      <c r="V65" s="24" t="inlineStr">
        <is>
          <t>push</t>
        </is>
      </c>
      <c r="W65" s="26" t="n"/>
      <c r="X65" s="26" t="n"/>
      <c r="Y65" s="25" t="n"/>
      <c r="Z65" s="26" t="n"/>
      <c r="AA65" s="28" t="n"/>
      <c r="AB65" s="28" t="n"/>
      <c r="AC65" s="30" t="n">
        <v>0</v>
      </c>
      <c r="AD65" s="24" t="inlineStr">
        <is>
          <t>2026-07-29T17:38:56.704861Z</t>
        </is>
      </c>
      <c r="AE65" s="31" t="inlineStr">
        <is>
          <t>Learned LR call at threshold 0.5690; executable ask 0.5950 (aec-mlb-atl-nym-2026-07-28).</t>
        </is>
      </c>
      <c r="AF65" s="31" t="inlineStr">
        <is>
          <t>Learned model; shadow-qualified via operator override.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mlb-atl</t>
        </is>
      </c>
      <c r="AQ65" s="24" t="inlineStr">
        <is>
          <t>Atlanta Braves</t>
        </is>
      </c>
      <c r="AR65" s="24" t="inlineStr">
        <is>
          <t>Atlanta Braves</t>
        </is>
      </c>
      <c r="AS65" s="24" t="inlineStr">
        <is>
          <t>mlb-nym</t>
        </is>
      </c>
      <c r="AT65" s="24" t="inlineStr">
        <is>
          <t>New York Mets</t>
        </is>
      </c>
      <c r="AU65" s="24" t="inlineStr">
        <is>
          <t>New York Mets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0633355b1144e4205ca6d08e3f328d99cab0970358846bd77228f3bcbfcd70ee</t>
        </is>
      </c>
      <c r="BB65" s="24" t="inlineStr">
        <is>
          <t>learned_lr</t>
        </is>
      </c>
      <c r="BC65" s="24" t="inlineStr">
        <is>
          <t>mlb-elo-trend-lr-v6</t>
        </is>
      </c>
      <c r="BD65" s="24" t="inlineStr">
        <is>
          <t>0633355b1144e4205ca6d08e3f328d99cab0970358846bd77228f3bcbfcd70ee</t>
        </is>
      </c>
      <c r="BE65" s="24" t="inlineStr">
        <is>
          <t>861431b031a904da</t>
        </is>
      </c>
      <c r="BF65" s="24" t="inlineStr">
        <is>
          <t>1</t>
        </is>
      </c>
      <c r="BG65" s="24" t="inlineStr">
        <is>
          <t>mlb-elo-trend-lr-v6</t>
        </is>
      </c>
      <c r="BH65" s="24" t="inlineStr">
        <is>
          <t>2026-07-28T17:25:32.793271Z</t>
        </is>
      </c>
      <c r="BI65" s="24" t="inlineStr">
        <is>
          <t>["same_event","same_team_same_day","same_league_same_day"]</t>
        </is>
      </c>
      <c r="BJ65" s="25" t="n"/>
      <c r="BK65" s="26" t="n">
        <v>-147</v>
      </c>
      <c r="BL65" s="27" t="n">
        <v>1.680272</v>
      </c>
      <c r="BM65" s="28" t="n">
        <v>0.5951419999999999</v>
      </c>
      <c r="BN65" s="28" t="n">
        <v>0.59204</v>
      </c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inlineStr">
        <is>
          <t>event status_postponed</t>
        </is>
      </c>
      <c r="BX65" s="30" t="n"/>
      <c r="BY65" s="27" t="n"/>
      <c r="BZ65" s="24" t="n"/>
      <c r="CA65" s="31" t="n"/>
      <c r="CB65" s="24" t="n"/>
      <c r="CC65" s="24" t="inlineStr">
        <is>
          <t>0.4315693087</t>
        </is>
      </c>
      <c r="CD65" s="24" t="inlineStr">
        <is>
          <t>-2.190624</t>
        </is>
      </c>
      <c r="CE65" s="24" t="inlineStr">
        <is>
          <t>0.97</t>
        </is>
      </c>
      <c r="CF65" s="24" t="n"/>
      <c r="CG65" s="24" t="n"/>
      <c r="CH65" s="24" t="inlineStr">
        <is>
          <t>0.94</t>
        </is>
      </c>
      <c r="CI65" s="24" t="n"/>
      <c r="CJ65" s="24" t="n"/>
      <c r="CK65" s="24" t="n"/>
      <c r="CL65" s="24" t="n"/>
      <c r="CM65" s="24" t="n"/>
      <c r="CN65" s="24" t="n"/>
      <c r="CO65" s="24" t="n"/>
    </row>
    <row r="66" ht="36" customHeight="1">
      <c r="A66" s="24" t="inlineStr">
        <is>
          <t>2387dab98e8e4a15</t>
        </is>
      </c>
      <c r="B66" s="24" t="inlineStr">
        <is>
          <t>2026-07-28T20:32:52.305699Z</t>
        </is>
      </c>
      <c r="C66" s="24" t="inlineStr">
        <is>
          <t>2026-07-28T19:10:00-0400</t>
        </is>
      </c>
      <c r="D66" s="24" t="inlineStr">
        <is>
          <t>401816295</t>
        </is>
      </c>
      <c r="E66" s="24" t="inlineStr">
        <is>
          <t>MLB</t>
        </is>
      </c>
      <c r="F66" s="24" t="inlineStr">
        <is>
          <t>Cleveland Guardians</t>
        </is>
      </c>
      <c r="G66" s="24" t="inlineStr">
        <is>
          <t>Cincinnati Reds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espn</t>
        </is>
      </c>
      <c r="L66" s="26" t="n">
        <v>-110</v>
      </c>
      <c r="M66" s="27" t="n">
        <v>1.909091</v>
      </c>
      <c r="N66" s="28" t="n">
        <v>0.52381</v>
      </c>
      <c r="O66" s="28" t="n">
        <v>0.5370470000000001</v>
      </c>
      <c r="P66" s="28" t="n"/>
      <c r="Q66" s="28" t="n">
        <v>0.013237</v>
      </c>
      <c r="R66" s="26" t="n">
        <v>57</v>
      </c>
      <c r="S66" s="29" t="n">
        <v>0</v>
      </c>
      <c r="T66" s="24" t="inlineStr">
        <is>
          <t>mlb-elo-trend-lr-v6</t>
        </is>
      </c>
      <c r="U66" s="24" t="inlineStr">
        <is>
          <t>settled</t>
        </is>
      </c>
      <c r="V66" s="24" t="inlineStr">
        <is>
          <t>loss</t>
        </is>
      </c>
      <c r="W66" s="26" t="n">
        <v>6</v>
      </c>
      <c r="X66" s="26" t="n">
        <v>5</v>
      </c>
      <c r="Y66" s="25" t="n"/>
      <c r="Z66" s="26" t="n">
        <v>700</v>
      </c>
      <c r="AA66" s="28" t="n">
        <v>0.125</v>
      </c>
      <c r="AB66" s="28" t="n">
        <v>-0.39881</v>
      </c>
      <c r="AC66" s="30" t="n">
        <v>0</v>
      </c>
      <c r="AD66" s="24" t="inlineStr">
        <is>
          <t>2026-07-28T23:36:45.139552Z</t>
        </is>
      </c>
      <c r="AE66" s="31" t="inlineStr">
        <is>
          <t>Learned LR call at threshold 0.5690; no Polymarket quote available — using -110 default odds. NOTE: probable_starter_era_gap unavailable for this game — defaulted to neutral, other features used normally.</t>
        </is>
      </c>
      <c r="AF66" s="31" t="inlineStr">
        <is>
          <t>Learned model; shadow-qualified via operator override.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mlb-cle</t>
        </is>
      </c>
      <c r="AQ66" s="24" t="inlineStr">
        <is>
          <t>Cleveland Guardians</t>
        </is>
      </c>
      <c r="AR66" s="24" t="inlineStr">
        <is>
          <t>Cleveland Guardians</t>
        </is>
      </c>
      <c r="AS66" s="24" t="inlineStr">
        <is>
          <t>mlb-cin</t>
        </is>
      </c>
      <c r="AT66" s="24" t="inlineStr">
        <is>
          <t>Cincinnati Reds</t>
        </is>
      </c>
      <c r="AU66" s="24" t="inlineStr">
        <is>
          <t>Cincinnati Reds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0633355b1144e4205ca6d08e3f328d99cab0970358846bd77228f3bcbfcd70ee</t>
        </is>
      </c>
      <c r="BB66" s="24" t="inlineStr">
        <is>
          <t>learned_lr</t>
        </is>
      </c>
      <c r="BC66" s="24" t="inlineStr">
        <is>
          <t>mlb-elo-trend-lr-v6</t>
        </is>
      </c>
      <c r="BD66" s="24" t="inlineStr">
        <is>
          <t>0633355b1144e4205ca6d08e3f328d99cab0970358846bd77228f3bcbfcd70ee</t>
        </is>
      </c>
      <c r="BE66" s="24" t="inlineStr">
        <is>
          <t>e696dbd2e2c47015</t>
        </is>
      </c>
      <c r="BF66" s="24" t="inlineStr">
        <is>
          <t>1</t>
        </is>
      </c>
      <c r="BG66" s="24" t="inlineStr">
        <is>
          <t>mlb-elo-trend-lr-v6</t>
        </is>
      </c>
      <c r="BH66" s="24" t="inlineStr">
        <is>
          <t>2026-07-28T20:32:52.305699Z</t>
        </is>
      </c>
      <c r="BI66" s="24" t="inlineStr">
        <is>
          <t>["same_event","same_team_same_day","same_league_same_day"]</t>
        </is>
      </c>
      <c r="BJ66" s="25" t="n"/>
      <c r="BK66" s="26" t="n">
        <v>-110</v>
      </c>
      <c r="BL66" s="27" t="n">
        <v>1.909091</v>
      </c>
      <c r="BM66" s="28" t="n">
        <v>0.52381</v>
      </c>
      <c r="BN66" s="28" t="n"/>
      <c r="BO66" s="28" t="n"/>
      <c r="BP66" s="25" t="n"/>
      <c r="BQ66" s="27" t="n">
        <v>8</v>
      </c>
      <c r="BR66" s="28" t="n">
        <v>0.125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inlineStr">
        <is>
          <t>0.4926827475</t>
        </is>
      </c>
      <c r="CD66" s="24" t="inlineStr">
        <is>
          <t>-0.86802</t>
        </is>
      </c>
      <c r="CE66" s="24" t="inlineStr">
        <is>
          <t>1.05</t>
        </is>
      </c>
      <c r="CF66" s="24" t="n"/>
      <c r="CG66" s="24" t="n"/>
      <c r="CH66" s="24" t="inlineStr">
        <is>
          <t>0.0</t>
        </is>
      </c>
      <c r="CI66" s="24" t="inlineStr">
        <is>
          <t>probable_starter_era_gap</t>
        </is>
      </c>
      <c r="CJ66" s="24" t="n"/>
      <c r="CK66" s="24" t="n"/>
      <c r="CL66" s="24" t="n"/>
      <c r="CM66" s="24" t="n"/>
      <c r="CN66" s="24" t="n"/>
      <c r="CO66" s="24" t="n"/>
    </row>
    <row r="67" ht="36" customHeight="1">
      <c r="A67" s="24" t="inlineStr">
        <is>
          <t>133665d9275f489f</t>
        </is>
      </c>
      <c r="B67" s="24" t="inlineStr">
        <is>
          <t>2026-07-28T23:38:20.366083Z</t>
        </is>
      </c>
      <c r="C67" s="24" t="inlineStr">
        <is>
          <t>2026-07-28T19:40:00-0400</t>
        </is>
      </c>
      <c r="D67" s="24" t="inlineStr">
        <is>
          <t>401816300</t>
        </is>
      </c>
      <c r="E67" s="24" t="inlineStr">
        <is>
          <t>MLB</t>
        </is>
      </c>
      <c r="F67" s="24" t="inlineStr">
        <is>
          <t>Kansas City Royals</t>
        </is>
      </c>
      <c r="G67" s="24" t="inlineStr">
        <is>
          <t>Minnesota Twins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-167</v>
      </c>
      <c r="M67" s="27" t="n">
        <v>1.598802</v>
      </c>
      <c r="N67" s="28" t="n">
        <v>0.625468</v>
      </c>
      <c r="O67" s="28" t="n">
        <v>0.578619</v>
      </c>
      <c r="P67" s="28" t="n"/>
      <c r="Q67" s="28" t="n">
        <v>-0.046849</v>
      </c>
      <c r="R67" s="26" t="n">
        <v>0</v>
      </c>
      <c r="S67" s="29" t="n">
        <v>1.25</v>
      </c>
      <c r="T67" s="24" t="inlineStr">
        <is>
          <t>mlb-elo-trend-lr-v6</t>
        </is>
      </c>
      <c r="U67" s="24" t="inlineStr">
        <is>
          <t>settled</t>
        </is>
      </c>
      <c r="V67" s="24" t="inlineStr">
        <is>
          <t>win</t>
        </is>
      </c>
      <c r="W67" s="26" t="n">
        <v>2</v>
      </c>
      <c r="X67" s="26" t="n">
        <v>3</v>
      </c>
      <c r="Y67" s="25" t="n"/>
      <c r="Z67" s="26" t="n">
        <v>-167</v>
      </c>
      <c r="AA67" s="28" t="n">
        <v>0.625</v>
      </c>
      <c r="AB67" s="28" t="n">
        <v>-0.000468</v>
      </c>
      <c r="AC67" s="30" t="n">
        <v>0.7485000000000001</v>
      </c>
      <c r="AD67" s="24" t="inlineStr">
        <is>
          <t>2026-07-29T02:41:31.817482Z</t>
        </is>
      </c>
      <c r="AE67" s="31" t="inlineStr">
        <is>
          <t>Learned LR call at threshold 0.5690; executable ask 0.6250 (aec-mlb-kc-min-2026-07-28).</t>
        </is>
      </c>
      <c r="AF67" s="31" t="inlineStr">
        <is>
          <t>Learned model; shadow-qualified via operator override.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mlb-kc</t>
        </is>
      </c>
      <c r="AQ67" s="24" t="inlineStr">
        <is>
          <t>Kansas City Royals</t>
        </is>
      </c>
      <c r="AR67" s="24" t="inlineStr">
        <is>
          <t>Kansas City Royals</t>
        </is>
      </c>
      <c r="AS67" s="24" t="inlineStr">
        <is>
          <t>mlb-min</t>
        </is>
      </c>
      <c r="AT67" s="24" t="inlineStr">
        <is>
          <t>Minnesota Twins</t>
        </is>
      </c>
      <c r="AU67" s="24" t="inlineStr">
        <is>
          <t>Minnesota Twins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0633355b1144e4205ca6d08e3f328d99cab0970358846bd77228f3bcbfcd70ee</t>
        </is>
      </c>
      <c r="BB67" s="24" t="inlineStr">
        <is>
          <t>learned_lr</t>
        </is>
      </c>
      <c r="BC67" s="24" t="inlineStr">
        <is>
          <t>mlb-elo-trend-lr-v6</t>
        </is>
      </c>
      <c r="BD67" s="24" t="inlineStr">
        <is>
          <t>0633355b1144e4205ca6d08e3f328d99cab0970358846bd77228f3bcbfcd70ee</t>
        </is>
      </c>
      <c r="BE67" s="24" t="inlineStr">
        <is>
          <t>079b6684deb84a5e</t>
        </is>
      </c>
      <c r="BF67" s="24" t="inlineStr">
        <is>
          <t>1</t>
        </is>
      </c>
      <c r="BG67" s="24" t="inlineStr">
        <is>
          <t>mlb-elo-trend-lr-v6</t>
        </is>
      </c>
      <c r="BH67" s="24" t="inlineStr">
        <is>
          <t>2026-07-28T23:37:47.236899Z</t>
        </is>
      </c>
      <c r="BI67" s="24" t="inlineStr">
        <is>
          <t>["same_event","same_team_same_day","same_league_same_day"]</t>
        </is>
      </c>
      <c r="BJ67" s="25" t="n"/>
      <c r="BK67" s="26" t="n">
        <v>-167</v>
      </c>
      <c r="BL67" s="27" t="n">
        <v>1.598802</v>
      </c>
      <c r="BM67" s="28" t="n">
        <v>0.625468</v>
      </c>
      <c r="BN67" s="28" t="n">
        <v>0.621891</v>
      </c>
      <c r="BO67" s="28" t="n"/>
      <c r="BP67" s="25" t="n"/>
      <c r="BQ67" s="27" t="n">
        <v>1.598802</v>
      </c>
      <c r="BR67" s="28" t="n">
        <v>0.625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inlineStr">
        <is>
          <t>0.5494442227</t>
        </is>
      </c>
      <c r="CD67" s="24" t="inlineStr">
        <is>
          <t>0.040618</t>
        </is>
      </c>
      <c r="CE67" s="24" t="inlineStr">
        <is>
          <t>1.0</t>
        </is>
      </c>
      <c r="CF67" s="24" t="n"/>
      <c r="CG67" s="24" t="n"/>
      <c r="CH67" s="24" t="inlineStr">
        <is>
          <t>-0.67</t>
        </is>
      </c>
      <c r="CI67" s="24" t="n"/>
      <c r="CJ67" s="24" t="n"/>
      <c r="CK67" s="24" t="n"/>
      <c r="CL67" s="24" t="n"/>
      <c r="CM67" s="24" t="n"/>
      <c r="CN67" s="24" t="n"/>
      <c r="CO67" s="24" t="n"/>
    </row>
    <row r="68" ht="36" customHeight="1">
      <c r="A68" s="24" t="inlineStr">
        <is>
          <t>47e337a5aafe4564</t>
        </is>
      </c>
      <c r="B68" s="24" t="inlineStr">
        <is>
          <t>2026-07-28T23:38:20.366083Z</t>
        </is>
      </c>
      <c r="C68" s="24" t="inlineStr">
        <is>
          <t>2026-07-28T19:40:00-0400</t>
        </is>
      </c>
      <c r="D68" s="24" t="inlineStr">
        <is>
          <t>401816301</t>
        </is>
      </c>
      <c r="E68" s="24" t="inlineStr">
        <is>
          <t>MLB</t>
        </is>
      </c>
      <c r="F68" s="24" t="inlineStr">
        <is>
          <t>New York Yankees</t>
        </is>
      </c>
      <c r="G68" s="24" t="inlineStr">
        <is>
          <t>Chicago White Sox</t>
        </is>
      </c>
      <c r="H68" s="24" t="inlineStr">
        <is>
          <t>moneyline</t>
        </is>
      </c>
      <c r="I68" s="24" t="inlineStr">
        <is>
          <t>away</t>
        </is>
      </c>
      <c r="J68" s="25" t="n"/>
      <c r="K68" s="24" t="inlineStr">
        <is>
          <t>polymarket_us</t>
        </is>
      </c>
      <c r="L68" s="26" t="n">
        <v>-111</v>
      </c>
      <c r="M68" s="27" t="n">
        <v>1.900901</v>
      </c>
      <c r="N68" s="28" t="n">
        <v>0.526066</v>
      </c>
      <c r="O68" s="28" t="n">
        <v>0.515486</v>
      </c>
      <c r="P68" s="28" t="n"/>
      <c r="Q68" s="28" t="n">
        <v>-0.01058</v>
      </c>
      <c r="R68" s="26" t="n">
        <v>17</v>
      </c>
      <c r="S68" s="29" t="n">
        <v>0.75</v>
      </c>
      <c r="T68" s="24" t="inlineStr">
        <is>
          <t>mlb-elo-trend-lr-v6</t>
        </is>
      </c>
      <c r="U68" s="24" t="inlineStr">
        <is>
          <t>settled</t>
        </is>
      </c>
      <c r="V68" s="24" t="inlineStr">
        <is>
          <t>win</t>
        </is>
      </c>
      <c r="W68" s="26" t="n">
        <v>3</v>
      </c>
      <c r="X68" s="26" t="n">
        <v>2</v>
      </c>
      <c r="Y68" s="25" t="n"/>
      <c r="Z68" s="26" t="n">
        <v>-111</v>
      </c>
      <c r="AA68" s="28" t="n">
        <v>0.525</v>
      </c>
      <c r="AB68" s="28" t="n">
        <v>-0.001066</v>
      </c>
      <c r="AC68" s="30" t="n">
        <v>0.6757</v>
      </c>
      <c r="AD68" s="24" t="inlineStr">
        <is>
          <t>2026-07-29T02:41:32.597404Z</t>
        </is>
      </c>
      <c r="AE68" s="31" t="inlineStr">
        <is>
          <t>Learned LR call at threshold 0.5690; executable ask 0.5250 (aec-mlb-nyy-cws-2026-07-28).</t>
        </is>
      </c>
      <c r="AF68" s="31" t="inlineStr">
        <is>
          <t>Learned model; shadow-qualified via operator override.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mlb-nyy</t>
        </is>
      </c>
      <c r="AQ68" s="24" t="inlineStr">
        <is>
          <t>New York Yankees</t>
        </is>
      </c>
      <c r="AR68" s="24" t="inlineStr">
        <is>
          <t>New York Yankees</t>
        </is>
      </c>
      <c r="AS68" s="24" t="inlineStr">
        <is>
          <t>mlb-cws</t>
        </is>
      </c>
      <c r="AT68" s="24" t="inlineStr">
        <is>
          <t>Chicago White Sox</t>
        </is>
      </c>
      <c r="AU68" s="24" t="inlineStr">
        <is>
          <t>Chicago White Sox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0633355b1144e4205ca6d08e3f328d99cab0970358846bd77228f3bcbfcd70ee</t>
        </is>
      </c>
      <c r="BB68" s="24" t="inlineStr">
        <is>
          <t>learned_lr</t>
        </is>
      </c>
      <c r="BC68" s="24" t="inlineStr">
        <is>
          <t>mlb-elo-trend-lr-v6</t>
        </is>
      </c>
      <c r="BD68" s="24" t="inlineStr">
        <is>
          <t>0633355b1144e4205ca6d08e3f328d99cab0970358846bd77228f3bcbfcd70ee</t>
        </is>
      </c>
      <c r="BE68" s="24" t="inlineStr">
        <is>
          <t>76154abedfc345eb</t>
        </is>
      </c>
      <c r="BF68" s="24" t="inlineStr">
        <is>
          <t>1</t>
        </is>
      </c>
      <c r="BG68" s="24" t="inlineStr">
        <is>
          <t>mlb-elo-trend-lr-v6</t>
        </is>
      </c>
      <c r="BH68" s="24" t="inlineStr">
        <is>
          <t>2026-07-28T23:37:45.967735Z</t>
        </is>
      </c>
      <c r="BI68" s="24" t="inlineStr">
        <is>
          <t>["same_event","same_team_same_day","same_league_same_day"]</t>
        </is>
      </c>
      <c r="BJ68" s="25" t="n"/>
      <c r="BK68" s="26" t="n">
        <v>-111</v>
      </c>
      <c r="BL68" s="27" t="n">
        <v>1.900901</v>
      </c>
      <c r="BM68" s="28" t="n">
        <v>0.526066</v>
      </c>
      <c r="BN68" s="28" t="n">
        <v>0.522388</v>
      </c>
      <c r="BO68" s="28" t="n"/>
      <c r="BP68" s="25" t="n"/>
      <c r="BQ68" s="27" t="n">
        <v>1.900901</v>
      </c>
      <c r="BR68" s="28" t="n">
        <v>0.525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inlineStr">
        <is>
          <t>0.4761494151</t>
        </is>
      </c>
      <c r="CD68" s="24" t="inlineStr">
        <is>
          <t>1.500354</t>
        </is>
      </c>
      <c r="CE68" s="24" t="inlineStr">
        <is>
          <t>0.99</t>
        </is>
      </c>
      <c r="CF68" s="24" t="n"/>
      <c r="CG68" s="24" t="n"/>
      <c r="CH68" s="24" t="inlineStr">
        <is>
          <t>0.29</t>
        </is>
      </c>
      <c r="CI68" s="24" t="n"/>
      <c r="CJ68" s="24" t="n"/>
      <c r="CK68" s="24" t="n"/>
      <c r="CL68" s="24" t="n"/>
      <c r="CM68" s="24" t="n"/>
      <c r="CN68" s="24" t="n"/>
      <c r="CO68" s="24" t="n"/>
    </row>
    <row r="69" ht="36" customHeight="1">
      <c r="A69" s="24" t="inlineStr">
        <is>
          <t>07282694da214443</t>
        </is>
      </c>
      <c r="B69" s="24" t="inlineStr">
        <is>
          <t>2026-07-28T23:38:20.366083Z</t>
        </is>
      </c>
      <c r="C69" s="24" t="inlineStr">
        <is>
          <t>2026-07-28T19:45:00-0400</t>
        </is>
      </c>
      <c r="D69" s="24" t="inlineStr">
        <is>
          <t>401816299</t>
        </is>
      </c>
      <c r="E69" s="24" t="inlineStr">
        <is>
          <t>MLB</t>
        </is>
      </c>
      <c r="F69" s="24" t="inlineStr">
        <is>
          <t>Chicago Cubs</t>
        </is>
      </c>
      <c r="G69" s="24" t="inlineStr">
        <is>
          <t>St. Louis Cardinals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100</v>
      </c>
      <c r="M69" s="27" t="n">
        <v>2</v>
      </c>
      <c r="N69" s="28" t="n">
        <v>0.5</v>
      </c>
      <c r="O69" s="28" t="n">
        <v>0.658691</v>
      </c>
      <c r="P69" s="28" t="n"/>
      <c r="Q69" s="28" t="n">
        <v>0.158691</v>
      </c>
      <c r="R69" s="26" t="n">
        <v>100</v>
      </c>
      <c r="S69" s="29" t="n">
        <v>2</v>
      </c>
      <c r="T69" s="24" t="inlineStr">
        <is>
          <t>mlb-elo-trend-lr-v6</t>
        </is>
      </c>
      <c r="U69" s="24" t="inlineStr">
        <is>
          <t>settled</t>
        </is>
      </c>
      <c r="V69" s="24" t="inlineStr">
        <is>
          <t>loss</t>
        </is>
      </c>
      <c r="W69" s="26" t="n">
        <v>10</v>
      </c>
      <c r="X69" s="26" t="n">
        <v>2</v>
      </c>
      <c r="Y69" s="25" t="n"/>
      <c r="Z69" s="26" t="n">
        <v>100</v>
      </c>
      <c r="AA69" s="28" t="n">
        <v>0.5</v>
      </c>
      <c r="AB69" s="28" t="n">
        <v>0</v>
      </c>
      <c r="AC69" s="30" t="n">
        <v>-2</v>
      </c>
      <c r="AD69" s="24" t="inlineStr">
        <is>
          <t>2026-07-29T05:44:55.705914Z</t>
        </is>
      </c>
      <c r="AE69" s="31" t="inlineStr">
        <is>
          <t>Learned LR call at threshold 0.5690; executable ask 0.5000 (aec-mlb-chc-stl-2026-07-28).</t>
        </is>
      </c>
      <c r="AF69" s="31" t="inlineStr">
        <is>
          <t>Learned model; shadow-qualified via operator override.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mlb-chc</t>
        </is>
      </c>
      <c r="AQ69" s="24" t="inlineStr">
        <is>
          <t>Chicago Cubs</t>
        </is>
      </c>
      <c r="AR69" s="24" t="inlineStr">
        <is>
          <t>Chicago Cubs</t>
        </is>
      </c>
      <c r="AS69" s="24" t="inlineStr">
        <is>
          <t>mlb-stl</t>
        </is>
      </c>
      <c r="AT69" s="24" t="inlineStr">
        <is>
          <t>St. Louis Cardinals</t>
        </is>
      </c>
      <c r="AU69" s="24" t="inlineStr">
        <is>
          <t>St. Louis Cardinals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0633355b1144e4205ca6d08e3f328d99cab0970358846bd77228f3bcbfcd70ee</t>
        </is>
      </c>
      <c r="BB69" s="24" t="inlineStr">
        <is>
          <t>learned_lr</t>
        </is>
      </c>
      <c r="BC69" s="24" t="inlineStr">
        <is>
          <t>mlb-elo-trend-lr-v6</t>
        </is>
      </c>
      <c r="BD69" s="24" t="inlineStr">
        <is>
          <t>0633355b1144e4205ca6d08e3f328d99cab0970358846bd77228f3bcbfcd70ee</t>
        </is>
      </c>
      <c r="BE69" s="24" t="inlineStr">
        <is>
          <t>68171e0531444439</t>
        </is>
      </c>
      <c r="BF69" s="24" t="inlineStr">
        <is>
          <t>1</t>
        </is>
      </c>
      <c r="BG69" s="24" t="inlineStr">
        <is>
          <t>mlb-elo-trend-lr-v6</t>
        </is>
      </c>
      <c r="BH69" s="24" t="inlineStr">
        <is>
          <t>2026-07-28T23:37:48.025116Z</t>
        </is>
      </c>
      <c r="BI69" s="24" t="inlineStr">
        <is>
          <t>["same_event","same_team_same_day","same_league_same_day"]</t>
        </is>
      </c>
      <c r="BJ69" s="25" t="n"/>
      <c r="BK69" s="26" t="n">
        <v>100</v>
      </c>
      <c r="BL69" s="27" t="n">
        <v>2</v>
      </c>
      <c r="BM69" s="28" t="n">
        <v>0.5</v>
      </c>
      <c r="BN69" s="28" t="n">
        <v>0.497512</v>
      </c>
      <c r="BO69" s="28" t="n"/>
      <c r="BP69" s="25" t="n"/>
      <c r="BQ69" s="27" t="n">
        <v>2</v>
      </c>
      <c r="BR69" s="28" t="n">
        <v>0.5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inlineStr">
        <is>
          <t>0.4644554475</t>
        </is>
      </c>
      <c r="CD69" s="24" t="inlineStr">
        <is>
          <t>-0.743911</t>
        </is>
      </c>
      <c r="CE69" s="24" t="inlineStr">
        <is>
          <t>0.99</t>
        </is>
      </c>
      <c r="CF69" s="24" t="n"/>
      <c r="CG69" s="24" t="n"/>
      <c r="CH69" s="24" t="inlineStr">
        <is>
          <t>-1.78</t>
        </is>
      </c>
      <c r="CI69" s="24" t="n"/>
      <c r="CJ69" s="24" t="n"/>
      <c r="CK69" s="24" t="n"/>
      <c r="CL69" s="24" t="n"/>
      <c r="CM69" s="24" t="n"/>
      <c r="CN69" s="24" t="n"/>
      <c r="CO69" s="24" t="n"/>
    </row>
    <row r="70" ht="36" customHeight="1">
      <c r="A70" s="24" t="inlineStr">
        <is>
          <t>379a058550ab4e7b</t>
        </is>
      </c>
      <c r="B70" s="24" t="inlineStr">
        <is>
          <t>2026-07-28T23:38:20.366083Z</t>
        </is>
      </c>
      <c r="C70" s="24" t="inlineStr">
        <is>
          <t>2026-07-28T21:38:00-0400</t>
        </is>
      </c>
      <c r="D70" s="24" t="inlineStr">
        <is>
          <t>401816304</t>
        </is>
      </c>
      <c r="E70" s="24" t="inlineStr">
        <is>
          <t>MLB</t>
        </is>
      </c>
      <c r="F70" s="24" t="inlineStr">
        <is>
          <t>Houston Astros</t>
        </is>
      </c>
      <c r="G70" s="24" t="inlineStr">
        <is>
          <t>Los Angeles Angels</t>
        </is>
      </c>
      <c r="H70" s="24" t="inlineStr">
        <is>
          <t>moneyline</t>
        </is>
      </c>
      <c r="I70" s="24" t="inlineStr">
        <is>
          <t>away</t>
        </is>
      </c>
      <c r="J70" s="25" t="n"/>
      <c r="K70" s="24" t="inlineStr">
        <is>
          <t>polymarket_us</t>
        </is>
      </c>
      <c r="L70" s="26" t="n">
        <v>-104</v>
      </c>
      <c r="M70" s="27" t="n">
        <v>1.961538</v>
      </c>
      <c r="N70" s="28" t="n">
        <v>0.509804</v>
      </c>
      <c r="O70" s="28" t="n">
        <v>0.526129</v>
      </c>
      <c r="P70" s="28" t="n"/>
      <c r="Q70" s="28" t="n">
        <v>0.016325</v>
      </c>
      <c r="R70" s="26" t="n">
        <v>29</v>
      </c>
      <c r="S70" s="29" t="n">
        <v>0.75</v>
      </c>
      <c r="T70" s="24" t="inlineStr">
        <is>
          <t>mlb-elo-trend-lr-v6</t>
        </is>
      </c>
      <c r="U70" s="24" t="inlineStr">
        <is>
          <t>settled</t>
        </is>
      </c>
      <c r="V70" s="24" t="inlineStr">
        <is>
          <t>win</t>
        </is>
      </c>
      <c r="W70" s="26" t="n">
        <v>3</v>
      </c>
      <c r="X70" s="26" t="n">
        <v>2</v>
      </c>
      <c r="Y70" s="25" t="n"/>
      <c r="Z70" s="26" t="n">
        <v>-104</v>
      </c>
      <c r="AA70" s="28" t="n">
        <v>0.51</v>
      </c>
      <c r="AB70" s="28" t="n">
        <v>0.000196</v>
      </c>
      <c r="AC70" s="30" t="n">
        <v>0.7212</v>
      </c>
      <c r="AD70" s="24" t="inlineStr">
        <is>
          <t>2026-07-29T05:44:56.422174Z</t>
        </is>
      </c>
      <c r="AE70" s="31" t="inlineStr">
        <is>
          <t>Learned LR call at threshold 0.5690; executable ask 0.5100 (aec-mlb-hou-laa-2026-07-28).</t>
        </is>
      </c>
      <c r="AF70" s="31" t="inlineStr">
        <is>
          <t>Learned model; shadow-qualified via operator override.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mlb-hou</t>
        </is>
      </c>
      <c r="AQ70" s="24" t="inlineStr">
        <is>
          <t>Houston Astros</t>
        </is>
      </c>
      <c r="AR70" s="24" t="inlineStr">
        <is>
          <t>Houston Astros</t>
        </is>
      </c>
      <c r="AS70" s="24" t="inlineStr">
        <is>
          <t>mlb-laa</t>
        </is>
      </c>
      <c r="AT70" s="24" t="inlineStr">
        <is>
          <t>Los Angeles Angels</t>
        </is>
      </c>
      <c r="AU70" s="24" t="inlineStr">
        <is>
          <t>Los Angeles Angels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0633355b1144e4205ca6d08e3f328d99cab0970358846bd77228f3bcbfcd70ee</t>
        </is>
      </c>
      <c r="BB70" s="24" t="inlineStr">
        <is>
          <t>learned_lr</t>
        </is>
      </c>
      <c r="BC70" s="24" t="inlineStr">
        <is>
          <t>mlb-elo-trend-lr-v6</t>
        </is>
      </c>
      <c r="BD70" s="24" t="inlineStr">
        <is>
          <t>0633355b1144e4205ca6d08e3f328d99cab0970358846bd77228f3bcbfcd70ee</t>
        </is>
      </c>
      <c r="BE70" s="24" t="inlineStr">
        <is>
          <t>6339971571300259</t>
        </is>
      </c>
      <c r="BF70" s="24" t="inlineStr">
        <is>
          <t>1</t>
        </is>
      </c>
      <c r="BG70" s="24" t="inlineStr">
        <is>
          <t>mlb-elo-trend-lr-v6</t>
        </is>
      </c>
      <c r="BH70" s="24" t="inlineStr">
        <is>
          <t>2026-07-28T23:37:48.908378Z</t>
        </is>
      </c>
      <c r="BI70" s="24" t="inlineStr">
        <is>
          <t>["same_event","same_team_same_day","same_league_same_day"]</t>
        </is>
      </c>
      <c r="BJ70" s="25" t="n"/>
      <c r="BK70" s="26" t="n">
        <v>-104</v>
      </c>
      <c r="BL70" s="27" t="n">
        <v>1.961538</v>
      </c>
      <c r="BM70" s="28" t="n">
        <v>0.509804</v>
      </c>
      <c r="BN70" s="28" t="n">
        <v>0.507463</v>
      </c>
      <c r="BO70" s="28" t="n"/>
      <c r="BP70" s="25" t="n"/>
      <c r="BQ70" s="27" t="n">
        <v>1.961538</v>
      </c>
      <c r="BR70" s="28" t="n">
        <v>0.51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inlineStr">
        <is>
          <t>0.4559426507</t>
        </is>
      </c>
      <c r="CD70" s="24" t="inlineStr">
        <is>
          <t>-1.582476</t>
        </is>
      </c>
      <c r="CE70" s="24" t="inlineStr">
        <is>
          <t>1.01</t>
        </is>
      </c>
      <c r="CF70" s="24" t="n"/>
      <c r="CG70" s="24" t="n"/>
      <c r="CH70" s="24" t="inlineStr">
        <is>
          <t>1.02</t>
        </is>
      </c>
      <c r="CI70" s="24" t="n"/>
      <c r="CJ70" s="24" t="n"/>
      <c r="CK70" s="24" t="n"/>
      <c r="CL70" s="24" t="n"/>
      <c r="CM70" s="24" t="n"/>
      <c r="CN70" s="24" t="n"/>
      <c r="CO70" s="24" t="n"/>
    </row>
    <row r="71" ht="36" customHeight="1">
      <c r="A71" s="24" t="inlineStr">
        <is>
          <t>5faea5ea2be7499d</t>
        </is>
      </c>
      <c r="B71" s="24" t="inlineStr">
        <is>
          <t>2026-07-28T23:38:20.366083Z</t>
        </is>
      </c>
      <c r="C71" s="24" t="inlineStr">
        <is>
          <t>2026-07-28T21:40:00-0400</t>
        </is>
      </c>
      <c r="D71" s="24" t="inlineStr">
        <is>
          <t>401816302</t>
        </is>
      </c>
      <c r="E71" s="24" t="inlineStr">
        <is>
          <t>MLB</t>
        </is>
      </c>
      <c r="F71" s="24" t="inlineStr">
        <is>
          <t>Boston Red Sox</t>
        </is>
      </c>
      <c r="G71" s="24" t="inlineStr">
        <is>
          <t>Athletics</t>
        </is>
      </c>
      <c r="H71" s="24" t="inlineStr">
        <is>
          <t>moneyline</t>
        </is>
      </c>
      <c r="I71" s="24" t="inlineStr">
        <is>
          <t>away</t>
        </is>
      </c>
      <c r="J71" s="25" t="n"/>
      <c r="K71" s="24" t="inlineStr">
        <is>
          <t>polymarket_us</t>
        </is>
      </c>
      <c r="L71" s="26" t="n">
        <v>-138</v>
      </c>
      <c r="M71" s="27" t="n">
        <v>1.724638</v>
      </c>
      <c r="N71" s="28" t="n">
        <v>0.579832</v>
      </c>
      <c r="O71" s="28" t="n">
        <v>0.594494</v>
      </c>
      <c r="P71" s="28" t="n"/>
      <c r="Q71" s="28" t="n">
        <v>0.014662</v>
      </c>
      <c r="R71" s="26" t="n">
        <v>29</v>
      </c>
      <c r="S71" s="29" t="n">
        <v>1.5</v>
      </c>
      <c r="T71" s="24" t="inlineStr">
        <is>
          <t>mlb-elo-trend-lr-v6</t>
        </is>
      </c>
      <c r="U71" s="24" t="inlineStr">
        <is>
          <t>settled</t>
        </is>
      </c>
      <c r="V71" s="24" t="inlineStr">
        <is>
          <t>loss</t>
        </is>
      </c>
      <c r="W71" s="26" t="n">
        <v>3</v>
      </c>
      <c r="X71" s="26" t="n">
        <v>4</v>
      </c>
      <c r="Y71" s="25" t="n"/>
      <c r="Z71" s="26" t="n">
        <v>-138</v>
      </c>
      <c r="AA71" s="28" t="n">
        <v>0.58</v>
      </c>
      <c r="AB71" s="28" t="n">
        <v>0.000168</v>
      </c>
      <c r="AC71" s="30" t="n">
        <v>-1.5</v>
      </c>
      <c r="AD71" s="24" t="inlineStr">
        <is>
          <t>2026-07-29T05:44:57.187491Z</t>
        </is>
      </c>
      <c r="AE71" s="31" t="inlineStr">
        <is>
          <t>Learned LR call at threshold 0.5690; executable ask 0.5800 (aec-mlb-bos-ath-2026-07-28).</t>
        </is>
      </c>
      <c r="AF71" s="31" t="inlineStr">
        <is>
          <t>Learned model; shadow-qualified via operator override.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mlb-bos</t>
        </is>
      </c>
      <c r="AQ71" s="24" t="inlineStr">
        <is>
          <t>Boston Red Sox</t>
        </is>
      </c>
      <c r="AR71" s="24" t="inlineStr">
        <is>
          <t>Boston Red Sox</t>
        </is>
      </c>
      <c r="AS71" s="24" t="inlineStr">
        <is>
          <t>mlb-ath</t>
        </is>
      </c>
      <c r="AT71" s="24" t="inlineStr">
        <is>
          <t>Athletics</t>
        </is>
      </c>
      <c r="AU71" s="24" t="inlineStr">
        <is>
          <t>Athletics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0633355b1144e4205ca6d08e3f328d99cab0970358846bd77228f3bcbfcd70ee</t>
        </is>
      </c>
      <c r="BB71" s="24" t="inlineStr">
        <is>
          <t>learned_lr</t>
        </is>
      </c>
      <c r="BC71" s="24" t="inlineStr">
        <is>
          <t>mlb-elo-trend-lr-v6</t>
        </is>
      </c>
      <c r="BD71" s="24" t="inlineStr">
        <is>
          <t>0633355b1144e4205ca6d08e3f328d99cab0970358846bd77228f3bcbfcd70ee</t>
        </is>
      </c>
      <c r="BE71" s="24" t="inlineStr">
        <is>
          <t>13824f8603c8d612</t>
        </is>
      </c>
      <c r="BF71" s="24" t="inlineStr">
        <is>
          <t>1</t>
        </is>
      </c>
      <c r="BG71" s="24" t="inlineStr">
        <is>
          <t>mlb-elo-trend-lr-v6</t>
        </is>
      </c>
      <c r="BH71" s="24" t="inlineStr">
        <is>
          <t>2026-07-28T23:37:50.802349Z</t>
        </is>
      </c>
      <c r="BI71" s="24" t="inlineStr">
        <is>
          <t>["same_event","same_team_same_day","same_league_same_day"]</t>
        </is>
      </c>
      <c r="BJ71" s="25" t="n"/>
      <c r="BK71" s="26" t="n">
        <v>-138</v>
      </c>
      <c r="BL71" s="27" t="n">
        <v>1.724638</v>
      </c>
      <c r="BM71" s="28" t="n">
        <v>0.579832</v>
      </c>
      <c r="BN71" s="28" t="n">
        <v>0.577114</v>
      </c>
      <c r="BO71" s="28" t="n"/>
      <c r="BP71" s="25" t="n"/>
      <c r="BQ71" s="27" t="n">
        <v>1.724638</v>
      </c>
      <c r="BR71" s="28" t="n">
        <v>0.58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inlineStr">
        <is>
          <t>0.3891185316</t>
        </is>
      </c>
      <c r="CD71" s="24" t="inlineStr">
        <is>
          <t>-1.066043</t>
        </is>
      </c>
      <c r="CE71" s="24" t="inlineStr">
        <is>
          <t>0.98</t>
        </is>
      </c>
      <c r="CF71" s="24" t="n"/>
      <c r="CG71" s="24" t="n"/>
      <c r="CH71" s="24" t="inlineStr">
        <is>
          <t>1.84</t>
        </is>
      </c>
      <c r="CI71" s="24" t="n"/>
      <c r="CJ71" s="24" t="n"/>
      <c r="CK71" s="24" t="n"/>
      <c r="CL71" s="24" t="n"/>
      <c r="CM71" s="24" t="n"/>
      <c r="CN71" s="24" t="n"/>
      <c r="CO71" s="24" t="n"/>
    </row>
    <row r="72" ht="36" customHeight="1">
      <c r="A72" s="24" t="inlineStr">
        <is>
          <t>1c15d0d764b9471b</t>
        </is>
      </c>
      <c r="B72" s="24" t="inlineStr">
        <is>
          <t>2026-07-28T23:38:20.366083Z</t>
        </is>
      </c>
      <c r="C72" s="24" t="inlineStr">
        <is>
          <t>2026-07-28T21:40:00-0400</t>
        </is>
      </c>
      <c r="D72" s="24" t="inlineStr">
        <is>
          <t>401816303</t>
        </is>
      </c>
      <c r="E72" s="24" t="inlineStr">
        <is>
          <t>MLB</t>
        </is>
      </c>
      <c r="F72" s="24" t="inlineStr">
        <is>
          <t>Colorado Rockies</t>
        </is>
      </c>
      <c r="G72" s="24" t="inlineStr">
        <is>
          <t>San Diego Padres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-213</v>
      </c>
      <c r="M72" s="27" t="n">
        <v>1.469484</v>
      </c>
      <c r="N72" s="28" t="n">
        <v>0.680511</v>
      </c>
      <c r="O72" s="28" t="n">
        <v>0.7310950000000001</v>
      </c>
      <c r="P72" s="28" t="n"/>
      <c r="Q72" s="28" t="n">
        <v>0.050584</v>
      </c>
      <c r="R72" s="26" t="n">
        <v>47</v>
      </c>
      <c r="S72" s="29" t="n">
        <v>2</v>
      </c>
      <c r="T72" s="24" t="inlineStr">
        <is>
          <t>mlb-elo-trend-lr-v6</t>
        </is>
      </c>
      <c r="U72" s="24" t="inlineStr">
        <is>
          <t>settled</t>
        </is>
      </c>
      <c r="V72" s="24" t="inlineStr">
        <is>
          <t>win</t>
        </is>
      </c>
      <c r="W72" s="26" t="n">
        <v>7</v>
      </c>
      <c r="X72" s="26" t="n">
        <v>8</v>
      </c>
      <c r="Y72" s="25" t="n"/>
      <c r="Z72" s="26" t="n">
        <v>-213</v>
      </c>
      <c r="AA72" s="28" t="n">
        <v>0.68</v>
      </c>
      <c r="AB72" s="28" t="n">
        <v>-0.000511</v>
      </c>
      <c r="AC72" s="30" t="n">
        <v>0.9389999999999999</v>
      </c>
      <c r="AD72" s="24" t="inlineStr">
        <is>
          <t>2026-07-29T05:44:57.546424Z</t>
        </is>
      </c>
      <c r="AE72" s="31" t="inlineStr">
        <is>
          <t>Learned LR call at threshold 0.5690; executable ask 0.6800 (aec-mlb-col-sd-2026-07-28).</t>
        </is>
      </c>
      <c r="AF72" s="31" t="inlineStr">
        <is>
          <t>Learned model; shadow-qualified via operator override.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mlb-col</t>
        </is>
      </c>
      <c r="AQ72" s="24" t="inlineStr">
        <is>
          <t>Colorado Rockies</t>
        </is>
      </c>
      <c r="AR72" s="24" t="inlineStr">
        <is>
          <t>Colorado Rockies</t>
        </is>
      </c>
      <c r="AS72" s="24" t="inlineStr">
        <is>
          <t>mlb-sd</t>
        </is>
      </c>
      <c r="AT72" s="24" t="inlineStr">
        <is>
          <t>San Diego Padres</t>
        </is>
      </c>
      <c r="AU72" s="24" t="inlineStr">
        <is>
          <t>San Diego Padres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0633355b1144e4205ca6d08e3f328d99cab0970358846bd77228f3bcbfcd70ee</t>
        </is>
      </c>
      <c r="BB72" s="24" t="inlineStr">
        <is>
          <t>learned_lr</t>
        </is>
      </c>
      <c r="BC72" s="24" t="inlineStr">
        <is>
          <t>mlb-elo-trend-lr-v6</t>
        </is>
      </c>
      <c r="BD72" s="24" t="inlineStr">
        <is>
          <t>0633355b1144e4205ca6d08e3f328d99cab0970358846bd77228f3bcbfcd70ee</t>
        </is>
      </c>
      <c r="BE72" s="24" t="inlineStr">
        <is>
          <t>7af36682a5486cf7</t>
        </is>
      </c>
      <c r="BF72" s="24" t="inlineStr">
        <is>
          <t>1</t>
        </is>
      </c>
      <c r="BG72" s="24" t="inlineStr">
        <is>
          <t>mlb-elo-trend-lr-v6</t>
        </is>
      </c>
      <c r="BH72" s="24" t="inlineStr">
        <is>
          <t>2026-07-28T23:37:49.975579Z</t>
        </is>
      </c>
      <c r="BI72" s="24" t="inlineStr">
        <is>
          <t>["same_event","same_team_same_day","same_league_same_day"]</t>
        </is>
      </c>
      <c r="BJ72" s="25" t="n"/>
      <c r="BK72" s="26" t="n">
        <v>-213</v>
      </c>
      <c r="BL72" s="27" t="n">
        <v>1.469484</v>
      </c>
      <c r="BM72" s="28" t="n">
        <v>0.680511</v>
      </c>
      <c r="BN72" s="28" t="n">
        <v>0.676617</v>
      </c>
      <c r="BO72" s="28" t="n"/>
      <c r="BP72" s="25" t="n"/>
      <c r="BQ72" s="27" t="n">
        <v>1.469484</v>
      </c>
      <c r="BR72" s="28" t="n">
        <v>0.68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inlineStr">
        <is>
          <t>0.6881581363</t>
        </is>
      </c>
      <c r="CD72" s="24" t="inlineStr">
        <is>
          <t>2.156212</t>
        </is>
      </c>
      <c r="CE72" s="24" t="inlineStr">
        <is>
          <t>0.95</t>
        </is>
      </c>
      <c r="CF72" s="24" t="n"/>
      <c r="CG72" s="24" t="n"/>
      <c r="CH72" s="24" t="inlineStr">
        <is>
          <t>-3.29</t>
        </is>
      </c>
      <c r="CI72" s="24" t="n"/>
      <c r="CJ72" s="24" t="n"/>
      <c r="CK72" s="24" t="n"/>
      <c r="CL72" s="24" t="n"/>
      <c r="CM72" s="24" t="n"/>
      <c r="CN72" s="24" t="n"/>
      <c r="CO72" s="24" t="n"/>
    </row>
    <row r="73" ht="36" customHeight="1">
      <c r="A73" s="24" t="inlineStr">
        <is>
          <t>d33684de464b4cd9</t>
        </is>
      </c>
      <c r="B73" s="24" t="inlineStr">
        <is>
          <t>2026-07-28T23:38:20.366083Z</t>
        </is>
      </c>
      <c r="C73" s="24" t="inlineStr">
        <is>
          <t>2026-07-28T21:45:00-0400</t>
        </is>
      </c>
      <c r="D73" s="24" t="inlineStr">
        <is>
          <t>401816305</t>
        </is>
      </c>
      <c r="E73" s="24" t="inlineStr">
        <is>
          <t>MLB</t>
        </is>
      </c>
      <c r="F73" s="24" t="inlineStr">
        <is>
          <t>Milwaukee Brewers</t>
        </is>
      </c>
      <c r="G73" s="24" t="inlineStr">
        <is>
          <t>San Francisco Giants</t>
        </is>
      </c>
      <c r="H73" s="24" t="inlineStr">
        <is>
          <t>moneyline</t>
        </is>
      </c>
      <c r="I73" s="24" t="inlineStr">
        <is>
          <t>away</t>
        </is>
      </c>
      <c r="J73" s="25" t="n"/>
      <c r="K73" s="24" t="inlineStr">
        <is>
          <t>polymarket_us</t>
        </is>
      </c>
      <c r="L73" s="26" t="n">
        <v>-141</v>
      </c>
      <c r="M73" s="27" t="n">
        <v>1.70922</v>
      </c>
      <c r="N73" s="28" t="n">
        <v>0.585062</v>
      </c>
      <c r="O73" s="28" t="n">
        <v>0.551473</v>
      </c>
      <c r="P73" s="28" t="n"/>
      <c r="Q73" s="28" t="n">
        <v>-0.033589</v>
      </c>
      <c r="R73" s="26" t="n">
        <v>5</v>
      </c>
      <c r="S73" s="29" t="n">
        <v>1</v>
      </c>
      <c r="T73" s="24" t="inlineStr">
        <is>
          <t>mlb-elo-trend-lr-v6</t>
        </is>
      </c>
      <c r="U73" s="24" t="inlineStr">
        <is>
          <t>settled</t>
        </is>
      </c>
      <c r="V73" s="24" t="inlineStr">
        <is>
          <t>win</t>
        </is>
      </c>
      <c r="W73" s="26" t="n">
        <v>8</v>
      </c>
      <c r="X73" s="26" t="n">
        <v>2</v>
      </c>
      <c r="Y73" s="25" t="n"/>
      <c r="Z73" s="26" t="n">
        <v>-141</v>
      </c>
      <c r="AA73" s="28" t="n">
        <v>0.585</v>
      </c>
      <c r="AB73" s="28" t="n">
        <v>-6.2e-05</v>
      </c>
      <c r="AC73" s="30" t="n">
        <v>0.7092000000000001</v>
      </c>
      <c r="AD73" s="24" t="inlineStr">
        <is>
          <t>2026-07-29T05:44:57.907166Z</t>
        </is>
      </c>
      <c r="AE73" s="31" t="inlineStr">
        <is>
          <t>Learned LR call at threshold 0.5690; executable ask 0.5850 (aec-mlb-mil-sf-2026-07-28).</t>
        </is>
      </c>
      <c r="AF73" s="31" t="inlineStr">
        <is>
          <t>Learned model; shadow-qualified via operator override.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mlb-mil</t>
        </is>
      </c>
      <c r="AQ73" s="24" t="inlineStr">
        <is>
          <t>Milwaukee Brewers</t>
        </is>
      </c>
      <c r="AR73" s="24" t="inlineStr">
        <is>
          <t>Milwaukee Brewers</t>
        </is>
      </c>
      <c r="AS73" s="24" t="inlineStr">
        <is>
          <t>mlb-sf</t>
        </is>
      </c>
      <c r="AT73" s="24" t="inlineStr">
        <is>
          <t>San Francisco Giants</t>
        </is>
      </c>
      <c r="AU73" s="24" t="inlineStr">
        <is>
          <t>San Francisco Giants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0633355b1144e4205ca6d08e3f328d99cab0970358846bd77228f3bcbfcd70ee</t>
        </is>
      </c>
      <c r="BB73" s="24" t="inlineStr">
        <is>
          <t>learned_lr</t>
        </is>
      </c>
      <c r="BC73" s="24" t="inlineStr">
        <is>
          <t>mlb-elo-trend-lr-v6</t>
        </is>
      </c>
      <c r="BD73" s="24" t="inlineStr">
        <is>
          <t>0633355b1144e4205ca6d08e3f328d99cab0970358846bd77228f3bcbfcd70ee</t>
        </is>
      </c>
      <c r="BE73" s="24" t="inlineStr">
        <is>
          <t>df15ad699cf8d76f</t>
        </is>
      </c>
      <c r="BF73" s="24" t="inlineStr">
        <is>
          <t>1</t>
        </is>
      </c>
      <c r="BG73" s="24" t="inlineStr">
        <is>
          <t>mlb-elo-trend-lr-v6</t>
        </is>
      </c>
      <c r="BH73" s="24" t="inlineStr">
        <is>
          <t>2026-07-28T23:37:51.567023Z</t>
        </is>
      </c>
      <c r="BI73" s="24" t="inlineStr">
        <is>
          <t>["same_event","same_team_same_day","same_league_same_day"]</t>
        </is>
      </c>
      <c r="BJ73" s="25" t="n"/>
      <c r="BK73" s="26" t="n">
        <v>-141</v>
      </c>
      <c r="BL73" s="27" t="n">
        <v>1.70922</v>
      </c>
      <c r="BM73" s="28" t="n">
        <v>0.585062</v>
      </c>
      <c r="BN73" s="28" t="n">
        <v>0.58209</v>
      </c>
      <c r="BO73" s="28" t="n"/>
      <c r="BP73" s="25" t="n"/>
      <c r="BQ73" s="27" t="n">
        <v>1.70922</v>
      </c>
      <c r="BR73" s="28" t="n">
        <v>0.585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inlineStr">
        <is>
          <t>0.386809701</t>
        </is>
      </c>
      <c r="CD73" s="24" t="inlineStr">
        <is>
          <t>0.729859</t>
        </is>
      </c>
      <c r="CE73" s="24" t="inlineStr">
        <is>
          <t>0.96</t>
        </is>
      </c>
      <c r="CF73" s="24" t="n"/>
      <c r="CG73" s="24" t="n"/>
      <c r="CH73" s="24" t="inlineStr">
        <is>
          <t>0.88</t>
        </is>
      </c>
      <c r="CI73" s="24" t="n"/>
      <c r="CJ73" s="24" t="n"/>
      <c r="CK73" s="24" t="n"/>
      <c r="CL73" s="24" t="n"/>
      <c r="CM73" s="24" t="n"/>
      <c r="CN73" s="24" t="n"/>
      <c r="CO73" s="24" t="n"/>
    </row>
    <row r="74" ht="36" customHeight="1">
      <c r="A74" s="24" t="inlineStr">
        <is>
          <t>b5983394e0834174</t>
        </is>
      </c>
      <c r="B74" s="24" t="inlineStr">
        <is>
          <t>2026-07-28T23:38:20.366083Z</t>
        </is>
      </c>
      <c r="C74" s="24" t="inlineStr">
        <is>
          <t>2026-07-28T22:10:00-0400</t>
        </is>
      </c>
      <c r="D74" s="24" t="inlineStr">
        <is>
          <t>401816306</t>
        </is>
      </c>
      <c r="E74" s="24" t="inlineStr">
        <is>
          <t>MLB</t>
        </is>
      </c>
      <c r="F74" s="24" t="inlineStr">
        <is>
          <t>Seattle Mariners</t>
        </is>
      </c>
      <c r="G74" s="24" t="inlineStr">
        <is>
          <t>Los Angeles Dodgers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-213</v>
      </c>
      <c r="M74" s="27" t="n">
        <v>1.469484</v>
      </c>
      <c r="N74" s="28" t="n">
        <v>0.680511</v>
      </c>
      <c r="O74" s="28" t="n">
        <v>0.690607</v>
      </c>
      <c r="P74" s="28" t="n"/>
      <c r="Q74" s="28" t="n">
        <v>0.010096</v>
      </c>
      <c r="R74" s="26" t="n">
        <v>27</v>
      </c>
      <c r="S74" s="29" t="n">
        <v>2</v>
      </c>
      <c r="T74" s="24" t="inlineStr">
        <is>
          <t>mlb-elo-trend-lr-v6</t>
        </is>
      </c>
      <c r="U74" s="24" t="inlineStr">
        <is>
          <t>settled</t>
        </is>
      </c>
      <c r="V74" s="24" t="inlineStr">
        <is>
          <t>loss</t>
        </is>
      </c>
      <c r="W74" s="26" t="n">
        <v>7</v>
      </c>
      <c r="X74" s="26" t="n">
        <v>6</v>
      </c>
      <c r="Y74" s="25" t="n"/>
      <c r="Z74" s="26" t="n">
        <v>-213</v>
      </c>
      <c r="AA74" s="28" t="n">
        <v>0.68</v>
      </c>
      <c r="AB74" s="28" t="n">
        <v>-0.000511</v>
      </c>
      <c r="AC74" s="30" t="n">
        <v>-2</v>
      </c>
      <c r="AD74" s="24" t="inlineStr">
        <is>
          <t>2026-07-29T05:44:58.269630Z</t>
        </is>
      </c>
      <c r="AE74" s="31" t="inlineStr">
        <is>
          <t>Learned LR call at threshold 0.5690; executable ask 0.6800 (aec-mlb-sea-lad-2026-07-28).</t>
        </is>
      </c>
      <c r="AF74" s="31" t="inlineStr">
        <is>
          <t>Learned model; shadow-qualified via operator override.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mlb-sea</t>
        </is>
      </c>
      <c r="AQ74" s="24" t="inlineStr">
        <is>
          <t>Seattle Mariners</t>
        </is>
      </c>
      <c r="AR74" s="24" t="inlineStr">
        <is>
          <t>Seattle Mariners</t>
        </is>
      </c>
      <c r="AS74" s="24" t="inlineStr">
        <is>
          <t>mlb-lad</t>
        </is>
      </c>
      <c r="AT74" s="24" t="inlineStr">
        <is>
          <t>Los Angeles Dodgers</t>
        </is>
      </c>
      <c r="AU74" s="24" t="inlineStr">
        <is>
          <t>Los Angeles Dodgers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0633355b1144e4205ca6d08e3f328d99cab0970358846bd77228f3bcbfcd70ee</t>
        </is>
      </c>
      <c r="BB74" s="24" t="inlineStr">
        <is>
          <t>learned_lr</t>
        </is>
      </c>
      <c r="BC74" s="24" t="inlineStr">
        <is>
          <t>mlb-elo-trend-lr-v6</t>
        </is>
      </c>
      <c r="BD74" s="24" t="inlineStr">
        <is>
          <t>0633355b1144e4205ca6d08e3f328d99cab0970358846bd77228f3bcbfcd70ee</t>
        </is>
      </c>
      <c r="BE74" s="24" t="inlineStr">
        <is>
          <t>c0be61a1b000c85d</t>
        </is>
      </c>
      <c r="BF74" s="24" t="inlineStr">
        <is>
          <t>1</t>
        </is>
      </c>
      <c r="BG74" s="24" t="inlineStr">
        <is>
          <t>mlb-elo-trend-lr-v6</t>
        </is>
      </c>
      <c r="BH74" s="24" t="inlineStr">
        <is>
          <t>2026-07-28T23:37:52.833077Z</t>
        </is>
      </c>
      <c r="BI74" s="24" t="inlineStr">
        <is>
          <t>["same_event","same_team_same_day","same_league_same_day"]</t>
        </is>
      </c>
      <c r="BJ74" s="25" t="n"/>
      <c r="BK74" s="26" t="n">
        <v>-213</v>
      </c>
      <c r="BL74" s="27" t="n">
        <v>1.469484</v>
      </c>
      <c r="BM74" s="28" t="n">
        <v>0.680511</v>
      </c>
      <c r="BN74" s="28" t="n">
        <v>0.676617</v>
      </c>
      <c r="BO74" s="28" t="n"/>
      <c r="BP74" s="25" t="n"/>
      <c r="BQ74" s="27" t="n">
        <v>1.469484</v>
      </c>
      <c r="BR74" s="28" t="n">
        <v>0.68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inlineStr">
        <is>
          <t>0.6258863376</t>
        </is>
      </c>
      <c r="CD74" s="24" t="inlineStr">
        <is>
          <t>-0.186858</t>
        </is>
      </c>
      <c r="CE74" s="24" t="inlineStr">
        <is>
          <t>0.99</t>
        </is>
      </c>
      <c r="CF74" s="24" t="n"/>
      <c r="CG74" s="24" t="n"/>
      <c r="CH74" s="24" t="inlineStr">
        <is>
          <t>-2.23</t>
        </is>
      </c>
      <c r="CI74" s="24" t="n"/>
      <c r="CJ74" s="24" t="n"/>
      <c r="CK74" s="24" t="n"/>
      <c r="CL74" s="24" t="n"/>
      <c r="CM74" s="24" t="n"/>
      <c r="CN74" s="24" t="n"/>
      <c r="CO74" s="24" t="n"/>
    </row>
    <row r="75" ht="36" customHeight="1">
      <c r="A75" s="24" t="inlineStr">
        <is>
          <t>27424d05e09d4892</t>
        </is>
      </c>
      <c r="B75" s="24" t="inlineStr">
        <is>
          <t>2026-07-29T15:06:42.678455Z</t>
        </is>
      </c>
      <c r="C75" s="24" t="inlineStr">
        <is>
          <t>2026-07-29T12:10:00-0400</t>
        </is>
      </c>
      <c r="D75" s="24" t="inlineStr">
        <is>
          <t>401816311</t>
        </is>
      </c>
      <c r="E75" s="24" t="inlineStr">
        <is>
          <t>MLB</t>
        </is>
      </c>
      <c r="F75" s="24" t="inlineStr">
        <is>
          <t>Philadelphia Phillies</t>
        </is>
      </c>
      <c r="G75" s="24" t="inlineStr">
        <is>
          <t>Miami Marlins</t>
        </is>
      </c>
      <c r="H75" s="24" t="inlineStr">
        <is>
          <t>moneyline</t>
        </is>
      </c>
      <c r="I75" s="24" t="inlineStr">
        <is>
          <t>away</t>
        </is>
      </c>
      <c r="J75" s="25" t="n"/>
      <c r="K75" s="24" t="inlineStr">
        <is>
          <t>polymarket_us</t>
        </is>
      </c>
      <c r="L75" s="26" t="n">
        <v>-160</v>
      </c>
      <c r="M75" s="27" t="n">
        <v>1.625</v>
      </c>
      <c r="N75" s="28" t="n">
        <v>0.615385</v>
      </c>
      <c r="O75" s="28" t="n">
        <v>0.548878</v>
      </c>
      <c r="P75" s="28" t="n"/>
      <c r="Q75" s="28" t="n">
        <v>-0.066507</v>
      </c>
      <c r="R75" s="26" t="n">
        <v>0</v>
      </c>
      <c r="S75" s="29" t="n">
        <v>1</v>
      </c>
      <c r="T75" s="24" t="inlineStr">
        <is>
          <t>mlb-elo-trend-lr-v6</t>
        </is>
      </c>
      <c r="U75" s="24" t="inlineStr">
        <is>
          <t>settled</t>
        </is>
      </c>
      <c r="V75" s="24" t="inlineStr">
        <is>
          <t>loss</t>
        </is>
      </c>
      <c r="W75" s="26" t="n">
        <v>6</v>
      </c>
      <c r="X75" s="26" t="n">
        <v>8</v>
      </c>
      <c r="Y75" s="25" t="n"/>
      <c r="Z75" s="26" t="n">
        <v>-160</v>
      </c>
      <c r="AA75" s="28" t="n">
        <v>0.615</v>
      </c>
      <c r="AB75" s="28" t="n">
        <v>-0.000385</v>
      </c>
      <c r="AC75" s="30" t="n">
        <v>-1</v>
      </c>
      <c r="AD75" s="24" t="inlineStr">
        <is>
          <t>2026-07-30T04:11:49.792497Z</t>
        </is>
      </c>
      <c r="AE75" s="31" t="inlineStr">
        <is>
          <t>Learned LR call at threshold 0.5690; executable ask 0.6150 (aec-mlb-phi-mia-2026-07-29).</t>
        </is>
      </c>
      <c r="AF75" s="31" t="inlineStr">
        <is>
          <t>Learned model; shadow-qualified via operator override.</t>
        </is>
      </c>
      <c r="AG75" s="24" t="inlineStr">
        <is>
          <t>review_required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mlb-phi</t>
        </is>
      </c>
      <c r="AQ75" s="24" t="inlineStr">
        <is>
          <t>Philadelphia Phillies</t>
        </is>
      </c>
      <c r="AR75" s="24" t="inlineStr">
        <is>
          <t>Philadelphia Phillies</t>
        </is>
      </c>
      <c r="AS75" s="24" t="inlineStr">
        <is>
          <t>mlb-mia</t>
        </is>
      </c>
      <c r="AT75" s="24" t="inlineStr">
        <is>
          <t>Miami Marlins</t>
        </is>
      </c>
      <c r="AU75" s="24" t="inlineStr">
        <is>
          <t>Miami Marlins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0633355b1144e4205ca6d08e3f328d99cab0970358846bd77228f3bcbfcd70ee</t>
        </is>
      </c>
      <c r="BB75" s="24" t="inlineStr">
        <is>
          <t>learned_lr</t>
        </is>
      </c>
      <c r="BC75" s="24" t="inlineStr">
        <is>
          <t>mlb-elo-trend-lr-v6</t>
        </is>
      </c>
      <c r="BD75" s="24" t="inlineStr">
        <is>
          <t>0633355b1144e4205ca6d08e3f328d99cab0970358846bd77228f3bcbfcd70ee</t>
        </is>
      </c>
      <c r="BE75" s="24" t="inlineStr">
        <is>
          <t>717e55f4f258c65e</t>
        </is>
      </c>
      <c r="BF75" s="24" t="inlineStr">
        <is>
          <t>1</t>
        </is>
      </c>
      <c r="BG75" s="24" t="inlineStr">
        <is>
          <t>mlb-elo-trend-lr-v6</t>
        </is>
      </c>
      <c r="BH75" s="24" t="inlineStr">
        <is>
          <t>2026-07-29T15:05:36.117663Z</t>
        </is>
      </c>
      <c r="BI75" s="24" t="inlineStr">
        <is>
          <t>["same_event","same_team_same_day","same_league_same_day"]</t>
        </is>
      </c>
      <c r="BJ75" s="25" t="n"/>
      <c r="BK75" s="26" t="n">
        <v>-160</v>
      </c>
      <c r="BL75" s="27" t="n">
        <v>1.625</v>
      </c>
      <c r="BM75" s="28" t="n">
        <v>0.615385</v>
      </c>
      <c r="BN75" s="28" t="n">
        <v>0.61194</v>
      </c>
      <c r="BO75" s="28" t="n"/>
      <c r="BP75" s="25" t="n"/>
      <c r="BQ75" s="27" t="n">
        <v>1.625</v>
      </c>
      <c r="BR75" s="28" t="n">
        <v>0.615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inlineStr">
        <is>
          <t>0.477817603</t>
        </is>
      </c>
      <c r="CD75" s="24" t="inlineStr">
        <is>
          <t>-0.644046</t>
        </is>
      </c>
      <c r="CE75" s="24" t="inlineStr">
        <is>
          <t>0.99</t>
        </is>
      </c>
      <c r="CF75" s="24" t="n"/>
      <c r="CG75" s="24" t="n"/>
      <c r="CH75" s="24" t="inlineStr">
        <is>
          <t>1.19</t>
        </is>
      </c>
      <c r="CI75" s="24" t="n"/>
      <c r="CJ75" s="24" t="n"/>
      <c r="CK75" s="24" t="n"/>
      <c r="CL75" s="24" t="n"/>
      <c r="CM75" s="24" t="n"/>
      <c r="CN75" s="24" t="n"/>
      <c r="CO75" s="24" t="n"/>
    </row>
    <row r="76" ht="36" customHeight="1">
      <c r="A76" s="24" t="inlineStr">
        <is>
          <t>8be148fc5c784cd1</t>
        </is>
      </c>
      <c r="B76" s="24" t="inlineStr">
        <is>
          <t>2026-07-29T15:06:42.678455Z</t>
        </is>
      </c>
      <c r="C76" s="24" t="inlineStr">
        <is>
          <t>2026-07-29T12:35:00-0400</t>
        </is>
      </c>
      <c r="D76" s="24" t="inlineStr">
        <is>
          <t>401816307</t>
        </is>
      </c>
      <c r="E76" s="24" t="inlineStr">
        <is>
          <t>MLB</t>
        </is>
      </c>
      <c r="F76" s="24" t="inlineStr">
        <is>
          <t>Arizona Diamondbacks</t>
        </is>
      </c>
      <c r="G76" s="24" t="inlineStr">
        <is>
          <t>Pittsburgh Pirates</t>
        </is>
      </c>
      <c r="H76" s="24" t="inlineStr">
        <is>
          <t>moneyline</t>
        </is>
      </c>
      <c r="I76" s="24" t="inlineStr">
        <is>
          <t>away</t>
        </is>
      </c>
      <c r="J76" s="25" t="n"/>
      <c r="K76" s="24" t="inlineStr">
        <is>
          <t>polymarket_us</t>
        </is>
      </c>
      <c r="L76" s="26" t="n">
        <v>122</v>
      </c>
      <c r="M76" s="27" t="n">
        <v>2.22</v>
      </c>
      <c r="N76" s="28" t="n">
        <v>0.45045</v>
      </c>
      <c r="O76" s="28" t="n">
        <v>0.5174299999999999</v>
      </c>
      <c r="P76" s="28" t="n"/>
      <c r="Q76" s="28" t="n">
        <v>0.06698</v>
      </c>
      <c r="R76" s="26" t="n">
        <v>55</v>
      </c>
      <c r="S76" s="29" t="n">
        <v>0.75</v>
      </c>
      <c r="T76" s="24" t="inlineStr">
        <is>
          <t>mlb-elo-trend-lr-v6</t>
        </is>
      </c>
      <c r="U76" s="24" t="inlineStr">
        <is>
          <t>settled</t>
        </is>
      </c>
      <c r="V76" s="24" t="inlineStr">
        <is>
          <t>win</t>
        </is>
      </c>
      <c r="W76" s="26" t="n">
        <v>3</v>
      </c>
      <c r="X76" s="26" t="n">
        <v>0</v>
      </c>
      <c r="Y76" s="25" t="n"/>
      <c r="Z76" s="26" t="n">
        <v>122</v>
      </c>
      <c r="AA76" s="28" t="n">
        <v>0.45</v>
      </c>
      <c r="AB76" s="28" t="n">
        <v>-0.00045</v>
      </c>
      <c r="AC76" s="30" t="n">
        <v>0.915</v>
      </c>
      <c r="AD76" s="24" t="inlineStr">
        <is>
          <t>2026-07-30T04:11:50.305157Z</t>
        </is>
      </c>
      <c r="AE76" s="31" t="inlineStr">
        <is>
          <t>Learned LR call at threshold 0.5690; executable ask 0.4500 (aec-mlb-az-pit-2026-07-29).</t>
        </is>
      </c>
      <c r="AF76" s="31" t="inlineStr">
        <is>
          <t>Learned model; shadow-qualified via operator override.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mlb-ari</t>
        </is>
      </c>
      <c r="AQ76" s="24" t="inlineStr">
        <is>
          <t>Arizona Diamondbacks</t>
        </is>
      </c>
      <c r="AR76" s="24" t="inlineStr">
        <is>
          <t>Arizona Diamondbacks</t>
        </is>
      </c>
      <c r="AS76" s="24" t="inlineStr">
        <is>
          <t>mlb-pit</t>
        </is>
      </c>
      <c r="AT76" s="24" t="inlineStr">
        <is>
          <t>Pittsburgh Pirates</t>
        </is>
      </c>
      <c r="AU76" s="24" t="inlineStr">
        <is>
          <t>Pittsburgh Pirates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0633355b1144e4205ca6d08e3f328d99cab0970358846bd77228f3bcbfcd70ee</t>
        </is>
      </c>
      <c r="BB76" s="24" t="inlineStr">
        <is>
          <t>learned_lr</t>
        </is>
      </c>
      <c r="BC76" s="24" t="inlineStr">
        <is>
          <t>mlb-elo-trend-lr-v6</t>
        </is>
      </c>
      <c r="BD76" s="24" t="inlineStr">
        <is>
          <t>0633355b1144e4205ca6d08e3f328d99cab0970358846bd77228f3bcbfcd70ee</t>
        </is>
      </c>
      <c r="BE76" s="24" t="inlineStr">
        <is>
          <t>db85a23370f340ed</t>
        </is>
      </c>
      <c r="BF76" s="24" t="inlineStr">
        <is>
          <t>1</t>
        </is>
      </c>
      <c r="BG76" s="24" t="inlineStr">
        <is>
          <t>mlb-elo-trend-lr-v6</t>
        </is>
      </c>
      <c r="BH76" s="24" t="inlineStr">
        <is>
          <t>2026-07-29T15:05:37.241286Z</t>
        </is>
      </c>
      <c r="BI76" s="24" t="inlineStr">
        <is>
          <t>["same_event","same_team_same_day","same_league_same_day"]</t>
        </is>
      </c>
      <c r="BJ76" s="25" t="n"/>
      <c r="BK76" s="26" t="n">
        <v>122</v>
      </c>
      <c r="BL76" s="27" t="n">
        <v>2.22</v>
      </c>
      <c r="BM76" s="28" t="n">
        <v>0.45045</v>
      </c>
      <c r="BN76" s="28" t="n">
        <v>0.447761</v>
      </c>
      <c r="BO76" s="28" t="n"/>
      <c r="BP76" s="25" t="n"/>
      <c r="BQ76" s="27" t="n">
        <v>2.22</v>
      </c>
      <c r="BR76" s="28" t="n">
        <v>0.45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inlineStr">
        <is>
          <t>0.5377279767</t>
        </is>
      </c>
      <c r="CD76" s="24" t="inlineStr">
        <is>
          <t>-2.019377</t>
        </is>
      </c>
      <c r="CE76" s="24" t="inlineStr">
        <is>
          <t>1.0</t>
        </is>
      </c>
      <c r="CF76" s="24" t="n"/>
      <c r="CG76" s="24" t="n"/>
      <c r="CH76" s="24" t="inlineStr">
        <is>
          <t>1.08</t>
        </is>
      </c>
      <c r="CI76" s="24" t="n"/>
      <c r="CJ76" s="24" t="n"/>
      <c r="CK76" s="24" t="n"/>
      <c r="CL76" s="24" t="n"/>
      <c r="CM76" s="24" t="n"/>
      <c r="CN76" s="24" t="n"/>
      <c r="CO76" s="24" t="n"/>
    </row>
    <row r="77" ht="36" customHeight="1">
      <c r="A77" s="24" t="inlineStr">
        <is>
          <t>29b8b05a115b4ecc</t>
        </is>
      </c>
      <c r="B77" s="24" t="inlineStr">
        <is>
          <t>2026-07-29T15:06:42.678455Z</t>
        </is>
      </c>
      <c r="C77" s="24" t="inlineStr">
        <is>
          <t>2026-07-29T13:05:00-0400</t>
        </is>
      </c>
      <c r="D77" s="24" t="inlineStr">
        <is>
          <t>401816313</t>
        </is>
      </c>
      <c r="E77" s="24" t="inlineStr">
        <is>
          <t>MLB</t>
        </is>
      </c>
      <c r="F77" s="24" t="inlineStr">
        <is>
          <t>Toronto Blue Jays</t>
        </is>
      </c>
      <c r="G77" s="24" t="inlineStr">
        <is>
          <t>Washington Nationals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-108</v>
      </c>
      <c r="M77" s="27" t="n">
        <v>1.925926</v>
      </c>
      <c r="N77" s="28" t="n">
        <v>0.519231</v>
      </c>
      <c r="O77" s="28" t="n">
        <v>0.568727</v>
      </c>
      <c r="P77" s="28" t="n"/>
      <c r="Q77" s="28" t="n">
        <v>0.049496</v>
      </c>
      <c r="R77" s="26" t="n">
        <v>46</v>
      </c>
      <c r="S77" s="29" t="n">
        <v>1.25</v>
      </c>
      <c r="T77" s="24" t="inlineStr">
        <is>
          <t>mlb-elo-trend-lr-v6</t>
        </is>
      </c>
      <c r="U77" s="24" t="inlineStr">
        <is>
          <t>settled</t>
        </is>
      </c>
      <c r="V77" s="24" t="inlineStr">
        <is>
          <t>win</t>
        </is>
      </c>
      <c r="W77" s="26" t="n">
        <v>5</v>
      </c>
      <c r="X77" s="26" t="n">
        <v>2</v>
      </c>
      <c r="Y77" s="25" t="n"/>
      <c r="Z77" s="26" t="n">
        <v>-111</v>
      </c>
      <c r="AA77" s="28" t="n">
        <v>0.525</v>
      </c>
      <c r="AB77" s="28" t="n">
        <v>0.005769</v>
      </c>
      <c r="AC77" s="30" t="n">
        <v>1.1574</v>
      </c>
      <c r="AD77" s="24" t="inlineStr">
        <is>
          <t>2026-07-30T04:11:50.872527Z</t>
        </is>
      </c>
      <c r="AE77" s="31" t="inlineStr">
        <is>
          <t>Learned LR call at threshold 0.5690; executable ask 0.5200 (aec-mlb-tor-wsh-2026-07-29).</t>
        </is>
      </c>
      <c r="AF77" s="31" t="inlineStr">
        <is>
          <t>Learned model; shadow-qualified via operator override.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3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mlb-tor</t>
        </is>
      </c>
      <c r="AQ77" s="24" t="inlineStr">
        <is>
          <t>Toronto Blue Jays</t>
        </is>
      </c>
      <c r="AR77" s="24" t="inlineStr">
        <is>
          <t>Toronto Blue Jays</t>
        </is>
      </c>
      <c r="AS77" s="24" t="inlineStr">
        <is>
          <t>mlb-wsh</t>
        </is>
      </c>
      <c r="AT77" s="24" t="inlineStr">
        <is>
          <t>Washington Nationals</t>
        </is>
      </c>
      <c r="AU77" s="24" t="inlineStr">
        <is>
          <t>Washington Nationals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0633355b1144e4205ca6d08e3f328d99cab0970358846bd77228f3bcbfcd70ee</t>
        </is>
      </c>
      <c r="BB77" s="24" t="inlineStr">
        <is>
          <t>learned_lr</t>
        </is>
      </c>
      <c r="BC77" s="24" t="inlineStr">
        <is>
          <t>mlb-elo-trend-lr-v6</t>
        </is>
      </c>
      <c r="BD77" s="24" t="inlineStr">
        <is>
          <t>0633355b1144e4205ca6d08e3f328d99cab0970358846bd77228f3bcbfcd70ee</t>
        </is>
      </c>
      <c r="BE77" s="24" t="inlineStr">
        <is>
          <t>ecd462118636cdbb</t>
        </is>
      </c>
      <c r="BF77" s="24" t="inlineStr">
        <is>
          <t>1</t>
        </is>
      </c>
      <c r="BG77" s="24" t="inlineStr">
        <is>
          <t>mlb-elo-trend-lr-v6</t>
        </is>
      </c>
      <c r="BH77" s="24" t="inlineStr">
        <is>
          <t>2026-07-29T15:05:38.084258Z</t>
        </is>
      </c>
      <c r="BI77" s="24" t="inlineStr">
        <is>
          <t>["same_event","same_team_same_day","same_league_same_day"]</t>
        </is>
      </c>
      <c r="BJ77" s="25" t="n"/>
      <c r="BK77" s="26" t="n">
        <v>-108</v>
      </c>
      <c r="BL77" s="27" t="n">
        <v>1.925926</v>
      </c>
      <c r="BM77" s="28" t="n">
        <v>0.519231</v>
      </c>
      <c r="BN77" s="28" t="n">
        <v>0.517413</v>
      </c>
      <c r="BO77" s="28" t="n"/>
      <c r="BP77" s="25" t="n"/>
      <c r="BQ77" s="27" t="n">
        <v>1.900901</v>
      </c>
      <c r="BR77" s="28" t="n">
        <v>0.525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inlineStr">
        <is>
          <t>0.5019196627</t>
        </is>
      </c>
      <c r="CD77" s="24" t="inlineStr">
        <is>
          <t>0.540593</t>
        </is>
      </c>
      <c r="CE77" s="24" t="inlineStr">
        <is>
          <t>1.0</t>
        </is>
      </c>
      <c r="CF77" s="24" t="n"/>
      <c r="CG77" s="24" t="n"/>
      <c r="CH77" s="24" t="inlineStr">
        <is>
          <t>1.25</t>
        </is>
      </c>
      <c r="CI77" s="24" t="n"/>
      <c r="CJ77" s="24" t="n"/>
      <c r="CK77" s="24" t="n"/>
      <c r="CL77" s="24" t="n"/>
      <c r="CM77" s="24" t="n"/>
      <c r="CN77" s="24" t="n"/>
      <c r="CO77" s="24" t="n"/>
    </row>
    <row r="78" ht="36" customHeight="1">
      <c r="A78" s="24" t="inlineStr">
        <is>
          <t>efd8a619949a4cfe</t>
        </is>
      </c>
      <c r="B78" s="24" t="inlineStr">
        <is>
          <t>2026-07-29T15:06:42.678455Z</t>
        </is>
      </c>
      <c r="C78" s="24" t="inlineStr">
        <is>
          <t>2026-07-29T13:10:00-0400</t>
        </is>
      </c>
      <c r="D78" s="24" t="inlineStr">
        <is>
          <t>401816308</t>
        </is>
      </c>
      <c r="E78" s="24" t="inlineStr">
        <is>
          <t>MLB</t>
        </is>
      </c>
      <c r="F78" s="24" t="inlineStr">
        <is>
          <t>Atlanta Braves</t>
        </is>
      </c>
      <c r="G78" s="24" t="inlineStr">
        <is>
          <t>New York Mets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espn</t>
        </is>
      </c>
      <c r="L78" s="26" t="n">
        <v>-110</v>
      </c>
      <c r="M78" s="27" t="n">
        <v>1.909091</v>
      </c>
      <c r="N78" s="28" t="n">
        <v>0.52381</v>
      </c>
      <c r="O78" s="28" t="n">
        <v>0.556021</v>
      </c>
      <c r="P78" s="28" t="n"/>
      <c r="Q78" s="28" t="n">
        <v>0.032211</v>
      </c>
      <c r="R78" s="26" t="n">
        <v>66</v>
      </c>
      <c r="S78" s="29" t="n">
        <v>0</v>
      </c>
      <c r="T78" s="24" t="inlineStr">
        <is>
          <t>mlb-elo-trend-lr-v6</t>
        </is>
      </c>
      <c r="U78" s="24" t="inlineStr">
        <is>
          <t>settled</t>
        </is>
      </c>
      <c r="V78" s="24" t="inlineStr">
        <is>
          <t>win</t>
        </is>
      </c>
      <c r="W78" s="26" t="n">
        <v>2</v>
      </c>
      <c r="X78" s="26" t="n">
        <v>3</v>
      </c>
      <c r="Y78" s="25" t="n"/>
      <c r="Z78" s="26" t="n">
        <v>111</v>
      </c>
      <c r="AA78" s="28" t="n">
        <v>0.475</v>
      </c>
      <c r="AB78" s="28" t="n">
        <v>-0.04881</v>
      </c>
      <c r="AC78" s="30" t="n">
        <v>0</v>
      </c>
      <c r="AD78" s="24" t="inlineStr">
        <is>
          <t>2026-07-30T04:11:51.435564Z</t>
        </is>
      </c>
      <c r="AE78" s="31" t="inlineStr">
        <is>
          <t>Learned LR call at threshold 0.5690; no Polymarket quote available — using -110 default odds. NOTE: probable_starter_era_gap unavailable for this game — defaulted to neutral, other features used normally.</t>
        </is>
      </c>
      <c r="AF78" s="31" t="inlineStr">
        <is>
          <t>Learned model; shadow-qualified via operator override.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mlb-atl</t>
        </is>
      </c>
      <c r="AQ78" s="24" t="inlineStr">
        <is>
          <t>Atlanta Braves</t>
        </is>
      </c>
      <c r="AR78" s="24" t="inlineStr">
        <is>
          <t>Atlanta Braves</t>
        </is>
      </c>
      <c r="AS78" s="24" t="inlineStr">
        <is>
          <t>mlb-nym</t>
        </is>
      </c>
      <c r="AT78" s="24" t="inlineStr">
        <is>
          <t>New York Mets</t>
        </is>
      </c>
      <c r="AU78" s="24" t="inlineStr">
        <is>
          <t>New York Mets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0633355b1144e4205ca6d08e3f328d99cab0970358846bd77228f3bcbfcd70ee</t>
        </is>
      </c>
      <c r="BB78" s="24" t="inlineStr">
        <is>
          <t>learned_lr</t>
        </is>
      </c>
      <c r="BC78" s="24" t="inlineStr">
        <is>
          <t>mlb-elo-trend-lr-v6</t>
        </is>
      </c>
      <c r="BD78" s="24" t="inlineStr">
        <is>
          <t>0633355b1144e4205ca6d08e3f328d99cab0970358846bd77228f3bcbfcd70ee</t>
        </is>
      </c>
      <c r="BE78" s="24" t="inlineStr">
        <is>
          <t>14612466cc229dc0</t>
        </is>
      </c>
      <c r="BF78" s="24" t="inlineStr">
        <is>
          <t>1</t>
        </is>
      </c>
      <c r="BG78" s="24" t="inlineStr">
        <is>
          <t>mlb-elo-trend-lr-v6</t>
        </is>
      </c>
      <c r="BH78" s="24" t="inlineStr">
        <is>
          <t>2026-07-29T15:06:42.678455Z</t>
        </is>
      </c>
      <c r="BI78" s="24" t="inlineStr">
        <is>
          <t>["same_event","same_team_same_day","same_league_same_day"]</t>
        </is>
      </c>
      <c r="BJ78" s="25" t="n"/>
      <c r="BK78" s="26" t="n">
        <v>-110</v>
      </c>
      <c r="BL78" s="27" t="n">
        <v>1.909091</v>
      </c>
      <c r="BM78" s="28" t="n">
        <v>0.52381</v>
      </c>
      <c r="BN78" s="28" t="n"/>
      <c r="BO78" s="28" t="n"/>
      <c r="BP78" s="25" t="n"/>
      <c r="BQ78" s="27" t="n">
        <v>2.11</v>
      </c>
      <c r="BR78" s="28" t="n">
        <v>0.475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inlineStr">
        <is>
          <t>0.4315693087</t>
        </is>
      </c>
      <c r="CD78" s="24" t="inlineStr">
        <is>
          <t>-2.190624</t>
        </is>
      </c>
      <c r="CE78" s="24" t="inlineStr">
        <is>
          <t>0.97</t>
        </is>
      </c>
      <c r="CF78" s="24" t="n"/>
      <c r="CG78" s="24" t="n"/>
      <c r="CH78" s="24" t="inlineStr">
        <is>
          <t>0.0</t>
        </is>
      </c>
      <c r="CI78" s="24" t="inlineStr">
        <is>
          <t>probable_starter_era_gap</t>
        </is>
      </c>
      <c r="CJ78" s="24" t="n"/>
      <c r="CK78" s="24" t="n"/>
      <c r="CL78" s="24" t="n"/>
      <c r="CM78" s="24" t="n"/>
      <c r="CN78" s="24" t="n"/>
      <c r="CO78" s="24" t="n"/>
    </row>
    <row r="79" ht="36" customHeight="1">
      <c r="A79" s="24" t="inlineStr">
        <is>
          <t>93dd5c5333984967</t>
        </is>
      </c>
      <c r="B79" s="24" t="inlineStr">
        <is>
          <t>2026-07-29T15:06:42.678455Z</t>
        </is>
      </c>
      <c r="C79" s="24" t="inlineStr">
        <is>
          <t>2026-07-29T13:10:00-0400</t>
        </is>
      </c>
      <c r="D79" s="24" t="inlineStr">
        <is>
          <t>401816309</t>
        </is>
      </c>
      <c r="E79" s="24" t="inlineStr">
        <is>
          <t>MLB</t>
        </is>
      </c>
      <c r="F79" s="24" t="inlineStr">
        <is>
          <t>Baltimore Orioles</t>
        </is>
      </c>
      <c r="G79" s="24" t="inlineStr">
        <is>
          <t>Detroit Tigers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-163</v>
      </c>
      <c r="M79" s="27" t="n">
        <v>1.613497</v>
      </c>
      <c r="N79" s="28" t="n">
        <v>0.619772</v>
      </c>
      <c r="O79" s="28" t="n">
        <v>0.642577</v>
      </c>
      <c r="P79" s="28" t="n"/>
      <c r="Q79" s="28" t="n">
        <v>0.022805</v>
      </c>
      <c r="R79" s="26" t="n">
        <v>33</v>
      </c>
      <c r="S79" s="29" t="n">
        <v>2</v>
      </c>
      <c r="T79" s="24" t="inlineStr">
        <is>
          <t>mlb-elo-trend-lr-v6</t>
        </is>
      </c>
      <c r="U79" s="24" t="inlineStr">
        <is>
          <t>settled</t>
        </is>
      </c>
      <c r="V79" s="24" t="inlineStr">
        <is>
          <t>loss</t>
        </is>
      </c>
      <c r="W79" s="26" t="n">
        <v>10</v>
      </c>
      <c r="X79" s="26" t="n">
        <v>9</v>
      </c>
      <c r="Y79" s="25" t="n"/>
      <c r="Z79" s="26" t="n">
        <v>-160</v>
      </c>
      <c r="AA79" s="28" t="n">
        <v>0.615</v>
      </c>
      <c r="AB79" s="28" t="n">
        <v>-0.004772</v>
      </c>
      <c r="AC79" s="30" t="n">
        <v>-2</v>
      </c>
      <c r="AD79" s="24" t="inlineStr">
        <is>
          <t>2026-07-30T04:11:51.930784Z</t>
        </is>
      </c>
      <c r="AE79" s="31" t="inlineStr">
        <is>
          <t>Learned LR call at threshold 0.5690; executable ask 0.6200 (aec-mlb-bal-det-2026-07-29).</t>
        </is>
      </c>
      <c r="AF79" s="31" t="inlineStr">
        <is>
          <t>Learned model; shadow-qualified via operator override.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3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mlb-bal</t>
        </is>
      </c>
      <c r="AQ79" s="24" t="inlineStr">
        <is>
          <t>Baltimore Orioles</t>
        </is>
      </c>
      <c r="AR79" s="24" t="inlineStr">
        <is>
          <t>Baltimore Orioles</t>
        </is>
      </c>
      <c r="AS79" s="24" t="inlineStr">
        <is>
          <t>mlb-det</t>
        </is>
      </c>
      <c r="AT79" s="24" t="inlineStr">
        <is>
          <t>Detroit Tigers</t>
        </is>
      </c>
      <c r="AU79" s="24" t="inlineStr">
        <is>
          <t>Detroit Tigers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0633355b1144e4205ca6d08e3f328d99cab0970358846bd77228f3bcbfcd70ee</t>
        </is>
      </c>
      <c r="BB79" s="24" t="inlineStr">
        <is>
          <t>learned_lr</t>
        </is>
      </c>
      <c r="BC79" s="24" t="inlineStr">
        <is>
          <t>mlb-elo-trend-lr-v6</t>
        </is>
      </c>
      <c r="BD79" s="24" t="inlineStr">
        <is>
          <t>0633355b1144e4205ca6d08e3f328d99cab0970358846bd77228f3bcbfcd70ee</t>
        </is>
      </c>
      <c r="BE79" s="24" t="inlineStr">
        <is>
          <t>737a4d0bea1eb67e</t>
        </is>
      </c>
      <c r="BF79" s="24" t="inlineStr">
        <is>
          <t>1</t>
        </is>
      </c>
      <c r="BG79" s="24" t="inlineStr">
        <is>
          <t>mlb-elo-trend-lr-v6</t>
        </is>
      </c>
      <c r="BH79" s="24" t="inlineStr">
        <is>
          <t>2026-07-29T15:05:40.058477Z</t>
        </is>
      </c>
      <c r="BI79" s="24" t="inlineStr">
        <is>
          <t>["same_event","same_team_same_day","same_league_same_day"]</t>
        </is>
      </c>
      <c r="BJ79" s="25" t="n"/>
      <c r="BK79" s="26" t="n">
        <v>-163</v>
      </c>
      <c r="BL79" s="27" t="n">
        <v>1.613497</v>
      </c>
      <c r="BM79" s="28" t="n">
        <v>0.619772</v>
      </c>
      <c r="BN79" s="28" t="n">
        <v>0.616915</v>
      </c>
      <c r="BO79" s="28" t="n"/>
      <c r="BP79" s="25" t="n"/>
      <c r="BQ79" s="27" t="n">
        <v>1.625</v>
      </c>
      <c r="BR79" s="28" t="n">
        <v>0.615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inlineStr">
        <is>
          <t>0.5578182793</t>
        </is>
      </c>
      <c r="CD79" s="24" t="inlineStr">
        <is>
          <t>-0.528912</t>
        </is>
      </c>
      <c r="CE79" s="24" t="inlineStr">
        <is>
          <t>0.98</t>
        </is>
      </c>
      <c r="CF79" s="24" t="n"/>
      <c r="CG79" s="24" t="n"/>
      <c r="CH79" s="24" t="inlineStr">
        <is>
          <t>-1.47</t>
        </is>
      </c>
      <c r="CI79" s="24" t="n"/>
      <c r="CJ79" s="24" t="n"/>
      <c r="CK79" s="24" t="n"/>
      <c r="CL79" s="24" t="n"/>
      <c r="CM79" s="24" t="n"/>
      <c r="CN79" s="24" t="n"/>
      <c r="CO79" s="24" t="n"/>
    </row>
    <row r="80" ht="36" customHeight="1">
      <c r="A80" s="24" t="inlineStr">
        <is>
          <t>f623bc49e7fc48bb</t>
        </is>
      </c>
      <c r="B80" s="24" t="inlineStr">
        <is>
          <t>2026-07-29T17:43:50.913671Z</t>
        </is>
      </c>
      <c r="C80" s="24" t="inlineStr">
        <is>
          <t>2026-07-29T15:45:00-0400</t>
        </is>
      </c>
      <c r="D80" s="24" t="inlineStr">
        <is>
          <t>401816320</t>
        </is>
      </c>
      <c r="E80" s="24" t="inlineStr">
        <is>
          <t>MLB</t>
        </is>
      </c>
      <c r="F80" s="24" t="inlineStr">
        <is>
          <t>Milwaukee Brewers</t>
        </is>
      </c>
      <c r="G80" s="24" t="inlineStr">
        <is>
          <t>San Francisco Giants</t>
        </is>
      </c>
      <c r="H80" s="24" t="inlineStr">
        <is>
          <t>moneyline</t>
        </is>
      </c>
      <c r="I80" s="24" t="inlineStr">
        <is>
          <t>home</t>
        </is>
      </c>
      <c r="J80" s="25" t="n"/>
      <c r="K80" s="24" t="inlineStr">
        <is>
          <t>polymarket_us</t>
        </is>
      </c>
      <c r="L80" s="26" t="n">
        <v>106</v>
      </c>
      <c r="M80" s="27" t="n">
        <v>2.06</v>
      </c>
      <c r="N80" s="28" t="n">
        <v>0.485437</v>
      </c>
      <c r="O80" s="28" t="n">
        <v>0.51027</v>
      </c>
      <c r="P80" s="28" t="n"/>
      <c r="Q80" s="28" t="n">
        <v>0.024833</v>
      </c>
      <c r="R80" s="26" t="n">
        <v>34</v>
      </c>
      <c r="S80" s="29" t="n">
        <v>0.5</v>
      </c>
      <c r="T80" s="24" t="inlineStr">
        <is>
          <t>mlb-elo-trend-lr-v6</t>
        </is>
      </c>
      <c r="U80" s="24" t="inlineStr">
        <is>
          <t>settled</t>
        </is>
      </c>
      <c r="V80" s="24" t="inlineStr">
        <is>
          <t>win</t>
        </is>
      </c>
      <c r="W80" s="26" t="n">
        <v>3</v>
      </c>
      <c r="X80" s="26" t="n">
        <v>16</v>
      </c>
      <c r="Y80" s="25" t="n"/>
      <c r="Z80" s="26" t="n">
        <v>106</v>
      </c>
      <c r="AA80" s="28" t="n">
        <v>0.485</v>
      </c>
      <c r="AB80" s="28" t="n">
        <v>-0.000437</v>
      </c>
      <c r="AC80" s="30" t="n">
        <v>0.53</v>
      </c>
      <c r="AD80" s="24" t="inlineStr">
        <is>
          <t>2026-07-30T04:11:53.233106Z</t>
        </is>
      </c>
      <c r="AE80" s="31" t="inlineStr">
        <is>
          <t>Learned LR call at threshold 0.5690; executable ask 0.4850 (aec-mlb-mil-sf-2026-07-29). NOTE: probable_starter_era_gap unavailable for this game — defaulted to neutral, other features used normally.</t>
        </is>
      </c>
      <c r="AF80" s="31" t="inlineStr">
        <is>
          <t>Learned model; shadow-qualified via operator override.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3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mlb-mil</t>
        </is>
      </c>
      <c r="AQ80" s="24" t="inlineStr">
        <is>
          <t>Milwaukee Brewers</t>
        </is>
      </c>
      <c r="AR80" s="24" t="inlineStr">
        <is>
          <t>Milwaukee Brewers</t>
        </is>
      </c>
      <c r="AS80" s="24" t="inlineStr">
        <is>
          <t>mlb-sf</t>
        </is>
      </c>
      <c r="AT80" s="24" t="inlineStr">
        <is>
          <t>San Francisco Giants</t>
        </is>
      </c>
      <c r="AU80" s="24" t="inlineStr">
        <is>
          <t>San Francisco Giants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0633355b1144e4205ca6d08e3f328d99cab0970358846bd77228f3bcbfcd70ee</t>
        </is>
      </c>
      <c r="BB80" s="24" t="inlineStr">
        <is>
          <t>learned_lr</t>
        </is>
      </c>
      <c r="BC80" s="24" t="inlineStr">
        <is>
          <t>mlb-elo-trend-lr-v6</t>
        </is>
      </c>
      <c r="BD80" s="24" t="inlineStr">
        <is>
          <t>0633355b1144e4205ca6d08e3f328d99cab0970358846bd77228f3bcbfcd70ee</t>
        </is>
      </c>
      <c r="BE80" s="24" t="inlineStr">
        <is>
          <t>342fabfbd8598d31</t>
        </is>
      </c>
      <c r="BF80" s="24" t="inlineStr">
        <is>
          <t>1</t>
        </is>
      </c>
      <c r="BG80" s="24" t="inlineStr">
        <is>
          <t>mlb-elo-trend-lr-v6</t>
        </is>
      </c>
      <c r="BH80" s="24" t="inlineStr">
        <is>
          <t>2026-07-29T17:43:01.153431Z</t>
        </is>
      </c>
      <c r="BI80" s="24" t="inlineStr">
        <is>
          <t>["same_event","same_team_same_day","same_league_same_day"]</t>
        </is>
      </c>
      <c r="BJ80" s="25" t="n"/>
      <c r="BK80" s="26" t="n">
        <v>106</v>
      </c>
      <c r="BL80" s="27" t="n">
        <v>2.06</v>
      </c>
      <c r="BM80" s="28" t="n">
        <v>0.485437</v>
      </c>
      <c r="BN80" s="28" t="n">
        <v>0.482587</v>
      </c>
      <c r="BO80" s="28" t="n"/>
      <c r="BP80" s="25" t="n"/>
      <c r="BQ80" s="27" t="n">
        <v>2.06</v>
      </c>
      <c r="BR80" s="28" t="n">
        <v>0.485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inlineStr">
        <is>
          <t>0.386809701</t>
        </is>
      </c>
      <c r="CD80" s="24" t="inlineStr">
        <is>
          <t>0.729859</t>
        </is>
      </c>
      <c r="CE80" s="24" t="inlineStr">
        <is>
          <t>0.98</t>
        </is>
      </c>
      <c r="CF80" s="24" t="n"/>
      <c r="CG80" s="24" t="n"/>
      <c r="CH80" s="24" t="inlineStr">
        <is>
          <t>0.0</t>
        </is>
      </c>
      <c r="CI80" s="24" t="inlineStr">
        <is>
          <t>probable_starter_era_gap</t>
        </is>
      </c>
      <c r="CJ80" s="24" t="n"/>
      <c r="CK80" s="24" t="n"/>
      <c r="CL80" s="24" t="n"/>
      <c r="CM80" s="24" t="n"/>
      <c r="CN80" s="24" t="n"/>
      <c r="CO80" s="24" t="n"/>
    </row>
    <row r="81" ht="36" customHeight="1">
      <c r="A81" s="24" t="inlineStr">
        <is>
          <t>9df6e40145814083</t>
        </is>
      </c>
      <c r="B81" s="24" t="inlineStr">
        <is>
          <t>2026-07-29T17:43:50.913671Z</t>
        </is>
      </c>
      <c r="C81" s="24" t="inlineStr">
        <is>
          <t>2026-07-29T16:10:00-0400</t>
        </is>
      </c>
      <c r="D81" s="24" t="inlineStr">
        <is>
          <t>401816318</t>
        </is>
      </c>
      <c r="E81" s="24" t="inlineStr">
        <is>
          <t>MLB</t>
        </is>
      </c>
      <c r="F81" s="24" t="inlineStr">
        <is>
          <t>Colorado Rockies</t>
        </is>
      </c>
      <c r="G81" s="24" t="inlineStr">
        <is>
          <t>San Diego Padres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150</v>
      </c>
      <c r="M81" s="27" t="n">
        <v>2.5</v>
      </c>
      <c r="N81" s="28" t="n">
        <v>0.4</v>
      </c>
      <c r="O81" s="28" t="n">
        <v>0.65394</v>
      </c>
      <c r="P81" s="28" t="n"/>
      <c r="Q81" s="28" t="n">
        <v>0.25394</v>
      </c>
      <c r="R81" s="26" t="n">
        <v>100</v>
      </c>
      <c r="S81" s="29" t="n">
        <v>2</v>
      </c>
      <c r="T81" s="24" t="inlineStr">
        <is>
          <t>mlb-elo-trend-lr-v6</t>
        </is>
      </c>
      <c r="U81" s="24" t="inlineStr">
        <is>
          <t>settled</t>
        </is>
      </c>
      <c r="V81" s="24" t="inlineStr">
        <is>
          <t>loss</t>
        </is>
      </c>
      <c r="W81" s="26" t="n">
        <v>1</v>
      </c>
      <c r="X81" s="26" t="n">
        <v>3</v>
      </c>
      <c r="Y81" s="25" t="n"/>
      <c r="Z81" s="26" t="n">
        <v>150</v>
      </c>
      <c r="AA81" s="28" t="n">
        <v>0.4</v>
      </c>
      <c r="AB81" s="28" t="n">
        <v>0</v>
      </c>
      <c r="AC81" s="30" t="n">
        <v>-2</v>
      </c>
      <c r="AD81" s="24" t="inlineStr">
        <is>
          <t>2026-07-30T04:11:53.724314Z</t>
        </is>
      </c>
      <c r="AE81" s="31" t="inlineStr">
        <is>
          <t>Learned LR call at threshold 0.5690; executable ask 0.4000 (aec-mlb-col-sd-2026-07-29).</t>
        </is>
      </c>
      <c r="AF81" s="31" t="inlineStr">
        <is>
          <t>Learned model; shadow-qualified via operator override.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3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mlb-col</t>
        </is>
      </c>
      <c r="AQ81" s="24" t="inlineStr">
        <is>
          <t>Colorado Rockies</t>
        </is>
      </c>
      <c r="AR81" s="24" t="inlineStr">
        <is>
          <t>Colorado Rockies</t>
        </is>
      </c>
      <c r="AS81" s="24" t="inlineStr">
        <is>
          <t>mlb-sd</t>
        </is>
      </c>
      <c r="AT81" s="24" t="inlineStr">
        <is>
          <t>San Diego Padres</t>
        </is>
      </c>
      <c r="AU81" s="24" t="inlineStr">
        <is>
          <t>San Diego Padres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0633355b1144e4205ca6d08e3f328d99cab0970358846bd77228f3bcbfcd70ee</t>
        </is>
      </c>
      <c r="BB81" s="24" t="inlineStr">
        <is>
          <t>learned_lr</t>
        </is>
      </c>
      <c r="BC81" s="24" t="inlineStr">
        <is>
          <t>mlb-elo-trend-lr-v6</t>
        </is>
      </c>
      <c r="BD81" s="24" t="inlineStr">
        <is>
          <t>0633355b1144e4205ca6d08e3f328d99cab0970358846bd77228f3bcbfcd70ee</t>
        </is>
      </c>
      <c r="BE81" s="24" t="inlineStr">
        <is>
          <t>60e5bdc1faca52aa</t>
        </is>
      </c>
      <c r="BF81" s="24" t="inlineStr">
        <is>
          <t>1</t>
        </is>
      </c>
      <c r="BG81" s="24" t="inlineStr">
        <is>
          <t>mlb-elo-trend-lr-v6</t>
        </is>
      </c>
      <c r="BH81" s="24" t="inlineStr">
        <is>
          <t>2026-07-29T17:43:02.309112Z</t>
        </is>
      </c>
      <c r="BI81" s="24" t="inlineStr">
        <is>
          <t>["same_event","same_team_same_day","same_league_same_day"]</t>
        </is>
      </c>
      <c r="BJ81" s="25" t="n"/>
      <c r="BK81" s="26" t="n">
        <v>150</v>
      </c>
      <c r="BL81" s="27" t="n">
        <v>2.5</v>
      </c>
      <c r="BM81" s="28" t="n">
        <v>0.4</v>
      </c>
      <c r="BN81" s="28" t="n">
        <v>0.39801</v>
      </c>
      <c r="BO81" s="28" t="n"/>
      <c r="BP81" s="25" t="n"/>
      <c r="BQ81" s="27" t="n">
        <v>2.5</v>
      </c>
      <c r="BR81" s="28" t="n">
        <v>0.4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inlineStr">
        <is>
          <t>0.6881581363</t>
        </is>
      </c>
      <c r="CD81" s="24" t="inlineStr">
        <is>
          <t>2.156212</t>
        </is>
      </c>
      <c r="CE81" s="24" t="inlineStr">
        <is>
          <t>0.945</t>
        </is>
      </c>
      <c r="CF81" s="24" t="n"/>
      <c r="CG81" s="24" t="n"/>
      <c r="CH81" s="24" t="inlineStr">
        <is>
          <t>2.42</t>
        </is>
      </c>
      <c r="CI81" s="24" t="n"/>
      <c r="CJ81" s="24" t="n"/>
      <c r="CK81" s="24" t="n"/>
      <c r="CL81" s="24" t="n"/>
      <c r="CM81" s="24" t="n"/>
      <c r="CN81" s="24" t="n"/>
      <c r="CO81" s="24" t="n"/>
    </row>
    <row r="82" ht="36" customHeight="1">
      <c r="A82" s="24" t="inlineStr">
        <is>
          <t>7be23c700b09481b</t>
        </is>
      </c>
      <c r="B82" s="24" t="inlineStr">
        <is>
          <t>2026-07-29T17:43:50.913671Z</t>
        </is>
      </c>
      <c r="C82" s="24" t="inlineStr">
        <is>
          <t>2026-07-29T18:40:00-0400</t>
        </is>
      </c>
      <c r="D82" s="24" t="inlineStr">
        <is>
          <t>401816312</t>
        </is>
      </c>
      <c r="E82" s="24" t="inlineStr">
        <is>
          <t>MLB</t>
        </is>
      </c>
      <c r="F82" s="24" t="inlineStr">
        <is>
          <t>Texas Rangers</t>
        </is>
      </c>
      <c r="G82" s="24" t="inlineStr">
        <is>
          <t>Tampa Bay Rays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-135</v>
      </c>
      <c r="M82" s="27" t="n">
        <v>1.740741</v>
      </c>
      <c r="N82" s="28" t="n">
        <v>0.574468</v>
      </c>
      <c r="O82" s="28" t="n">
        <v>0.579668</v>
      </c>
      <c r="P82" s="28" t="n"/>
      <c r="Q82" s="28" t="n">
        <v>0.0052</v>
      </c>
      <c r="R82" s="26" t="n">
        <v>24</v>
      </c>
      <c r="S82" s="29" t="n">
        <v>1.25</v>
      </c>
      <c r="T82" s="24" t="inlineStr">
        <is>
          <t>mlb-elo-trend-lr-v6</t>
        </is>
      </c>
      <c r="U82" s="24" t="inlineStr">
        <is>
          <t>settled</t>
        </is>
      </c>
      <c r="V82" s="24" t="inlineStr">
        <is>
          <t>win</t>
        </is>
      </c>
      <c r="W82" s="26" t="n">
        <v>0</v>
      </c>
      <c r="X82" s="26" t="n">
        <v>3</v>
      </c>
      <c r="Y82" s="25" t="n"/>
      <c r="Z82" s="26" t="n">
        <v>-135</v>
      </c>
      <c r="AA82" s="28" t="n">
        <v>0.575</v>
      </c>
      <c r="AB82" s="28" t="n">
        <v>0.000532</v>
      </c>
      <c r="AC82" s="30" t="n">
        <v>0.9258999999999999</v>
      </c>
      <c r="AD82" s="24" t="inlineStr">
        <is>
          <t>2026-07-30T04:11:54.263582Z</t>
        </is>
      </c>
      <c r="AE82" s="31" t="inlineStr">
        <is>
          <t>Learned LR call at threshold 0.5690; executable ask 0.5750 (aec-mlb-tex-tb-2026-07-29).</t>
        </is>
      </c>
      <c r="AF82" s="31" t="inlineStr">
        <is>
          <t>Learned model; shadow-qualified via operator override.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3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mlb-tex</t>
        </is>
      </c>
      <c r="AQ82" s="24" t="inlineStr">
        <is>
          <t>Texas Rangers</t>
        </is>
      </c>
      <c r="AR82" s="24" t="inlineStr">
        <is>
          <t>Texas Rangers</t>
        </is>
      </c>
      <c r="AS82" s="24" t="inlineStr">
        <is>
          <t>mlb-tb</t>
        </is>
      </c>
      <c r="AT82" s="24" t="inlineStr">
        <is>
          <t>Tampa Bay Rays</t>
        </is>
      </c>
      <c r="AU82" s="24" t="inlineStr">
        <is>
          <t>Tampa Bay Rays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0633355b1144e4205ca6d08e3f328d99cab0970358846bd77228f3bcbfcd70ee</t>
        </is>
      </c>
      <c r="BB82" s="24" t="inlineStr">
        <is>
          <t>learned_lr</t>
        </is>
      </c>
      <c r="BC82" s="24" t="inlineStr">
        <is>
          <t>mlb-elo-trend-lr-v6</t>
        </is>
      </c>
      <c r="BD82" s="24" t="inlineStr">
        <is>
          <t>0633355b1144e4205ca6d08e3f328d99cab0970358846bd77228f3bcbfcd70ee</t>
        </is>
      </c>
      <c r="BE82" s="24" t="inlineStr">
        <is>
          <t>e8d9fef3d12bbec6</t>
        </is>
      </c>
      <c r="BF82" s="24" t="inlineStr">
        <is>
          <t>1</t>
        </is>
      </c>
      <c r="BG82" s="24" t="inlineStr">
        <is>
          <t>mlb-elo-trend-lr-v6</t>
        </is>
      </c>
      <c r="BH82" s="24" t="inlineStr">
        <is>
          <t>2026-07-29T17:43:03.157904Z</t>
        </is>
      </c>
      <c r="BI82" s="24" t="inlineStr">
        <is>
          <t>["same_event","same_team_same_day","same_league_same_day"]</t>
        </is>
      </c>
      <c r="BJ82" s="25" t="n"/>
      <c r="BK82" s="26" t="n">
        <v>-135</v>
      </c>
      <c r="BL82" s="27" t="n">
        <v>1.740741</v>
      </c>
      <c r="BM82" s="28" t="n">
        <v>0.574468</v>
      </c>
      <c r="BN82" s="28" t="n">
        <v>0.572139</v>
      </c>
      <c r="BO82" s="28" t="n"/>
      <c r="BP82" s="25" t="n"/>
      <c r="BQ82" s="27" t="n">
        <v>1.740741</v>
      </c>
      <c r="BR82" s="28" t="n">
        <v>0.575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inlineStr">
        <is>
          <t>0.5812862212</t>
        </is>
      </c>
      <c r="CD82" s="24" t="inlineStr">
        <is>
          <t>1.271016</t>
        </is>
      </c>
      <c r="CE82" s="24" t="inlineStr">
        <is>
          <t>0.965</t>
        </is>
      </c>
      <c r="CF82" s="24" t="n"/>
      <c r="CG82" s="24" t="n"/>
      <c r="CH82" s="24" t="inlineStr">
        <is>
          <t>-0.87</t>
        </is>
      </c>
      <c r="CI82" s="24" t="n"/>
      <c r="CJ82" s="24" t="n"/>
      <c r="CK82" s="24" t="n"/>
      <c r="CL82" s="24" t="n"/>
      <c r="CM82" s="24" t="n"/>
      <c r="CN82" s="24" t="n"/>
      <c r="CO82" s="24" t="n"/>
    </row>
    <row r="83" ht="36" customHeight="1">
      <c r="A83" s="24" t="inlineStr">
        <is>
          <t>ac680f132e45447f</t>
        </is>
      </c>
      <c r="B83" s="24" t="inlineStr">
        <is>
          <t>2026-07-29T17:43:50.913671Z</t>
        </is>
      </c>
      <c r="C83" s="24" t="inlineStr">
        <is>
          <t>2026-07-29T19:10:00-0400</t>
        </is>
      </c>
      <c r="D83" s="24" t="inlineStr">
        <is>
          <t>401816310</t>
        </is>
      </c>
      <c r="E83" s="24" t="inlineStr">
        <is>
          <t>MLB</t>
        </is>
      </c>
      <c r="F83" s="24" t="inlineStr">
        <is>
          <t>Cleveland Guardians</t>
        </is>
      </c>
      <c r="G83" s="24" t="inlineStr">
        <is>
          <t>Cincinnati Reds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125</v>
      </c>
      <c r="M83" s="27" t="n">
        <v>2.25</v>
      </c>
      <c r="N83" s="28" t="n">
        <v>0.444444</v>
      </c>
      <c r="O83" s="28" t="n">
        <v>0.501367</v>
      </c>
      <c r="P83" s="28" t="n"/>
      <c r="Q83" s="28" t="n">
        <v>0.056923</v>
      </c>
      <c r="R83" s="26" t="n">
        <v>49</v>
      </c>
      <c r="S83" s="29" t="n">
        <v>0.5</v>
      </c>
      <c r="T83" s="24" t="inlineStr">
        <is>
          <t>mlb-elo-trend-lr-v6</t>
        </is>
      </c>
      <c r="U83" s="24" t="inlineStr">
        <is>
          <t>settled</t>
        </is>
      </c>
      <c r="V83" s="24" t="inlineStr">
        <is>
          <t>loss</t>
        </is>
      </c>
      <c r="W83" s="26" t="n">
        <v>6</v>
      </c>
      <c r="X83" s="26" t="n">
        <v>1</v>
      </c>
      <c r="Y83" s="25" t="n"/>
      <c r="Z83" s="26" t="n">
        <v>125</v>
      </c>
      <c r="AA83" s="28" t="n">
        <v>0.445</v>
      </c>
      <c r="AB83" s="28" t="n">
        <v>0.000556</v>
      </c>
      <c r="AC83" s="30" t="n">
        <v>-0.5</v>
      </c>
      <c r="AD83" s="24" t="inlineStr">
        <is>
          <t>2026-07-30T04:11:54.770683Z</t>
        </is>
      </c>
      <c r="AE83" s="31" t="inlineStr">
        <is>
          <t>Learned LR call at threshold 0.5690; executable ask 0.4450 (aec-mlb-cle-cin-2026-07-29).</t>
        </is>
      </c>
      <c r="AF83" s="31" t="inlineStr">
        <is>
          <t>Learned model; shadow-qualified via operator override.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3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mlb-cle</t>
        </is>
      </c>
      <c r="AQ83" s="24" t="inlineStr">
        <is>
          <t>Cleveland Guardians</t>
        </is>
      </c>
      <c r="AR83" s="24" t="inlineStr">
        <is>
          <t>Cleveland Guardians</t>
        </is>
      </c>
      <c r="AS83" s="24" t="inlineStr">
        <is>
          <t>mlb-cin</t>
        </is>
      </c>
      <c r="AT83" s="24" t="inlineStr">
        <is>
          <t>Cincinnati Reds</t>
        </is>
      </c>
      <c r="AU83" s="24" t="inlineStr">
        <is>
          <t>Cincinnati Reds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0633355b1144e4205ca6d08e3f328d99cab0970358846bd77228f3bcbfcd70ee</t>
        </is>
      </c>
      <c r="BB83" s="24" t="inlineStr">
        <is>
          <t>learned_lr</t>
        </is>
      </c>
      <c r="BC83" s="24" t="inlineStr">
        <is>
          <t>mlb-elo-trend-lr-v6</t>
        </is>
      </c>
      <c r="BD83" s="24" t="inlineStr">
        <is>
          <t>0633355b1144e4205ca6d08e3f328d99cab0970358846bd77228f3bcbfcd70ee</t>
        </is>
      </c>
      <c r="BE83" s="24" t="inlineStr">
        <is>
          <t>e774f4b7ddda37cd</t>
        </is>
      </c>
      <c r="BF83" s="24" t="inlineStr">
        <is>
          <t>1</t>
        </is>
      </c>
      <c r="BG83" s="24" t="inlineStr">
        <is>
          <t>mlb-elo-trend-lr-v6</t>
        </is>
      </c>
      <c r="BH83" s="24" t="inlineStr">
        <is>
          <t>2026-07-29T17:43:04.032577Z</t>
        </is>
      </c>
      <c r="BI83" s="24" t="inlineStr">
        <is>
          <t>["same_event","same_team_same_day","same_league_same_day"]</t>
        </is>
      </c>
      <c r="BJ83" s="25" t="n"/>
      <c r="BK83" s="26" t="n">
        <v>125</v>
      </c>
      <c r="BL83" s="27" t="n">
        <v>2.25</v>
      </c>
      <c r="BM83" s="28" t="n">
        <v>0.444444</v>
      </c>
      <c r="BN83" s="28" t="n">
        <v>0.442786</v>
      </c>
      <c r="BO83" s="28" t="n"/>
      <c r="BP83" s="25" t="n"/>
      <c r="BQ83" s="27" t="n">
        <v>2.25</v>
      </c>
      <c r="BR83" s="28" t="n">
        <v>0.445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inlineStr">
        <is>
          <t>0.4926827475</t>
        </is>
      </c>
      <c r="CD83" s="24" t="inlineStr">
        <is>
          <t>-0.86802</t>
        </is>
      </c>
      <c r="CE83" s="24" t="inlineStr">
        <is>
          <t>1.036</t>
        </is>
      </c>
      <c r="CF83" s="24" t="n"/>
      <c r="CG83" s="24" t="n"/>
      <c r="CH83" s="24" t="inlineStr">
        <is>
          <t>0.51</t>
        </is>
      </c>
      <c r="CI83" s="24" t="n"/>
      <c r="CJ83" s="24" t="n"/>
      <c r="CK83" s="24" t="n"/>
      <c r="CL83" s="24" t="n"/>
      <c r="CM83" s="24" t="n"/>
      <c r="CN83" s="24" t="n"/>
      <c r="CO83" s="24" t="n"/>
    </row>
    <row r="84" ht="36" customHeight="1">
      <c r="A84" s="24" t="inlineStr">
        <is>
          <t>ff0a6a65344540fb</t>
        </is>
      </c>
      <c r="B84" s="24" t="inlineStr">
        <is>
          <t>2026-07-29T17:43:50.913671Z</t>
        </is>
      </c>
      <c r="C84" s="24" t="inlineStr">
        <is>
          <t>2026-07-29T19:10:00-0400</t>
        </is>
      </c>
      <c r="D84" s="24" t="inlineStr">
        <is>
          <t>401902545</t>
        </is>
      </c>
      <c r="E84" s="24" t="inlineStr">
        <is>
          <t>MLB</t>
        </is>
      </c>
      <c r="F84" s="24" t="inlineStr">
        <is>
          <t>Atlanta Braves</t>
        </is>
      </c>
      <c r="G84" s="24" t="inlineStr">
        <is>
          <t>New York Mets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espn</t>
        </is>
      </c>
      <c r="L84" s="26" t="n">
        <v>-110</v>
      </c>
      <c r="M84" s="27" t="n">
        <v>1.909091</v>
      </c>
      <c r="N84" s="28" t="n">
        <v>0.52381</v>
      </c>
      <c r="O84" s="28" t="n">
        <v>0.511613</v>
      </c>
      <c r="P84" s="28" t="n"/>
      <c r="Q84" s="28" t="n">
        <v>-0.012197</v>
      </c>
      <c r="R84" s="26" t="n">
        <v>44</v>
      </c>
      <c r="S84" s="29" t="n">
        <v>0</v>
      </c>
      <c r="T84" s="24" t="inlineStr">
        <is>
          <t>mlb-elo-trend-lr-v6</t>
        </is>
      </c>
      <c r="U84" s="24" t="inlineStr">
        <is>
          <t>settled</t>
        </is>
      </c>
      <c r="V84" s="24" t="inlineStr">
        <is>
          <t>loss</t>
        </is>
      </c>
      <c r="W84" s="26" t="n">
        <v>2</v>
      </c>
      <c r="X84" s="26" t="n">
        <v>3</v>
      </c>
      <c r="Y84" s="25" t="n"/>
      <c r="Z84" s="26" t="n">
        <v>-122</v>
      </c>
      <c r="AA84" s="28" t="n">
        <v>0.55</v>
      </c>
      <c r="AB84" s="28" t="n">
        <v>0.02619</v>
      </c>
      <c r="AC84" s="30" t="n">
        <v>0</v>
      </c>
      <c r="AD84" s="24" t="inlineStr">
        <is>
          <t>2026-07-30T04:11:55.269579Z</t>
        </is>
      </c>
      <c r="AE84" s="31" t="inlineStr">
        <is>
          <t>Learned LR call at threshold 0.5690; no Polymarket quote available — using -110 default odds.</t>
        </is>
      </c>
      <c r="AF84" s="31" t="inlineStr">
        <is>
          <t>Learned model; shadow-qualified via operator override.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mlb-atl</t>
        </is>
      </c>
      <c r="AQ84" s="24" t="inlineStr">
        <is>
          <t>Atlanta Braves</t>
        </is>
      </c>
      <c r="AR84" s="24" t="inlineStr">
        <is>
          <t>Atlanta Braves</t>
        </is>
      </c>
      <c r="AS84" s="24" t="inlineStr">
        <is>
          <t>mlb-nym</t>
        </is>
      </c>
      <c r="AT84" s="24" t="inlineStr">
        <is>
          <t>New York Mets</t>
        </is>
      </c>
      <c r="AU84" s="24" t="inlineStr">
        <is>
          <t>New York Mets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0633355b1144e4205ca6d08e3f328d99cab0970358846bd77228f3bcbfcd70ee</t>
        </is>
      </c>
      <c r="BB84" s="24" t="inlineStr">
        <is>
          <t>learned_lr</t>
        </is>
      </c>
      <c r="BC84" s="24" t="inlineStr">
        <is>
          <t>mlb-elo-trend-lr-v6</t>
        </is>
      </c>
      <c r="BD84" s="24" t="inlineStr">
        <is>
          <t>0633355b1144e4205ca6d08e3f328d99cab0970358846bd77228f3bcbfcd70ee</t>
        </is>
      </c>
      <c r="BE84" s="24" t="inlineStr">
        <is>
          <t>b6d5a60d5f153c6e</t>
        </is>
      </c>
      <c r="BF84" s="24" t="inlineStr">
        <is>
          <t>1</t>
        </is>
      </c>
      <c r="BG84" s="24" t="inlineStr">
        <is>
          <t>mlb-elo-trend-lr-v6</t>
        </is>
      </c>
      <c r="BH84" s="24" t="inlineStr">
        <is>
          <t>2026-07-29T17:43:50.913671Z</t>
        </is>
      </c>
      <c r="BI84" s="24" t="inlineStr">
        <is>
          <t>["same_event","same_team_same_day","same_league_same_day"]</t>
        </is>
      </c>
      <c r="BJ84" s="25" t="n"/>
      <c r="BK84" s="26" t="n">
        <v>-110</v>
      </c>
      <c r="BL84" s="27" t="n">
        <v>1.909091</v>
      </c>
      <c r="BM84" s="28" t="n">
        <v>0.52381</v>
      </c>
      <c r="BN84" s="28" t="n"/>
      <c r="BO84" s="28" t="n"/>
      <c r="BP84" s="25" t="n"/>
      <c r="BQ84" s="27" t="n">
        <v>1.819672</v>
      </c>
      <c r="BR84" s="28" t="n">
        <v>0.55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inlineStr">
        <is>
          <t>0.4315693087</t>
        </is>
      </c>
      <c r="CD84" s="24" t="inlineStr">
        <is>
          <t>-2.190624</t>
        </is>
      </c>
      <c r="CE84" s="24" t="inlineStr">
        <is>
          <t>0.978</t>
        </is>
      </c>
      <c r="CF84" s="24" t="n"/>
      <c r="CG84" s="24" t="n"/>
      <c r="CH84" s="24" t="inlineStr">
        <is>
          <t>0.94</t>
        </is>
      </c>
      <c r="CI84" s="24" t="n"/>
      <c r="CJ84" s="24" t="n"/>
      <c r="CK84" s="24" t="n"/>
      <c r="CL84" s="24" t="n"/>
      <c r="CM84" s="24" t="n"/>
      <c r="CN84" s="24" t="n"/>
      <c r="CO84" s="24" t="n"/>
    </row>
    <row r="85" ht="36" customHeight="1">
      <c r="A85" s="24" t="inlineStr">
        <is>
          <t>48bdce5ad7fe4c72</t>
        </is>
      </c>
      <c r="B85" s="24" t="inlineStr">
        <is>
          <t>2026-07-29T17:43:50.913671Z</t>
        </is>
      </c>
      <c r="C85" s="24" t="inlineStr">
        <is>
          <t>2026-07-29T19:40:00-0400</t>
        </is>
      </c>
      <c r="D85" s="24" t="inlineStr">
        <is>
          <t>401816315</t>
        </is>
      </c>
      <c r="E85" s="24" t="inlineStr">
        <is>
          <t>MLB</t>
        </is>
      </c>
      <c r="F85" s="24" t="inlineStr">
        <is>
          <t>Kansas City Royals</t>
        </is>
      </c>
      <c r="G85" s="24" t="inlineStr">
        <is>
          <t>Minnesota Twins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178</v>
      </c>
      <c r="M85" s="27" t="n">
        <v>2.78</v>
      </c>
      <c r="N85" s="28" t="n">
        <v>0.359712</v>
      </c>
      <c r="O85" s="28" t="n">
        <v>0.60967</v>
      </c>
      <c r="P85" s="28" t="n"/>
      <c r="Q85" s="28" t="n">
        <v>0.249958</v>
      </c>
      <c r="R85" s="26" t="n">
        <v>100</v>
      </c>
      <c r="S85" s="29" t="n">
        <v>1.5</v>
      </c>
      <c r="T85" s="24" t="inlineStr">
        <is>
          <t>mlb-elo-trend-lr-v6</t>
        </is>
      </c>
      <c r="U85" s="24" t="inlineStr">
        <is>
          <t>settled</t>
        </is>
      </c>
      <c r="V85" s="24" t="inlineStr">
        <is>
          <t>win</t>
        </is>
      </c>
      <c r="W85" s="26" t="n">
        <v>4</v>
      </c>
      <c r="X85" s="26" t="n">
        <v>0</v>
      </c>
      <c r="Y85" s="25" t="n"/>
      <c r="Z85" s="26" t="n">
        <v>178</v>
      </c>
      <c r="AA85" s="28" t="n">
        <v>0.36</v>
      </c>
      <c r="AB85" s="28" t="n">
        <v>0.000288</v>
      </c>
      <c r="AC85" s="30" t="n">
        <v>2.67</v>
      </c>
      <c r="AD85" s="24" t="inlineStr">
        <is>
          <t>2026-07-30T04:11:55.762178Z</t>
        </is>
      </c>
      <c r="AE85" s="31" t="inlineStr">
        <is>
          <t>Learned LR call at threshold 0.5690; executable ask 0.3600 (aec-mlb-kc-min-2026-07-29).</t>
        </is>
      </c>
      <c r="AF85" s="31" t="inlineStr">
        <is>
          <t>Learned model; shadow-qualified via operator override.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3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mlb-kc</t>
        </is>
      </c>
      <c r="AQ85" s="24" t="inlineStr">
        <is>
          <t>Kansas City Royals</t>
        </is>
      </c>
      <c r="AR85" s="24" t="inlineStr">
        <is>
          <t>Kansas City Royals</t>
        </is>
      </c>
      <c r="AS85" s="24" t="inlineStr">
        <is>
          <t>mlb-min</t>
        </is>
      </c>
      <c r="AT85" s="24" t="inlineStr">
        <is>
          <t>Minnesota Twins</t>
        </is>
      </c>
      <c r="AU85" s="24" t="inlineStr">
        <is>
          <t>Minnesota Twins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0633355b1144e4205ca6d08e3f328d99cab0970358846bd77228f3bcbfcd70ee</t>
        </is>
      </c>
      <c r="BB85" s="24" t="inlineStr">
        <is>
          <t>learned_lr</t>
        </is>
      </c>
      <c r="BC85" s="24" t="inlineStr">
        <is>
          <t>mlb-elo-trend-lr-v6</t>
        </is>
      </c>
      <c r="BD85" s="24" t="inlineStr">
        <is>
          <t>0633355b1144e4205ca6d08e3f328d99cab0970358846bd77228f3bcbfcd70ee</t>
        </is>
      </c>
      <c r="BE85" s="24" t="inlineStr">
        <is>
          <t>b93a857ee5bf807e</t>
        </is>
      </c>
      <c r="BF85" s="24" t="inlineStr">
        <is>
          <t>1</t>
        </is>
      </c>
      <c r="BG85" s="24" t="inlineStr">
        <is>
          <t>mlb-elo-trend-lr-v6</t>
        </is>
      </c>
      <c r="BH85" s="24" t="inlineStr">
        <is>
          <t>2026-07-29T17:43:06.195384Z</t>
        </is>
      </c>
      <c r="BI85" s="24" t="inlineStr">
        <is>
          <t>["same_event","same_team_same_day","same_league_same_day"]</t>
        </is>
      </c>
      <c r="BJ85" s="25" t="n"/>
      <c r="BK85" s="26" t="n">
        <v>178</v>
      </c>
      <c r="BL85" s="27" t="n">
        <v>2.78</v>
      </c>
      <c r="BM85" s="28" t="n">
        <v>0.359712</v>
      </c>
      <c r="BN85" s="28" t="n">
        <v>0.358209</v>
      </c>
      <c r="BO85" s="28" t="n"/>
      <c r="BP85" s="25" t="n"/>
      <c r="BQ85" s="27" t="n">
        <v>2.78</v>
      </c>
      <c r="BR85" s="28" t="n">
        <v>0.36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inlineStr">
        <is>
          <t>0.5494442227</t>
        </is>
      </c>
      <c r="CD85" s="24" t="inlineStr">
        <is>
          <t>0.040618</t>
        </is>
      </c>
      <c r="CE85" s="24" t="inlineStr">
        <is>
          <t>1.037</t>
        </is>
      </c>
      <c r="CF85" s="24" t="n"/>
      <c r="CG85" s="24" t="n"/>
      <c r="CH85" s="24" t="inlineStr">
        <is>
          <t>1.96</t>
        </is>
      </c>
      <c r="CI85" s="24" t="n"/>
      <c r="CJ85" s="24" t="n"/>
      <c r="CK85" s="24" t="n"/>
      <c r="CL85" s="24" t="n"/>
      <c r="CM85" s="24" t="n"/>
      <c r="CN85" s="24" t="n"/>
      <c r="CO85" s="24" t="n"/>
    </row>
    <row r="86" ht="36" customHeight="1">
      <c r="A86" s="24" t="inlineStr">
        <is>
          <t>7464351e100c40d8</t>
        </is>
      </c>
      <c r="B86" s="24" t="inlineStr">
        <is>
          <t>2026-07-29T17:43:50.913671Z</t>
        </is>
      </c>
      <c r="C86" s="24" t="inlineStr">
        <is>
          <t>2026-07-29T19:40:00-0400</t>
        </is>
      </c>
      <c r="D86" s="24" t="inlineStr">
        <is>
          <t>401816316</t>
        </is>
      </c>
      <c r="E86" s="24" t="inlineStr">
        <is>
          <t>MLB</t>
        </is>
      </c>
      <c r="F86" s="24" t="inlineStr">
        <is>
          <t>New York Yankees</t>
        </is>
      </c>
      <c r="G86" s="24" t="inlineStr">
        <is>
          <t>Chicago White Sox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-135</v>
      </c>
      <c r="M86" s="27" t="n">
        <v>1.740741</v>
      </c>
      <c r="N86" s="28" t="n">
        <v>0.574468</v>
      </c>
      <c r="O86" s="28" t="n">
        <v>0.592337</v>
      </c>
      <c r="P86" s="28" t="n"/>
      <c r="Q86" s="28" t="n">
        <v>0.017869</v>
      </c>
      <c r="R86" s="26" t="n">
        <v>30</v>
      </c>
      <c r="S86" s="29" t="n">
        <v>1.5</v>
      </c>
      <c r="T86" s="24" t="inlineStr">
        <is>
          <t>mlb-elo-trend-lr-v6</t>
        </is>
      </c>
      <c r="U86" s="24" t="inlineStr">
        <is>
          <t>settled</t>
        </is>
      </c>
      <c r="V86" s="24" t="inlineStr">
        <is>
          <t>loss</t>
        </is>
      </c>
      <c r="W86" s="26" t="n">
        <v>5</v>
      </c>
      <c r="X86" s="26" t="n">
        <v>6</v>
      </c>
      <c r="Y86" s="25" t="n"/>
      <c r="Z86" s="26" t="n">
        <v>-135</v>
      </c>
      <c r="AA86" s="28" t="n">
        <v>0.575</v>
      </c>
      <c r="AB86" s="28" t="n">
        <v>0.000532</v>
      </c>
      <c r="AC86" s="30" t="n">
        <v>-1.5</v>
      </c>
      <c r="AD86" s="24" t="inlineStr">
        <is>
          <t>2026-07-30T04:11:56.260279Z</t>
        </is>
      </c>
      <c r="AE86" s="31" t="inlineStr">
        <is>
          <t>Learned LR call at threshold 0.5690; executable ask 0.5750 (aec-mlb-nyy-cws-2026-07-29).</t>
        </is>
      </c>
      <c r="AF86" s="31" t="inlineStr">
        <is>
          <t>Learned model; shadow-qualified via operator override.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3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mlb-nyy</t>
        </is>
      </c>
      <c r="AQ86" s="24" t="inlineStr">
        <is>
          <t>New York Yankees</t>
        </is>
      </c>
      <c r="AR86" s="24" t="inlineStr">
        <is>
          <t>New York Yankees</t>
        </is>
      </c>
      <c r="AS86" s="24" t="inlineStr">
        <is>
          <t>mlb-cws</t>
        </is>
      </c>
      <c r="AT86" s="24" t="inlineStr">
        <is>
          <t>Chicago White Sox</t>
        </is>
      </c>
      <c r="AU86" s="24" t="inlineStr">
        <is>
          <t>Chicago White Sox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0633355b1144e4205ca6d08e3f328d99cab0970358846bd77228f3bcbfcd70ee</t>
        </is>
      </c>
      <c r="BB86" s="24" t="inlineStr">
        <is>
          <t>learned_lr</t>
        </is>
      </c>
      <c r="BC86" s="24" t="inlineStr">
        <is>
          <t>mlb-elo-trend-lr-v6</t>
        </is>
      </c>
      <c r="BD86" s="24" t="inlineStr">
        <is>
          <t>0633355b1144e4205ca6d08e3f328d99cab0970358846bd77228f3bcbfcd70ee</t>
        </is>
      </c>
      <c r="BE86" s="24" t="inlineStr">
        <is>
          <t>2708454a801f68cb</t>
        </is>
      </c>
      <c r="BF86" s="24" t="inlineStr">
        <is>
          <t>1</t>
        </is>
      </c>
      <c r="BG86" s="24" t="inlineStr">
        <is>
          <t>mlb-elo-trend-lr-v6</t>
        </is>
      </c>
      <c r="BH86" s="24" t="inlineStr">
        <is>
          <t>2026-07-29T17:43:06.767370Z</t>
        </is>
      </c>
      <c r="BI86" s="24" t="inlineStr">
        <is>
          <t>["same_event","same_team_same_day","same_league_same_day"]</t>
        </is>
      </c>
      <c r="BJ86" s="25" t="n"/>
      <c r="BK86" s="26" t="n">
        <v>-135</v>
      </c>
      <c r="BL86" s="27" t="n">
        <v>1.740741</v>
      </c>
      <c r="BM86" s="28" t="n">
        <v>0.574468</v>
      </c>
      <c r="BN86" s="28" t="n">
        <v>0.572139</v>
      </c>
      <c r="BO86" s="28" t="n"/>
      <c r="BP86" s="25" t="n"/>
      <c r="BQ86" s="27" t="n">
        <v>1.740741</v>
      </c>
      <c r="BR86" s="28" t="n">
        <v>0.575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inlineStr">
        <is>
          <t>0.4761494151</t>
        </is>
      </c>
      <c r="CD86" s="24" t="inlineStr">
        <is>
          <t>1.500354</t>
        </is>
      </c>
      <c r="CE86" s="24" t="inlineStr">
        <is>
          <t>0.937</t>
        </is>
      </c>
      <c r="CF86" s="24" t="n"/>
      <c r="CG86" s="24" t="n"/>
      <c r="CH86" s="24" t="inlineStr">
        <is>
          <t>1.42</t>
        </is>
      </c>
      <c r="CI86" s="24" t="n"/>
      <c r="CJ86" s="24" t="n"/>
      <c r="CK86" s="24" t="n"/>
      <c r="CL86" s="24" t="n"/>
      <c r="CM86" s="24" t="n"/>
      <c r="CN86" s="24" t="n"/>
      <c r="CO86" s="24" t="n"/>
    </row>
    <row r="87" ht="36" customHeight="1">
      <c r="A87" s="24" t="inlineStr">
        <is>
          <t>f2238d557e5a43da</t>
        </is>
      </c>
      <c r="B87" s="24" t="inlineStr">
        <is>
          <t>2026-07-29T17:43:50.913671Z</t>
        </is>
      </c>
      <c r="C87" s="24" t="inlineStr">
        <is>
          <t>2026-07-29T19:45:00-0400</t>
        </is>
      </c>
      <c r="D87" s="24" t="inlineStr">
        <is>
          <t>401816314</t>
        </is>
      </c>
      <c r="E87" s="24" t="inlineStr">
        <is>
          <t>MLB</t>
        </is>
      </c>
      <c r="F87" s="24" t="inlineStr">
        <is>
          <t>Chicago Cubs</t>
        </is>
      </c>
      <c r="G87" s="24" t="inlineStr">
        <is>
          <t>St. Louis Cardinals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-102</v>
      </c>
      <c r="M87" s="27" t="n">
        <v>1.980392</v>
      </c>
      <c r="N87" s="28" t="n">
        <v>0.50495</v>
      </c>
      <c r="O87" s="28" t="n">
        <v>0.516613</v>
      </c>
      <c r="P87" s="28" t="n"/>
      <c r="Q87" s="28" t="n">
        <v>0.011663</v>
      </c>
      <c r="R87" s="26" t="n">
        <v>27</v>
      </c>
      <c r="S87" s="29" t="n">
        <v>0.75</v>
      </c>
      <c r="T87" s="24" t="inlineStr">
        <is>
          <t>mlb-elo-trend-lr-v6</t>
        </is>
      </c>
      <c r="U87" s="24" t="inlineStr">
        <is>
          <t>settled</t>
        </is>
      </c>
      <c r="V87" s="24" t="inlineStr">
        <is>
          <t>loss</t>
        </is>
      </c>
      <c r="W87" s="26" t="n">
        <v>2</v>
      </c>
      <c r="X87" s="26" t="n">
        <v>3</v>
      </c>
      <c r="Y87" s="25" t="n"/>
      <c r="Z87" s="26" t="n">
        <v>-102</v>
      </c>
      <c r="AA87" s="28" t="n">
        <v>0.505</v>
      </c>
      <c r="AB87" s="28" t="n">
        <v>5e-05</v>
      </c>
      <c r="AC87" s="30" t="n">
        <v>-0.75</v>
      </c>
      <c r="AD87" s="24" t="inlineStr">
        <is>
          <t>2026-07-30T04:11:56.977924Z</t>
        </is>
      </c>
      <c r="AE87" s="31" t="inlineStr">
        <is>
          <t>Learned LR call at threshold 0.5690; executable ask 0.5050 (aec-mlb-chc-stl-2026-07-29).</t>
        </is>
      </c>
      <c r="AF87" s="31" t="inlineStr">
        <is>
          <t>Learned model; shadow-qualified via operator override.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mlb-chc</t>
        </is>
      </c>
      <c r="AQ87" s="24" t="inlineStr">
        <is>
          <t>Chicago Cubs</t>
        </is>
      </c>
      <c r="AR87" s="24" t="inlineStr">
        <is>
          <t>Chicago Cubs</t>
        </is>
      </c>
      <c r="AS87" s="24" t="inlineStr">
        <is>
          <t>mlb-stl</t>
        </is>
      </c>
      <c r="AT87" s="24" t="inlineStr">
        <is>
          <t>St. Louis Cardinals</t>
        </is>
      </c>
      <c r="AU87" s="24" t="inlineStr">
        <is>
          <t>St. Louis Cardinals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0633355b1144e4205ca6d08e3f328d99cab0970358846bd77228f3bcbfcd70ee</t>
        </is>
      </c>
      <c r="BB87" s="24" t="inlineStr">
        <is>
          <t>learned_lr</t>
        </is>
      </c>
      <c r="BC87" s="24" t="inlineStr">
        <is>
          <t>mlb-elo-trend-lr-v6</t>
        </is>
      </c>
      <c r="BD87" s="24" t="inlineStr">
        <is>
          <t>0633355b1144e4205ca6d08e3f328d99cab0970358846bd77228f3bcbfcd70ee</t>
        </is>
      </c>
      <c r="BE87" s="24" t="inlineStr">
        <is>
          <t>2298fd52a6606830</t>
        </is>
      </c>
      <c r="BF87" s="24" t="inlineStr">
        <is>
          <t>1</t>
        </is>
      </c>
      <c r="BG87" s="24" t="inlineStr">
        <is>
          <t>mlb-elo-trend-lr-v6</t>
        </is>
      </c>
      <c r="BH87" s="24" t="inlineStr">
        <is>
          <t>2026-07-29T17:43:08.069605Z</t>
        </is>
      </c>
      <c r="BI87" s="24" t="inlineStr">
        <is>
          <t>["same_event","same_team_same_day","same_league_same_day"]</t>
        </is>
      </c>
      <c r="BJ87" s="25" t="n"/>
      <c r="BK87" s="26" t="n">
        <v>-102</v>
      </c>
      <c r="BL87" s="27" t="n">
        <v>1.980392</v>
      </c>
      <c r="BM87" s="28" t="n">
        <v>0.50495</v>
      </c>
      <c r="BN87" s="28" t="n">
        <v>0.502488</v>
      </c>
      <c r="BO87" s="28" t="n"/>
      <c r="BP87" s="25" t="n"/>
      <c r="BQ87" s="27" t="n">
        <v>1.980392</v>
      </c>
      <c r="BR87" s="28" t="n">
        <v>0.505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inlineStr">
        <is>
          <t>0.4644554475</t>
        </is>
      </c>
      <c r="CD87" s="24" t="inlineStr">
        <is>
          <t>-0.743911</t>
        </is>
      </c>
      <c r="CE87" s="24" t="inlineStr">
        <is>
          <t>0.946</t>
        </is>
      </c>
      <c r="CF87" s="24" t="n"/>
      <c r="CG87" s="24" t="n"/>
      <c r="CH87" s="24" t="inlineStr">
        <is>
          <t>0.78</t>
        </is>
      </c>
      <c r="CI87" s="24" t="n"/>
      <c r="CJ87" s="24" t="n"/>
      <c r="CK87" s="24" t="n"/>
      <c r="CL87" s="24" t="n"/>
      <c r="CM87" s="24" t="n"/>
      <c r="CN87" s="24" t="n"/>
      <c r="CO87" s="24" t="n"/>
    </row>
    <row r="88" ht="36" customHeight="1">
      <c r="A88" s="24" t="inlineStr">
        <is>
          <t>05fad9950fbc4ef1</t>
        </is>
      </c>
      <c r="B88" s="24" t="inlineStr">
        <is>
          <t>2026-07-29T17:43:50.913671Z</t>
        </is>
      </c>
      <c r="C88" s="24" t="inlineStr">
        <is>
          <t>2026-07-29T21:38:00-0400</t>
        </is>
      </c>
      <c r="D88" s="24" t="inlineStr">
        <is>
          <t>401816319</t>
        </is>
      </c>
      <c r="E88" s="24" t="inlineStr">
        <is>
          <t>MLB</t>
        </is>
      </c>
      <c r="F88" s="24" t="inlineStr">
        <is>
          <t>Houston Astros</t>
        </is>
      </c>
      <c r="G88" s="24" t="inlineStr">
        <is>
          <t>Los Angeles Angels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122</v>
      </c>
      <c r="M88" s="27" t="n">
        <v>2.22</v>
      </c>
      <c r="N88" s="28" t="n">
        <v>0.45045</v>
      </c>
      <c r="O88" s="28" t="n">
        <v>0.546849</v>
      </c>
      <c r="P88" s="28" t="n"/>
      <c r="Q88" s="28" t="n">
        <v>0.096399</v>
      </c>
      <c r="R88" s="26" t="n">
        <v>70</v>
      </c>
      <c r="S88" s="29" t="n">
        <v>1</v>
      </c>
      <c r="T88" s="24" t="inlineStr">
        <is>
          <t>mlb-elo-trend-lr-v6</t>
        </is>
      </c>
      <c r="U88" s="24" t="inlineStr">
        <is>
          <t>settled</t>
        </is>
      </c>
      <c r="V88" s="24" t="inlineStr">
        <is>
          <t>loss</t>
        </is>
      </c>
      <c r="W88" s="26" t="n">
        <v>7</v>
      </c>
      <c r="X88" s="26" t="n">
        <v>4</v>
      </c>
      <c r="Y88" s="25" t="n"/>
      <c r="Z88" s="26" t="n">
        <v>122</v>
      </c>
      <c r="AA88" s="28" t="n">
        <v>0.45</v>
      </c>
      <c r="AB88" s="28" t="n">
        <v>-0.00045</v>
      </c>
      <c r="AC88" s="30" t="n">
        <v>-1</v>
      </c>
      <c r="AD88" s="24" t="inlineStr">
        <is>
          <t>2026-07-30T05:40:58.479895Z</t>
        </is>
      </c>
      <c r="AE88" s="31" t="inlineStr">
        <is>
          <t>Learned LR call at threshold 0.5690; executable ask 0.4500 (aec-mlb-hou-laa-2026-07-29). NOTE: probable_starter_era_gap unavailable for this game — defaulted to neutral, other features used normally.</t>
        </is>
      </c>
      <c r="AF88" s="31" t="inlineStr">
        <is>
          <t>Learned model; shadow-qualified via operator override.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mlb-hou</t>
        </is>
      </c>
      <c r="AQ88" s="24" t="inlineStr">
        <is>
          <t>Houston Astros</t>
        </is>
      </c>
      <c r="AR88" s="24" t="inlineStr">
        <is>
          <t>Houston Astros</t>
        </is>
      </c>
      <c r="AS88" s="24" t="inlineStr">
        <is>
          <t>mlb-laa</t>
        </is>
      </c>
      <c r="AT88" s="24" t="inlineStr">
        <is>
          <t>Los Angeles Angels</t>
        </is>
      </c>
      <c r="AU88" s="24" t="inlineStr">
        <is>
          <t>Los Angeles Angels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0633355b1144e4205ca6d08e3f328d99cab0970358846bd77228f3bcbfcd70ee</t>
        </is>
      </c>
      <c r="BB88" s="24" t="inlineStr">
        <is>
          <t>learned_lr</t>
        </is>
      </c>
      <c r="BC88" s="24" t="inlineStr">
        <is>
          <t>mlb-elo-trend-lr-v6</t>
        </is>
      </c>
      <c r="BD88" s="24" t="inlineStr">
        <is>
          <t>0633355b1144e4205ca6d08e3f328d99cab0970358846bd77228f3bcbfcd70ee</t>
        </is>
      </c>
      <c r="BE88" s="24" t="inlineStr">
        <is>
          <t>c4008e41e879ce00</t>
        </is>
      </c>
      <c r="BF88" s="24" t="inlineStr">
        <is>
          <t>1</t>
        </is>
      </c>
      <c r="BG88" s="24" t="inlineStr">
        <is>
          <t>mlb-elo-trend-lr-v6</t>
        </is>
      </c>
      <c r="BH88" s="24" t="inlineStr">
        <is>
          <t>2026-07-29T17:43:09.108714Z</t>
        </is>
      </c>
      <c r="BI88" s="24" t="inlineStr">
        <is>
          <t>["same_event","same_team_same_day","same_league_same_day"]</t>
        </is>
      </c>
      <c r="BJ88" s="25" t="n"/>
      <c r="BK88" s="26" t="n">
        <v>122</v>
      </c>
      <c r="BL88" s="27" t="n">
        <v>2.22</v>
      </c>
      <c r="BM88" s="28" t="n">
        <v>0.45045</v>
      </c>
      <c r="BN88" s="28" t="n">
        <v>0.447761</v>
      </c>
      <c r="BO88" s="28" t="n"/>
      <c r="BP88" s="25" t="n"/>
      <c r="BQ88" s="27" t="n">
        <v>2.22</v>
      </c>
      <c r="BR88" s="28" t="n">
        <v>0.45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inlineStr">
        <is>
          <t>0.4559426507</t>
        </is>
      </c>
      <c r="CD88" s="24" t="inlineStr">
        <is>
          <t>-1.582476</t>
        </is>
      </c>
      <c r="CE88" s="24" t="inlineStr">
        <is>
          <t>1.01</t>
        </is>
      </c>
      <c r="CF88" s="24" t="n"/>
      <c r="CG88" s="24" t="n"/>
      <c r="CH88" s="24" t="inlineStr">
        <is>
          <t>0.0</t>
        </is>
      </c>
      <c r="CI88" s="24" t="inlineStr">
        <is>
          <t>probable_starter_era_gap</t>
        </is>
      </c>
      <c r="CJ88" s="24" t="n"/>
      <c r="CK88" s="24" t="n"/>
      <c r="CL88" s="24" t="n"/>
      <c r="CM88" s="24" t="n"/>
      <c r="CN88" s="24" t="n"/>
      <c r="CO88" s="24" t="n"/>
    </row>
    <row r="89" ht="36" customHeight="1">
      <c r="A89" s="24" t="inlineStr">
        <is>
          <t>09cb6bed8b394f5b</t>
        </is>
      </c>
      <c r="B89" s="24" t="inlineStr">
        <is>
          <t>2026-07-29T17:43:50.913671Z</t>
        </is>
      </c>
      <c r="C89" s="24" t="inlineStr">
        <is>
          <t>2026-07-29T21:40:00-0400</t>
        </is>
      </c>
      <c r="D89" s="24" t="inlineStr">
        <is>
          <t>401816317</t>
        </is>
      </c>
      <c r="E89" s="24" t="inlineStr">
        <is>
          <t>MLB</t>
        </is>
      </c>
      <c r="F89" s="24" t="inlineStr">
        <is>
          <t>Boston Red Sox</t>
        </is>
      </c>
      <c r="G89" s="24" t="inlineStr">
        <is>
          <t>Athletics</t>
        </is>
      </c>
      <c r="H89" s="24" t="inlineStr">
        <is>
          <t>moneyline</t>
        </is>
      </c>
      <c r="I89" s="24" t="inlineStr">
        <is>
          <t>away</t>
        </is>
      </c>
      <c r="J89" s="25" t="n"/>
      <c r="K89" s="24" t="inlineStr">
        <is>
          <t>polymarket_us</t>
        </is>
      </c>
      <c r="L89" s="26" t="n">
        <v>-141</v>
      </c>
      <c r="M89" s="27" t="n">
        <v>1.70922</v>
      </c>
      <c r="N89" s="28" t="n">
        <v>0.585062</v>
      </c>
      <c r="O89" s="28" t="n">
        <v>0.674823</v>
      </c>
      <c r="P89" s="28" t="n"/>
      <c r="Q89" s="28" t="n">
        <v>0.08976099999999999</v>
      </c>
      <c r="R89" s="26" t="n">
        <v>66</v>
      </c>
      <c r="S89" s="29" t="n">
        <v>2</v>
      </c>
      <c r="T89" s="24" t="inlineStr">
        <is>
          <t>mlb-elo-trend-lr-v6</t>
        </is>
      </c>
      <c r="U89" s="24" t="inlineStr">
        <is>
          <t>settled</t>
        </is>
      </c>
      <c r="V89" s="24" t="inlineStr">
        <is>
          <t>win</t>
        </is>
      </c>
      <c r="W89" s="26" t="n">
        <v>4</v>
      </c>
      <c r="X89" s="26" t="n">
        <v>2</v>
      </c>
      <c r="Y89" s="25" t="n"/>
      <c r="Z89" s="26" t="n">
        <v>-141</v>
      </c>
      <c r="AA89" s="28" t="n">
        <v>0.585</v>
      </c>
      <c r="AB89" s="28" t="n">
        <v>-6.2e-05</v>
      </c>
      <c r="AC89" s="30" t="n">
        <v>1.4184</v>
      </c>
      <c r="AD89" s="24" t="inlineStr">
        <is>
          <t>2026-07-30T05:40:58.997554Z</t>
        </is>
      </c>
      <c r="AE89" s="31" t="inlineStr">
        <is>
          <t>Learned LR call at threshold 0.5690; executable ask 0.5850 (aec-mlb-bos-ath-2026-07-29).</t>
        </is>
      </c>
      <c r="AF89" s="31" t="inlineStr">
        <is>
          <t>Learned model; shadow-qualified via operator override.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3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mlb-bos</t>
        </is>
      </c>
      <c r="AQ89" s="24" t="inlineStr">
        <is>
          <t>Boston Red Sox</t>
        </is>
      </c>
      <c r="AR89" s="24" t="inlineStr">
        <is>
          <t>Boston Red Sox</t>
        </is>
      </c>
      <c r="AS89" s="24" t="inlineStr">
        <is>
          <t>mlb-ath</t>
        </is>
      </c>
      <c r="AT89" s="24" t="inlineStr">
        <is>
          <t>Athletics</t>
        </is>
      </c>
      <c r="AU89" s="24" t="inlineStr">
        <is>
          <t>Athletics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0633355b1144e4205ca6d08e3f328d99cab0970358846bd77228f3bcbfcd70ee</t>
        </is>
      </c>
      <c r="BB89" s="24" t="inlineStr">
        <is>
          <t>learned_lr</t>
        </is>
      </c>
      <c r="BC89" s="24" t="inlineStr">
        <is>
          <t>mlb-elo-trend-lr-v6</t>
        </is>
      </c>
      <c r="BD89" s="24" t="inlineStr">
        <is>
          <t>0633355b1144e4205ca6d08e3f328d99cab0970358846bd77228f3bcbfcd70ee</t>
        </is>
      </c>
      <c r="BE89" s="24" t="inlineStr">
        <is>
          <t>93cfc12c40e6d755</t>
        </is>
      </c>
      <c r="BF89" s="24" t="inlineStr">
        <is>
          <t>1</t>
        </is>
      </c>
      <c r="BG89" s="24" t="inlineStr">
        <is>
          <t>mlb-elo-trend-lr-v6</t>
        </is>
      </c>
      <c r="BH89" s="24" t="inlineStr">
        <is>
          <t>2026-07-29T17:43:10.028043Z</t>
        </is>
      </c>
      <c r="BI89" s="24" t="inlineStr">
        <is>
          <t>["same_event","same_team_same_day","same_league_same_day"]</t>
        </is>
      </c>
      <c r="BJ89" s="25" t="n"/>
      <c r="BK89" s="26" t="n">
        <v>-141</v>
      </c>
      <c r="BL89" s="27" t="n">
        <v>1.70922</v>
      </c>
      <c r="BM89" s="28" t="n">
        <v>0.585062</v>
      </c>
      <c r="BN89" s="28" t="n">
        <v>0.58209</v>
      </c>
      <c r="BO89" s="28" t="n"/>
      <c r="BP89" s="25" t="n"/>
      <c r="BQ89" s="27" t="n">
        <v>1.70922</v>
      </c>
      <c r="BR89" s="28" t="n">
        <v>0.585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inlineStr">
        <is>
          <t>0.3891185316</t>
        </is>
      </c>
      <c r="CD89" s="24" t="inlineStr">
        <is>
          <t>-1.066043</t>
        </is>
      </c>
      <c r="CE89" s="24" t="inlineStr">
        <is>
          <t>1.153</t>
        </is>
      </c>
      <c r="CF89" s="24" t="n"/>
      <c r="CG89" s="24" t="n"/>
      <c r="CH89" s="24" t="inlineStr">
        <is>
          <t>2.91</t>
        </is>
      </c>
      <c r="CI89" s="24" t="n"/>
      <c r="CJ89" s="24" t="n"/>
      <c r="CK89" s="24" t="n"/>
      <c r="CL89" s="24" t="n"/>
      <c r="CM89" s="24" t="n"/>
      <c r="CN89" s="24" t="n"/>
      <c r="CO89" s="24" t="n"/>
    </row>
    <row r="90" ht="36" customHeight="1">
      <c r="A90" s="24" t="inlineStr">
        <is>
          <t>9b757e601728451d</t>
        </is>
      </c>
      <c r="B90" s="24" t="inlineStr">
        <is>
          <t>2026-07-29T17:43:50.913671Z</t>
        </is>
      </c>
      <c r="C90" s="24" t="inlineStr">
        <is>
          <t>2026-07-29T22:10:00-0400</t>
        </is>
      </c>
      <c r="D90" s="24" t="inlineStr">
        <is>
          <t>401816321</t>
        </is>
      </c>
      <c r="E90" s="24" t="inlineStr">
        <is>
          <t>MLB</t>
        </is>
      </c>
      <c r="F90" s="24" t="inlineStr">
        <is>
          <t>Seattle Mariners</t>
        </is>
      </c>
      <c r="G90" s="24" t="inlineStr">
        <is>
          <t>Los Angeles Dodgers</t>
        </is>
      </c>
      <c r="H90" s="24" t="inlineStr">
        <is>
          <t>moneyline</t>
        </is>
      </c>
      <c r="I90" s="24" t="inlineStr">
        <is>
          <t>away</t>
        </is>
      </c>
      <c r="J90" s="25" t="n"/>
      <c r="K90" s="24" t="inlineStr">
        <is>
          <t>polymarket_us</t>
        </is>
      </c>
      <c r="L90" s="26" t="n">
        <v>153</v>
      </c>
      <c r="M90" s="27" t="n">
        <v>2.53</v>
      </c>
      <c r="N90" s="28" t="n">
        <v>0.395257</v>
      </c>
      <c r="O90" s="28" t="n">
        <v>0.580323</v>
      </c>
      <c r="P90" s="28" t="n"/>
      <c r="Q90" s="28" t="n">
        <v>0.185066</v>
      </c>
      <c r="R90" s="26" t="n">
        <v>100</v>
      </c>
      <c r="S90" s="29" t="n">
        <v>1.25</v>
      </c>
      <c r="T90" s="24" t="inlineStr">
        <is>
          <t>mlb-elo-trend-lr-v6</t>
        </is>
      </c>
      <c r="U90" s="24" t="inlineStr">
        <is>
          <t>settled</t>
        </is>
      </c>
      <c r="V90" s="24" t="inlineStr">
        <is>
          <t>loss</t>
        </is>
      </c>
      <c r="W90" s="26" t="n">
        <v>2</v>
      </c>
      <c r="X90" s="26" t="n">
        <v>4</v>
      </c>
      <c r="Y90" s="25" t="n"/>
      <c r="Z90" s="26" t="n">
        <v>153</v>
      </c>
      <c r="AA90" s="28" t="n">
        <v>0.395</v>
      </c>
      <c r="AB90" s="28" t="n">
        <v>-0.000257</v>
      </c>
      <c r="AC90" s="30" t="n">
        <v>-1.25</v>
      </c>
      <c r="AD90" s="24" t="inlineStr">
        <is>
          <t>2026-07-30T05:40:59.559752Z</t>
        </is>
      </c>
      <c r="AE90" s="31" t="inlineStr">
        <is>
          <t>Learned LR call at threshold 0.5690; executable ask 0.3950 (aec-mlb-sea-lad-2026-07-29).</t>
        </is>
      </c>
      <c r="AF90" s="31" t="inlineStr">
        <is>
          <t>Learned model; shadow-qualified via operator override.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mlb-sea</t>
        </is>
      </c>
      <c r="AQ90" s="24" t="inlineStr">
        <is>
          <t>Seattle Mariners</t>
        </is>
      </c>
      <c r="AR90" s="24" t="inlineStr">
        <is>
          <t>Seattle Mariners</t>
        </is>
      </c>
      <c r="AS90" s="24" t="inlineStr">
        <is>
          <t>mlb-lad</t>
        </is>
      </c>
      <c r="AT90" s="24" t="inlineStr">
        <is>
          <t>Los Angeles Dodgers</t>
        </is>
      </c>
      <c r="AU90" s="24" t="inlineStr">
        <is>
          <t>Los Angeles Dodgers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0633355b1144e4205ca6d08e3f328d99cab0970358846bd77228f3bcbfcd70ee</t>
        </is>
      </c>
      <c r="BB90" s="24" t="inlineStr">
        <is>
          <t>learned_lr</t>
        </is>
      </c>
      <c r="BC90" s="24" t="inlineStr">
        <is>
          <t>mlb-elo-trend-lr-v6</t>
        </is>
      </c>
      <c r="BD90" s="24" t="inlineStr">
        <is>
          <t>0633355b1144e4205ca6d08e3f328d99cab0970358846bd77228f3bcbfcd70ee</t>
        </is>
      </c>
      <c r="BE90" s="24" t="inlineStr">
        <is>
          <t>cef2fcdedc4d9995</t>
        </is>
      </c>
      <c r="BF90" s="24" t="inlineStr">
        <is>
          <t>1</t>
        </is>
      </c>
      <c r="BG90" s="24" t="inlineStr">
        <is>
          <t>mlb-elo-trend-lr-v6</t>
        </is>
      </c>
      <c r="BH90" s="24" t="inlineStr">
        <is>
          <t>2026-07-29T17:43:11.216934Z</t>
        </is>
      </c>
      <c r="BI90" s="24" t="inlineStr">
        <is>
          <t>["same_event","same_team_same_day","same_league_same_day"]</t>
        </is>
      </c>
      <c r="BJ90" s="25" t="n"/>
      <c r="BK90" s="26" t="n">
        <v>153</v>
      </c>
      <c r="BL90" s="27" t="n">
        <v>2.53</v>
      </c>
      <c r="BM90" s="28" t="n">
        <v>0.395257</v>
      </c>
      <c r="BN90" s="28" t="n">
        <v>0.393035</v>
      </c>
      <c r="BO90" s="28" t="n"/>
      <c r="BP90" s="25" t="n"/>
      <c r="BQ90" s="27" t="n">
        <v>2.53</v>
      </c>
      <c r="BR90" s="28" t="n">
        <v>0.395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inlineStr">
        <is>
          <t>0.6258863376</t>
        </is>
      </c>
      <c r="CD90" s="24" t="inlineStr">
        <is>
          <t>-0.186858</t>
        </is>
      </c>
      <c r="CE90" s="24" t="inlineStr">
        <is>
          <t>1.026</t>
        </is>
      </c>
      <c r="CF90" s="24" t="n"/>
      <c r="CG90" s="24" t="n"/>
      <c r="CH90" s="24" t="inlineStr">
        <is>
          <t>1.67</t>
        </is>
      </c>
      <c r="CI90" s="24" t="n"/>
      <c r="CJ90" s="24" t="n"/>
      <c r="CK90" s="24" t="n"/>
      <c r="CL90" s="24" t="n"/>
      <c r="CM90" s="24" t="n"/>
      <c r="CN90" s="24" t="n"/>
      <c r="CO90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2026-07-30T16:45:29Z</dcterms:created>
  <dcterms:modified xsi:type="dcterms:W3CDTF">2026-07-30T16:45:29Z</dcterms:modified>
</cp:coreProperties>
</file>