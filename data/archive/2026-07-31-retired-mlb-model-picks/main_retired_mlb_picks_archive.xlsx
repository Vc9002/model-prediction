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30" headerRowCount="1">
  <autoFilter ref="A1:CO30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COUNTA('Picks'!$A$2:$A$30)</f>
        <v/>
      </c>
      <c r="C4" s="6">
        <f>COUNTIF('Picks'!$U$2:$U$30,"open")</f>
        <v/>
      </c>
      <c r="E4" s="6">
        <f>COUNTIF('Picks'!$U$2:$U$30,"settled")</f>
        <v/>
      </c>
      <c r="G4" s="6">
        <f>IF(COUNTIFS('Picks'!$U$2:$U$30,"settled",'Picks'!$V$2:$V$30,"win")+COUNTIFS('Picks'!$U$2:$U$30,"settled",'Picks'!$V$2:$V$30,"loss")&gt;=$L$2,"Ready","Insufficient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COUNTIF('Picks'!$BX$2:$BX$30,"&gt;0")</f>
        <v/>
      </c>
      <c r="C7" s="6">
        <f>COUNTIFS('Picks'!$BX$2:$BX$30,"&gt;0",'Picks'!$V$2:$V$30,"win")&amp;"-"&amp;COUNTIFS('Picks'!$BX$2:$BX$30,"&gt;0",'Picks'!$V$2:$V$30,"loss")</f>
        <v/>
      </c>
      <c r="E7" s="7">
        <f>IFERROR(COUNTIFS('Picks'!$BX$2:$BX$30,"&gt;0",'Picks'!$V$2:$V$30,"win")/(COUNTIFS('Picks'!$BX$2:$BX$30,"&gt;0",'Picks'!$V$2:$V$30,"win")+COUNTIFS('Picks'!$BX$2:$BX$30,"&gt;0",'Picks'!$V$2:$V$30,"loss")),0)</f>
        <v/>
      </c>
      <c r="G7" s="7">
        <f>IFERROR(SUM('Picks'!$BY$2:$BY$30)/SUM('Picks'!$BX$2:$BX$30),0)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SUM('Picks'!$BY$2:$BY$30)</f>
        <v/>
      </c>
      <c r="C10" s="9">
        <f>IFERROR(AVERAGEIF('Picks'!$AB$2:$AB$30,"&lt;&gt;",'Picks'!$AB$2:$AB$30),0)</f>
        <v/>
      </c>
      <c r="E10" s="6">
        <f>COUNTIFS('Picks'!$AM$2:$AM$30,"QUALIFIED_SHADOW_CALL",'Picks'!$U$2:$U$30,"settled")</f>
        <v/>
      </c>
      <c r="G10" s="8">
        <f>SUMIFS('Picks'!$AC$2:$AC$30,'Picks'!$AM$2:$AM$30,"QUALIFIED_SHADOW_CALL")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COUNTIFS('Picks'!$H$2:$H$30,$A14,'Picks'!$U$2:$U$30,"settled")</f>
        <v/>
      </c>
      <c r="C14" s="13">
        <f>COUNTIFS('Picks'!$H$2:$H$30,$A14,'Picks'!$U$2:$U$30,"settled",'Picks'!$V$2:$V$30,"win")</f>
        <v/>
      </c>
      <c r="D14" s="13">
        <f>COUNTIFS('Picks'!$H$2:$H$30,$A14,'Picks'!$U$2:$U$30,"settled",'Picks'!$V$2:$V$30,"loss")</f>
        <v/>
      </c>
      <c r="E14" s="14">
        <f>IFERROR(C14/(C14+D14),0)</f>
        <v/>
      </c>
      <c r="F14" s="15">
        <f>SUMIFS('Picks'!$BY$2:$BY$30,'Picks'!$H$2:$H$30,$A14)</f>
        <v/>
      </c>
      <c r="G14" s="16">
        <f>IFERROR(AVERAGEIFS('Picks'!$AB$2:$AB$30,'Picks'!$H$2:$H$30,$A14,'Picks'!$U$2:$U$30,"settled"),0)</f>
        <v/>
      </c>
    </row>
    <row r="15">
      <c r="A15" s="17" t="inlineStr">
        <is>
          <t>spread</t>
        </is>
      </c>
      <c r="B15" s="18">
        <f>COUNTIFS('Picks'!$H$2:$H$30,$A15,'Picks'!$U$2:$U$30,"settled")</f>
        <v/>
      </c>
      <c r="C15" s="18">
        <f>COUNTIFS('Picks'!$H$2:$H$30,$A15,'Picks'!$U$2:$U$30,"settled",'Picks'!$V$2:$V$30,"win")</f>
        <v/>
      </c>
      <c r="D15" s="18">
        <f>COUNTIFS('Picks'!$H$2:$H$30,$A15,'Picks'!$U$2:$U$30,"settled",'Picks'!$V$2:$V$30,"loss")</f>
        <v/>
      </c>
      <c r="E15" s="19">
        <f>IFERROR(C15/(C15+D15),0)</f>
        <v/>
      </c>
      <c r="F15" s="20">
        <f>SUMIFS('Picks'!$BY$2:$BY$30,'Picks'!$H$2:$H$30,$A15)</f>
        <v/>
      </c>
      <c r="G15" s="21">
        <f>IFERROR(AVERAGEIFS('Picks'!$AB$2:$AB$30,'Picks'!$H$2:$H$30,$A15,'Picks'!$U$2:$U$30,"settled"),0)</f>
        <v/>
      </c>
    </row>
    <row r="16">
      <c r="A16" s="12" t="inlineStr">
        <is>
          <t>total</t>
        </is>
      </c>
      <c r="B16" s="13">
        <f>COUNTIFS('Picks'!$H$2:$H$30,$A16,'Picks'!$U$2:$U$30,"settled")</f>
        <v/>
      </c>
      <c r="C16" s="13">
        <f>COUNTIFS('Picks'!$H$2:$H$30,$A16,'Picks'!$U$2:$U$30,"settled",'Picks'!$V$2:$V$30,"win")</f>
        <v/>
      </c>
      <c r="D16" s="13">
        <f>COUNTIFS('Picks'!$H$2:$H$30,$A16,'Picks'!$U$2:$U$30,"settled",'Picks'!$V$2:$V$30,"loss")</f>
        <v/>
      </c>
      <c r="E16" s="14">
        <f>IFERROR(C16/(C16+D16),0)</f>
        <v/>
      </c>
      <c r="F16" s="15">
        <f>SUMIFS('Picks'!$BY$2:$BY$30,'Picks'!$H$2:$H$30,$A16)</f>
        <v/>
      </c>
      <c r="G16" s="16">
        <f>IFERROR(AVERAGEIFS('Picks'!$AB$2:$AB$30,'Picks'!$H$2:$H$30,$A16,'Picks'!$U$2:$U$30,"settled"),0)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4057471b4bd24f93</t>
        </is>
      </c>
      <c r="B2" s="24" t="inlineStr">
        <is>
          <t>2026-07-25T19:55:04.400459Z</t>
        </is>
      </c>
      <c r="C2" s="24" t="inlineStr">
        <is>
          <t>2026-07-25T16:10:00-0400</t>
        </is>
      </c>
      <c r="D2" s="24" t="inlineStr">
        <is>
          <t>401816257</t>
        </is>
      </c>
      <c r="E2" s="24" t="inlineStr">
        <is>
          <t>MLB</t>
        </is>
      </c>
      <c r="F2" s="24" t="inlineStr">
        <is>
          <t>San Diego Padres</t>
        </is>
      </c>
      <c r="G2" s="24" t="inlineStr">
        <is>
          <t>Miami Marlins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-133</v>
      </c>
      <c r="M2" s="27" t="n">
        <v>1.75188</v>
      </c>
      <c r="N2" s="28" t="n">
        <v>0.570815</v>
      </c>
      <c r="O2" s="28" t="n">
        <v>0.6451710000000001</v>
      </c>
      <c r="P2" s="28" t="n"/>
      <c r="Q2" s="28" t="n">
        <v>0.07435600000000001</v>
      </c>
      <c r="R2" s="26" t="n">
        <v>57</v>
      </c>
      <c r="S2" s="29" t="n">
        <v>2</v>
      </c>
      <c r="T2" s="24" t="inlineStr">
        <is>
          <t>mlb-elo-trend-lr-v6</t>
        </is>
      </c>
      <c r="U2" s="24" t="inlineStr">
        <is>
          <t>settled</t>
        </is>
      </c>
      <c r="V2" s="24" t="inlineStr">
        <is>
          <t>loss</t>
        </is>
      </c>
      <c r="W2" s="26" t="n">
        <v>7</v>
      </c>
      <c r="X2" s="26" t="n">
        <v>2</v>
      </c>
      <c r="Y2" s="25" t="n"/>
      <c r="Z2" s="26" t="n"/>
      <c r="AA2" s="28" t="n"/>
      <c r="AB2" s="28" t="n"/>
      <c r="AC2" s="30" t="n">
        <v>-2</v>
      </c>
      <c r="AD2" s="24" t="inlineStr">
        <is>
          <t>2026-07-26T00:01:55.393447Z</t>
        </is>
      </c>
      <c r="AE2" s="31" t="inlineStr">
        <is>
          <t>Learned LR call at threshold 0.5690; executable ask 0.5700 (aec-mlb-sd-mia-2026-07-25).</t>
        </is>
      </c>
      <c r="AF2" s="31" t="inlineStr">
        <is>
          <t>Learned model; promotion gate not yet open; zero-unit research until review.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mlb-sd</t>
        </is>
      </c>
      <c r="AQ2" s="24" t="inlineStr">
        <is>
          <t>San Diego Padres</t>
        </is>
      </c>
      <c r="AR2" s="24" t="inlineStr">
        <is>
          <t>San Diego Padres</t>
        </is>
      </c>
      <c r="AS2" s="24" t="inlineStr">
        <is>
          <t>mlb-mia</t>
        </is>
      </c>
      <c r="AT2" s="24" t="inlineStr">
        <is>
          <t>Miami Marlins</t>
        </is>
      </c>
      <c r="AU2" s="24" t="inlineStr">
        <is>
          <t>Miami Marlins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10a412e78306d1f4d1a66590dd7cd2087ed53520bfa3bb925889a6371153732f</t>
        </is>
      </c>
      <c r="BB2" s="24" t="inlineStr">
        <is>
          <t>learned_lr</t>
        </is>
      </c>
      <c r="BC2" s="24" t="inlineStr">
        <is>
          <t>mlb-elo-trend-lr-v6</t>
        </is>
      </c>
      <c r="BD2" s="24" t="inlineStr">
        <is>
          <t>10a412e78306d1f4d1a66590dd7cd2087ed53520bfa3bb925889a6371153732f</t>
        </is>
      </c>
      <c r="BE2" s="24" t="inlineStr">
        <is>
          <t>bd6850e29eada6af</t>
        </is>
      </c>
      <c r="BF2" s="24" t="inlineStr">
        <is>
          <t>1</t>
        </is>
      </c>
      <c r="BG2" s="24" t="inlineStr">
        <is>
          <t>mlb-elo-trend-lr-v6</t>
        </is>
      </c>
      <c r="BH2" s="24" t="inlineStr">
        <is>
          <t>2026-07-25T19:54:18.355539Z</t>
        </is>
      </c>
      <c r="BI2" s="24" t="inlineStr">
        <is>
          <t>["same_event","same_team_same_day","same_league_same_day"]</t>
        </is>
      </c>
      <c r="BJ2" s="25" t="n"/>
      <c r="BK2" s="26" t="n">
        <v>-133</v>
      </c>
      <c r="BL2" s="27" t="n">
        <v>1.75188</v>
      </c>
      <c r="BM2" s="28" t="n">
        <v>0.570815</v>
      </c>
      <c r="BN2" s="28" t="n">
        <v>0.567164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0.5121449899</t>
        </is>
      </c>
      <c r="CD2" s="24" t="inlineStr">
        <is>
          <t>-2.399361</t>
        </is>
      </c>
      <c r="CE2" s="24" t="inlineStr">
        <is>
          <t>0.99</t>
        </is>
      </c>
      <c r="CF2" s="24" t="n"/>
      <c r="CG2" s="24" t="n"/>
      <c r="CH2" s="24" t="inlineStr">
        <is>
          <t>-1.19</t>
        </is>
      </c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ec54944f0bc0492e</t>
        </is>
      </c>
      <c r="B3" s="24" t="inlineStr">
        <is>
          <t>2026-07-25T19:55:04.400459Z</t>
        </is>
      </c>
      <c r="C3" s="24" t="inlineStr">
        <is>
          <t>2026-07-25T18:10:00-0400</t>
        </is>
      </c>
      <c r="D3" s="24" t="inlineStr">
        <is>
          <t>401816253</t>
        </is>
      </c>
      <c r="E3" s="24" t="inlineStr">
        <is>
          <t>MLB</t>
        </is>
      </c>
      <c r="F3" s="24" t="inlineStr">
        <is>
          <t>Cleveland Guardians</t>
        </is>
      </c>
      <c r="G3" s="24" t="inlineStr">
        <is>
          <t>Tampa Bay Rays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-111</v>
      </c>
      <c r="M3" s="27" t="n">
        <v>1.900901</v>
      </c>
      <c r="N3" s="28" t="n">
        <v>0.526066</v>
      </c>
      <c r="O3" s="28" t="n">
        <v>0.6146470000000001</v>
      </c>
      <c r="P3" s="28" t="n"/>
      <c r="Q3" s="28" t="n">
        <v>0.08858099999999999</v>
      </c>
      <c r="R3" s="26" t="n">
        <v>64</v>
      </c>
      <c r="S3" s="29" t="n">
        <v>1</v>
      </c>
      <c r="T3" s="24" t="inlineStr">
        <is>
          <t>mlb-elo-trend-lr-v6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3</v>
      </c>
      <c r="Y3" s="25" t="n"/>
      <c r="Z3" s="26" t="n"/>
      <c r="AA3" s="28" t="n"/>
      <c r="AB3" s="28" t="n"/>
      <c r="AC3" s="30" t="n">
        <v>0.9009</v>
      </c>
      <c r="AD3" s="24" t="inlineStr">
        <is>
          <t>2026-07-26T03:33:58.519974Z</t>
        </is>
      </c>
      <c r="AE3" s="31" t="inlineStr">
        <is>
          <t>Learned LR call at threshold 0.5690; executable ask 0.5250 (aec-mlb-cle-tb-2026-07-25).</t>
        </is>
      </c>
      <c r="AF3" s="31" t="inlineStr">
        <is>
          <t>Learned model; promotion gate not yet open; zero-unit research until review.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mlb-cle</t>
        </is>
      </c>
      <c r="AQ3" s="24" t="inlineStr">
        <is>
          <t>Cleveland Guardians</t>
        </is>
      </c>
      <c r="AR3" s="24" t="inlineStr">
        <is>
          <t>Cleveland Guardians</t>
        </is>
      </c>
      <c r="AS3" s="24" t="inlineStr">
        <is>
          <t>mlb-tb</t>
        </is>
      </c>
      <c r="AT3" s="24" t="inlineStr">
        <is>
          <t>Tampa Bay Rays</t>
        </is>
      </c>
      <c r="AU3" s="24" t="inlineStr">
        <is>
          <t>Tampa Bay Rays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10a412e78306d1f4d1a66590dd7cd2087ed53520bfa3bb925889a6371153732f</t>
        </is>
      </c>
      <c r="BB3" s="24" t="inlineStr">
        <is>
          <t>learned_lr</t>
        </is>
      </c>
      <c r="BC3" s="24" t="inlineStr">
        <is>
          <t>mlb-elo-trend-lr-v6</t>
        </is>
      </c>
      <c r="BD3" s="24" t="inlineStr">
        <is>
          <t>10a412e78306d1f4d1a66590dd7cd2087ed53520bfa3bb925889a6371153732f</t>
        </is>
      </c>
      <c r="BE3" s="24" t="inlineStr">
        <is>
          <t>9498bb787406ec04</t>
        </is>
      </c>
      <c r="BF3" s="24" t="inlineStr">
        <is>
          <t>1</t>
        </is>
      </c>
      <c r="BG3" s="24" t="inlineStr">
        <is>
          <t>mlb-elo-trend-lr-v6</t>
        </is>
      </c>
      <c r="BH3" s="24" t="inlineStr">
        <is>
          <t>2026-07-25T19:54:21.566967Z</t>
        </is>
      </c>
      <c r="BI3" s="24" t="inlineStr">
        <is>
          <t>["same_event","same_team_same_day","same_league_same_day"]</t>
        </is>
      </c>
      <c r="BJ3" s="25" t="n"/>
      <c r="BK3" s="26" t="n">
        <v>-111</v>
      </c>
      <c r="BL3" s="27" t="n">
        <v>1.900901</v>
      </c>
      <c r="BM3" s="28" t="n">
        <v>0.526066</v>
      </c>
      <c r="BN3" s="28" t="n">
        <v>0.522388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0.5498194022</t>
        </is>
      </c>
      <c r="CD3" s="24" t="inlineStr">
        <is>
          <t>0.593127</t>
        </is>
      </c>
      <c r="CE3" s="24" t="inlineStr">
        <is>
          <t>0.96</t>
        </is>
      </c>
      <c r="CF3" s="24" t="n"/>
      <c r="CG3" s="24" t="n"/>
      <c r="CH3" s="24" t="inlineStr">
        <is>
          <t>-1.27</t>
        </is>
      </c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c380cf4366d84c19</t>
        </is>
      </c>
      <c r="B4" s="24" t="inlineStr">
        <is>
          <t>2026-07-24T23:42:09.038123Z</t>
        </is>
      </c>
      <c r="C4" s="24" t="inlineStr">
        <is>
          <t>2026-07-24T20:05:00-0400</t>
        </is>
      </c>
      <c r="D4" s="24" t="inlineStr">
        <is>
          <t>401816248</t>
        </is>
      </c>
      <c r="E4" s="24" t="inlineStr">
        <is>
          <t>MLB</t>
        </is>
      </c>
      <c r="F4" s="24" t="inlineStr">
        <is>
          <t>Seattle Mariners</t>
        </is>
      </c>
      <c r="G4" s="24" t="inlineStr">
        <is>
          <t>Texas Rangers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106</v>
      </c>
      <c r="M4" s="27" t="n">
        <v>2.06</v>
      </c>
      <c r="N4" s="28" t="n">
        <v>0.485437</v>
      </c>
      <c r="O4" s="28" t="n">
        <v>0.588465</v>
      </c>
      <c r="P4" s="28" t="n"/>
      <c r="Q4" s="28" t="n">
        <v>0.103028</v>
      </c>
      <c r="R4" s="26" t="n">
        <v>100</v>
      </c>
      <c r="S4" s="29" t="n">
        <v>1.5</v>
      </c>
      <c r="T4" s="24" t="inlineStr">
        <is>
          <t>mlb-elo-trend-lr-v5</t>
        </is>
      </c>
      <c r="U4" s="24" t="inlineStr">
        <is>
          <t>settled</t>
        </is>
      </c>
      <c r="V4" s="24" t="inlineStr">
        <is>
          <t>win</t>
        </is>
      </c>
      <c r="W4" s="26" t="n">
        <v>4</v>
      </c>
      <c r="X4" s="26" t="n">
        <v>5</v>
      </c>
      <c r="Y4" s="25" t="n"/>
      <c r="Z4" s="26" t="n"/>
      <c r="AA4" s="28" t="n"/>
      <c r="AB4" s="28" t="n"/>
      <c r="AC4" s="30" t="n">
        <v>1.59</v>
      </c>
      <c r="AD4" s="24" t="inlineStr">
        <is>
          <t>2026-07-25T03:59:34.556680Z</t>
        </is>
      </c>
      <c r="AE4" s="31" t="inlineStr">
        <is>
          <t>Learned LR call at threshold 0.5750; executable ask 0.4850 (aec-mlb-sea-tex-2026-07-24).</t>
        </is>
      </c>
      <c r="AF4" s="31" t="inlineStr">
        <is>
          <t>Learned model; promotion gate not yet open; zero-unit research until review.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mlb-sea</t>
        </is>
      </c>
      <c r="AQ4" s="24" t="inlineStr">
        <is>
          <t>Seattle Mariners</t>
        </is>
      </c>
      <c r="AR4" s="24" t="inlineStr">
        <is>
          <t>Seattle Mariners</t>
        </is>
      </c>
      <c r="AS4" s="24" t="inlineStr">
        <is>
          <t>mlb-tex</t>
        </is>
      </c>
      <c r="AT4" s="24" t="inlineStr">
        <is>
          <t>Texas Rangers</t>
        </is>
      </c>
      <c r="AU4" s="24" t="inlineStr">
        <is>
          <t>Texas Rangers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8a12d027cf1d2c206cb369c47da80e014f8ac4dfc414ffee96ae34656c46fef5</t>
        </is>
      </c>
      <c r="BB4" s="24" t="inlineStr">
        <is>
          <t>learned_lr</t>
        </is>
      </c>
      <c r="BC4" s="24" t="inlineStr">
        <is>
          <t>mlb-elo-trend-lr-v5</t>
        </is>
      </c>
      <c r="BD4" s="24" t="inlineStr">
        <is>
          <t>8a12d027cf1d2c206cb369c47da80e014f8ac4dfc414ffee96ae34656c46fef5</t>
        </is>
      </c>
      <c r="BE4" s="24" t="inlineStr">
        <is>
          <t>79eb281d550dd0ce</t>
        </is>
      </c>
      <c r="BF4" s="24" t="inlineStr">
        <is>
          <t>1</t>
        </is>
      </c>
      <c r="BG4" s="24" t="inlineStr">
        <is>
          <t>mlb-elo-trend-lr-v5</t>
        </is>
      </c>
      <c r="BH4" s="24" t="inlineStr">
        <is>
          <t>2026-07-24T23:40:05.731659Z</t>
        </is>
      </c>
      <c r="BI4" s="24" t="inlineStr">
        <is>
          <t>["same_event","same_team_same_day","same_league_same_day"]</t>
        </is>
      </c>
      <c r="BJ4" s="25" t="n"/>
      <c r="BK4" s="26" t="n">
        <v>106</v>
      </c>
      <c r="BL4" s="27" t="n">
        <v>2.06</v>
      </c>
      <c r="BM4" s="28" t="n">
        <v>0.485437</v>
      </c>
      <c r="BN4" s="28" t="n">
        <v>0.482587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>
        <v>1</v>
      </c>
      <c r="BY4" s="27" t="n">
        <v>1.06</v>
      </c>
      <c r="BZ4" s="24" t="inlineStr">
        <is>
          <t>2026-07-25T03:59:34.556680Z</t>
        </is>
      </c>
      <c r="CA4" s="31" t="inlineStr">
        <is>
          <t>fixed one-unit hypothetical scoring; no real exposure or execution</t>
        </is>
      </c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4c13f21a501b45d1</t>
        </is>
      </c>
      <c r="B5" s="24" t="inlineStr">
        <is>
          <t>2026-07-25T19:55:04.400459Z</t>
        </is>
      </c>
      <c r="C5" s="24" t="inlineStr">
        <is>
          <t>2026-07-25T16:05:00-0400</t>
        </is>
      </c>
      <c r="D5" s="24" t="inlineStr">
        <is>
          <t>401816250</t>
        </is>
      </c>
      <c r="E5" s="24" t="inlineStr">
        <is>
          <t>MLB</t>
        </is>
      </c>
      <c r="F5" s="24" t="inlineStr">
        <is>
          <t>Arizona Diamondbacks</t>
        </is>
      </c>
      <c r="G5" s="24" t="inlineStr">
        <is>
          <t>Washington Nationals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-127</v>
      </c>
      <c r="M5" s="27" t="n">
        <v>1.787402</v>
      </c>
      <c r="N5" s="28" t="n">
        <v>0.5594710000000001</v>
      </c>
      <c r="O5" s="28" t="n">
        <v>0.706759</v>
      </c>
      <c r="P5" s="28" t="n"/>
      <c r="Q5" s="28" t="n">
        <v>0.147288</v>
      </c>
      <c r="R5" s="26" t="n">
        <v>100</v>
      </c>
      <c r="S5" s="29" t="n">
        <v>2</v>
      </c>
      <c r="T5" s="24" t="inlineStr">
        <is>
          <t>mlb-elo-trend-lr-v6</t>
        </is>
      </c>
      <c r="U5" s="24" t="inlineStr">
        <is>
          <t>settled</t>
        </is>
      </c>
      <c r="V5" s="24" t="inlineStr">
        <is>
          <t>win</t>
        </is>
      </c>
      <c r="W5" s="26" t="n">
        <v>3</v>
      </c>
      <c r="X5" s="26" t="n">
        <v>5</v>
      </c>
      <c r="Y5" s="25" t="n"/>
      <c r="Z5" s="26" t="n"/>
      <c r="AA5" s="28" t="n"/>
      <c r="AB5" s="28" t="n"/>
      <c r="AC5" s="30" t="n">
        <v>1.5748</v>
      </c>
      <c r="AD5" s="24" t="inlineStr">
        <is>
          <t>2026-07-25T22:58:18.614178Z</t>
        </is>
      </c>
      <c r="AE5" s="31" t="inlineStr">
        <is>
          <t>Learned LR call at threshold 0.5690; executable ask 0.5600 (aec-mlb-az-wsh-2026-07-25).</t>
        </is>
      </c>
      <c r="AF5" s="31" t="inlineStr">
        <is>
          <t>Learned model; promotion gate not yet open; zero-unit research until review.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mlb-ari</t>
        </is>
      </c>
      <c r="AQ5" s="24" t="inlineStr">
        <is>
          <t>Arizona Diamondbacks</t>
        </is>
      </c>
      <c r="AR5" s="24" t="inlineStr">
        <is>
          <t>Arizona Diamondbacks</t>
        </is>
      </c>
      <c r="AS5" s="24" t="inlineStr">
        <is>
          <t>mlb-wsh</t>
        </is>
      </c>
      <c r="AT5" s="24" t="inlineStr">
        <is>
          <t>Washington Nationals</t>
        </is>
      </c>
      <c r="AU5" s="24" t="inlineStr">
        <is>
          <t>Washington Nationals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10a412e78306d1f4d1a66590dd7cd2087ed53520bfa3bb925889a6371153732f</t>
        </is>
      </c>
      <c r="BB5" s="24" t="inlineStr">
        <is>
          <t>learned_lr</t>
        </is>
      </c>
      <c r="BC5" s="24" t="inlineStr">
        <is>
          <t>mlb-elo-trend-lr-v6</t>
        </is>
      </c>
      <c r="BD5" s="24" t="inlineStr">
        <is>
          <t>10a412e78306d1f4d1a66590dd7cd2087ed53520bfa3bb925889a6371153732f</t>
        </is>
      </c>
      <c r="BE5" s="24" t="inlineStr">
        <is>
          <t>2fef0aa37610add0</t>
        </is>
      </c>
      <c r="BF5" s="24" t="inlineStr">
        <is>
          <t>1</t>
        </is>
      </c>
      <c r="BG5" s="24" t="inlineStr">
        <is>
          <t>mlb-elo-trend-lr-v6</t>
        </is>
      </c>
      <c r="BH5" s="24" t="inlineStr">
        <is>
          <t>2026-07-25T19:54:15.806472Z</t>
        </is>
      </c>
      <c r="BI5" s="24" t="inlineStr">
        <is>
          <t>["same_event","same_team_same_day","same_league_same_day"]</t>
        </is>
      </c>
      <c r="BJ5" s="25" t="n"/>
      <c r="BK5" s="26" t="n">
        <v>-127</v>
      </c>
      <c r="BL5" s="27" t="n">
        <v>1.787402</v>
      </c>
      <c r="BM5" s="28" t="n">
        <v>0.5594710000000001</v>
      </c>
      <c r="BN5" s="28" t="n">
        <v>0.557214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>
        <v>1</v>
      </c>
      <c r="BY5" s="27" t="n">
        <v>0.787402</v>
      </c>
      <c r="BZ5" s="24" t="inlineStr">
        <is>
          <t>2026-07-25T22:58:18.614178Z</t>
        </is>
      </c>
      <c r="CA5" s="31" t="inlineStr">
        <is>
          <t>fixed one-unit hypothetical scoring; no real exposure or execution</t>
        </is>
      </c>
      <c r="CB5" s="24" t="n"/>
      <c r="CC5" s="24" t="inlineStr">
        <is>
          <t>0.4832709168</t>
        </is>
      </c>
      <c r="CD5" s="24" t="inlineStr">
        <is>
          <t>-1.557247</t>
        </is>
      </c>
      <c r="CE5" s="24" t="inlineStr">
        <is>
          <t>1.0</t>
        </is>
      </c>
      <c r="CF5" s="24" t="n"/>
      <c r="CG5" s="24" t="n"/>
      <c r="CH5" s="24" t="inlineStr">
        <is>
          <t>-2.38</t>
        </is>
      </c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c2691f5dbee5480d</t>
        </is>
      </c>
      <c r="B6" s="24" t="inlineStr">
        <is>
          <t>2026-07-25T19:55:04.400459Z</t>
        </is>
      </c>
      <c r="C6" s="24" t="inlineStr">
        <is>
          <t>2026-07-25T16:05:00-0400</t>
        </is>
      </c>
      <c r="D6" s="24" t="inlineStr">
        <is>
          <t>401816264</t>
        </is>
      </c>
      <c r="E6" s="24" t="inlineStr">
        <is>
          <t>MLB</t>
        </is>
      </c>
      <c r="F6" s="24" t="inlineStr">
        <is>
          <t>Los Angeles Angels</t>
        </is>
      </c>
      <c r="G6" s="24" t="inlineStr">
        <is>
          <t>San Francisco Giants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-120</v>
      </c>
      <c r="M6" s="27" t="n">
        <v>1.833333</v>
      </c>
      <c r="N6" s="28" t="n">
        <v>0.545455</v>
      </c>
      <c r="O6" s="28" t="n">
        <v>0.707445</v>
      </c>
      <c r="P6" s="28" t="n"/>
      <c r="Q6" s="28" t="n">
        <v>0.16199</v>
      </c>
      <c r="R6" s="26" t="n">
        <v>100</v>
      </c>
      <c r="S6" s="29" t="n">
        <v>2</v>
      </c>
      <c r="T6" s="24" t="inlineStr">
        <is>
          <t>mlb-elo-trend-lr-v6</t>
        </is>
      </c>
      <c r="U6" s="24" t="inlineStr">
        <is>
          <t>settled</t>
        </is>
      </c>
      <c r="V6" s="24" t="inlineStr">
        <is>
          <t>win</t>
        </is>
      </c>
      <c r="W6" s="26" t="n">
        <v>2</v>
      </c>
      <c r="X6" s="26" t="n">
        <v>9</v>
      </c>
      <c r="Y6" s="25" t="n"/>
      <c r="Z6" s="26" t="n"/>
      <c r="AA6" s="28" t="n"/>
      <c r="AB6" s="28" t="n"/>
      <c r="AC6" s="30" t="n">
        <v>1.6667</v>
      </c>
      <c r="AD6" s="24" t="inlineStr">
        <is>
          <t>2026-07-25T22:49:16.202058Z</t>
        </is>
      </c>
      <c r="AE6" s="31" t="inlineStr">
        <is>
          <t>Learned LR call at threshold 0.5690; executable ask 0.5450 (aec-mlb-laa-sf-2026-07-25).</t>
        </is>
      </c>
      <c r="AF6" s="31" t="inlineStr">
        <is>
          <t>Learned model; promotion gate not yet open; zero-unit research until review.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mlb-laa</t>
        </is>
      </c>
      <c r="AQ6" s="24" t="inlineStr">
        <is>
          <t>Los Angeles Angels</t>
        </is>
      </c>
      <c r="AR6" s="24" t="inlineStr">
        <is>
          <t>Los Angeles Angels</t>
        </is>
      </c>
      <c r="AS6" s="24" t="inlineStr">
        <is>
          <t>mlb-sf</t>
        </is>
      </c>
      <c r="AT6" s="24" t="inlineStr">
        <is>
          <t>San Francisco Giants</t>
        </is>
      </c>
      <c r="AU6" s="24" t="inlineStr">
        <is>
          <t>San Francisco Giants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10a412e78306d1f4d1a66590dd7cd2087ed53520bfa3bb925889a6371153732f</t>
        </is>
      </c>
      <c r="BB6" s="24" t="inlineStr">
        <is>
          <t>learned_lr</t>
        </is>
      </c>
      <c r="BC6" s="24" t="inlineStr">
        <is>
          <t>mlb-elo-trend-lr-v6</t>
        </is>
      </c>
      <c r="BD6" s="24" t="inlineStr">
        <is>
          <t>10a412e78306d1f4d1a66590dd7cd2087ed53520bfa3bb925889a6371153732f</t>
        </is>
      </c>
      <c r="BE6" s="24" t="inlineStr">
        <is>
          <t>8863cc8ce5b40a1d</t>
        </is>
      </c>
      <c r="BF6" s="24" t="inlineStr">
        <is>
          <t>1</t>
        </is>
      </c>
      <c r="BG6" s="24" t="inlineStr">
        <is>
          <t>mlb-elo-trend-lr-v6</t>
        </is>
      </c>
      <c r="BH6" s="24" t="inlineStr">
        <is>
          <t>2026-07-25T19:54:17.248754Z</t>
        </is>
      </c>
      <c r="BI6" s="24" t="inlineStr">
        <is>
          <t>["same_event","same_team_same_day","same_league_same_day"]</t>
        </is>
      </c>
      <c r="BJ6" s="25" t="n"/>
      <c r="BK6" s="26" t="n">
        <v>-120</v>
      </c>
      <c r="BL6" s="27" t="n">
        <v>1.833333</v>
      </c>
      <c r="BM6" s="28" t="n">
        <v>0.545455</v>
      </c>
      <c r="BN6" s="28" t="n">
        <v>0.542289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>
        <v>1</v>
      </c>
      <c r="BY6" s="27" t="n">
        <v>0.833333</v>
      </c>
      <c r="BZ6" s="24" t="inlineStr">
        <is>
          <t>2026-07-25T22:49:16.202058Z</t>
        </is>
      </c>
      <c r="CA6" s="31" t="inlineStr">
        <is>
          <t>fixed one-unit hypothetical scoring; no real exposure or execution</t>
        </is>
      </c>
      <c r="CB6" s="24" t="n"/>
      <c r="CC6" s="24" t="inlineStr">
        <is>
          <t>0.5910200645</t>
        </is>
      </c>
      <c r="CD6" s="24" t="inlineStr">
        <is>
          <t>1.053308</t>
        </is>
      </c>
      <c r="CE6" s="24" t="inlineStr">
        <is>
          <t>0.96</t>
        </is>
      </c>
      <c r="CF6" s="24" t="n"/>
      <c r="CG6" s="24" t="n"/>
      <c r="CH6" s="24" t="inlineStr">
        <is>
          <t>-2.77</t>
        </is>
      </c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56c598adf8aa4a1b</t>
        </is>
      </c>
      <c r="B7" s="24" t="inlineStr">
        <is>
          <t>2026-07-25T23:03:17.289348Z</t>
        </is>
      </c>
      <c r="C7" s="24" t="inlineStr">
        <is>
          <t>2026-07-25T19:05:00-0400</t>
        </is>
      </c>
      <c r="D7" s="24" t="inlineStr">
        <is>
          <t>401816251</t>
        </is>
      </c>
      <c r="E7" s="24" t="inlineStr">
        <is>
          <t>MLB</t>
        </is>
      </c>
      <c r="F7" s="24" t="inlineStr">
        <is>
          <t>Atlanta Braves</t>
        </is>
      </c>
      <c r="G7" s="24" t="inlineStr">
        <is>
          <t>Baltimore Orioles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-104</v>
      </c>
      <c r="M7" s="27" t="n">
        <v>1.961538</v>
      </c>
      <c r="N7" s="28" t="n">
        <v>0.509804</v>
      </c>
      <c r="O7" s="28" t="n">
        <v>0.598249</v>
      </c>
      <c r="P7" s="28" t="n"/>
      <c r="Q7" s="28" t="n">
        <v>0.088445</v>
      </c>
      <c r="R7" s="26" t="n">
        <v>94</v>
      </c>
      <c r="S7" s="29" t="n">
        <v>1.5</v>
      </c>
      <c r="T7" s="24" t="inlineStr">
        <is>
          <t>mlb-elo-trend-lr-v6</t>
        </is>
      </c>
      <c r="U7" s="24" t="inlineStr">
        <is>
          <t>settled</t>
        </is>
      </c>
      <c r="V7" s="24" t="inlineStr">
        <is>
          <t>win</t>
        </is>
      </c>
      <c r="W7" s="26" t="n">
        <v>2</v>
      </c>
      <c r="X7" s="26" t="n">
        <v>3</v>
      </c>
      <c r="Y7" s="25" t="n"/>
      <c r="Z7" s="26" t="n"/>
      <c r="AA7" s="28" t="n"/>
      <c r="AB7" s="28" t="n"/>
      <c r="AC7" s="30" t="n">
        <v>1.4423</v>
      </c>
      <c r="AD7" s="24" t="inlineStr">
        <is>
          <t>2026-07-26T03:33:58.626112Z</t>
        </is>
      </c>
      <c r="AE7" s="31" t="inlineStr">
        <is>
          <t>Learned LR call at threshold 0.5690; executable ask 0.5100 (aec-mlb-atl-bal-2026-07-25).</t>
        </is>
      </c>
      <c r="AF7" s="31" t="inlineStr">
        <is>
          <t>Learned model; promotion gate not yet open; zero-unit research until review.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mlb-atl</t>
        </is>
      </c>
      <c r="AQ7" s="24" t="inlineStr">
        <is>
          <t>Atlanta Braves</t>
        </is>
      </c>
      <c r="AR7" s="24" t="inlineStr">
        <is>
          <t>Atlanta Braves</t>
        </is>
      </c>
      <c r="AS7" s="24" t="inlineStr">
        <is>
          <t>mlb-bal</t>
        </is>
      </c>
      <c r="AT7" s="24" t="inlineStr">
        <is>
          <t>Baltimore Orioles</t>
        </is>
      </c>
      <c r="AU7" s="24" t="inlineStr">
        <is>
          <t>Baltimore Orioles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10a412e78306d1f4d1a66590dd7cd2087ed53520bfa3bb925889a6371153732f</t>
        </is>
      </c>
      <c r="BB7" s="24" t="inlineStr">
        <is>
          <t>learned_lr</t>
        </is>
      </c>
      <c r="BC7" s="24" t="inlineStr">
        <is>
          <t>mlb-elo-trend-lr-v6</t>
        </is>
      </c>
      <c r="BD7" s="24" t="inlineStr">
        <is>
          <t>10a412e78306d1f4d1a66590dd7cd2087ed53520bfa3bb925889a6371153732f</t>
        </is>
      </c>
      <c r="BE7" s="24" t="inlineStr">
        <is>
          <t>b0f8897af59f8218</t>
        </is>
      </c>
      <c r="BF7" s="24" t="inlineStr">
        <is>
          <t>1</t>
        </is>
      </c>
      <c r="BG7" s="24" t="inlineStr">
        <is>
          <t>mlb-elo-trend-lr-v6</t>
        </is>
      </c>
      <c r="BH7" s="24" t="inlineStr">
        <is>
          <t>2026-07-25T22:50:07.934208Z</t>
        </is>
      </c>
      <c r="BI7" s="24" t="inlineStr">
        <is>
          <t>["same_event","same_team_same_day","same_league_same_day"]</t>
        </is>
      </c>
      <c r="BJ7" s="25" t="n"/>
      <c r="BK7" s="26" t="n">
        <v>-104</v>
      </c>
      <c r="BL7" s="27" t="n">
        <v>1.961538</v>
      </c>
      <c r="BM7" s="28" t="n">
        <v>0.509804</v>
      </c>
      <c r="BN7" s="28" t="n">
        <v>0.507463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0.961538</v>
      </c>
      <c r="BZ7" s="24" t="inlineStr">
        <is>
          <t>2026-07-26T03:33:58.626112Z</t>
        </is>
      </c>
      <c r="CA7" s="31" t="inlineStr">
        <is>
          <t>fixed one-unit hypothetical scoring; no real exposure or execution</t>
        </is>
      </c>
      <c r="CB7" s="24" t="n"/>
      <c r="CC7" s="24" t="inlineStr">
        <is>
          <t>0.4805983803</t>
        </is>
      </c>
      <c r="CD7" s="24" t="inlineStr">
        <is>
          <t>-1.06997</t>
        </is>
      </c>
      <c r="CE7" s="24" t="inlineStr">
        <is>
          <t>1.01</t>
        </is>
      </c>
      <c r="CF7" s="24" t="n"/>
      <c r="CG7" s="24" t="n"/>
      <c r="CH7" s="24" t="inlineStr">
        <is>
          <t>-0.81</t>
        </is>
      </c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23649489794b49b0</t>
        </is>
      </c>
      <c r="B8" s="24" t="inlineStr">
        <is>
          <t>2026-07-25T23:03:17.289348Z</t>
        </is>
      </c>
      <c r="C8" s="24" t="inlineStr">
        <is>
          <t>2026-07-25T19:10:00-0400</t>
        </is>
      </c>
      <c r="D8" s="24" t="inlineStr">
        <is>
          <t>401816259</t>
        </is>
      </c>
      <c r="E8" s="24" t="inlineStr">
        <is>
          <t>MLB</t>
        </is>
      </c>
      <c r="F8" s="24" t="inlineStr">
        <is>
          <t>Athletics</t>
        </is>
      </c>
      <c r="G8" s="24" t="inlineStr">
        <is>
          <t>Minnesota Twins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-141</v>
      </c>
      <c r="M8" s="27" t="n">
        <v>1.70922</v>
      </c>
      <c r="N8" s="28" t="n">
        <v>0.585062</v>
      </c>
      <c r="O8" s="28" t="n">
        <v>0.655327</v>
      </c>
      <c r="P8" s="28" t="n"/>
      <c r="Q8" s="28" t="n">
        <v>0.07026499999999999</v>
      </c>
      <c r="R8" s="26" t="n">
        <v>85</v>
      </c>
      <c r="S8" s="29" t="n">
        <v>2</v>
      </c>
      <c r="T8" s="24" t="inlineStr">
        <is>
          <t>mlb-elo-trend-lr-v6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2</v>
      </c>
      <c r="Y8" s="25" t="n"/>
      <c r="Z8" s="26" t="n"/>
      <c r="AA8" s="28" t="n"/>
      <c r="AB8" s="28" t="n"/>
      <c r="AC8" s="30" t="n">
        <v>1.4184</v>
      </c>
      <c r="AD8" s="24" t="inlineStr">
        <is>
          <t>2026-07-26T03:33:58.725707Z</t>
        </is>
      </c>
      <c r="AE8" s="31" t="inlineStr">
        <is>
          <t>Learned LR call at threshold 0.5690; executable ask 0.5850 (aec-mlb-ath-min-2026-07-25).</t>
        </is>
      </c>
      <c r="AF8" s="31" t="inlineStr">
        <is>
          <t>Learned model; promotion gate not yet open; zero-unit research until review.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mlb-ath</t>
        </is>
      </c>
      <c r="AQ8" s="24" t="inlineStr">
        <is>
          <t>Athletics</t>
        </is>
      </c>
      <c r="AR8" s="24" t="inlineStr">
        <is>
          <t>Athletics</t>
        </is>
      </c>
      <c r="AS8" s="24" t="inlineStr">
        <is>
          <t>mlb-min</t>
        </is>
      </c>
      <c r="AT8" s="24" t="inlineStr">
        <is>
          <t>Minnesota Twins</t>
        </is>
      </c>
      <c r="AU8" s="24" t="inlineStr">
        <is>
          <t>Minnesota Twins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10a412e78306d1f4d1a66590dd7cd2087ed53520bfa3bb925889a6371153732f</t>
        </is>
      </c>
      <c r="BB8" s="24" t="inlineStr">
        <is>
          <t>learned_lr</t>
        </is>
      </c>
      <c r="BC8" s="24" t="inlineStr">
        <is>
          <t>mlb-elo-trend-lr-v6</t>
        </is>
      </c>
      <c r="BD8" s="24" t="inlineStr">
        <is>
          <t>10a412e78306d1f4d1a66590dd7cd2087ed53520bfa3bb925889a6371153732f</t>
        </is>
      </c>
      <c r="BE8" s="24" t="inlineStr">
        <is>
          <t>8074196c2383cd19</t>
        </is>
      </c>
      <c r="BF8" s="24" t="inlineStr">
        <is>
          <t>1</t>
        </is>
      </c>
      <c r="BG8" s="24" t="inlineStr">
        <is>
          <t>mlb-elo-trend-lr-v6</t>
        </is>
      </c>
      <c r="BH8" s="24" t="inlineStr">
        <is>
          <t>2026-07-25T22:50:11.999483Z</t>
        </is>
      </c>
      <c r="BI8" s="24" t="inlineStr">
        <is>
          <t>["same_event","same_team_same_day","same_league_same_day"]</t>
        </is>
      </c>
      <c r="BJ8" s="25" t="n"/>
      <c r="BK8" s="26" t="n">
        <v>-141</v>
      </c>
      <c r="BL8" s="27" t="n">
        <v>1.70922</v>
      </c>
      <c r="BM8" s="28" t="n">
        <v>0.585062</v>
      </c>
      <c r="BN8" s="28" t="n">
        <v>0.58209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0.70922</v>
      </c>
      <c r="BZ8" s="24" t="inlineStr">
        <is>
          <t>2026-07-26T03:33:58.725707Z</t>
        </is>
      </c>
      <c r="CA8" s="31" t="inlineStr">
        <is>
          <t>fixed one-unit hypothetical scoring; no real exposure or execution</t>
        </is>
      </c>
      <c r="CB8" s="24" t="n"/>
      <c r="CC8" s="24" t="inlineStr">
        <is>
          <t>0.574450019</t>
        </is>
      </c>
      <c r="CD8" s="24" t="inlineStr">
        <is>
          <t>-0.051147</t>
        </is>
      </c>
      <c r="CE8" s="24" t="inlineStr">
        <is>
          <t>1.0</t>
        </is>
      </c>
      <c r="CF8" s="24" t="n"/>
      <c r="CG8" s="24" t="n"/>
      <c r="CH8" s="24" t="inlineStr">
        <is>
          <t>-1.76</t>
        </is>
      </c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fe65cf5ed67147ae</t>
        </is>
      </c>
      <c r="B9" s="24" t="inlineStr">
        <is>
          <t>2026-07-25T23:03:17.289348Z</t>
        </is>
      </c>
      <c r="C9" s="24" t="inlineStr">
        <is>
          <t>2026-07-25T19:10:00-0400</t>
        </is>
      </c>
      <c r="D9" s="24" t="inlineStr">
        <is>
          <t>401816262</t>
        </is>
      </c>
      <c r="E9" s="24" t="inlineStr">
        <is>
          <t>MLB</t>
        </is>
      </c>
      <c r="F9" s="24" t="inlineStr">
        <is>
          <t>Houston Astros</t>
        </is>
      </c>
      <c r="G9" s="24" t="inlineStr">
        <is>
          <t>Chicago White Sox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-117</v>
      </c>
      <c r="M9" s="27" t="n">
        <v>1.854701</v>
      </c>
      <c r="N9" s="28" t="n">
        <v>0.539171</v>
      </c>
      <c r="O9" s="28" t="n">
        <v>0.597365</v>
      </c>
      <c r="P9" s="28" t="n"/>
      <c r="Q9" s="28" t="n">
        <v>0.058194</v>
      </c>
      <c r="R9" s="26" t="n">
        <v>79</v>
      </c>
      <c r="S9" s="29" t="n">
        <v>1.5</v>
      </c>
      <c r="T9" s="24" t="inlineStr">
        <is>
          <t>mlb-elo-trend-lr-v6</t>
        </is>
      </c>
      <c r="U9" s="24" t="inlineStr">
        <is>
          <t>settled</t>
        </is>
      </c>
      <c r="V9" s="24" t="inlineStr">
        <is>
          <t>loss</t>
        </is>
      </c>
      <c r="W9" s="26" t="n">
        <v>4</v>
      </c>
      <c r="X9" s="26" t="n">
        <v>1</v>
      </c>
      <c r="Y9" s="25" t="n"/>
      <c r="Z9" s="26" t="n"/>
      <c r="AA9" s="28" t="n"/>
      <c r="AB9" s="28" t="n"/>
      <c r="AC9" s="30" t="n">
        <v>-1.5</v>
      </c>
      <c r="AD9" s="24" t="inlineStr">
        <is>
          <t>2026-07-26T03:33:58.814878Z</t>
        </is>
      </c>
      <c r="AE9" s="31" t="inlineStr">
        <is>
          <t>Learned LR call at threshold 0.5690; executable ask 0.5400 (aec-mlb-hou-cws-2026-07-25).</t>
        </is>
      </c>
      <c r="AF9" s="31" t="inlineStr">
        <is>
          <t>Learned model; promotion gate not yet open; zero-unit research until review.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mlb-hou</t>
        </is>
      </c>
      <c r="AQ9" s="24" t="inlineStr">
        <is>
          <t>Houston Astros</t>
        </is>
      </c>
      <c r="AR9" s="24" t="inlineStr">
        <is>
          <t>Houston Astros</t>
        </is>
      </c>
      <c r="AS9" s="24" t="inlineStr">
        <is>
          <t>mlb-cws</t>
        </is>
      </c>
      <c r="AT9" s="24" t="inlineStr">
        <is>
          <t>Chicago White Sox</t>
        </is>
      </c>
      <c r="AU9" s="24" t="inlineStr">
        <is>
          <t>Chicago White Sox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10a412e78306d1f4d1a66590dd7cd2087ed53520bfa3bb925889a6371153732f</t>
        </is>
      </c>
      <c r="BB9" s="24" t="inlineStr">
        <is>
          <t>learned_lr</t>
        </is>
      </c>
      <c r="BC9" s="24" t="inlineStr">
        <is>
          <t>mlb-elo-trend-lr-v6</t>
        </is>
      </c>
      <c r="BD9" s="24" t="inlineStr">
        <is>
          <t>10a412e78306d1f4d1a66590dd7cd2087ed53520bfa3bb925889a6371153732f</t>
        </is>
      </c>
      <c r="BE9" s="24" t="inlineStr">
        <is>
          <t>99426d9e271ba40f</t>
        </is>
      </c>
      <c r="BF9" s="24" t="inlineStr">
        <is>
          <t>1</t>
        </is>
      </c>
      <c r="BG9" s="24" t="inlineStr">
        <is>
          <t>mlb-elo-trend-lr-v6</t>
        </is>
      </c>
      <c r="BH9" s="24" t="inlineStr">
        <is>
          <t>2026-07-25T22:50:09.206081Z</t>
        </is>
      </c>
      <c r="BI9" s="24" t="inlineStr">
        <is>
          <t>["same_event","same_team_same_day","same_league_same_day"]</t>
        </is>
      </c>
      <c r="BJ9" s="25" t="n"/>
      <c r="BK9" s="26" t="n">
        <v>-117</v>
      </c>
      <c r="BL9" s="27" t="n">
        <v>1.854701</v>
      </c>
      <c r="BM9" s="28" t="n">
        <v>0.539171</v>
      </c>
      <c r="BN9" s="28" t="n">
        <v>0.537313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inlineStr">
        <is>
          <t>2026-07-26T03:33:58.814878Z</t>
        </is>
      </c>
      <c r="CA9" s="31" t="inlineStr">
        <is>
          <t>fixed one-unit hypothetical scoring; no real exposure or execution</t>
        </is>
      </c>
      <c r="CB9" s="24" t="n"/>
      <c r="CC9" s="24" t="inlineStr">
        <is>
          <t>0.5495737644</t>
        </is>
      </c>
      <c r="CD9" s="24" t="inlineStr">
        <is>
          <t>-0.365446</t>
        </is>
      </c>
      <c r="CE9" s="24" t="inlineStr">
        <is>
          <t>0.99</t>
        </is>
      </c>
      <c r="CF9" s="24" t="n"/>
      <c r="CG9" s="24" t="n"/>
      <c r="CH9" s="24" t="inlineStr">
        <is>
          <t>-0.85</t>
        </is>
      </c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95b5f6c3000b4888</t>
        </is>
      </c>
      <c r="B10" s="24" t="inlineStr">
        <is>
          <t>2026-07-25T23:03:17.289348Z</t>
        </is>
      </c>
      <c r="C10" s="24" t="inlineStr">
        <is>
          <t>2026-07-25T19:15:00-0400</t>
        </is>
      </c>
      <c r="D10" s="24" t="inlineStr">
        <is>
          <t>401816260</t>
        </is>
      </c>
      <c r="E10" s="24" t="inlineStr">
        <is>
          <t>MLB</t>
        </is>
      </c>
      <c r="F10" s="24" t="inlineStr">
        <is>
          <t>Cincinnati Reds</t>
        </is>
      </c>
      <c r="G10" s="24" t="inlineStr">
        <is>
          <t>St. Louis Cardinals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100</v>
      </c>
      <c r="M10" s="27" t="n">
        <v>2</v>
      </c>
      <c r="N10" s="28" t="n">
        <v>0.5</v>
      </c>
      <c r="O10" s="28" t="n">
        <v>0.685245</v>
      </c>
      <c r="P10" s="28" t="n"/>
      <c r="Q10" s="28" t="n">
        <v>0.185245</v>
      </c>
      <c r="R10" s="26" t="n">
        <v>100</v>
      </c>
      <c r="S10" s="29" t="n">
        <v>2</v>
      </c>
      <c r="T10" s="24" t="inlineStr">
        <is>
          <t>mlb-elo-trend-lr-v6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7</v>
      </c>
      <c r="Y10" s="25" t="n"/>
      <c r="Z10" s="26" t="n"/>
      <c r="AA10" s="28" t="n"/>
      <c r="AB10" s="28" t="n"/>
      <c r="AC10" s="30" t="n">
        <v>2</v>
      </c>
      <c r="AD10" s="24" t="inlineStr">
        <is>
          <t>2026-07-26T03:33:58.902620Z</t>
        </is>
      </c>
      <c r="AE10" s="31" t="inlineStr">
        <is>
          <t>Learned LR call at threshold 0.5690; executable ask 0.5000 (aec-mlb-cin-stl-2026-07-25).</t>
        </is>
      </c>
      <c r="AF10" s="31" t="inlineStr">
        <is>
          <t>Learned model; promotion gate not yet open; zero-unit research until review.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mlb-cin</t>
        </is>
      </c>
      <c r="AQ10" s="24" t="inlineStr">
        <is>
          <t>Cincinnati Reds</t>
        </is>
      </c>
      <c r="AR10" s="24" t="inlineStr">
        <is>
          <t>Cincinnati Reds</t>
        </is>
      </c>
      <c r="AS10" s="24" t="inlineStr">
        <is>
          <t>mlb-stl</t>
        </is>
      </c>
      <c r="AT10" s="24" t="inlineStr">
        <is>
          <t>St. Louis Cardinals</t>
        </is>
      </c>
      <c r="AU10" s="24" t="inlineStr">
        <is>
          <t>St. Louis Cardinals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10a412e78306d1f4d1a66590dd7cd2087ed53520bfa3bb925889a6371153732f</t>
        </is>
      </c>
      <c r="BB10" s="24" t="inlineStr">
        <is>
          <t>learned_lr</t>
        </is>
      </c>
      <c r="BC10" s="24" t="inlineStr">
        <is>
          <t>mlb-elo-trend-lr-v6</t>
        </is>
      </c>
      <c r="BD10" s="24" t="inlineStr">
        <is>
          <t>10a412e78306d1f4d1a66590dd7cd2087ed53520bfa3bb925889a6371153732f</t>
        </is>
      </c>
      <c r="BE10" s="24" t="inlineStr">
        <is>
          <t>0fad44f254db7d02</t>
        </is>
      </c>
      <c r="BF10" s="24" t="inlineStr">
        <is>
          <t>1</t>
        </is>
      </c>
      <c r="BG10" s="24" t="inlineStr">
        <is>
          <t>mlb-elo-trend-lr-v6</t>
        </is>
      </c>
      <c r="BH10" s="24" t="inlineStr">
        <is>
          <t>2026-07-25T22:50:14.595978Z</t>
        </is>
      </c>
      <c r="BI10" s="24" t="inlineStr">
        <is>
          <t>["same_event","same_team_same_day","same_league_same_day"]</t>
        </is>
      </c>
      <c r="BJ10" s="25" t="n"/>
      <c r="BK10" s="26" t="n">
        <v>100</v>
      </c>
      <c r="BL10" s="27" t="n">
        <v>2</v>
      </c>
      <c r="BM10" s="28" t="n">
        <v>0.5</v>
      </c>
      <c r="BN10" s="28" t="n">
        <v>0.497512</v>
      </c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>
        <v>1</v>
      </c>
      <c r="BY10" s="27" t="n">
        <v>1</v>
      </c>
      <c r="BZ10" s="24" t="inlineStr">
        <is>
          <t>2026-07-26T03:33:58.902620Z</t>
        </is>
      </c>
      <c r="CA10" s="31" t="inlineStr">
        <is>
          <t>fixed one-unit hypothetical scoring; no real exposure or execution</t>
        </is>
      </c>
      <c r="CB10" s="24" t="n"/>
      <c r="CC10" s="24" t="inlineStr">
        <is>
          <t>0.5554985391</t>
        </is>
      </c>
      <c r="CD10" s="24" t="inlineStr">
        <is>
          <t>-1.066813</t>
        </is>
      </c>
      <c r="CE10" s="24" t="inlineStr">
        <is>
          <t>0.99</t>
        </is>
      </c>
      <c r="CF10" s="24" t="n"/>
      <c r="CG10" s="24" t="n"/>
      <c r="CH10" s="24" t="inlineStr">
        <is>
          <t>-2.04</t>
        </is>
      </c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09f21f0e2f43425d</t>
        </is>
      </c>
      <c r="B11" s="24" t="inlineStr">
        <is>
          <t>2026-07-26T12:46:18.742689Z</t>
        </is>
      </c>
      <c r="C11" s="24" t="inlineStr">
        <is>
          <t>2026-07-26T13:35:00-0400</t>
        </is>
      </c>
      <c r="D11" s="24" t="inlineStr">
        <is>
          <t>401816265</t>
        </is>
      </c>
      <c r="E11" s="24" t="inlineStr">
        <is>
          <t>MLB</t>
        </is>
      </c>
      <c r="F11" s="24" t="inlineStr">
        <is>
          <t>Arizona Diamondbacks</t>
        </is>
      </c>
      <c r="G11" s="24" t="inlineStr">
        <is>
          <t>Washington Nationals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-111</v>
      </c>
      <c r="M11" s="27" t="n">
        <v>1.900901</v>
      </c>
      <c r="N11" s="28" t="n">
        <v>0.526066</v>
      </c>
      <c r="O11" s="28" t="n">
        <v>0.709483</v>
      </c>
      <c r="P11" s="28" t="n"/>
      <c r="Q11" s="28" t="n">
        <v>0.183417</v>
      </c>
      <c r="R11" s="26" t="n">
        <v>100</v>
      </c>
      <c r="S11" s="29" t="n">
        <v>2</v>
      </c>
      <c r="T11" s="24" t="inlineStr">
        <is>
          <t>mlb-elo-trend-lr-v6</t>
        </is>
      </c>
      <c r="U11" s="24" t="inlineStr">
        <is>
          <t>settled</t>
        </is>
      </c>
      <c r="V11" s="24" t="inlineStr">
        <is>
          <t>loss</t>
        </is>
      </c>
      <c r="W11" s="26" t="n">
        <v>7</v>
      </c>
      <c r="X11" s="26" t="n">
        <v>10</v>
      </c>
      <c r="Y11" s="25" t="n"/>
      <c r="Z11" s="26" t="n"/>
      <c r="AA11" s="28" t="n"/>
      <c r="AB11" s="28" t="n"/>
      <c r="AC11" s="30" t="n">
        <v>-2</v>
      </c>
      <c r="AD11" s="24" t="inlineStr">
        <is>
          <t>2026-07-27T01:51:53.046989Z</t>
        </is>
      </c>
      <c r="AE11" s="31" t="inlineStr">
        <is>
          <t>Learned LR call at threshold 0.5690; executable ask 0.5250 (aec-mlb-az-wsh-2026-07-26).</t>
        </is>
      </c>
      <c r="AF11" s="31" t="inlineStr">
        <is>
          <t>Learned model; promotion gate not yet open; zero-unit research until review.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mlb-ari</t>
        </is>
      </c>
      <c r="AQ11" s="24" t="inlineStr">
        <is>
          <t>Arizona Diamondbacks</t>
        </is>
      </c>
      <c r="AR11" s="24" t="inlineStr">
        <is>
          <t>Arizona Diamondbacks</t>
        </is>
      </c>
      <c r="AS11" s="24" t="inlineStr">
        <is>
          <t>mlb-wsh</t>
        </is>
      </c>
      <c r="AT11" s="24" t="inlineStr">
        <is>
          <t>Washington Nationals</t>
        </is>
      </c>
      <c r="AU11" s="24" t="inlineStr">
        <is>
          <t>Washington Nationals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10a412e78306d1f4d1a66590dd7cd2087ed53520bfa3bb925889a6371153732f</t>
        </is>
      </c>
      <c r="BB11" s="24" t="inlineStr">
        <is>
          <t>learned_lr</t>
        </is>
      </c>
      <c r="BC11" s="24" t="inlineStr">
        <is>
          <t>mlb-elo-trend-lr-v6</t>
        </is>
      </c>
      <c r="BD11" s="24" t="inlineStr">
        <is>
          <t>10a412e78306d1f4d1a66590dd7cd2087ed53520bfa3bb925889a6371153732f</t>
        </is>
      </c>
      <c r="BE11" s="24" t="inlineStr">
        <is>
          <t>e06933348ee1d73e</t>
        </is>
      </c>
      <c r="BF11" s="24" t="inlineStr">
        <is>
          <t>1</t>
        </is>
      </c>
      <c r="BG11" s="24" t="inlineStr">
        <is>
          <t>mlb-elo-trend-lr-v6</t>
        </is>
      </c>
      <c r="BH11" s="24" t="inlineStr">
        <is>
          <t>2026-07-26T12:45:26.806731Z</t>
        </is>
      </c>
      <c r="BI11" s="24" t="inlineStr">
        <is>
          <t>["same_event","same_team_same_day","same_league_same_day"]</t>
        </is>
      </c>
      <c r="BJ11" s="25" t="n"/>
      <c r="BK11" s="26" t="n">
        <v>-111</v>
      </c>
      <c r="BL11" s="27" t="n">
        <v>1.900901</v>
      </c>
      <c r="BM11" s="28" t="n">
        <v>0.526066</v>
      </c>
      <c r="BN11" s="28" t="n">
        <v>0.522388</v>
      </c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0.4832709168</t>
        </is>
      </c>
      <c r="CD11" s="24" t="inlineStr">
        <is>
          <t>-1.557247</t>
        </is>
      </c>
      <c r="CE11" s="24" t="inlineStr">
        <is>
          <t>1.0</t>
        </is>
      </c>
      <c r="CF11" s="24" t="n"/>
      <c r="CG11" s="24" t="n"/>
      <c r="CH11" s="24" t="inlineStr">
        <is>
          <t>3.8</t>
        </is>
      </c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96825526ab024493</t>
        </is>
      </c>
      <c r="B12" s="24" t="inlineStr">
        <is>
          <t>2026-07-26T12:46:18.742689Z</t>
        </is>
      </c>
      <c r="C12" s="24" t="inlineStr">
        <is>
          <t>2026-07-26T13:35:00-0400</t>
        </is>
      </c>
      <c r="D12" s="24" t="inlineStr">
        <is>
          <t>401816267</t>
        </is>
      </c>
      <c r="E12" s="24" t="inlineStr">
        <is>
          <t>MLB</t>
        </is>
      </c>
      <c r="F12" s="24" t="inlineStr">
        <is>
          <t>Chicago Cubs</t>
        </is>
      </c>
      <c r="G12" s="24" t="inlineStr">
        <is>
          <t>Pittsburgh Pirates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-120</v>
      </c>
      <c r="M12" s="27" t="n">
        <v>1.833333</v>
      </c>
      <c r="N12" s="28" t="n">
        <v>0.545455</v>
      </c>
      <c r="O12" s="28" t="n">
        <v>0.631521</v>
      </c>
      <c r="P12" s="28" t="n"/>
      <c r="Q12" s="28" t="n">
        <v>0.086066</v>
      </c>
      <c r="R12" s="26" t="n">
        <v>65</v>
      </c>
      <c r="S12" s="29" t="n">
        <v>1.75</v>
      </c>
      <c r="T12" s="24" t="inlineStr">
        <is>
          <t>mlb-elo-trend-lr-v6</t>
        </is>
      </c>
      <c r="U12" s="24" t="inlineStr">
        <is>
          <t>settled</t>
        </is>
      </c>
      <c r="V12" s="24" t="inlineStr">
        <is>
          <t>win</t>
        </is>
      </c>
      <c r="W12" s="26" t="n">
        <v>7</v>
      </c>
      <c r="X12" s="26" t="n">
        <v>8</v>
      </c>
      <c r="Y12" s="25" t="n"/>
      <c r="Z12" s="26" t="n"/>
      <c r="AA12" s="28" t="n"/>
      <c r="AB12" s="28" t="n"/>
      <c r="AC12" s="30" t="n">
        <v>1.4583</v>
      </c>
      <c r="AD12" s="24" t="inlineStr">
        <is>
          <t>2026-07-27T01:51:53.255117Z</t>
        </is>
      </c>
      <c r="AE12" s="31" t="inlineStr">
        <is>
          <t>Learned LR call at threshold 0.5690; executable ask 0.5450 (aec-mlb-chc-pit-2026-07-26).</t>
        </is>
      </c>
      <c r="AF12" s="31" t="inlineStr">
        <is>
          <t>Learned model; promotion gate not yet open; zero-unit research until review.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mlb-chc</t>
        </is>
      </c>
      <c r="AQ12" s="24" t="inlineStr">
        <is>
          <t>Chicago Cubs</t>
        </is>
      </c>
      <c r="AR12" s="24" t="inlineStr">
        <is>
          <t>Chicago Cubs</t>
        </is>
      </c>
      <c r="AS12" s="24" t="inlineStr">
        <is>
          <t>mlb-pit</t>
        </is>
      </c>
      <c r="AT12" s="24" t="inlineStr">
        <is>
          <t>Pittsburgh Pirates</t>
        </is>
      </c>
      <c r="AU12" s="24" t="inlineStr">
        <is>
          <t>Pittsburgh Pirates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10a412e78306d1f4d1a66590dd7cd2087ed53520bfa3bb925889a6371153732f</t>
        </is>
      </c>
      <c r="BB12" s="24" t="inlineStr">
        <is>
          <t>learned_lr</t>
        </is>
      </c>
      <c r="BC12" s="24" t="inlineStr">
        <is>
          <t>mlb-elo-trend-lr-v6</t>
        </is>
      </c>
      <c r="BD12" s="24" t="inlineStr">
        <is>
          <t>10a412e78306d1f4d1a66590dd7cd2087ed53520bfa3bb925889a6371153732f</t>
        </is>
      </c>
      <c r="BE12" s="24" t="inlineStr">
        <is>
          <t>db34c66819f2c034</t>
        </is>
      </c>
      <c r="BF12" s="24" t="inlineStr">
        <is>
          <t>1</t>
        </is>
      </c>
      <c r="BG12" s="24" t="inlineStr">
        <is>
          <t>mlb-elo-trend-lr-v6</t>
        </is>
      </c>
      <c r="BH12" s="24" t="inlineStr">
        <is>
          <t>2026-07-26T12:45:25.302203Z</t>
        </is>
      </c>
      <c r="BI12" s="24" t="inlineStr">
        <is>
          <t>["same_event","same_team_same_day","same_league_same_day"]</t>
        </is>
      </c>
      <c r="BJ12" s="25" t="n"/>
      <c r="BK12" s="26" t="n">
        <v>-120</v>
      </c>
      <c r="BL12" s="27" t="n">
        <v>1.833333</v>
      </c>
      <c r="BM12" s="28" t="n">
        <v>0.545455</v>
      </c>
      <c r="BN12" s="28" t="n">
        <v>0.542289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0.4912443015</t>
        </is>
      </c>
      <c r="CD12" s="24" t="inlineStr">
        <is>
          <t>-0.326562</t>
        </is>
      </c>
      <c r="CE12" s="24" t="inlineStr">
        <is>
          <t>1.0</t>
        </is>
      </c>
      <c r="CF12" s="24" t="n"/>
      <c r="CG12" s="24" t="n"/>
      <c r="CH12" s="24" t="inlineStr">
        <is>
          <t>-1.43</t>
        </is>
      </c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e7de44e105944e4c</t>
        </is>
      </c>
      <c r="B13" s="24" t="inlineStr">
        <is>
          <t>2026-07-26T17:54:11.903794Z</t>
        </is>
      </c>
      <c r="C13" s="24" t="inlineStr">
        <is>
          <t>2026-07-26T14:10:00-0400</t>
        </is>
      </c>
      <c r="D13" s="24" t="inlineStr">
        <is>
          <t>401816276</t>
        </is>
      </c>
      <c r="E13" s="24" t="inlineStr">
        <is>
          <t>MLB</t>
        </is>
      </c>
      <c r="F13" s="24" t="inlineStr">
        <is>
          <t>Colorado Rockies</t>
        </is>
      </c>
      <c r="G13" s="24" t="inlineStr">
        <is>
          <t>Milwaukee Brewers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-317</v>
      </c>
      <c r="M13" s="27" t="n">
        <v>1.315457</v>
      </c>
      <c r="N13" s="28" t="n">
        <v>0.760192</v>
      </c>
      <c r="O13" s="28" t="n">
        <v>0.860663</v>
      </c>
      <c r="P13" s="28" t="n"/>
      <c r="Q13" s="28" t="n">
        <v>0.100471</v>
      </c>
      <c r="R13" s="26" t="n">
        <v>72</v>
      </c>
      <c r="S13" s="29" t="n">
        <v>2</v>
      </c>
      <c r="T13" s="24" t="inlineStr">
        <is>
          <t>mlb-elo-trend-lr-v6</t>
        </is>
      </c>
      <c r="U13" s="24" t="inlineStr">
        <is>
          <t>settled</t>
        </is>
      </c>
      <c r="V13" s="24" t="inlineStr">
        <is>
          <t>win</t>
        </is>
      </c>
      <c r="W13" s="26" t="n">
        <v>2</v>
      </c>
      <c r="X13" s="26" t="n">
        <v>11</v>
      </c>
      <c r="Y13" s="25" t="n"/>
      <c r="Z13" s="26" t="n"/>
      <c r="AA13" s="28" t="n"/>
      <c r="AB13" s="28" t="n"/>
      <c r="AC13" s="30" t="n">
        <v>0.6309</v>
      </c>
      <c r="AD13" s="24" t="inlineStr">
        <is>
          <t>2026-07-27T01:51:53.681417Z</t>
        </is>
      </c>
      <c r="AE13" s="31" t="inlineStr">
        <is>
          <t>Learned LR call at threshold 0.5690; executable ask 0.7600 (aec-mlb-col-mil-2026-07-26).</t>
        </is>
      </c>
      <c r="AF13" s="31" t="inlineStr">
        <is>
          <t>Learned model; promotion gate not yet open; zero-unit research until review.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mlb-col</t>
        </is>
      </c>
      <c r="AQ13" s="24" t="inlineStr">
        <is>
          <t>Colorado Rockies</t>
        </is>
      </c>
      <c r="AR13" s="24" t="inlineStr">
        <is>
          <t>Colorado Rockies</t>
        </is>
      </c>
      <c r="AS13" s="24" t="inlineStr">
        <is>
          <t>mlb-mil</t>
        </is>
      </c>
      <c r="AT13" s="24" t="inlineStr">
        <is>
          <t>Milwaukee Brewers</t>
        </is>
      </c>
      <c r="AU13" s="24" t="inlineStr">
        <is>
          <t>Milwaukee Brewers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10a412e78306d1f4d1a66590dd7cd2087ed53520bfa3bb925889a6371153732f</t>
        </is>
      </c>
      <c r="BB13" s="24" t="inlineStr">
        <is>
          <t>learned_lr</t>
        </is>
      </c>
      <c r="BC13" s="24" t="inlineStr">
        <is>
          <t>mlb-elo-trend-lr-v6</t>
        </is>
      </c>
      <c r="BD13" s="24" t="inlineStr">
        <is>
          <t>10a412e78306d1f4d1a66590dd7cd2087ed53520bfa3bb925889a6371153732f</t>
        </is>
      </c>
      <c r="BE13" s="24" t="inlineStr">
        <is>
          <t>b16669b146172d5b</t>
        </is>
      </c>
      <c r="BF13" s="24" t="inlineStr">
        <is>
          <t>1</t>
        </is>
      </c>
      <c r="BG13" s="24" t="inlineStr">
        <is>
          <t>mlb-elo-trend-lr-v6</t>
        </is>
      </c>
      <c r="BH13" s="24" t="inlineStr">
        <is>
          <t>2026-07-26T17:53:52.064462Z</t>
        </is>
      </c>
      <c r="BI13" s="24" t="inlineStr">
        <is>
          <t>["same_event","same_team_same_day","same_league_same_day"]</t>
        </is>
      </c>
      <c r="BJ13" s="25" t="n"/>
      <c r="BK13" s="26" t="n">
        <v>-317</v>
      </c>
      <c r="BL13" s="27" t="n">
        <v>1.315457</v>
      </c>
      <c r="BM13" s="28" t="n">
        <v>0.760192</v>
      </c>
      <c r="BN13" s="28" t="n">
        <v>0.756219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0.7661240932</t>
        </is>
      </c>
      <c r="CD13" s="24" t="inlineStr">
        <is>
          <t>0.243505</t>
        </is>
      </c>
      <c r="CE13" s="24" t="inlineStr">
        <is>
          <t>0.98</t>
        </is>
      </c>
      <c r="CF13" s="24" t="n"/>
      <c r="CG13" s="24" t="n"/>
      <c r="CH13" s="24" t="inlineStr">
        <is>
          <t>-5.71</t>
        </is>
      </c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d8e84126b25a4ee1</t>
        </is>
      </c>
      <c r="B14" s="24" t="inlineStr">
        <is>
          <t>2026-07-26T17:54:11.903794Z</t>
        </is>
      </c>
      <c r="C14" s="24" t="inlineStr">
        <is>
          <t>2026-07-26T14:10:00-0400</t>
        </is>
      </c>
      <c r="D14" s="24" t="inlineStr">
        <is>
          <t>401816277</t>
        </is>
      </c>
      <c r="E14" s="24" t="inlineStr">
        <is>
          <t>MLB</t>
        </is>
      </c>
      <c r="F14" s="24" t="inlineStr">
        <is>
          <t>Houston Astros</t>
        </is>
      </c>
      <c r="G14" s="24" t="inlineStr">
        <is>
          <t>Chicago White Sox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-108</v>
      </c>
      <c r="M14" s="27" t="n">
        <v>1.925926</v>
      </c>
      <c r="N14" s="28" t="n">
        <v>0.519231</v>
      </c>
      <c r="O14" s="28" t="n">
        <v>0.76295</v>
      </c>
      <c r="P14" s="28" t="n"/>
      <c r="Q14" s="28" t="n">
        <v>0.243719</v>
      </c>
      <c r="R14" s="26" t="n">
        <v>100</v>
      </c>
      <c r="S14" s="29" t="n">
        <v>2</v>
      </c>
      <c r="T14" s="24" t="inlineStr">
        <is>
          <t>mlb-elo-trend-lr-v6</t>
        </is>
      </c>
      <c r="U14" s="24" t="inlineStr">
        <is>
          <t>settled</t>
        </is>
      </c>
      <c r="V14" s="24" t="inlineStr">
        <is>
          <t>win</t>
        </is>
      </c>
      <c r="W14" s="26" t="n">
        <v>3</v>
      </c>
      <c r="X14" s="26" t="n">
        <v>12</v>
      </c>
      <c r="Y14" s="25" t="n"/>
      <c r="Z14" s="26" t="n"/>
      <c r="AA14" s="28" t="n"/>
      <c r="AB14" s="28" t="n"/>
      <c r="AC14" s="30" t="n">
        <v>1.8519</v>
      </c>
      <c r="AD14" s="24" t="inlineStr">
        <is>
          <t>2026-07-27T01:51:53.884478Z</t>
        </is>
      </c>
      <c r="AE14" s="31" t="inlineStr">
        <is>
          <t>Learned LR call at threshold 0.5690; executable ask 0.5200 (aec-mlb-hou-cws-2026-07-26).</t>
        </is>
      </c>
      <c r="AF14" s="31" t="inlineStr">
        <is>
          <t>Learned model; promotion gate not yet open; zero-unit research until review.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mlb-hou</t>
        </is>
      </c>
      <c r="AQ14" s="24" t="inlineStr">
        <is>
          <t>Houston Astros</t>
        </is>
      </c>
      <c r="AR14" s="24" t="inlineStr">
        <is>
          <t>Houston Astros</t>
        </is>
      </c>
      <c r="AS14" s="24" t="inlineStr">
        <is>
          <t>mlb-cws</t>
        </is>
      </c>
      <c r="AT14" s="24" t="inlineStr">
        <is>
          <t>Chicago White Sox</t>
        </is>
      </c>
      <c r="AU14" s="24" t="inlineStr">
        <is>
          <t>Chicago White Sox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10a412e78306d1f4d1a66590dd7cd2087ed53520bfa3bb925889a6371153732f</t>
        </is>
      </c>
      <c r="BB14" s="24" t="inlineStr">
        <is>
          <t>learned_lr</t>
        </is>
      </c>
      <c r="BC14" s="24" t="inlineStr">
        <is>
          <t>mlb-elo-trend-lr-v6</t>
        </is>
      </c>
      <c r="BD14" s="24" t="inlineStr">
        <is>
          <t>10a412e78306d1f4d1a66590dd7cd2087ed53520bfa3bb925889a6371153732f</t>
        </is>
      </c>
      <c r="BE14" s="24" t="inlineStr">
        <is>
          <t>def27f316aaee3f3</t>
        </is>
      </c>
      <c r="BF14" s="24" t="inlineStr">
        <is>
          <t>1</t>
        </is>
      </c>
      <c r="BG14" s="24" t="inlineStr">
        <is>
          <t>mlb-elo-trend-lr-v6</t>
        </is>
      </c>
      <c r="BH14" s="24" t="inlineStr">
        <is>
          <t>2026-07-26T17:53:52.943898Z</t>
        </is>
      </c>
      <c r="BI14" s="24" t="inlineStr">
        <is>
          <t>["same_event","same_team_same_day","same_league_same_day"]</t>
        </is>
      </c>
      <c r="BJ14" s="25" t="n"/>
      <c r="BK14" s="26" t="n">
        <v>-108</v>
      </c>
      <c r="BL14" s="27" t="n">
        <v>1.925926</v>
      </c>
      <c r="BM14" s="28" t="n">
        <v>0.519231</v>
      </c>
      <c r="BN14" s="28" t="n">
        <v>0.517413</v>
      </c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0.5495737644</t>
        </is>
      </c>
      <c r="CD14" s="24" t="inlineStr">
        <is>
          <t>-0.365446</t>
        </is>
      </c>
      <c r="CE14" s="24" t="inlineStr">
        <is>
          <t>0.99</t>
        </is>
      </c>
      <c r="CF14" s="24" t="n"/>
      <c r="CG14" s="24" t="n"/>
      <c r="CH14" s="24" t="inlineStr">
        <is>
          <t>-3.55</t>
        </is>
      </c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320f0723c3804b39</t>
        </is>
      </c>
      <c r="B15" s="24" t="inlineStr">
        <is>
          <t>2026-07-27T17:34:41.743446Z</t>
        </is>
      </c>
      <c r="C15" s="24" t="inlineStr">
        <is>
          <t>2026-07-27T14:35:00-0400</t>
        </is>
      </c>
      <c r="D15" s="24" t="inlineStr">
        <is>
          <t>401816288</t>
        </is>
      </c>
      <c r="E15" s="24" t="inlineStr">
        <is>
          <t>MLB</t>
        </is>
      </c>
      <c r="F15" s="24" t="inlineStr">
        <is>
          <t>Seattle Mariners</t>
        </is>
      </c>
      <c r="G15" s="24" t="inlineStr">
        <is>
          <t>Texas Rangers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-122</v>
      </c>
      <c r="M15" s="27" t="n">
        <v>1.819672</v>
      </c>
      <c r="N15" s="28" t="n">
        <v>0.54955</v>
      </c>
      <c r="O15" s="28" t="n">
        <v>0.507599</v>
      </c>
      <c r="P15" s="28" t="n"/>
      <c r="Q15" s="28" t="n">
        <v>-0.041951</v>
      </c>
      <c r="R15" s="26" t="n">
        <v>0</v>
      </c>
      <c r="S15" s="29" t="n">
        <v>0.5</v>
      </c>
      <c r="T15" s="24" t="inlineStr">
        <is>
          <t>mlb-elo-trend-lr-v6</t>
        </is>
      </c>
      <c r="U15" s="24" t="inlineStr">
        <is>
          <t>settled</t>
        </is>
      </c>
      <c r="V15" s="24" t="inlineStr">
        <is>
          <t>loss</t>
        </is>
      </c>
      <c r="W15" s="26" t="n">
        <v>3</v>
      </c>
      <c r="X15" s="26" t="n">
        <v>7</v>
      </c>
      <c r="Y15" s="25" t="n"/>
      <c r="Z15" s="26" t="n">
        <v>-122</v>
      </c>
      <c r="AA15" s="28" t="n">
        <v>0.55</v>
      </c>
      <c r="AB15" s="28" t="n">
        <v>0.00045</v>
      </c>
      <c r="AC15" s="30" t="n">
        <v>-0.5</v>
      </c>
      <c r="AD15" s="24" t="inlineStr">
        <is>
          <t>2026-07-27T22:51:46.446979Z</t>
        </is>
      </c>
      <c r="AE15" s="31" t="inlineStr">
        <is>
          <t>Learned LR call at threshold 0.5690; executable ask 0.5500 (aec-mlb-sea-tex-2026-07-27).</t>
        </is>
      </c>
      <c r="AF15" s="31" t="inlineStr">
        <is>
          <t>Learned model; promotion gate not yet open; zero-unit research until review.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mlb-sea</t>
        </is>
      </c>
      <c r="AQ15" s="24" t="inlineStr">
        <is>
          <t>Seattle Mariners</t>
        </is>
      </c>
      <c r="AR15" s="24" t="inlineStr">
        <is>
          <t>Seattle Mariners</t>
        </is>
      </c>
      <c r="AS15" s="24" t="inlineStr">
        <is>
          <t>mlb-tex</t>
        </is>
      </c>
      <c r="AT15" s="24" t="inlineStr">
        <is>
          <t>Texas Rangers</t>
        </is>
      </c>
      <c r="AU15" s="24" t="inlineStr">
        <is>
          <t>Texas Rangers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10a412e78306d1f4d1a66590dd7cd2087ed53520bfa3bb925889a6371153732f</t>
        </is>
      </c>
      <c r="BB15" s="24" t="inlineStr">
        <is>
          <t>learned_lr</t>
        </is>
      </c>
      <c r="BC15" s="24" t="inlineStr">
        <is>
          <t>mlb-elo-trend-lr-v6</t>
        </is>
      </c>
      <c r="BD15" s="24" t="inlineStr">
        <is>
          <t>10a412e78306d1f4d1a66590dd7cd2087ed53520bfa3bb925889a6371153732f</t>
        </is>
      </c>
      <c r="BE15" s="24" t="inlineStr">
        <is>
          <t>a37c4a50fb01129a</t>
        </is>
      </c>
      <c r="BF15" s="24" t="inlineStr">
        <is>
          <t>1</t>
        </is>
      </c>
      <c r="BG15" s="24" t="inlineStr">
        <is>
          <t>mlb-elo-trend-lr-v6</t>
        </is>
      </c>
      <c r="BH15" s="24" t="inlineStr">
        <is>
          <t>2026-07-27T17:33:59.725337Z</t>
        </is>
      </c>
      <c r="BI15" s="24" t="inlineStr">
        <is>
          <t>["same_event","same_team_same_day","same_league_same_day"]</t>
        </is>
      </c>
      <c r="BJ15" s="25" t="n"/>
      <c r="BK15" s="26" t="n">
        <v>-122</v>
      </c>
      <c r="BL15" s="27" t="n">
        <v>1.819672</v>
      </c>
      <c r="BM15" s="28" t="n">
        <v>0.54955</v>
      </c>
      <c r="BN15" s="28" t="n">
        <v>0.547264</v>
      </c>
      <c r="BO15" s="28" t="n"/>
      <c r="BP15" s="25" t="n"/>
      <c r="BQ15" s="27" t="n">
        <v>1.819672</v>
      </c>
      <c r="BR15" s="28" t="n">
        <v>0.55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0.492334675</t>
        </is>
      </c>
      <c r="CD15" s="24" t="inlineStr">
        <is>
          <t>-0.43076</t>
        </is>
      </c>
      <c r="CE15" s="24" t="inlineStr">
        <is>
          <t>1.02</t>
        </is>
      </c>
      <c r="CF15" s="24" t="n"/>
      <c r="CG15" s="24" t="n"/>
      <c r="CH15" s="24" t="inlineStr">
        <is>
          <t>0.56</t>
        </is>
      </c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6dfcdc727794465c</t>
        </is>
      </c>
      <c r="B16" s="24" t="inlineStr">
        <is>
          <t>2026-07-27T22:44:59Z</t>
        </is>
      </c>
      <c r="C16" s="24" t="inlineStr">
        <is>
          <t>2026-07-27T18:45:00-0400</t>
        </is>
      </c>
      <c r="D16" s="24" t="inlineStr">
        <is>
          <t>401816285</t>
        </is>
      </c>
      <c r="E16" s="24" t="inlineStr">
        <is>
          <t>MLB</t>
        </is>
      </c>
      <c r="F16" s="24" t="inlineStr">
        <is>
          <t>Toronto Blue Jays</t>
        </is>
      </c>
      <c r="G16" s="24" t="inlineStr">
        <is>
          <t>Washington Nationals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-115</v>
      </c>
      <c r="M16" s="27" t="n">
        <v>1.869565</v>
      </c>
      <c r="N16" s="28" t="n">
        <v>0.534884</v>
      </c>
      <c r="O16" s="28" t="n">
        <v>0.893765</v>
      </c>
      <c r="P16" s="28" t="n"/>
      <c r="Q16" s="28" t="n">
        <v>0.358881</v>
      </c>
      <c r="R16" s="26" t="n">
        <v>100</v>
      </c>
      <c r="S16" s="29" t="n">
        <v>2</v>
      </c>
      <c r="T16" s="24" t="inlineStr">
        <is>
          <t>mlb-elo-trend-lr-v6</t>
        </is>
      </c>
      <c r="U16" s="24" t="inlineStr">
        <is>
          <t>settled</t>
        </is>
      </c>
      <c r="V16" s="24" t="inlineStr">
        <is>
          <t>loss</t>
        </is>
      </c>
      <c r="W16" s="26" t="n">
        <v>3</v>
      </c>
      <c r="X16" s="26" t="n">
        <v>2</v>
      </c>
      <c r="Y16" s="25" t="n"/>
      <c r="Z16" s="26" t="n">
        <v>-115</v>
      </c>
      <c r="AA16" s="28" t="n">
        <v>0.535</v>
      </c>
      <c r="AB16" s="28" t="n">
        <v>0.000116</v>
      </c>
      <c r="AC16" s="30" t="n">
        <v>-2</v>
      </c>
      <c r="AD16" s="24" t="inlineStr">
        <is>
          <t>2026-07-28T16:01:57.155520Z</t>
        </is>
      </c>
      <c r="AE16" s="31" t="inlineStr">
        <is>
          <t>Learned LR call at threshold 0.5690; executable ask 0.5350 (aec-mlb-tor-wsh-2026-07-27).</t>
        </is>
      </c>
      <c r="AF16" s="31" t="inlineStr">
        <is>
          <t>Learned model; shadow-qualified via operator override.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mlb-tor</t>
        </is>
      </c>
      <c r="AQ16" s="24" t="inlineStr">
        <is>
          <t>Toronto Blue Jays</t>
        </is>
      </c>
      <c r="AR16" s="24" t="inlineStr">
        <is>
          <t>Toronto Blue Jays</t>
        </is>
      </c>
      <c r="AS16" s="24" t="inlineStr">
        <is>
          <t>mlb-wsh</t>
        </is>
      </c>
      <c r="AT16" s="24" t="inlineStr">
        <is>
          <t>Washington Nationals</t>
        </is>
      </c>
      <c r="AU16" s="24" t="inlineStr">
        <is>
          <t>Washington Nationals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0633355b1144e4205ca6d08e3f328d99cab0970358846bd77228f3bcbfcd70ee</t>
        </is>
      </c>
      <c r="BB16" s="24" t="inlineStr">
        <is>
          <t>learned_lr</t>
        </is>
      </c>
      <c r="BC16" s="24" t="inlineStr">
        <is>
          <t>mlb-elo-trend-lr-v6</t>
        </is>
      </c>
      <c r="BD16" s="24" t="inlineStr">
        <is>
          <t>0633355b1144e4205ca6d08e3f328d99cab0970358846bd77228f3bcbfcd70ee</t>
        </is>
      </c>
      <c r="BE16" s="24" t="inlineStr">
        <is>
          <t>c6e1a409809dfa96</t>
        </is>
      </c>
      <c r="BF16" s="24" t="inlineStr">
        <is>
          <t>1</t>
        </is>
      </c>
      <c r="BG16" s="24" t="inlineStr">
        <is>
          <t>mlb-elo-trend-lr-v6</t>
        </is>
      </c>
      <c r="BH16" s="24" t="inlineStr">
        <is>
          <t>2026-07-27T19:48:06.913287Z</t>
        </is>
      </c>
      <c r="BI16" s="24" t="inlineStr">
        <is>
          <t>["same_event","same_team_same_day","same_league_same_day"]</t>
        </is>
      </c>
      <c r="BJ16" s="25" t="n"/>
      <c r="BK16" s="26" t="n">
        <v>-115</v>
      </c>
      <c r="BL16" s="27" t="n">
        <v>1.869565</v>
      </c>
      <c r="BM16" s="28" t="n">
        <v>0.534884</v>
      </c>
      <c r="BN16" s="28" t="n">
        <v>0.532338</v>
      </c>
      <c r="BO16" s="28" t="n"/>
      <c r="BP16" s="25" t="n"/>
      <c r="BQ16" s="27" t="n">
        <v>1.869565</v>
      </c>
      <c r="BR16" s="28" t="n">
        <v>0.535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0.5019196627</t>
        </is>
      </c>
      <c r="CD16" s="24" t="inlineStr">
        <is>
          <t>0.540593</t>
        </is>
      </c>
      <c r="CE16" s="24" t="inlineStr">
        <is>
          <t>1.0</t>
        </is>
      </c>
      <c r="CF16" s="24" t="n"/>
      <c r="CG16" s="24" t="n"/>
      <c r="CH16" s="24" t="inlineStr">
        <is>
          <t>-7.14</t>
        </is>
      </c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c75567c357844fb8</t>
        </is>
      </c>
      <c r="B17" s="24" t="inlineStr">
        <is>
          <t>2026-07-27T22:59:59Z</t>
        </is>
      </c>
      <c r="C17" s="24" t="inlineStr">
        <is>
          <t>2026-07-27T19:00:00-0400</t>
        </is>
      </c>
      <c r="D17" s="24" t="inlineStr">
        <is>
          <t>401816283</t>
        </is>
      </c>
      <c r="E17" s="24" t="inlineStr">
        <is>
          <t>MLB</t>
        </is>
      </c>
      <c r="F17" s="24" t="inlineStr">
        <is>
          <t>Cleveland Guardians</t>
        </is>
      </c>
      <c r="G17" s="24" t="inlineStr">
        <is>
          <t>Cincinnati Reds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-147</v>
      </c>
      <c r="M17" s="27" t="n">
        <v>1.680272</v>
      </c>
      <c r="N17" s="28" t="n">
        <v>0.5951419999999999</v>
      </c>
      <c r="O17" s="28" t="n">
        <v>0.684329</v>
      </c>
      <c r="P17" s="28" t="n"/>
      <c r="Q17" s="28" t="n">
        <v>0.089187</v>
      </c>
      <c r="R17" s="26" t="n">
        <v>66</v>
      </c>
      <c r="S17" s="29" t="n">
        <v>2</v>
      </c>
      <c r="T17" s="24" t="inlineStr">
        <is>
          <t>mlb-elo-trend-lr-v6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2</v>
      </c>
      <c r="Y17" s="25" t="n"/>
      <c r="Z17" s="26" t="n"/>
      <c r="AA17" s="28" t="n"/>
      <c r="AB17" s="28" t="n"/>
      <c r="AC17" s="30" t="n">
        <v>1.3605</v>
      </c>
      <c r="AD17" s="24" t="inlineStr">
        <is>
          <t>2026-07-29T05:32:37.412289Z</t>
        </is>
      </c>
      <c r="AE17" s="31" t="inlineStr">
        <is>
          <t>Learned LR call at threshold 0.5690; executable ask 0.5950 (aec-mlb-cle-cin-2026-07-27).</t>
        </is>
      </c>
      <c r="AF17" s="31" t="inlineStr">
        <is>
          <t>Learned model; shadow-qualified via operator override.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mlb-cle</t>
        </is>
      </c>
      <c r="AQ17" s="24" t="inlineStr">
        <is>
          <t>Cleveland Guardians</t>
        </is>
      </c>
      <c r="AR17" s="24" t="inlineStr">
        <is>
          <t>Cleveland Guardians</t>
        </is>
      </c>
      <c r="AS17" s="24" t="inlineStr">
        <is>
          <t>mlb-cin</t>
        </is>
      </c>
      <c r="AT17" s="24" t="inlineStr">
        <is>
          <t>Cincinnati Reds</t>
        </is>
      </c>
      <c r="AU17" s="24" t="inlineStr">
        <is>
          <t>Cincinnati Reds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0633355b1144e4205ca6d08e3f328d99cab0970358846bd77228f3bcbfcd70ee</t>
        </is>
      </c>
      <c r="BB17" s="24" t="inlineStr">
        <is>
          <t>learned_lr</t>
        </is>
      </c>
      <c r="BC17" s="24" t="inlineStr">
        <is>
          <t>mlb-elo-trend-lr-v6</t>
        </is>
      </c>
      <c r="BD17" s="24" t="inlineStr">
        <is>
          <t>0633355b1144e4205ca6d08e3f328d99cab0970358846bd77228f3bcbfcd70ee</t>
        </is>
      </c>
      <c r="BE17" s="24" t="inlineStr">
        <is>
          <t>bd6f2b0e9ab44b21</t>
        </is>
      </c>
      <c r="BF17" s="24" t="inlineStr">
        <is>
          <t>1</t>
        </is>
      </c>
      <c r="BG17" s="24" t="inlineStr">
        <is>
          <t>mlb-elo-trend-lr-v6</t>
        </is>
      </c>
      <c r="BH17" s="24" t="inlineStr">
        <is>
          <t>2026-07-27T22:52:40.069101Z</t>
        </is>
      </c>
      <c r="BI17" s="24" t="inlineStr">
        <is>
          <t>["same_event","same_team_same_day","same_league_same_day"]</t>
        </is>
      </c>
      <c r="BJ17" s="25" t="n"/>
      <c r="BK17" s="26" t="n">
        <v>-147</v>
      </c>
      <c r="BL17" s="27" t="n">
        <v>1.680272</v>
      </c>
      <c r="BM17" s="28" t="n">
        <v>0.5951419999999999</v>
      </c>
      <c r="BN17" s="28" t="n">
        <v>0.59204</v>
      </c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0.4926827475</t>
        </is>
      </c>
      <c r="CD17" s="24" t="inlineStr">
        <is>
          <t>-0.86802</t>
        </is>
      </c>
      <c r="CE17" s="24" t="inlineStr">
        <is>
          <t>1.05</t>
        </is>
      </c>
      <c r="CF17" s="24" t="n"/>
      <c r="CG17" s="24" t="n"/>
      <c r="CH17" s="24" t="inlineStr">
        <is>
          <t>-2.18</t>
        </is>
      </c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2b287879ab4b41e3</t>
        </is>
      </c>
      <c r="B18" s="24" t="inlineStr">
        <is>
          <t>2026-07-27T23:09:59Z</t>
        </is>
      </c>
      <c r="C18" s="24" t="inlineStr">
        <is>
          <t>2026-07-27T19:10:00-0400</t>
        </is>
      </c>
      <c r="D18" s="24" t="inlineStr">
        <is>
          <t>401816281</t>
        </is>
      </c>
      <c r="E18" s="24" t="inlineStr">
        <is>
          <t>MLB</t>
        </is>
      </c>
      <c r="F18" s="24" t="inlineStr">
        <is>
          <t>Atlanta Braves</t>
        </is>
      </c>
      <c r="G18" s="24" t="inlineStr">
        <is>
          <t>New York Mets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-102</v>
      </c>
      <c r="M18" s="27" t="n">
        <v>1.980392</v>
      </c>
      <c r="N18" s="28" t="n">
        <v>0.50495</v>
      </c>
      <c r="O18" s="28" t="n">
        <v>0.629264</v>
      </c>
      <c r="P18" s="28" t="n"/>
      <c r="Q18" s="28" t="n">
        <v>0.124314</v>
      </c>
      <c r="R18" s="26" t="n">
        <v>83</v>
      </c>
      <c r="S18" s="29" t="n">
        <v>1.75</v>
      </c>
      <c r="T18" s="24" t="inlineStr">
        <is>
          <t>mlb-elo-trend-lr-v6</t>
        </is>
      </c>
      <c r="U18" s="24" t="inlineStr">
        <is>
          <t>settled</t>
        </is>
      </c>
      <c r="V18" s="24" t="inlineStr">
        <is>
          <t>win</t>
        </is>
      </c>
      <c r="W18" s="26" t="n">
        <v>3</v>
      </c>
      <c r="X18" s="26" t="n">
        <v>14</v>
      </c>
      <c r="Y18" s="25" t="n"/>
      <c r="Z18" s="26" t="n">
        <v>-102</v>
      </c>
      <c r="AA18" s="28" t="n">
        <v>0.505</v>
      </c>
      <c r="AB18" s="28" t="n">
        <v>5e-05</v>
      </c>
      <c r="AC18" s="30" t="n">
        <v>1.7157</v>
      </c>
      <c r="AD18" s="24" t="inlineStr">
        <is>
          <t>2026-07-28T16:01:57.318144Z</t>
        </is>
      </c>
      <c r="AE18" s="31" t="inlineStr">
        <is>
          <t>Learned LR call at threshold 0.5690; executable ask 0.5050 (aec-mlb-atl-nym-2026-07-27).</t>
        </is>
      </c>
      <c r="AF18" s="31" t="inlineStr">
        <is>
          <t>Learned model; shadow-qualified via operator override.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mlb-atl</t>
        </is>
      </c>
      <c r="AQ18" s="24" t="inlineStr">
        <is>
          <t>Atlanta Braves</t>
        </is>
      </c>
      <c r="AR18" s="24" t="inlineStr">
        <is>
          <t>Atlanta Braves</t>
        </is>
      </c>
      <c r="AS18" s="24" t="inlineStr">
        <is>
          <t>mlb-nym</t>
        </is>
      </c>
      <c r="AT18" s="24" t="inlineStr">
        <is>
          <t>New York Mets</t>
        </is>
      </c>
      <c r="AU18" s="24" t="inlineStr">
        <is>
          <t>New York Mets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0633355b1144e4205ca6d08e3f328d99cab0970358846bd77228f3bcbfcd70ee</t>
        </is>
      </c>
      <c r="BB18" s="24" t="inlineStr">
        <is>
          <t>learned_lr</t>
        </is>
      </c>
      <c r="BC18" s="24" t="inlineStr">
        <is>
          <t>mlb-elo-trend-lr-v6</t>
        </is>
      </c>
      <c r="BD18" s="24" t="inlineStr">
        <is>
          <t>0633355b1144e4205ca6d08e3f328d99cab0970358846bd77228f3bcbfcd70ee</t>
        </is>
      </c>
      <c r="BE18" s="24" t="inlineStr">
        <is>
          <t>3ef0103e6db8ea51</t>
        </is>
      </c>
      <c r="BF18" s="24" t="inlineStr">
        <is>
          <t>1</t>
        </is>
      </c>
      <c r="BG18" s="24" t="inlineStr">
        <is>
          <t>mlb-elo-trend-lr-v6</t>
        </is>
      </c>
      <c r="BH18" s="24" t="inlineStr">
        <is>
          <t>2026-07-27T22:52:39.124210Z</t>
        </is>
      </c>
      <c r="BI18" s="24" t="inlineStr">
        <is>
          <t>["same_event","same_team_same_day","same_league_same_day"]</t>
        </is>
      </c>
      <c r="BJ18" s="25" t="n"/>
      <c r="BK18" s="26" t="n">
        <v>-102</v>
      </c>
      <c r="BL18" s="27" t="n">
        <v>1.980392</v>
      </c>
      <c r="BM18" s="28" t="n">
        <v>0.50495</v>
      </c>
      <c r="BN18" s="28" t="n">
        <v>0.502488</v>
      </c>
      <c r="BO18" s="28" t="n"/>
      <c r="BP18" s="25" t="n"/>
      <c r="BQ18" s="27" t="n">
        <v>1.980392</v>
      </c>
      <c r="BR18" s="28" t="n">
        <v>0.505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0.4315693087</t>
        </is>
      </c>
      <c r="CD18" s="24" t="inlineStr">
        <is>
          <t>-2.190624</t>
        </is>
      </c>
      <c r="CE18" s="24" t="inlineStr">
        <is>
          <t>0.97</t>
        </is>
      </c>
      <c r="CF18" s="24" t="n"/>
      <c r="CG18" s="24" t="n"/>
      <c r="CH18" s="24" t="inlineStr">
        <is>
          <t>-1.06</t>
        </is>
      </c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769420b0ef2f4271</t>
        </is>
      </c>
      <c r="B19" s="24" t="inlineStr">
        <is>
          <t>2026-07-27T23:39:59Z</t>
        </is>
      </c>
      <c r="C19" s="24" t="inlineStr">
        <is>
          <t>2026-07-27T19:40:00-0400</t>
        </is>
      </c>
      <c r="D19" s="24" t="inlineStr">
        <is>
          <t>401816287</t>
        </is>
      </c>
      <c r="E19" s="24" t="inlineStr">
        <is>
          <t>MLB</t>
        </is>
      </c>
      <c r="F19" s="24" t="inlineStr">
        <is>
          <t>New York Yankees</t>
        </is>
      </c>
      <c r="G19" s="24" t="inlineStr">
        <is>
          <t>Chicago White Sox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-133</v>
      </c>
      <c r="M19" s="27" t="n">
        <v>1.75188</v>
      </c>
      <c r="N19" s="28" t="n">
        <v>0.570815</v>
      </c>
      <c r="O19" s="28" t="n">
        <v>0.693452</v>
      </c>
      <c r="P19" s="28" t="n"/>
      <c r="Q19" s="28" t="n">
        <v>0.122637</v>
      </c>
      <c r="R19" s="26" t="n">
        <v>83</v>
      </c>
      <c r="S19" s="29" t="n">
        <v>2</v>
      </c>
      <c r="T19" s="24" t="inlineStr">
        <is>
          <t>mlb-elo-trend-lr-v6</t>
        </is>
      </c>
      <c r="U19" s="24" t="inlineStr">
        <is>
          <t>settled</t>
        </is>
      </c>
      <c r="V19" s="24" t="inlineStr">
        <is>
          <t>win</t>
        </is>
      </c>
      <c r="W19" s="26" t="n">
        <v>9</v>
      </c>
      <c r="X19" s="26" t="n">
        <v>5</v>
      </c>
      <c r="Y19" s="25" t="n"/>
      <c r="Z19" s="26" t="n">
        <v>-133</v>
      </c>
      <c r="AA19" s="28" t="n">
        <v>0.57</v>
      </c>
      <c r="AB19" s="28" t="n">
        <v>-0.000815</v>
      </c>
      <c r="AC19" s="30" t="n">
        <v>1.5038</v>
      </c>
      <c r="AD19" s="24" t="inlineStr">
        <is>
          <t>2026-07-28T16:01:57.439945Z</t>
        </is>
      </c>
      <c r="AE19" s="31" t="inlineStr">
        <is>
          <t>Learned LR call at threshold 0.5690; executable ask 0.5700 (aec-mlb-nyy-cws-2026-07-27).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mlb-nyy</t>
        </is>
      </c>
      <c r="AQ19" s="24" t="inlineStr">
        <is>
          <t>New York Yankees</t>
        </is>
      </c>
      <c r="AR19" s="24" t="inlineStr">
        <is>
          <t>New York Yankees</t>
        </is>
      </c>
      <c r="AS19" s="24" t="inlineStr">
        <is>
          <t>mlb-cws</t>
        </is>
      </c>
      <c r="AT19" s="24" t="inlineStr">
        <is>
          <t>Chicago White Sox</t>
        </is>
      </c>
      <c r="AU19" s="24" t="inlineStr">
        <is>
          <t>Chicago White Sox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0633355b1144e4205ca6d08e3f328d99cab0970358846bd77228f3bcbfcd70ee</t>
        </is>
      </c>
      <c r="BB19" s="24" t="inlineStr">
        <is>
          <t>learned_lr</t>
        </is>
      </c>
      <c r="BC19" s="24" t="inlineStr">
        <is>
          <t>mlb-elo-trend-lr-v6</t>
        </is>
      </c>
      <c r="BD19" s="24" t="inlineStr">
        <is>
          <t>0633355b1144e4205ca6d08e3f328d99cab0970358846bd77228f3bcbfcd70ee</t>
        </is>
      </c>
      <c r="BE19" s="24" t="inlineStr">
        <is>
          <t>240c7cb854526226</t>
        </is>
      </c>
      <c r="BF19" s="24" t="inlineStr">
        <is>
          <t>1</t>
        </is>
      </c>
      <c r="BG19" s="24" t="inlineStr">
        <is>
          <t>mlb-elo-trend-lr-v6</t>
        </is>
      </c>
      <c r="BH19" s="24" t="inlineStr">
        <is>
          <t>2026-07-27T22:52:40.563303Z</t>
        </is>
      </c>
      <c r="BI19" s="24" t="inlineStr">
        <is>
          <t>["same_event","same_team_same_day","same_league_same_day"]</t>
        </is>
      </c>
      <c r="BJ19" s="25" t="n"/>
      <c r="BK19" s="26" t="n">
        <v>-133</v>
      </c>
      <c r="BL19" s="27" t="n">
        <v>1.75188</v>
      </c>
      <c r="BM19" s="28" t="n">
        <v>0.570815</v>
      </c>
      <c r="BN19" s="28" t="n">
        <v>0.567164</v>
      </c>
      <c r="BO19" s="28" t="n"/>
      <c r="BP19" s="25" t="n"/>
      <c r="BQ19" s="27" t="n">
        <v>1.75188</v>
      </c>
      <c r="BR19" s="28" t="n">
        <v>0.57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0.4761494151</t>
        </is>
      </c>
      <c r="CD19" s="24" t="inlineStr">
        <is>
          <t>1.500354</t>
        </is>
      </c>
      <c r="CE19" s="24" t="inlineStr">
        <is>
          <t>0.99</t>
        </is>
      </c>
      <c r="CF19" s="24" t="n"/>
      <c r="CG19" s="24" t="n"/>
      <c r="CH19" s="24" t="inlineStr">
        <is>
          <t>2.92</t>
        </is>
      </c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1d6569cdde63441b</t>
        </is>
      </c>
      <c r="B20" s="24" t="inlineStr">
        <is>
          <t>2026-07-27T23:44:59Z</t>
        </is>
      </c>
      <c r="C20" s="24" t="inlineStr">
        <is>
          <t>2026-07-27T19:45:00-0400</t>
        </is>
      </c>
      <c r="D20" s="24" t="inlineStr">
        <is>
          <t>401816286</t>
        </is>
      </c>
      <c r="E20" s="24" t="inlineStr">
        <is>
          <t>MLB</t>
        </is>
      </c>
      <c r="F20" s="24" t="inlineStr">
        <is>
          <t>Chicago Cubs</t>
        </is>
      </c>
      <c r="G20" s="24" t="inlineStr">
        <is>
          <t>St. Louis Cardinals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111</v>
      </c>
      <c r="M20" s="27" t="n">
        <v>2.11</v>
      </c>
      <c r="N20" s="28" t="n">
        <v>0.473934</v>
      </c>
      <c r="O20" s="28" t="n">
        <v>0.574883</v>
      </c>
      <c r="P20" s="28" t="n"/>
      <c r="Q20" s="28" t="n">
        <v>0.100949</v>
      </c>
      <c r="R20" s="26" t="n">
        <v>71</v>
      </c>
      <c r="S20" s="29" t="n">
        <v>1.25</v>
      </c>
      <c r="T20" s="24" t="inlineStr">
        <is>
          <t>mlb-elo-trend-lr-v6</t>
        </is>
      </c>
      <c r="U20" s="24" t="inlineStr">
        <is>
          <t>settled</t>
        </is>
      </c>
      <c r="V20" s="24" t="inlineStr">
        <is>
          <t>loss</t>
        </is>
      </c>
      <c r="W20" s="26" t="n">
        <v>7</v>
      </c>
      <c r="X20" s="26" t="n">
        <v>3</v>
      </c>
      <c r="Y20" s="25" t="n"/>
      <c r="Z20" s="26" t="n">
        <v>111</v>
      </c>
      <c r="AA20" s="28" t="n">
        <v>0.475</v>
      </c>
      <c r="AB20" s="28" t="n">
        <v>0.001066</v>
      </c>
      <c r="AC20" s="30" t="n">
        <v>-1.25</v>
      </c>
      <c r="AD20" s="24" t="inlineStr">
        <is>
          <t>2026-07-28T16:01:57.571348Z</t>
        </is>
      </c>
      <c r="AE20" s="31" t="inlineStr">
        <is>
          <t>Learned LR call at threshold 0.5690; executable ask 0.4750 (aec-mlb-chc-stl-2026-07-27).</t>
        </is>
      </c>
      <c r="AF20" s="31" t="inlineStr">
        <is>
          <t>Learned model; shadow-qualified via operator override.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mlb-chc</t>
        </is>
      </c>
      <c r="AQ20" s="24" t="inlineStr">
        <is>
          <t>Chicago Cubs</t>
        </is>
      </c>
      <c r="AR20" s="24" t="inlineStr">
        <is>
          <t>Chicago Cubs</t>
        </is>
      </c>
      <c r="AS20" s="24" t="inlineStr">
        <is>
          <t>mlb-stl</t>
        </is>
      </c>
      <c r="AT20" s="24" t="inlineStr">
        <is>
          <t>St. Louis Cardinals</t>
        </is>
      </c>
      <c r="AU20" s="24" t="inlineStr">
        <is>
          <t>St. Louis Cardinals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0633355b1144e4205ca6d08e3f328d99cab0970358846bd77228f3bcbfcd70ee</t>
        </is>
      </c>
      <c r="BB20" s="24" t="inlineStr">
        <is>
          <t>learned_lr</t>
        </is>
      </c>
      <c r="BC20" s="24" t="inlineStr">
        <is>
          <t>mlb-elo-trend-lr-v6</t>
        </is>
      </c>
      <c r="BD20" s="24" t="inlineStr">
        <is>
          <t>0633355b1144e4205ca6d08e3f328d99cab0970358846bd77228f3bcbfcd70ee</t>
        </is>
      </c>
      <c r="BE20" s="24" t="inlineStr">
        <is>
          <t>01075785a4cf42a4</t>
        </is>
      </c>
      <c r="BF20" s="24" t="inlineStr">
        <is>
          <t>1</t>
        </is>
      </c>
      <c r="BG20" s="24" t="inlineStr">
        <is>
          <t>mlb-elo-trend-lr-v6</t>
        </is>
      </c>
      <c r="BH20" s="24" t="inlineStr">
        <is>
          <t>2026-07-27T22:52:41.511217Z</t>
        </is>
      </c>
      <c r="BI20" s="24" t="inlineStr">
        <is>
          <t>["same_event","same_team_same_day","same_league_same_day"]</t>
        </is>
      </c>
      <c r="BJ20" s="25" t="n"/>
      <c r="BK20" s="26" t="n">
        <v>111</v>
      </c>
      <c r="BL20" s="27" t="n">
        <v>2.11</v>
      </c>
      <c r="BM20" s="28" t="n">
        <v>0.473934</v>
      </c>
      <c r="BN20" s="28" t="n">
        <v>0.472637</v>
      </c>
      <c r="BO20" s="28" t="n"/>
      <c r="BP20" s="25" t="n"/>
      <c r="BQ20" s="27" t="n">
        <v>2.11</v>
      </c>
      <c r="BR20" s="28" t="n">
        <v>0.475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0.4644554475</t>
        </is>
      </c>
      <c r="CD20" s="24" t="inlineStr">
        <is>
          <t>-0.743911</t>
        </is>
      </c>
      <c r="CE20" s="24" t="inlineStr">
        <is>
          <t>0.99</t>
        </is>
      </c>
      <c r="CF20" s="24" t="n"/>
      <c r="CG20" s="24" t="n"/>
      <c r="CH20" s="24" t="inlineStr">
        <is>
          <t>-0.54</t>
        </is>
      </c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8f14fe8da27345f3</t>
        </is>
      </c>
      <c r="B21" s="24" t="inlineStr">
        <is>
          <t>2026-07-28T01:37:59Z</t>
        </is>
      </c>
      <c r="C21" s="24" t="inlineStr">
        <is>
          <t>2026-07-27T21:38:00-0400</t>
        </is>
      </c>
      <c r="D21" s="24" t="inlineStr">
        <is>
          <t>401816290</t>
        </is>
      </c>
      <c r="E21" s="24" t="inlineStr">
        <is>
          <t>MLB</t>
        </is>
      </c>
      <c r="F21" s="24" t="inlineStr">
        <is>
          <t>Houston Astros</t>
        </is>
      </c>
      <c r="G21" s="24" t="inlineStr">
        <is>
          <t>Los Angeles Angels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102</v>
      </c>
      <c r="M21" s="27" t="n">
        <v>2.02</v>
      </c>
      <c r="N21" s="28" t="n">
        <v>0.49505</v>
      </c>
      <c r="O21" s="28" t="n">
        <v>0.747572</v>
      </c>
      <c r="P21" s="28" t="n"/>
      <c r="Q21" s="28" t="n">
        <v>0.252522</v>
      </c>
      <c r="R21" s="26" t="n">
        <v>100</v>
      </c>
      <c r="S21" s="29" t="n">
        <v>2</v>
      </c>
      <c r="T21" s="24" t="inlineStr">
        <is>
          <t>mlb-elo-trend-lr-v6</t>
        </is>
      </c>
      <c r="U21" s="24" t="inlineStr">
        <is>
          <t>settled</t>
        </is>
      </c>
      <c r="V21" s="24" t="inlineStr">
        <is>
          <t>loss</t>
        </is>
      </c>
      <c r="W21" s="26" t="n">
        <v>6</v>
      </c>
      <c r="X21" s="26" t="n">
        <v>4</v>
      </c>
      <c r="Y21" s="25" t="n"/>
      <c r="Z21" s="26" t="n">
        <v>102</v>
      </c>
      <c r="AA21" s="28" t="n">
        <v>0.495</v>
      </c>
      <c r="AB21" s="28" t="n">
        <v>-5e-05</v>
      </c>
      <c r="AC21" s="30" t="n">
        <v>-2</v>
      </c>
      <c r="AD21" s="24" t="inlineStr">
        <is>
          <t>2026-07-28T16:01:57.691826Z</t>
        </is>
      </c>
      <c r="AE21" s="31" t="inlineStr">
        <is>
          <t>Learned LR call at threshold 0.5690; executable ask 0.4950 (aec-mlb-hou-laa-2026-07-27).</t>
        </is>
      </c>
      <c r="AF21" s="31" t="inlineStr">
        <is>
          <t>Learned model; shadow-qualified via operator override.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mlb-hou</t>
        </is>
      </c>
      <c r="AQ21" s="24" t="inlineStr">
        <is>
          <t>Houston Astros</t>
        </is>
      </c>
      <c r="AR21" s="24" t="inlineStr">
        <is>
          <t>Houston Astros</t>
        </is>
      </c>
      <c r="AS21" s="24" t="inlineStr">
        <is>
          <t>mlb-laa</t>
        </is>
      </c>
      <c r="AT21" s="24" t="inlineStr">
        <is>
          <t>Los Angeles Angels</t>
        </is>
      </c>
      <c r="AU21" s="24" t="inlineStr">
        <is>
          <t>Los Angeles Angels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0633355b1144e4205ca6d08e3f328d99cab0970358846bd77228f3bcbfcd70ee</t>
        </is>
      </c>
      <c r="BB21" s="24" t="inlineStr">
        <is>
          <t>learned_lr</t>
        </is>
      </c>
      <c r="BC21" s="24" t="inlineStr">
        <is>
          <t>mlb-elo-trend-lr-v6</t>
        </is>
      </c>
      <c r="BD21" s="24" t="inlineStr">
        <is>
          <t>0633355b1144e4205ca6d08e3f328d99cab0970358846bd77228f3bcbfcd70ee</t>
        </is>
      </c>
      <c r="BE21" s="24" t="inlineStr">
        <is>
          <t>5fa6950739bd6684</t>
        </is>
      </c>
      <c r="BF21" s="24" t="inlineStr">
        <is>
          <t>1</t>
        </is>
      </c>
      <c r="BG21" s="24" t="inlineStr">
        <is>
          <t>mlb-elo-trend-lr-v6</t>
        </is>
      </c>
      <c r="BH21" s="24" t="inlineStr">
        <is>
          <t>2026-07-27T22:52:42.458048Z</t>
        </is>
      </c>
      <c r="BI21" s="24" t="inlineStr">
        <is>
          <t>["same_event","same_team_same_day","same_league_same_day"]</t>
        </is>
      </c>
      <c r="BJ21" s="25" t="n"/>
      <c r="BK21" s="26" t="n">
        <v>102</v>
      </c>
      <c r="BL21" s="27" t="n">
        <v>2.02</v>
      </c>
      <c r="BM21" s="28" t="n">
        <v>0.49505</v>
      </c>
      <c r="BN21" s="28" t="n">
        <v>0.492537</v>
      </c>
      <c r="BO21" s="28" t="n"/>
      <c r="BP21" s="25" t="n"/>
      <c r="BQ21" s="27" t="n">
        <v>2.02</v>
      </c>
      <c r="BR21" s="28" t="n">
        <v>0.495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0.4559426507</t>
        </is>
      </c>
      <c r="CD21" s="24" t="inlineStr">
        <is>
          <t>-1.582476</t>
        </is>
      </c>
      <c r="CE21" s="24" t="inlineStr">
        <is>
          <t>1.01</t>
        </is>
      </c>
      <c r="CF21" s="24" t="n"/>
      <c r="CG21" s="24" t="n"/>
      <c r="CH21" s="24" t="inlineStr">
        <is>
          <t>-3.13</t>
        </is>
      </c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877fc5d38347407c</t>
        </is>
      </c>
      <c r="B22" s="24" t="inlineStr">
        <is>
          <t>2026-07-28T17:26:33.566799Z</t>
        </is>
      </c>
      <c r="C22" s="24" t="inlineStr">
        <is>
          <t>2026-07-28T13:40:00-0400</t>
        </is>
      </c>
      <c r="D22" s="24" t="inlineStr">
        <is>
          <t>401901849</t>
        </is>
      </c>
      <c r="E22" s="24" t="inlineStr">
        <is>
          <t>MLB</t>
        </is>
      </c>
      <c r="F22" s="24" t="inlineStr">
        <is>
          <t>Cleveland Guardians</t>
        </is>
      </c>
      <c r="G22" s="24" t="inlineStr">
        <is>
          <t>Cincinnati Reds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model_opinion_no_executable_quote</t>
        </is>
      </c>
      <c r="L22" s="26" t="n">
        <v>-110</v>
      </c>
      <c r="M22" s="27" t="n">
        <v>1.909091</v>
      </c>
      <c r="N22" s="28" t="n">
        <v>0.52381</v>
      </c>
      <c r="O22" s="28" t="n">
        <v>0.684329</v>
      </c>
      <c r="P22" s="28" t="n"/>
      <c r="Q22" s="28" t="n">
        <v>0.160519</v>
      </c>
      <c r="R22" s="26" t="n">
        <v>100</v>
      </c>
      <c r="S22" s="29" t="n">
        <v>0</v>
      </c>
      <c r="T22" s="24" t="inlineStr">
        <is>
          <t>mlb-elo-trend-lr-v6</t>
        </is>
      </c>
      <c r="U22" s="24" t="inlineStr">
        <is>
          <t>settled</t>
        </is>
      </c>
      <c r="V22" s="24" t="inlineStr">
        <is>
          <t>loss</t>
        </is>
      </c>
      <c r="W22" s="26" t="n">
        <v>6</v>
      </c>
      <c r="X22" s="26" t="n">
        <v>5</v>
      </c>
      <c r="Y22" s="25" t="n"/>
      <c r="Z22" s="26" t="n">
        <v>-147</v>
      </c>
      <c r="AA22" s="28" t="n">
        <v>0.595</v>
      </c>
      <c r="AB22" s="28" t="n">
        <v>0.07119</v>
      </c>
      <c r="AC22" s="30" t="n">
        <v>0</v>
      </c>
      <c r="AD22" s="24" t="inlineStr">
        <is>
          <t>2026-07-28T23:36:42.481545Z</t>
        </is>
      </c>
      <c r="AE22" s="31" t="inlineStr">
        <is>
          <t>Learned LR call at threshold 0.5690;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2" s="31" t="inlineStr">
        <is>
          <t>Learned model; shadow-qualified via operator override.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NO_CALL_MARKET_UNAVAILABLE</t>
        </is>
      </c>
      <c r="AP22" s="24" t="inlineStr">
        <is>
          <t>mlb-cle</t>
        </is>
      </c>
      <c r="AQ22" s="24" t="inlineStr">
        <is>
          <t>Cleveland Guardians</t>
        </is>
      </c>
      <c r="AR22" s="24" t="inlineStr">
        <is>
          <t>Cleveland Guardians</t>
        </is>
      </c>
      <c r="AS22" s="24" t="inlineStr">
        <is>
          <t>mlb-cin</t>
        </is>
      </c>
      <c r="AT22" s="24" t="inlineStr">
        <is>
          <t>Cincinnati Reds</t>
        </is>
      </c>
      <c r="AU22" s="24" t="inlineStr">
        <is>
          <t>Cincinnati Reds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0633355b1144e4205ca6d08e3f328d99cab0970358846bd77228f3bcbfcd70ee</t>
        </is>
      </c>
      <c r="BB22" s="24" t="inlineStr">
        <is>
          <t>learned_lr</t>
        </is>
      </c>
      <c r="BC22" s="24" t="inlineStr">
        <is>
          <t>mlb-elo-trend-lr-v6</t>
        </is>
      </c>
      <c r="BD22" s="24" t="inlineStr">
        <is>
          <t>0633355b1144e4205ca6d08e3f328d99cab0970358846bd77228f3bcbfcd70ee</t>
        </is>
      </c>
      <c r="BE22" s="24" t="inlineStr">
        <is>
          <t>985793cc1b640b1d</t>
        </is>
      </c>
      <c r="BF22" s="24" t="inlineStr">
        <is>
          <t>1</t>
        </is>
      </c>
      <c r="BG22" s="24" t="inlineStr">
        <is>
          <t>mlb-elo-trend-lr-v6</t>
        </is>
      </c>
      <c r="BH22" s="24" t="inlineStr">
        <is>
          <t>2026-07-28T17:26:33.566799Z</t>
        </is>
      </c>
      <c r="BI22" s="24" t="inlineStr">
        <is>
          <t>["same_event","same_team_same_day","same_league_same_day"]</t>
        </is>
      </c>
      <c r="BJ22" s="25" t="n"/>
      <c r="BK22" s="26" t="n">
        <v>-110</v>
      </c>
      <c r="BL22" s="27" t="n">
        <v>1.909091</v>
      </c>
      <c r="BM22" s="28" t="n">
        <v>0.52381</v>
      </c>
      <c r="BN22" s="28" t="n"/>
      <c r="BO22" s="28" t="n"/>
      <c r="BP22" s="25" t="n"/>
      <c r="BQ22" s="27" t="n">
        <v>1.680272</v>
      </c>
      <c r="BR22" s="28" t="n">
        <v>0.595</v>
      </c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inlineStr">
        <is>
          <t>2026-07-28T23:36:42.481545Z</t>
        </is>
      </c>
      <c r="CA22" s="31" t="inlineStr">
        <is>
          <t>fixed one-unit hypothetical scoring; no real exposure or execution</t>
        </is>
      </c>
      <c r="CB22" s="24" t="n"/>
      <c r="CC22" s="24" t="inlineStr">
        <is>
          <t>0.4926827475</t>
        </is>
      </c>
      <c r="CD22" s="24" t="inlineStr">
        <is>
          <t>-0.86802</t>
        </is>
      </c>
      <c r="CE22" s="24" t="inlineStr">
        <is>
          <t>1.05</t>
        </is>
      </c>
      <c r="CF22" s="24" t="n"/>
      <c r="CG22" s="24" t="n"/>
      <c r="CH22" s="24" t="inlineStr">
        <is>
          <t>-2.18</t>
        </is>
      </c>
      <c r="CI22" s="24" t="inlineStr">
        <is>
          <t>executable_quote_missing_or_unmatched</t>
        </is>
      </c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1c9ac23f35b9411b</t>
        </is>
      </c>
      <c r="B23" s="24" t="inlineStr">
        <is>
          <t>2026-07-28T20:32:52.305699Z</t>
        </is>
      </c>
      <c r="C23" s="24" t="inlineStr">
        <is>
          <t>2026-07-28T18:40:00-0400</t>
        </is>
      </c>
      <c r="D23" s="24" t="inlineStr">
        <is>
          <t>401816294</t>
        </is>
      </c>
      <c r="E23" s="24" t="inlineStr">
        <is>
          <t>MLB</t>
        </is>
      </c>
      <c r="F23" s="24" t="inlineStr">
        <is>
          <t>Baltimore Orioles</t>
        </is>
      </c>
      <c r="G23" s="24" t="inlineStr">
        <is>
          <t>Detroit Tigers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-135</v>
      </c>
      <c r="M23" s="27" t="n">
        <v>1.740741</v>
      </c>
      <c r="N23" s="28" t="n">
        <v>0.574468</v>
      </c>
      <c r="O23" s="28" t="n">
        <v>0.742108</v>
      </c>
      <c r="P23" s="28" t="n"/>
      <c r="Q23" s="28" t="n">
        <v>0.16764</v>
      </c>
      <c r="R23" s="26" t="n">
        <v>100</v>
      </c>
      <c r="S23" s="29" t="n">
        <v>2</v>
      </c>
      <c r="T23" s="24" t="inlineStr">
        <is>
          <t>mlb-elo-trend-lr-v6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14</v>
      </c>
      <c r="Y23" s="25" t="n"/>
      <c r="Z23" s="26" t="n">
        <v>-135</v>
      </c>
      <c r="AA23" s="28" t="n">
        <v>0.575</v>
      </c>
      <c r="AB23" s="28" t="n">
        <v>0.000532</v>
      </c>
      <c r="AC23" s="30" t="n">
        <v>1.4815</v>
      </c>
      <c r="AD23" s="24" t="inlineStr">
        <is>
          <t>2026-07-29T02:41:26.282792Z</t>
        </is>
      </c>
      <c r="AE23" s="31" t="inlineStr">
        <is>
          <t>Learned LR call at threshold 0.5690; executable ask 0.5750 (aec-mlb-bal-det-2026-07-28).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mlb-bal</t>
        </is>
      </c>
      <c r="AQ23" s="24" t="inlineStr">
        <is>
          <t>Baltimore Orioles</t>
        </is>
      </c>
      <c r="AR23" s="24" t="inlineStr">
        <is>
          <t>Baltimore Orioles</t>
        </is>
      </c>
      <c r="AS23" s="24" t="inlineStr">
        <is>
          <t>mlb-det</t>
        </is>
      </c>
      <c r="AT23" s="24" t="inlineStr">
        <is>
          <t>Detroit Tigers</t>
        </is>
      </c>
      <c r="AU23" s="24" t="inlineStr">
        <is>
          <t>Detroit Tigers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0633355b1144e4205ca6d08e3f328d99cab0970358846bd77228f3bcbfcd70ee</t>
        </is>
      </c>
      <c r="BB23" s="24" t="inlineStr">
        <is>
          <t>learned_lr</t>
        </is>
      </c>
      <c r="BC23" s="24" t="inlineStr">
        <is>
          <t>mlb-elo-trend-lr-v6</t>
        </is>
      </c>
      <c r="BD23" s="24" t="inlineStr">
        <is>
          <t>0633355b1144e4205ca6d08e3f328d99cab0970358846bd77228f3bcbfcd70ee</t>
        </is>
      </c>
      <c r="BE23" s="24" t="inlineStr">
        <is>
          <t>1ef6dbb2275c6f7d</t>
        </is>
      </c>
      <c r="BF23" s="24" t="inlineStr">
        <is>
          <t>1</t>
        </is>
      </c>
      <c r="BG23" s="24" t="inlineStr">
        <is>
          <t>mlb-elo-trend-lr-v6</t>
        </is>
      </c>
      <c r="BH23" s="24" t="inlineStr">
        <is>
          <t>2026-07-28T20:32:05.666915Z</t>
        </is>
      </c>
      <c r="BI23" s="24" t="inlineStr">
        <is>
          <t>["same_event","same_team_same_day","same_league_same_day"]</t>
        </is>
      </c>
      <c r="BJ23" s="25" t="n"/>
      <c r="BK23" s="26" t="n">
        <v>-135</v>
      </c>
      <c r="BL23" s="27" t="n">
        <v>1.740741</v>
      </c>
      <c r="BM23" s="28" t="n">
        <v>0.574468</v>
      </c>
      <c r="BN23" s="28" t="n">
        <v>0.572139</v>
      </c>
      <c r="BO23" s="28" t="n"/>
      <c r="BP23" s="25" t="n"/>
      <c r="BQ23" s="27" t="n">
        <v>1.740741</v>
      </c>
      <c r="BR23" s="28" t="n">
        <v>0.575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0.5578182793</t>
        </is>
      </c>
      <c r="CD23" s="24" t="inlineStr">
        <is>
          <t>-0.528912</t>
        </is>
      </c>
      <c r="CE23" s="24" t="inlineStr">
        <is>
          <t>0.98</t>
        </is>
      </c>
      <c r="CF23" s="24" t="n"/>
      <c r="CG23" s="24" t="n"/>
      <c r="CH23" s="24" t="inlineStr">
        <is>
          <t>-3.11</t>
        </is>
      </c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64c146d858584ab4</t>
        </is>
      </c>
      <c r="B24" s="24" t="inlineStr">
        <is>
          <t>2026-07-28T20:32:52.305699Z</t>
        </is>
      </c>
      <c r="C24" s="24" t="inlineStr">
        <is>
          <t>2026-07-28T18:40:00-0400</t>
        </is>
      </c>
      <c r="D24" s="24" t="inlineStr">
        <is>
          <t>401816296</t>
        </is>
      </c>
      <c r="E24" s="24" t="inlineStr">
        <is>
          <t>MLB</t>
        </is>
      </c>
      <c r="F24" s="24" t="inlineStr">
        <is>
          <t>Philadelphia Phillies</t>
        </is>
      </c>
      <c r="G24" s="24" t="inlineStr">
        <is>
          <t>Miami Marlins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-125</v>
      </c>
      <c r="M24" s="27" t="n">
        <v>1.8</v>
      </c>
      <c r="N24" s="28" t="n">
        <v>0.555556</v>
      </c>
      <c r="O24" s="28" t="n">
        <v>0.660233</v>
      </c>
      <c r="P24" s="28" t="n"/>
      <c r="Q24" s="28" t="n">
        <v>0.104677</v>
      </c>
      <c r="R24" s="26" t="n">
        <v>74</v>
      </c>
      <c r="S24" s="29" t="n">
        <v>2</v>
      </c>
      <c r="T24" s="24" t="inlineStr">
        <is>
          <t>mlb-elo-trend-lr-v6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>
        <v>-125</v>
      </c>
      <c r="AA24" s="28" t="n">
        <v>0.555</v>
      </c>
      <c r="AB24" s="28" t="n">
        <v>-0.000556</v>
      </c>
      <c r="AC24" s="30" t="n">
        <v>1.6</v>
      </c>
      <c r="AD24" s="24" t="inlineStr">
        <is>
          <t>2026-07-29T02:41:26.407776Z</t>
        </is>
      </c>
      <c r="AE24" s="31" t="inlineStr">
        <is>
          <t>Learned LR call at threshold 0.5690; executable ask 0.5550 (aec-mlb-phi-mia-2026-07-28).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mlb-phi</t>
        </is>
      </c>
      <c r="AQ24" s="24" t="inlineStr">
        <is>
          <t>Philadelphia Phillies</t>
        </is>
      </c>
      <c r="AR24" s="24" t="inlineStr">
        <is>
          <t>Philadelphia Phillies</t>
        </is>
      </c>
      <c r="AS24" s="24" t="inlineStr">
        <is>
          <t>mlb-mia</t>
        </is>
      </c>
      <c r="AT24" s="24" t="inlineStr">
        <is>
          <t>Miami Marlins</t>
        </is>
      </c>
      <c r="AU24" s="24" t="inlineStr">
        <is>
          <t>Miami Marlins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0633355b1144e4205ca6d08e3f328d99cab0970358846bd77228f3bcbfcd70ee</t>
        </is>
      </c>
      <c r="BB24" s="24" t="inlineStr">
        <is>
          <t>learned_lr</t>
        </is>
      </c>
      <c r="BC24" s="24" t="inlineStr">
        <is>
          <t>mlb-elo-trend-lr-v6</t>
        </is>
      </c>
      <c r="BD24" s="24" t="inlineStr">
        <is>
          <t>0633355b1144e4205ca6d08e3f328d99cab0970358846bd77228f3bcbfcd70ee</t>
        </is>
      </c>
      <c r="BE24" s="24" t="inlineStr">
        <is>
          <t>0ecf6d5d6b8524ff</t>
        </is>
      </c>
      <c r="BF24" s="24" t="inlineStr">
        <is>
          <t>1</t>
        </is>
      </c>
      <c r="BG24" s="24" t="inlineStr">
        <is>
          <t>mlb-elo-trend-lr-v6</t>
        </is>
      </c>
      <c r="BH24" s="24" t="inlineStr">
        <is>
          <t>2026-07-28T20:32:06.628497Z</t>
        </is>
      </c>
      <c r="BI24" s="24" t="inlineStr">
        <is>
          <t>["same_event","same_team_same_day","same_league_same_day"]</t>
        </is>
      </c>
      <c r="BJ24" s="25" t="n"/>
      <c r="BK24" s="26" t="n">
        <v>-125</v>
      </c>
      <c r="BL24" s="27" t="n">
        <v>1.8</v>
      </c>
      <c r="BM24" s="28" t="n">
        <v>0.555556</v>
      </c>
      <c r="BN24" s="28" t="n">
        <v>0.552239</v>
      </c>
      <c r="BO24" s="28" t="n"/>
      <c r="BP24" s="25" t="n"/>
      <c r="BQ24" s="27" t="n">
        <v>1.8</v>
      </c>
      <c r="BR24" s="28" t="n">
        <v>0.555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0.477817603</t>
        </is>
      </c>
      <c r="CD24" s="24" t="inlineStr">
        <is>
          <t>-0.644046</t>
        </is>
      </c>
      <c r="CE24" s="24" t="inlineStr">
        <is>
          <t>0.99</t>
        </is>
      </c>
      <c r="CF24" s="24" t="n"/>
      <c r="CG24" s="24" t="n"/>
      <c r="CH24" s="24" t="inlineStr">
        <is>
          <t>-1.81</t>
        </is>
      </c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30a1c6ea7aa44b4c</t>
        </is>
      </c>
      <c r="B25" s="24" t="inlineStr">
        <is>
          <t>2026-07-28T23:38:20.366083Z</t>
        </is>
      </c>
      <c r="C25" s="24" t="inlineStr">
        <is>
          <t>2026-07-28T19:45:00-0400</t>
        </is>
      </c>
      <c r="D25" s="24" t="inlineStr">
        <is>
          <t>401816299</t>
        </is>
      </c>
      <c r="E25" s="24" t="inlineStr">
        <is>
          <t>MLB</t>
        </is>
      </c>
      <c r="F25" s="24" t="inlineStr">
        <is>
          <t>Chicago Cubs</t>
        </is>
      </c>
      <c r="G25" s="24" t="inlineStr">
        <is>
          <t>St. Louis Cardinals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100</v>
      </c>
      <c r="M25" s="27" t="n">
        <v>2</v>
      </c>
      <c r="N25" s="28" t="n">
        <v>0.5</v>
      </c>
      <c r="O25" s="28" t="n">
        <v>0.658691</v>
      </c>
      <c r="P25" s="28" t="n"/>
      <c r="Q25" s="28" t="n">
        <v>0.158691</v>
      </c>
      <c r="R25" s="26" t="n">
        <v>100</v>
      </c>
      <c r="S25" s="29" t="n">
        <v>2</v>
      </c>
      <c r="T25" s="24" t="inlineStr">
        <is>
          <t>mlb-elo-trend-lr-v6</t>
        </is>
      </c>
      <c r="U25" s="24" t="inlineStr">
        <is>
          <t>settled</t>
        </is>
      </c>
      <c r="V25" s="24" t="inlineStr">
        <is>
          <t>loss</t>
        </is>
      </c>
      <c r="W25" s="26" t="n">
        <v>10</v>
      </c>
      <c r="X25" s="26" t="n">
        <v>2</v>
      </c>
      <c r="Y25" s="25" t="n"/>
      <c r="Z25" s="26" t="n">
        <v>100</v>
      </c>
      <c r="AA25" s="28" t="n">
        <v>0.5</v>
      </c>
      <c r="AB25" s="28" t="n">
        <v>0</v>
      </c>
      <c r="AC25" s="30" t="n">
        <v>-2</v>
      </c>
      <c r="AD25" s="24" t="inlineStr">
        <is>
          <t>2026-07-29T05:44:51.428715Z</t>
        </is>
      </c>
      <c r="AE25" s="31" t="inlineStr">
        <is>
          <t>Learned LR call at threshold 0.5690; executable ask 0.5000 (aec-mlb-chc-stl-2026-07-28).</t>
        </is>
      </c>
      <c r="AF25" s="31" t="inlineStr">
        <is>
          <t>Learned model; shadow-qualified via operator override.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mlb-chc</t>
        </is>
      </c>
      <c r="AQ25" s="24" t="inlineStr">
        <is>
          <t>Chicago Cubs</t>
        </is>
      </c>
      <c r="AR25" s="24" t="inlineStr">
        <is>
          <t>Chicago Cubs</t>
        </is>
      </c>
      <c r="AS25" s="24" t="inlineStr">
        <is>
          <t>mlb-stl</t>
        </is>
      </c>
      <c r="AT25" s="24" t="inlineStr">
        <is>
          <t>St. Louis Cardinals</t>
        </is>
      </c>
      <c r="AU25" s="24" t="inlineStr">
        <is>
          <t>St. Louis Cardinals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0633355b1144e4205ca6d08e3f328d99cab0970358846bd77228f3bcbfcd70ee</t>
        </is>
      </c>
      <c r="BB25" s="24" t="inlineStr">
        <is>
          <t>learned_lr</t>
        </is>
      </c>
      <c r="BC25" s="24" t="inlineStr">
        <is>
          <t>mlb-elo-trend-lr-v6</t>
        </is>
      </c>
      <c r="BD25" s="24" t="inlineStr">
        <is>
          <t>0633355b1144e4205ca6d08e3f328d99cab0970358846bd77228f3bcbfcd70ee</t>
        </is>
      </c>
      <c r="BE25" s="24" t="inlineStr">
        <is>
          <t>68171e0531444439</t>
        </is>
      </c>
      <c r="BF25" s="24" t="inlineStr">
        <is>
          <t>1</t>
        </is>
      </c>
      <c r="BG25" s="24" t="inlineStr">
        <is>
          <t>mlb-elo-trend-lr-v6</t>
        </is>
      </c>
      <c r="BH25" s="24" t="inlineStr">
        <is>
          <t>2026-07-28T23:37:48.025116Z</t>
        </is>
      </c>
      <c r="BI25" s="24" t="inlineStr">
        <is>
          <t>["same_event","same_team_same_day","same_league_same_day"]</t>
        </is>
      </c>
      <c r="BJ25" s="25" t="n"/>
      <c r="BK25" s="26" t="n">
        <v>100</v>
      </c>
      <c r="BL25" s="27" t="n">
        <v>2</v>
      </c>
      <c r="BM25" s="28" t="n">
        <v>0.5</v>
      </c>
      <c r="BN25" s="28" t="n">
        <v>0.497512</v>
      </c>
      <c r="BO25" s="28" t="n"/>
      <c r="BP25" s="25" t="n"/>
      <c r="BQ25" s="27" t="n">
        <v>2</v>
      </c>
      <c r="BR25" s="28" t="n">
        <v>0.5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0.4644554475</t>
        </is>
      </c>
      <c r="CD25" s="24" t="inlineStr">
        <is>
          <t>-0.743911</t>
        </is>
      </c>
      <c r="CE25" s="24" t="inlineStr">
        <is>
          <t>0.99</t>
        </is>
      </c>
      <c r="CF25" s="24" t="n"/>
      <c r="CG25" s="24" t="n"/>
      <c r="CH25" s="24" t="inlineStr">
        <is>
          <t>-1.78</t>
        </is>
      </c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96cb1cd6e3b045e9</t>
        </is>
      </c>
      <c r="B26" s="24" t="inlineStr">
        <is>
          <t>2026-07-28T23:38:20.366083Z</t>
        </is>
      </c>
      <c r="C26" s="24" t="inlineStr">
        <is>
          <t>2026-07-28T21:40:00-0400</t>
        </is>
      </c>
      <c r="D26" s="24" t="inlineStr">
        <is>
          <t>401816303</t>
        </is>
      </c>
      <c r="E26" s="24" t="inlineStr">
        <is>
          <t>MLB</t>
        </is>
      </c>
      <c r="F26" s="24" t="inlineStr">
        <is>
          <t>Colorado Rockies</t>
        </is>
      </c>
      <c r="G26" s="24" t="inlineStr">
        <is>
          <t>San Diego Padres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-213</v>
      </c>
      <c r="M26" s="27" t="n">
        <v>1.469484</v>
      </c>
      <c r="N26" s="28" t="n">
        <v>0.680511</v>
      </c>
      <c r="O26" s="28" t="n">
        <v>0.7310950000000001</v>
      </c>
      <c r="P26" s="28" t="n"/>
      <c r="Q26" s="28" t="n">
        <v>0.050584</v>
      </c>
      <c r="R26" s="26" t="n">
        <v>47</v>
      </c>
      <c r="S26" s="29" t="n">
        <v>2</v>
      </c>
      <c r="T26" s="24" t="inlineStr">
        <is>
          <t>mlb-elo-trend-lr-v6</t>
        </is>
      </c>
      <c r="U26" s="24" t="inlineStr">
        <is>
          <t>settled</t>
        </is>
      </c>
      <c r="V26" s="24" t="inlineStr">
        <is>
          <t>win</t>
        </is>
      </c>
      <c r="W26" s="26" t="n">
        <v>7</v>
      </c>
      <c r="X26" s="26" t="n">
        <v>8</v>
      </c>
      <c r="Y26" s="25" t="n"/>
      <c r="Z26" s="26" t="n">
        <v>-213</v>
      </c>
      <c r="AA26" s="28" t="n">
        <v>0.68</v>
      </c>
      <c r="AB26" s="28" t="n">
        <v>-0.000511</v>
      </c>
      <c r="AC26" s="30" t="n">
        <v>0.9389999999999999</v>
      </c>
      <c r="AD26" s="24" t="inlineStr">
        <is>
          <t>2026-07-29T05:44:51.563870Z</t>
        </is>
      </c>
      <c r="AE26" s="31" t="inlineStr">
        <is>
          <t>Learned LR call at threshold 0.5690; executable ask 0.6800 (aec-mlb-col-sd-2026-07-28).</t>
        </is>
      </c>
      <c r="AF26" s="31" t="inlineStr">
        <is>
          <t>Learned model; shadow-qualified via operator override.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mlb-col</t>
        </is>
      </c>
      <c r="AQ26" s="24" t="inlineStr">
        <is>
          <t>Colorado Rockies</t>
        </is>
      </c>
      <c r="AR26" s="24" t="inlineStr">
        <is>
          <t>Colorado Rockies</t>
        </is>
      </c>
      <c r="AS26" s="24" t="inlineStr">
        <is>
          <t>mlb-sd</t>
        </is>
      </c>
      <c r="AT26" s="24" t="inlineStr">
        <is>
          <t>San Diego Padres</t>
        </is>
      </c>
      <c r="AU26" s="24" t="inlineStr">
        <is>
          <t>San Diego Padres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0633355b1144e4205ca6d08e3f328d99cab0970358846bd77228f3bcbfcd70ee</t>
        </is>
      </c>
      <c r="BB26" s="24" t="inlineStr">
        <is>
          <t>learned_lr</t>
        </is>
      </c>
      <c r="BC26" s="24" t="inlineStr">
        <is>
          <t>mlb-elo-trend-lr-v6</t>
        </is>
      </c>
      <c r="BD26" s="24" t="inlineStr">
        <is>
          <t>0633355b1144e4205ca6d08e3f328d99cab0970358846bd77228f3bcbfcd70ee</t>
        </is>
      </c>
      <c r="BE26" s="24" t="inlineStr">
        <is>
          <t>7af36682a5486cf7</t>
        </is>
      </c>
      <c r="BF26" s="24" t="inlineStr">
        <is>
          <t>1</t>
        </is>
      </c>
      <c r="BG26" s="24" t="inlineStr">
        <is>
          <t>mlb-elo-trend-lr-v6</t>
        </is>
      </c>
      <c r="BH26" s="24" t="inlineStr">
        <is>
          <t>2026-07-28T23:37:49.975579Z</t>
        </is>
      </c>
      <c r="BI26" s="24" t="inlineStr">
        <is>
          <t>["same_event","same_team_same_day","same_league_same_day"]</t>
        </is>
      </c>
      <c r="BJ26" s="25" t="n"/>
      <c r="BK26" s="26" t="n">
        <v>-213</v>
      </c>
      <c r="BL26" s="27" t="n">
        <v>1.469484</v>
      </c>
      <c r="BM26" s="28" t="n">
        <v>0.680511</v>
      </c>
      <c r="BN26" s="28" t="n">
        <v>0.676617</v>
      </c>
      <c r="BO26" s="28" t="n"/>
      <c r="BP26" s="25" t="n"/>
      <c r="BQ26" s="27" t="n">
        <v>1.469484</v>
      </c>
      <c r="BR26" s="28" t="n">
        <v>0.68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0.6881581363</t>
        </is>
      </c>
      <c r="CD26" s="24" t="inlineStr">
        <is>
          <t>2.156212</t>
        </is>
      </c>
      <c r="CE26" s="24" t="inlineStr">
        <is>
          <t>0.95</t>
        </is>
      </c>
      <c r="CF26" s="24" t="n"/>
      <c r="CG26" s="24" t="n"/>
      <c r="CH26" s="24" t="inlineStr">
        <is>
          <t>-3.29</t>
        </is>
      </c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0f9039db899f4453</t>
        </is>
      </c>
      <c r="B27" s="24" t="inlineStr">
        <is>
          <t>2026-07-29T17:43:50.913671Z</t>
        </is>
      </c>
      <c r="C27" s="24" t="inlineStr">
        <is>
          <t>2026-07-29T16:10:00-0400</t>
        </is>
      </c>
      <c r="D27" s="24" t="inlineStr">
        <is>
          <t>401816318</t>
        </is>
      </c>
      <c r="E27" s="24" t="inlineStr">
        <is>
          <t>MLB</t>
        </is>
      </c>
      <c r="F27" s="24" t="inlineStr">
        <is>
          <t>Colorado Rockies</t>
        </is>
      </c>
      <c r="G27" s="24" t="inlineStr">
        <is>
          <t>San Diego Padres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150</v>
      </c>
      <c r="M27" s="27" t="n">
        <v>2.5</v>
      </c>
      <c r="N27" s="28" t="n">
        <v>0.4</v>
      </c>
      <c r="O27" s="28" t="n">
        <v>0.65394</v>
      </c>
      <c r="P27" s="28" t="n"/>
      <c r="Q27" s="28" t="n">
        <v>0.25394</v>
      </c>
      <c r="R27" s="26" t="n">
        <v>100</v>
      </c>
      <c r="S27" s="29" t="n">
        <v>2</v>
      </c>
      <c r="T27" s="24" t="inlineStr">
        <is>
          <t>mlb-elo-trend-lr-v6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3</v>
      </c>
      <c r="Y27" s="25" t="n"/>
      <c r="Z27" s="26" t="n">
        <v>150</v>
      </c>
      <c r="AA27" s="28" t="n">
        <v>0.4</v>
      </c>
      <c r="AB27" s="28" t="n">
        <v>0</v>
      </c>
      <c r="AC27" s="30" t="n">
        <v>-2</v>
      </c>
      <c r="AD27" s="24" t="inlineStr">
        <is>
          <t>2026-07-30T04:11:48.297987Z</t>
        </is>
      </c>
      <c r="AE27" s="31" t="inlineStr">
        <is>
          <t>Learned LR call at threshold 0.5690; executable ask 0.4000 (aec-mlb-col-sd-2026-07-29).</t>
        </is>
      </c>
      <c r="AF27" s="31" t="inlineStr">
        <is>
          <t>Learned model; shadow-qualified via operator override.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mlb-col</t>
        </is>
      </c>
      <c r="AQ27" s="24" t="inlineStr">
        <is>
          <t>Colorado Rockies</t>
        </is>
      </c>
      <c r="AR27" s="24" t="inlineStr">
        <is>
          <t>Colorado Rockies</t>
        </is>
      </c>
      <c r="AS27" s="24" t="inlineStr">
        <is>
          <t>mlb-sd</t>
        </is>
      </c>
      <c r="AT27" s="24" t="inlineStr">
        <is>
          <t>San Diego Padres</t>
        </is>
      </c>
      <c r="AU27" s="24" t="inlineStr">
        <is>
          <t>San Diego Padres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0633355b1144e4205ca6d08e3f328d99cab0970358846bd77228f3bcbfcd70ee</t>
        </is>
      </c>
      <c r="BB27" s="24" t="inlineStr">
        <is>
          <t>learned_lr</t>
        </is>
      </c>
      <c r="BC27" s="24" t="inlineStr">
        <is>
          <t>mlb-elo-trend-lr-v6</t>
        </is>
      </c>
      <c r="BD27" s="24" t="inlineStr">
        <is>
          <t>0633355b1144e4205ca6d08e3f328d99cab0970358846bd77228f3bcbfcd70ee</t>
        </is>
      </c>
      <c r="BE27" s="24" t="inlineStr">
        <is>
          <t>60e5bdc1faca52aa</t>
        </is>
      </c>
      <c r="BF27" s="24" t="inlineStr">
        <is>
          <t>1</t>
        </is>
      </c>
      <c r="BG27" s="24" t="inlineStr">
        <is>
          <t>mlb-elo-trend-lr-v6</t>
        </is>
      </c>
      <c r="BH27" s="24" t="inlineStr">
        <is>
          <t>2026-07-29T17:43:02.309112Z</t>
        </is>
      </c>
      <c r="BI27" s="24" t="inlineStr">
        <is>
          <t>["same_event","same_team_same_day","same_league_same_day"]</t>
        </is>
      </c>
      <c r="BJ27" s="25" t="n"/>
      <c r="BK27" s="26" t="n">
        <v>150</v>
      </c>
      <c r="BL27" s="27" t="n">
        <v>2.5</v>
      </c>
      <c r="BM27" s="28" t="n">
        <v>0.4</v>
      </c>
      <c r="BN27" s="28" t="n">
        <v>0.39801</v>
      </c>
      <c r="BO27" s="28" t="n"/>
      <c r="BP27" s="25" t="n"/>
      <c r="BQ27" s="27" t="n">
        <v>2.5</v>
      </c>
      <c r="BR27" s="28" t="n">
        <v>0.4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0.6881581363</t>
        </is>
      </c>
      <c r="CD27" s="24" t="inlineStr">
        <is>
          <t>2.156212</t>
        </is>
      </c>
      <c r="CE27" s="24" t="inlineStr">
        <is>
          <t>0.945</t>
        </is>
      </c>
      <c r="CF27" s="24" t="n"/>
      <c r="CG27" s="24" t="n"/>
      <c r="CH27" s="24" t="inlineStr">
        <is>
          <t>2.42</t>
        </is>
      </c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d6e9854bef234238</t>
        </is>
      </c>
      <c r="B28" s="24" t="inlineStr">
        <is>
          <t>2026-07-29T17:43:50.913671Z</t>
        </is>
      </c>
      <c r="C28" s="24" t="inlineStr">
        <is>
          <t>2026-07-29T19:40:00-0400</t>
        </is>
      </c>
      <c r="D28" s="24" t="inlineStr">
        <is>
          <t>401816315</t>
        </is>
      </c>
      <c r="E28" s="24" t="inlineStr">
        <is>
          <t>MLB</t>
        </is>
      </c>
      <c r="F28" s="24" t="inlineStr">
        <is>
          <t>Kansas City Royals</t>
        </is>
      </c>
      <c r="G28" s="24" t="inlineStr">
        <is>
          <t>Minnesota Twins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178</v>
      </c>
      <c r="M28" s="27" t="n">
        <v>2.78</v>
      </c>
      <c r="N28" s="28" t="n">
        <v>0.359712</v>
      </c>
      <c r="O28" s="28" t="n">
        <v>0.60967</v>
      </c>
      <c r="P28" s="28" t="n"/>
      <c r="Q28" s="28" t="n">
        <v>0.249958</v>
      </c>
      <c r="R28" s="26" t="n">
        <v>100</v>
      </c>
      <c r="S28" s="29" t="n">
        <v>1.5</v>
      </c>
      <c r="T28" s="24" t="inlineStr">
        <is>
          <t>mlb-elo-trend-lr-v6</t>
        </is>
      </c>
      <c r="U28" s="24" t="inlineStr">
        <is>
          <t>settled</t>
        </is>
      </c>
      <c r="V28" s="24" t="inlineStr">
        <is>
          <t>win</t>
        </is>
      </c>
      <c r="W28" s="26" t="n">
        <v>4</v>
      </c>
      <c r="X28" s="26" t="n">
        <v>0</v>
      </c>
      <c r="Y28" s="25" t="n"/>
      <c r="Z28" s="26" t="n">
        <v>178</v>
      </c>
      <c r="AA28" s="28" t="n">
        <v>0.36</v>
      </c>
      <c r="AB28" s="28" t="n">
        <v>0.000288</v>
      </c>
      <c r="AC28" s="30" t="n">
        <v>2.67</v>
      </c>
      <c r="AD28" s="24" t="inlineStr">
        <is>
          <t>2026-07-30T04:11:48.647344Z</t>
        </is>
      </c>
      <c r="AE28" s="31" t="inlineStr">
        <is>
          <t>Learned LR call at threshold 0.5690; executable ask 0.3600 (aec-mlb-kc-min-2026-07-29).</t>
        </is>
      </c>
      <c r="AF28" s="31" t="inlineStr">
        <is>
          <t>Learned model; shadow-qualified via operator override.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mlb-kc</t>
        </is>
      </c>
      <c r="AQ28" s="24" t="inlineStr">
        <is>
          <t>Kansas City Royals</t>
        </is>
      </c>
      <c r="AR28" s="24" t="inlineStr">
        <is>
          <t>Kansas City Royals</t>
        </is>
      </c>
      <c r="AS28" s="24" t="inlineStr">
        <is>
          <t>mlb-min</t>
        </is>
      </c>
      <c r="AT28" s="24" t="inlineStr">
        <is>
          <t>Minnesota Twins</t>
        </is>
      </c>
      <c r="AU28" s="24" t="inlineStr">
        <is>
          <t>Minnesota Twins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0633355b1144e4205ca6d08e3f328d99cab0970358846bd77228f3bcbfcd70ee</t>
        </is>
      </c>
      <c r="BB28" s="24" t="inlineStr">
        <is>
          <t>learned_lr</t>
        </is>
      </c>
      <c r="BC28" s="24" t="inlineStr">
        <is>
          <t>mlb-elo-trend-lr-v6</t>
        </is>
      </c>
      <c r="BD28" s="24" t="inlineStr">
        <is>
          <t>0633355b1144e4205ca6d08e3f328d99cab0970358846bd77228f3bcbfcd70ee</t>
        </is>
      </c>
      <c r="BE28" s="24" t="inlineStr">
        <is>
          <t>b93a857ee5bf807e</t>
        </is>
      </c>
      <c r="BF28" s="24" t="inlineStr">
        <is>
          <t>1</t>
        </is>
      </c>
      <c r="BG28" s="24" t="inlineStr">
        <is>
          <t>mlb-elo-trend-lr-v6</t>
        </is>
      </c>
      <c r="BH28" s="24" t="inlineStr">
        <is>
          <t>2026-07-29T17:43:06.195384Z</t>
        </is>
      </c>
      <c r="BI28" s="24" t="inlineStr">
        <is>
          <t>["same_event","same_team_same_day","same_league_same_day"]</t>
        </is>
      </c>
      <c r="BJ28" s="25" t="n"/>
      <c r="BK28" s="26" t="n">
        <v>178</v>
      </c>
      <c r="BL28" s="27" t="n">
        <v>2.78</v>
      </c>
      <c r="BM28" s="28" t="n">
        <v>0.359712</v>
      </c>
      <c r="BN28" s="28" t="n">
        <v>0.358209</v>
      </c>
      <c r="BO28" s="28" t="n"/>
      <c r="BP28" s="25" t="n"/>
      <c r="BQ28" s="27" t="n">
        <v>2.78</v>
      </c>
      <c r="BR28" s="28" t="n">
        <v>0.36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inlineStr">
        <is>
          <t>0.5494442227</t>
        </is>
      </c>
      <c r="CD28" s="24" t="inlineStr">
        <is>
          <t>0.040618</t>
        </is>
      </c>
      <c r="CE28" s="24" t="inlineStr">
        <is>
          <t>1.037</t>
        </is>
      </c>
      <c r="CF28" s="24" t="n"/>
      <c r="CG28" s="24" t="n"/>
      <c r="CH28" s="24" t="inlineStr">
        <is>
          <t>1.96</t>
        </is>
      </c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94b3ad28ea444fba</t>
        </is>
      </c>
      <c r="B29" s="24" t="inlineStr">
        <is>
          <t>2026-07-29T17:43:50.913671Z</t>
        </is>
      </c>
      <c r="C29" s="24" t="inlineStr">
        <is>
          <t>2026-07-29T21:40:00-0400</t>
        </is>
      </c>
      <c r="D29" s="24" t="inlineStr">
        <is>
          <t>401816317</t>
        </is>
      </c>
      <c r="E29" s="24" t="inlineStr">
        <is>
          <t>MLB</t>
        </is>
      </c>
      <c r="F29" s="24" t="inlineStr">
        <is>
          <t>Boston Red Sox</t>
        </is>
      </c>
      <c r="G29" s="24" t="inlineStr">
        <is>
          <t>Athletics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-141</v>
      </c>
      <c r="M29" s="27" t="n">
        <v>1.70922</v>
      </c>
      <c r="N29" s="28" t="n">
        <v>0.585062</v>
      </c>
      <c r="O29" s="28" t="n">
        <v>0.674823</v>
      </c>
      <c r="P29" s="28" t="n"/>
      <c r="Q29" s="28" t="n">
        <v>0.08976099999999999</v>
      </c>
      <c r="R29" s="26" t="n">
        <v>66</v>
      </c>
      <c r="S29" s="29" t="n">
        <v>2</v>
      </c>
      <c r="T29" s="24" t="inlineStr">
        <is>
          <t>mlb-elo-trend-lr-v6</t>
        </is>
      </c>
      <c r="U29" s="24" t="inlineStr">
        <is>
          <t>settled</t>
        </is>
      </c>
      <c r="V29" s="24" t="inlineStr">
        <is>
          <t>win</t>
        </is>
      </c>
      <c r="W29" s="26" t="n">
        <v>4</v>
      </c>
      <c r="X29" s="26" t="n">
        <v>2</v>
      </c>
      <c r="Y29" s="25" t="n"/>
      <c r="Z29" s="26" t="n">
        <v>-141</v>
      </c>
      <c r="AA29" s="28" t="n">
        <v>0.585</v>
      </c>
      <c r="AB29" s="28" t="n">
        <v>-6.2e-05</v>
      </c>
      <c r="AC29" s="30" t="n">
        <v>1.4184</v>
      </c>
      <c r="AD29" s="24" t="inlineStr">
        <is>
          <t>2026-07-30T05:40:56.205227Z</t>
        </is>
      </c>
      <c r="AE29" s="31" t="inlineStr">
        <is>
          <t>Learned LR call at threshold 0.5690; executable ask 0.5850 (aec-mlb-bos-ath-2026-07-29).</t>
        </is>
      </c>
      <c r="AF29" s="31" t="inlineStr">
        <is>
          <t>Learned model; shadow-qualified via operator override.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mlb-bos</t>
        </is>
      </c>
      <c r="AQ29" s="24" t="inlineStr">
        <is>
          <t>Boston Red Sox</t>
        </is>
      </c>
      <c r="AR29" s="24" t="inlineStr">
        <is>
          <t>Boston Red Sox</t>
        </is>
      </c>
      <c r="AS29" s="24" t="inlineStr">
        <is>
          <t>mlb-ath</t>
        </is>
      </c>
      <c r="AT29" s="24" t="inlineStr">
        <is>
          <t>Athletics</t>
        </is>
      </c>
      <c r="AU29" s="24" t="inlineStr">
        <is>
          <t>Athletics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0633355b1144e4205ca6d08e3f328d99cab0970358846bd77228f3bcbfcd70ee</t>
        </is>
      </c>
      <c r="BB29" s="24" t="inlineStr">
        <is>
          <t>learned_lr</t>
        </is>
      </c>
      <c r="BC29" s="24" t="inlineStr">
        <is>
          <t>mlb-elo-trend-lr-v6</t>
        </is>
      </c>
      <c r="BD29" s="24" t="inlineStr">
        <is>
          <t>0633355b1144e4205ca6d08e3f328d99cab0970358846bd77228f3bcbfcd70ee</t>
        </is>
      </c>
      <c r="BE29" s="24" t="inlineStr">
        <is>
          <t>93cfc12c40e6d755</t>
        </is>
      </c>
      <c r="BF29" s="24" t="inlineStr">
        <is>
          <t>1</t>
        </is>
      </c>
      <c r="BG29" s="24" t="inlineStr">
        <is>
          <t>mlb-elo-trend-lr-v6</t>
        </is>
      </c>
      <c r="BH29" s="24" t="inlineStr">
        <is>
          <t>2026-07-29T17:43:10.028043Z</t>
        </is>
      </c>
      <c r="BI29" s="24" t="inlineStr">
        <is>
          <t>["same_event","same_team_same_day","same_league_same_day"]</t>
        </is>
      </c>
      <c r="BJ29" s="25" t="n"/>
      <c r="BK29" s="26" t="n">
        <v>-141</v>
      </c>
      <c r="BL29" s="27" t="n">
        <v>1.70922</v>
      </c>
      <c r="BM29" s="28" t="n">
        <v>0.585062</v>
      </c>
      <c r="BN29" s="28" t="n">
        <v>0.58209</v>
      </c>
      <c r="BO29" s="28" t="n"/>
      <c r="BP29" s="25" t="n"/>
      <c r="BQ29" s="27" t="n">
        <v>1.70922</v>
      </c>
      <c r="BR29" s="28" t="n">
        <v>0.585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inlineStr">
        <is>
          <t>0.3891185316</t>
        </is>
      </c>
      <c r="CD29" s="24" t="inlineStr">
        <is>
          <t>-1.066043</t>
        </is>
      </c>
      <c r="CE29" s="24" t="inlineStr">
        <is>
          <t>1.153</t>
        </is>
      </c>
      <c r="CF29" s="24" t="n"/>
      <c r="CG29" s="24" t="n"/>
      <c r="CH29" s="24" t="inlineStr">
        <is>
          <t>2.91</t>
        </is>
      </c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5c59fb610fc44d22</t>
        </is>
      </c>
      <c r="B30" s="24" t="inlineStr">
        <is>
          <t>2026-07-29T17:43:50.913671Z</t>
        </is>
      </c>
      <c r="C30" s="24" t="inlineStr">
        <is>
          <t>2026-07-29T22:10:00-0400</t>
        </is>
      </c>
      <c r="D30" s="24" t="inlineStr">
        <is>
          <t>401816321</t>
        </is>
      </c>
      <c r="E30" s="24" t="inlineStr">
        <is>
          <t>MLB</t>
        </is>
      </c>
      <c r="F30" s="24" t="inlineStr">
        <is>
          <t>Seattle Mariners</t>
        </is>
      </c>
      <c r="G30" s="24" t="inlineStr">
        <is>
          <t>Los Angeles Dodgers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153</v>
      </c>
      <c r="M30" s="27" t="n">
        <v>2.53</v>
      </c>
      <c r="N30" s="28" t="n">
        <v>0.395257</v>
      </c>
      <c r="O30" s="28" t="n">
        <v>0.580323</v>
      </c>
      <c r="P30" s="28" t="n"/>
      <c r="Q30" s="28" t="n">
        <v>0.185066</v>
      </c>
      <c r="R30" s="26" t="n">
        <v>100</v>
      </c>
      <c r="S30" s="29" t="n">
        <v>1.25</v>
      </c>
      <c r="T30" s="24" t="inlineStr">
        <is>
          <t>mlb-elo-trend-lr-v6</t>
        </is>
      </c>
      <c r="U30" s="24" t="inlineStr">
        <is>
          <t>settled</t>
        </is>
      </c>
      <c r="V30" s="24" t="inlineStr">
        <is>
          <t>loss</t>
        </is>
      </c>
      <c r="W30" s="26" t="n">
        <v>2</v>
      </c>
      <c r="X30" s="26" t="n">
        <v>4</v>
      </c>
      <c r="Y30" s="25" t="n"/>
      <c r="Z30" s="26" t="n">
        <v>153</v>
      </c>
      <c r="AA30" s="28" t="n">
        <v>0.395</v>
      </c>
      <c r="AB30" s="28" t="n">
        <v>-0.000257</v>
      </c>
      <c r="AC30" s="30" t="n">
        <v>-1.25</v>
      </c>
      <c r="AD30" s="24" t="inlineStr">
        <is>
          <t>2026-07-30T05:40:56.350509Z</t>
        </is>
      </c>
      <c r="AE30" s="31" t="inlineStr">
        <is>
          <t>Learned LR call at threshold 0.5690; executable ask 0.3950 (aec-mlb-sea-lad-2026-07-29).</t>
        </is>
      </c>
      <c r="AF30" s="31" t="inlineStr">
        <is>
          <t>Learned model; shadow-qualified via operator override.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mlb-sea</t>
        </is>
      </c>
      <c r="AQ30" s="24" t="inlineStr">
        <is>
          <t>Seattle Mariners</t>
        </is>
      </c>
      <c r="AR30" s="24" t="inlineStr">
        <is>
          <t>Seattle Mariners</t>
        </is>
      </c>
      <c r="AS30" s="24" t="inlineStr">
        <is>
          <t>mlb-lad</t>
        </is>
      </c>
      <c r="AT30" s="24" t="inlineStr">
        <is>
          <t>Los Angeles Dodgers</t>
        </is>
      </c>
      <c r="AU30" s="24" t="inlineStr">
        <is>
          <t>Los Angeles Dodgers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0633355b1144e4205ca6d08e3f328d99cab0970358846bd77228f3bcbfcd70ee</t>
        </is>
      </c>
      <c r="BB30" s="24" t="inlineStr">
        <is>
          <t>learned_lr</t>
        </is>
      </c>
      <c r="BC30" s="24" t="inlineStr">
        <is>
          <t>mlb-elo-trend-lr-v6</t>
        </is>
      </c>
      <c r="BD30" s="24" t="inlineStr">
        <is>
          <t>0633355b1144e4205ca6d08e3f328d99cab0970358846bd77228f3bcbfcd70ee</t>
        </is>
      </c>
      <c r="BE30" s="24" t="inlineStr">
        <is>
          <t>cef2fcdedc4d9995</t>
        </is>
      </c>
      <c r="BF30" s="24" t="inlineStr">
        <is>
          <t>1</t>
        </is>
      </c>
      <c r="BG30" s="24" t="inlineStr">
        <is>
          <t>mlb-elo-trend-lr-v6</t>
        </is>
      </c>
      <c r="BH30" s="24" t="inlineStr">
        <is>
          <t>2026-07-29T17:43:11.216934Z</t>
        </is>
      </c>
      <c r="BI30" s="24" t="inlineStr">
        <is>
          <t>["same_event","same_team_same_day","same_league_same_day"]</t>
        </is>
      </c>
      <c r="BJ30" s="25" t="n"/>
      <c r="BK30" s="26" t="n">
        <v>153</v>
      </c>
      <c r="BL30" s="27" t="n">
        <v>2.53</v>
      </c>
      <c r="BM30" s="28" t="n">
        <v>0.395257</v>
      </c>
      <c r="BN30" s="28" t="n">
        <v>0.393035</v>
      </c>
      <c r="BO30" s="28" t="n"/>
      <c r="BP30" s="25" t="n"/>
      <c r="BQ30" s="27" t="n">
        <v>2.53</v>
      </c>
      <c r="BR30" s="28" t="n">
        <v>0.395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0.6258863376</t>
        </is>
      </c>
      <c r="CD30" s="24" t="inlineStr">
        <is>
          <t>-0.186858</t>
        </is>
      </c>
      <c r="CE30" s="24" t="inlineStr">
        <is>
          <t>1.026</t>
        </is>
      </c>
      <c r="CF30" s="24" t="n"/>
      <c r="CG30" s="24" t="n"/>
      <c r="CH30" s="24" t="inlineStr">
        <is>
          <t>1.67</t>
        </is>
      </c>
      <c r="CI30" s="24" t="n"/>
      <c r="CJ30" s="24" t="n"/>
      <c r="CK30" s="24" t="n"/>
      <c r="CL30" s="24" t="n"/>
      <c r="CM30" s="24" t="n"/>
      <c r="CN30" s="24" t="n"/>
      <c r="CO30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2026-07-30T16:45:28Z</dcterms:created>
  <dcterms:modified xsi:type="dcterms:W3CDTF">2026-07-30T16:45:28Z</dcterms:modified>
</cp:coreProperties>
</file>