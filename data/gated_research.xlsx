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44" headerRowCount="1">
  <autoFilter ref="A1:CO44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COUNTA('Picks'!$A$2:$A$44)</f>
        <v/>
      </c>
      <c r="C4" s="6">
        <f>COUNTIF('Picks'!$U$2:$U$44,"open")</f>
        <v/>
      </c>
      <c r="E4" s="6">
        <f>COUNTIF('Picks'!$U$2:$U$44,"settled")</f>
        <v/>
      </c>
      <c r="G4" s="6">
        <f>IF(COUNTIFS('Picks'!$U$2:$U$44,"settled",'Picks'!$V$2:$V$44,"win")+COUNTIFS('Picks'!$U$2:$U$44,"settled",'Picks'!$V$2:$V$44,"loss")&gt;=$L$2,"Ready","Insufficient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COUNTIF('Picks'!$BX$2:$BX$44,"&gt;0")</f>
        <v/>
      </c>
      <c r="C7" s="6">
        <f>COUNTIFS('Picks'!$BX$2:$BX$44,"&gt;0",'Picks'!$V$2:$V$44,"win")&amp;"-"&amp;COUNTIFS('Picks'!$BX$2:$BX$44,"&gt;0",'Picks'!$V$2:$V$44,"loss")</f>
        <v/>
      </c>
      <c r="E7" s="7">
        <f>IFERROR(COUNTIFS('Picks'!$BX$2:$BX$44,"&gt;0",'Picks'!$V$2:$V$44,"win")/(COUNTIFS('Picks'!$BX$2:$BX$44,"&gt;0",'Picks'!$V$2:$V$44,"win")+COUNTIFS('Picks'!$BX$2:$BX$44,"&gt;0",'Picks'!$V$2:$V$44,"loss")),0)</f>
        <v/>
      </c>
      <c r="G7" s="7">
        <f>IFERROR(SUM('Picks'!$BY$2:$BY$44)/SUM('Picks'!$BX$2:$BX$44),0)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SUM('Picks'!$BY$2:$BY$44)</f>
        <v/>
      </c>
      <c r="C10" s="9">
        <f>IFERROR(AVERAGEIF('Picks'!$AB$2:$AB$44,"&lt;&gt;",'Picks'!$AB$2:$AB$44),0)</f>
        <v/>
      </c>
      <c r="E10" s="6">
        <f>COUNTIFS('Picks'!$AM$2:$AM$44,"QUALIFIED_SHADOW_CALL",'Picks'!$U$2:$U$44,"settled")</f>
        <v/>
      </c>
      <c r="G10" s="8">
        <f>SUMIFS('Picks'!$AC$2:$AC$44,'Picks'!$AM$2:$AM$44,"QUALIFIED_SHADOW_CALL")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COUNTIFS('Picks'!$H$2:$H$44,$A14,'Picks'!$U$2:$U$44,"settled")</f>
        <v/>
      </c>
      <c r="C14" s="13">
        <f>COUNTIFS('Picks'!$H$2:$H$44,$A14,'Picks'!$U$2:$U$44,"settled",'Picks'!$V$2:$V$44,"win")</f>
        <v/>
      </c>
      <c r="D14" s="13">
        <f>COUNTIFS('Picks'!$H$2:$H$44,$A14,'Picks'!$U$2:$U$44,"settled",'Picks'!$V$2:$V$44,"loss")</f>
        <v/>
      </c>
      <c r="E14" s="14">
        <f>IFERROR(C14/(C14+D14),0)</f>
        <v/>
      </c>
      <c r="F14" s="15">
        <f>SUMIFS('Picks'!$BY$2:$BY$44,'Picks'!$H$2:$H$44,$A14)</f>
        <v/>
      </c>
      <c r="G14" s="16">
        <f>IFERROR(AVERAGEIFS('Picks'!$AB$2:$AB$44,'Picks'!$H$2:$H$44,$A14,'Picks'!$U$2:$U$44,"settled"),0)</f>
        <v/>
      </c>
    </row>
    <row r="15">
      <c r="A15" s="17" t="inlineStr">
        <is>
          <t>spread</t>
        </is>
      </c>
      <c r="B15" s="18">
        <f>COUNTIFS('Picks'!$H$2:$H$44,$A15,'Picks'!$U$2:$U$44,"settled")</f>
        <v/>
      </c>
      <c r="C15" s="18">
        <f>COUNTIFS('Picks'!$H$2:$H$44,$A15,'Picks'!$U$2:$U$44,"settled",'Picks'!$V$2:$V$44,"win")</f>
        <v/>
      </c>
      <c r="D15" s="18">
        <f>COUNTIFS('Picks'!$H$2:$H$44,$A15,'Picks'!$U$2:$U$44,"settled",'Picks'!$V$2:$V$44,"loss")</f>
        <v/>
      </c>
      <c r="E15" s="19">
        <f>IFERROR(C15/(C15+D15),0)</f>
        <v/>
      </c>
      <c r="F15" s="20">
        <f>SUMIFS('Picks'!$BY$2:$BY$44,'Picks'!$H$2:$H$44,$A15)</f>
        <v/>
      </c>
      <c r="G15" s="21">
        <f>IFERROR(AVERAGEIFS('Picks'!$AB$2:$AB$44,'Picks'!$H$2:$H$44,$A15,'Picks'!$U$2:$U$44,"settled"),0)</f>
        <v/>
      </c>
    </row>
    <row r="16">
      <c r="A16" s="12" t="inlineStr">
        <is>
          <t>total</t>
        </is>
      </c>
      <c r="B16" s="13">
        <f>COUNTIFS('Picks'!$H$2:$H$44,$A16,'Picks'!$U$2:$U$44,"settled")</f>
        <v/>
      </c>
      <c r="C16" s="13">
        <f>COUNTIFS('Picks'!$H$2:$H$44,$A16,'Picks'!$U$2:$U$44,"settled",'Picks'!$V$2:$V$44,"win")</f>
        <v/>
      </c>
      <c r="D16" s="13">
        <f>COUNTIFS('Picks'!$H$2:$H$44,$A16,'Picks'!$U$2:$U$44,"settled",'Picks'!$V$2:$V$44,"loss")</f>
        <v/>
      </c>
      <c r="E16" s="14">
        <f>IFERROR(C16/(C16+D16),0)</f>
        <v/>
      </c>
      <c r="F16" s="15">
        <f>SUMIFS('Picks'!$BY$2:$BY$44,'Picks'!$H$2:$H$44,$A16)</f>
        <v/>
      </c>
      <c r="G16" s="16">
        <f>IFERROR(AVERAGEIFS('Picks'!$AB$2:$AB$44,'Picks'!$H$2:$H$44,$A16,'Picks'!$U$2:$U$44,"settled"),0)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5731c8f737ac4537</t>
        </is>
      </c>
      <c r="B2" s="24" t="inlineStr">
        <is>
          <t>2026-07-24T23:41:30.416364Z</t>
        </is>
      </c>
      <c r="C2" s="24" t="inlineStr">
        <is>
          <t>2026-07-25T14:00:00Z</t>
        </is>
      </c>
      <c r="D2" s="24" t="inlineStr">
        <is>
          <t>61041</t>
        </is>
      </c>
      <c r="E2" s="24" t="inlineStr">
        <is>
          <t>CS2</t>
        </is>
      </c>
      <c r="F2" s="24" t="inlineStr">
        <is>
          <t>Just Players</t>
        </is>
      </c>
      <c r="G2" s="24" t="inlineStr">
        <is>
          <t>Black Phoenix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-156</v>
      </c>
      <c r="M2" s="27" t="n">
        <v>1.641026</v>
      </c>
      <c r="N2" s="28" t="n">
        <v>0.609375</v>
      </c>
      <c r="O2" s="28" t="n">
        <v>0.700263</v>
      </c>
      <c r="P2" s="28" t="n"/>
      <c r="Q2" s="28" t="n">
        <v>0.090888</v>
      </c>
      <c r="R2" s="26" t="n">
        <v>65</v>
      </c>
      <c r="S2" s="29" t="n">
        <v>1.5</v>
      </c>
      <c r="T2" s="24" t="inlineStr">
        <is>
          <t>cs2-tiered-elo-v4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/>
      <c r="AA2" s="28" t="n"/>
      <c r="AB2" s="28" t="n"/>
      <c r="AC2" s="30" t="n">
        <v>0.9615</v>
      </c>
      <c r="AD2" s="24" t="inlineStr">
        <is>
          <t>2026-07-25T15:26:46.828374Z</t>
        </is>
      </c>
      <c r="AE2" s="31" t="inlineStr">
        <is>
          <t>Neutral Elo baseline; executable ask 0.6100 (market_slug=aec-cs2-bpl-jpu-2026-07-25).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Just Players</t>
        </is>
      </c>
      <c r="AQ2" s="24" t="inlineStr">
        <is>
          <t>Just Players</t>
        </is>
      </c>
      <c r="AR2" s="24" t="inlineStr">
        <is>
          <t>Just Players</t>
        </is>
      </c>
      <c r="AS2" s="24" t="inlineStr">
        <is>
          <t>Black Phoenix</t>
        </is>
      </c>
      <c r="AT2" s="24" t="inlineStr">
        <is>
          <t>Black Phoenix</t>
        </is>
      </c>
      <c r="AU2" s="24" t="inlineStr">
        <is>
          <t>Black Phoenix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e9c327ce15d79aaa8ed5032a6fb86929aaa479e14a8bc9a35686411400dd6b91</t>
        </is>
      </c>
      <c r="BB2" s="24" t="inlineStr">
        <is>
          <t>neutral_elo</t>
        </is>
      </c>
      <c r="BC2" s="24" t="inlineStr">
        <is>
          <t>cs2-tiered-elo-v4</t>
        </is>
      </c>
      <c r="BD2" s="24" t="inlineStr">
        <is>
          <t>e9c327ce15d79aaa8ed5032a6fb86929aaa479e14a8bc9a35686411400dd6b91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cs2-tiered-elo-v4</t>
        </is>
      </c>
      <c r="BH2" s="24" t="inlineStr">
        <is>
          <t>2026-07-24T23:41:23.355814Z</t>
        </is>
      </c>
      <c r="BI2" s="24" t="inlineStr">
        <is>
          <t>["same_event","same_team_same_day","same_league_same_day"]</t>
        </is>
      </c>
      <c r="BJ2" s="25" t="n"/>
      <c r="BK2" s="26" t="n">
        <v>-156</v>
      </c>
      <c r="BL2" s="27" t="n">
        <v>1.641026</v>
      </c>
      <c r="BM2" s="28" t="n">
        <v>0.609375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f33dad858ec44b5e</t>
        </is>
      </c>
      <c r="B3" s="24" t="inlineStr">
        <is>
          <t>2026-07-25T15:59:58.806015Z</t>
        </is>
      </c>
      <c r="C3" s="24" t="inlineStr">
        <is>
          <t>2026-07-25T16:00:00Z</t>
        </is>
      </c>
      <c r="D3" s="24" t="inlineStr">
        <is>
          <t>60140</t>
        </is>
      </c>
      <c r="E3" s="24" t="inlineStr">
        <is>
          <t>DOTA2</t>
        </is>
      </c>
      <c r="F3" s="24" t="inlineStr">
        <is>
          <t>PuckChamp</t>
        </is>
      </c>
      <c r="G3" s="24" t="inlineStr">
        <is>
          <t>KW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127</v>
      </c>
      <c r="M3" s="27" t="n">
        <v>2.27</v>
      </c>
      <c r="N3" s="28" t="n">
        <v>0.440529</v>
      </c>
      <c r="O3" s="28" t="n">
        <v>0.521452</v>
      </c>
      <c r="P3" s="28" t="n"/>
      <c r="Q3" s="28" t="n">
        <v>0.08092299999999999</v>
      </c>
      <c r="R3" s="26" t="n">
        <v>60</v>
      </c>
      <c r="S3" s="29" t="n">
        <v>0.75</v>
      </c>
      <c r="T3" s="24" t="inlineStr">
        <is>
          <t>dota2-tiered-elo-v4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/>
      <c r="AA3" s="28" t="n"/>
      <c r="AB3" s="28" t="n"/>
      <c r="AC3" s="30" t="n">
        <v>-0.75</v>
      </c>
      <c r="AD3" s="24" t="inlineStr">
        <is>
          <t>2026-07-25T19:18:13.769124Z</t>
        </is>
      </c>
      <c r="AE3" s="31" t="inlineStr">
        <is>
          <t>Neutral Elo baseline; executable ask 0.4400 (market_slug=aec-dota2-kw-pckcp-2026-07-25).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PuckChamp</t>
        </is>
      </c>
      <c r="AQ3" s="24" t="inlineStr">
        <is>
          <t>PuckChamp</t>
        </is>
      </c>
      <c r="AR3" s="24" t="inlineStr">
        <is>
          <t>PuckChamp</t>
        </is>
      </c>
      <c r="AS3" s="24" t="inlineStr">
        <is>
          <t>KW</t>
        </is>
      </c>
      <c r="AT3" s="24" t="inlineStr">
        <is>
          <t>KW</t>
        </is>
      </c>
      <c r="AU3" s="24" t="inlineStr">
        <is>
          <t>KW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d08d23d003cdc05b1cc5be7d2e52d9f477153e66ad3c7ec5e0f446618fcfe82f</t>
        </is>
      </c>
      <c r="BB3" s="24" t="inlineStr">
        <is>
          <t>neutral_elo</t>
        </is>
      </c>
      <c r="BC3" s="24" t="inlineStr">
        <is>
          <t>dota2-tiered-elo-v4</t>
        </is>
      </c>
      <c r="BD3" s="24" t="inlineStr">
        <is>
          <t>d08d23d003cdc05b1cc5be7d2e52d9f477153e66ad3c7ec5e0f446618fcfe82f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dota2-tiered-elo-v4</t>
        </is>
      </c>
      <c r="BH3" s="24" t="inlineStr">
        <is>
          <t>2026-07-25T15:59:58.057321Z</t>
        </is>
      </c>
      <c r="BI3" s="24" t="inlineStr">
        <is>
          <t>["same_event","same_team_same_day","same_league_same_day"]</t>
        </is>
      </c>
      <c r="BJ3" s="25" t="n"/>
      <c r="BK3" s="26" t="n">
        <v>127</v>
      </c>
      <c r="BL3" s="27" t="n">
        <v>2.27</v>
      </c>
      <c r="BM3" s="28" t="n">
        <v>0.440529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635c46b99f6e4aee</t>
        </is>
      </c>
      <c r="B4" s="24" t="inlineStr">
        <is>
          <t>2026-07-25T16:16:17.517287Z</t>
        </is>
      </c>
      <c r="C4" s="24" t="inlineStr">
        <is>
          <t>2026-07-25T17:00:00Z</t>
        </is>
      </c>
      <c r="D4" s="24" t="inlineStr">
        <is>
          <t>59392</t>
        </is>
      </c>
      <c r="E4" s="24" t="inlineStr">
        <is>
          <t>LOL</t>
        </is>
      </c>
      <c r="F4" s="24" t="inlineStr">
        <is>
          <t>Movistar KOI</t>
        </is>
      </c>
      <c r="G4" s="24" t="inlineStr">
        <is>
          <t>Karmine Corp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-203</v>
      </c>
      <c r="M4" s="27" t="n">
        <v>1.492611</v>
      </c>
      <c r="N4" s="28" t="n">
        <v>0.669967</v>
      </c>
      <c r="O4" s="28" t="n">
        <v>0.761127</v>
      </c>
      <c r="P4" s="28" t="n"/>
      <c r="Q4" s="28" t="n">
        <v>0.09116</v>
      </c>
      <c r="R4" s="26" t="n">
        <v>66</v>
      </c>
      <c r="S4" s="29" t="n">
        <v>2</v>
      </c>
      <c r="T4" s="24" t="inlineStr">
        <is>
          <t>lol-tiered-elo-v4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0.9852</v>
      </c>
      <c r="AD4" s="24" t="inlineStr">
        <is>
          <t>2026-07-25T19:18:15.146692Z</t>
        </is>
      </c>
      <c r="AE4" s="31" t="inlineStr">
        <is>
          <t>Neutral Elo baseline; executable ask 0.6700 (market_slug=aec-lol-kc-mkoi-2026-07-25).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Movistar KOI</t>
        </is>
      </c>
      <c r="AQ4" s="24" t="inlineStr">
        <is>
          <t>Movistar KOI</t>
        </is>
      </c>
      <c r="AR4" s="24" t="inlineStr">
        <is>
          <t>Movistar KOI</t>
        </is>
      </c>
      <c r="AS4" s="24" t="inlineStr">
        <is>
          <t>Karmine Corp</t>
        </is>
      </c>
      <c r="AT4" s="24" t="inlineStr">
        <is>
          <t>Karmine Corp</t>
        </is>
      </c>
      <c r="AU4" s="24" t="inlineStr">
        <is>
          <t>Karmine Corp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35087e828a0053011a97024de693e2ee7eb80eb03024c91d28d254de09d93778</t>
        </is>
      </c>
      <c r="BB4" s="24" t="inlineStr">
        <is>
          <t>neutral_elo</t>
        </is>
      </c>
      <c r="BC4" s="24" t="inlineStr">
        <is>
          <t>lol-tiered-elo-v4</t>
        </is>
      </c>
      <c r="BD4" s="24" t="inlineStr">
        <is>
          <t>35087e828a0053011a97024de693e2ee7eb80eb03024c91d28d254de09d93778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lol-tiered-elo-v4</t>
        </is>
      </c>
      <c r="BH4" s="24" t="inlineStr">
        <is>
          <t>2026-07-25T16:16:06.872882Z</t>
        </is>
      </c>
      <c r="BI4" s="24" t="inlineStr">
        <is>
          <t>["same_event","same_team_same_day","same_league_same_day"]</t>
        </is>
      </c>
      <c r="BJ4" s="25" t="n"/>
      <c r="BK4" s="26" t="n">
        <v>-203</v>
      </c>
      <c r="BL4" s="27" t="n">
        <v>1.492611</v>
      </c>
      <c r="BM4" s="28" t="n">
        <v>0.669967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cbcaf934fa5848e5</t>
        </is>
      </c>
      <c r="B5" s="24" t="inlineStr">
        <is>
          <t>2026-07-26T08:22:32.657968Z</t>
        </is>
      </c>
      <c r="C5" s="24" t="inlineStr">
        <is>
          <t>2026-07-26T11:00:00Z</t>
        </is>
      </c>
      <c r="D5" s="24" t="inlineStr">
        <is>
          <t>61824</t>
        </is>
      </c>
      <c r="E5" s="24" t="inlineStr">
        <is>
          <t>CS2</t>
        </is>
      </c>
      <c r="F5" s="24" t="inlineStr">
        <is>
          <t>ex-MANA eSports</t>
        </is>
      </c>
      <c r="G5" s="24" t="inlineStr">
        <is>
          <t>NEW VISION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-113</v>
      </c>
      <c r="M5" s="27" t="n">
        <v>1.884956</v>
      </c>
      <c r="N5" s="28" t="n">
        <v>0.530516</v>
      </c>
      <c r="O5" s="28" t="n">
        <v>0.621956</v>
      </c>
      <c r="P5" s="28" t="n"/>
      <c r="Q5" s="28" t="n">
        <v>0.09143999999999999</v>
      </c>
      <c r="R5" s="26" t="n">
        <v>66</v>
      </c>
      <c r="S5" s="29" t="n">
        <v>1.75</v>
      </c>
      <c r="T5" s="24" t="inlineStr">
        <is>
          <t>cs2-tiered-elo-v4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Neutral Elo baseline; executable ask 0.5300 (market_slug=aec-cs2-nve-exmana-2026-07-26).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ex-MANA eSports</t>
        </is>
      </c>
      <c r="AQ5" s="24" t="inlineStr">
        <is>
          <t>ex-MANA eSports</t>
        </is>
      </c>
      <c r="AR5" s="24" t="inlineStr">
        <is>
          <t>ex-MANA eSports</t>
        </is>
      </c>
      <c r="AS5" s="24" t="inlineStr">
        <is>
          <t>NEW VISION</t>
        </is>
      </c>
      <c r="AT5" s="24" t="inlineStr">
        <is>
          <t>NEW VISION</t>
        </is>
      </c>
      <c r="AU5" s="24" t="inlineStr">
        <is>
          <t>NEW VISION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e9c327ce15d79aaa8ed5032a6fb86929aaa479e14a8bc9a35686411400dd6b91</t>
        </is>
      </c>
      <c r="BB5" s="24" t="inlineStr">
        <is>
          <t>neutral_elo</t>
        </is>
      </c>
      <c r="BC5" s="24" t="inlineStr">
        <is>
          <t>cs2-tiered-elo-v4</t>
        </is>
      </c>
      <c r="BD5" s="24" t="inlineStr">
        <is>
          <t>e9c327ce15d79aaa8ed5032a6fb86929aaa479e14a8bc9a35686411400dd6b91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cs2-tiered-elo-v4</t>
        </is>
      </c>
      <c r="BH5" s="24" t="inlineStr">
        <is>
          <t>2026-07-26T08:21:51.887770Z</t>
        </is>
      </c>
      <c r="BI5" s="24" t="inlineStr">
        <is>
          <t>["same_event","same_team_same_day","same_league_same_day"]</t>
        </is>
      </c>
      <c r="BJ5" s="25" t="n"/>
      <c r="BK5" s="26" t="n">
        <v>-113</v>
      </c>
      <c r="BL5" s="27" t="n">
        <v>1.884956</v>
      </c>
      <c r="BM5" s="28" t="n">
        <v>0.530516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46dc1bd359354ed3</t>
        </is>
      </c>
      <c r="B6" s="24" t="inlineStr">
        <is>
          <t>2026-07-26T12:49:32.359065Z</t>
        </is>
      </c>
      <c r="C6" s="24" t="inlineStr">
        <is>
          <t>2026-07-26T13:00:00Z</t>
        </is>
      </c>
      <c r="D6" s="24" t="inlineStr">
        <is>
          <t>60120</t>
        </is>
      </c>
      <c r="E6" s="24" t="inlineStr">
        <is>
          <t>LOL</t>
        </is>
      </c>
      <c r="F6" s="24" t="inlineStr">
        <is>
          <t>Team High Ground</t>
        </is>
      </c>
      <c r="G6" s="24" t="inlineStr">
        <is>
          <t>Galions Sharks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144</v>
      </c>
      <c r="M6" s="27" t="n">
        <v>2.44</v>
      </c>
      <c r="N6" s="28" t="n">
        <v>0.409836</v>
      </c>
      <c r="O6" s="28" t="n">
        <v>0.5456</v>
      </c>
      <c r="P6" s="28" t="n"/>
      <c r="Q6" s="28" t="n">
        <v>0.135764</v>
      </c>
      <c r="R6" s="26" t="n">
        <v>88</v>
      </c>
      <c r="S6" s="29" t="n">
        <v>1</v>
      </c>
      <c r="T6" s="24" t="inlineStr">
        <is>
          <t>lol-tiered-elo-v4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Neutral Elo baseline; executable ask 0.4100 (market_slug=aec-lol-gls-thg-2026-07-26).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Team High Ground</t>
        </is>
      </c>
      <c r="AQ6" s="24" t="inlineStr">
        <is>
          <t>Team High Ground</t>
        </is>
      </c>
      <c r="AR6" s="24" t="inlineStr">
        <is>
          <t>Team High Ground</t>
        </is>
      </c>
      <c r="AS6" s="24" t="inlineStr">
        <is>
          <t>Galions Sharks</t>
        </is>
      </c>
      <c r="AT6" s="24" t="inlineStr">
        <is>
          <t>Galions Sharks</t>
        </is>
      </c>
      <c r="AU6" s="24" t="inlineStr">
        <is>
          <t>Galions Sharks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35087e828a0053011a97024de693e2ee7eb80eb03024c91d28d254de09d93778</t>
        </is>
      </c>
      <c r="BB6" s="24" t="inlineStr">
        <is>
          <t>neutral_elo</t>
        </is>
      </c>
      <c r="BC6" s="24" t="inlineStr">
        <is>
          <t>lol-tiered-elo-v4</t>
        </is>
      </c>
      <c r="BD6" s="24" t="inlineStr">
        <is>
          <t>35087e828a0053011a97024de693e2ee7eb80eb03024c91d28d254de09d93778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lol-tiered-elo-v4</t>
        </is>
      </c>
      <c r="BH6" s="24" t="inlineStr">
        <is>
          <t>2026-07-26T12:49:10.049609Z</t>
        </is>
      </c>
      <c r="BI6" s="24" t="inlineStr">
        <is>
          <t>["same_event","same_team_same_day","same_league_same_day"]</t>
        </is>
      </c>
      <c r="BJ6" s="25" t="n"/>
      <c r="BK6" s="26" t="n">
        <v>144</v>
      </c>
      <c r="BL6" s="27" t="n">
        <v>2.44</v>
      </c>
      <c r="BM6" s="28" t="n">
        <v>0.409836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808e212cb7534e81</t>
        </is>
      </c>
      <c r="B7" s="24" t="inlineStr">
        <is>
          <t>2026-07-26T12:49:32.359065Z</t>
        </is>
      </c>
      <c r="C7" s="24" t="inlineStr">
        <is>
          <t>2026-07-26T14:00:00Z</t>
        </is>
      </c>
      <c r="D7" s="24" t="inlineStr">
        <is>
          <t>60131</t>
        </is>
      </c>
      <c r="E7" s="24" t="inlineStr">
        <is>
          <t>LOL</t>
        </is>
      </c>
      <c r="F7" s="24" t="inlineStr">
        <is>
          <t>Caldya Esport</t>
        </is>
      </c>
      <c r="G7" s="24" t="inlineStr">
        <is>
          <t>Lille Esport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-213</v>
      </c>
      <c r="M7" s="27" t="n">
        <v>1.469484</v>
      </c>
      <c r="N7" s="28" t="n">
        <v>0.680511</v>
      </c>
      <c r="O7" s="28" t="n">
        <v>0.641875</v>
      </c>
      <c r="P7" s="28" t="n"/>
      <c r="Q7" s="28" t="n">
        <v>-0.038636</v>
      </c>
      <c r="R7" s="26" t="n">
        <v>1</v>
      </c>
      <c r="S7" s="29" t="n">
        <v>2</v>
      </c>
      <c r="T7" s="24" t="inlineStr">
        <is>
          <t>lol-tiered-elo-v4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Neutral Elo baseline; executable ask 0.6800 (market_slug=aec-lol-lil-cla-2026-07-26).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Caldya Esport</t>
        </is>
      </c>
      <c r="AQ7" s="24" t="inlineStr">
        <is>
          <t>Caldya Esport</t>
        </is>
      </c>
      <c r="AR7" s="24" t="inlineStr">
        <is>
          <t>Caldya Esport</t>
        </is>
      </c>
      <c r="AS7" s="24" t="inlineStr">
        <is>
          <t>Lille Esport</t>
        </is>
      </c>
      <c r="AT7" s="24" t="inlineStr">
        <is>
          <t>Lille Esport</t>
        </is>
      </c>
      <c r="AU7" s="24" t="inlineStr">
        <is>
          <t>Lille Esport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35087e828a0053011a97024de693e2ee7eb80eb03024c91d28d254de09d93778</t>
        </is>
      </c>
      <c r="BB7" s="24" t="inlineStr">
        <is>
          <t>neutral_elo</t>
        </is>
      </c>
      <c r="BC7" s="24" t="inlineStr">
        <is>
          <t>lol-tiered-elo-v4</t>
        </is>
      </c>
      <c r="BD7" s="24" t="inlineStr">
        <is>
          <t>35087e828a0053011a97024de693e2ee7eb80eb03024c91d28d254de09d93778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lol-tiered-elo-v4</t>
        </is>
      </c>
      <c r="BH7" s="24" t="inlineStr">
        <is>
          <t>2026-07-26T12:49:10.919487Z</t>
        </is>
      </c>
      <c r="BI7" s="24" t="inlineStr">
        <is>
          <t>["same_event","same_team_same_day","same_league_same_day"]</t>
        </is>
      </c>
      <c r="BJ7" s="25" t="n"/>
      <c r="BK7" s="26" t="n">
        <v>-213</v>
      </c>
      <c r="BL7" s="27" t="n">
        <v>1.469484</v>
      </c>
      <c r="BM7" s="28" t="n">
        <v>0.680511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7015fea8b1eb49d6</t>
        </is>
      </c>
      <c r="B8" s="24" t="inlineStr">
        <is>
          <t>2026-07-26T12:49:32.359065Z</t>
        </is>
      </c>
      <c r="C8" s="24" t="inlineStr">
        <is>
          <t>2026-07-26T17:00:00Z</t>
        </is>
      </c>
      <c r="D8" s="24" t="inlineStr">
        <is>
          <t>60180</t>
        </is>
      </c>
      <c r="E8" s="24" t="inlineStr">
        <is>
          <t>LOL</t>
        </is>
      </c>
      <c r="F8" s="24" t="inlineStr">
        <is>
          <t>Karmine Corp</t>
        </is>
      </c>
      <c r="G8" s="24" t="inlineStr">
        <is>
          <t>G2 Esports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150</v>
      </c>
      <c r="M8" s="27" t="n">
        <v>2.5</v>
      </c>
      <c r="N8" s="28" t="n">
        <v>0.4</v>
      </c>
      <c r="O8" s="28" t="n">
        <v>0.621842</v>
      </c>
      <c r="P8" s="28" t="n"/>
      <c r="Q8" s="28" t="n">
        <v>0.221842</v>
      </c>
      <c r="R8" s="26" t="n">
        <v>100</v>
      </c>
      <c r="S8" s="29" t="n">
        <v>1.75</v>
      </c>
      <c r="T8" s="24" t="inlineStr">
        <is>
          <t>lol-tiered-elo-v4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0.4000 (market_slug=aec-lol-g2-kc-2026-07-26).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Karmine Corp</t>
        </is>
      </c>
      <c r="AQ8" s="24" t="inlineStr">
        <is>
          <t>Karmine Corp</t>
        </is>
      </c>
      <c r="AR8" s="24" t="inlineStr">
        <is>
          <t>Karmine Corp</t>
        </is>
      </c>
      <c r="AS8" s="24" t="inlineStr">
        <is>
          <t>G2 Esports</t>
        </is>
      </c>
      <c r="AT8" s="24" t="inlineStr">
        <is>
          <t>G2 Esports</t>
        </is>
      </c>
      <c r="AU8" s="24" t="inlineStr">
        <is>
          <t>G2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35087e828a0053011a97024de693e2ee7eb80eb03024c91d28d254de09d93778</t>
        </is>
      </c>
      <c r="BB8" s="24" t="inlineStr">
        <is>
          <t>neutral_elo</t>
        </is>
      </c>
      <c r="BC8" s="24" t="inlineStr">
        <is>
          <t>lol-tiered-elo-v4</t>
        </is>
      </c>
      <c r="BD8" s="24" t="inlineStr">
        <is>
          <t>35087e828a0053011a97024de693e2ee7eb80eb03024c91d28d254de09d93778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lol-tiered-elo-v4</t>
        </is>
      </c>
      <c r="BH8" s="24" t="inlineStr">
        <is>
          <t>2026-07-26T12:49:13.248928Z</t>
        </is>
      </c>
      <c r="BI8" s="24" t="inlineStr">
        <is>
          <t>["same_event","same_team_same_day","same_league_same_day"]</t>
        </is>
      </c>
      <c r="BJ8" s="25" t="n"/>
      <c r="BK8" s="26" t="n">
        <v>150</v>
      </c>
      <c r="BL8" s="27" t="n">
        <v>2.5</v>
      </c>
      <c r="BM8" s="28" t="n">
        <v>0.4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1a4eefc540094895</t>
        </is>
      </c>
      <c r="B9" s="24" t="inlineStr">
        <is>
          <t>2026-07-26T12:49:32.359065Z</t>
        </is>
      </c>
      <c r="C9" s="24" t="inlineStr">
        <is>
          <t>2026-07-26T20:00:00Z</t>
        </is>
      </c>
      <c r="D9" s="24" t="inlineStr">
        <is>
          <t>60465</t>
        </is>
      </c>
      <c r="E9" s="24" t="inlineStr">
        <is>
          <t>LOL</t>
        </is>
      </c>
      <c r="F9" s="24" t="inlineStr">
        <is>
          <t>Cloud9</t>
        </is>
      </c>
      <c r="G9" s="24" t="inlineStr">
        <is>
          <t>Team Liquid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-138</v>
      </c>
      <c r="M9" s="27" t="n">
        <v>1.724638</v>
      </c>
      <c r="N9" s="28" t="n">
        <v>0.579832</v>
      </c>
      <c r="O9" s="28" t="n">
        <v>0.723066</v>
      </c>
      <c r="P9" s="28" t="n"/>
      <c r="Q9" s="28" t="n">
        <v>0.143234</v>
      </c>
      <c r="R9" s="26" t="n">
        <v>92</v>
      </c>
      <c r="S9" s="29" t="n">
        <v>2</v>
      </c>
      <c r="T9" s="24" t="inlineStr">
        <is>
          <t>lol-tiered-elo-v4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Neutral Elo baseline; executable ask 0.5800 (market_slug=aec-lol-tl-c9-2026-07-26).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Cloud9</t>
        </is>
      </c>
      <c r="AQ9" s="24" t="inlineStr">
        <is>
          <t>Cloud9</t>
        </is>
      </c>
      <c r="AR9" s="24" t="inlineStr">
        <is>
          <t>Cloud9</t>
        </is>
      </c>
      <c r="AS9" s="24" t="inlineStr">
        <is>
          <t>Team Liquid</t>
        </is>
      </c>
      <c r="AT9" s="24" t="inlineStr">
        <is>
          <t>Team Liquid</t>
        </is>
      </c>
      <c r="AU9" s="24" t="inlineStr">
        <is>
          <t>Team Liquid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35087e828a0053011a97024de693e2ee7eb80eb03024c91d28d254de09d93778</t>
        </is>
      </c>
      <c r="BB9" s="24" t="inlineStr">
        <is>
          <t>neutral_elo</t>
        </is>
      </c>
      <c r="BC9" s="24" t="inlineStr">
        <is>
          <t>lol-tiered-elo-v4</t>
        </is>
      </c>
      <c r="BD9" s="24" t="inlineStr">
        <is>
          <t>35087e828a0053011a97024de693e2ee7eb80eb03024c91d28d254de09d93778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lol-tiered-elo-v4</t>
        </is>
      </c>
      <c r="BH9" s="24" t="inlineStr">
        <is>
          <t>2026-07-26T12:49:14.812794Z</t>
        </is>
      </c>
      <c r="BI9" s="24" t="inlineStr">
        <is>
          <t>["same_event","same_team_same_day","same_league_same_day"]</t>
        </is>
      </c>
      <c r="BJ9" s="25" t="n"/>
      <c r="BK9" s="26" t="n">
        <v>-138</v>
      </c>
      <c r="BL9" s="27" t="n">
        <v>1.724638</v>
      </c>
      <c r="BM9" s="28" t="n">
        <v>0.579832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b26fb366a5904bbc</t>
        </is>
      </c>
      <c r="B10" s="24" t="inlineStr">
        <is>
          <t>2026-07-26T12:49:32.359065Z</t>
        </is>
      </c>
      <c r="C10" s="24" t="inlineStr">
        <is>
          <t>2026-07-26T23:00:00Z</t>
        </is>
      </c>
      <c r="D10" s="24" t="inlineStr">
        <is>
          <t>60600</t>
        </is>
      </c>
      <c r="E10" s="24" t="inlineStr">
        <is>
          <t>LOL</t>
        </is>
      </c>
      <c r="F10" s="24" t="inlineStr">
        <is>
          <t>Disguised</t>
        </is>
      </c>
      <c r="G10" s="24" t="inlineStr">
        <is>
          <t>Shopify Rebellion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-133</v>
      </c>
      <c r="M10" s="27" t="n">
        <v>1.75188</v>
      </c>
      <c r="N10" s="28" t="n">
        <v>0.570815</v>
      </c>
      <c r="O10" s="28" t="n">
        <v>0.543543</v>
      </c>
      <c r="P10" s="28" t="n"/>
      <c r="Q10" s="28" t="n">
        <v>-0.027272</v>
      </c>
      <c r="R10" s="26" t="n">
        <v>6</v>
      </c>
      <c r="S10" s="29" t="n">
        <v>1</v>
      </c>
      <c r="T10" s="24" t="inlineStr">
        <is>
          <t>lol-tiered-elo-v4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0.5700 (market_slug=aec-lol-sr-dsg-2026-07-26).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Disguised</t>
        </is>
      </c>
      <c r="AQ10" s="24" t="inlineStr">
        <is>
          <t>Disguised</t>
        </is>
      </c>
      <c r="AR10" s="24" t="inlineStr">
        <is>
          <t>Disguised</t>
        </is>
      </c>
      <c r="AS10" s="24" t="inlineStr">
        <is>
          <t>Shopify Rebellion</t>
        </is>
      </c>
      <c r="AT10" s="24" t="inlineStr">
        <is>
          <t>Shopify Rebellion</t>
        </is>
      </c>
      <c r="AU10" s="24" t="inlineStr">
        <is>
          <t>Shopify Rebellion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35087e828a0053011a97024de693e2ee7eb80eb03024c91d28d254de09d93778</t>
        </is>
      </c>
      <c r="BB10" s="24" t="inlineStr">
        <is>
          <t>neutral_elo</t>
        </is>
      </c>
      <c r="BC10" s="24" t="inlineStr">
        <is>
          <t>lol-tiered-elo-v4</t>
        </is>
      </c>
      <c r="BD10" s="24" t="inlineStr">
        <is>
          <t>35087e828a0053011a97024de693e2ee7eb80eb03024c91d28d254de09d93778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lol-tiered-elo-v4</t>
        </is>
      </c>
      <c r="BH10" s="24" t="inlineStr">
        <is>
          <t>2026-07-26T12:49:15.656044Z</t>
        </is>
      </c>
      <c r="BI10" s="24" t="inlineStr">
        <is>
          <t>["same_event","same_team_same_day","same_league_same_day"]</t>
        </is>
      </c>
      <c r="BJ10" s="25" t="n"/>
      <c r="BK10" s="26" t="n">
        <v>-133</v>
      </c>
      <c r="BL10" s="27" t="n">
        <v>1.75188</v>
      </c>
      <c r="BM10" s="28" t="n">
        <v>0.570815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127655a8fb0d4d8e</t>
        </is>
      </c>
      <c r="B11" s="24" t="inlineStr">
        <is>
          <t>2026-07-26T12:49:32.359065Z</t>
        </is>
      </c>
      <c r="C11" s="24" t="inlineStr">
        <is>
          <t>2026-07-27T06:00:00Z</t>
        </is>
      </c>
      <c r="D11" s="24" t="inlineStr">
        <is>
          <t>60701</t>
        </is>
      </c>
      <c r="E11" s="24" t="inlineStr">
        <is>
          <t>LOL</t>
        </is>
      </c>
      <c r="F11" s="24" t="inlineStr">
        <is>
          <t>Gen.G</t>
        </is>
      </c>
      <c r="G11" s="24" t="inlineStr">
        <is>
          <t>BNK FEARX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108</v>
      </c>
      <c r="M11" s="27" t="n">
        <v>2.08</v>
      </c>
      <c r="N11" s="28" t="n">
        <v>0.480769</v>
      </c>
      <c r="O11" s="28" t="n">
        <v>0.811601</v>
      </c>
      <c r="P11" s="28" t="n"/>
      <c r="Q11" s="28" t="n">
        <v>0.330832</v>
      </c>
      <c r="R11" s="26" t="n">
        <v>100</v>
      </c>
      <c r="S11" s="29" t="n">
        <v>2</v>
      </c>
      <c r="T11" s="24" t="inlineStr">
        <is>
          <t>lol-tiered-elo-v4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0.4800 (market_slug=aec-lol-bfx-gen-2026-07-27).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Gen.G</t>
        </is>
      </c>
      <c r="AQ11" s="24" t="inlineStr">
        <is>
          <t>Gen.G</t>
        </is>
      </c>
      <c r="AR11" s="24" t="inlineStr">
        <is>
          <t>Gen.G</t>
        </is>
      </c>
      <c r="AS11" s="24" t="inlineStr">
        <is>
          <t>BNK FEARX</t>
        </is>
      </c>
      <c r="AT11" s="24" t="inlineStr">
        <is>
          <t>BNK FEARX</t>
        </is>
      </c>
      <c r="AU11" s="24" t="inlineStr">
        <is>
          <t>BNK FEARX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35087e828a0053011a97024de693e2ee7eb80eb03024c91d28d254de09d93778</t>
        </is>
      </c>
      <c r="BB11" s="24" t="inlineStr">
        <is>
          <t>neutral_elo</t>
        </is>
      </c>
      <c r="BC11" s="24" t="inlineStr">
        <is>
          <t>lol-tiered-elo-v4</t>
        </is>
      </c>
      <c r="BD11" s="24" t="inlineStr">
        <is>
          <t>35087e828a0053011a97024de693e2ee7eb80eb03024c91d28d254de09d93778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lol-tiered-elo-v4</t>
        </is>
      </c>
      <c r="BH11" s="24" t="inlineStr">
        <is>
          <t>2026-07-26T12:49:16.441993Z</t>
        </is>
      </c>
      <c r="BI11" s="24" t="inlineStr">
        <is>
          <t>["same_event","same_team_same_day","same_league_same_day"]</t>
        </is>
      </c>
      <c r="BJ11" s="25" t="n"/>
      <c r="BK11" s="26" t="n">
        <v>108</v>
      </c>
      <c r="BL11" s="27" t="n">
        <v>2.08</v>
      </c>
      <c r="BM11" s="28" t="n">
        <v>0.480769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7bced9b85b5d472d</t>
        </is>
      </c>
      <c r="B12" s="24" t="inlineStr">
        <is>
          <t>2026-07-26T12:49:32.359065Z</t>
        </is>
      </c>
      <c r="C12" s="24" t="inlineStr">
        <is>
          <t>2026-07-27T06:45:00Z</t>
        </is>
      </c>
      <c r="D12" s="24" t="inlineStr">
        <is>
          <t>60706</t>
        </is>
      </c>
      <c r="E12" s="24" t="inlineStr">
        <is>
          <t>LOL</t>
        </is>
      </c>
      <c r="F12" s="24" t="inlineStr">
        <is>
          <t>Hanwha Life Esports</t>
        </is>
      </c>
      <c r="G12" s="24" t="inlineStr">
        <is>
          <t>Dplus KIA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-170</v>
      </c>
      <c r="M12" s="27" t="n">
        <v>1.588235</v>
      </c>
      <c r="N12" s="28" t="n">
        <v>0.62963</v>
      </c>
      <c r="O12" s="28" t="n">
        <v>0.608349</v>
      </c>
      <c r="P12" s="28" t="n"/>
      <c r="Q12" s="28" t="n">
        <v>-0.021281</v>
      </c>
      <c r="R12" s="26" t="n">
        <v>9</v>
      </c>
      <c r="S12" s="29" t="n">
        <v>1.5</v>
      </c>
      <c r="T12" s="24" t="inlineStr">
        <is>
          <t>lol-tiered-elo-v4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0.6300 (market_slug=aec-lol-dk-hle-2026-07-27).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Hanwha Life Esports</t>
        </is>
      </c>
      <c r="AQ12" s="24" t="inlineStr">
        <is>
          <t>Hanwha Life Esports</t>
        </is>
      </c>
      <c r="AR12" s="24" t="inlineStr">
        <is>
          <t>Hanwha Life Esports</t>
        </is>
      </c>
      <c r="AS12" s="24" t="inlineStr">
        <is>
          <t>Dplus KIA</t>
        </is>
      </c>
      <c r="AT12" s="24" t="inlineStr">
        <is>
          <t>Dplus KIA</t>
        </is>
      </c>
      <c r="AU12" s="24" t="inlineStr">
        <is>
          <t>Dplus KIA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35087e828a0053011a97024de693e2ee7eb80eb03024c91d28d254de09d93778</t>
        </is>
      </c>
      <c r="BB12" s="24" t="inlineStr">
        <is>
          <t>neutral_elo</t>
        </is>
      </c>
      <c r="BC12" s="24" t="inlineStr">
        <is>
          <t>lol-tiered-elo-v4</t>
        </is>
      </c>
      <c r="BD12" s="24" t="inlineStr">
        <is>
          <t>35087e828a0053011a97024de693e2ee7eb80eb03024c91d28d254de09d93778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lol-tiered-elo-v4</t>
        </is>
      </c>
      <c r="BH12" s="24" t="inlineStr">
        <is>
          <t>2026-07-26T12:49:17.204873Z</t>
        </is>
      </c>
      <c r="BI12" s="24" t="inlineStr">
        <is>
          <t>["same_event","same_team_same_day","same_league_same_day"]</t>
        </is>
      </c>
      <c r="BJ12" s="25" t="n"/>
      <c r="BK12" s="26" t="n">
        <v>-170</v>
      </c>
      <c r="BL12" s="27" t="n">
        <v>1.588235</v>
      </c>
      <c r="BM12" s="28" t="n">
        <v>0.62963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6d6407f0f4a94e69</t>
        </is>
      </c>
      <c r="B13" s="24" t="inlineStr">
        <is>
          <t>2026-07-26T12:49:32.359065Z</t>
        </is>
      </c>
      <c r="C13" s="24" t="inlineStr">
        <is>
          <t>2026-07-27T07:30:00Z</t>
        </is>
      </c>
      <c r="D13" s="24" t="inlineStr">
        <is>
          <t>60707</t>
        </is>
      </c>
      <c r="E13" s="24" t="inlineStr">
        <is>
          <t>LOL</t>
        </is>
      </c>
      <c r="F13" s="24" t="inlineStr">
        <is>
          <t>Gen.G</t>
        </is>
      </c>
      <c r="G13" s="24" t="inlineStr">
        <is>
          <t>KT Rolster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170</v>
      </c>
      <c r="M13" s="27" t="n">
        <v>2.7</v>
      </c>
      <c r="N13" s="28" t="n">
        <v>0.37037</v>
      </c>
      <c r="O13" s="28" t="n">
        <v>0.7097250000000001</v>
      </c>
      <c r="P13" s="28" t="n"/>
      <c r="Q13" s="28" t="n">
        <v>0.339355</v>
      </c>
      <c r="R13" s="26" t="n">
        <v>100</v>
      </c>
      <c r="S13" s="29" t="n">
        <v>2</v>
      </c>
      <c r="T13" s="24" t="inlineStr">
        <is>
          <t>lol-tiered-elo-v4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0.3700 (market_slug=aec-lol-kt-gen-2026-07-27).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Gen.G</t>
        </is>
      </c>
      <c r="AQ13" s="24" t="inlineStr">
        <is>
          <t>Gen.G</t>
        </is>
      </c>
      <c r="AR13" s="24" t="inlineStr">
        <is>
          <t>Gen.G</t>
        </is>
      </c>
      <c r="AS13" s="24" t="inlineStr">
        <is>
          <t>KT Rolster</t>
        </is>
      </c>
      <c r="AT13" s="24" t="inlineStr">
        <is>
          <t>KT Rolster</t>
        </is>
      </c>
      <c r="AU13" s="24" t="inlineStr">
        <is>
          <t>KT Rolster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35087e828a0053011a97024de693e2ee7eb80eb03024c91d28d254de09d93778</t>
        </is>
      </c>
      <c r="BB13" s="24" t="inlineStr">
        <is>
          <t>neutral_elo</t>
        </is>
      </c>
      <c r="BC13" s="24" t="inlineStr">
        <is>
          <t>lol-tiered-elo-v4</t>
        </is>
      </c>
      <c r="BD13" s="24" t="inlineStr">
        <is>
          <t>35087e828a0053011a97024de693e2ee7eb80eb03024c91d28d254de09d93778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lol-tiered-elo-v4</t>
        </is>
      </c>
      <c r="BH13" s="24" t="inlineStr">
        <is>
          <t>2026-07-26T12:49:17.997008Z</t>
        </is>
      </c>
      <c r="BI13" s="24" t="inlineStr">
        <is>
          <t>["same_event","same_team_same_day","same_league_same_day"]</t>
        </is>
      </c>
      <c r="BJ13" s="25" t="n"/>
      <c r="BK13" s="26" t="n">
        <v>170</v>
      </c>
      <c r="BL13" s="27" t="n">
        <v>2.7</v>
      </c>
      <c r="BM13" s="28" t="n">
        <v>0.37037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ed453bb5936c41fa</t>
        </is>
      </c>
      <c r="B14" s="24" t="inlineStr">
        <is>
          <t>2026-07-26T12:49:32.359065Z</t>
        </is>
      </c>
      <c r="C14" s="24" t="inlineStr">
        <is>
          <t>2026-07-27T08:00:00Z</t>
        </is>
      </c>
      <c r="D14" s="24" t="inlineStr">
        <is>
          <t>60708</t>
        </is>
      </c>
      <c r="E14" s="24" t="inlineStr">
        <is>
          <t>LOL</t>
        </is>
      </c>
      <c r="F14" s="24" t="inlineStr">
        <is>
          <t>Nongshim Esports Academy</t>
        </is>
      </c>
      <c r="G14" s="24" t="inlineStr">
        <is>
          <t>T1 Academy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-178</v>
      </c>
      <c r="M14" s="27" t="n">
        <v>1.561798</v>
      </c>
      <c r="N14" s="28" t="n">
        <v>0.640288</v>
      </c>
      <c r="O14" s="28" t="n">
        <v>0.6818</v>
      </c>
      <c r="P14" s="28" t="n"/>
      <c r="Q14" s="28" t="n">
        <v>0.041512</v>
      </c>
      <c r="R14" s="26" t="n">
        <v>41</v>
      </c>
      <c r="S14" s="29" t="n">
        <v>2</v>
      </c>
      <c r="T14" s="24" t="inlineStr">
        <is>
          <t>lol-tiered-elo-v4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0.6400 (market_slug=aec-lol-t1a-nsea-2026-07-27).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Nongshim Esports Academy</t>
        </is>
      </c>
      <c r="AQ14" s="24" t="inlineStr">
        <is>
          <t>Nongshim Esports Academy</t>
        </is>
      </c>
      <c r="AR14" s="24" t="inlineStr">
        <is>
          <t>Nongshim Esports Academy</t>
        </is>
      </c>
      <c r="AS14" s="24" t="inlineStr">
        <is>
          <t>T1 Academy</t>
        </is>
      </c>
      <c r="AT14" s="24" t="inlineStr">
        <is>
          <t>T1 Academy</t>
        </is>
      </c>
      <c r="AU14" s="24" t="inlineStr">
        <is>
          <t>T1 Academy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35087e828a0053011a97024de693e2ee7eb80eb03024c91d28d254de09d93778</t>
        </is>
      </c>
      <c r="BB14" s="24" t="inlineStr">
        <is>
          <t>neutral_elo</t>
        </is>
      </c>
      <c r="BC14" s="24" t="inlineStr">
        <is>
          <t>lol-tiered-elo-v4</t>
        </is>
      </c>
      <c r="BD14" s="24" t="inlineStr">
        <is>
          <t>35087e828a0053011a97024de693e2ee7eb80eb03024c91d28d254de09d93778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lol-tiered-elo-v4</t>
        </is>
      </c>
      <c r="BH14" s="24" t="inlineStr">
        <is>
          <t>2026-07-26T12:49:18.841768Z</t>
        </is>
      </c>
      <c r="BI14" s="24" t="inlineStr">
        <is>
          <t>["same_event","same_team_same_day","same_league_same_day"]</t>
        </is>
      </c>
      <c r="BJ14" s="25" t="n"/>
      <c r="BK14" s="26" t="n">
        <v>-178</v>
      </c>
      <c r="BL14" s="27" t="n">
        <v>1.561798</v>
      </c>
      <c r="BM14" s="28" t="n">
        <v>0.640288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3e60a809243f4bee</t>
        </is>
      </c>
      <c r="B15" s="24" t="inlineStr">
        <is>
          <t>2026-07-26T12:49:32.359065Z</t>
        </is>
      </c>
      <c r="C15" s="24" t="inlineStr">
        <is>
          <t>2026-07-27T08:15:00Z</t>
        </is>
      </c>
      <c r="D15" s="24" t="inlineStr">
        <is>
          <t>60713</t>
        </is>
      </c>
      <c r="E15" s="24" t="inlineStr">
        <is>
          <t>LOL</t>
        </is>
      </c>
      <c r="F15" s="24" t="inlineStr">
        <is>
          <t>T1</t>
        </is>
      </c>
      <c r="G15" s="24" t="inlineStr">
        <is>
          <t>Dplus KIA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-178</v>
      </c>
      <c r="M15" s="27" t="n">
        <v>1.561798</v>
      </c>
      <c r="N15" s="28" t="n">
        <v>0.640288</v>
      </c>
      <c r="O15" s="28" t="n">
        <v>0.506725</v>
      </c>
      <c r="P15" s="28" t="n"/>
      <c r="Q15" s="28" t="n">
        <v>-0.133563</v>
      </c>
      <c r="R15" s="26" t="n">
        <v>0</v>
      </c>
      <c r="S15" s="29" t="n">
        <v>0.5</v>
      </c>
      <c r="T15" s="24" t="inlineStr">
        <is>
          <t>lol-tiered-elo-v4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Neutral Elo baseline; executable ask 0.6400 (market_slug=aec-lol-dk-t1-2026-07-27).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T1</t>
        </is>
      </c>
      <c r="AQ15" s="24" t="inlineStr">
        <is>
          <t>T1</t>
        </is>
      </c>
      <c r="AR15" s="24" t="inlineStr">
        <is>
          <t>T1</t>
        </is>
      </c>
      <c r="AS15" s="24" t="inlineStr">
        <is>
          <t>Dplus KIA</t>
        </is>
      </c>
      <c r="AT15" s="24" t="inlineStr">
        <is>
          <t>Dplus KIA</t>
        </is>
      </c>
      <c r="AU15" s="24" t="inlineStr">
        <is>
          <t>Dplus KIA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35087e828a0053011a97024de693e2ee7eb80eb03024c91d28d254de09d93778</t>
        </is>
      </c>
      <c r="BB15" s="24" t="inlineStr">
        <is>
          <t>neutral_elo</t>
        </is>
      </c>
      <c r="BC15" s="24" t="inlineStr">
        <is>
          <t>lol-tiered-elo-v4</t>
        </is>
      </c>
      <c r="BD15" s="24" t="inlineStr">
        <is>
          <t>35087e828a0053011a97024de693e2ee7eb80eb03024c91d28d254de09d93778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lol-tiered-elo-v4</t>
        </is>
      </c>
      <c r="BH15" s="24" t="inlineStr">
        <is>
          <t>2026-07-26T12:49:19.622422Z</t>
        </is>
      </c>
      <c r="BI15" s="24" t="inlineStr">
        <is>
          <t>["same_event","same_team_same_day","same_league_same_day"]</t>
        </is>
      </c>
      <c r="BJ15" s="25" t="n"/>
      <c r="BK15" s="26" t="n">
        <v>-178</v>
      </c>
      <c r="BL15" s="27" t="n">
        <v>1.561798</v>
      </c>
      <c r="BM15" s="28" t="n">
        <v>0.640288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81b9a041f84244d4</t>
        </is>
      </c>
      <c r="B16" s="24" t="inlineStr">
        <is>
          <t>2026-07-26T12:49:32.359065Z</t>
        </is>
      </c>
      <c r="C16" s="24" t="inlineStr">
        <is>
          <t>2026-07-27T09:00:00Z</t>
        </is>
      </c>
      <c r="D16" s="24" t="inlineStr">
        <is>
          <t>60716</t>
        </is>
      </c>
      <c r="E16" s="24" t="inlineStr">
        <is>
          <t>LOL</t>
        </is>
      </c>
      <c r="F16" s="24" t="inlineStr">
        <is>
          <t>Kiwoom DRX</t>
        </is>
      </c>
      <c r="G16" s="24" t="inlineStr">
        <is>
          <t>Hanwha Life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133</v>
      </c>
      <c r="M16" s="27" t="n">
        <v>2.33</v>
      </c>
      <c r="N16" s="28" t="n">
        <v>0.429185</v>
      </c>
      <c r="O16" s="28" t="n">
        <v>0.912307</v>
      </c>
      <c r="P16" s="28" t="n"/>
      <c r="Q16" s="28" t="n">
        <v>0.483122</v>
      </c>
      <c r="R16" s="26" t="n">
        <v>100</v>
      </c>
      <c r="S16" s="29" t="n">
        <v>2</v>
      </c>
      <c r="T16" s="24" t="inlineStr">
        <is>
          <t>lol-tiered-elo-v4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0.4300 (market_slug=aec-lol-hle-krx-2026-07-27).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Kiwoom DRX</t>
        </is>
      </c>
      <c r="AQ16" s="24" t="inlineStr">
        <is>
          <t>Kiwoom DRX</t>
        </is>
      </c>
      <c r="AR16" s="24" t="inlineStr">
        <is>
          <t>Kiwoom DRX</t>
        </is>
      </c>
      <c r="AS16" s="24" t="inlineStr">
        <is>
          <t>Hanwha Life Esports</t>
        </is>
      </c>
      <c r="AT16" s="24" t="inlineStr">
        <is>
          <t>Hanwha Life Esports</t>
        </is>
      </c>
      <c r="AU16" s="24" t="inlineStr">
        <is>
          <t>Hanwha Life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35087e828a0053011a97024de693e2ee7eb80eb03024c91d28d254de09d93778</t>
        </is>
      </c>
      <c r="BB16" s="24" t="inlineStr">
        <is>
          <t>neutral_elo</t>
        </is>
      </c>
      <c r="BC16" s="24" t="inlineStr">
        <is>
          <t>lol-tiered-elo-v4</t>
        </is>
      </c>
      <c r="BD16" s="24" t="inlineStr">
        <is>
          <t>35087e828a0053011a97024de693e2ee7eb80eb03024c91d28d254de09d93778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lol-tiered-elo-v4</t>
        </is>
      </c>
      <c r="BH16" s="24" t="inlineStr">
        <is>
          <t>2026-07-26T12:49:20.448813Z</t>
        </is>
      </c>
      <c r="BI16" s="24" t="inlineStr">
        <is>
          <t>["same_event","same_team_same_day","same_league_same_day"]</t>
        </is>
      </c>
      <c r="BJ16" s="25" t="n"/>
      <c r="BK16" s="26" t="n">
        <v>133</v>
      </c>
      <c r="BL16" s="27" t="n">
        <v>2.33</v>
      </c>
      <c r="BM16" s="28" t="n">
        <v>0.429185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94b7bff372e04cef</t>
        </is>
      </c>
      <c r="B17" s="24" t="inlineStr">
        <is>
          <t>2026-07-26T12:49:32.359065Z</t>
        </is>
      </c>
      <c r="C17" s="24" t="inlineStr">
        <is>
          <t>2026-07-27T09:45:00Z</t>
        </is>
      </c>
      <c r="D17" s="24" t="inlineStr">
        <is>
          <t>60723</t>
        </is>
      </c>
      <c r="E17" s="24" t="inlineStr">
        <is>
          <t>LOL</t>
        </is>
      </c>
      <c r="F17" s="24" t="inlineStr">
        <is>
          <t>Nongshim Red Force</t>
        </is>
      </c>
      <c r="G17" s="24" t="inlineStr">
        <is>
          <t>T1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-163</v>
      </c>
      <c r="M17" s="27" t="n">
        <v>1.613497</v>
      </c>
      <c r="N17" s="28" t="n">
        <v>0.619772</v>
      </c>
      <c r="O17" s="28" t="n">
        <v>0.865659</v>
      </c>
      <c r="P17" s="28" t="n"/>
      <c r="Q17" s="28" t="n">
        <v>0.245887</v>
      </c>
      <c r="R17" s="26" t="n">
        <v>100</v>
      </c>
      <c r="S17" s="29" t="n">
        <v>2</v>
      </c>
      <c r="T17" s="24" t="inlineStr">
        <is>
          <t>lol-tiered-elo-v4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0.6200 (market_slug=aec-lol-t1-ns-2026-07-27).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Nongshim Red Force</t>
        </is>
      </c>
      <c r="AQ17" s="24" t="inlineStr">
        <is>
          <t>Nongshim Red Force</t>
        </is>
      </c>
      <c r="AR17" s="24" t="inlineStr">
        <is>
          <t>Nongshim Red Force</t>
        </is>
      </c>
      <c r="AS17" s="24" t="inlineStr">
        <is>
          <t>T1</t>
        </is>
      </c>
      <c r="AT17" s="24" t="inlineStr">
        <is>
          <t>T1</t>
        </is>
      </c>
      <c r="AU17" s="24" t="inlineStr">
        <is>
          <t>T1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35087e828a0053011a97024de693e2ee7eb80eb03024c91d28d254de09d93778</t>
        </is>
      </c>
      <c r="BB17" s="24" t="inlineStr">
        <is>
          <t>neutral_elo</t>
        </is>
      </c>
      <c r="BC17" s="24" t="inlineStr">
        <is>
          <t>lol-tiered-elo-v4</t>
        </is>
      </c>
      <c r="BD17" s="24" t="inlineStr">
        <is>
          <t>35087e828a0053011a97024de693e2ee7eb80eb03024c91d28d254de09d93778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lol-tiered-elo-v4</t>
        </is>
      </c>
      <c r="BH17" s="24" t="inlineStr">
        <is>
          <t>2026-07-26T12:49:21.212140Z</t>
        </is>
      </c>
      <c r="BI17" s="24" t="inlineStr">
        <is>
          <t>["same_event","same_team_same_day","same_league_same_day"]</t>
        </is>
      </c>
      <c r="BJ17" s="25" t="n"/>
      <c r="BK17" s="26" t="n">
        <v>-163</v>
      </c>
      <c r="BL17" s="27" t="n">
        <v>1.613497</v>
      </c>
      <c r="BM17" s="28" t="n">
        <v>0.619772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7018021a5db841a6</t>
        </is>
      </c>
      <c r="B18" s="24" t="inlineStr">
        <is>
          <t>2026-07-26T12:49:32.359065Z</t>
        </is>
      </c>
      <c r="C18" s="24" t="inlineStr">
        <is>
          <t>2026-07-27T10:00:00Z</t>
        </is>
      </c>
      <c r="D18" s="24" t="inlineStr">
        <is>
          <t>60724</t>
        </is>
      </c>
      <c r="E18" s="24" t="inlineStr">
        <is>
          <t>LOL</t>
        </is>
      </c>
      <c r="F18" s="24" t="inlineStr">
        <is>
          <t>BNK FearX Youth</t>
        </is>
      </c>
      <c r="G18" s="24" t="inlineStr">
        <is>
          <t>Gen.G Global Academy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-223</v>
      </c>
      <c r="M18" s="27" t="n">
        <v>1.44843</v>
      </c>
      <c r="N18" s="28" t="n">
        <v>0.690402</v>
      </c>
      <c r="O18" s="28" t="n">
        <v>0.654791</v>
      </c>
      <c r="P18" s="28" t="n"/>
      <c r="Q18" s="28" t="n">
        <v>-0.035611</v>
      </c>
      <c r="R18" s="26" t="n">
        <v>2</v>
      </c>
      <c r="S18" s="29" t="n">
        <v>2</v>
      </c>
      <c r="T18" s="24" t="inlineStr">
        <is>
          <t>lol-tiered-elo-v4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Neutral Elo baseline; executable ask 0.6900 (market_slug=aec-lol-genga-foxy-2026-07-27).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BNK FearX Youth</t>
        </is>
      </c>
      <c r="AQ18" s="24" t="inlineStr">
        <is>
          <t>BNK FearX Youth</t>
        </is>
      </c>
      <c r="AR18" s="24" t="inlineStr">
        <is>
          <t>BNK FearX Youth</t>
        </is>
      </c>
      <c r="AS18" s="24" t="inlineStr">
        <is>
          <t>Gen.G Global Academy</t>
        </is>
      </c>
      <c r="AT18" s="24" t="inlineStr">
        <is>
          <t>Gen.G Global Academy</t>
        </is>
      </c>
      <c r="AU18" s="24" t="inlineStr">
        <is>
          <t>Gen.G Global Academy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35087e828a0053011a97024de693e2ee7eb80eb03024c91d28d254de09d93778</t>
        </is>
      </c>
      <c r="BB18" s="24" t="inlineStr">
        <is>
          <t>neutral_elo</t>
        </is>
      </c>
      <c r="BC18" s="24" t="inlineStr">
        <is>
          <t>lol-tiered-elo-v4</t>
        </is>
      </c>
      <c r="BD18" s="24" t="inlineStr">
        <is>
          <t>35087e828a0053011a97024de693e2ee7eb80eb03024c91d28d254de09d93778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lol-tiered-elo-v4</t>
        </is>
      </c>
      <c r="BH18" s="24" t="inlineStr">
        <is>
          <t>2026-07-26T12:49:22.005575Z</t>
        </is>
      </c>
      <c r="BI18" s="24" t="inlineStr">
        <is>
          <t>["same_event","same_team_same_day","same_league_same_day"]</t>
        </is>
      </c>
      <c r="BJ18" s="25" t="n"/>
      <c r="BK18" s="26" t="n">
        <v>-223</v>
      </c>
      <c r="BL18" s="27" t="n">
        <v>1.44843</v>
      </c>
      <c r="BM18" s="28" t="n">
        <v>0.690402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b1f313695cc1423a</t>
        </is>
      </c>
      <c r="B19" s="24" t="inlineStr">
        <is>
          <t>2026-07-26T12:49:32.359065Z</t>
        </is>
      </c>
      <c r="C19" s="24" t="inlineStr">
        <is>
          <t>2026-07-27T10:30:00Z</t>
        </is>
      </c>
      <c r="D19" s="24" t="inlineStr">
        <is>
          <t>60725</t>
        </is>
      </c>
      <c r="E19" s="24" t="inlineStr">
        <is>
          <t>LOL</t>
        </is>
      </c>
      <c r="F19" s="24" t="inlineStr">
        <is>
          <t>Dplus KIA</t>
        </is>
      </c>
      <c r="G19" s="24" t="inlineStr">
        <is>
          <t>HANJIN BRION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194</v>
      </c>
      <c r="M19" s="27" t="n">
        <v>2.94</v>
      </c>
      <c r="N19" s="28" t="n">
        <v>0.340136</v>
      </c>
      <c r="O19" s="28" t="n">
        <v>0.803091</v>
      </c>
      <c r="P19" s="28" t="n"/>
      <c r="Q19" s="28" t="n">
        <v>0.462955</v>
      </c>
      <c r="R19" s="26" t="n">
        <v>100</v>
      </c>
      <c r="S19" s="29" t="n">
        <v>2</v>
      </c>
      <c r="T19" s="24" t="inlineStr">
        <is>
          <t>lol-tiered-elo-v4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Neutral Elo baseline; executable ask 0.3400 (market_slug=aec-lol-bro-dk-2026-07-27).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Dplus KIA</t>
        </is>
      </c>
      <c r="AQ19" s="24" t="inlineStr">
        <is>
          <t>Dplus KIA</t>
        </is>
      </c>
      <c r="AR19" s="24" t="inlineStr">
        <is>
          <t>Dplus KIA</t>
        </is>
      </c>
      <c r="AS19" s="24" t="inlineStr">
        <is>
          <t>HANJIN BRION</t>
        </is>
      </c>
      <c r="AT19" s="24" t="inlineStr">
        <is>
          <t>HANJIN BRION</t>
        </is>
      </c>
      <c r="AU19" s="24" t="inlineStr">
        <is>
          <t>HANJIN BRION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35087e828a0053011a97024de693e2ee7eb80eb03024c91d28d254de09d93778</t>
        </is>
      </c>
      <c r="BB19" s="24" t="inlineStr">
        <is>
          <t>neutral_elo</t>
        </is>
      </c>
      <c r="BC19" s="24" t="inlineStr">
        <is>
          <t>lol-tiered-elo-v4</t>
        </is>
      </c>
      <c r="BD19" s="24" t="inlineStr">
        <is>
          <t>35087e828a0053011a97024de693e2ee7eb80eb03024c91d28d254de09d93778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lol-tiered-elo-v4</t>
        </is>
      </c>
      <c r="BH19" s="24" t="inlineStr">
        <is>
          <t>2026-07-26T12:49:22.804506Z</t>
        </is>
      </c>
      <c r="BI19" s="24" t="inlineStr">
        <is>
          <t>["same_event","same_team_same_day","same_league_same_day"]</t>
        </is>
      </c>
      <c r="BJ19" s="25" t="n"/>
      <c r="BK19" s="26" t="n">
        <v>194</v>
      </c>
      <c r="BL19" s="27" t="n">
        <v>2.94</v>
      </c>
      <c r="BM19" s="28" t="n">
        <v>0.340136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e36dbb13e49c4780</t>
        </is>
      </c>
      <c r="B20" s="24" t="inlineStr">
        <is>
          <t>2026-07-26T12:49:32.359065Z</t>
        </is>
      </c>
      <c r="C20" s="24" t="inlineStr">
        <is>
          <t>2026-07-27T11:15:00Z</t>
        </is>
      </c>
      <c r="D20" s="24" t="inlineStr">
        <is>
          <t>60734</t>
        </is>
      </c>
      <c r="E20" s="24" t="inlineStr">
        <is>
          <t>LOL</t>
        </is>
      </c>
      <c r="F20" s="24" t="inlineStr">
        <is>
          <t>DN SOOPers</t>
        </is>
      </c>
      <c r="G20" s="24" t="inlineStr">
        <is>
          <t>T1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-186</v>
      </c>
      <c r="M20" s="27" t="n">
        <v>1.537634</v>
      </c>
      <c r="N20" s="28" t="n">
        <v>0.65035</v>
      </c>
      <c r="O20" s="28" t="n">
        <v>0.885173</v>
      </c>
      <c r="P20" s="28" t="n"/>
      <c r="Q20" s="28" t="n">
        <v>0.234823</v>
      </c>
      <c r="R20" s="26" t="n">
        <v>100</v>
      </c>
      <c r="S20" s="29" t="n">
        <v>2</v>
      </c>
      <c r="T20" s="24" t="inlineStr">
        <is>
          <t>lol-tiered-elo-v4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Neutral Elo baseline; executable ask 0.6500 (market_slug=aec-lol-t1-dns-2026-07-27).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DN SOOPers</t>
        </is>
      </c>
      <c r="AQ20" s="24" t="inlineStr">
        <is>
          <t>DN SOOPers</t>
        </is>
      </c>
      <c r="AR20" s="24" t="inlineStr">
        <is>
          <t>DN SOOPers</t>
        </is>
      </c>
      <c r="AS20" s="24" t="inlineStr">
        <is>
          <t>T1</t>
        </is>
      </c>
      <c r="AT20" s="24" t="inlineStr">
        <is>
          <t>T1</t>
        </is>
      </c>
      <c r="AU20" s="24" t="inlineStr">
        <is>
          <t>T1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35087e828a0053011a97024de693e2ee7eb80eb03024c91d28d254de09d93778</t>
        </is>
      </c>
      <c r="BB20" s="24" t="inlineStr">
        <is>
          <t>neutral_elo</t>
        </is>
      </c>
      <c r="BC20" s="24" t="inlineStr">
        <is>
          <t>lol-tiered-elo-v4</t>
        </is>
      </c>
      <c r="BD20" s="24" t="inlineStr">
        <is>
          <t>35087e828a0053011a97024de693e2ee7eb80eb03024c91d28d254de09d93778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lol-tiered-elo-v4</t>
        </is>
      </c>
      <c r="BH20" s="24" t="inlineStr">
        <is>
          <t>2026-07-26T12:49:23.643887Z</t>
        </is>
      </c>
      <c r="BI20" s="24" t="inlineStr">
        <is>
          <t>["same_event","same_team_same_day","same_league_same_day"]</t>
        </is>
      </c>
      <c r="BJ20" s="25" t="n"/>
      <c r="BK20" s="26" t="n">
        <v>-186</v>
      </c>
      <c r="BL20" s="27" t="n">
        <v>1.537634</v>
      </c>
      <c r="BM20" s="28" t="n">
        <v>0.65035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aba12aad7a534a95</t>
        </is>
      </c>
      <c r="B21" s="24" t="inlineStr">
        <is>
          <t>2026-07-26T12:49:32.359065Z</t>
        </is>
      </c>
      <c r="C21" s="24" t="inlineStr">
        <is>
          <t>2026-07-27T21:00:00Z</t>
        </is>
      </c>
      <c r="D21" s="24" t="inlineStr">
        <is>
          <t>61044</t>
        </is>
      </c>
      <c r="E21" s="24" t="inlineStr">
        <is>
          <t>LOL</t>
        </is>
      </c>
      <c r="F21" s="24" t="inlineStr">
        <is>
          <t>Ei Nerd Esports</t>
        </is>
      </c>
      <c r="G21" s="24" t="inlineStr">
        <is>
          <t>paiN Gaming Academy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-233</v>
      </c>
      <c r="M21" s="27" t="n">
        <v>1.429185</v>
      </c>
      <c r="N21" s="28" t="n">
        <v>0.6997</v>
      </c>
      <c r="O21" s="28" t="n">
        <v>0.712884</v>
      </c>
      <c r="P21" s="28" t="n"/>
      <c r="Q21" s="28" t="n">
        <v>0.013184</v>
      </c>
      <c r="R21" s="26" t="n">
        <v>27</v>
      </c>
      <c r="S21" s="29" t="n">
        <v>2</v>
      </c>
      <c r="T21" s="24" t="inlineStr">
        <is>
          <t>lol-tiered-elo-v4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Neutral Elo baseline; executable ask 0.7000 (market_slug=aec-lol-pnga-nerd-2026-07-27).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Ei Nerd Esports</t>
        </is>
      </c>
      <c r="AQ21" s="24" t="inlineStr">
        <is>
          <t>Ei Nerd Esports</t>
        </is>
      </c>
      <c r="AR21" s="24" t="inlineStr">
        <is>
          <t>Ei Nerd Esports</t>
        </is>
      </c>
      <c r="AS21" s="24" t="inlineStr">
        <is>
          <t>paiN Gaming Academy</t>
        </is>
      </c>
      <c r="AT21" s="24" t="inlineStr">
        <is>
          <t>paiN Gaming Academy</t>
        </is>
      </c>
      <c r="AU21" s="24" t="inlineStr">
        <is>
          <t>paiN Gaming Academy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35087e828a0053011a97024de693e2ee7eb80eb03024c91d28d254de09d93778</t>
        </is>
      </c>
      <c r="BB21" s="24" t="inlineStr">
        <is>
          <t>neutral_elo</t>
        </is>
      </c>
      <c r="BC21" s="24" t="inlineStr">
        <is>
          <t>lol-tiered-elo-v4</t>
        </is>
      </c>
      <c r="BD21" s="24" t="inlineStr">
        <is>
          <t>35087e828a0053011a97024de693e2ee7eb80eb03024c91d28d254de09d93778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lol-tiered-elo-v4</t>
        </is>
      </c>
      <c r="BH21" s="24" t="inlineStr">
        <is>
          <t>2026-07-26T12:49:28.530374Z</t>
        </is>
      </c>
      <c r="BI21" s="24" t="inlineStr">
        <is>
          <t>["same_event","same_team_same_day","same_league_same_day"]</t>
        </is>
      </c>
      <c r="BJ21" s="25" t="n"/>
      <c r="BK21" s="26" t="n">
        <v>-233</v>
      </c>
      <c r="BL21" s="27" t="n">
        <v>1.429185</v>
      </c>
      <c r="BM21" s="28" t="n">
        <v>0.6997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8f8ef4f76b2d4f5a</t>
        </is>
      </c>
      <c r="B22" s="24" t="inlineStr">
        <is>
          <t>2026-07-26T12:50:13.208687Z</t>
        </is>
      </c>
      <c r="C22" s="24" t="inlineStr">
        <is>
          <t>2026-07-26T14:00:00Z</t>
        </is>
      </c>
      <c r="D22" s="24" t="inlineStr">
        <is>
          <t>61030</t>
        </is>
      </c>
      <c r="E22" s="24" t="inlineStr">
        <is>
          <t>CS2</t>
        </is>
      </c>
      <c r="F22" s="24" t="inlineStr">
        <is>
          <t>G2 Ares</t>
        </is>
      </c>
      <c r="G22" s="24" t="inlineStr">
        <is>
          <t>INOX Division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-233</v>
      </c>
      <c r="M22" s="27" t="n">
        <v>1.429185</v>
      </c>
      <c r="N22" s="28" t="n">
        <v>0.6997</v>
      </c>
      <c r="O22" s="28" t="n">
        <v>0.603297</v>
      </c>
      <c r="P22" s="28" t="n"/>
      <c r="Q22" s="28" t="n">
        <v>-0.096403</v>
      </c>
      <c r="R22" s="26" t="n">
        <v>0</v>
      </c>
      <c r="S22" s="29" t="n">
        <v>1.5</v>
      </c>
      <c r="T22" s="24" t="inlineStr">
        <is>
          <t>cs2-tiered-elo-v4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Neutral Elo baseline; executable ask 0.7000 (market_slug=aec-cs2-inox-g2a-2026-07-26).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G2 Ares</t>
        </is>
      </c>
      <c r="AQ22" s="24" t="inlineStr">
        <is>
          <t>G2 Ares</t>
        </is>
      </c>
      <c r="AR22" s="24" t="inlineStr">
        <is>
          <t>G2 Ares</t>
        </is>
      </c>
      <c r="AS22" s="24" t="inlineStr">
        <is>
          <t>INOX Division</t>
        </is>
      </c>
      <c r="AT22" s="24" t="inlineStr">
        <is>
          <t>INOX Division</t>
        </is>
      </c>
      <c r="AU22" s="24" t="inlineStr">
        <is>
          <t>INOX Division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e9c327ce15d79aaa8ed5032a6fb86929aaa479e14a8bc9a35686411400dd6b91</t>
        </is>
      </c>
      <c r="BB22" s="24" t="inlineStr">
        <is>
          <t>neutral_elo</t>
        </is>
      </c>
      <c r="BC22" s="24" t="inlineStr">
        <is>
          <t>cs2-tiered-elo-v4</t>
        </is>
      </c>
      <c r="BD22" s="24" t="inlineStr">
        <is>
          <t>e9c327ce15d79aaa8ed5032a6fb86929aaa479e14a8bc9a35686411400dd6b91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cs2-tiered-elo-v4</t>
        </is>
      </c>
      <c r="BH22" s="24" t="inlineStr">
        <is>
          <t>2026-07-26T12:49:42.821812Z</t>
        </is>
      </c>
      <c r="BI22" s="24" t="inlineStr">
        <is>
          <t>["same_event","same_team_same_day","same_league_same_day"]</t>
        </is>
      </c>
      <c r="BJ22" s="25" t="n"/>
      <c r="BK22" s="26" t="n">
        <v>-233</v>
      </c>
      <c r="BL22" s="27" t="n">
        <v>1.429185</v>
      </c>
      <c r="BM22" s="28" t="n">
        <v>0.6997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04eaa9b94d3542cb</t>
        </is>
      </c>
      <c r="B23" s="24" t="inlineStr">
        <is>
          <t>2026-07-26T12:50:13.208687Z</t>
        </is>
      </c>
      <c r="C23" s="24" t="inlineStr">
        <is>
          <t>2026-07-26T14:00:00Z</t>
        </is>
      </c>
      <c r="D23" s="24" t="inlineStr">
        <is>
          <t>61440</t>
        </is>
      </c>
      <c r="E23" s="24" t="inlineStr">
        <is>
          <t>CS2</t>
        </is>
      </c>
      <c r="F23" s="24" t="inlineStr">
        <is>
          <t>Lazer Cats</t>
        </is>
      </c>
      <c r="G23" s="24" t="inlineStr">
        <is>
          <t>STATE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100</v>
      </c>
      <c r="M23" s="27" t="n">
        <v>2</v>
      </c>
      <c r="N23" s="28" t="n">
        <v>0.5</v>
      </c>
      <c r="O23" s="28" t="n">
        <v>0.769302</v>
      </c>
      <c r="P23" s="28" t="n"/>
      <c r="Q23" s="28" t="n">
        <v>0.269302</v>
      </c>
      <c r="R23" s="26" t="n">
        <v>100</v>
      </c>
      <c r="S23" s="29" t="n">
        <v>2</v>
      </c>
      <c r="T23" s="24" t="inlineStr">
        <is>
          <t>cs2-tiered-elo-v4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0.5000 (market_slug=aec-cs2-sta-lc-2026-07-26).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Lazer Cats</t>
        </is>
      </c>
      <c r="AQ23" s="24" t="inlineStr">
        <is>
          <t>Lazer Cats</t>
        </is>
      </c>
      <c r="AR23" s="24" t="inlineStr">
        <is>
          <t>Lazer Cats</t>
        </is>
      </c>
      <c r="AS23" s="24" t="inlineStr">
        <is>
          <t>STATE</t>
        </is>
      </c>
      <c r="AT23" s="24" t="inlineStr">
        <is>
          <t>STATE</t>
        </is>
      </c>
      <c r="AU23" s="24" t="inlineStr">
        <is>
          <t>STATE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e9c327ce15d79aaa8ed5032a6fb86929aaa479e14a8bc9a35686411400dd6b91</t>
        </is>
      </c>
      <c r="BB23" s="24" t="inlineStr">
        <is>
          <t>neutral_elo</t>
        </is>
      </c>
      <c r="BC23" s="24" t="inlineStr">
        <is>
          <t>cs2-tiered-elo-v4</t>
        </is>
      </c>
      <c r="BD23" s="24" t="inlineStr">
        <is>
          <t>e9c327ce15d79aaa8ed5032a6fb86929aaa479e14a8bc9a35686411400dd6b91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cs2-tiered-elo-v4</t>
        </is>
      </c>
      <c r="BH23" s="24" t="inlineStr">
        <is>
          <t>2026-07-26T12:49:44.422167Z</t>
        </is>
      </c>
      <c r="BI23" s="24" t="inlineStr">
        <is>
          <t>["same_event","same_team_same_day","same_league_same_day"]</t>
        </is>
      </c>
      <c r="BJ23" s="25" t="n"/>
      <c r="BK23" s="26" t="n">
        <v>100</v>
      </c>
      <c r="BL23" s="27" t="n">
        <v>2</v>
      </c>
      <c r="BM23" s="28" t="n">
        <v>0.5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a2203ec652454349</t>
        </is>
      </c>
      <c r="B24" s="24" t="inlineStr">
        <is>
          <t>2026-07-26T12:50:13.208687Z</t>
        </is>
      </c>
      <c r="C24" s="24" t="inlineStr">
        <is>
          <t>2026-07-26T14:00:00Z</t>
        </is>
      </c>
      <c r="D24" s="24" t="inlineStr">
        <is>
          <t>61033</t>
        </is>
      </c>
      <c r="E24" s="24" t="inlineStr">
        <is>
          <t>CS2</t>
        </is>
      </c>
      <c r="F24" s="24" t="inlineStr">
        <is>
          <t>Atreides</t>
        </is>
      </c>
      <c r="G24" s="24" t="inlineStr">
        <is>
          <t>SPARTA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-117</v>
      </c>
      <c r="M24" s="27" t="n">
        <v>1.854701</v>
      </c>
      <c r="N24" s="28" t="n">
        <v>0.539171</v>
      </c>
      <c r="O24" s="28" t="n">
        <v>0.518471</v>
      </c>
      <c r="P24" s="28" t="n"/>
      <c r="Q24" s="28" t="n">
        <v>-0.0207</v>
      </c>
      <c r="R24" s="26" t="n">
        <v>10</v>
      </c>
      <c r="S24" s="29" t="n">
        <v>0.75</v>
      </c>
      <c r="T24" s="24" t="inlineStr">
        <is>
          <t>cs2-tiered-elo-v4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Neutral Elo baseline; executable ask 0.5400 (market_slug=aec-cs2-sparta-atr-2026-07-26).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Atreides</t>
        </is>
      </c>
      <c r="AQ24" s="24" t="inlineStr">
        <is>
          <t>Atreides</t>
        </is>
      </c>
      <c r="AR24" s="24" t="inlineStr">
        <is>
          <t>Atreides</t>
        </is>
      </c>
      <c r="AS24" s="24" t="inlineStr">
        <is>
          <t>SPARTA</t>
        </is>
      </c>
      <c r="AT24" s="24" t="inlineStr">
        <is>
          <t>SPARTA</t>
        </is>
      </c>
      <c r="AU24" s="24" t="inlineStr">
        <is>
          <t>SPARTA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e9c327ce15d79aaa8ed5032a6fb86929aaa479e14a8bc9a35686411400dd6b91</t>
        </is>
      </c>
      <c r="BB24" s="24" t="inlineStr">
        <is>
          <t>neutral_elo</t>
        </is>
      </c>
      <c r="BC24" s="24" t="inlineStr">
        <is>
          <t>cs2-tiered-elo-v4</t>
        </is>
      </c>
      <c r="BD24" s="24" t="inlineStr">
        <is>
          <t>e9c327ce15d79aaa8ed5032a6fb86929aaa479e14a8bc9a35686411400dd6b91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cs2-tiered-elo-v4</t>
        </is>
      </c>
      <c r="BH24" s="24" t="inlineStr">
        <is>
          <t>2026-07-26T12:49:45.204211Z</t>
        </is>
      </c>
      <c r="BI24" s="24" t="inlineStr">
        <is>
          <t>["same_event","same_team_same_day","same_league_same_day"]</t>
        </is>
      </c>
      <c r="BJ24" s="25" t="n"/>
      <c r="BK24" s="26" t="n">
        <v>-117</v>
      </c>
      <c r="BL24" s="27" t="n">
        <v>1.854701</v>
      </c>
      <c r="BM24" s="28" t="n">
        <v>0.539171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caef081f30c24894</t>
        </is>
      </c>
      <c r="B25" s="24" t="inlineStr">
        <is>
          <t>2026-07-26T12:50:13.208687Z</t>
        </is>
      </c>
      <c r="C25" s="24" t="inlineStr">
        <is>
          <t>2026-07-26T15:00:00Z</t>
        </is>
      </c>
      <c r="D25" s="24" t="inlineStr">
        <is>
          <t>61219</t>
        </is>
      </c>
      <c r="E25" s="24" t="inlineStr">
        <is>
          <t>CS2</t>
        </is>
      </c>
      <c r="F25" s="24" t="inlineStr">
        <is>
          <t>TheMongolz</t>
        </is>
      </c>
      <c r="G25" s="24" t="inlineStr">
        <is>
          <t>Wildcard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-178</v>
      </c>
      <c r="M25" s="27" t="n">
        <v>1.561798</v>
      </c>
      <c r="N25" s="28" t="n">
        <v>0.640288</v>
      </c>
      <c r="O25" s="28" t="n">
        <v>0.702966</v>
      </c>
      <c r="P25" s="28" t="n"/>
      <c r="Q25" s="28" t="n">
        <v>0.062678</v>
      </c>
      <c r="R25" s="26" t="n">
        <v>51</v>
      </c>
      <c r="S25" s="29" t="n">
        <v>2</v>
      </c>
      <c r="T25" s="24" t="inlineStr">
        <is>
          <t>cs2-tiered-elo-v4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Neutral Elo baseline; executable ask 0.6400 (market_slug=aec-cs2-wc-mglz-2026-07-26).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TheMongolz</t>
        </is>
      </c>
      <c r="AQ25" s="24" t="inlineStr">
        <is>
          <t>TheMongolz</t>
        </is>
      </c>
      <c r="AR25" s="24" t="inlineStr">
        <is>
          <t>TheMongolz</t>
        </is>
      </c>
      <c r="AS25" s="24" t="inlineStr">
        <is>
          <t>Wildcard</t>
        </is>
      </c>
      <c r="AT25" s="24" t="inlineStr">
        <is>
          <t>Wildcard</t>
        </is>
      </c>
      <c r="AU25" s="24" t="inlineStr">
        <is>
          <t>Wildcard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e9c327ce15d79aaa8ed5032a6fb86929aaa479e14a8bc9a35686411400dd6b91</t>
        </is>
      </c>
      <c r="BB25" s="24" t="inlineStr">
        <is>
          <t>neutral_elo</t>
        </is>
      </c>
      <c r="BC25" s="24" t="inlineStr">
        <is>
          <t>cs2-tiered-elo-v4</t>
        </is>
      </c>
      <c r="BD25" s="24" t="inlineStr">
        <is>
          <t>e9c327ce15d79aaa8ed5032a6fb86929aaa479e14a8bc9a35686411400dd6b91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cs2-tiered-elo-v4</t>
        </is>
      </c>
      <c r="BH25" s="24" t="inlineStr">
        <is>
          <t>2026-07-26T12:49:46.102307Z</t>
        </is>
      </c>
      <c r="BI25" s="24" t="inlineStr">
        <is>
          <t>["same_event","same_team_same_day","same_league_same_day"]</t>
        </is>
      </c>
      <c r="BJ25" s="25" t="n"/>
      <c r="BK25" s="26" t="n">
        <v>-178</v>
      </c>
      <c r="BL25" s="27" t="n">
        <v>1.561798</v>
      </c>
      <c r="BM25" s="28" t="n">
        <v>0.640288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59899b82acff46b4</t>
        </is>
      </c>
      <c r="B26" s="24" t="inlineStr">
        <is>
          <t>2026-07-26T12:50:13.208687Z</t>
        </is>
      </c>
      <c r="C26" s="24" t="inlineStr">
        <is>
          <t>2026-07-26T15:00:00Z</t>
        </is>
      </c>
      <c r="D26" s="24" t="inlineStr">
        <is>
          <t>61671</t>
        </is>
      </c>
      <c r="E26" s="24" t="inlineStr">
        <is>
          <t>CS2</t>
        </is>
      </c>
      <c r="F26" s="24" t="inlineStr">
        <is>
          <t>largadosypelados</t>
        </is>
      </c>
      <c r="G26" s="24" t="inlineStr">
        <is>
          <t>ODDIK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178</v>
      </c>
      <c r="M26" s="27" t="n">
        <v>2.78</v>
      </c>
      <c r="N26" s="28" t="n">
        <v>0.359712</v>
      </c>
      <c r="O26" s="28" t="n">
        <v>0.786851</v>
      </c>
      <c r="P26" s="28" t="n"/>
      <c r="Q26" s="28" t="n">
        <v>0.427139</v>
      </c>
      <c r="R26" s="26" t="n">
        <v>100</v>
      </c>
      <c r="S26" s="29" t="n">
        <v>2</v>
      </c>
      <c r="T26" s="24" t="inlineStr">
        <is>
          <t>cs2-tiered-elo-v4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Neutral Elo baseline; executable ask 0.3600 (market_slug=aec-cs2-odk-ldp-2026-07-26).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largadosypelados</t>
        </is>
      </c>
      <c r="AQ26" s="24" t="inlineStr">
        <is>
          <t>largadosypelados</t>
        </is>
      </c>
      <c r="AR26" s="24" t="inlineStr">
        <is>
          <t>largadosypelados</t>
        </is>
      </c>
      <c r="AS26" s="24" t="inlineStr">
        <is>
          <t>ODDIK</t>
        </is>
      </c>
      <c r="AT26" s="24" t="inlineStr">
        <is>
          <t>ODDIK</t>
        </is>
      </c>
      <c r="AU26" s="24" t="inlineStr">
        <is>
          <t>ODDIK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e9c327ce15d79aaa8ed5032a6fb86929aaa479e14a8bc9a35686411400dd6b91</t>
        </is>
      </c>
      <c r="BB26" s="24" t="inlineStr">
        <is>
          <t>neutral_elo</t>
        </is>
      </c>
      <c r="BC26" s="24" t="inlineStr">
        <is>
          <t>cs2-tiered-elo-v4</t>
        </is>
      </c>
      <c r="BD26" s="24" t="inlineStr">
        <is>
          <t>e9c327ce15d79aaa8ed5032a6fb86929aaa479e14a8bc9a35686411400dd6b91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cs2-tiered-elo-v4</t>
        </is>
      </c>
      <c r="BH26" s="24" t="inlineStr">
        <is>
          <t>2026-07-26T12:49:46.942100Z</t>
        </is>
      </c>
      <c r="BI26" s="24" t="inlineStr">
        <is>
          <t>["same_event","same_team_same_day","same_league_same_day"]</t>
        </is>
      </c>
      <c r="BJ26" s="25" t="n"/>
      <c r="BK26" s="26" t="n">
        <v>178</v>
      </c>
      <c r="BL26" s="27" t="n">
        <v>2.78</v>
      </c>
      <c r="BM26" s="28" t="n">
        <v>0.359712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560429622c8e4af9</t>
        </is>
      </c>
      <c r="B27" s="24" t="inlineStr">
        <is>
          <t>2026-07-26T12:50:13.208687Z</t>
        </is>
      </c>
      <c r="C27" s="24" t="inlineStr">
        <is>
          <t>2026-07-26T15:30:00Z</t>
        </is>
      </c>
      <c r="D27" s="24" t="inlineStr">
        <is>
          <t>61480</t>
        </is>
      </c>
      <c r="E27" s="24" t="inlineStr">
        <is>
          <t>CS2</t>
        </is>
      </c>
      <c r="F27" s="24" t="inlineStr">
        <is>
          <t>sleepers</t>
        </is>
      </c>
      <c r="G27" s="24" t="inlineStr">
        <is>
          <t>aimclub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-178</v>
      </c>
      <c r="M27" s="27" t="n">
        <v>1.561798</v>
      </c>
      <c r="N27" s="28" t="n">
        <v>0.640288</v>
      </c>
      <c r="O27" s="28" t="n">
        <v>0.558205</v>
      </c>
      <c r="P27" s="28" t="n"/>
      <c r="Q27" s="28" t="n">
        <v>-0.082083</v>
      </c>
      <c r="R27" s="26" t="n">
        <v>0</v>
      </c>
      <c r="S27" s="29" t="n">
        <v>1</v>
      </c>
      <c r="T27" s="24" t="inlineStr">
        <is>
          <t>cs2-tiered-elo-v4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Neutral Elo baseline; executable ask 0.6400 (market_slug=aec-cs2-aimc-sle-2026-07-26).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sleepers</t>
        </is>
      </c>
      <c r="AQ27" s="24" t="inlineStr">
        <is>
          <t>sleepers</t>
        </is>
      </c>
      <c r="AR27" s="24" t="inlineStr">
        <is>
          <t>sleepers</t>
        </is>
      </c>
      <c r="AS27" s="24" t="inlineStr">
        <is>
          <t>aimclub</t>
        </is>
      </c>
      <c r="AT27" s="24" t="inlineStr">
        <is>
          <t>aimclub</t>
        </is>
      </c>
      <c r="AU27" s="24" t="inlineStr">
        <is>
          <t>aimclub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e9c327ce15d79aaa8ed5032a6fb86929aaa479e14a8bc9a35686411400dd6b91</t>
        </is>
      </c>
      <c r="BB27" s="24" t="inlineStr">
        <is>
          <t>neutral_elo</t>
        </is>
      </c>
      <c r="BC27" s="24" t="inlineStr">
        <is>
          <t>cs2-tiered-elo-v4</t>
        </is>
      </c>
      <c r="BD27" s="24" t="inlineStr">
        <is>
          <t>e9c327ce15d79aaa8ed5032a6fb86929aaa479e14a8bc9a35686411400dd6b91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cs2-tiered-elo-v4</t>
        </is>
      </c>
      <c r="BH27" s="24" t="inlineStr">
        <is>
          <t>2026-07-26T12:49:48.845751Z</t>
        </is>
      </c>
      <c r="BI27" s="24" t="inlineStr">
        <is>
          <t>["same_event","same_team_same_day","same_league_same_day"]</t>
        </is>
      </c>
      <c r="BJ27" s="25" t="n"/>
      <c r="BK27" s="26" t="n">
        <v>-178</v>
      </c>
      <c r="BL27" s="27" t="n">
        <v>1.561798</v>
      </c>
      <c r="BM27" s="28" t="n">
        <v>0.640288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40692918b0c94676</t>
        </is>
      </c>
      <c r="B28" s="24" t="inlineStr">
        <is>
          <t>2026-07-26T12:50:13.208687Z</t>
        </is>
      </c>
      <c r="C28" s="24" t="inlineStr">
        <is>
          <t>2026-07-26T16:00:00Z</t>
        </is>
      </c>
      <c r="D28" s="24" t="inlineStr">
        <is>
          <t>61948</t>
        </is>
      </c>
      <c r="E28" s="24" t="inlineStr">
        <is>
          <t>CS2</t>
        </is>
      </c>
      <c r="F28" s="24" t="inlineStr">
        <is>
          <t>NIP</t>
        </is>
      </c>
      <c r="G28" s="24" t="inlineStr">
        <is>
          <t>magic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113</v>
      </c>
      <c r="M28" s="27" t="n">
        <v>2.13</v>
      </c>
      <c r="N28" s="28" t="n">
        <v>0.469484</v>
      </c>
      <c r="O28" s="28" t="n">
        <v>0.665479</v>
      </c>
      <c r="P28" s="28" t="n"/>
      <c r="Q28" s="28" t="n">
        <v>0.195995</v>
      </c>
      <c r="R28" s="26" t="n">
        <v>100</v>
      </c>
      <c r="S28" s="29" t="n">
        <v>2</v>
      </c>
      <c r="T28" s="24" t="inlineStr">
        <is>
          <t>cs2-tiered-elo-v4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0.4700 (market_slug=aec-cs2-mgc-nip-2026-07-26).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NIP</t>
        </is>
      </c>
      <c r="AQ28" s="24" t="inlineStr">
        <is>
          <t>NIP</t>
        </is>
      </c>
      <c r="AR28" s="24" t="inlineStr">
        <is>
          <t>NIP</t>
        </is>
      </c>
      <c r="AS28" s="24" t="inlineStr">
        <is>
          <t>magic</t>
        </is>
      </c>
      <c r="AT28" s="24" t="inlineStr">
        <is>
          <t>magic</t>
        </is>
      </c>
      <c r="AU28" s="24" t="inlineStr">
        <is>
          <t>magic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e9c327ce15d79aaa8ed5032a6fb86929aaa479e14a8bc9a35686411400dd6b91</t>
        </is>
      </c>
      <c r="BB28" s="24" t="inlineStr">
        <is>
          <t>neutral_elo</t>
        </is>
      </c>
      <c r="BC28" s="24" t="inlineStr">
        <is>
          <t>cs2-tiered-elo-v4</t>
        </is>
      </c>
      <c r="BD28" s="24" t="inlineStr">
        <is>
          <t>e9c327ce15d79aaa8ed5032a6fb86929aaa479e14a8bc9a35686411400dd6b91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cs2-tiered-elo-v4</t>
        </is>
      </c>
      <c r="BH28" s="24" t="inlineStr">
        <is>
          <t>2026-07-26T12:49:49.664310Z</t>
        </is>
      </c>
      <c r="BI28" s="24" t="inlineStr">
        <is>
          <t>["same_event","same_team_same_day","same_league_same_day"]</t>
        </is>
      </c>
      <c r="BJ28" s="25" t="n"/>
      <c r="BK28" s="26" t="n">
        <v>113</v>
      </c>
      <c r="BL28" s="27" t="n">
        <v>2.13</v>
      </c>
      <c r="BM28" s="28" t="n">
        <v>0.469484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18212168114f4d40</t>
        </is>
      </c>
      <c r="B29" s="24" t="inlineStr">
        <is>
          <t>2026-07-26T12:50:13.208687Z</t>
        </is>
      </c>
      <c r="C29" s="24" t="inlineStr">
        <is>
          <t>2026-07-26T17:00:00Z</t>
        </is>
      </c>
      <c r="D29" s="24" t="inlineStr">
        <is>
          <t>62237</t>
        </is>
      </c>
      <c r="E29" s="24" t="inlineStr">
        <is>
          <t>CS2</t>
        </is>
      </c>
      <c r="F29" s="24" t="inlineStr">
        <is>
          <t>Privateer Gaming</t>
        </is>
      </c>
      <c r="G29" s="24" t="inlineStr">
        <is>
          <t>Honvéd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-163</v>
      </c>
      <c r="M29" s="27" t="n">
        <v>1.613497</v>
      </c>
      <c r="N29" s="28" t="n">
        <v>0.619772</v>
      </c>
      <c r="O29" s="28" t="n">
        <v>0.700097</v>
      </c>
      <c r="P29" s="28" t="n"/>
      <c r="Q29" s="28" t="n">
        <v>0.08032499999999999</v>
      </c>
      <c r="R29" s="26" t="n">
        <v>60</v>
      </c>
      <c r="S29" s="29" t="n">
        <v>2</v>
      </c>
      <c r="T29" s="24" t="inlineStr">
        <is>
          <t>cs2-tiered-elo-v4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0.6200 (market_slug=aec-cs2-hon-pg-2026-07-26).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Privateer Gaming</t>
        </is>
      </c>
      <c r="AQ29" s="24" t="inlineStr">
        <is>
          <t>Privateer Gaming</t>
        </is>
      </c>
      <c r="AR29" s="24" t="inlineStr">
        <is>
          <t>Privateer Gaming</t>
        </is>
      </c>
      <c r="AS29" s="24" t="inlineStr">
        <is>
          <t>Honvéd</t>
        </is>
      </c>
      <c r="AT29" s="24" t="inlineStr">
        <is>
          <t>Honvéd</t>
        </is>
      </c>
      <c r="AU29" s="24" t="inlineStr">
        <is>
          <t>Honvéd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e9c327ce15d79aaa8ed5032a6fb86929aaa479e14a8bc9a35686411400dd6b91</t>
        </is>
      </c>
      <c r="BB29" s="24" t="inlineStr">
        <is>
          <t>neutral_elo</t>
        </is>
      </c>
      <c r="BC29" s="24" t="inlineStr">
        <is>
          <t>cs2-tiered-elo-v4</t>
        </is>
      </c>
      <c r="BD29" s="24" t="inlineStr">
        <is>
          <t>e9c327ce15d79aaa8ed5032a6fb86929aaa479e14a8bc9a35686411400dd6b91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cs2-tiered-elo-v4</t>
        </is>
      </c>
      <c r="BH29" s="24" t="inlineStr">
        <is>
          <t>2026-07-26T12:49:51.560831Z</t>
        </is>
      </c>
      <c r="BI29" s="24" t="inlineStr">
        <is>
          <t>["same_event","same_team_same_day","same_league_same_day"]</t>
        </is>
      </c>
      <c r="BJ29" s="25" t="n"/>
      <c r="BK29" s="26" t="n">
        <v>-163</v>
      </c>
      <c r="BL29" s="27" t="n">
        <v>1.613497</v>
      </c>
      <c r="BM29" s="28" t="n">
        <v>0.619772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d9e51b7109cb4f98</t>
        </is>
      </c>
      <c r="B30" s="24" t="inlineStr">
        <is>
          <t>2026-07-26T12:50:13.208687Z</t>
        </is>
      </c>
      <c r="C30" s="24" t="inlineStr">
        <is>
          <t>2026-07-26T17:00:00Z</t>
        </is>
      </c>
      <c r="D30" s="24" t="inlineStr">
        <is>
          <t>61034</t>
        </is>
      </c>
      <c r="E30" s="24" t="inlineStr">
        <is>
          <t>CS2</t>
        </is>
      </c>
      <c r="F30" s="24" t="inlineStr">
        <is>
          <t>Atreides</t>
        </is>
      </c>
      <c r="G30" s="24" t="inlineStr">
        <is>
          <t>Esport Academy Copenhagen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-138</v>
      </c>
      <c r="M30" s="27" t="n">
        <v>1.724638</v>
      </c>
      <c r="N30" s="28" t="n">
        <v>0.579832</v>
      </c>
      <c r="O30" s="28" t="n">
        <v>0.527474</v>
      </c>
      <c r="P30" s="28" t="n"/>
      <c r="Q30" s="28" t="n">
        <v>-0.052358</v>
      </c>
      <c r="R30" s="26" t="n">
        <v>0</v>
      </c>
      <c r="S30" s="29" t="n">
        <v>0.75</v>
      </c>
      <c r="T30" s="24" t="inlineStr">
        <is>
          <t>cs2-tiered-elo-v4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Neutral Elo baseline; executable ask 0.5800 (market_slug=aec-cs2-eac-atr-2026-07-26).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Atreides</t>
        </is>
      </c>
      <c r="AQ30" s="24" t="inlineStr">
        <is>
          <t>Atreides</t>
        </is>
      </c>
      <c r="AR30" s="24" t="inlineStr">
        <is>
          <t>Atreides</t>
        </is>
      </c>
      <c r="AS30" s="24" t="inlineStr">
        <is>
          <t>Esport Academy Copenhagen</t>
        </is>
      </c>
      <c r="AT30" s="24" t="inlineStr">
        <is>
          <t>Esport Academy Copenhagen</t>
        </is>
      </c>
      <c r="AU30" s="24" t="inlineStr">
        <is>
          <t>Esport Academy Copenhagen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e9c327ce15d79aaa8ed5032a6fb86929aaa479e14a8bc9a35686411400dd6b91</t>
        </is>
      </c>
      <c r="BB30" s="24" t="inlineStr">
        <is>
          <t>neutral_elo</t>
        </is>
      </c>
      <c r="BC30" s="24" t="inlineStr">
        <is>
          <t>cs2-tiered-elo-v4</t>
        </is>
      </c>
      <c r="BD30" s="24" t="inlineStr">
        <is>
          <t>e9c327ce15d79aaa8ed5032a6fb86929aaa479e14a8bc9a35686411400dd6b91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cs2-tiered-elo-v4</t>
        </is>
      </c>
      <c r="BH30" s="24" t="inlineStr">
        <is>
          <t>2026-07-26T12:49:52.386615Z</t>
        </is>
      </c>
      <c r="BI30" s="24" t="inlineStr">
        <is>
          <t>["same_event","same_team_same_day","same_league_same_day"]</t>
        </is>
      </c>
      <c r="BJ30" s="25" t="n"/>
      <c r="BK30" s="26" t="n">
        <v>-138</v>
      </c>
      <c r="BL30" s="27" t="n">
        <v>1.724638</v>
      </c>
      <c r="BM30" s="28" t="n">
        <v>0.579832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af60000a899b4f20</t>
        </is>
      </c>
      <c r="B31" s="24" t="inlineStr">
        <is>
          <t>2026-07-26T12:50:13.208687Z</t>
        </is>
      </c>
      <c r="C31" s="24" t="inlineStr">
        <is>
          <t>2026-07-26T17:00:00Z</t>
        </is>
      </c>
      <c r="D31" s="24" t="inlineStr">
        <is>
          <t>61038</t>
        </is>
      </c>
      <c r="E31" s="24" t="inlineStr">
        <is>
          <t>CS2</t>
        </is>
      </c>
      <c r="F31" s="24" t="inlineStr">
        <is>
          <t>Butterfly</t>
        </is>
      </c>
      <c r="G31" s="24" t="inlineStr">
        <is>
          <t>Lavked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108</v>
      </c>
      <c r="M31" s="27" t="n">
        <v>2.08</v>
      </c>
      <c r="N31" s="28" t="n">
        <v>0.480769</v>
      </c>
      <c r="O31" s="28" t="n">
        <v>0.758379</v>
      </c>
      <c r="P31" s="28" t="n"/>
      <c r="Q31" s="28" t="n">
        <v>0.27761</v>
      </c>
      <c r="R31" s="26" t="n">
        <v>100</v>
      </c>
      <c r="S31" s="29" t="n">
        <v>2</v>
      </c>
      <c r="T31" s="24" t="inlineStr">
        <is>
          <t>cs2-tiered-elo-v4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Neutral Elo baseline; executable ask 0.4800 (market_slug=aec-cs2-lav-btf-2026-07-26).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Butterfly</t>
        </is>
      </c>
      <c r="AQ31" s="24" t="inlineStr">
        <is>
          <t>Butterfly</t>
        </is>
      </c>
      <c r="AR31" s="24" t="inlineStr">
        <is>
          <t>Butterfly</t>
        </is>
      </c>
      <c r="AS31" s="24" t="inlineStr">
        <is>
          <t>Lavked</t>
        </is>
      </c>
      <c r="AT31" s="24" t="inlineStr">
        <is>
          <t>Lavked</t>
        </is>
      </c>
      <c r="AU31" s="24" t="inlineStr">
        <is>
          <t>Lavked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e9c327ce15d79aaa8ed5032a6fb86929aaa479e14a8bc9a35686411400dd6b91</t>
        </is>
      </c>
      <c r="BB31" s="24" t="inlineStr">
        <is>
          <t>neutral_elo</t>
        </is>
      </c>
      <c r="BC31" s="24" t="inlineStr">
        <is>
          <t>cs2-tiered-elo-v4</t>
        </is>
      </c>
      <c r="BD31" s="24" t="inlineStr">
        <is>
          <t>e9c327ce15d79aaa8ed5032a6fb86929aaa479e14a8bc9a35686411400dd6b91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cs2-tiered-elo-v4</t>
        </is>
      </c>
      <c r="BH31" s="24" t="inlineStr">
        <is>
          <t>2026-07-26T12:49:53.215216Z</t>
        </is>
      </c>
      <c r="BI31" s="24" t="inlineStr">
        <is>
          <t>["same_event","same_team_same_day","same_league_same_day"]</t>
        </is>
      </c>
      <c r="BJ31" s="25" t="n"/>
      <c r="BK31" s="26" t="n">
        <v>108</v>
      </c>
      <c r="BL31" s="27" t="n">
        <v>2.08</v>
      </c>
      <c r="BM31" s="28" t="n">
        <v>0.480769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7dae7b196b1b44a2</t>
        </is>
      </c>
      <c r="B32" s="24" t="inlineStr">
        <is>
          <t>2026-07-26T12:50:13.208687Z</t>
        </is>
      </c>
      <c r="C32" s="24" t="inlineStr">
        <is>
          <t>2026-07-26T18:15:00Z</t>
        </is>
      </c>
      <c r="D32" s="24" t="inlineStr">
        <is>
          <t>61472</t>
        </is>
      </c>
      <c r="E32" s="24" t="inlineStr">
        <is>
          <t>CS2</t>
        </is>
      </c>
      <c r="F32" s="24" t="inlineStr">
        <is>
          <t>mellren</t>
        </is>
      </c>
      <c r="G32" s="24" t="inlineStr">
        <is>
          <t>A Great Chaos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-223</v>
      </c>
      <c r="M32" s="27" t="n">
        <v>1.44843</v>
      </c>
      <c r="N32" s="28" t="n">
        <v>0.690402</v>
      </c>
      <c r="O32" s="28" t="n">
        <v>0.703286</v>
      </c>
      <c r="P32" s="28" t="n"/>
      <c r="Q32" s="28" t="n">
        <v>0.012884</v>
      </c>
      <c r="R32" s="26" t="n">
        <v>26</v>
      </c>
      <c r="S32" s="29" t="n">
        <v>2</v>
      </c>
      <c r="T32" s="24" t="inlineStr">
        <is>
          <t>cs2-tiered-elo-v4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Neutral Elo baseline; executable ask 0.6900 (market_slug=aec-cs2-agc-mel-2026-07-26).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mellren</t>
        </is>
      </c>
      <c r="AQ32" s="24" t="inlineStr">
        <is>
          <t>mellren</t>
        </is>
      </c>
      <c r="AR32" s="24" t="inlineStr">
        <is>
          <t>mellren</t>
        </is>
      </c>
      <c r="AS32" s="24" t="inlineStr">
        <is>
          <t>A Great Chaos</t>
        </is>
      </c>
      <c r="AT32" s="24" t="inlineStr">
        <is>
          <t>A Great Chaos</t>
        </is>
      </c>
      <c r="AU32" s="24" t="inlineStr">
        <is>
          <t>A Great Chaos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e9c327ce15d79aaa8ed5032a6fb86929aaa479e14a8bc9a35686411400dd6b91</t>
        </is>
      </c>
      <c r="BB32" s="24" t="inlineStr">
        <is>
          <t>neutral_elo</t>
        </is>
      </c>
      <c r="BC32" s="24" t="inlineStr">
        <is>
          <t>cs2-tiered-elo-v4</t>
        </is>
      </c>
      <c r="BD32" s="24" t="inlineStr">
        <is>
          <t>e9c327ce15d79aaa8ed5032a6fb86929aaa479e14a8bc9a35686411400dd6b91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cs2-tiered-elo-v4</t>
        </is>
      </c>
      <c r="BH32" s="24" t="inlineStr">
        <is>
          <t>2026-07-26T12:49:56.663548Z</t>
        </is>
      </c>
      <c r="BI32" s="24" t="inlineStr">
        <is>
          <t>["same_event","same_team_same_day","same_league_same_day"]</t>
        </is>
      </c>
      <c r="BJ32" s="25" t="n"/>
      <c r="BK32" s="26" t="n">
        <v>-223</v>
      </c>
      <c r="BL32" s="27" t="n">
        <v>1.44843</v>
      </c>
      <c r="BM32" s="28" t="n">
        <v>0.690402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f5b2eb857251441c</t>
        </is>
      </c>
      <c r="B33" s="24" t="inlineStr">
        <is>
          <t>2026-07-26T12:50:13.208687Z</t>
        </is>
      </c>
      <c r="C33" s="24" t="inlineStr">
        <is>
          <t>2026-07-27T08:00:00Z</t>
        </is>
      </c>
      <c r="D33" s="24" t="inlineStr">
        <is>
          <t>60702</t>
        </is>
      </c>
      <c r="E33" s="24" t="inlineStr">
        <is>
          <t>CS2</t>
        </is>
      </c>
      <c r="F33" s="24" t="inlineStr">
        <is>
          <t>Entropy</t>
        </is>
      </c>
      <c r="G33" s="24" t="inlineStr">
        <is>
          <t>ex-RUSTEC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163</v>
      </c>
      <c r="M33" s="27" t="n">
        <v>2.63</v>
      </c>
      <c r="N33" s="28" t="n">
        <v>0.380228</v>
      </c>
      <c r="O33" s="28" t="n">
        <v>0.607321</v>
      </c>
      <c r="P33" s="28" t="n"/>
      <c r="Q33" s="28" t="n">
        <v>0.227093</v>
      </c>
      <c r="R33" s="26" t="n">
        <v>100</v>
      </c>
      <c r="S33" s="29" t="n">
        <v>1.5</v>
      </c>
      <c r="T33" s="24" t="inlineStr">
        <is>
          <t>cs2-tiered-elo-v4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Neutral Elo baseline; executable ask 0.3800 (market_slug=aec-cs2-erx-ent-2026-07-27).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Entropy</t>
        </is>
      </c>
      <c r="AQ33" s="24" t="inlineStr">
        <is>
          <t>Entropy</t>
        </is>
      </c>
      <c r="AR33" s="24" t="inlineStr">
        <is>
          <t>Entropy</t>
        </is>
      </c>
      <c r="AS33" s="24" t="inlineStr">
        <is>
          <t>ex-RUSTEC</t>
        </is>
      </c>
      <c r="AT33" s="24" t="inlineStr">
        <is>
          <t>ex-RUSTEC</t>
        </is>
      </c>
      <c r="AU33" s="24" t="inlineStr">
        <is>
          <t>ex-RUSTEC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e9c327ce15d79aaa8ed5032a6fb86929aaa479e14a8bc9a35686411400dd6b91</t>
        </is>
      </c>
      <c r="BB33" s="24" t="inlineStr">
        <is>
          <t>neutral_elo</t>
        </is>
      </c>
      <c r="BC33" s="24" t="inlineStr">
        <is>
          <t>cs2-tiered-elo-v4</t>
        </is>
      </c>
      <c r="BD33" s="24" t="inlineStr">
        <is>
          <t>e9c327ce15d79aaa8ed5032a6fb86929aaa479e14a8bc9a35686411400dd6b91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cs2-tiered-elo-v4</t>
        </is>
      </c>
      <c r="BH33" s="24" t="inlineStr">
        <is>
          <t>2026-07-26T12:49:59.220544Z</t>
        </is>
      </c>
      <c r="BI33" s="24" t="inlineStr">
        <is>
          <t>["same_event","same_team_same_day","same_league_same_day"]</t>
        </is>
      </c>
      <c r="BJ33" s="25" t="n"/>
      <c r="BK33" s="26" t="n">
        <v>163</v>
      </c>
      <c r="BL33" s="27" t="n">
        <v>2.63</v>
      </c>
      <c r="BM33" s="28" t="n">
        <v>0.380228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8baf57eda3434730</t>
        </is>
      </c>
      <c r="B34" s="24" t="inlineStr">
        <is>
          <t>2026-07-26T12:50:13.208687Z</t>
        </is>
      </c>
      <c r="C34" s="24" t="inlineStr">
        <is>
          <t>2026-07-27T11:00:00Z</t>
        </is>
      </c>
      <c r="D34" s="24" t="inlineStr">
        <is>
          <t>60732</t>
        </is>
      </c>
      <c r="E34" s="24" t="inlineStr">
        <is>
          <t>CS2</t>
        </is>
      </c>
      <c r="F34" s="24" t="inlineStr">
        <is>
          <t>Noir Verse</t>
        </is>
      </c>
      <c r="G34" s="24" t="inlineStr">
        <is>
          <t>ASTRAL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-170</v>
      </c>
      <c r="M34" s="27" t="n">
        <v>1.588235</v>
      </c>
      <c r="N34" s="28" t="n">
        <v>0.62963</v>
      </c>
      <c r="O34" s="28" t="n">
        <v>0.736846</v>
      </c>
      <c r="P34" s="28" t="n"/>
      <c r="Q34" s="28" t="n">
        <v>0.107216</v>
      </c>
      <c r="R34" s="26" t="n">
        <v>74</v>
      </c>
      <c r="S34" s="29" t="n">
        <v>2</v>
      </c>
      <c r="T34" s="24" t="inlineStr">
        <is>
          <t>cs2-tiered-elo-v4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Neutral Elo baseline; executable ask 0.6300 (market_slug=aec-cs2-astr-nvo-2026-07-27).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Noir Verse</t>
        </is>
      </c>
      <c r="AQ34" s="24" t="inlineStr">
        <is>
          <t>Noir Verse</t>
        </is>
      </c>
      <c r="AR34" s="24" t="inlineStr">
        <is>
          <t>Noir Verse</t>
        </is>
      </c>
      <c r="AS34" s="24" t="inlineStr">
        <is>
          <t>ASTRAL</t>
        </is>
      </c>
      <c r="AT34" s="24" t="inlineStr">
        <is>
          <t>ASTRAL</t>
        </is>
      </c>
      <c r="AU34" s="24" t="inlineStr">
        <is>
          <t>ASTRAL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e9c327ce15d79aaa8ed5032a6fb86929aaa479e14a8bc9a35686411400dd6b91</t>
        </is>
      </c>
      <c r="BB34" s="24" t="inlineStr">
        <is>
          <t>neutral_elo</t>
        </is>
      </c>
      <c r="BC34" s="24" t="inlineStr">
        <is>
          <t>cs2-tiered-elo-v4</t>
        </is>
      </c>
      <c r="BD34" s="24" t="inlineStr">
        <is>
          <t>e9c327ce15d79aaa8ed5032a6fb86929aaa479e14a8bc9a35686411400dd6b91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cs2-tiered-elo-v4</t>
        </is>
      </c>
      <c r="BH34" s="24" t="inlineStr">
        <is>
          <t>2026-07-26T12:50:00.851568Z</t>
        </is>
      </c>
      <c r="BI34" s="24" t="inlineStr">
        <is>
          <t>["same_event","same_team_same_day","same_league_same_day"]</t>
        </is>
      </c>
      <c r="BJ34" s="25" t="n"/>
      <c r="BK34" s="26" t="n">
        <v>-170</v>
      </c>
      <c r="BL34" s="27" t="n">
        <v>1.588235</v>
      </c>
      <c r="BM34" s="28" t="n">
        <v>0.62963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5ed1eac63e1d4e99</t>
        </is>
      </c>
      <c r="B35" s="24" t="inlineStr">
        <is>
          <t>2026-07-26T12:50:13.208687Z</t>
        </is>
      </c>
      <c r="C35" s="24" t="inlineStr">
        <is>
          <t>2026-07-27T11:00:00Z</t>
        </is>
      </c>
      <c r="D35" s="24" t="inlineStr">
        <is>
          <t>60729</t>
        </is>
      </c>
      <c r="E35" s="24" t="inlineStr">
        <is>
          <t>CS2</t>
        </is>
      </c>
      <c r="F35" s="24" t="inlineStr">
        <is>
          <t>Mai Tai</t>
        </is>
      </c>
      <c r="G35" s="24" t="inlineStr">
        <is>
          <t>UNiTY esports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-150</v>
      </c>
      <c r="M35" s="27" t="n">
        <v>1.666667</v>
      </c>
      <c r="N35" s="28" t="n">
        <v>0.6</v>
      </c>
      <c r="O35" s="28" t="n">
        <v>0.539211</v>
      </c>
      <c r="P35" s="28" t="n"/>
      <c r="Q35" s="28" t="n">
        <v>-0.060789</v>
      </c>
      <c r="R35" s="26" t="n">
        <v>0</v>
      </c>
      <c r="S35" s="29" t="n">
        <v>1</v>
      </c>
      <c r="T35" s="24" t="inlineStr">
        <is>
          <t>cs2-tiered-elo-v4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Neutral Elo baseline; executable ask 0.6000 (market_slug=aec-cs2-unity-mta-2026-07-27).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Mai Tai</t>
        </is>
      </c>
      <c r="AQ35" s="24" t="inlineStr">
        <is>
          <t>Mai Tai</t>
        </is>
      </c>
      <c r="AR35" s="24" t="inlineStr">
        <is>
          <t>Mai Tai</t>
        </is>
      </c>
      <c r="AS35" s="24" t="inlineStr">
        <is>
          <t>UNiTY esports</t>
        </is>
      </c>
      <c r="AT35" s="24" t="inlineStr">
        <is>
          <t>UNiTY esports</t>
        </is>
      </c>
      <c r="AU35" s="24" t="inlineStr">
        <is>
          <t>UNiTY esports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e9c327ce15d79aaa8ed5032a6fb86929aaa479e14a8bc9a35686411400dd6b91</t>
        </is>
      </c>
      <c r="BB35" s="24" t="inlineStr">
        <is>
          <t>neutral_elo</t>
        </is>
      </c>
      <c r="BC35" s="24" t="inlineStr">
        <is>
          <t>cs2-tiered-elo-v4</t>
        </is>
      </c>
      <c r="BD35" s="24" t="inlineStr">
        <is>
          <t>e9c327ce15d79aaa8ed5032a6fb86929aaa479e14a8bc9a35686411400dd6b91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cs2-tiered-elo-v4</t>
        </is>
      </c>
      <c r="BH35" s="24" t="inlineStr">
        <is>
          <t>2026-07-26T12:50:01.643224Z</t>
        </is>
      </c>
      <c r="BI35" s="24" t="inlineStr">
        <is>
          <t>["same_event","same_team_same_day","same_league_same_day"]</t>
        </is>
      </c>
      <c r="BJ35" s="25" t="n"/>
      <c r="BK35" s="26" t="n">
        <v>-150</v>
      </c>
      <c r="BL35" s="27" t="n">
        <v>1.666667</v>
      </c>
      <c r="BM35" s="28" t="n">
        <v>0.6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50783c88f8a24829</t>
        </is>
      </c>
      <c r="B36" s="24" t="inlineStr">
        <is>
          <t>2026-07-26T12:50:13.208687Z</t>
        </is>
      </c>
      <c r="C36" s="24" t="inlineStr">
        <is>
          <t>2026-07-27T14:00:00Z</t>
        </is>
      </c>
      <c r="D36" s="24" t="inlineStr">
        <is>
          <t>60748</t>
        </is>
      </c>
      <c r="E36" s="24" t="inlineStr">
        <is>
          <t>CS2</t>
        </is>
      </c>
      <c r="F36" s="24" t="inlineStr">
        <is>
          <t>Misa Esports</t>
        </is>
      </c>
      <c r="G36" s="24" t="inlineStr">
        <is>
          <t>Black Phoenix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-213</v>
      </c>
      <c r="M36" s="27" t="n">
        <v>1.469484</v>
      </c>
      <c r="N36" s="28" t="n">
        <v>0.680511</v>
      </c>
      <c r="O36" s="28" t="n">
        <v>0.531101</v>
      </c>
      <c r="P36" s="28" t="n"/>
      <c r="Q36" s="28" t="n">
        <v>-0.14941</v>
      </c>
      <c r="R36" s="26" t="n">
        <v>0</v>
      </c>
      <c r="S36" s="29" t="n">
        <v>0.75</v>
      </c>
      <c r="T36" s="24" t="inlineStr">
        <is>
          <t>cs2-tiered-elo-v4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Neutral Elo baseline; executable ask 0.6800 (market_slug=aec-cs2-bpl-misa-2026-07-27).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Misa Esports</t>
        </is>
      </c>
      <c r="AQ36" s="24" t="inlineStr">
        <is>
          <t>Misa Esports</t>
        </is>
      </c>
      <c r="AR36" s="24" t="inlineStr">
        <is>
          <t>Misa Esports</t>
        </is>
      </c>
      <c r="AS36" s="24" t="inlineStr">
        <is>
          <t>Black Phoenix</t>
        </is>
      </c>
      <c r="AT36" s="24" t="inlineStr">
        <is>
          <t>Black Phoenix</t>
        </is>
      </c>
      <c r="AU36" s="24" t="inlineStr">
        <is>
          <t>Black Phoenix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e9c327ce15d79aaa8ed5032a6fb86929aaa479e14a8bc9a35686411400dd6b91</t>
        </is>
      </c>
      <c r="BB36" s="24" t="inlineStr">
        <is>
          <t>neutral_elo</t>
        </is>
      </c>
      <c r="BC36" s="24" t="inlineStr">
        <is>
          <t>cs2-tiered-elo-v4</t>
        </is>
      </c>
      <c r="BD36" s="24" t="inlineStr">
        <is>
          <t>e9c327ce15d79aaa8ed5032a6fb86929aaa479e14a8bc9a35686411400dd6b91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cs2-tiered-elo-v4</t>
        </is>
      </c>
      <c r="BH36" s="24" t="inlineStr">
        <is>
          <t>2026-07-26T12:50:05.947250Z</t>
        </is>
      </c>
      <c r="BI36" s="24" t="inlineStr">
        <is>
          <t>["same_event","same_team_same_day","same_league_same_day"]</t>
        </is>
      </c>
      <c r="BJ36" s="25" t="n"/>
      <c r="BK36" s="26" t="n">
        <v>-213</v>
      </c>
      <c r="BL36" s="27" t="n">
        <v>1.469484</v>
      </c>
      <c r="BM36" s="28" t="n">
        <v>0.680511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be6605fbc88841cd</t>
        </is>
      </c>
      <c r="B37" s="24" t="inlineStr">
        <is>
          <t>2026-07-26T12:50:13.208687Z</t>
        </is>
      </c>
      <c r="C37" s="24" t="inlineStr">
        <is>
          <t>2026-07-27T15:30:00Z</t>
        </is>
      </c>
      <c r="D37" s="24" t="inlineStr">
        <is>
          <t>60764</t>
        </is>
      </c>
      <c r="E37" s="24" t="inlineStr">
        <is>
          <t>CS2</t>
        </is>
      </c>
      <c r="F37" s="24" t="inlineStr">
        <is>
          <t>NAVI Junior</t>
        </is>
      </c>
      <c r="G37" s="24" t="inlineStr">
        <is>
          <t>Brute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-194</v>
      </c>
      <c r="M37" s="27" t="n">
        <v>1.515464</v>
      </c>
      <c r="N37" s="28" t="n">
        <v>0.659864</v>
      </c>
      <c r="O37" s="28" t="n">
        <v>0.735192</v>
      </c>
      <c r="P37" s="28" t="n"/>
      <c r="Q37" s="28" t="n">
        <v>0.07532800000000001</v>
      </c>
      <c r="R37" s="26" t="n">
        <v>58</v>
      </c>
      <c r="S37" s="29" t="n">
        <v>2</v>
      </c>
      <c r="T37" s="24" t="inlineStr">
        <is>
          <t>cs2-tiered-elo-v4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Neutral Elo baseline; executable ask 0.6600 (market_slug=aec-cs2-brute-navij-2026-07-27).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NAVI Junior</t>
        </is>
      </c>
      <c r="AQ37" s="24" t="inlineStr">
        <is>
          <t>NAVI Junior</t>
        </is>
      </c>
      <c r="AR37" s="24" t="inlineStr">
        <is>
          <t>NAVI Junior</t>
        </is>
      </c>
      <c r="AS37" s="24" t="inlineStr">
        <is>
          <t>Brute</t>
        </is>
      </c>
      <c r="AT37" s="24" t="inlineStr">
        <is>
          <t>Brute</t>
        </is>
      </c>
      <c r="AU37" s="24" t="inlineStr">
        <is>
          <t>Brute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e9c327ce15d79aaa8ed5032a6fb86929aaa479e14a8bc9a35686411400dd6b91</t>
        </is>
      </c>
      <c r="BB37" s="24" t="inlineStr">
        <is>
          <t>neutral_elo</t>
        </is>
      </c>
      <c r="BC37" s="24" t="inlineStr">
        <is>
          <t>cs2-tiered-elo-v4</t>
        </is>
      </c>
      <c r="BD37" s="24" t="inlineStr">
        <is>
          <t>e9c327ce15d79aaa8ed5032a6fb86929aaa479e14a8bc9a35686411400dd6b91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cs2-tiered-elo-v4</t>
        </is>
      </c>
      <c r="BH37" s="24" t="inlineStr">
        <is>
          <t>2026-07-26T12:50:08.444139Z</t>
        </is>
      </c>
      <c r="BI37" s="24" t="inlineStr">
        <is>
          <t>["same_event","same_team_same_day","same_league_same_day"]</t>
        </is>
      </c>
      <c r="BJ37" s="25" t="n"/>
      <c r="BK37" s="26" t="n">
        <v>-194</v>
      </c>
      <c r="BL37" s="27" t="n">
        <v>1.515464</v>
      </c>
      <c r="BM37" s="28" t="n">
        <v>0.659864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61e3eea0edd34b41</t>
        </is>
      </c>
      <c r="B38" s="24" t="inlineStr">
        <is>
          <t>2026-07-26T12:50:13.208687Z</t>
        </is>
      </c>
      <c r="C38" s="24" t="inlineStr">
        <is>
          <t>2026-07-27T16:30:00Z</t>
        </is>
      </c>
      <c r="D38" s="24" t="inlineStr">
        <is>
          <t>60788</t>
        </is>
      </c>
      <c r="E38" s="24" t="inlineStr">
        <is>
          <t>CS2</t>
        </is>
      </c>
      <c r="F38" s="24" t="inlineStr">
        <is>
          <t>MOUZ NXT</t>
        </is>
      </c>
      <c r="G38" s="24" t="inlineStr">
        <is>
          <t>Brute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-156</v>
      </c>
      <c r="M38" s="27" t="n">
        <v>1.641026</v>
      </c>
      <c r="N38" s="28" t="n">
        <v>0.609375</v>
      </c>
      <c r="O38" s="28" t="n">
        <v>0.659512</v>
      </c>
      <c r="P38" s="28" t="n"/>
      <c r="Q38" s="28" t="n">
        <v>0.050137</v>
      </c>
      <c r="R38" s="26" t="n">
        <v>45</v>
      </c>
      <c r="S38" s="29" t="n">
        <v>2</v>
      </c>
      <c r="T38" s="24" t="inlineStr">
        <is>
          <t>cs2-tiered-elo-v4</t>
        </is>
      </c>
      <c r="U38" s="24" t="inlineStr">
        <is>
          <t>open</t>
        </is>
      </c>
      <c r="V38" s="24" t="n"/>
      <c r="W38" s="26" t="n"/>
      <c r="X38" s="26" t="n"/>
      <c r="Y38" s="25" t="n"/>
      <c r="Z38" s="26" t="n"/>
      <c r="AA38" s="28" t="n"/>
      <c r="AB38" s="28" t="n"/>
      <c r="AC38" s="30" t="n"/>
      <c r="AD38" s="24" t="n"/>
      <c r="AE38" s="31" t="inlineStr">
        <is>
          <t>Neutral Elo baseline; executable ask 0.6100 (market_slug=aec-cs2-brute-mouzn-2026-07-27).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MOUZ NXT</t>
        </is>
      </c>
      <c r="AQ38" s="24" t="inlineStr">
        <is>
          <t>MOUZ NXT</t>
        </is>
      </c>
      <c r="AR38" s="24" t="inlineStr">
        <is>
          <t>MOUZ NXT</t>
        </is>
      </c>
      <c r="AS38" s="24" t="inlineStr">
        <is>
          <t>Brute</t>
        </is>
      </c>
      <c r="AT38" s="24" t="inlineStr">
        <is>
          <t>Brute</t>
        </is>
      </c>
      <c r="AU38" s="24" t="inlineStr">
        <is>
          <t>Brute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e9c327ce15d79aaa8ed5032a6fb86929aaa479e14a8bc9a35686411400dd6b91</t>
        </is>
      </c>
      <c r="BB38" s="24" t="inlineStr">
        <is>
          <t>neutral_elo</t>
        </is>
      </c>
      <c r="BC38" s="24" t="inlineStr">
        <is>
          <t>cs2-tiered-elo-v4</t>
        </is>
      </c>
      <c r="BD38" s="24" t="inlineStr">
        <is>
          <t>e9c327ce15d79aaa8ed5032a6fb86929aaa479e14a8bc9a35686411400dd6b91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cs2-tiered-elo-v4</t>
        </is>
      </c>
      <c r="BH38" s="24" t="inlineStr">
        <is>
          <t>2026-07-26T12:50:09.212122Z</t>
        </is>
      </c>
      <c r="BI38" s="24" t="inlineStr">
        <is>
          <t>["same_event","same_team_same_day","same_league_same_day"]</t>
        </is>
      </c>
      <c r="BJ38" s="25" t="n"/>
      <c r="BK38" s="26" t="n">
        <v>-156</v>
      </c>
      <c r="BL38" s="27" t="n">
        <v>1.641026</v>
      </c>
      <c r="BM38" s="28" t="n">
        <v>0.609375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1783410eb2224c7b</t>
        </is>
      </c>
      <c r="B39" s="24" t="inlineStr">
        <is>
          <t>2026-07-26T12:50:13.208687Z</t>
        </is>
      </c>
      <c r="C39" s="24" t="inlineStr">
        <is>
          <t>2026-07-27T17:00:00Z</t>
        </is>
      </c>
      <c r="D39" s="24" t="inlineStr">
        <is>
          <t>60795</t>
        </is>
      </c>
      <c r="E39" s="24" t="inlineStr">
        <is>
          <t>CS2</t>
        </is>
      </c>
      <c r="F39" s="24" t="inlineStr">
        <is>
          <t>Falcons Force</t>
        </is>
      </c>
      <c r="G39" s="24" t="inlineStr">
        <is>
          <t>Bebop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-163</v>
      </c>
      <c r="M39" s="27" t="n">
        <v>1.613497</v>
      </c>
      <c r="N39" s="28" t="n">
        <v>0.619772</v>
      </c>
      <c r="O39" s="28" t="n">
        <v>0.70196</v>
      </c>
      <c r="P39" s="28" t="n"/>
      <c r="Q39" s="28" t="n">
        <v>0.082188</v>
      </c>
      <c r="R39" s="26" t="n">
        <v>61</v>
      </c>
      <c r="S39" s="29" t="n">
        <v>2</v>
      </c>
      <c r="T39" s="24" t="inlineStr">
        <is>
          <t>cs2-tiered-elo-v4</t>
        </is>
      </c>
      <c r="U39" s="24" t="inlineStr">
        <is>
          <t>open</t>
        </is>
      </c>
      <c r="V39" s="24" t="n"/>
      <c r="W39" s="26" t="n"/>
      <c r="X39" s="26" t="n"/>
      <c r="Y39" s="25" t="n"/>
      <c r="Z39" s="26" t="n"/>
      <c r="AA39" s="28" t="n"/>
      <c r="AB39" s="28" t="n"/>
      <c r="AC39" s="30" t="n"/>
      <c r="AD39" s="24" t="n"/>
      <c r="AE39" s="31" t="inlineStr">
        <is>
          <t>Neutral Elo baseline; executable ask 0.6200 (market_slug=aec-cs2-bbp-falf-2026-07-27).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Falcons Force</t>
        </is>
      </c>
      <c r="AQ39" s="24" t="inlineStr">
        <is>
          <t>Falcons Force</t>
        </is>
      </c>
      <c r="AR39" s="24" t="inlineStr">
        <is>
          <t>Falcons Force</t>
        </is>
      </c>
      <c r="AS39" s="24" t="inlineStr">
        <is>
          <t>Bebop</t>
        </is>
      </c>
      <c r="AT39" s="24" t="inlineStr">
        <is>
          <t>Bebop</t>
        </is>
      </c>
      <c r="AU39" s="24" t="inlineStr">
        <is>
          <t>Bebop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e9c327ce15d79aaa8ed5032a6fb86929aaa479e14a8bc9a35686411400dd6b91</t>
        </is>
      </c>
      <c r="BB39" s="24" t="inlineStr">
        <is>
          <t>neutral_elo</t>
        </is>
      </c>
      <c r="BC39" s="24" t="inlineStr">
        <is>
          <t>cs2-tiered-elo-v4</t>
        </is>
      </c>
      <c r="BD39" s="24" t="inlineStr">
        <is>
          <t>e9c327ce15d79aaa8ed5032a6fb86929aaa479e14a8bc9a35686411400dd6b91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cs2-tiered-elo-v4</t>
        </is>
      </c>
      <c r="BH39" s="24" t="inlineStr">
        <is>
          <t>2026-07-26T12:50:09.997048Z</t>
        </is>
      </c>
      <c r="BI39" s="24" t="inlineStr">
        <is>
          <t>["same_event","same_team_same_day","same_league_same_day"]</t>
        </is>
      </c>
      <c r="BJ39" s="25" t="n"/>
      <c r="BK39" s="26" t="n">
        <v>-163</v>
      </c>
      <c r="BL39" s="27" t="n">
        <v>1.613497</v>
      </c>
      <c r="BM39" s="28" t="n">
        <v>0.619772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f0f96c93fc0a40a9</t>
        </is>
      </c>
      <c r="B40" s="24" t="inlineStr">
        <is>
          <t>2026-07-26T12:50:13.208687Z</t>
        </is>
      </c>
      <c r="C40" s="24" t="inlineStr">
        <is>
          <t>2026-07-27T17:00:00Z</t>
        </is>
      </c>
      <c r="D40" s="24" t="inlineStr">
        <is>
          <t>60794</t>
        </is>
      </c>
      <c r="E40" s="24" t="inlineStr">
        <is>
          <t>CS2</t>
        </is>
      </c>
      <c r="F40" s="24" t="inlineStr">
        <is>
          <t>HATERS</t>
        </is>
      </c>
      <c r="G40" s="24" t="inlineStr">
        <is>
          <t>Rush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178</v>
      </c>
      <c r="M40" s="27" t="n">
        <v>2.78</v>
      </c>
      <c r="N40" s="28" t="n">
        <v>0.359712</v>
      </c>
      <c r="O40" s="28" t="n">
        <v>0.573171</v>
      </c>
      <c r="P40" s="28" t="n"/>
      <c r="Q40" s="28" t="n">
        <v>0.213459</v>
      </c>
      <c r="R40" s="26" t="n">
        <v>100</v>
      </c>
      <c r="S40" s="29" t="n">
        <v>1.25</v>
      </c>
      <c r="T40" s="24" t="inlineStr">
        <is>
          <t>cs2-tiered-elo-v4</t>
        </is>
      </c>
      <c r="U40" s="24" t="inlineStr">
        <is>
          <t>open</t>
        </is>
      </c>
      <c r="V40" s="24" t="n"/>
      <c r="W40" s="26" t="n"/>
      <c r="X40" s="26" t="n"/>
      <c r="Y40" s="25" t="n"/>
      <c r="Z40" s="26" t="n"/>
      <c r="AA40" s="28" t="n"/>
      <c r="AB40" s="28" t="n"/>
      <c r="AC40" s="30" t="n"/>
      <c r="AD40" s="24" t="n"/>
      <c r="AE40" s="31" t="inlineStr">
        <is>
          <t>Neutral Elo baseline; executable ask 0.3600 (market_slug=aec-cs2-rush-hat-2026-07-27).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HATERS</t>
        </is>
      </c>
      <c r="AQ40" s="24" t="inlineStr">
        <is>
          <t>HATERS</t>
        </is>
      </c>
      <c r="AR40" s="24" t="inlineStr">
        <is>
          <t>HATERS</t>
        </is>
      </c>
      <c r="AS40" s="24" t="inlineStr">
        <is>
          <t>Rush</t>
        </is>
      </c>
      <c r="AT40" s="24" t="inlineStr">
        <is>
          <t>Rush</t>
        </is>
      </c>
      <c r="AU40" s="24" t="inlineStr">
        <is>
          <t>Rush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e9c327ce15d79aaa8ed5032a6fb86929aaa479e14a8bc9a35686411400dd6b91</t>
        </is>
      </c>
      <c r="BB40" s="24" t="inlineStr">
        <is>
          <t>neutral_elo</t>
        </is>
      </c>
      <c r="BC40" s="24" t="inlineStr">
        <is>
          <t>cs2-tiered-elo-v4</t>
        </is>
      </c>
      <c r="BD40" s="24" t="inlineStr">
        <is>
          <t>e9c327ce15d79aaa8ed5032a6fb86929aaa479e14a8bc9a35686411400dd6b91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cs2-tiered-elo-v4</t>
        </is>
      </c>
      <c r="BH40" s="24" t="inlineStr">
        <is>
          <t>2026-07-26T12:50:10.787657Z</t>
        </is>
      </c>
      <c r="BI40" s="24" t="inlineStr">
        <is>
          <t>["same_event","same_team_same_day","same_league_same_day"]</t>
        </is>
      </c>
      <c r="BJ40" s="25" t="n"/>
      <c r="BK40" s="26" t="n">
        <v>178</v>
      </c>
      <c r="BL40" s="27" t="n">
        <v>2.78</v>
      </c>
      <c r="BM40" s="28" t="n">
        <v>0.359712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68214b242dbe452e</t>
        </is>
      </c>
      <c r="B41" s="24" t="inlineStr">
        <is>
          <t>2026-07-26T12:50:13.208687Z</t>
        </is>
      </c>
      <c r="C41" s="24" t="inlineStr">
        <is>
          <t>2026-07-27T17:30:00Z</t>
        </is>
      </c>
      <c r="D41" s="24" t="inlineStr">
        <is>
          <t>60805</t>
        </is>
      </c>
      <c r="E41" s="24" t="inlineStr">
        <is>
          <t>CS2</t>
        </is>
      </c>
      <c r="F41" s="24" t="inlineStr">
        <is>
          <t>MOUZ NXT</t>
        </is>
      </c>
      <c r="G41" s="24" t="inlineStr">
        <is>
          <t>NAVI Junior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-156</v>
      </c>
      <c r="M41" s="27" t="n">
        <v>1.641026</v>
      </c>
      <c r="N41" s="28" t="n">
        <v>0.609375</v>
      </c>
      <c r="O41" s="28" t="n">
        <v>0.55859</v>
      </c>
      <c r="P41" s="28" t="n"/>
      <c r="Q41" s="28" t="n">
        <v>-0.050785</v>
      </c>
      <c r="R41" s="26" t="n">
        <v>0</v>
      </c>
      <c r="S41" s="29" t="n">
        <v>1</v>
      </c>
      <c r="T41" s="24" t="inlineStr">
        <is>
          <t>cs2-tiered-elo-v4</t>
        </is>
      </c>
      <c r="U41" s="24" t="inlineStr">
        <is>
          <t>open</t>
        </is>
      </c>
      <c r="V41" s="24" t="n"/>
      <c r="W41" s="26" t="n"/>
      <c r="X41" s="26" t="n"/>
      <c r="Y41" s="25" t="n"/>
      <c r="Z41" s="26" t="n"/>
      <c r="AA41" s="28" t="n"/>
      <c r="AB41" s="28" t="n"/>
      <c r="AC41" s="30" t="n"/>
      <c r="AD41" s="24" t="n"/>
      <c r="AE41" s="31" t="inlineStr">
        <is>
          <t>Neutral Elo baseline; executable ask 0.6100 (market_slug=aec-cs2-navij-mouzn-2026-07-27).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MOUZ NXT</t>
        </is>
      </c>
      <c r="AQ41" s="24" t="inlineStr">
        <is>
          <t>MOUZ NXT</t>
        </is>
      </c>
      <c r="AR41" s="24" t="inlineStr">
        <is>
          <t>MOUZ NXT</t>
        </is>
      </c>
      <c r="AS41" s="24" t="inlineStr">
        <is>
          <t>NAVI Junior</t>
        </is>
      </c>
      <c r="AT41" s="24" t="inlineStr">
        <is>
          <t>NAVI Junior</t>
        </is>
      </c>
      <c r="AU41" s="24" t="inlineStr">
        <is>
          <t>NAVI Junior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e9c327ce15d79aaa8ed5032a6fb86929aaa479e14a8bc9a35686411400dd6b91</t>
        </is>
      </c>
      <c r="BB41" s="24" t="inlineStr">
        <is>
          <t>neutral_elo</t>
        </is>
      </c>
      <c r="BC41" s="24" t="inlineStr">
        <is>
          <t>cs2-tiered-elo-v4</t>
        </is>
      </c>
      <c r="BD41" s="24" t="inlineStr">
        <is>
          <t>e9c327ce15d79aaa8ed5032a6fb86929aaa479e14a8bc9a35686411400dd6b91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cs2-tiered-elo-v4</t>
        </is>
      </c>
      <c r="BH41" s="24" t="inlineStr">
        <is>
          <t>2026-07-26T12:50:11.590131Z</t>
        </is>
      </c>
      <c r="BI41" s="24" t="inlineStr">
        <is>
          <t>["same_event","same_team_same_day","same_league_same_day"]</t>
        </is>
      </c>
      <c r="BJ41" s="25" t="n"/>
      <c r="BK41" s="26" t="n">
        <v>-156</v>
      </c>
      <c r="BL41" s="27" t="n">
        <v>1.641026</v>
      </c>
      <c r="BM41" s="28" t="n">
        <v>0.609375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e7c15658496b44c8</t>
        </is>
      </c>
      <c r="B42" s="24" t="inlineStr">
        <is>
          <t>2026-07-26T12:50:45.242095Z</t>
        </is>
      </c>
      <c r="C42" s="24" t="inlineStr">
        <is>
          <t>2026-07-26T15:00:00Z</t>
        </is>
      </c>
      <c r="D42" s="24" t="inlineStr">
        <is>
          <t>60136</t>
        </is>
      </c>
      <c r="E42" s="24" t="inlineStr">
        <is>
          <t>VALORANT</t>
        </is>
      </c>
      <c r="F42" s="24" t="inlineStr">
        <is>
          <t>Natus Vincere</t>
        </is>
      </c>
      <c r="G42" s="24" t="inlineStr">
        <is>
          <t>BBL Esports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156</v>
      </c>
      <c r="M42" s="27" t="n">
        <v>2.56</v>
      </c>
      <c r="N42" s="28" t="n">
        <v>0.390625</v>
      </c>
      <c r="O42" s="28" t="n">
        <v>0.7726229999999999</v>
      </c>
      <c r="P42" s="28" t="n"/>
      <c r="Q42" s="28" t="n">
        <v>0.381998</v>
      </c>
      <c r="R42" s="26" t="n">
        <v>100</v>
      </c>
      <c r="S42" s="29" t="n">
        <v>2</v>
      </c>
      <c r="T42" s="24" t="inlineStr">
        <is>
          <t>valorant-tiered-elo-v4</t>
        </is>
      </c>
      <c r="U42" s="24" t="inlineStr">
        <is>
          <t>open</t>
        </is>
      </c>
      <c r="V42" s="24" t="n"/>
      <c r="W42" s="26" t="n"/>
      <c r="X42" s="26" t="n"/>
      <c r="Y42" s="25" t="n"/>
      <c r="Z42" s="26" t="n"/>
      <c r="AA42" s="28" t="n"/>
      <c r="AB42" s="28" t="n"/>
      <c r="AC42" s="30" t="n"/>
      <c r="AD42" s="24" t="n"/>
      <c r="AE42" s="31" t="inlineStr">
        <is>
          <t>Neutral Elo baseline; executable ask 0.3900 (market_slug=aec-valorant-bbl-navi-2026-07-26).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Natus Vincere</t>
        </is>
      </c>
      <c r="AQ42" s="24" t="inlineStr">
        <is>
          <t>Natus Vincere</t>
        </is>
      </c>
      <c r="AR42" s="24" t="inlineStr">
        <is>
          <t>Natus Vincere</t>
        </is>
      </c>
      <c r="AS42" s="24" t="inlineStr">
        <is>
          <t>BBL Esports</t>
        </is>
      </c>
      <c r="AT42" s="24" t="inlineStr">
        <is>
          <t>BBL Esports</t>
        </is>
      </c>
      <c r="AU42" s="24" t="inlineStr">
        <is>
          <t>BBL Esports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153b0db03af0303675f7eb2520b56d0fd86008f1bb62095f9881ea43a0124bb2</t>
        </is>
      </c>
      <c r="BB42" s="24" t="inlineStr">
        <is>
          <t>neutral_elo</t>
        </is>
      </c>
      <c r="BC42" s="24" t="inlineStr">
        <is>
          <t>valorant-tiered-elo-v4</t>
        </is>
      </c>
      <c r="BD42" s="24" t="inlineStr">
        <is>
          <t>153b0db03af0303675f7eb2520b56d0fd86008f1bb62095f9881ea43a0124bb2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valorant-tiered-elo-v4</t>
        </is>
      </c>
      <c r="BH42" s="24" t="inlineStr">
        <is>
          <t>2026-07-26T12:50:32.723645Z</t>
        </is>
      </c>
      <c r="BI42" s="24" t="inlineStr">
        <is>
          <t>["same_event","same_team_same_day","same_league_same_day"]</t>
        </is>
      </c>
      <c r="BJ42" s="25" t="n"/>
      <c r="BK42" s="26" t="n">
        <v>156</v>
      </c>
      <c r="BL42" s="27" t="n">
        <v>2.56</v>
      </c>
      <c r="BM42" s="28" t="n">
        <v>0.390625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b14286817f7e4bda</t>
        </is>
      </c>
      <c r="B43" s="24" t="inlineStr">
        <is>
          <t>2026-07-26T12:50:45.242095Z</t>
        </is>
      </c>
      <c r="C43" s="24" t="inlineStr">
        <is>
          <t>2026-07-26T18:00:00Z</t>
        </is>
      </c>
      <c r="D43" s="24" t="inlineStr">
        <is>
          <t>60215</t>
        </is>
      </c>
      <c r="E43" s="24" t="inlineStr">
        <is>
          <t>VALORANT</t>
        </is>
      </c>
      <c r="F43" s="24" t="inlineStr">
        <is>
          <t>Karmine Corp</t>
        </is>
      </c>
      <c r="G43" s="24" t="inlineStr">
        <is>
          <t>Team Heretics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-133</v>
      </c>
      <c r="M43" s="27" t="n">
        <v>1.75188</v>
      </c>
      <c r="N43" s="28" t="n">
        <v>0.570815</v>
      </c>
      <c r="O43" s="28" t="n">
        <v>0.5200050000000001</v>
      </c>
      <c r="P43" s="28" t="n"/>
      <c r="Q43" s="28" t="n">
        <v>-0.05081</v>
      </c>
      <c r="R43" s="26" t="n">
        <v>0</v>
      </c>
      <c r="S43" s="29" t="n">
        <v>0.75</v>
      </c>
      <c r="T43" s="24" t="inlineStr">
        <is>
          <t>valorant-tiered-elo-v4</t>
        </is>
      </c>
      <c r="U43" s="24" t="inlineStr">
        <is>
          <t>open</t>
        </is>
      </c>
      <c r="V43" s="24" t="n"/>
      <c r="W43" s="26" t="n"/>
      <c r="X43" s="26" t="n"/>
      <c r="Y43" s="25" t="n"/>
      <c r="Z43" s="26" t="n"/>
      <c r="AA43" s="28" t="n"/>
      <c r="AB43" s="28" t="n"/>
      <c r="AC43" s="30" t="n"/>
      <c r="AD43" s="24" t="n"/>
      <c r="AE43" s="31" t="inlineStr">
        <is>
          <t>Neutral Elo baseline; executable ask 0.5700 (market_slug=aec-valorant-th-kc-2026-07-26).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Karmine Corp</t>
        </is>
      </c>
      <c r="AQ43" s="24" t="inlineStr">
        <is>
          <t>Karmine Corp</t>
        </is>
      </c>
      <c r="AR43" s="24" t="inlineStr">
        <is>
          <t>Karmine Corp</t>
        </is>
      </c>
      <c r="AS43" s="24" t="inlineStr">
        <is>
          <t>Team Heretics</t>
        </is>
      </c>
      <c r="AT43" s="24" t="inlineStr">
        <is>
          <t>Team Heretics</t>
        </is>
      </c>
      <c r="AU43" s="24" t="inlineStr">
        <is>
          <t>Team Heretics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153b0db03af0303675f7eb2520b56d0fd86008f1bb62095f9881ea43a0124bb2</t>
        </is>
      </c>
      <c r="BB43" s="24" t="inlineStr">
        <is>
          <t>neutral_elo</t>
        </is>
      </c>
      <c r="BC43" s="24" t="inlineStr">
        <is>
          <t>valorant-tiered-elo-v4</t>
        </is>
      </c>
      <c r="BD43" s="24" t="inlineStr">
        <is>
          <t>153b0db03af0303675f7eb2520b56d0fd86008f1bb62095f9881ea43a0124bb2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valorant-tiered-elo-v4</t>
        </is>
      </c>
      <c r="BH43" s="24" t="inlineStr">
        <is>
          <t>2026-07-26T12:50:33.517126Z</t>
        </is>
      </c>
      <c r="BI43" s="24" t="inlineStr">
        <is>
          <t>["same_event","same_team_same_day","same_league_same_day"]</t>
        </is>
      </c>
      <c r="BJ43" s="25" t="n"/>
      <c r="BK43" s="26" t="n">
        <v>-133</v>
      </c>
      <c r="BL43" s="27" t="n">
        <v>1.75188</v>
      </c>
      <c r="BM43" s="28" t="n">
        <v>0.570815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203f41dd4aae41cb</t>
        </is>
      </c>
      <c r="B44" s="24" t="inlineStr">
        <is>
          <t>2026-07-26T12:50:45.242095Z</t>
        </is>
      </c>
      <c r="C44" s="24" t="inlineStr">
        <is>
          <t>2026-07-27T15:00:00Z</t>
        </is>
      </c>
      <c r="D44" s="24" t="inlineStr">
        <is>
          <t>60760</t>
        </is>
      </c>
      <c r="E44" s="24" t="inlineStr">
        <is>
          <t>VALORANT</t>
        </is>
      </c>
      <c r="F44" s="24" t="inlineStr">
        <is>
          <t>Habos Babos</t>
        </is>
      </c>
      <c r="G44" s="24" t="inlineStr">
        <is>
          <t>Barça eSports GC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127</v>
      </c>
      <c r="M44" s="27" t="n">
        <v>2.27</v>
      </c>
      <c r="N44" s="28" t="n">
        <v>0.440529</v>
      </c>
      <c r="O44" s="28" t="n">
        <v>0.5200050000000001</v>
      </c>
      <c r="P44" s="28" t="n"/>
      <c r="Q44" s="28" t="n">
        <v>0.079476</v>
      </c>
      <c r="R44" s="26" t="n">
        <v>60</v>
      </c>
      <c r="S44" s="29" t="n">
        <v>0.75</v>
      </c>
      <c r="T44" s="24" t="inlineStr">
        <is>
          <t>valorant-tiered-elo-v4</t>
        </is>
      </c>
      <c r="U44" s="24" t="inlineStr">
        <is>
          <t>open</t>
        </is>
      </c>
      <c r="V44" s="24" t="n"/>
      <c r="W44" s="26" t="n"/>
      <c r="X44" s="26" t="n"/>
      <c r="Y44" s="25" t="n"/>
      <c r="Z44" s="26" t="n"/>
      <c r="AA44" s="28" t="n"/>
      <c r="AB44" s="28" t="n"/>
      <c r="AC44" s="30" t="n"/>
      <c r="AD44" s="24" t="n"/>
      <c r="AE44" s="31" t="inlineStr">
        <is>
          <t>Neutral Elo baseline; executable ask 0.4400 (market_slug=aec-valorant-beg-hbs-2026-07-27).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Habos Babos</t>
        </is>
      </c>
      <c r="AQ44" s="24" t="inlineStr">
        <is>
          <t>Habos Babos</t>
        </is>
      </c>
      <c r="AR44" s="24" t="inlineStr">
        <is>
          <t>Habos Babos</t>
        </is>
      </c>
      <c r="AS44" s="24" t="inlineStr">
        <is>
          <t>Barça eSports GC</t>
        </is>
      </c>
      <c r="AT44" s="24" t="inlineStr">
        <is>
          <t>Barça eSports GC</t>
        </is>
      </c>
      <c r="AU44" s="24" t="inlineStr">
        <is>
          <t>Barça eSports GC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153b0db03af0303675f7eb2520b56d0fd86008f1bb62095f9881ea43a0124bb2</t>
        </is>
      </c>
      <c r="BB44" s="24" t="inlineStr">
        <is>
          <t>neutral_elo</t>
        </is>
      </c>
      <c r="BC44" s="24" t="inlineStr">
        <is>
          <t>valorant-tiered-elo-v4</t>
        </is>
      </c>
      <c r="BD44" s="24" t="inlineStr">
        <is>
          <t>153b0db03af0303675f7eb2520b56d0fd86008f1bb62095f9881ea43a0124bb2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valorant-tiered-elo-v4</t>
        </is>
      </c>
      <c r="BH44" s="24" t="inlineStr">
        <is>
          <t>2026-07-26T12:50:35.966755Z</t>
        </is>
      </c>
      <c r="BI44" s="24" t="inlineStr">
        <is>
          <t>["same_event","same_team_same_day","same_league_same_day"]</t>
        </is>
      </c>
      <c r="BJ44" s="25" t="n"/>
      <c r="BK44" s="26" t="n">
        <v>127</v>
      </c>
      <c r="BL44" s="27" t="n">
        <v>2.27</v>
      </c>
      <c r="BM44" s="28" t="n">
        <v>0.440529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2026-07-26T12:50:46Z</dcterms:created>
  <dcterms:modified xsi:type="dcterms:W3CDTF">2026-07-26T12:50:46Z</dcterms:modified>
</cp:coreProperties>
</file>