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" headerRowCount="1">
  <autoFilter ref="A1:CO1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COUNTA('Picks'!$A$2:$A$13)</f>
        <v/>
      </c>
      <c r="C4" s="6">
        <f>COUNTIF('Picks'!$U$2:$U$13,"open")</f>
        <v/>
      </c>
      <c r="E4" s="6">
        <f>COUNTIF('Picks'!$U$2:$U$13,"settled")</f>
        <v/>
      </c>
      <c r="G4" s="6">
        <f>IF(COUNTIFS('Picks'!$U$2:$U$13,"settled",'Picks'!$V$2:$V$13,"win")+COUNTIFS('Picks'!$U$2:$U$13,"settled",'Picks'!$V$2:$V$13,"loss")&gt;=$L$2,"Ready","Insufficient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COUNTIF('Picks'!$BX$2:$BX$13,"&gt;0")</f>
        <v/>
      </c>
      <c r="C7" s="6">
        <f>COUNTIFS('Picks'!$BX$2:$BX$13,"&gt;0",'Picks'!$V$2:$V$13,"win")&amp;"-"&amp;COUNTIFS('Picks'!$BX$2:$BX$13,"&gt;0",'Picks'!$V$2:$V$13,"loss")</f>
        <v/>
      </c>
      <c r="E7" s="7">
        <f>IFERROR(COUNTIFS('Picks'!$BX$2:$BX$13,"&gt;0",'Picks'!$V$2:$V$13,"win")/(COUNTIFS('Picks'!$BX$2:$BX$13,"&gt;0",'Picks'!$V$2:$V$13,"win")+COUNTIFS('Picks'!$BX$2:$BX$13,"&gt;0",'Picks'!$V$2:$V$13,"loss")),0)</f>
        <v/>
      </c>
      <c r="G7" s="7">
        <f>IFERROR(SUM('Picks'!$BY$2:$BY$13)/SUM('Picks'!$BX$2:$BX$13),0)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SUM('Picks'!$BY$2:$BY$13)</f>
        <v/>
      </c>
      <c r="C10" s="9">
        <f>IFERROR(AVERAGEIF('Picks'!$AB$2:$AB$13,"&lt;&gt;",'Picks'!$AB$2:$AB$13),0)</f>
        <v/>
      </c>
      <c r="E10" s="6">
        <f>COUNTIFS('Picks'!$AM$2:$AM$13,"QUALIFIED_SHADOW_CALL",'Picks'!$U$2:$U$13,"settled")</f>
        <v/>
      </c>
      <c r="G10" s="8">
        <f>SUMIFS('Picks'!$AC$2:$AC$13,'Picks'!$AM$2:$AM$13,"QUALIFIED_SHADOW_CALL")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COUNTIFS('Picks'!$H$2:$H$13,$A14,'Picks'!$U$2:$U$13,"settled")</f>
        <v/>
      </c>
      <c r="C14" s="13">
        <f>COUNTIFS('Picks'!$H$2:$H$13,$A14,'Picks'!$U$2:$U$13,"settled",'Picks'!$V$2:$V$13,"win")</f>
        <v/>
      </c>
      <c r="D14" s="13">
        <f>COUNTIFS('Picks'!$H$2:$H$13,$A14,'Picks'!$U$2:$U$13,"settled",'Picks'!$V$2:$V$13,"loss")</f>
        <v/>
      </c>
      <c r="E14" s="14">
        <f>IFERROR(C14/(C14+D14),0)</f>
        <v/>
      </c>
      <c r="F14" s="15">
        <f>SUMIFS('Picks'!$BY$2:$BY$13,'Picks'!$H$2:$H$13,$A14)</f>
        <v/>
      </c>
      <c r="G14" s="16">
        <f>IFERROR(AVERAGEIFS('Picks'!$AB$2:$AB$13,'Picks'!$H$2:$H$13,$A14,'Picks'!$U$2:$U$13,"settled"),0)</f>
        <v/>
      </c>
    </row>
    <row r="15">
      <c r="A15" s="17" t="inlineStr">
        <is>
          <t>spread</t>
        </is>
      </c>
      <c r="B15" s="18">
        <f>COUNTIFS('Picks'!$H$2:$H$13,$A15,'Picks'!$U$2:$U$13,"settled")</f>
        <v/>
      </c>
      <c r="C15" s="18">
        <f>COUNTIFS('Picks'!$H$2:$H$13,$A15,'Picks'!$U$2:$U$13,"settled",'Picks'!$V$2:$V$13,"win")</f>
        <v/>
      </c>
      <c r="D15" s="18">
        <f>COUNTIFS('Picks'!$H$2:$H$13,$A15,'Picks'!$U$2:$U$13,"settled",'Picks'!$V$2:$V$13,"loss")</f>
        <v/>
      </c>
      <c r="E15" s="19">
        <f>IFERROR(C15/(C15+D15),0)</f>
        <v/>
      </c>
      <c r="F15" s="20">
        <f>SUMIFS('Picks'!$BY$2:$BY$13,'Picks'!$H$2:$H$13,$A15)</f>
        <v/>
      </c>
      <c r="G15" s="21">
        <f>IFERROR(AVERAGEIFS('Picks'!$AB$2:$AB$13,'Picks'!$H$2:$H$13,$A15,'Picks'!$U$2:$U$13,"settled"),0)</f>
        <v/>
      </c>
    </row>
    <row r="16">
      <c r="A16" s="12" t="inlineStr">
        <is>
          <t>total</t>
        </is>
      </c>
      <c r="B16" s="13">
        <f>COUNTIFS('Picks'!$H$2:$H$13,$A16,'Picks'!$U$2:$U$13,"settled")</f>
        <v/>
      </c>
      <c r="C16" s="13">
        <f>COUNTIFS('Picks'!$H$2:$H$13,$A16,'Picks'!$U$2:$U$13,"settled",'Picks'!$V$2:$V$13,"win")</f>
        <v/>
      </c>
      <c r="D16" s="13">
        <f>COUNTIFS('Picks'!$H$2:$H$13,$A16,'Picks'!$U$2:$U$13,"settled",'Picks'!$V$2:$V$13,"loss")</f>
        <v/>
      </c>
      <c r="E16" s="14">
        <f>IFERROR(C16/(C16+D16),0)</f>
        <v/>
      </c>
      <c r="F16" s="15">
        <f>SUMIFS('Picks'!$BY$2:$BY$13,'Picks'!$H$2:$H$13,$A16)</f>
        <v/>
      </c>
      <c r="G16" s="16">
        <f>IFERROR(AVERAGEIFS('Picks'!$AB$2:$AB$13,'Picks'!$H$2:$H$13,$A16,'Picks'!$U$2:$U$13,"settled"),0)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873d2a5526b04b7d</t>
        </is>
      </c>
      <c r="B2" s="24" t="inlineStr">
        <is>
          <t>2026-07-27T10:27:42.175744Z</t>
        </is>
      </c>
      <c r="C2" s="24" t="inlineStr">
        <is>
          <t>2026-07-27T12:00:00Z</t>
        </is>
      </c>
      <c r="D2" s="24" t="inlineStr">
        <is>
          <t>62511</t>
        </is>
      </c>
      <c r="E2" s="24" t="inlineStr">
        <is>
          <t>DOTA2</t>
        </is>
      </c>
      <c r="F2" s="24" t="inlineStr">
        <is>
          <t>Nemiga Gaming</t>
        </is>
      </c>
      <c r="G2" s="24" t="inlineStr">
        <is>
          <t>Team Syntax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-138</v>
      </c>
      <c r="M2" s="27" t="n">
        <v>1.724638</v>
      </c>
      <c r="N2" s="28" t="n">
        <v>0.579832</v>
      </c>
      <c r="O2" s="28" t="n">
        <v>0.521452</v>
      </c>
      <c r="P2" s="28" t="n"/>
      <c r="Q2" s="28" t="n">
        <v>-0.05838</v>
      </c>
      <c r="R2" s="26" t="n">
        <v>0</v>
      </c>
      <c r="S2" s="29" t="n">
        <v>0</v>
      </c>
      <c r="T2" s="24" t="inlineStr">
        <is>
          <t>dota2-tiered-elo-v4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2026-07-27T16:09:07.565768Z</t>
        </is>
      </c>
      <c r="AE2" s="31" t="inlineStr">
        <is>
          <t>Neutral Elo baseline; executable ask 0.5800 (market_slug=aec-dota2-stx-nemiga-2026-07-27).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Nemiga Gaming</t>
        </is>
      </c>
      <c r="AQ2" s="24" t="inlineStr">
        <is>
          <t>Nemiga Gaming</t>
        </is>
      </c>
      <c r="AR2" s="24" t="inlineStr">
        <is>
          <t>Nemiga Gaming</t>
        </is>
      </c>
      <c r="AS2" s="24" t="inlineStr">
        <is>
          <t>Team Syntax</t>
        </is>
      </c>
      <c r="AT2" s="24" t="inlineStr">
        <is>
          <t>Team Syntax</t>
        </is>
      </c>
      <c r="AU2" s="24" t="inlineStr">
        <is>
          <t>Team Syntax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d08d23d003cdc05b1cc5be7d2e52d9f477153e66ad3c7ec5e0f446618fcfe82f</t>
        </is>
      </c>
      <c r="BB2" s="24" t="inlineStr">
        <is>
          <t>neutral_elo</t>
        </is>
      </c>
      <c r="BC2" s="24" t="inlineStr">
        <is>
          <t>dota2-tiered-elo-v4</t>
        </is>
      </c>
      <c r="BD2" s="24" t="inlineStr">
        <is>
          <t>d08d23d003cdc05b1cc5be7d2e52d9f477153e66ad3c7ec5e0f446618fcfe82f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dota2-tiered-elo-v4</t>
        </is>
      </c>
      <c r="BH2" s="24" t="inlineStr">
        <is>
          <t>2026-07-27T10:27:35.450448Z</t>
        </is>
      </c>
      <c r="BI2" s="24" t="inlineStr">
        <is>
          <t>["same_event","same_team_same_day","same_league_same_day"]</t>
        </is>
      </c>
      <c r="BJ2" s="25" t="n"/>
      <c r="BK2" s="26" t="n">
        <v>-138</v>
      </c>
      <c r="BL2" s="27" t="n">
        <v>1.724638</v>
      </c>
      <c r="BM2" s="28" t="n">
        <v>0.579832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796e62e9750d41fc</t>
        </is>
      </c>
      <c r="B3" s="24" t="inlineStr">
        <is>
          <t>2026-07-27T10:27:42.175744Z</t>
        </is>
      </c>
      <c r="C3" s="24" t="inlineStr">
        <is>
          <t>2026-07-27T12:00:00Z</t>
        </is>
      </c>
      <c r="D3" s="24" t="inlineStr">
        <is>
          <t>63054</t>
        </is>
      </c>
      <c r="E3" s="24" t="inlineStr">
        <is>
          <t>DOTA2</t>
        </is>
      </c>
      <c r="F3" s="24" t="inlineStr">
        <is>
          <t>Daxak Team</t>
        </is>
      </c>
      <c r="G3" s="24" t="inlineStr">
        <is>
          <t>YBN Team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-138</v>
      </c>
      <c r="M3" s="27" t="n">
        <v>1.724638</v>
      </c>
      <c r="N3" s="28" t="n">
        <v>0.579832</v>
      </c>
      <c r="O3" s="28" t="n">
        <v>0.521452</v>
      </c>
      <c r="P3" s="28" t="n"/>
      <c r="Q3" s="28" t="n">
        <v>-0.05838</v>
      </c>
      <c r="R3" s="26" t="n">
        <v>0</v>
      </c>
      <c r="S3" s="29" t="n">
        <v>0</v>
      </c>
      <c r="T3" s="24" t="inlineStr">
        <is>
          <t>dota2-tiered-elo-v4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0</v>
      </c>
      <c r="AD3" s="24" t="inlineStr">
        <is>
          <t>2026-07-27T16:09:08.721581Z</t>
        </is>
      </c>
      <c r="AE3" s="31" t="inlineStr">
        <is>
          <t>Neutral Elo baseline; executable ask 0.5800 (market_slug=aec-dota2-ybn-dxk-2026-07-27).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Daxak Team</t>
        </is>
      </c>
      <c r="AQ3" s="24" t="inlineStr">
        <is>
          <t>Daxak Team</t>
        </is>
      </c>
      <c r="AR3" s="24" t="inlineStr">
        <is>
          <t>Daxak Team</t>
        </is>
      </c>
      <c r="AS3" s="24" t="inlineStr">
        <is>
          <t>YBN Team</t>
        </is>
      </c>
      <c r="AT3" s="24" t="inlineStr">
        <is>
          <t>YBN Team</t>
        </is>
      </c>
      <c r="AU3" s="24" t="inlineStr">
        <is>
          <t>YBN Team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d08d23d003cdc05b1cc5be7d2e52d9f477153e66ad3c7ec5e0f446618fcfe82f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d08d23d003cdc05b1cc5be7d2e52d9f477153e66ad3c7ec5e0f446618fcfe82f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2026-07-27T10:27:35.968074Z</t>
        </is>
      </c>
      <c r="BI3" s="24" t="inlineStr">
        <is>
          <t>["same_event","same_team_same_day","same_league_same_day"]</t>
        </is>
      </c>
      <c r="BJ3" s="25" t="n"/>
      <c r="BK3" s="26" t="n">
        <v>-138</v>
      </c>
      <c r="BL3" s="27" t="n">
        <v>1.724638</v>
      </c>
      <c r="BM3" s="28" t="n">
        <v>0.579832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fcf7c3af1eca4efd</t>
        </is>
      </c>
      <c r="B4" s="24" t="inlineStr">
        <is>
          <t>2026-07-27T13:32:02.513705Z</t>
        </is>
      </c>
      <c r="C4" s="24" t="inlineStr">
        <is>
          <t>2026-07-27T15:00:00Z</t>
        </is>
      </c>
      <c r="D4" s="24" t="inlineStr">
        <is>
          <t>63055</t>
        </is>
      </c>
      <c r="E4" s="24" t="inlineStr">
        <is>
          <t>DOTA2</t>
        </is>
      </c>
      <c r="F4" s="24" t="inlineStr">
        <is>
          <t>Rostik Team</t>
        </is>
      </c>
      <c r="G4" s="24" t="inlineStr">
        <is>
          <t>NS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178</v>
      </c>
      <c r="M4" s="27" t="n">
        <v>2.78</v>
      </c>
      <c r="N4" s="28" t="n">
        <v>0.359712</v>
      </c>
      <c r="O4" s="28" t="n">
        <v>0.523739</v>
      </c>
      <c r="P4" s="28" t="n"/>
      <c r="Q4" s="28" t="n">
        <v>0.164027</v>
      </c>
      <c r="R4" s="26" t="n">
        <v>100</v>
      </c>
      <c r="S4" s="29" t="n">
        <v>0</v>
      </c>
      <c r="T4" s="24" t="inlineStr">
        <is>
          <t>dota2-tiered-elo-v4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2026-07-27T19:47:21.041247Z</t>
        </is>
      </c>
      <c r="AE4" s="31" t="inlineStr">
        <is>
          <t>Neutral Elo baseline; executable ask 0.3600 (market_slug=aec-dota2-ns-rt-2026-07-27).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Rostik Team</t>
        </is>
      </c>
      <c r="AQ4" s="24" t="inlineStr">
        <is>
          <t>Rostik Team</t>
        </is>
      </c>
      <c r="AR4" s="24" t="inlineStr">
        <is>
          <t>Rostik Team</t>
        </is>
      </c>
      <c r="AS4" s="24" t="inlineStr">
        <is>
          <t>NS Team</t>
        </is>
      </c>
      <c r="AT4" s="24" t="inlineStr">
        <is>
          <t>NS Team</t>
        </is>
      </c>
      <c r="AU4" s="24" t="inlineStr">
        <is>
          <t>NS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364cc42b22c3dca8b67013f8d5f39ea2a25268e5ee37712a8f8745913632a7c2</t>
        </is>
      </c>
      <c r="BB4" s="24" t="inlineStr">
        <is>
          <t>neutral_elo</t>
        </is>
      </c>
      <c r="BC4" s="24" t="inlineStr">
        <is>
          <t>dota2-tiered-elo-v4</t>
        </is>
      </c>
      <c r="BD4" s="24" t="inlineStr">
        <is>
          <t>364cc42b22c3dca8b67013f8d5f39ea2a25268e5ee37712a8f8745913632a7c2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dota2-tiered-elo-v4</t>
        </is>
      </c>
      <c r="BH4" s="24" t="inlineStr">
        <is>
          <t>2026-07-27T13:31:56.327646Z</t>
        </is>
      </c>
      <c r="BI4" s="24" t="inlineStr">
        <is>
          <t>["same_event","same_team_same_day","same_league_same_day"]</t>
        </is>
      </c>
      <c r="BJ4" s="25" t="n"/>
      <c r="BK4" s="26" t="n">
        <v>178</v>
      </c>
      <c r="BL4" s="27" t="n">
        <v>2.78</v>
      </c>
      <c r="BM4" s="28" t="n">
        <v>0.359712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a9b7e6562dec4458</t>
        </is>
      </c>
      <c r="B5" s="24" t="inlineStr">
        <is>
          <t>2026-07-27T13:32:02.513705Z</t>
        </is>
      </c>
      <c r="C5" s="24" t="inlineStr">
        <is>
          <t>2026-07-27T15:00:00Z</t>
        </is>
      </c>
      <c r="D5" s="24" t="inlineStr">
        <is>
          <t>62512</t>
        </is>
      </c>
      <c r="E5" s="24" t="inlineStr">
        <is>
          <t>DOTA2</t>
        </is>
      </c>
      <c r="F5" s="24" t="inlineStr">
        <is>
          <t>Ilbirs eSports</t>
        </is>
      </c>
      <c r="G5" s="24" t="inlineStr">
        <is>
          <t>Team Jenz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138</v>
      </c>
      <c r="M5" s="27" t="n">
        <v>2.38</v>
      </c>
      <c r="N5" s="28" t="n">
        <v>0.420168</v>
      </c>
      <c r="O5" s="28" t="n">
        <v>0.523739</v>
      </c>
      <c r="P5" s="28" t="n"/>
      <c r="Q5" s="28" t="n">
        <v>0.103571</v>
      </c>
      <c r="R5" s="26" t="n">
        <v>72</v>
      </c>
      <c r="S5" s="29" t="n">
        <v>0</v>
      </c>
      <c r="T5" s="24" t="inlineStr">
        <is>
          <t>dota2-tiered-elo-v4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0.4200 (market_slug=aec-dota2-tje-ill-2026-07-27).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Ilbirs eSports</t>
        </is>
      </c>
      <c r="AQ5" s="24" t="inlineStr">
        <is>
          <t>Ilbirs eSports</t>
        </is>
      </c>
      <c r="AR5" s="24" t="inlineStr">
        <is>
          <t>Ilbirs eSports</t>
        </is>
      </c>
      <c r="AS5" s="24" t="inlineStr">
        <is>
          <t>Team Jenz</t>
        </is>
      </c>
      <c r="AT5" s="24" t="inlineStr">
        <is>
          <t>Team Jenz</t>
        </is>
      </c>
      <c r="AU5" s="24" t="inlineStr">
        <is>
          <t>Team Jenz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364cc42b22c3dca8b67013f8d5f39ea2a25268e5ee37712a8f8745913632a7c2</t>
        </is>
      </c>
      <c r="BB5" s="24" t="inlineStr">
        <is>
          <t>neutral_elo</t>
        </is>
      </c>
      <c r="BC5" s="24" t="inlineStr">
        <is>
          <t>dota2-tiered-elo-v4</t>
        </is>
      </c>
      <c r="BD5" s="24" t="inlineStr">
        <is>
          <t>364cc42b22c3dca8b67013f8d5f39ea2a25268e5ee37712a8f8745913632a7c2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dota2-tiered-elo-v4</t>
        </is>
      </c>
      <c r="BH5" s="24" t="inlineStr">
        <is>
          <t>2026-07-27T13:31:56.921798Z</t>
        </is>
      </c>
      <c r="BI5" s="24" t="inlineStr">
        <is>
          <t>["same_event","same_team_same_day","same_league_same_day"]</t>
        </is>
      </c>
      <c r="BJ5" s="25" t="n"/>
      <c r="BK5" s="26" t="n">
        <v>138</v>
      </c>
      <c r="BL5" s="27" t="n">
        <v>2.38</v>
      </c>
      <c r="BM5" s="28" t="n">
        <v>0.420168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584074ed11fa4131</t>
        </is>
      </c>
      <c r="B6" s="24" t="inlineStr">
        <is>
          <t>2026-07-27T17:38:19.923501Z</t>
        </is>
      </c>
      <c r="C6" s="24" t="inlineStr">
        <is>
          <t>2026-07-27T18:00:00Z</t>
        </is>
      </c>
      <c r="D6" s="24" t="inlineStr">
        <is>
          <t>62513</t>
        </is>
      </c>
      <c r="E6" s="24" t="inlineStr">
        <is>
          <t>DOTA2</t>
        </is>
      </c>
      <c r="F6" s="24" t="inlineStr">
        <is>
          <t>KW</t>
        </is>
      </c>
      <c r="G6" s="24" t="inlineStr">
        <is>
          <t>Team Bald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-122</v>
      </c>
      <c r="M6" s="27" t="n">
        <v>1.819672</v>
      </c>
      <c r="N6" s="28" t="n">
        <v>0.54955</v>
      </c>
      <c r="O6" s="28" t="n">
        <v>0.643378</v>
      </c>
      <c r="P6" s="28" t="n"/>
      <c r="Q6" s="28" t="n">
        <v>0.09382799999999999</v>
      </c>
      <c r="R6" s="26" t="n">
        <v>67</v>
      </c>
      <c r="S6" s="29" t="n">
        <v>2</v>
      </c>
      <c r="T6" s="24" t="inlineStr">
        <is>
          <t>dota2-tiered-elo-v4</t>
        </is>
      </c>
      <c r="U6" s="24" t="inlineStr">
        <is>
          <t>settled</t>
        </is>
      </c>
      <c r="V6" s="24" t="inlineStr">
        <is>
          <t>push</t>
        </is>
      </c>
      <c r="W6" s="26" t="n"/>
      <c r="X6" s="26" t="n"/>
      <c r="Y6" s="25" t="n"/>
      <c r="Z6" s="26" t="n"/>
      <c r="AA6" s="28" t="n"/>
      <c r="AB6" s="28" t="n"/>
      <c r="AC6" s="30" t="n">
        <v>0</v>
      </c>
      <c r="AD6" s="24" t="inlineStr">
        <is>
          <t>2026-07-28T01:57:07.091830Z</t>
        </is>
      </c>
      <c r="AE6" s="31" t="inlineStr">
        <is>
          <t>Neutral Elo baseline; executable ask 0.5500 (market_slug=aec-dota2-bald-kw-2026-07-27).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KW</t>
        </is>
      </c>
      <c r="AQ6" s="24" t="inlineStr">
        <is>
          <t>KW</t>
        </is>
      </c>
      <c r="AR6" s="24" t="inlineStr">
        <is>
          <t>KW</t>
        </is>
      </c>
      <c r="AS6" s="24" t="inlineStr">
        <is>
          <t>Team Bald</t>
        </is>
      </c>
      <c r="AT6" s="24" t="inlineStr">
        <is>
          <t>Team Bald</t>
        </is>
      </c>
      <c r="AU6" s="24" t="inlineStr">
        <is>
          <t>Team Bald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713355eeac1c7f851a8fe35e939969377fe0747dd60b1ddb9f28fd4faae96635</t>
        </is>
      </c>
      <c r="BB6" s="24" t="inlineStr">
        <is>
          <t>neutral_elo</t>
        </is>
      </c>
      <c r="BC6" s="24" t="inlineStr">
        <is>
          <t>dota2-tiered-elo-v4</t>
        </is>
      </c>
      <c r="BD6" s="24" t="inlineStr">
        <is>
          <t>713355eeac1c7f851a8fe35e939969377fe0747dd60b1ddb9f28fd4faae96635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dota2-tiered-elo-v4</t>
        </is>
      </c>
      <c r="BH6" s="24" t="inlineStr">
        <is>
          <t>2026-07-27T17:38:14.567529Z</t>
        </is>
      </c>
      <c r="BI6" s="24" t="inlineStr">
        <is>
          <t>["same_event","same_team_same_day","same_league_same_day"]</t>
        </is>
      </c>
      <c r="BJ6" s="25" t="n"/>
      <c r="BK6" s="26" t="n">
        <v>-122</v>
      </c>
      <c r="BL6" s="27" t="n">
        <v>1.819672</v>
      </c>
      <c r="BM6" s="28" t="n">
        <v>0.54955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inlineStr">
        <is>
          <t>esports market settled to a non-binary price (forfeit/postponement per market rules)</t>
        </is>
      </c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87df2d01ec0145ee</t>
        </is>
      </c>
      <c r="B7" s="24" t="inlineStr">
        <is>
          <t>2026-07-27T17:38:19.923501Z</t>
        </is>
      </c>
      <c r="C7" s="24" t="inlineStr">
        <is>
          <t>2026-07-27T18:00:00Z</t>
        </is>
      </c>
      <c r="D7" s="24" t="inlineStr">
        <is>
          <t>63056</t>
        </is>
      </c>
      <c r="E7" s="24" t="inlineStr">
        <is>
          <t>DOTA2</t>
        </is>
      </c>
      <c r="F7" s="24" t="inlineStr">
        <is>
          <t>avice Team</t>
        </is>
      </c>
      <c r="G7" s="24" t="inlineStr">
        <is>
          <t>VooDooSh Team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0.537873</v>
      </c>
      <c r="P7" s="28" t="n"/>
      <c r="Q7" s="28" t="n">
        <v>-0.001298</v>
      </c>
      <c r="R7" s="26" t="n">
        <v>19</v>
      </c>
      <c r="S7" s="29" t="n">
        <v>0</v>
      </c>
      <c r="T7" s="24" t="inlineStr">
        <is>
          <t>dota2-tiered-elo-v4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</v>
      </c>
      <c r="AD7" s="24" t="inlineStr">
        <is>
          <t>2026-07-28T01:57:08.268935Z</t>
        </is>
      </c>
      <c r="AE7" s="31" t="inlineStr">
        <is>
          <t>Neutral Elo baseline; executable ask 0.5400 (market_slug=aec-dota2-vds-avi-2026-07-27).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avice Team</t>
        </is>
      </c>
      <c r="AQ7" s="24" t="inlineStr">
        <is>
          <t>avice Team</t>
        </is>
      </c>
      <c r="AR7" s="24" t="inlineStr">
        <is>
          <t>avice Team</t>
        </is>
      </c>
      <c r="AS7" s="24" t="inlineStr">
        <is>
          <t>VooDooSh Team</t>
        </is>
      </c>
      <c r="AT7" s="24" t="inlineStr">
        <is>
          <t>VooDooSh Team</t>
        </is>
      </c>
      <c r="AU7" s="24" t="inlineStr">
        <is>
          <t>VooDooSh Team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713355eeac1c7f851a8fe35e939969377fe0747dd60b1ddb9f28fd4faae96635</t>
        </is>
      </c>
      <c r="BB7" s="24" t="inlineStr">
        <is>
          <t>neutral_elo</t>
        </is>
      </c>
      <c r="BC7" s="24" t="inlineStr">
        <is>
          <t>dota2-tiered-elo-v4</t>
        </is>
      </c>
      <c r="BD7" s="24" t="inlineStr">
        <is>
          <t>713355eeac1c7f851a8fe35e939969377fe0747dd60b1ddb9f28fd4faae96635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dota2-tiered-elo-v4</t>
        </is>
      </c>
      <c r="BH7" s="24" t="inlineStr">
        <is>
          <t>2026-07-27T17:38:15.036899Z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902b2feca020418f</t>
        </is>
      </c>
      <c r="B8" s="24" t="inlineStr">
        <is>
          <t>2026-07-28T11:18:10.759539Z</t>
        </is>
      </c>
      <c r="C8" s="24" t="inlineStr">
        <is>
          <t>2026-07-28T12:00:00Z</t>
        </is>
      </c>
      <c r="D8" s="24" t="inlineStr">
        <is>
          <t>63057</t>
        </is>
      </c>
      <c r="E8" s="24" t="inlineStr">
        <is>
          <t>DOTA2</t>
        </is>
      </c>
      <c r="F8" s="24" t="inlineStr">
        <is>
          <t>Travoman Team</t>
        </is>
      </c>
      <c r="G8" s="24" t="inlineStr">
        <is>
          <t>NS Team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0.6704329999999999</v>
      </c>
      <c r="P8" s="28" t="n"/>
      <c r="Q8" s="28" t="n">
        <v>0.000466</v>
      </c>
      <c r="R8" s="26" t="n">
        <v>20</v>
      </c>
      <c r="S8" s="29" t="n">
        <v>0</v>
      </c>
      <c r="T8" s="24" t="inlineStr">
        <is>
          <t>dota2-tiered-elo-v4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0</v>
      </c>
      <c r="AD8" s="24" t="inlineStr">
        <is>
          <t>2026-07-28T14:58:59.922687Z</t>
        </is>
      </c>
      <c r="AE8" s="31" t="inlineStr">
        <is>
          <t>Neutral Elo baseline; executable ask 0.6700 (market_slug=aec-dota2-ns-tt-2026-07-28).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Travoman Team</t>
        </is>
      </c>
      <c r="AQ8" s="24" t="inlineStr">
        <is>
          <t>Travoman Team</t>
        </is>
      </c>
      <c r="AR8" s="24" t="inlineStr">
        <is>
          <t>Travoman Team</t>
        </is>
      </c>
      <c r="AS8" s="24" t="inlineStr">
        <is>
          <t>NS Team</t>
        </is>
      </c>
      <c r="AT8" s="24" t="inlineStr">
        <is>
          <t>NS Team</t>
        </is>
      </c>
      <c r="AU8" s="24" t="inlineStr">
        <is>
          <t>NS Team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2eec6caa3ac9ef66f075873fd68ca2373e4c3dc3d989a802f3e79917f2c19f1e</t>
        </is>
      </c>
      <c r="BB8" s="24" t="inlineStr">
        <is>
          <t>neutral_elo</t>
        </is>
      </c>
      <c r="BC8" s="24" t="inlineStr">
        <is>
          <t>dota2-tiered-elo-v4</t>
        </is>
      </c>
      <c r="BD8" s="24" t="inlineStr">
        <is>
          <t>2eec6caa3ac9ef66f075873fd68ca2373e4c3dc3d989a802f3e79917f2c19f1e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dota2-tiered-elo-v4</t>
        </is>
      </c>
      <c r="BH8" s="24" t="inlineStr">
        <is>
          <t>2026-07-28T11:18:04.086930Z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d48ed423cea34f7b</t>
        </is>
      </c>
      <c r="B9" s="24" t="inlineStr">
        <is>
          <t>2026-07-28T11:18:10.759539Z</t>
        </is>
      </c>
      <c r="C9" s="24" t="inlineStr">
        <is>
          <t>2026-07-28T12:00:00Z</t>
        </is>
      </c>
      <c r="D9" s="24" t="inlineStr">
        <is>
          <t>62515</t>
        </is>
      </c>
      <c r="E9" s="24" t="inlineStr">
        <is>
          <t>DOTA2</t>
        </is>
      </c>
      <c r="F9" s="24" t="inlineStr">
        <is>
          <t>Level UP</t>
        </is>
      </c>
      <c r="G9" s="24" t="inlineStr">
        <is>
          <t>Team Bald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100</v>
      </c>
      <c r="M9" s="27" t="n">
        <v>2</v>
      </c>
      <c r="N9" s="28" t="n">
        <v>0.5</v>
      </c>
      <c r="O9" s="28" t="n">
        <v>0.523841</v>
      </c>
      <c r="P9" s="28" t="n"/>
      <c r="Q9" s="28" t="n">
        <v>0.023841</v>
      </c>
      <c r="R9" s="26" t="n">
        <v>32</v>
      </c>
      <c r="S9" s="29" t="n">
        <v>0.75</v>
      </c>
      <c r="T9" s="24" t="inlineStr">
        <is>
          <t>dota2-tiered-elo-v4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0.5000 (market_slug=aec-dota2-bald-lvlup-2026-07-28).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Level UP</t>
        </is>
      </c>
      <c r="AQ9" s="24" t="inlineStr">
        <is>
          <t>Level UP</t>
        </is>
      </c>
      <c r="AR9" s="24" t="inlineStr">
        <is>
          <t>Level UP</t>
        </is>
      </c>
      <c r="AS9" s="24" t="inlineStr">
        <is>
          <t>Team Bald</t>
        </is>
      </c>
      <c r="AT9" s="24" t="inlineStr">
        <is>
          <t>Team Bald</t>
        </is>
      </c>
      <c r="AU9" s="24" t="inlineStr">
        <is>
          <t>Team Bald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2eec6caa3ac9ef66f075873fd68ca2373e4c3dc3d989a802f3e79917f2c19f1e</t>
        </is>
      </c>
      <c r="BB9" s="24" t="inlineStr">
        <is>
          <t>neutral_elo</t>
        </is>
      </c>
      <c r="BC9" s="24" t="inlineStr">
        <is>
          <t>dota2-tiered-elo-v4</t>
        </is>
      </c>
      <c r="BD9" s="24" t="inlineStr">
        <is>
          <t>2eec6caa3ac9ef66f075873fd68ca2373e4c3dc3d989a802f3e79917f2c19f1e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dota2-tiered-elo-v4</t>
        </is>
      </c>
      <c r="BH9" s="24" t="inlineStr">
        <is>
          <t>2026-07-28T11:18:04.530689Z</t>
        </is>
      </c>
      <c r="BI9" s="24" t="inlineStr">
        <is>
          <t>["same_event","same_team_same_day","same_league_same_day"]</t>
        </is>
      </c>
      <c r="BJ9" s="25" t="n"/>
      <c r="BK9" s="26" t="n">
        <v>100</v>
      </c>
      <c r="BL9" s="27" t="n">
        <v>2</v>
      </c>
      <c r="BM9" s="28" t="n">
        <v>0.5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f0ada500c4cb47c3</t>
        </is>
      </c>
      <c r="B10" s="24" t="inlineStr">
        <is>
          <t>2026-07-28T11:18:10.759539Z</t>
        </is>
      </c>
      <c r="C10" s="24" t="inlineStr">
        <is>
          <t>2026-07-28T12:00:00Z</t>
        </is>
      </c>
      <c r="D10" s="24" t="inlineStr">
        <is>
          <t>63844</t>
        </is>
      </c>
      <c r="E10" s="24" t="inlineStr">
        <is>
          <t>DOTA2</t>
        </is>
      </c>
      <c r="F10" s="24" t="inlineStr">
        <is>
          <t>PuckChamp</t>
        </is>
      </c>
      <c r="G10" s="24" t="inlineStr">
        <is>
          <t>No Hoodwink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-133</v>
      </c>
      <c r="M10" s="27" t="n">
        <v>1.75188</v>
      </c>
      <c r="N10" s="28" t="n">
        <v>0.570815</v>
      </c>
      <c r="O10" s="28" t="n">
        <v>0.5611120000000001</v>
      </c>
      <c r="P10" s="28" t="n"/>
      <c r="Q10" s="28" t="n">
        <v>-0.009703</v>
      </c>
      <c r="R10" s="26" t="n">
        <v>15</v>
      </c>
      <c r="S10" s="29" t="n">
        <v>0</v>
      </c>
      <c r="T10" s="24" t="inlineStr">
        <is>
          <t>dota2-tiered-elo-v4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2026-07-28T14:59:02.226867Z</t>
        </is>
      </c>
      <c r="AE10" s="31" t="inlineStr">
        <is>
          <t>Neutral Elo baseline; executable ask 0.5700 (market_slug=aec-dota2-nh-pckcp-2026-07-28).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PuckChamp</t>
        </is>
      </c>
      <c r="AQ10" s="24" t="inlineStr">
        <is>
          <t>PuckChamp</t>
        </is>
      </c>
      <c r="AR10" s="24" t="inlineStr">
        <is>
          <t>PuckChamp</t>
        </is>
      </c>
      <c r="AS10" s="24" t="inlineStr">
        <is>
          <t>No Hoodwink</t>
        </is>
      </c>
      <c r="AT10" s="24" t="inlineStr">
        <is>
          <t>No Hoodwink</t>
        </is>
      </c>
      <c r="AU10" s="24" t="inlineStr">
        <is>
          <t>No Hoodwink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2eec6caa3ac9ef66f075873fd68ca2373e4c3dc3d989a802f3e79917f2c19f1e</t>
        </is>
      </c>
      <c r="BB10" s="24" t="inlineStr">
        <is>
          <t>neutral_elo</t>
        </is>
      </c>
      <c r="BC10" s="24" t="inlineStr">
        <is>
          <t>dota2-tiered-elo-v4</t>
        </is>
      </c>
      <c r="BD10" s="24" t="inlineStr">
        <is>
          <t>2eec6caa3ac9ef66f075873fd68ca2373e4c3dc3d989a802f3e79917f2c19f1e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dota2-tiered-elo-v4</t>
        </is>
      </c>
      <c r="BH10" s="24" t="inlineStr">
        <is>
          <t>2026-07-28T11:18:04.968998Z</t>
        </is>
      </c>
      <c r="BI10" s="24" t="inlineStr">
        <is>
          <t>["same_event","same_team_same_day","same_league_same_day"]</t>
        </is>
      </c>
      <c r="BJ10" s="25" t="n"/>
      <c r="BK10" s="26" t="n">
        <v>-133</v>
      </c>
      <c r="BL10" s="27" t="n">
        <v>1.75188</v>
      </c>
      <c r="BM10" s="28" t="n">
        <v>0.570815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f5c00befbba444f2</t>
        </is>
      </c>
      <c r="B11" s="24" t="inlineStr">
        <is>
          <t>2026-07-28T14:24:21.986372Z</t>
        </is>
      </c>
      <c r="C11" s="24" t="inlineStr">
        <is>
          <t>2026-07-28T15:00:00Z</t>
        </is>
      </c>
      <c r="D11" s="24" t="inlineStr">
        <is>
          <t>62516</t>
        </is>
      </c>
      <c r="E11" s="24" t="inlineStr">
        <is>
          <t>DOTA2</t>
        </is>
      </c>
      <c r="F11" s="24" t="inlineStr">
        <is>
          <t>KW</t>
        </is>
      </c>
      <c r="G11" s="24" t="inlineStr">
        <is>
          <t>PuckChamp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0.549451</v>
      </c>
      <c r="P11" s="28" t="n"/>
      <c r="Q11" s="28" t="n">
        <v>-0.100899</v>
      </c>
      <c r="R11" s="26" t="n">
        <v>0</v>
      </c>
      <c r="S11" s="29" t="n">
        <v>0</v>
      </c>
      <c r="T11" s="24" t="inlineStr">
        <is>
          <t>dota2-tiered-elo-v4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0.6500 (market_slug=aec-dota2-pckcp-kw-2026-07-28).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KW</t>
        </is>
      </c>
      <c r="AQ11" s="24" t="inlineStr">
        <is>
          <t>KW</t>
        </is>
      </c>
      <c r="AR11" s="24" t="inlineStr">
        <is>
          <t>KW</t>
        </is>
      </c>
      <c r="AS11" s="24" t="inlineStr">
        <is>
          <t>PuckChamp</t>
        </is>
      </c>
      <c r="AT11" s="24" t="inlineStr">
        <is>
          <t>PuckChamp</t>
        </is>
      </c>
      <c r="AU11" s="24" t="inlineStr">
        <is>
          <t>PuckChamp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cf077a212d603eddc5f2d2b29269bd9cb650529ae64fa38c21f4a7e24723110e</t>
        </is>
      </c>
      <c r="BB11" s="24" t="inlineStr">
        <is>
          <t>neutral_elo</t>
        </is>
      </c>
      <c r="BC11" s="24" t="inlineStr">
        <is>
          <t>dota2-tiered-elo-v4</t>
        </is>
      </c>
      <c r="BD11" s="24" t="inlineStr">
        <is>
          <t>cf077a212d603eddc5f2d2b29269bd9cb650529ae64fa38c21f4a7e24723110e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dota2-tiered-elo-v4</t>
        </is>
      </c>
      <c r="BH11" s="24" t="inlineStr">
        <is>
          <t>2026-07-28T14:24:16.158232Z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a4f4a01d01a04a68</t>
        </is>
      </c>
      <c r="B12" s="24" t="inlineStr">
        <is>
          <t>2026-07-28T14:24:21.986372Z</t>
        </is>
      </c>
      <c r="C12" s="24" t="inlineStr">
        <is>
          <t>2026-07-28T15:00:00Z</t>
        </is>
      </c>
      <c r="D12" s="24" t="inlineStr">
        <is>
          <t>63059</t>
        </is>
      </c>
      <c r="E12" s="24" t="inlineStr">
        <is>
          <t>DOTA2</t>
        </is>
      </c>
      <c r="F12" s="24" t="inlineStr">
        <is>
          <t>Rostik Team</t>
        </is>
      </c>
      <c r="G12" s="24" t="inlineStr">
        <is>
          <t>Stray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0.625006</v>
      </c>
      <c r="P12" s="28" t="n"/>
      <c r="Q12" s="28" t="n">
        <v>0.015631</v>
      </c>
      <c r="R12" s="26" t="n">
        <v>28</v>
      </c>
      <c r="S12" s="29" t="n">
        <v>0</v>
      </c>
      <c r="T12" s="24" t="inlineStr">
        <is>
          <t>dota2-tiered-elo-v4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0.6100 (market_slug=aec-dota2-stray-rt-2026-07-28).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Rostik Team</t>
        </is>
      </c>
      <c r="AQ12" s="24" t="inlineStr">
        <is>
          <t>Rostik Team</t>
        </is>
      </c>
      <c r="AR12" s="24" t="inlineStr">
        <is>
          <t>Rostik Team</t>
        </is>
      </c>
      <c r="AS12" s="24" t="inlineStr">
        <is>
          <t>Stray Team</t>
        </is>
      </c>
      <c r="AT12" s="24" t="inlineStr">
        <is>
          <t>Stray Team</t>
        </is>
      </c>
      <c r="AU12" s="24" t="inlineStr">
        <is>
          <t>Stray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cf077a212d603eddc5f2d2b29269bd9cb650529ae64fa38c21f4a7e24723110e</t>
        </is>
      </c>
      <c r="BB12" s="24" t="inlineStr">
        <is>
          <t>neutral_elo</t>
        </is>
      </c>
      <c r="BC12" s="24" t="inlineStr">
        <is>
          <t>dota2-tiered-elo-v4</t>
        </is>
      </c>
      <c r="BD12" s="24" t="inlineStr">
        <is>
          <t>cf077a212d603eddc5f2d2b29269bd9cb650529ae64fa38c21f4a7e24723110e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dota2-tiered-elo-v4</t>
        </is>
      </c>
      <c r="BH12" s="24" t="inlineStr">
        <is>
          <t>2026-07-28T14:24:16.628016Z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9c63058d7cac4902</t>
        </is>
      </c>
      <c r="B13" s="24" t="inlineStr">
        <is>
          <t>2026-07-28T14:24:21.986372Z</t>
        </is>
      </c>
      <c r="C13" s="24" t="inlineStr">
        <is>
          <t>2026-07-28T15:00:00Z</t>
        </is>
      </c>
      <c r="D13" s="24" t="inlineStr">
        <is>
          <t>63058</t>
        </is>
      </c>
      <c r="E13" s="24" t="inlineStr">
        <is>
          <t>DOTA2</t>
        </is>
      </c>
      <c r="F13" s="24" t="inlineStr">
        <is>
          <t>Daxak Team</t>
        </is>
      </c>
      <c r="G13" s="24" t="inlineStr">
        <is>
          <t>VooDooSh Team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0.537763</v>
      </c>
      <c r="P13" s="28" t="n"/>
      <c r="Q13" s="28" t="n">
        <v>-0.052401</v>
      </c>
      <c r="R13" s="26" t="n">
        <v>0</v>
      </c>
      <c r="S13" s="29" t="n">
        <v>0</v>
      </c>
      <c r="T13" s="24" t="inlineStr">
        <is>
          <t>dota2-tiered-elo-v4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0.5900 (market_slug=aec-dota2-vds-dxk-2026-07-28).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Daxak Team</t>
        </is>
      </c>
      <c r="AQ13" s="24" t="inlineStr">
        <is>
          <t>Daxak Team</t>
        </is>
      </c>
      <c r="AR13" s="24" t="inlineStr">
        <is>
          <t>Daxak Team</t>
        </is>
      </c>
      <c r="AS13" s="24" t="inlineStr">
        <is>
          <t>VooDooSh Team</t>
        </is>
      </c>
      <c r="AT13" s="24" t="inlineStr">
        <is>
          <t>VooDooSh Team</t>
        </is>
      </c>
      <c r="AU13" s="24" t="inlineStr">
        <is>
          <t>VooDooSh Team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cf077a212d603eddc5f2d2b29269bd9cb650529ae64fa38c21f4a7e24723110e</t>
        </is>
      </c>
      <c r="BB13" s="24" t="inlineStr">
        <is>
          <t>neutral_elo</t>
        </is>
      </c>
      <c r="BC13" s="24" t="inlineStr">
        <is>
          <t>dota2-tiered-elo-v4</t>
        </is>
      </c>
      <c r="BD13" s="24" t="inlineStr">
        <is>
          <t>cf077a212d603eddc5f2d2b29269bd9cb650529ae64fa38c21f4a7e24723110e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dota2-tiered-elo-v4</t>
        </is>
      </c>
      <c r="BH13" s="24" t="inlineStr">
        <is>
          <t>2026-07-28T14:24:17.095198Z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2026-07-28T15:00:51Z</dcterms:created>
  <dcterms:modified xsi:type="dcterms:W3CDTF">2026-07-28T15:00:51Z</dcterms:modified>
</cp:coreProperties>
</file>