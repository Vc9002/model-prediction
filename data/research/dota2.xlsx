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38" headerRowCount="1">
  <autoFilter ref="A1:CS38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COUNTA('Picks'!$A$2:$A$38)</f>
        <v/>
      </c>
      <c r="C4" s="6">
        <f>COUNTIF('Picks'!$U$2:$U$38,"open")</f>
        <v/>
      </c>
      <c r="E4" s="6">
        <f>COUNTIF('Picks'!$U$2:$U$38,"settled")</f>
        <v/>
      </c>
      <c r="G4" s="6">
        <f>IF(COUNTIFS('Picks'!$U$2:$U$38,"settled",'Picks'!$V$2:$V$38,"win")+COUNTIFS('Picks'!$U$2:$U$38,"settled",'Picks'!$V$2:$V$38,"loss")&gt;=$L$2,"Ready","Insufficient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COUNTIF('Picks'!$BX$2:$BX$38,"&gt;0")</f>
        <v/>
      </c>
      <c r="C7" s="6">
        <f>COUNTIFS('Picks'!$BX$2:$BX$38,"&gt;0",'Picks'!$V$2:$V$38,"win")&amp;"-"&amp;COUNTIFS('Picks'!$BX$2:$BX$38,"&gt;0",'Picks'!$V$2:$V$38,"loss")</f>
        <v/>
      </c>
      <c r="E7" s="7">
        <f>IFERROR(COUNTIFS('Picks'!$BX$2:$BX$38,"&gt;0",'Picks'!$V$2:$V$38,"win")/(COUNTIFS('Picks'!$BX$2:$BX$38,"&gt;0",'Picks'!$V$2:$V$38,"win")+COUNTIFS('Picks'!$BX$2:$BX$38,"&gt;0",'Picks'!$V$2:$V$38,"loss")),0)</f>
        <v/>
      </c>
      <c r="G7" s="7">
        <f>IFERROR(SUM('Picks'!$BY$2:$BY$38)/SUM('Picks'!$BX$2:$BX$38),0)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SUM('Picks'!$BY$2:$BY$38)</f>
        <v/>
      </c>
      <c r="C10" s="9">
        <f>IFERROR(AVERAGEIF('Picks'!$AB$2:$AB$38,"&lt;&gt;",'Picks'!$AB$2:$AB$38),0)</f>
        <v/>
      </c>
      <c r="E10" s="6">
        <f>COUNTIFS('Picks'!$AM$2:$AM$38,"QUALIFIED_SHADOW_CALL",'Picks'!$U$2:$U$38,"settled")</f>
        <v/>
      </c>
      <c r="G10" s="8">
        <f>SUMIFS('Picks'!$AC$2:$AC$38,'Picks'!$AM$2:$AM$38,"QUALIFIED_SHADOW_CALL")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COUNTIFS('Picks'!$H$2:$H$38,$A14,'Picks'!$U$2:$U$38,"settled")</f>
        <v/>
      </c>
      <c r="C14" s="13">
        <f>COUNTIFS('Picks'!$H$2:$H$38,$A14,'Picks'!$U$2:$U$38,"settled",'Picks'!$V$2:$V$38,"win")</f>
        <v/>
      </c>
      <c r="D14" s="13">
        <f>COUNTIFS('Picks'!$H$2:$H$38,$A14,'Picks'!$U$2:$U$38,"settled",'Picks'!$V$2:$V$38,"loss")</f>
        <v/>
      </c>
      <c r="E14" s="14">
        <f>IFERROR(C14/(C14+D14),0)</f>
        <v/>
      </c>
      <c r="F14" s="15">
        <f>SUMIFS('Picks'!$BY$2:$BY$38,'Picks'!$H$2:$H$38,$A14)</f>
        <v/>
      </c>
      <c r="G14" s="16">
        <f>IFERROR(AVERAGEIFS('Picks'!$AB$2:$AB$38,'Picks'!$H$2:$H$38,$A14,'Picks'!$U$2:$U$38,"settled"),0)</f>
        <v/>
      </c>
    </row>
    <row r="15">
      <c r="A15" s="17" t="inlineStr">
        <is>
          <t>spread</t>
        </is>
      </c>
      <c r="B15" s="18">
        <f>COUNTIFS('Picks'!$H$2:$H$38,$A15,'Picks'!$U$2:$U$38,"settled")</f>
        <v/>
      </c>
      <c r="C15" s="18">
        <f>COUNTIFS('Picks'!$H$2:$H$38,$A15,'Picks'!$U$2:$U$38,"settled",'Picks'!$V$2:$V$38,"win")</f>
        <v/>
      </c>
      <c r="D15" s="18">
        <f>COUNTIFS('Picks'!$H$2:$H$38,$A15,'Picks'!$U$2:$U$38,"settled",'Picks'!$V$2:$V$38,"loss")</f>
        <v/>
      </c>
      <c r="E15" s="19">
        <f>IFERROR(C15/(C15+D15),0)</f>
        <v/>
      </c>
      <c r="F15" s="20">
        <f>SUMIFS('Picks'!$BY$2:$BY$38,'Picks'!$H$2:$H$38,$A15)</f>
        <v/>
      </c>
      <c r="G15" s="21">
        <f>IFERROR(AVERAGEIFS('Picks'!$AB$2:$AB$38,'Picks'!$H$2:$H$38,$A15,'Picks'!$U$2:$U$38,"settled"),0)</f>
        <v/>
      </c>
    </row>
    <row r="16">
      <c r="A16" s="12" t="inlineStr">
        <is>
          <t>total</t>
        </is>
      </c>
      <c r="B16" s="13">
        <f>COUNTIFS('Picks'!$H$2:$H$38,$A16,'Picks'!$U$2:$U$38,"settled")</f>
        <v/>
      </c>
      <c r="C16" s="13">
        <f>COUNTIFS('Picks'!$H$2:$H$38,$A16,'Picks'!$U$2:$U$38,"settled",'Picks'!$V$2:$V$38,"win")</f>
        <v/>
      </c>
      <c r="D16" s="13">
        <f>COUNTIFS('Picks'!$H$2:$H$38,$A16,'Picks'!$U$2:$U$38,"settled",'Picks'!$V$2:$V$38,"loss")</f>
        <v/>
      </c>
      <c r="E16" s="14">
        <f>IFERROR(C16/(C16+D16),0)</f>
        <v/>
      </c>
      <c r="F16" s="15">
        <f>SUMIFS('Picks'!$BY$2:$BY$38,'Picks'!$H$2:$H$38,$A16)</f>
        <v/>
      </c>
      <c r="G16" s="16">
        <f>IFERROR(AVERAGEIFS('Picks'!$AB$2:$AB$38,'Picks'!$H$2:$H$38,$A16,'Picks'!$U$2:$U$38,"settled"),0)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7bb4334f68de4bcd</t>
        </is>
      </c>
      <c r="B2" s="24" t="inlineStr">
        <is>
          <t>2026-07-31T10:46:51.141594Z</t>
        </is>
      </c>
      <c r="C2" s="24" t="inlineStr">
        <is>
          <t>2026-07-31T11:00:00Z</t>
        </is>
      </c>
      <c r="D2" s="24" t="inlineStr">
        <is>
          <t>64817</t>
        </is>
      </c>
      <c r="E2" s="24" t="inlineStr">
        <is>
          <t>DOTA2</t>
        </is>
      </c>
      <c r="F2" s="24" t="inlineStr">
        <is>
          <t>REKONIX</t>
        </is>
      </c>
      <c r="G2" s="24" t="inlineStr">
        <is>
          <t>L1ga Team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133</v>
      </c>
      <c r="M2" s="27" t="n">
        <v>2.33</v>
      </c>
      <c r="N2" s="28" t="n">
        <v>0.429185</v>
      </c>
      <c r="O2" s="28" t="n">
        <v>0.528355</v>
      </c>
      <c r="P2" s="28" t="n"/>
      <c r="Q2" s="28" t="n">
        <v>0.09916999999999999</v>
      </c>
      <c r="R2" s="26" t="n">
        <v>70</v>
      </c>
      <c r="S2" s="29" t="n">
        <v>1</v>
      </c>
      <c r="T2" s="24" t="inlineStr">
        <is>
          <t>dota2-tiered-elo-v5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0</v>
      </c>
      <c r="Y2" s="25" t="n"/>
      <c r="Z2" s="26" t="n">
        <v>133</v>
      </c>
      <c r="AA2" s="28" t="n">
        <v>0.43</v>
      </c>
      <c r="AB2" s="28" t="n">
        <v>0.000815</v>
      </c>
      <c r="AC2" s="30" t="n">
        <v>-1</v>
      </c>
      <c r="AD2" s="24" t="inlineStr">
        <is>
          <t>2026-07-31T16:44:45.190822Z</t>
        </is>
      </c>
      <c r="AE2" s="31" t="inlineStr">
        <is>
          <t>Neutral Elo baseline; executable ask 0.4300 (market_slug=aec-dota2-l1ga-rnx-2026-07-31).</t>
        </is>
      </c>
      <c r="AF2" s="31" t="inlineStr">
        <is>
          <t>Config-promoted esports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REKONIX</t>
        </is>
      </c>
      <c r="AQ2" s="24" t="inlineStr">
        <is>
          <t>REKONIX</t>
        </is>
      </c>
      <c r="AR2" s="24" t="inlineStr">
        <is>
          <t>REKONIX</t>
        </is>
      </c>
      <c r="AS2" s="24" t="inlineStr">
        <is>
          <t>L1ga Team</t>
        </is>
      </c>
      <c r="AT2" s="24" t="inlineStr">
        <is>
          <t>L1ga Team</t>
        </is>
      </c>
      <c r="AU2" s="24" t="inlineStr">
        <is>
          <t>L1ga Team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def433bd75610fad2e6504afeb97fc726ca47b86cda4e8e2a0e49fa44868309d</t>
        </is>
      </c>
      <c r="BB2" s="24" t="inlineStr">
        <is>
          <t>neutral_elo</t>
        </is>
      </c>
      <c r="BC2" s="24" t="inlineStr">
        <is>
          <t>dota2-tiered-elo-v5</t>
        </is>
      </c>
      <c r="BD2" s="24" t="inlineStr">
        <is>
          <t>def433bd75610fad2e6504afeb97fc726ca47b86cda4e8e2a0e49fa44868309d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dota2-tiered-elo-v5</t>
        </is>
      </c>
      <c r="BH2" s="24" t="inlineStr">
        <is>
          <t>2026-07-31T10:46:48.956138Z</t>
        </is>
      </c>
      <c r="BI2" s="24" t="inlineStr">
        <is>
          <t>["same_event","same_team_same_day","same_league_same_day"]</t>
        </is>
      </c>
      <c r="BJ2" s="25" t="n"/>
      <c r="BK2" s="26" t="n">
        <v>133</v>
      </c>
      <c r="BL2" s="27" t="n">
        <v>2.33</v>
      </c>
      <c r="BM2" s="28" t="n">
        <v>0.429185</v>
      </c>
      <c r="BN2" s="28" t="n"/>
      <c r="BO2" s="28" t="n"/>
      <c r="BP2" s="25" t="n"/>
      <c r="BQ2" s="27" t="n">
        <v>2.33</v>
      </c>
      <c r="BR2" s="28" t="n">
        <v>0.43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c26089390a3847c9</t>
        </is>
      </c>
      <c r="B3" s="24" t="inlineStr">
        <is>
          <t>2026-07-31T10:46:51.141594Z</t>
        </is>
      </c>
      <c r="C3" s="24" t="inlineStr">
        <is>
          <t>2026-07-31T11:00:00Z</t>
        </is>
      </c>
      <c r="D3" s="24" t="inlineStr">
        <is>
          <t>64818</t>
        </is>
      </c>
      <c r="E3" s="24" t="inlineStr">
        <is>
          <t>DOTA2</t>
        </is>
      </c>
      <c r="F3" s="24" t="inlineStr">
        <is>
          <t>GLYPH</t>
        </is>
      </c>
      <c r="G3" s="24" t="inlineStr">
        <is>
          <t>Enjoy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117</v>
      </c>
      <c r="M3" s="27" t="n">
        <v>2.17</v>
      </c>
      <c r="N3" s="28" t="n">
        <v>0.460829</v>
      </c>
      <c r="O3" s="28" t="n">
        <v>0.675115</v>
      </c>
      <c r="P3" s="28" t="n"/>
      <c r="Q3" s="28" t="n">
        <v>0.214286</v>
      </c>
      <c r="R3" s="26" t="n">
        <v>100</v>
      </c>
      <c r="S3" s="29" t="n">
        <v>2</v>
      </c>
      <c r="T3" s="24" t="inlineStr">
        <is>
          <t>dota2-tiered-elo-v5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117</v>
      </c>
      <c r="AA3" s="28" t="n">
        <v>0.46</v>
      </c>
      <c r="AB3" s="28" t="n">
        <v>-0.000829</v>
      </c>
      <c r="AC3" s="30" t="n">
        <v>2.34</v>
      </c>
      <c r="AD3" s="24" t="inlineStr">
        <is>
          <t>2026-07-31T16:44:46.440388Z</t>
        </is>
      </c>
      <c r="AE3" s="31" t="inlineStr">
        <is>
          <t>Neutral Elo baseline; executable ask 0.4600 (market_slug=aec-dota2-enjoy-glyph-2026-07-31).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GLYPH</t>
        </is>
      </c>
      <c r="AQ3" s="24" t="inlineStr">
        <is>
          <t>GLYPH</t>
        </is>
      </c>
      <c r="AR3" s="24" t="inlineStr">
        <is>
          <t>GLYPH</t>
        </is>
      </c>
      <c r="AS3" s="24" t="inlineStr">
        <is>
          <t>Enjoy</t>
        </is>
      </c>
      <c r="AT3" s="24" t="inlineStr">
        <is>
          <t>Enjoy</t>
        </is>
      </c>
      <c r="AU3" s="24" t="inlineStr">
        <is>
          <t>Enjoy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def433bd75610fad2e6504afeb97fc726ca47b86cda4e8e2a0e49fa44868309d</t>
        </is>
      </c>
      <c r="BB3" s="24" t="inlineStr">
        <is>
          <t>neutral_elo</t>
        </is>
      </c>
      <c r="BC3" s="24" t="inlineStr">
        <is>
          <t>dota2-tiered-elo-v5</t>
        </is>
      </c>
      <c r="BD3" s="24" t="inlineStr">
        <is>
          <t>def433bd75610fad2e6504afeb97fc726ca47b86cda4e8e2a0e49fa44868309d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dota2-tiered-elo-v5</t>
        </is>
      </c>
      <c r="BH3" s="24" t="inlineStr">
        <is>
          <t>2026-07-31T10:46:49.443966Z</t>
        </is>
      </c>
      <c r="BI3" s="24" t="inlineStr">
        <is>
          <t>["same_event","same_team_same_day","same_league_same_day"]</t>
        </is>
      </c>
      <c r="BJ3" s="25" t="n"/>
      <c r="BK3" s="26" t="n">
        <v>117</v>
      </c>
      <c r="BL3" s="27" t="n">
        <v>2.17</v>
      </c>
      <c r="BM3" s="28" t="n">
        <v>0.460829</v>
      </c>
      <c r="BN3" s="28" t="n"/>
      <c r="BO3" s="28" t="n"/>
      <c r="BP3" s="25" t="n"/>
      <c r="BQ3" s="27" t="n">
        <v>2.17</v>
      </c>
      <c r="BR3" s="28" t="n">
        <v>0.46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706d705e970c475e</t>
        </is>
      </c>
      <c r="B4" s="24" t="inlineStr">
        <is>
          <t>2026-07-31T11:11:38.723603Z</t>
        </is>
      </c>
      <c r="C4" s="24" t="inlineStr">
        <is>
          <t>2026-07-31T12:00:00Z</t>
        </is>
      </c>
      <c r="D4" s="24" t="inlineStr">
        <is>
          <t>66989</t>
        </is>
      </c>
      <c r="E4" s="24" t="inlineStr">
        <is>
          <t>DOTA2</t>
        </is>
      </c>
      <c r="F4" s="24" t="inlineStr">
        <is>
          <t>VooDooSh Team</t>
        </is>
      </c>
      <c r="G4" s="24" t="inlineStr">
        <is>
          <t>Travoman Team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-170</v>
      </c>
      <c r="M4" s="27" t="n">
        <v>1.588235</v>
      </c>
      <c r="N4" s="28" t="n">
        <v>0.62963</v>
      </c>
      <c r="O4" s="28" t="n">
        <v>0.592068</v>
      </c>
      <c r="P4" s="28" t="n"/>
      <c r="Q4" s="28" t="n">
        <v>-0.037562</v>
      </c>
      <c r="R4" s="26" t="n">
        <v>1</v>
      </c>
      <c r="S4" s="29" t="n">
        <v>1.25</v>
      </c>
      <c r="T4" s="24" t="inlineStr">
        <is>
          <t>dota2-tiered-elo-v5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-170</v>
      </c>
      <c r="AA4" s="28" t="n">
        <v>0.63</v>
      </c>
      <c r="AB4" s="28" t="n">
        <v>0.00037</v>
      </c>
      <c r="AC4" s="30" t="n">
        <v>0.7353</v>
      </c>
      <c r="AD4" s="24" t="inlineStr">
        <is>
          <t>2026-07-31T16:44:47.585797Z</t>
        </is>
      </c>
      <c r="AE4" s="31" t="inlineStr">
        <is>
          <t>Neutral Elo baseline; executable ask 0.6300 (market_slug=aec-dota2-tt-vds-2026-07-31).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VooDooSh Team</t>
        </is>
      </c>
      <c r="AQ4" s="24" t="inlineStr">
        <is>
          <t>VooDooSh Team</t>
        </is>
      </c>
      <c r="AR4" s="24" t="inlineStr">
        <is>
          <t>VooDooSh Team</t>
        </is>
      </c>
      <c r="AS4" s="24" t="inlineStr">
        <is>
          <t>Travoman Team</t>
        </is>
      </c>
      <c r="AT4" s="24" t="inlineStr">
        <is>
          <t>Travoman Team</t>
        </is>
      </c>
      <c r="AU4" s="24" t="inlineStr">
        <is>
          <t>Travoman Team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b23f7ad31351c726b3ccb9408d9601bd6e1b13a585cba9c6145c65f967bd5249</t>
        </is>
      </c>
      <c r="BB4" s="24" t="inlineStr">
        <is>
          <t>neutral_elo</t>
        </is>
      </c>
      <c r="BC4" s="24" t="inlineStr">
        <is>
          <t>dota2-tiered-elo-v5</t>
        </is>
      </c>
      <c r="BD4" s="24" t="inlineStr">
        <is>
          <t>b23f7ad31351c726b3ccb9408d9601bd6e1b13a585cba9c6145c65f967bd5249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dota2-tiered-elo-v5</t>
        </is>
      </c>
      <c r="BH4" s="24" t="inlineStr">
        <is>
          <t>2026-07-31T11:11:37.653061Z</t>
        </is>
      </c>
      <c r="BI4" s="24" t="inlineStr">
        <is>
          <t>["same_event","same_team_same_day","same_league_same_day"]</t>
        </is>
      </c>
      <c r="BJ4" s="25" t="n"/>
      <c r="BK4" s="26" t="n">
        <v>-170</v>
      </c>
      <c r="BL4" s="27" t="n">
        <v>1.588235</v>
      </c>
      <c r="BM4" s="28" t="n">
        <v>0.62963</v>
      </c>
      <c r="BN4" s="28" t="n"/>
      <c r="BO4" s="28" t="n"/>
      <c r="BP4" s="25" t="n"/>
      <c r="BQ4" s="27" t="n">
        <v>1.588235</v>
      </c>
      <c r="BR4" s="28" t="n">
        <v>0.63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5e5ddb150def4002</t>
        </is>
      </c>
      <c r="B5" s="24" t="inlineStr">
        <is>
          <t>2026-07-31T13:44:01.315844Z</t>
        </is>
      </c>
      <c r="C5" s="24" t="inlineStr">
        <is>
          <t>2026-07-31T14:00:00Z</t>
        </is>
      </c>
      <c r="D5" s="24" t="inlineStr">
        <is>
          <t>64929</t>
        </is>
      </c>
      <c r="E5" s="24" t="inlineStr">
        <is>
          <t>DOTA2</t>
        </is>
      </c>
      <c r="F5" s="24" t="inlineStr">
        <is>
          <t>Zero Tenacity</t>
        </is>
      </c>
      <c r="G5" s="24" t="inlineStr">
        <is>
          <t>Yakult Brothers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156</v>
      </c>
      <c r="M5" s="27" t="n">
        <v>2.56</v>
      </c>
      <c r="N5" s="28" t="n">
        <v>0.390625</v>
      </c>
      <c r="O5" s="28" t="n">
        <v>0.610359</v>
      </c>
      <c r="P5" s="28" t="n"/>
      <c r="Q5" s="28" t="n">
        <v>0.219734</v>
      </c>
      <c r="R5" s="26" t="n">
        <v>100</v>
      </c>
      <c r="S5" s="29" t="n">
        <v>1.5</v>
      </c>
      <c r="T5" s="24" t="inlineStr">
        <is>
          <t>dota2-tiered-elo-v5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0</v>
      </c>
      <c r="Y5" s="25" t="n"/>
      <c r="Z5" s="26" t="n">
        <v>156</v>
      </c>
      <c r="AA5" s="28" t="n">
        <v>0.39</v>
      </c>
      <c r="AB5" s="28" t="n">
        <v>-0.000625</v>
      </c>
      <c r="AC5" s="30" t="n">
        <v>2.34</v>
      </c>
      <c r="AD5" s="24" t="inlineStr">
        <is>
          <t>2026-07-31T19:51:09.070776Z</t>
        </is>
      </c>
      <c r="AE5" s="31" t="inlineStr">
        <is>
          <t>Neutral Elo baseline; executable ask 0.3900 (market_slug=aec-dota2-yb-z10-2026-07-31).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Zero Tenacity</t>
        </is>
      </c>
      <c r="AQ5" s="24" t="inlineStr">
        <is>
          <t>Zero Tenacity</t>
        </is>
      </c>
      <c r="AR5" s="24" t="inlineStr">
        <is>
          <t>Zero Tenacity</t>
        </is>
      </c>
      <c r="AS5" s="24" t="inlineStr">
        <is>
          <t>Yakult Brothers</t>
        </is>
      </c>
      <c r="AT5" s="24" t="inlineStr">
        <is>
          <t>Yakult Brothers</t>
        </is>
      </c>
      <c r="AU5" s="24" t="inlineStr">
        <is>
          <t>Yakult Brothers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b5798e8e2d651ab79c8db316f3ec8a564cab27653a02daab82555f6e9f330ac3</t>
        </is>
      </c>
      <c r="BB5" s="24" t="inlineStr">
        <is>
          <t>neutral_elo</t>
        </is>
      </c>
      <c r="BC5" s="24" t="inlineStr">
        <is>
          <t>dota2-tiered-elo-v5</t>
        </is>
      </c>
      <c r="BD5" s="24" t="inlineStr">
        <is>
          <t>b5798e8e2d651ab79c8db316f3ec8a564cab27653a02daab82555f6e9f330ac3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dota2-tiered-elo-v5</t>
        </is>
      </c>
      <c r="BH5" s="24" t="inlineStr">
        <is>
          <t>2026-07-31T13:43:57.933952Z</t>
        </is>
      </c>
      <c r="BI5" s="24" t="inlineStr">
        <is>
          <t>["same_event","same_team_same_day","same_league_same_day"]</t>
        </is>
      </c>
      <c r="BJ5" s="25" t="n"/>
      <c r="BK5" s="26" t="n">
        <v>156</v>
      </c>
      <c r="BL5" s="27" t="n">
        <v>2.56</v>
      </c>
      <c r="BM5" s="28" t="n">
        <v>0.390625</v>
      </c>
      <c r="BN5" s="28" t="n"/>
      <c r="BO5" s="28" t="n"/>
      <c r="BP5" s="25" t="n"/>
      <c r="BQ5" s="27" t="n">
        <v>2.56</v>
      </c>
      <c r="BR5" s="28" t="n">
        <v>0.39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a82473d0a2644fac</t>
        </is>
      </c>
      <c r="B6" s="24" t="inlineStr">
        <is>
          <t>2026-07-31T13:44:01.315844Z</t>
        </is>
      </c>
      <c r="C6" s="24" t="inlineStr">
        <is>
          <t>2026-07-31T14:00:00Z</t>
        </is>
      </c>
      <c r="D6" s="24" t="inlineStr">
        <is>
          <t>64928</t>
        </is>
      </c>
      <c r="E6" s="24" t="inlineStr">
        <is>
          <t>DOTA2</t>
        </is>
      </c>
      <c r="F6" s="24" t="inlineStr">
        <is>
          <t>LGD Gaming</t>
        </is>
      </c>
      <c r="G6" s="24" t="inlineStr">
        <is>
          <t>Xtreme Gaming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-127</v>
      </c>
      <c r="M6" s="27" t="n">
        <v>1.787402</v>
      </c>
      <c r="N6" s="28" t="n">
        <v>0.5594710000000001</v>
      </c>
      <c r="O6" s="28" t="n">
        <v>0.701925</v>
      </c>
      <c r="P6" s="28" t="n"/>
      <c r="Q6" s="28" t="n">
        <v>0.142454</v>
      </c>
      <c r="R6" s="26" t="n">
        <v>91</v>
      </c>
      <c r="S6" s="29" t="n">
        <v>2</v>
      </c>
      <c r="T6" s="24" t="inlineStr">
        <is>
          <t>dota2-tiered-elo-v5</t>
        </is>
      </c>
      <c r="U6" s="24" t="inlineStr">
        <is>
          <t>settled</t>
        </is>
      </c>
      <c r="V6" s="24" t="inlineStr">
        <is>
          <t>loss</t>
        </is>
      </c>
      <c r="W6" s="26" t="n">
        <v>0</v>
      </c>
      <c r="X6" s="26" t="n">
        <v>1</v>
      </c>
      <c r="Y6" s="25" t="n"/>
      <c r="Z6" s="26" t="n">
        <v>-127</v>
      </c>
      <c r="AA6" s="28" t="n">
        <v>0.5600000000000001</v>
      </c>
      <c r="AB6" s="28" t="n">
        <v>0.000529</v>
      </c>
      <c r="AC6" s="30" t="n">
        <v>-2</v>
      </c>
      <c r="AD6" s="24" t="inlineStr">
        <is>
          <t>2026-07-31T23:28:36.259407Z</t>
        </is>
      </c>
      <c r="AE6" s="31" t="inlineStr">
        <is>
          <t>Neutral Elo baseline; executable ask 0.5600 (market_slug=aec-dota2-xtreme-lgd-2026-07-31).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LGD Gaming</t>
        </is>
      </c>
      <c r="AQ6" s="24" t="inlineStr">
        <is>
          <t>LGD Gaming</t>
        </is>
      </c>
      <c r="AR6" s="24" t="inlineStr">
        <is>
          <t>LGD Gaming</t>
        </is>
      </c>
      <c r="AS6" s="24" t="inlineStr">
        <is>
          <t>Xtreme Gaming</t>
        </is>
      </c>
      <c r="AT6" s="24" t="inlineStr">
        <is>
          <t>Xtreme Gaming</t>
        </is>
      </c>
      <c r="AU6" s="24" t="inlineStr">
        <is>
          <t>Xtreme Gaming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b5798e8e2d651ab79c8db316f3ec8a564cab27653a02daab82555f6e9f330ac3</t>
        </is>
      </c>
      <c r="BB6" s="24" t="inlineStr">
        <is>
          <t>neutral_elo</t>
        </is>
      </c>
      <c r="BC6" s="24" t="inlineStr">
        <is>
          <t>dota2-tiered-elo-v5</t>
        </is>
      </c>
      <c r="BD6" s="24" t="inlineStr">
        <is>
          <t>b5798e8e2d651ab79c8db316f3ec8a564cab27653a02daab82555f6e9f330ac3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dota2-tiered-elo-v5</t>
        </is>
      </c>
      <c r="BH6" s="24" t="inlineStr">
        <is>
          <t>2026-07-31T13:43:58.701955Z</t>
        </is>
      </c>
      <c r="BI6" s="24" t="inlineStr">
        <is>
          <t>["same_event","same_team_same_day","same_league_same_day"]</t>
        </is>
      </c>
      <c r="BJ6" s="25" t="n"/>
      <c r="BK6" s="26" t="n">
        <v>-127</v>
      </c>
      <c r="BL6" s="27" t="n">
        <v>1.787402</v>
      </c>
      <c r="BM6" s="28" t="n">
        <v>0.5594710000000001</v>
      </c>
      <c r="BN6" s="28" t="n"/>
      <c r="BO6" s="28" t="n"/>
      <c r="BP6" s="25" t="n"/>
      <c r="BQ6" s="27" t="n">
        <v>1.787402</v>
      </c>
      <c r="BR6" s="28" t="n">
        <v>0.5600000000000001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df4dae03d7544b1a</t>
        </is>
      </c>
      <c r="B7" s="24" t="inlineStr">
        <is>
          <t>2026-08-01T03:02:50.460010Z</t>
        </is>
      </c>
      <c r="C7" s="24" t="inlineStr">
        <is>
          <t>2026-08-01T05:00:00Z</t>
        </is>
      </c>
      <c r="D7" s="24" t="inlineStr">
        <is>
          <t>67524</t>
        </is>
      </c>
      <c r="E7" s="24" t="inlineStr">
        <is>
          <t>DOTA2</t>
        </is>
      </c>
      <c r="F7" s="24" t="inlineStr">
        <is>
          <t>Amaru Gaming</t>
        </is>
      </c>
      <c r="G7" s="24" t="inlineStr">
        <is>
          <t>Execration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-138</v>
      </c>
      <c r="M7" s="27" t="n">
        <v>1.724638</v>
      </c>
      <c r="N7" s="28" t="n">
        <v>0.579832</v>
      </c>
      <c r="O7" s="28" t="n">
        <v>0.5986399999999999</v>
      </c>
      <c r="P7" s="28" t="n"/>
      <c r="Q7" s="28" t="n">
        <v>0.018808</v>
      </c>
      <c r="R7" s="26" t="n">
        <v>29</v>
      </c>
      <c r="S7" s="29" t="n">
        <v>1.25</v>
      </c>
      <c r="T7" s="24" t="inlineStr">
        <is>
          <t>dota2-tiered-elo-v5</t>
        </is>
      </c>
      <c r="U7" s="24" t="inlineStr">
        <is>
          <t>settled</t>
        </is>
      </c>
      <c r="V7" s="24" t="inlineStr">
        <is>
          <t>win</t>
        </is>
      </c>
      <c r="W7" s="26" t="n">
        <v>0</v>
      </c>
      <c r="X7" s="26" t="n">
        <v>1</v>
      </c>
      <c r="Y7" s="25" t="n"/>
      <c r="Z7" s="26" t="n"/>
      <c r="AA7" s="28" t="n"/>
      <c r="AB7" s="28" t="n"/>
      <c r="AC7" s="30" t="n">
        <v>0.9058</v>
      </c>
      <c r="AD7" s="24" t="inlineStr">
        <is>
          <t>2026-08-01T10:15:49.684731Z</t>
        </is>
      </c>
      <c r="AE7" s="31" t="inlineStr">
        <is>
          <t>Neutral Elo baseline; executable ask 0.5800 (market_slug=aec-dota2-xctn-agm-2026-08-01).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Amaru Gaming</t>
        </is>
      </c>
      <c r="AQ7" s="24" t="inlineStr">
        <is>
          <t>Amaru Gaming</t>
        </is>
      </c>
      <c r="AR7" s="24" t="inlineStr">
        <is>
          <t>Amaru Gaming</t>
        </is>
      </c>
      <c r="AS7" s="24" t="inlineStr">
        <is>
          <t>Execration</t>
        </is>
      </c>
      <c r="AT7" s="24" t="inlineStr">
        <is>
          <t>Execration</t>
        </is>
      </c>
      <c r="AU7" s="24" t="inlineStr">
        <is>
          <t>Execration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70c4a9b222a6dac9c1b0737621af569fa1e0e955085795442f7ac4d19191488f</t>
        </is>
      </c>
      <c r="BB7" s="24" t="inlineStr">
        <is>
          <t>neutral_elo</t>
        </is>
      </c>
      <c r="BC7" s="24" t="inlineStr">
        <is>
          <t>dota2-tiered-elo-v5</t>
        </is>
      </c>
      <c r="BD7" s="24" t="inlineStr">
        <is>
          <t>70c4a9b222a6dac9c1b0737621af569fa1e0e955085795442f7ac4d19191488f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dota2-tiered-elo-v5</t>
        </is>
      </c>
      <c r="BH7" s="24" t="inlineStr">
        <is>
          <t>2026-08-01T03:02:44.715510Z</t>
        </is>
      </c>
      <c r="BI7" s="24" t="inlineStr">
        <is>
          <t>["same_event","same_team_same_day","same_league_same_day"]</t>
        </is>
      </c>
      <c r="BJ7" s="25" t="n"/>
      <c r="BK7" s="26" t="n">
        <v>-138</v>
      </c>
      <c r="BL7" s="27" t="n">
        <v>1.724638</v>
      </c>
      <c r="BM7" s="28" t="n">
        <v>0.579832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c81acb3ece574db8</t>
        </is>
      </c>
      <c r="B8" s="24" t="inlineStr">
        <is>
          <t>2026-08-01T03:02:50.460010Z</t>
        </is>
      </c>
      <c r="C8" s="24" t="inlineStr">
        <is>
          <t>2026-08-01T05:00:00Z</t>
        </is>
      </c>
      <c r="D8" s="24" t="inlineStr">
        <is>
          <t>67530</t>
        </is>
      </c>
      <c r="E8" s="24" t="inlineStr">
        <is>
          <t>DOTA2</t>
        </is>
      </c>
      <c r="F8" s="24" t="inlineStr">
        <is>
          <t>Team Resilience</t>
        </is>
      </c>
      <c r="G8" s="24" t="inlineStr">
        <is>
          <t>Midas Club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-150</v>
      </c>
      <c r="M8" s="27" t="n">
        <v>1.666667</v>
      </c>
      <c r="N8" s="28" t="n">
        <v>0.6</v>
      </c>
      <c r="O8" s="28" t="n">
        <v>0.630791</v>
      </c>
      <c r="P8" s="28" t="n"/>
      <c r="Q8" s="28" t="n">
        <v>0.030791</v>
      </c>
      <c r="R8" s="26" t="n">
        <v>35</v>
      </c>
      <c r="S8" s="29" t="n">
        <v>1.5</v>
      </c>
      <c r="T8" s="24" t="inlineStr">
        <is>
          <t>dota2-tiered-elo-v5</t>
        </is>
      </c>
      <c r="U8" s="24" t="inlineStr">
        <is>
          <t>settled</t>
        </is>
      </c>
      <c r="V8" s="24" t="inlineStr">
        <is>
          <t>win</t>
        </is>
      </c>
      <c r="W8" s="26" t="n">
        <v>1</v>
      </c>
      <c r="X8" s="26" t="n">
        <v>0</v>
      </c>
      <c r="Y8" s="25" t="n"/>
      <c r="Z8" s="26" t="n"/>
      <c r="AA8" s="28" t="n"/>
      <c r="AB8" s="28" t="n"/>
      <c r="AC8" s="30" t="n">
        <v>1</v>
      </c>
      <c r="AD8" s="24" t="inlineStr">
        <is>
          <t>2026-08-01T10:15:50.858797Z</t>
        </is>
      </c>
      <c r="AE8" s="31" t="inlineStr">
        <is>
          <t>Neutral Elo baseline; executable ask 0.6000 (market_slug=aec-dota2-midas-tr-2026-08-01).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Team Resilience</t>
        </is>
      </c>
      <c r="AQ8" s="24" t="inlineStr">
        <is>
          <t>Team Resilience</t>
        </is>
      </c>
      <c r="AR8" s="24" t="inlineStr">
        <is>
          <t>Team Resilience</t>
        </is>
      </c>
      <c r="AS8" s="24" t="inlineStr">
        <is>
          <t>Midas Club</t>
        </is>
      </c>
      <c r="AT8" s="24" t="inlineStr">
        <is>
          <t>Midas Club</t>
        </is>
      </c>
      <c r="AU8" s="24" t="inlineStr">
        <is>
          <t>Midas Club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70c4a9b222a6dac9c1b0737621af569fa1e0e955085795442f7ac4d19191488f</t>
        </is>
      </c>
      <c r="BB8" s="24" t="inlineStr">
        <is>
          <t>neutral_elo</t>
        </is>
      </c>
      <c r="BC8" s="24" t="inlineStr">
        <is>
          <t>dota2-tiered-elo-v5</t>
        </is>
      </c>
      <c r="BD8" s="24" t="inlineStr">
        <is>
          <t>70c4a9b222a6dac9c1b0737621af569fa1e0e955085795442f7ac4d19191488f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dota2-tiered-elo-v5</t>
        </is>
      </c>
      <c r="BH8" s="24" t="inlineStr">
        <is>
          <t>2026-08-01T03:02:45.273136Z</t>
        </is>
      </c>
      <c r="BI8" s="24" t="inlineStr">
        <is>
          <t>["same_event","same_team_same_day","same_league_same_day"]</t>
        </is>
      </c>
      <c r="BJ8" s="25" t="n"/>
      <c r="BK8" s="26" t="n">
        <v>-150</v>
      </c>
      <c r="BL8" s="27" t="n">
        <v>1.666667</v>
      </c>
      <c r="BM8" s="28" t="n">
        <v>0.6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dc64bf31375749af</t>
        </is>
      </c>
      <c r="B9" s="24" t="inlineStr">
        <is>
          <t>2026-08-01T06:42:17.908342Z</t>
        </is>
      </c>
      <c r="C9" s="24" t="inlineStr">
        <is>
          <t>2026-08-01T08:00:00Z</t>
        </is>
      </c>
      <c r="D9" s="24" t="inlineStr">
        <is>
          <t>67531</t>
        </is>
      </c>
      <c r="E9" s="24" t="inlineStr">
        <is>
          <t>DOTA2</t>
        </is>
      </c>
      <c r="F9" s="24" t="inlineStr">
        <is>
          <t>PlayTime</t>
        </is>
      </c>
      <c r="G9" s="24" t="inlineStr">
        <is>
          <t>Rune Eaters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-178</v>
      </c>
      <c r="M9" s="27" t="n">
        <v>1.561798</v>
      </c>
      <c r="N9" s="28" t="n">
        <v>0.640288</v>
      </c>
      <c r="O9" s="28" t="n">
        <v>0.685333</v>
      </c>
      <c r="P9" s="28" t="n"/>
      <c r="Q9" s="28" t="n">
        <v>0.045045</v>
      </c>
      <c r="R9" s="26" t="n">
        <v>43</v>
      </c>
      <c r="S9" s="29" t="n">
        <v>2</v>
      </c>
      <c r="T9" s="24" t="inlineStr">
        <is>
          <t>dota2-tiered-elo-v5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-178</v>
      </c>
      <c r="AA9" s="28" t="n">
        <v>0.64</v>
      </c>
      <c r="AB9" s="28" t="n">
        <v>-0.000288</v>
      </c>
      <c r="AC9" s="30" t="n">
        <v>-2</v>
      </c>
      <c r="AD9" s="24" t="inlineStr">
        <is>
          <t>2026-08-01T13:41:04.579614Z</t>
        </is>
      </c>
      <c r="AE9" s="31" t="inlineStr">
        <is>
          <t>Neutral Elo baseline; executable ask 0.6400 (market_slug=aec-dota2-re-pla-2026-08-01).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PlayTime</t>
        </is>
      </c>
      <c r="AQ9" s="24" t="inlineStr">
        <is>
          <t>PlayTime</t>
        </is>
      </c>
      <c r="AR9" s="24" t="inlineStr">
        <is>
          <t>PlayTime</t>
        </is>
      </c>
      <c r="AS9" s="24" t="inlineStr">
        <is>
          <t>Rune Eaters</t>
        </is>
      </c>
      <c r="AT9" s="24" t="inlineStr">
        <is>
          <t>Rune Eaters</t>
        </is>
      </c>
      <c r="AU9" s="24" t="inlineStr">
        <is>
          <t>Rune Eaters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752abd49fc5066bbf6c0b57bc44412069a390e80fbe7ec7ad0c39f984fb62854</t>
        </is>
      </c>
      <c r="BB9" s="24" t="inlineStr">
        <is>
          <t>neutral_elo</t>
        </is>
      </c>
      <c r="BC9" s="24" t="inlineStr">
        <is>
          <t>dota2-tiered-elo-v5</t>
        </is>
      </c>
      <c r="BD9" s="24" t="inlineStr">
        <is>
          <t>752abd49fc5066bbf6c0b57bc44412069a390e80fbe7ec7ad0c39f984fb62854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dota2-tiered-elo-v5</t>
        </is>
      </c>
      <c r="BH9" s="24" t="inlineStr">
        <is>
          <t>2026-08-01T06:42:13.849047Z</t>
        </is>
      </c>
      <c r="BI9" s="24" t="inlineStr">
        <is>
          <t>["same_event","same_team_same_day","same_league_same_day"]</t>
        </is>
      </c>
      <c r="BJ9" s="25" t="n"/>
      <c r="BK9" s="26" t="n">
        <v>-178</v>
      </c>
      <c r="BL9" s="27" t="n">
        <v>1.561798</v>
      </c>
      <c r="BM9" s="28" t="n">
        <v>0.640288</v>
      </c>
      <c r="BN9" s="28" t="n"/>
      <c r="BO9" s="28" t="n"/>
      <c r="BP9" s="25" t="n"/>
      <c r="BQ9" s="27" t="n">
        <v>1.561798</v>
      </c>
      <c r="BR9" s="28" t="n">
        <v>0.64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</row>
    <row r="10" ht="36" customHeight="1">
      <c r="A10" s="24" t="inlineStr">
        <is>
          <t>baa07510ef7e4401</t>
        </is>
      </c>
      <c r="B10" s="24" t="inlineStr">
        <is>
          <t>2026-08-01T06:42:17.908342Z</t>
        </is>
      </c>
      <c r="C10" s="24" t="inlineStr">
        <is>
          <t>2026-08-01T09:00:00Z</t>
        </is>
      </c>
      <c r="D10" s="24" t="inlineStr">
        <is>
          <t>67990</t>
        </is>
      </c>
      <c r="E10" s="24" t="inlineStr">
        <is>
          <t>DOTA2</t>
        </is>
      </c>
      <c r="F10" s="24" t="inlineStr">
        <is>
          <t>avice Team</t>
        </is>
      </c>
      <c r="G10" s="24" t="inlineStr">
        <is>
          <t>Daxak Team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-127</v>
      </c>
      <c r="M10" s="27" t="n">
        <v>1.787402</v>
      </c>
      <c r="N10" s="28" t="n">
        <v>0.5594710000000001</v>
      </c>
      <c r="O10" s="28" t="n">
        <v>0.517054</v>
      </c>
      <c r="P10" s="28" t="n"/>
      <c r="Q10" s="28" t="n">
        <v>-0.042417</v>
      </c>
      <c r="R10" s="26" t="n">
        <v>0</v>
      </c>
      <c r="S10" s="29" t="n">
        <v>1</v>
      </c>
      <c r="T10" s="24" t="inlineStr">
        <is>
          <t>dota2-tiered-elo-v5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-127</v>
      </c>
      <c r="AA10" s="28" t="n">
        <v>0.5600000000000001</v>
      </c>
      <c r="AB10" s="28" t="n">
        <v>0.000529</v>
      </c>
      <c r="AC10" s="30" t="n">
        <v>-1</v>
      </c>
      <c r="AD10" s="24" t="inlineStr">
        <is>
          <t>2026-08-01T16:48:00.250076Z</t>
        </is>
      </c>
      <c r="AE10" s="31" t="inlineStr">
        <is>
          <t>Neutral Elo baseline; executable ask 0.5600 (market_slug=aec-dota2-dxk-avi-2026-08-01).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NO_CALL_MODEL_UNVALIDATED</t>
        </is>
      </c>
      <c r="AP10" s="24" t="inlineStr">
        <is>
          <t>avice Team</t>
        </is>
      </c>
      <c r="AQ10" s="24" t="inlineStr">
        <is>
          <t>avice Team</t>
        </is>
      </c>
      <c r="AR10" s="24" t="inlineStr">
        <is>
          <t>avice Team</t>
        </is>
      </c>
      <c r="AS10" s="24" t="inlineStr">
        <is>
          <t>Daxak Team</t>
        </is>
      </c>
      <c r="AT10" s="24" t="inlineStr">
        <is>
          <t>Daxak Team</t>
        </is>
      </c>
      <c r="AU10" s="24" t="inlineStr">
        <is>
          <t>Daxak Team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752abd49fc5066bbf6c0b57bc44412069a390e80fbe7ec7ad0c39f984fb62854</t>
        </is>
      </c>
      <c r="BB10" s="24" t="inlineStr">
        <is>
          <t>neutral_elo</t>
        </is>
      </c>
      <c r="BC10" s="24" t="inlineStr">
        <is>
          <t>dota2-tiered-elo-v5</t>
        </is>
      </c>
      <c r="BD10" s="24" t="inlineStr">
        <is>
          <t>752abd49fc5066bbf6c0b57bc44412069a390e80fbe7ec7ad0c39f984fb62854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dota2-tiered-elo-v5</t>
        </is>
      </c>
      <c r="BH10" s="24" t="inlineStr">
        <is>
          <t>2026-08-01T06:42:14.892061Z</t>
        </is>
      </c>
      <c r="BI10" s="24" t="inlineStr">
        <is>
          <t>["same_event","same_team_same_day","same_league_same_day"]</t>
        </is>
      </c>
      <c r="BJ10" s="25" t="n"/>
      <c r="BK10" s="26" t="n">
        <v>-127</v>
      </c>
      <c r="BL10" s="27" t="n">
        <v>1.787402</v>
      </c>
      <c r="BM10" s="28" t="n">
        <v>0.5594710000000001</v>
      </c>
      <c r="BN10" s="28" t="n"/>
      <c r="BO10" s="28" t="n"/>
      <c r="BP10" s="25" t="n"/>
      <c r="BQ10" s="27" t="n">
        <v>1.787402</v>
      </c>
      <c r="BR10" s="28" t="n">
        <v>0.5600000000000001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</row>
    <row r="11" ht="36" customHeight="1">
      <c r="A11" s="24" t="inlineStr">
        <is>
          <t>4b69058c47604a38</t>
        </is>
      </c>
      <c r="B11" s="24" t="inlineStr">
        <is>
          <t>2026-08-01T10:23:10.624442Z</t>
        </is>
      </c>
      <c r="C11" s="24" t="inlineStr">
        <is>
          <t>2026-08-01T11:00:00Z</t>
        </is>
      </c>
      <c r="D11" s="24" t="inlineStr">
        <is>
          <t>67645</t>
        </is>
      </c>
      <c r="E11" s="24" t="inlineStr">
        <is>
          <t>DOTA2</t>
        </is>
      </c>
      <c r="F11" s="24" t="inlineStr">
        <is>
          <t>Yakult Brothers</t>
        </is>
      </c>
      <c r="G11" s="24" t="inlineStr">
        <is>
          <t>Enjoy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138</v>
      </c>
      <c r="M11" s="27" t="n">
        <v>2.38</v>
      </c>
      <c r="N11" s="28" t="n">
        <v>0.420168</v>
      </c>
      <c r="O11" s="28" t="n">
        <v>0.501304</v>
      </c>
      <c r="P11" s="28" t="n"/>
      <c r="Q11" s="28" t="n">
        <v>0.081136</v>
      </c>
      <c r="R11" s="26" t="n">
        <v>61</v>
      </c>
      <c r="S11" s="29" t="n">
        <v>1</v>
      </c>
      <c r="T11" s="24" t="inlineStr">
        <is>
          <t>dota2-tiered-elo-v5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>
        <v>138</v>
      </c>
      <c r="AA11" s="28" t="n">
        <v>0.42</v>
      </c>
      <c r="AB11" s="28" t="n">
        <v>-0.000168</v>
      </c>
      <c r="AC11" s="30" t="n">
        <v>1.38</v>
      </c>
      <c r="AD11" s="24" t="inlineStr">
        <is>
          <t>2026-08-01T16:48:01.379906Z</t>
        </is>
      </c>
      <c r="AE11" s="31" t="inlineStr">
        <is>
          <t>Neutral Elo baseline; executable ask 0.4200 (market_slug=aec-dota2-enjoy-yb-2026-08-01).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NO_CALL_LOW_EDGE</t>
        </is>
      </c>
      <c r="AP11" s="24" t="inlineStr">
        <is>
          <t>Yakult Brothers</t>
        </is>
      </c>
      <c r="AQ11" s="24" t="inlineStr">
        <is>
          <t>Yakult Brothers</t>
        </is>
      </c>
      <c r="AR11" s="24" t="inlineStr">
        <is>
          <t>Yakult Brothers</t>
        </is>
      </c>
      <c r="AS11" s="24" t="inlineStr">
        <is>
          <t>Enjoy</t>
        </is>
      </c>
      <c r="AT11" s="24" t="inlineStr">
        <is>
          <t>Enjoy</t>
        </is>
      </c>
      <c r="AU11" s="24" t="inlineStr">
        <is>
          <t>Enjoy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deda9eb37849d75abc167c468ca22f3b17af095f0b4080e2e6252b25fb3908be</t>
        </is>
      </c>
      <c r="BB11" s="24" t="inlineStr">
        <is>
          <t>neutral_elo</t>
        </is>
      </c>
      <c r="BC11" s="24" t="inlineStr">
        <is>
          <t>dota2-tiered-elo-v5</t>
        </is>
      </c>
      <c r="BD11" s="24" t="inlineStr">
        <is>
          <t>deda9eb37849d75abc167c468ca22f3b17af095f0b4080e2e6252b25fb3908be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dota2-tiered-elo-v5</t>
        </is>
      </c>
      <c r="BH11" s="24" t="inlineStr">
        <is>
          <t>2026-08-01T10:23:08.624845Z</t>
        </is>
      </c>
      <c r="BI11" s="24" t="inlineStr">
        <is>
          <t>["same_event","same_team_same_day","same_league_same_day"]</t>
        </is>
      </c>
      <c r="BJ11" s="25" t="n"/>
      <c r="BK11" s="26" t="n">
        <v>138</v>
      </c>
      <c r="BL11" s="27" t="n">
        <v>2.38</v>
      </c>
      <c r="BM11" s="28" t="n">
        <v>0.420168</v>
      </c>
      <c r="BN11" s="28" t="n"/>
      <c r="BO11" s="28" t="n"/>
      <c r="BP11" s="25" t="n"/>
      <c r="BQ11" s="27" t="n">
        <v>2.38</v>
      </c>
      <c r="BR11" s="28" t="n">
        <v>0.42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</row>
    <row r="12" ht="36" customHeight="1">
      <c r="A12" s="24" t="inlineStr">
        <is>
          <t>cc392b7a7e5d4e66</t>
        </is>
      </c>
      <c r="B12" s="24" t="inlineStr">
        <is>
          <t>2026-08-01T10:23:10.624442Z</t>
        </is>
      </c>
      <c r="C12" s="24" t="inlineStr">
        <is>
          <t>2026-08-01T12:00:00Z</t>
        </is>
      </c>
      <c r="D12" s="24" t="inlineStr">
        <is>
          <t>67992</t>
        </is>
      </c>
      <c r="E12" s="24" t="inlineStr">
        <is>
          <t>DOTA2</t>
        </is>
      </c>
      <c r="F12" s="24" t="inlineStr">
        <is>
          <t>VooDooSh Team</t>
        </is>
      </c>
      <c r="G12" s="24" t="inlineStr">
        <is>
          <t>NS Team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-138</v>
      </c>
      <c r="M12" s="27" t="n">
        <v>1.724638</v>
      </c>
      <c r="N12" s="28" t="n">
        <v>0.579832</v>
      </c>
      <c r="O12" s="28" t="n">
        <v>0.549255</v>
      </c>
      <c r="P12" s="28" t="n"/>
      <c r="Q12" s="28" t="n">
        <v>-0.030577</v>
      </c>
      <c r="R12" s="26" t="n">
        <v>5</v>
      </c>
      <c r="S12" s="29" t="n">
        <v>1</v>
      </c>
      <c r="T12" s="24" t="inlineStr">
        <is>
          <t>dota2-tiered-elo-v5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1</v>
      </c>
      <c r="Y12" s="25" t="n"/>
      <c r="Z12" s="26" t="n">
        <v>-138</v>
      </c>
      <c r="AA12" s="28" t="n">
        <v>0.58</v>
      </c>
      <c r="AB12" s="28" t="n">
        <v>0.000168</v>
      </c>
      <c r="AC12" s="30" t="n">
        <v>-1</v>
      </c>
      <c r="AD12" s="24" t="inlineStr">
        <is>
          <t>2026-08-01T18:35:23.071564Z</t>
        </is>
      </c>
      <c r="AE12" s="31" t="inlineStr">
        <is>
          <t>Neutral Elo baseline; executable ask 0.5800 (market_slug=aec-dota2-ns-vds-2026-08-01).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NO_CALL_LOW_EDGE</t>
        </is>
      </c>
      <c r="AP12" s="24" t="inlineStr">
        <is>
          <t>VooDooSh Team</t>
        </is>
      </c>
      <c r="AQ12" s="24" t="inlineStr">
        <is>
          <t>VooDooSh Team</t>
        </is>
      </c>
      <c r="AR12" s="24" t="inlineStr">
        <is>
          <t>VooDooSh Team</t>
        </is>
      </c>
      <c r="AS12" s="24" t="inlineStr">
        <is>
          <t>NS Team</t>
        </is>
      </c>
      <c r="AT12" s="24" t="inlineStr">
        <is>
          <t>NS Team</t>
        </is>
      </c>
      <c r="AU12" s="24" t="inlineStr">
        <is>
          <t>NS Team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deda9eb37849d75abc167c468ca22f3b17af095f0b4080e2e6252b25fb3908be</t>
        </is>
      </c>
      <c r="BB12" s="24" t="inlineStr">
        <is>
          <t>neutral_elo</t>
        </is>
      </c>
      <c r="BC12" s="24" t="inlineStr">
        <is>
          <t>dota2-tiered-elo-v5</t>
        </is>
      </c>
      <c r="BD12" s="24" t="inlineStr">
        <is>
          <t>deda9eb37849d75abc167c468ca22f3b17af095f0b4080e2e6252b25fb3908be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dota2-tiered-elo-v5</t>
        </is>
      </c>
      <c r="BH12" s="24" t="inlineStr">
        <is>
          <t>2026-08-01T10:23:09.203539Z</t>
        </is>
      </c>
      <c r="BI12" s="24" t="inlineStr">
        <is>
          <t>["same_event","same_team_same_day","same_league_same_day"]</t>
        </is>
      </c>
      <c r="BJ12" s="25" t="n"/>
      <c r="BK12" s="26" t="n">
        <v>-138</v>
      </c>
      <c r="BL12" s="27" t="n">
        <v>1.724638</v>
      </c>
      <c r="BM12" s="28" t="n">
        <v>0.579832</v>
      </c>
      <c r="BN12" s="28" t="n"/>
      <c r="BO12" s="28" t="n"/>
      <c r="BP12" s="25" t="n"/>
      <c r="BQ12" s="27" t="n">
        <v>1.724638</v>
      </c>
      <c r="BR12" s="28" t="n">
        <v>0.58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</row>
    <row r="13" ht="36" customHeight="1">
      <c r="A13" s="24" t="inlineStr">
        <is>
          <t>c31b3778fa1d4a2a</t>
        </is>
      </c>
      <c r="B13" s="24" t="inlineStr">
        <is>
          <t>2026-08-01T13:46:48.325440Z</t>
        </is>
      </c>
      <c r="C13" s="24" t="inlineStr">
        <is>
          <t>2026-08-01T14:00:00Z</t>
        </is>
      </c>
      <c r="D13" s="24" t="inlineStr">
        <is>
          <t>67647</t>
        </is>
      </c>
      <c r="E13" s="24" t="inlineStr">
        <is>
          <t>DOTA2</t>
        </is>
      </c>
      <c r="F13" s="24" t="inlineStr">
        <is>
          <t>Zero Tenacity</t>
        </is>
      </c>
      <c r="G13" s="24" t="inlineStr">
        <is>
          <t>GLYPH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-127</v>
      </c>
      <c r="M13" s="27" t="n">
        <v>1.787402</v>
      </c>
      <c r="N13" s="28" t="n">
        <v>0.5594710000000001</v>
      </c>
      <c r="O13" s="28" t="n">
        <v>0.56954</v>
      </c>
      <c r="P13" s="28" t="n"/>
      <c r="Q13" s="28" t="n">
        <v>0.010069</v>
      </c>
      <c r="R13" s="26" t="n">
        <v>25</v>
      </c>
      <c r="S13" s="29" t="n">
        <v>1.25</v>
      </c>
      <c r="T13" s="24" t="inlineStr">
        <is>
          <t>dota2-tiered-elo-v5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>
        <v>-127</v>
      </c>
      <c r="AA13" s="28" t="n">
        <v>0.5600000000000001</v>
      </c>
      <c r="AB13" s="28" t="n">
        <v>0.000529</v>
      </c>
      <c r="AC13" s="30" t="n">
        <v>0.9843</v>
      </c>
      <c r="AD13" s="24" t="inlineStr">
        <is>
          <t>2026-08-01T18:35:24.307034Z</t>
        </is>
      </c>
      <c r="AE13" s="31" t="inlineStr">
        <is>
          <t>Neutral Elo baseline; executable ask 0.5600 (market_slug=aec-dota2-glyph-z10-2026-08-01).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NO_CALL_LOW_EDGE</t>
        </is>
      </c>
      <c r="AP13" s="24" t="inlineStr">
        <is>
          <t>Zero Tenacity</t>
        </is>
      </c>
      <c r="AQ13" s="24" t="inlineStr">
        <is>
          <t>Zero Tenacity</t>
        </is>
      </c>
      <c r="AR13" s="24" t="inlineStr">
        <is>
          <t>Zero Tenacity</t>
        </is>
      </c>
      <c r="AS13" s="24" t="inlineStr">
        <is>
          <t>GLYPH</t>
        </is>
      </c>
      <c r="AT13" s="24" t="inlineStr">
        <is>
          <t>GLYPH</t>
        </is>
      </c>
      <c r="AU13" s="24" t="inlineStr">
        <is>
          <t>GLYPH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e9c5ed6e71791ea5be7f930d81f2276296bd4d18a6bc053f0b2a93d60ab25a74</t>
        </is>
      </c>
      <c r="BB13" s="24" t="inlineStr">
        <is>
          <t>neutral_elo</t>
        </is>
      </c>
      <c r="BC13" s="24" t="inlineStr">
        <is>
          <t>dota2-tiered-elo-v5</t>
        </is>
      </c>
      <c r="BD13" s="24" t="inlineStr">
        <is>
          <t>e9c5ed6e71791ea5be7f930d81f2276296bd4d18a6bc053f0b2a93d60ab25a74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dota2-tiered-elo-v5</t>
        </is>
      </c>
      <c r="BH13" s="24" t="inlineStr">
        <is>
          <t>2026-08-01T13:46:47.801537Z</t>
        </is>
      </c>
      <c r="BI13" s="24" t="inlineStr">
        <is>
          <t>["same_event","same_team_same_day","same_league_same_day"]</t>
        </is>
      </c>
      <c r="BJ13" s="25" t="n"/>
      <c r="BK13" s="26" t="n">
        <v>-127</v>
      </c>
      <c r="BL13" s="27" t="n">
        <v>1.787402</v>
      </c>
      <c r="BM13" s="28" t="n">
        <v>0.5594710000000001</v>
      </c>
      <c r="BN13" s="28" t="n"/>
      <c r="BO13" s="28" t="n"/>
      <c r="BP13" s="25" t="n"/>
      <c r="BQ13" s="27" t="n">
        <v>1.787402</v>
      </c>
      <c r="BR13" s="28" t="n">
        <v>0.5600000000000001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</row>
    <row r="14" ht="36" customHeight="1">
      <c r="A14" s="24" t="inlineStr">
        <is>
          <t>b90b9623c89246cc</t>
        </is>
      </c>
      <c r="B14" s="24" t="inlineStr">
        <is>
          <t>2026-08-01T13:46:48.325440Z</t>
        </is>
      </c>
      <c r="C14" s="24" t="inlineStr">
        <is>
          <t>2026-08-01T15:00:00Z</t>
        </is>
      </c>
      <c r="D14" s="24" t="inlineStr">
        <is>
          <t>67941</t>
        </is>
      </c>
      <c r="E14" s="24" t="inlineStr">
        <is>
          <t>DOTA2</t>
        </is>
      </c>
      <c r="F14" s="24" t="inlineStr">
        <is>
          <t>Travoman Team</t>
        </is>
      </c>
      <c r="G14" s="24" t="inlineStr">
        <is>
          <t>Stray Team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-156</v>
      </c>
      <c r="M14" s="27" t="n">
        <v>1.641026</v>
      </c>
      <c r="N14" s="28" t="n">
        <v>0.609375</v>
      </c>
      <c r="O14" s="28" t="n">
        <v>0.546939</v>
      </c>
      <c r="P14" s="28" t="n"/>
      <c r="Q14" s="28" t="n">
        <v>-0.062436</v>
      </c>
      <c r="R14" s="26" t="n">
        <v>0</v>
      </c>
      <c r="S14" s="29" t="n">
        <v>1</v>
      </c>
      <c r="T14" s="24" t="inlineStr">
        <is>
          <t>dota2-tiered-elo-v5</t>
        </is>
      </c>
      <c r="U14" s="24" t="inlineStr">
        <is>
          <t>settled</t>
        </is>
      </c>
      <c r="V14" s="24" t="inlineStr">
        <is>
          <t>win</t>
        </is>
      </c>
      <c r="W14" s="26" t="n">
        <v>1</v>
      </c>
      <c r="X14" s="26" t="n">
        <v>0</v>
      </c>
      <c r="Y14" s="25" t="n"/>
      <c r="Z14" s="26" t="n">
        <v>-156</v>
      </c>
      <c r="AA14" s="28" t="n">
        <v>0.61</v>
      </c>
      <c r="AB14" s="28" t="n">
        <v>0.000625</v>
      </c>
      <c r="AC14" s="30" t="n">
        <v>0.641</v>
      </c>
      <c r="AD14" s="24" t="inlineStr">
        <is>
          <t>2026-08-01T21:25:24.126155Z</t>
        </is>
      </c>
      <c r="AE14" s="31" t="inlineStr">
        <is>
          <t>Neutral Elo baseline; executable ask 0.6100 (market_slug=aec-dota2-stray-tt-2026-08-01).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NO_CALL_LOW_EDGE</t>
        </is>
      </c>
      <c r="AP14" s="24" t="inlineStr">
        <is>
          <t>Travoman Team</t>
        </is>
      </c>
      <c r="AQ14" s="24" t="inlineStr">
        <is>
          <t>Travoman Team</t>
        </is>
      </c>
      <c r="AR14" s="24" t="inlineStr">
        <is>
          <t>Travoman Team</t>
        </is>
      </c>
      <c r="AS14" s="24" t="inlineStr">
        <is>
          <t>Stray Team</t>
        </is>
      </c>
      <c r="AT14" s="24" t="inlineStr">
        <is>
          <t>Stray Team</t>
        </is>
      </c>
      <c r="AU14" s="24" t="inlineStr">
        <is>
          <t>Stray Team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e9c5ed6e71791ea5be7f930d81f2276296bd4d18a6bc053f0b2a93d60ab25a74</t>
        </is>
      </c>
      <c r="BB14" s="24" t="inlineStr">
        <is>
          <t>neutral_elo</t>
        </is>
      </c>
      <c r="BC14" s="24" t="inlineStr">
        <is>
          <t>dota2-tiered-elo-v5</t>
        </is>
      </c>
      <c r="BD14" s="24" t="inlineStr">
        <is>
          <t>e9c5ed6e71791ea5be7f930d81f2276296bd4d18a6bc053f0b2a93d60ab25a74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dota2-tiered-elo-v5</t>
        </is>
      </c>
      <c r="BH14" s="24" t="inlineStr">
        <is>
          <t>2026-08-01T13:46:48.324209Z</t>
        </is>
      </c>
      <c r="BI14" s="24" t="inlineStr">
        <is>
          <t>["same_event","same_team_same_day","same_league_same_day"]</t>
        </is>
      </c>
      <c r="BJ14" s="25" t="n"/>
      <c r="BK14" s="26" t="n">
        <v>-156</v>
      </c>
      <c r="BL14" s="27" t="n">
        <v>1.641026</v>
      </c>
      <c r="BM14" s="28" t="n">
        <v>0.609375</v>
      </c>
      <c r="BN14" s="28" t="n"/>
      <c r="BO14" s="28" t="n"/>
      <c r="BP14" s="25" t="n"/>
      <c r="BQ14" s="27" t="n">
        <v>1.641026</v>
      </c>
      <c r="BR14" s="28" t="n">
        <v>0.61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</row>
    <row r="15" ht="36" customHeight="1">
      <c r="A15" s="24" t="inlineStr">
        <is>
          <t>961c76b983e44d0f</t>
        </is>
      </c>
      <c r="B15" s="24" t="inlineStr">
        <is>
          <t>2026-08-02T07:16:32.312595Z</t>
        </is>
      </c>
      <c r="C15" s="24" t="inlineStr">
        <is>
          <t>2026-08-02T08:00:00Z</t>
        </is>
      </c>
      <c r="D15" s="24" t="inlineStr">
        <is>
          <t>68446</t>
        </is>
      </c>
      <c r="E15" s="24" t="inlineStr">
        <is>
          <t>DOTA2</t>
        </is>
      </c>
      <c r="F15" s="24" t="inlineStr">
        <is>
          <t>Team Resilience</t>
        </is>
      </c>
      <c r="G15" s="24" t="inlineStr">
        <is>
          <t>Yellow Submarine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127</v>
      </c>
      <c r="M15" s="27" t="n">
        <v>2.27</v>
      </c>
      <c r="N15" s="28" t="n">
        <v>0.440529</v>
      </c>
      <c r="O15" s="28" t="n">
        <v>0.576085</v>
      </c>
      <c r="P15" s="28" t="n"/>
      <c r="Q15" s="28" t="n">
        <v>0.135556</v>
      </c>
      <c r="R15" s="26" t="n">
        <v>88</v>
      </c>
      <c r="S15" s="29" t="n">
        <v>1.25</v>
      </c>
      <c r="T15" s="24" t="inlineStr">
        <is>
          <t>dota2-tiered-elo-v5</t>
        </is>
      </c>
      <c r="U15" s="24" t="inlineStr">
        <is>
          <t>settled</t>
        </is>
      </c>
      <c r="V15" s="24" t="inlineStr">
        <is>
          <t>loss</t>
        </is>
      </c>
      <c r="W15" s="26" t="n">
        <v>1</v>
      </c>
      <c r="X15" s="26" t="n">
        <v>0</v>
      </c>
      <c r="Y15" s="25" t="n"/>
      <c r="Z15" s="26" t="n">
        <v>127</v>
      </c>
      <c r="AA15" s="28" t="n">
        <v>0.44</v>
      </c>
      <c r="AB15" s="28" t="n">
        <v>-0.000529</v>
      </c>
      <c r="AC15" s="30" t="n">
        <v>-1.25</v>
      </c>
      <c r="AD15" s="24" t="inlineStr">
        <is>
          <t>2026-08-02T15:52:54.937176Z</t>
        </is>
      </c>
      <c r="AE15" s="31" t="inlineStr">
        <is>
          <t>Neutral Elo baseline; executable ask 0.4400 (market_slug=aec-dota2-yes-tr-2026-08-02).</t>
        </is>
      </c>
      <c r="AF15" s="31" t="inlineStr">
        <is>
          <t>Config-promoted esports baseline; gates enforced at log time.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Team Resilience</t>
        </is>
      </c>
      <c r="AQ15" s="24" t="inlineStr">
        <is>
          <t>Team Resilience</t>
        </is>
      </c>
      <c r="AR15" s="24" t="inlineStr">
        <is>
          <t>Team Resilience</t>
        </is>
      </c>
      <c r="AS15" s="24" t="inlineStr">
        <is>
          <t>Yellow Submarine</t>
        </is>
      </c>
      <c r="AT15" s="24" t="inlineStr">
        <is>
          <t>Yellow Submarine</t>
        </is>
      </c>
      <c r="AU15" s="24" t="inlineStr">
        <is>
          <t>Yellow Submarine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9e5f3e455da6fe4a2d8dcc8c9466846303c6541f69893fd12aeb76cf2c918868</t>
        </is>
      </c>
      <c r="BB15" s="24" t="inlineStr">
        <is>
          <t>neutral_elo</t>
        </is>
      </c>
      <c r="BC15" s="24" t="inlineStr">
        <is>
          <t>dota2-tiered-elo-v5</t>
        </is>
      </c>
      <c r="BD15" s="24" t="inlineStr">
        <is>
          <t>9e5f3e455da6fe4a2d8dcc8c9466846303c6541f69893fd12aeb76cf2c918868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dota2-tiered-elo-v5</t>
        </is>
      </c>
      <c r="BH15" s="24" t="inlineStr">
        <is>
          <t>2026-08-02T07:16:30.813424Z</t>
        </is>
      </c>
      <c r="BI15" s="24" t="inlineStr">
        <is>
          <t>["same_event","same_team_same_day","same_league_same_day"]</t>
        </is>
      </c>
      <c r="BJ15" s="25" t="n"/>
      <c r="BK15" s="26" t="n">
        <v>127</v>
      </c>
      <c r="BL15" s="27" t="n">
        <v>2.27</v>
      </c>
      <c r="BM15" s="28" t="n">
        <v>0.440529</v>
      </c>
      <c r="BN15" s="28" t="n"/>
      <c r="BO15" s="28" t="n"/>
      <c r="BP15" s="25" t="n"/>
      <c r="BQ15" s="27" t="n">
        <v>2.27</v>
      </c>
      <c r="BR15" s="28" t="n">
        <v>0.44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</row>
    <row r="16" ht="36" customHeight="1">
      <c r="A16" s="24" t="inlineStr">
        <is>
          <t>a66a28305cd640a1</t>
        </is>
      </c>
      <c r="B16" s="24" t="inlineStr">
        <is>
          <t>2026-08-02T10:00:11.648885Z</t>
        </is>
      </c>
      <c r="C16" s="24" t="inlineStr">
        <is>
          <t>2026-08-02T11:00:00Z</t>
        </is>
      </c>
      <c r="D16" s="24" t="inlineStr">
        <is>
          <t>69337</t>
        </is>
      </c>
      <c r="E16" s="24" t="inlineStr">
        <is>
          <t>DOTA2</t>
        </is>
      </c>
      <c r="F16" s="24" t="inlineStr">
        <is>
          <t>NS Team</t>
        </is>
      </c>
      <c r="G16" s="24" t="inlineStr">
        <is>
          <t>Stray Team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-156</v>
      </c>
      <c r="M16" s="27" t="n">
        <v>1.641026</v>
      </c>
      <c r="N16" s="28" t="n">
        <v>0.609375</v>
      </c>
      <c r="O16" s="28" t="n">
        <v>0.594749</v>
      </c>
      <c r="P16" s="28" t="n"/>
      <c r="Q16" s="28" t="n">
        <v>-0.014626</v>
      </c>
      <c r="R16" s="26" t="n">
        <v>13</v>
      </c>
      <c r="S16" s="29" t="n">
        <v>1.25</v>
      </c>
      <c r="T16" s="24" t="inlineStr">
        <is>
          <t>dota2-tiered-elo-v5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>
        <v>-156</v>
      </c>
      <c r="AA16" s="28" t="n">
        <v>0.61</v>
      </c>
      <c r="AB16" s="28" t="n">
        <v>0.000625</v>
      </c>
      <c r="AC16" s="30" t="n">
        <v>0.8013</v>
      </c>
      <c r="AD16" s="24" t="inlineStr">
        <is>
          <t>2026-08-02T15:52:56.184837Z</t>
        </is>
      </c>
      <c r="AE16" s="31" t="inlineStr">
        <is>
          <t>Neutral Elo baseline; executable ask 0.6100 (market_slug=aec-dota2-stray-ns-2026-08-02).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NS Team</t>
        </is>
      </c>
      <c r="AQ16" s="24" t="inlineStr">
        <is>
          <t>NS Team</t>
        </is>
      </c>
      <c r="AR16" s="24" t="inlineStr">
        <is>
          <t>NS Team</t>
        </is>
      </c>
      <c r="AS16" s="24" t="inlineStr">
        <is>
          <t>Stray Team</t>
        </is>
      </c>
      <c r="AT16" s="24" t="inlineStr">
        <is>
          <t>Stray Team</t>
        </is>
      </c>
      <c r="AU16" s="24" t="inlineStr">
        <is>
          <t>Stray Team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d60687e602976b4a2779a4ff6a5f8f825a178fa4df1e53dc8ee5e3eeffcc3d8b</t>
        </is>
      </c>
      <c r="BB16" s="24" t="inlineStr">
        <is>
          <t>neutral_elo</t>
        </is>
      </c>
      <c r="BC16" s="24" t="inlineStr">
        <is>
          <t>dota2-tiered-elo-v5</t>
        </is>
      </c>
      <c r="BD16" s="24" t="inlineStr">
        <is>
          <t>d60687e602976b4a2779a4ff6a5f8f825a178fa4df1e53dc8ee5e3eeffcc3d8b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dota2-tiered-elo-v5</t>
        </is>
      </c>
      <c r="BH16" s="24" t="inlineStr">
        <is>
          <t>2026-08-02T10:00:10.104239Z</t>
        </is>
      </c>
      <c r="BI16" s="24" t="inlineStr">
        <is>
          <t>["same_event","same_team_same_day","same_league_same_day"]</t>
        </is>
      </c>
      <c r="BJ16" s="25" t="n"/>
      <c r="BK16" s="26" t="n">
        <v>-156</v>
      </c>
      <c r="BL16" s="27" t="n">
        <v>1.641026</v>
      </c>
      <c r="BM16" s="28" t="n">
        <v>0.609375</v>
      </c>
      <c r="BN16" s="28" t="n"/>
      <c r="BO16" s="28" t="n"/>
      <c r="BP16" s="25" t="n"/>
      <c r="BQ16" s="27" t="n">
        <v>1.641026</v>
      </c>
      <c r="BR16" s="28" t="n">
        <v>0.61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</row>
    <row r="17" ht="36" customHeight="1">
      <c r="A17" s="24" t="inlineStr">
        <is>
          <t>32020a9dad6e4660</t>
        </is>
      </c>
      <c r="B17" s="24" t="inlineStr">
        <is>
          <t>2026-08-02T10:00:11.648885Z</t>
        </is>
      </c>
      <c r="C17" s="24" t="inlineStr">
        <is>
          <t>2026-08-02T11:00:00Z</t>
        </is>
      </c>
      <c r="D17" s="24" t="inlineStr">
        <is>
          <t>69232</t>
        </is>
      </c>
      <c r="E17" s="24" t="inlineStr">
        <is>
          <t>DOTA2</t>
        </is>
      </c>
      <c r="F17" s="24" t="inlineStr">
        <is>
          <t>Yakult Brothers</t>
        </is>
      </c>
      <c r="G17" s="24" t="inlineStr">
        <is>
          <t>REKONIX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104</v>
      </c>
      <c r="M17" s="27" t="n">
        <v>2.04</v>
      </c>
      <c r="N17" s="28" t="n">
        <v>0.490196</v>
      </c>
      <c r="O17" s="28" t="n">
        <v>0.702765</v>
      </c>
      <c r="P17" s="28" t="n"/>
      <c r="Q17" s="28" t="n">
        <v>0.212569</v>
      </c>
      <c r="R17" s="26" t="n">
        <v>100</v>
      </c>
      <c r="S17" s="29" t="n">
        <v>2</v>
      </c>
      <c r="T17" s="24" t="inlineStr">
        <is>
          <t>dota2-tiered-elo-v5</t>
        </is>
      </c>
      <c r="U17" s="24" t="inlineStr">
        <is>
          <t>settled</t>
        </is>
      </c>
      <c r="V17" s="24" t="inlineStr">
        <is>
          <t>loss</t>
        </is>
      </c>
      <c r="W17" s="26" t="n">
        <v>1</v>
      </c>
      <c r="X17" s="26" t="n">
        <v>0</v>
      </c>
      <c r="Y17" s="25" t="n"/>
      <c r="Z17" s="26" t="n">
        <v>104</v>
      </c>
      <c r="AA17" s="28" t="n">
        <v>0.49</v>
      </c>
      <c r="AB17" s="28" t="n">
        <v>-0.000196</v>
      </c>
      <c r="AC17" s="30" t="n">
        <v>-2</v>
      </c>
      <c r="AD17" s="24" t="inlineStr">
        <is>
          <t>2026-08-02T19:26:45.633634Z</t>
        </is>
      </c>
      <c r="AE17" s="31" t="inlineStr">
        <is>
          <t>Neutral Elo baseline; executable ask 0.4900 (market_slug=aec-dota2-rnx-yb-2026-08-02).</t>
        </is>
      </c>
      <c r="AF17" s="31" t="inlineStr">
        <is>
          <t>Config-promoted esports baseline; gates enforced at log time.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Yakult Brothers</t>
        </is>
      </c>
      <c r="AQ17" s="24" t="inlineStr">
        <is>
          <t>Yakult Brothers</t>
        </is>
      </c>
      <c r="AR17" s="24" t="inlineStr">
        <is>
          <t>Yakult Brothers</t>
        </is>
      </c>
      <c r="AS17" s="24" t="inlineStr">
        <is>
          <t>REKONIX</t>
        </is>
      </c>
      <c r="AT17" s="24" t="inlineStr">
        <is>
          <t>REKONIX</t>
        </is>
      </c>
      <c r="AU17" s="24" t="inlineStr">
        <is>
          <t>REKONIX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d60687e602976b4a2779a4ff6a5f8f825a178fa4df1e53dc8ee5e3eeffcc3d8b</t>
        </is>
      </c>
      <c r="BB17" s="24" t="inlineStr">
        <is>
          <t>neutral_elo</t>
        </is>
      </c>
      <c r="BC17" s="24" t="inlineStr">
        <is>
          <t>dota2-tiered-elo-v5</t>
        </is>
      </c>
      <c r="BD17" s="24" t="inlineStr">
        <is>
          <t>d60687e602976b4a2779a4ff6a5f8f825a178fa4df1e53dc8ee5e3eeffcc3d8b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dota2-tiered-elo-v5</t>
        </is>
      </c>
      <c r="BH17" s="24" t="inlineStr">
        <is>
          <t>2026-08-02T10:00:10.645047Z</t>
        </is>
      </c>
      <c r="BI17" s="24" t="inlineStr">
        <is>
          <t>["same_event","same_team_same_day","same_league_same_day"]</t>
        </is>
      </c>
      <c r="BJ17" s="25" t="n"/>
      <c r="BK17" s="26" t="n">
        <v>104</v>
      </c>
      <c r="BL17" s="27" t="n">
        <v>2.04</v>
      </c>
      <c r="BM17" s="28" t="n">
        <v>0.490196</v>
      </c>
      <c r="BN17" s="28" t="n"/>
      <c r="BO17" s="28" t="n"/>
      <c r="BP17" s="25" t="n"/>
      <c r="BQ17" s="27" t="n">
        <v>2.04</v>
      </c>
      <c r="BR17" s="28" t="n">
        <v>0.49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</row>
    <row r="18" ht="36" customHeight="1">
      <c r="A18" s="24" t="inlineStr">
        <is>
          <t>3fd99efe9c6243da</t>
        </is>
      </c>
      <c r="B18" s="24" t="inlineStr">
        <is>
          <t>2026-08-03T04:20:25.162543Z</t>
        </is>
      </c>
      <c r="C18" s="24" t="inlineStr">
        <is>
          <t>2026-08-03T05:00:00Z</t>
        </is>
      </c>
      <c r="D18" s="24" t="inlineStr">
        <is>
          <t>69530</t>
        </is>
      </c>
      <c r="E18" s="24" t="inlineStr">
        <is>
          <t>DOTA2</t>
        </is>
      </c>
      <c r="F18" s="24" t="inlineStr">
        <is>
          <t>GLYPH</t>
        </is>
      </c>
      <c r="G18" s="24" t="inlineStr">
        <is>
          <t>PlayTime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-170</v>
      </c>
      <c r="M18" s="27" t="n">
        <v>1.588235</v>
      </c>
      <c r="N18" s="28" t="n">
        <v>0.62963</v>
      </c>
      <c r="O18" s="28" t="n">
        <v>0.688438</v>
      </c>
      <c r="P18" s="28" t="n"/>
      <c r="Q18" s="28" t="n">
        <v>0.058808</v>
      </c>
      <c r="R18" s="26" t="n">
        <v>49</v>
      </c>
      <c r="S18" s="29" t="n">
        <v>2</v>
      </c>
      <c r="T18" s="24" t="inlineStr">
        <is>
          <t>dota2-tiered-elo-v5</t>
        </is>
      </c>
      <c r="U18" s="24" t="inlineStr">
        <is>
          <t>settled</t>
        </is>
      </c>
      <c r="V18" s="24" t="inlineStr">
        <is>
          <t>win</t>
        </is>
      </c>
      <c r="W18" s="26" t="n">
        <v>0</v>
      </c>
      <c r="X18" s="26" t="n">
        <v>1</v>
      </c>
      <c r="Y18" s="25" t="n"/>
      <c r="Z18" s="26" t="n">
        <v>-170</v>
      </c>
      <c r="AA18" s="28" t="n">
        <v>0.63</v>
      </c>
      <c r="AB18" s="28" t="n">
        <v>0.00037</v>
      </c>
      <c r="AC18" s="30" t="n">
        <v>1.1765</v>
      </c>
      <c r="AD18" s="24" t="inlineStr">
        <is>
          <t>2026-08-03T10:06:42.804391Z</t>
        </is>
      </c>
      <c r="AE18" s="31" t="inlineStr">
        <is>
          <t>Neutral Elo baseline; executable ask 0.6300 (market_slug=aec-dota2-pla-glyph-2026-08-03).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GLYPH</t>
        </is>
      </c>
      <c r="AQ18" s="24" t="inlineStr">
        <is>
          <t>GLYPH</t>
        </is>
      </c>
      <c r="AR18" s="24" t="inlineStr">
        <is>
          <t>GLYPH</t>
        </is>
      </c>
      <c r="AS18" s="24" t="inlineStr">
        <is>
          <t>PlayTime</t>
        </is>
      </c>
      <c r="AT18" s="24" t="inlineStr">
        <is>
          <t>PlayTime</t>
        </is>
      </c>
      <c r="AU18" s="24" t="inlineStr">
        <is>
          <t>PlayTime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bf20998d8a70c3832fd09ea459020acc93ce47c0fe8f683c0d8face894c2cb28</t>
        </is>
      </c>
      <c r="BB18" s="24" t="inlineStr">
        <is>
          <t>neutral_elo</t>
        </is>
      </c>
      <c r="BC18" s="24" t="inlineStr">
        <is>
          <t>dota2-tiered-elo-v5</t>
        </is>
      </c>
      <c r="BD18" s="24" t="inlineStr">
        <is>
          <t>bf20998d8a70c3832fd09ea459020acc93ce47c0fe8f683c0d8face894c2cb28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dota2-tiered-elo-v5</t>
        </is>
      </c>
      <c r="BH18" s="24" t="inlineStr">
        <is>
          <t>2026-08-03T04:20:21.088131Z</t>
        </is>
      </c>
      <c r="BI18" s="24" t="inlineStr">
        <is>
          <t>["same_event","same_team_same_day","same_league_same_day"]</t>
        </is>
      </c>
      <c r="BJ18" s="25" t="n"/>
      <c r="BK18" s="26" t="n">
        <v>-170</v>
      </c>
      <c r="BL18" s="27" t="n">
        <v>1.588235</v>
      </c>
      <c r="BM18" s="28" t="n">
        <v>0.62963</v>
      </c>
      <c r="BN18" s="28" t="n"/>
      <c r="BO18" s="28" t="n"/>
      <c r="BP18" s="25" t="n"/>
      <c r="BQ18" s="27" t="n">
        <v>1.588235</v>
      </c>
      <c r="BR18" s="28" t="n">
        <v>0.63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</row>
    <row r="19" ht="36" customHeight="1">
      <c r="A19" s="24" t="inlineStr">
        <is>
          <t>6530d53c06454f44</t>
        </is>
      </c>
      <c r="B19" s="24" t="inlineStr">
        <is>
          <t>2026-08-03T06:32:33.049242Z</t>
        </is>
      </c>
      <c r="C19" s="24" t="inlineStr">
        <is>
          <t>2026-08-03T09:00:00Z</t>
        </is>
      </c>
      <c r="D19" s="24" t="inlineStr">
        <is>
          <t>70303</t>
        </is>
      </c>
      <c r="E19" s="24" t="inlineStr">
        <is>
          <t>DOTA2</t>
        </is>
      </c>
      <c r="F19" s="24" t="inlineStr">
        <is>
          <t>1win</t>
        </is>
      </c>
      <c r="G19" s="24" t="inlineStr">
        <is>
          <t>LGD Gaming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156</v>
      </c>
      <c r="M19" s="27" t="n">
        <v>2.56</v>
      </c>
      <c r="N19" s="28" t="n">
        <v>0.390625</v>
      </c>
      <c r="O19" s="28" t="n">
        <v>0.622594</v>
      </c>
      <c r="P19" s="28" t="n"/>
      <c r="Q19" s="28" t="n">
        <v>0.231969</v>
      </c>
      <c r="R19" s="26" t="n">
        <v>100</v>
      </c>
      <c r="S19" s="29" t="n">
        <v>1.5</v>
      </c>
      <c r="T19" s="24" t="inlineStr">
        <is>
          <t>dota2-tiered-elo-v5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>
        <v>156</v>
      </c>
      <c r="AA19" s="28" t="n">
        <v>0.39</v>
      </c>
      <c r="AB19" s="28" t="n">
        <v>-0.000625</v>
      </c>
      <c r="AC19" s="30" t="n">
        <v>-1.5</v>
      </c>
      <c r="AD19" s="24" t="inlineStr">
        <is>
          <t>2026-08-03T10:55:54.261507Z</t>
        </is>
      </c>
      <c r="AE19" s="31" t="inlineStr">
        <is>
          <t>Neutral Elo baseline; executable ask 0.3900 (market_slug=aec-dota2-lgd-1win-2026-08-03).</t>
        </is>
      </c>
      <c r="AF19" s="31" t="inlineStr">
        <is>
          <t>Config-promoted esports baseline; gates enforced at log time.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1win</t>
        </is>
      </c>
      <c r="AQ19" s="24" t="inlineStr">
        <is>
          <t>1win</t>
        </is>
      </c>
      <c r="AR19" s="24" t="inlineStr">
        <is>
          <t>1win</t>
        </is>
      </c>
      <c r="AS19" s="24" t="inlineStr">
        <is>
          <t>LGD Gaming</t>
        </is>
      </c>
      <c r="AT19" s="24" t="inlineStr">
        <is>
          <t>LGD Gaming</t>
        </is>
      </c>
      <c r="AU19" s="24" t="inlineStr">
        <is>
          <t>LGD Gaming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533fea08f6899886856a22c8b82fe2bc1d4c49576971024283434d4b7315bbc9</t>
        </is>
      </c>
      <c r="BB19" s="24" t="inlineStr">
        <is>
          <t>neutral_elo</t>
        </is>
      </c>
      <c r="BC19" s="24" t="inlineStr">
        <is>
          <t>dota2-tiered-elo-v5</t>
        </is>
      </c>
      <c r="BD19" s="24" t="inlineStr">
        <is>
          <t>533fea08f6899886856a22c8b82fe2bc1d4c49576971024283434d4b7315bbc9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dota2-tiered-elo-v5</t>
        </is>
      </c>
      <c r="BH19" s="24" t="inlineStr">
        <is>
          <t>2026-08-03T06:32:30.412423Z</t>
        </is>
      </c>
      <c r="BI19" s="24" t="inlineStr">
        <is>
          <t>["same_event","same_team_same_day","same_league_same_day"]</t>
        </is>
      </c>
      <c r="BJ19" s="25" t="n"/>
      <c r="BK19" s="26" t="n">
        <v>156</v>
      </c>
      <c r="BL19" s="27" t="n">
        <v>2.56</v>
      </c>
      <c r="BM19" s="28" t="n">
        <v>0.390625</v>
      </c>
      <c r="BN19" s="28" t="n"/>
      <c r="BO19" s="28" t="n"/>
      <c r="BP19" s="25" t="n"/>
      <c r="BQ19" s="27" t="n">
        <v>2.56</v>
      </c>
      <c r="BR19" s="28" t="n">
        <v>0.39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</row>
    <row r="20" ht="36" customHeight="1">
      <c r="A20" s="24" t="inlineStr">
        <is>
          <t>8e9037eabbdc48e1</t>
        </is>
      </c>
      <c r="B20" s="24" t="inlineStr">
        <is>
          <t>2026-08-03T10:59:43.802206Z</t>
        </is>
      </c>
      <c r="C20" s="24" t="inlineStr">
        <is>
          <t>2026-08-03T12:00:00Z</t>
        </is>
      </c>
      <c r="D20" s="24" t="inlineStr">
        <is>
          <t>70304</t>
        </is>
      </c>
      <c r="E20" s="24" t="inlineStr">
        <is>
          <t>DOTA2</t>
        </is>
      </c>
      <c r="F20" s="24" t="inlineStr">
        <is>
          <t>GamerLegion</t>
        </is>
      </c>
      <c r="G20" s="24" t="inlineStr">
        <is>
          <t>OG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-144</v>
      </c>
      <c r="M20" s="27" t="n">
        <v>1.694444</v>
      </c>
      <c r="N20" s="28" t="n">
        <v>0.590164</v>
      </c>
      <c r="O20" s="28" t="n">
        <v>0.557781</v>
      </c>
      <c r="P20" s="28" t="n"/>
      <c r="Q20" s="28" t="n">
        <v>-0.032383</v>
      </c>
      <c r="R20" s="26" t="n">
        <v>4</v>
      </c>
      <c r="S20" s="29" t="n">
        <v>1</v>
      </c>
      <c r="T20" s="24" t="inlineStr">
        <is>
          <t>dota2-tiered-elo-v5</t>
        </is>
      </c>
      <c r="U20" s="24" t="inlineStr">
        <is>
          <t>settled</t>
        </is>
      </c>
      <c r="V20" s="24" t="inlineStr">
        <is>
          <t>win</t>
        </is>
      </c>
      <c r="W20" s="26" t="n">
        <v>0</v>
      </c>
      <c r="X20" s="26" t="n">
        <v>1</v>
      </c>
      <c r="Y20" s="25" t="n"/>
      <c r="Z20" s="26" t="n">
        <v>-144</v>
      </c>
      <c r="AA20" s="28" t="n">
        <v>0.59</v>
      </c>
      <c r="AB20" s="28" t="n">
        <v>-0.000164</v>
      </c>
      <c r="AC20" s="30" t="n">
        <v>0.6944</v>
      </c>
      <c r="AD20" s="24" t="inlineStr">
        <is>
          <t>2026-08-03T15:52:24.784101Z</t>
        </is>
      </c>
      <c r="AE20" s="31" t="inlineStr">
        <is>
          <t>Neutral Elo baseline; executable ask 0.5900 (market_slug=aec-dota2-og-gl-2026-08-03).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NO_CALL_LOW_EDGE</t>
        </is>
      </c>
      <c r="AP20" s="24" t="inlineStr">
        <is>
          <t>GamerLegion</t>
        </is>
      </c>
      <c r="AQ20" s="24" t="inlineStr">
        <is>
          <t>GamerLegion</t>
        </is>
      </c>
      <c r="AR20" s="24" t="inlineStr">
        <is>
          <t>GamerLegion</t>
        </is>
      </c>
      <c r="AS20" s="24" t="inlineStr">
        <is>
          <t>OG</t>
        </is>
      </c>
      <c r="AT20" s="24" t="inlineStr">
        <is>
          <t>OG</t>
        </is>
      </c>
      <c r="AU20" s="24" t="inlineStr">
        <is>
          <t>OG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528639205c5899c0cdf1bae7bf1adfb5d019bc11e79b9bc778f8eb3bb742ae6e</t>
        </is>
      </c>
      <c r="BB20" s="24" t="inlineStr">
        <is>
          <t>neutral_elo</t>
        </is>
      </c>
      <c r="BC20" s="24" t="inlineStr">
        <is>
          <t>dota2-tiered-elo-v5</t>
        </is>
      </c>
      <c r="BD20" s="24" t="inlineStr">
        <is>
          <t>528639205c5899c0cdf1bae7bf1adfb5d019bc11e79b9bc778f8eb3bb742ae6e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dota2-tiered-elo-v5</t>
        </is>
      </c>
      <c r="BH20" s="24" t="inlineStr">
        <is>
          <t>2026-08-03T10:59:42.011106Z</t>
        </is>
      </c>
      <c r="BI20" s="24" t="inlineStr">
        <is>
          <t>["same_event","same_team_same_day","same_league_same_day"]</t>
        </is>
      </c>
      <c r="BJ20" s="25" t="n"/>
      <c r="BK20" s="26" t="n">
        <v>-144</v>
      </c>
      <c r="BL20" s="27" t="n">
        <v>1.694444</v>
      </c>
      <c r="BM20" s="28" t="n">
        <v>0.590164</v>
      </c>
      <c r="BN20" s="28" t="n"/>
      <c r="BO20" s="28" t="n"/>
      <c r="BP20" s="25" t="n"/>
      <c r="BQ20" s="27" t="n">
        <v>1.694444</v>
      </c>
      <c r="BR20" s="28" t="n">
        <v>0.59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</row>
    <row r="21" ht="36" customHeight="1">
      <c r="A21" s="24" t="inlineStr">
        <is>
          <t>e4bdc99ea0824c30</t>
        </is>
      </c>
      <c r="B21" s="24" t="inlineStr">
        <is>
          <t>2026-08-03T13:30:35.070004Z</t>
        </is>
      </c>
      <c r="C21" s="24" t="inlineStr">
        <is>
          <t>2026-08-03T14:00:00Z</t>
        </is>
      </c>
      <c r="D21" s="24" t="inlineStr">
        <is>
          <t>70380</t>
        </is>
      </c>
      <c r="E21" s="24" t="inlineStr">
        <is>
          <t>DOTA2</t>
        </is>
      </c>
      <c r="F21" s="24" t="inlineStr">
        <is>
          <t>LGD Gaming</t>
        </is>
      </c>
      <c r="G21" s="24" t="inlineStr">
        <is>
          <t>Rune Eaters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-233</v>
      </c>
      <c r="M21" s="27" t="n">
        <v>1.429185</v>
      </c>
      <c r="N21" s="28" t="n">
        <v>0.6997</v>
      </c>
      <c r="O21" s="28" t="n">
        <v>0.75532</v>
      </c>
      <c r="P21" s="28" t="n"/>
      <c r="Q21" s="28" t="n">
        <v>0.05562</v>
      </c>
      <c r="R21" s="26" t="n">
        <v>48</v>
      </c>
      <c r="S21" s="29" t="n">
        <v>2</v>
      </c>
      <c r="T21" s="24" t="inlineStr">
        <is>
          <t>dota2-tiered-elo-v5</t>
        </is>
      </c>
      <c r="U21" s="24" t="inlineStr">
        <is>
          <t>settled</t>
        </is>
      </c>
      <c r="V21" s="24" t="inlineStr">
        <is>
          <t>loss</t>
        </is>
      </c>
      <c r="W21" s="26" t="n">
        <v>0</v>
      </c>
      <c r="X21" s="26" t="n">
        <v>1</v>
      </c>
      <c r="Y21" s="25" t="n"/>
      <c r="Z21" s="26" t="n">
        <v>-233</v>
      </c>
      <c r="AA21" s="28" t="n">
        <v>0.7</v>
      </c>
      <c r="AB21" s="28" t="n">
        <v>0.0003</v>
      </c>
      <c r="AC21" s="30" t="n">
        <v>-2</v>
      </c>
      <c r="AD21" s="24" t="inlineStr">
        <is>
          <t>2026-08-03T22:55:33.101548Z</t>
        </is>
      </c>
      <c r="AE21" s="31" t="inlineStr">
        <is>
          <t>Neutral Elo baseline; executable ask 0.7000 (market_slug=aec-dota2-re-lgd-2026-08-03).</t>
        </is>
      </c>
      <c r="AF21" s="31" t="inlineStr">
        <is>
          <t>Config-promoted esports baseline; gates enforced at log time.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LGD Gaming</t>
        </is>
      </c>
      <c r="AQ21" s="24" t="inlineStr">
        <is>
          <t>LGD Gaming</t>
        </is>
      </c>
      <c r="AR21" s="24" t="inlineStr">
        <is>
          <t>LGD Gaming</t>
        </is>
      </c>
      <c r="AS21" s="24" t="inlineStr">
        <is>
          <t>Rune Eaters</t>
        </is>
      </c>
      <c r="AT21" s="24" t="inlineStr">
        <is>
          <t>Rune Eaters</t>
        </is>
      </c>
      <c r="AU21" s="24" t="inlineStr">
        <is>
          <t>Rune Eaters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9f83c860ce6adddad784676b2958b8c4421adf6e3abacd5545efbed1bb0cde1d</t>
        </is>
      </c>
      <c r="BB21" s="24" t="inlineStr">
        <is>
          <t>neutral_elo</t>
        </is>
      </c>
      <c r="BC21" s="24" t="inlineStr">
        <is>
          <t>dota2-tiered-elo-v5</t>
        </is>
      </c>
      <c r="BD21" s="24" t="inlineStr">
        <is>
          <t>9f83c860ce6adddad784676b2958b8c4421adf6e3abacd5545efbed1bb0cde1d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dota2-tiered-elo-v5</t>
        </is>
      </c>
      <c r="BH21" s="24" t="inlineStr">
        <is>
          <t>2026-08-03T13:30:33.121525Z</t>
        </is>
      </c>
      <c r="BI21" s="24" t="inlineStr">
        <is>
          <t>["same_event","same_team_same_day","same_league_same_day"]</t>
        </is>
      </c>
      <c r="BJ21" s="25" t="n"/>
      <c r="BK21" s="26" t="n">
        <v>-233</v>
      </c>
      <c r="BL21" s="27" t="n">
        <v>1.429185</v>
      </c>
      <c r="BM21" s="28" t="n">
        <v>0.6997</v>
      </c>
      <c r="BN21" s="28" t="n"/>
      <c r="BO21" s="28" t="n"/>
      <c r="BP21" s="25" t="n"/>
      <c r="BQ21" s="27" t="n">
        <v>1.429185</v>
      </c>
      <c r="BR21" s="28" t="n">
        <v>0.7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</row>
    <row r="22" ht="36" customHeight="1">
      <c r="A22" s="24" t="inlineStr">
        <is>
          <t>23f48a1e758d46b2</t>
        </is>
      </c>
      <c r="B22" s="24" t="inlineStr">
        <is>
          <t>2026-08-03T13:30:35.070004Z</t>
        </is>
      </c>
      <c r="C22" s="24" t="inlineStr">
        <is>
          <t>2026-08-03T15:00:00Z</t>
        </is>
      </c>
      <c r="D22" s="24" t="inlineStr">
        <is>
          <t>70305</t>
        </is>
      </c>
      <c r="E22" s="24" t="inlineStr">
        <is>
          <t>DOTA2</t>
        </is>
      </c>
      <c r="F22" s="24" t="inlineStr">
        <is>
          <t>BetBoom Team</t>
        </is>
      </c>
      <c r="G22" s="24" t="inlineStr">
        <is>
          <t>Team Falcons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-113</v>
      </c>
      <c r="M22" s="27" t="n">
        <v>1.884956</v>
      </c>
      <c r="N22" s="28" t="n">
        <v>0.530516</v>
      </c>
      <c r="O22" s="28" t="n">
        <v>0.571416</v>
      </c>
      <c r="P22" s="28" t="n"/>
      <c r="Q22" s="28" t="n">
        <v>0.0409</v>
      </c>
      <c r="R22" s="26" t="n">
        <v>40</v>
      </c>
      <c r="S22" s="29" t="n">
        <v>1.25</v>
      </c>
      <c r="T22" s="24" t="inlineStr">
        <is>
          <t>dota2-tiered-elo-v5</t>
        </is>
      </c>
      <c r="U22" s="24" t="inlineStr">
        <is>
          <t>settled</t>
        </is>
      </c>
      <c r="V22" s="24" t="inlineStr">
        <is>
          <t>loss</t>
        </is>
      </c>
      <c r="W22" s="26" t="n">
        <v>0</v>
      </c>
      <c r="X22" s="26" t="n">
        <v>1</v>
      </c>
      <c r="Y22" s="25" t="n"/>
      <c r="Z22" s="26" t="n">
        <v>-113</v>
      </c>
      <c r="AA22" s="28" t="n">
        <v>0.53</v>
      </c>
      <c r="AB22" s="28" t="n">
        <v>-0.000516</v>
      </c>
      <c r="AC22" s="30" t="n">
        <v>-1.25</v>
      </c>
      <c r="AD22" s="24" t="inlineStr">
        <is>
          <t>2026-08-03T19:52:00.620621Z</t>
        </is>
      </c>
      <c r="AE22" s="31" t="inlineStr">
        <is>
          <t>Neutral Elo baseline; executable ask 0.5300 (market_slug=aec-dota2-flc-bb-2026-08-03).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BetBoom Team</t>
        </is>
      </c>
      <c r="AQ22" s="24" t="inlineStr">
        <is>
          <t>BetBoom Team</t>
        </is>
      </c>
      <c r="AR22" s="24" t="inlineStr">
        <is>
          <t>BetBoom Team</t>
        </is>
      </c>
      <c r="AS22" s="24" t="inlineStr">
        <is>
          <t>Team Falcons</t>
        </is>
      </c>
      <c r="AT22" s="24" t="inlineStr">
        <is>
          <t>Team Falcons</t>
        </is>
      </c>
      <c r="AU22" s="24" t="inlineStr">
        <is>
          <t>Team Falcons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9f83c860ce6adddad784676b2958b8c4421adf6e3abacd5545efbed1bb0cde1d</t>
        </is>
      </c>
      <c r="BB22" s="24" t="inlineStr">
        <is>
          <t>neutral_elo</t>
        </is>
      </c>
      <c r="BC22" s="24" t="inlineStr">
        <is>
          <t>dota2-tiered-elo-v5</t>
        </is>
      </c>
      <c r="BD22" s="24" t="inlineStr">
        <is>
          <t>9f83c860ce6adddad784676b2958b8c4421adf6e3abacd5545efbed1bb0cde1d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dota2-tiered-elo-v5</t>
        </is>
      </c>
      <c r="BH22" s="24" t="inlineStr">
        <is>
          <t>2026-08-03T13:30:33.684542Z</t>
        </is>
      </c>
      <c r="BI22" s="24" t="inlineStr">
        <is>
          <t>["same_event","same_team_same_day","same_league_same_day"]</t>
        </is>
      </c>
      <c r="BJ22" s="25" t="n"/>
      <c r="BK22" s="26" t="n">
        <v>-113</v>
      </c>
      <c r="BL22" s="27" t="n">
        <v>1.884956</v>
      </c>
      <c r="BM22" s="28" t="n">
        <v>0.530516</v>
      </c>
      <c r="BN22" s="28" t="n"/>
      <c r="BO22" s="28" t="n"/>
      <c r="BP22" s="25" t="n"/>
      <c r="BQ22" s="27" t="n">
        <v>1.884956</v>
      </c>
      <c r="BR22" s="28" t="n">
        <v>0.53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</row>
    <row r="23" ht="36" customHeight="1">
      <c r="A23" s="24" t="inlineStr">
        <is>
          <t>7f141fd9db27496a</t>
        </is>
      </c>
      <c r="B23" s="24" t="inlineStr">
        <is>
          <t>2026-08-04T08:56:24.176296Z</t>
        </is>
      </c>
      <c r="C23" s="24" t="inlineStr">
        <is>
          <t>2026-08-04T11:00:00Z</t>
        </is>
      </c>
      <c r="D23" s="24" t="inlineStr">
        <is>
          <t>70684</t>
        </is>
      </c>
      <c r="E23" s="24" t="inlineStr">
        <is>
          <t>DOTA2</t>
        </is>
      </c>
      <c r="F23" s="24" t="inlineStr">
        <is>
          <t>Team Resilience</t>
        </is>
      </c>
      <c r="G23" s="24" t="inlineStr">
        <is>
          <t>PlayTime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-138</v>
      </c>
      <c r="M23" s="27" t="n">
        <v>1.724638</v>
      </c>
      <c r="N23" s="28" t="n">
        <v>0.579832</v>
      </c>
      <c r="O23" s="28" t="n">
        <v>0.701803</v>
      </c>
      <c r="P23" s="28" t="n"/>
      <c r="Q23" s="28" t="n">
        <v>0.121971</v>
      </c>
      <c r="R23" s="26" t="n">
        <v>81</v>
      </c>
      <c r="S23" s="29" t="n">
        <v>2</v>
      </c>
      <c r="T23" s="24" t="inlineStr">
        <is>
          <t>dota2-tiered-elo-v5</t>
        </is>
      </c>
      <c r="U23" s="24" t="inlineStr">
        <is>
          <t>settled</t>
        </is>
      </c>
      <c r="V23" s="24" t="inlineStr">
        <is>
          <t>win</t>
        </is>
      </c>
      <c r="W23" s="26" t="n">
        <v>0</v>
      </c>
      <c r="X23" s="26" t="n">
        <v>1</v>
      </c>
      <c r="Y23" s="25" t="n"/>
      <c r="Z23" s="26" t="n">
        <v>-138</v>
      </c>
      <c r="AA23" s="28" t="n">
        <v>0.58</v>
      </c>
      <c r="AB23" s="28" t="n">
        <v>0.000168</v>
      </c>
      <c r="AC23" s="30" t="n">
        <v>1.4493</v>
      </c>
      <c r="AD23" s="24" t="inlineStr">
        <is>
          <t>2026-08-04T14:03:19.328085Z</t>
        </is>
      </c>
      <c r="AE23" s="31" t="inlineStr">
        <is>
          <t>Neutral Elo baseline; executable ask 0.5800 (market_slug=aec-dota2-pla-tr-2026-08-04).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Team Resilience</t>
        </is>
      </c>
      <c r="AQ23" s="24" t="inlineStr">
        <is>
          <t>Team Resilience</t>
        </is>
      </c>
      <c r="AR23" s="24" t="inlineStr">
        <is>
          <t>Team Resilience</t>
        </is>
      </c>
      <c r="AS23" s="24" t="inlineStr">
        <is>
          <t>PlayTime</t>
        </is>
      </c>
      <c r="AT23" s="24" t="inlineStr">
        <is>
          <t>PlayTime</t>
        </is>
      </c>
      <c r="AU23" s="24" t="inlineStr">
        <is>
          <t>PlayTime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97107a1d2e9f7b705ead2c5fce1c23807f8dd72b6d4856d7fd17103d4393ae99</t>
        </is>
      </c>
      <c r="BB23" s="24" t="inlineStr">
        <is>
          <t>neutral_elo</t>
        </is>
      </c>
      <c r="BC23" s="24" t="inlineStr">
        <is>
          <t>dota2-tiered-elo-v5</t>
        </is>
      </c>
      <c r="BD23" s="24" t="inlineStr">
        <is>
          <t>97107a1d2e9f7b705ead2c5fce1c23807f8dd72b6d4856d7fd17103d4393ae99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dota2-tiered-elo-v5</t>
        </is>
      </c>
      <c r="BH23" s="24" t="inlineStr">
        <is>
          <t>2026-08-04T08:56:22.344795Z</t>
        </is>
      </c>
      <c r="BI23" s="24" t="inlineStr">
        <is>
          <t>["same_event","same_team_same_day","same_league_same_day"]</t>
        </is>
      </c>
      <c r="BJ23" s="25" t="n"/>
      <c r="BK23" s="26" t="n">
        <v>-138</v>
      </c>
      <c r="BL23" s="27" t="n">
        <v>1.724638</v>
      </c>
      <c r="BM23" s="28" t="n">
        <v>0.579832</v>
      </c>
      <c r="BN23" s="28" t="n"/>
      <c r="BO23" s="28" t="n"/>
      <c r="BP23" s="25" t="n"/>
      <c r="BQ23" s="27" t="n">
        <v>1.724638</v>
      </c>
      <c r="BR23" s="28" t="n">
        <v>0.58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</row>
    <row r="24" ht="36" customHeight="1">
      <c r="A24" s="24" t="inlineStr">
        <is>
          <t>3bfb89d3bcc646f4</t>
        </is>
      </c>
      <c r="B24" s="24" t="inlineStr">
        <is>
          <t>2026-08-04T12:01:37.365629Z</t>
        </is>
      </c>
      <c r="C24" s="24" t="inlineStr">
        <is>
          <t>2026-08-04T14:00:00Z</t>
        </is>
      </c>
      <c r="D24" s="24" t="inlineStr">
        <is>
          <t>71323</t>
        </is>
      </c>
      <c r="E24" s="24" t="inlineStr">
        <is>
          <t>DOTA2</t>
        </is>
      </c>
      <c r="F24" s="24" t="inlineStr">
        <is>
          <t>Rune Eaters</t>
        </is>
      </c>
      <c r="G24" s="24" t="inlineStr">
        <is>
          <t>Yakult Brothers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-150</v>
      </c>
      <c r="M24" s="27" t="n">
        <v>1.666667</v>
      </c>
      <c r="N24" s="28" t="n">
        <v>0.6</v>
      </c>
      <c r="O24" s="28" t="n">
        <v>0.63019</v>
      </c>
      <c r="P24" s="28" t="n"/>
      <c r="Q24" s="28" t="n">
        <v>0.03019</v>
      </c>
      <c r="R24" s="26" t="n">
        <v>35</v>
      </c>
      <c r="S24" s="29" t="n">
        <v>1.5</v>
      </c>
      <c r="T24" s="24" t="inlineStr">
        <is>
          <t>dota2-tiered-elo-v5</t>
        </is>
      </c>
      <c r="U24" s="24" t="inlineStr">
        <is>
          <t>settled</t>
        </is>
      </c>
      <c r="V24" s="24" t="inlineStr">
        <is>
          <t>loss</t>
        </is>
      </c>
      <c r="W24" s="26" t="n">
        <v>0</v>
      </c>
      <c r="X24" s="26" t="n">
        <v>1</v>
      </c>
      <c r="Y24" s="25" t="n"/>
      <c r="Z24" s="26" t="n">
        <v>-150</v>
      </c>
      <c r="AA24" s="28" t="n">
        <v>0.6</v>
      </c>
      <c r="AB24" s="28" t="n">
        <v>0</v>
      </c>
      <c r="AC24" s="30" t="n">
        <v>-1.5</v>
      </c>
      <c r="AD24" s="24" t="inlineStr">
        <is>
          <t>2026-08-04T18:04:02.952248Z</t>
        </is>
      </c>
      <c r="AE24" s="31" t="inlineStr">
        <is>
          <t>Neutral Elo baseline; executable ask 0.6000 (market_slug=aec-dota2-yb-re-2026-08-04).</t>
        </is>
      </c>
      <c r="AF24" s="31" t="inlineStr">
        <is>
          <t>Config-promoted esports baseline; gates enforced at log time.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Rune Eaters</t>
        </is>
      </c>
      <c r="AQ24" s="24" t="inlineStr">
        <is>
          <t>Rune Eaters</t>
        </is>
      </c>
      <c r="AR24" s="24" t="inlineStr">
        <is>
          <t>Rune Eaters</t>
        </is>
      </c>
      <c r="AS24" s="24" t="inlineStr">
        <is>
          <t>Yakult Brothers</t>
        </is>
      </c>
      <c r="AT24" s="24" t="inlineStr">
        <is>
          <t>Yakult Brothers</t>
        </is>
      </c>
      <c r="AU24" s="24" t="inlineStr">
        <is>
          <t>Yakult Brothers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a6c9607e653da0963c1aedbfdf02df93d0e81f5e712085073f323442476b541d</t>
        </is>
      </c>
      <c r="BB24" s="24" t="inlineStr">
        <is>
          <t>neutral_elo</t>
        </is>
      </c>
      <c r="BC24" s="24" t="inlineStr">
        <is>
          <t>dota2-tiered-elo-v5</t>
        </is>
      </c>
      <c r="BD24" s="24" t="inlineStr">
        <is>
          <t>a6c9607e653da0963c1aedbfdf02df93d0e81f5e712085073f323442476b541d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dota2-tiered-elo-v5</t>
        </is>
      </c>
      <c r="BH24" s="24" t="inlineStr">
        <is>
          <t>2026-08-04T12:01:36.421980Z</t>
        </is>
      </c>
      <c r="BI24" s="24" t="inlineStr">
        <is>
          <t>["same_event","same_team_same_day","same_league_same_day"]</t>
        </is>
      </c>
      <c r="BJ24" s="25" t="n"/>
      <c r="BK24" s="26" t="n">
        <v>-150</v>
      </c>
      <c r="BL24" s="27" t="n">
        <v>1.666667</v>
      </c>
      <c r="BM24" s="28" t="n">
        <v>0.6</v>
      </c>
      <c r="BN24" s="28" t="n"/>
      <c r="BO24" s="28" t="n"/>
      <c r="BP24" s="25" t="n"/>
      <c r="BQ24" s="27" t="n">
        <v>1.666667</v>
      </c>
      <c r="BR24" s="28" t="n">
        <v>0.6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</row>
    <row r="25" ht="36" customHeight="1">
      <c r="A25" s="24" t="inlineStr">
        <is>
          <t>191a66f39af04c24</t>
        </is>
      </c>
      <c r="B25" s="24" t="inlineStr">
        <is>
          <t>2026-08-04T14:26:39.396561Z</t>
        </is>
      </c>
      <c r="C25" s="24" t="inlineStr">
        <is>
          <t>2026-08-04T15:00:00Z</t>
        </is>
      </c>
      <c r="D25" s="24" t="inlineStr">
        <is>
          <t>71394</t>
        </is>
      </c>
      <c r="E25" s="24" t="inlineStr">
        <is>
          <t>DOTA2</t>
        </is>
      </c>
      <c r="F25" s="24" t="inlineStr">
        <is>
          <t>Team Liquid</t>
        </is>
      </c>
      <c r="G25" s="24" t="inlineStr">
        <is>
          <t>Team Falcons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-186</v>
      </c>
      <c r="M25" s="27" t="n">
        <v>1.537634</v>
      </c>
      <c r="N25" s="28" t="n">
        <v>0.65035</v>
      </c>
      <c r="O25" s="28" t="n">
        <v>0.599247</v>
      </c>
      <c r="P25" s="28" t="n"/>
      <c r="Q25" s="28" t="n">
        <v>-0.051103</v>
      </c>
      <c r="R25" s="26" t="n">
        <v>0</v>
      </c>
      <c r="S25" s="29" t="n">
        <v>1.25</v>
      </c>
      <c r="T25" s="24" t="inlineStr">
        <is>
          <t>dota2-tiered-elo-v5</t>
        </is>
      </c>
      <c r="U25" s="24" t="inlineStr">
        <is>
          <t>settled</t>
        </is>
      </c>
      <c r="V25" s="24" t="inlineStr">
        <is>
          <t>win</t>
        </is>
      </c>
      <c r="W25" s="26" t="n">
        <v>0</v>
      </c>
      <c r="X25" s="26" t="n">
        <v>1</v>
      </c>
      <c r="Y25" s="25" t="n"/>
      <c r="Z25" s="26" t="n">
        <v>-186</v>
      </c>
      <c r="AA25" s="28" t="n">
        <v>0.65</v>
      </c>
      <c r="AB25" s="28" t="n">
        <v>-0.00035</v>
      </c>
      <c r="AC25" s="30" t="n">
        <v>0.672</v>
      </c>
      <c r="AD25" s="24" t="inlineStr">
        <is>
          <t>2026-08-04T18:04:05.209291Z</t>
        </is>
      </c>
      <c r="AE25" s="31" t="inlineStr">
        <is>
          <t>Neutral Elo baseline; executable ask 0.6500 (market_slug=aec-dota2-flc-liquid-2026-08-04).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NO_CALL_LOW_EDGE</t>
        </is>
      </c>
      <c r="AP25" s="24" t="inlineStr">
        <is>
          <t>Team Liquid</t>
        </is>
      </c>
      <c r="AQ25" s="24" t="inlineStr">
        <is>
          <t>Team Liquid</t>
        </is>
      </c>
      <c r="AR25" s="24" t="inlineStr">
        <is>
          <t>Team Liquid</t>
        </is>
      </c>
      <c r="AS25" s="24" t="inlineStr">
        <is>
          <t>Team Falcons</t>
        </is>
      </c>
      <c r="AT25" s="24" t="inlineStr">
        <is>
          <t>Team Falcons</t>
        </is>
      </c>
      <c r="AU25" s="24" t="inlineStr">
        <is>
          <t>Team Falcons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b921081c94f350d1171b92b678f9b1518a4a8603443c3731dc34195c91e09a2e</t>
        </is>
      </c>
      <c r="BB25" s="24" t="inlineStr">
        <is>
          <t>neutral_elo</t>
        </is>
      </c>
      <c r="BC25" s="24" t="inlineStr">
        <is>
          <t>dota2-tiered-elo-v5</t>
        </is>
      </c>
      <c r="BD25" s="24" t="inlineStr">
        <is>
          <t>b921081c94f350d1171b92b678f9b1518a4a8603443c3731dc34195c91e09a2e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dota2-tiered-elo-v5</t>
        </is>
      </c>
      <c r="BH25" s="24" t="inlineStr">
        <is>
          <t>2026-08-04T14:26:39.396089Z</t>
        </is>
      </c>
      <c r="BI25" s="24" t="inlineStr">
        <is>
          <t>["same_event","same_team_same_day","same_league_same_day"]</t>
        </is>
      </c>
      <c r="BJ25" s="25" t="n"/>
      <c r="BK25" s="26" t="n">
        <v>-186</v>
      </c>
      <c r="BL25" s="27" t="n">
        <v>1.537634</v>
      </c>
      <c r="BM25" s="28" t="n">
        <v>0.65035</v>
      </c>
      <c r="BN25" s="28" t="n"/>
      <c r="BO25" s="28" t="n"/>
      <c r="BP25" s="25" t="n"/>
      <c r="BQ25" s="27" t="n">
        <v>1.537634</v>
      </c>
      <c r="BR25" s="28" t="n">
        <v>0.65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False</t>
        </is>
      </c>
    </row>
    <row r="26" ht="36" customHeight="1">
      <c r="A26" s="24" t="inlineStr">
        <is>
          <t>8804b09f2e484069</t>
        </is>
      </c>
      <c r="B26" s="24" t="inlineStr">
        <is>
          <t>2026-08-05T04:38:12.341207Z</t>
        </is>
      </c>
      <c r="C26" s="24" t="inlineStr">
        <is>
          <t>2026-08-05T08:00:00Z</t>
        </is>
      </c>
      <c r="D26" s="24" t="inlineStr">
        <is>
          <t>72079</t>
        </is>
      </c>
      <c r="E26" s="24" t="inlineStr">
        <is>
          <t>DOTA2</t>
        </is>
      </c>
      <c r="F26" s="24" t="inlineStr">
        <is>
          <t>Rune Eaters</t>
        </is>
      </c>
      <c r="G26" s="24" t="inlineStr">
        <is>
          <t>Team Resilience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122</v>
      </c>
      <c r="M26" s="27" t="n">
        <v>2.22</v>
      </c>
      <c r="N26" s="28" t="n">
        <v>0.45045</v>
      </c>
      <c r="O26" s="28" t="n">
        <v>0.500216</v>
      </c>
      <c r="P26" s="28" t="n"/>
      <c r="Q26" s="28" t="n">
        <v>0.049766</v>
      </c>
      <c r="R26" s="26" t="n">
        <v>45</v>
      </c>
      <c r="S26" s="29" t="n">
        <v>1</v>
      </c>
      <c r="T26" s="24" t="inlineStr">
        <is>
          <t>dota2-tiered-elo-v6</t>
        </is>
      </c>
      <c r="U26" s="24" t="inlineStr">
        <is>
          <t>settled</t>
        </is>
      </c>
      <c r="V26" s="24" t="inlineStr">
        <is>
          <t>win</t>
        </is>
      </c>
      <c r="W26" s="26" t="n">
        <v>0</v>
      </c>
      <c r="X26" s="26" t="n">
        <v>1</v>
      </c>
      <c r="Y26" s="25" t="n"/>
      <c r="Z26" s="26" t="n">
        <v>122</v>
      </c>
      <c r="AA26" s="28" t="n">
        <v>0.45</v>
      </c>
      <c r="AB26" s="28" t="n">
        <v>-0.00045</v>
      </c>
      <c r="AC26" s="30" t="n">
        <v>1.22</v>
      </c>
      <c r="AD26" s="24" t="inlineStr">
        <is>
          <t>2026-08-05T10:17:02.060126Z</t>
        </is>
      </c>
      <c r="AE26" s="31" t="inlineStr">
        <is>
          <t>Neutral Elo baseline; executable ask 0.4500 (market_slug=aec-dota2-tr-re-2026-08-05).</t>
        </is>
      </c>
      <c r="AF26" s="31" t="inlineStr">
        <is>
          <t>Config-promoted esports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Rune Eaters</t>
        </is>
      </c>
      <c r="AQ26" s="24" t="inlineStr">
        <is>
          <t>Rune Eaters</t>
        </is>
      </c>
      <c r="AR26" s="24" t="inlineStr">
        <is>
          <t>Rune Eaters</t>
        </is>
      </c>
      <c r="AS26" s="24" t="inlineStr">
        <is>
          <t>Team Resilience</t>
        </is>
      </c>
      <c r="AT26" s="24" t="inlineStr">
        <is>
          <t>Team Resilience</t>
        </is>
      </c>
      <c r="AU26" s="24" t="inlineStr">
        <is>
          <t>Team Resilience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2375429151111a3cb0937a48db93b740727ff54a7bd88a5e4f97e0362efce045</t>
        </is>
      </c>
      <c r="BB26" s="24" t="inlineStr">
        <is>
          <t>neutral_elo</t>
        </is>
      </c>
      <c r="BC26" s="24" t="inlineStr">
        <is>
          <t>dota2-tiered-elo-v6</t>
        </is>
      </c>
      <c r="BD26" s="24" t="inlineStr">
        <is>
          <t>2375429151111a3cb0937a48db93b740727ff54a7bd88a5e4f97e0362efce045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dota2-tiered-elo-v6</t>
        </is>
      </c>
      <c r="BH26" s="24" t="inlineStr">
        <is>
          <t>2026-08-05T04:38:08.611098Z</t>
        </is>
      </c>
      <c r="BI26" s="24" t="inlineStr">
        <is>
          <t>["same_event","same_team_same_day","same_league_same_day"]</t>
        </is>
      </c>
      <c r="BJ26" s="25" t="n"/>
      <c r="BK26" s="26" t="n">
        <v>122</v>
      </c>
      <c r="BL26" s="27" t="n">
        <v>2.22</v>
      </c>
      <c r="BM26" s="28" t="n">
        <v>0.45045</v>
      </c>
      <c r="BN26" s="28" t="n"/>
      <c r="BO26" s="28" t="n"/>
      <c r="BP26" s="25" t="n"/>
      <c r="BQ26" s="27" t="n">
        <v>2.22</v>
      </c>
      <c r="BR26" s="28" t="n">
        <v>0.45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</row>
    <row r="27" ht="36" customHeight="1">
      <c r="A27" s="24" t="inlineStr">
        <is>
          <t>38b2b0d956f84f99</t>
        </is>
      </c>
      <c r="B27" s="24" t="inlineStr">
        <is>
          <t>2026-08-05T04:38:12.341207Z</t>
        </is>
      </c>
      <c r="C27" s="24" t="inlineStr">
        <is>
          <t>2026-08-05T09:00:00Z</t>
        </is>
      </c>
      <c r="D27" s="24" t="inlineStr">
        <is>
          <t>71970</t>
        </is>
      </c>
      <c r="E27" s="24" t="inlineStr">
        <is>
          <t>DOTA2</t>
        </is>
      </c>
      <c r="F27" s="24" t="inlineStr">
        <is>
          <t>BetBoom Team</t>
        </is>
      </c>
      <c r="G27" s="24" t="inlineStr">
        <is>
          <t>1win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-113</v>
      </c>
      <c r="M27" s="27" t="n">
        <v>1.884956</v>
      </c>
      <c r="N27" s="28" t="n">
        <v>0.530516</v>
      </c>
      <c r="O27" s="28" t="n">
        <v>0.658681</v>
      </c>
      <c r="P27" s="28" t="n"/>
      <c r="Q27" s="28" t="n">
        <v>0.128165</v>
      </c>
      <c r="R27" s="26" t="n">
        <v>84</v>
      </c>
      <c r="S27" s="29" t="n">
        <v>1.75</v>
      </c>
      <c r="T27" s="24" t="inlineStr">
        <is>
          <t>dota2-tiered-elo-v6</t>
        </is>
      </c>
      <c r="U27" s="24" t="inlineStr">
        <is>
          <t>settled</t>
        </is>
      </c>
      <c r="V27" s="24" t="inlineStr">
        <is>
          <t>loss</t>
        </is>
      </c>
      <c r="W27" s="26" t="n">
        <v>0</v>
      </c>
      <c r="X27" s="26" t="n">
        <v>1</v>
      </c>
      <c r="Y27" s="25" t="n"/>
      <c r="Z27" s="26" t="n">
        <v>-113</v>
      </c>
      <c r="AA27" s="28" t="n">
        <v>0.53</v>
      </c>
      <c r="AB27" s="28" t="n">
        <v>-0.000516</v>
      </c>
      <c r="AC27" s="30" t="n">
        <v>-1.75</v>
      </c>
      <c r="AD27" s="24" t="inlineStr">
        <is>
          <t>2026-08-05T13:50:43.202468Z</t>
        </is>
      </c>
      <c r="AE27" s="31" t="inlineStr">
        <is>
          <t>Neutral Elo baseline; executable ask 0.5300 (market_slug=aec-dota2-1win-bb-2026-08-05).</t>
        </is>
      </c>
      <c r="AF27" s="31" t="inlineStr">
        <is>
          <t>Config-promoted esports baseline; gates enforced at log time.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BetBoom Team</t>
        </is>
      </c>
      <c r="AQ27" s="24" t="inlineStr">
        <is>
          <t>BetBoom Team</t>
        </is>
      </c>
      <c r="AR27" s="24" t="inlineStr">
        <is>
          <t>BetBoom Team</t>
        </is>
      </c>
      <c r="AS27" s="24" t="inlineStr">
        <is>
          <t>1win</t>
        </is>
      </c>
      <c r="AT27" s="24" t="inlineStr">
        <is>
          <t>1win</t>
        </is>
      </c>
      <c r="AU27" s="24" t="inlineStr">
        <is>
          <t>1win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2375429151111a3cb0937a48db93b740727ff54a7bd88a5e4f97e0362efce045</t>
        </is>
      </c>
      <c r="BB27" s="24" t="inlineStr">
        <is>
          <t>neutral_elo</t>
        </is>
      </c>
      <c r="BC27" s="24" t="inlineStr">
        <is>
          <t>dota2-tiered-elo-v6</t>
        </is>
      </c>
      <c r="BD27" s="24" t="inlineStr">
        <is>
          <t>2375429151111a3cb0937a48db93b740727ff54a7bd88a5e4f97e0362efce045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dota2-tiered-elo-v6</t>
        </is>
      </c>
      <c r="BH27" s="24" t="inlineStr">
        <is>
          <t>2026-08-05T04:38:09.196950Z</t>
        </is>
      </c>
      <c r="BI27" s="24" t="inlineStr">
        <is>
          <t>["same_event","same_team_same_day","same_league_same_day"]</t>
        </is>
      </c>
      <c r="BJ27" s="25" t="n"/>
      <c r="BK27" s="26" t="n">
        <v>-113</v>
      </c>
      <c r="BL27" s="27" t="n">
        <v>1.884956</v>
      </c>
      <c r="BM27" s="28" t="n">
        <v>0.530516</v>
      </c>
      <c r="BN27" s="28" t="n"/>
      <c r="BO27" s="28" t="n"/>
      <c r="BP27" s="25" t="n"/>
      <c r="BQ27" s="27" t="n">
        <v>1.884956</v>
      </c>
      <c r="BR27" s="28" t="n">
        <v>0.53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</row>
    <row r="28" ht="36" customHeight="1">
      <c r="A28" s="24" t="inlineStr">
        <is>
          <t>8300edfe97dd4fab</t>
        </is>
      </c>
      <c r="B28" s="24" t="inlineStr">
        <is>
          <t>2026-08-05T10:46:31.198892Z</t>
        </is>
      </c>
      <c r="C28" s="24" t="inlineStr">
        <is>
          <t>2026-08-05T12:00:00Z</t>
        </is>
      </c>
      <c r="D28" s="24" t="inlineStr">
        <is>
          <t>72080</t>
        </is>
      </c>
      <c r="E28" s="24" t="inlineStr">
        <is>
          <t>DOTA2</t>
        </is>
      </c>
      <c r="F28" s="24" t="inlineStr">
        <is>
          <t>Yakult Brothers</t>
        </is>
      </c>
      <c r="G28" s="24" t="inlineStr">
        <is>
          <t>PlayTime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-203</v>
      </c>
      <c r="M28" s="27" t="n">
        <v>1.492611</v>
      </c>
      <c r="N28" s="28" t="n">
        <v>0.669967</v>
      </c>
      <c r="O28" s="28" t="n">
        <v>0.805779</v>
      </c>
      <c r="P28" s="28" t="n"/>
      <c r="Q28" s="28" t="n">
        <v>0.135812</v>
      </c>
      <c r="R28" s="26" t="n">
        <v>88</v>
      </c>
      <c r="S28" s="29" t="n">
        <v>2</v>
      </c>
      <c r="T28" s="24" t="inlineStr">
        <is>
          <t>dota2-tiered-elo-v6</t>
        </is>
      </c>
      <c r="U28" s="24" t="inlineStr">
        <is>
          <t>settled</t>
        </is>
      </c>
      <c r="V28" s="24" t="inlineStr">
        <is>
          <t>win</t>
        </is>
      </c>
      <c r="W28" s="26" t="n">
        <v>0</v>
      </c>
      <c r="X28" s="26" t="n">
        <v>1</v>
      </c>
      <c r="Y28" s="25" t="n"/>
      <c r="Z28" s="26" t="n">
        <v>-203</v>
      </c>
      <c r="AA28" s="28" t="n">
        <v>0.67</v>
      </c>
      <c r="AB28" s="28" t="n">
        <v>3.3e-05</v>
      </c>
      <c r="AC28" s="30" t="n">
        <v>0.9852</v>
      </c>
      <c r="AD28" s="24" t="inlineStr">
        <is>
          <t>2026-08-05T17:00:04.537577Z</t>
        </is>
      </c>
      <c r="AE28" s="31" t="inlineStr">
        <is>
          <t>Neutral Elo baseline; executable ask 0.6700 (market_slug=aec-dota2-pla-yb-2026-08-05).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Yakult Brothers</t>
        </is>
      </c>
      <c r="AQ28" s="24" t="inlineStr">
        <is>
          <t>Yakult Brothers</t>
        </is>
      </c>
      <c r="AR28" s="24" t="inlineStr">
        <is>
          <t>Yakult Brothers</t>
        </is>
      </c>
      <c r="AS28" s="24" t="inlineStr">
        <is>
          <t>PlayTime</t>
        </is>
      </c>
      <c r="AT28" s="24" t="inlineStr">
        <is>
          <t>PlayTime</t>
        </is>
      </c>
      <c r="AU28" s="24" t="inlineStr">
        <is>
          <t>PlayTime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dc641a33858ba89d589d026590c359ae9cf892296ca087b95549769d488c4494</t>
        </is>
      </c>
      <c r="BB28" s="24" t="inlineStr">
        <is>
          <t>neutral_elo</t>
        </is>
      </c>
      <c r="BC28" s="24" t="inlineStr">
        <is>
          <t>dota2-tiered-elo-v6</t>
        </is>
      </c>
      <c r="BD28" s="24" t="inlineStr">
        <is>
          <t>dc641a33858ba89d589d026590c359ae9cf892296ca087b95549769d488c4494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dota2-tiered-elo-v6</t>
        </is>
      </c>
      <c r="BH28" s="24" t="inlineStr">
        <is>
          <t>2026-08-05T10:46:27.725458Z</t>
        </is>
      </c>
      <c r="BI28" s="24" t="inlineStr">
        <is>
          <t>["same_event","same_team_same_day","same_league_same_day"]</t>
        </is>
      </c>
      <c r="BJ28" s="25" t="n"/>
      <c r="BK28" s="26" t="n">
        <v>-203</v>
      </c>
      <c r="BL28" s="27" t="n">
        <v>1.492611</v>
      </c>
      <c r="BM28" s="28" t="n">
        <v>0.669967</v>
      </c>
      <c r="BN28" s="28" t="n"/>
      <c r="BO28" s="28" t="n"/>
      <c r="BP28" s="25" t="n"/>
      <c r="BQ28" s="27" t="n">
        <v>1.492611</v>
      </c>
      <c r="BR28" s="28" t="n">
        <v>0.67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</row>
    <row r="29" ht="36" customHeight="1">
      <c r="A29" s="24" t="inlineStr">
        <is>
          <t>6c2da34bbed748a7</t>
        </is>
      </c>
      <c r="B29" s="24" t="inlineStr">
        <is>
          <t>2026-08-06T00:24:36.791267Z</t>
        </is>
      </c>
      <c r="C29" s="24" t="inlineStr">
        <is>
          <t>2026-08-06T09:00:00Z</t>
        </is>
      </c>
      <c r="D29" s="24" t="inlineStr">
        <is>
          <t>70575</t>
        </is>
      </c>
      <c r="E29" s="24" t="inlineStr">
        <is>
          <t>DOTA2</t>
        </is>
      </c>
      <c r="F29" s="24" t="inlineStr">
        <is>
          <t>RE.Arise</t>
        </is>
      </c>
      <c r="G29" s="24" t="inlineStr">
        <is>
          <t>Level UP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127</v>
      </c>
      <c r="M29" s="27" t="n">
        <v>2.27</v>
      </c>
      <c r="N29" s="28" t="n">
        <v>0.440529</v>
      </c>
      <c r="O29" s="28" t="n">
        <v>0.527212</v>
      </c>
      <c r="P29" s="28" t="n"/>
      <c r="Q29" s="28" t="n">
        <v>0.086683</v>
      </c>
      <c r="R29" s="26" t="n">
        <v>63</v>
      </c>
      <c r="S29" s="29" t="n">
        <v>1</v>
      </c>
      <c r="T29" s="24" t="inlineStr">
        <is>
          <t>dota2-tiered-elo-v6</t>
        </is>
      </c>
      <c r="U29" s="24" t="inlineStr">
        <is>
          <t>settled</t>
        </is>
      </c>
      <c r="V29" s="24" t="inlineStr">
        <is>
          <t>loss</t>
        </is>
      </c>
      <c r="W29" s="26" t="n">
        <v>0</v>
      </c>
      <c r="X29" s="26" t="n">
        <v>1</v>
      </c>
      <c r="Y29" s="25" t="n"/>
      <c r="Z29" s="26" t="n"/>
      <c r="AA29" s="28" t="n"/>
      <c r="AB29" s="28" t="n"/>
      <c r="AC29" s="30" t="n">
        <v>-1</v>
      </c>
      <c r="AD29" s="24" t="inlineStr">
        <is>
          <t>2026-08-06T18:55:16.797850Z</t>
        </is>
      </c>
      <c r="AE29" s="31" t="inlineStr">
        <is>
          <t>Neutral Elo baseline; executable ask 0.4400 (market_slug=aec-dota2-lvlup-rae-2026-08-06).</t>
        </is>
      </c>
      <c r="AF29" s="31" t="inlineStr">
        <is>
          <t>Config-promoted esports baseline; gates enforced at log time.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RE.Arise</t>
        </is>
      </c>
      <c r="AQ29" s="24" t="inlineStr">
        <is>
          <t>RE.Arise</t>
        </is>
      </c>
      <c r="AR29" s="24" t="inlineStr">
        <is>
          <t>RE.Arise</t>
        </is>
      </c>
      <c r="AS29" s="24" t="inlineStr">
        <is>
          <t>Level UP</t>
        </is>
      </c>
      <c r="AT29" s="24" t="inlineStr">
        <is>
          <t>Level UP</t>
        </is>
      </c>
      <c r="AU29" s="24" t="inlineStr">
        <is>
          <t>Level UP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4b65e86ec6027f3de08417af250975d63d7eb48ed52a953720074a1ff26360df</t>
        </is>
      </c>
      <c r="BB29" s="24" t="inlineStr">
        <is>
          <t>neutral_elo</t>
        </is>
      </c>
      <c r="BC29" s="24" t="inlineStr">
        <is>
          <t>dota2-tiered-elo-v6</t>
        </is>
      </c>
      <c r="BD29" s="24" t="inlineStr">
        <is>
          <t>4b65e86ec6027f3de08417af250975d63d7eb48ed52a953720074a1ff26360df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dota2-tiered-elo-v6</t>
        </is>
      </c>
      <c r="BH29" s="24" t="inlineStr">
        <is>
          <t>2026-08-06T00:24:35.411288Z</t>
        </is>
      </c>
      <c r="BI29" s="24" t="inlineStr">
        <is>
          <t>["same_event","same_team_same_day","same_league_same_day"]</t>
        </is>
      </c>
      <c r="BJ29" s="25" t="n"/>
      <c r="BK29" s="26" t="n">
        <v>127</v>
      </c>
      <c r="BL29" s="27" t="n">
        <v>2.27</v>
      </c>
      <c r="BM29" s="28" t="n">
        <v>0.440529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</row>
    <row r="30" ht="36" customHeight="1">
      <c r="A30" s="24" t="inlineStr">
        <is>
          <t>dc2f368de06048d4</t>
        </is>
      </c>
      <c r="B30" s="24" t="inlineStr">
        <is>
          <t>2026-08-06T00:24:36.791267Z</t>
        </is>
      </c>
      <c r="C30" s="24" t="inlineStr">
        <is>
          <t>2026-08-06T12:00:00Z</t>
        </is>
      </c>
      <c r="D30" s="24" t="inlineStr">
        <is>
          <t>70648</t>
        </is>
      </c>
      <c r="E30" s="24" t="inlineStr">
        <is>
          <t>DOTA2</t>
        </is>
      </c>
      <c r="F30" s="24" t="inlineStr">
        <is>
          <t>No Hoodwink</t>
        </is>
      </c>
      <c r="G30" s="24" t="inlineStr">
        <is>
          <t>RE.Arise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133</v>
      </c>
      <c r="M30" s="27" t="n">
        <v>2.33</v>
      </c>
      <c r="N30" s="28" t="n">
        <v>0.429185</v>
      </c>
      <c r="O30" s="28" t="n">
        <v>0.61125</v>
      </c>
      <c r="P30" s="28" t="n"/>
      <c r="Q30" s="28" t="n">
        <v>0.182065</v>
      </c>
      <c r="R30" s="26" t="n">
        <v>100</v>
      </c>
      <c r="S30" s="29" t="n">
        <v>1.5</v>
      </c>
      <c r="T30" s="24" t="inlineStr">
        <is>
          <t>dota2-tiered-elo-v6</t>
        </is>
      </c>
      <c r="U30" s="24" t="inlineStr">
        <is>
          <t>settled</t>
        </is>
      </c>
      <c r="V30" s="24" t="inlineStr">
        <is>
          <t>win</t>
        </is>
      </c>
      <c r="W30" s="26" t="n">
        <v>0</v>
      </c>
      <c r="X30" s="26" t="n">
        <v>1</v>
      </c>
      <c r="Y30" s="25" t="n"/>
      <c r="Z30" s="26" t="n"/>
      <c r="AA30" s="28" t="n"/>
      <c r="AB30" s="28" t="n"/>
      <c r="AC30" s="30" t="n">
        <v>1.995</v>
      </c>
      <c r="AD30" s="24" t="inlineStr">
        <is>
          <t>2026-08-06T18:55:18.434522Z</t>
        </is>
      </c>
      <c r="AE30" s="31" t="inlineStr">
        <is>
          <t>Neutral Elo baseline; executable ask 0.4300 (market_slug=aec-dota2-rae-nh-2026-08-06).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No Hoodwink</t>
        </is>
      </c>
      <c r="AQ30" s="24" t="inlineStr">
        <is>
          <t>No Hoodwink</t>
        </is>
      </c>
      <c r="AR30" s="24" t="inlineStr">
        <is>
          <t>No Hoodwink</t>
        </is>
      </c>
      <c r="AS30" s="24" t="inlineStr">
        <is>
          <t>RE.Arise</t>
        </is>
      </c>
      <c r="AT30" s="24" t="inlineStr">
        <is>
          <t>RE.Arise</t>
        </is>
      </c>
      <c r="AU30" s="24" t="inlineStr">
        <is>
          <t>RE.Arise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4b65e86ec6027f3de08417af250975d63d7eb48ed52a953720074a1ff26360df</t>
        </is>
      </c>
      <c r="BB30" s="24" t="inlineStr">
        <is>
          <t>neutral_elo</t>
        </is>
      </c>
      <c r="BC30" s="24" t="inlineStr">
        <is>
          <t>dota2-tiered-elo-v6</t>
        </is>
      </c>
      <c r="BD30" s="24" t="inlineStr">
        <is>
          <t>4b65e86ec6027f3de08417af250975d63d7eb48ed52a953720074a1ff26360df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dota2-tiered-elo-v6</t>
        </is>
      </c>
      <c r="BH30" s="24" t="inlineStr">
        <is>
          <t>2026-08-06T00:24:35.868255Z</t>
        </is>
      </c>
      <c r="BI30" s="24" t="inlineStr">
        <is>
          <t>["same_event","same_team_same_day","same_league_same_day"]</t>
        </is>
      </c>
      <c r="BJ30" s="25" t="n"/>
      <c r="BK30" s="26" t="n">
        <v>133</v>
      </c>
      <c r="BL30" s="27" t="n">
        <v>2.33</v>
      </c>
      <c r="BM30" s="28" t="n">
        <v>0.429185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</row>
    <row r="31" ht="36" customHeight="1">
      <c r="A31" s="24" t="inlineStr">
        <is>
          <t>6d583ae5811d479e</t>
        </is>
      </c>
      <c r="B31" s="24" t="inlineStr">
        <is>
          <t>2026-08-06T00:24:36.791267Z</t>
        </is>
      </c>
      <c r="C31" s="24" t="inlineStr">
        <is>
          <t>2026-08-06T15:00:00Z</t>
        </is>
      </c>
      <c r="D31" s="24" t="inlineStr">
        <is>
          <t>70732</t>
        </is>
      </c>
      <c r="E31" s="24" t="inlineStr">
        <is>
          <t>DOTA2</t>
        </is>
      </c>
      <c r="F31" s="24" t="inlineStr">
        <is>
          <t>Level UP</t>
        </is>
      </c>
      <c r="G31" s="24" t="inlineStr">
        <is>
          <t>No Hoodwink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-138</v>
      </c>
      <c r="M31" s="27" t="n">
        <v>1.724638</v>
      </c>
      <c r="N31" s="28" t="n">
        <v>0.579832</v>
      </c>
      <c r="O31" s="28" t="n">
        <v>0.55707</v>
      </c>
      <c r="P31" s="28" t="n"/>
      <c r="Q31" s="28" t="n">
        <v>-0.022762</v>
      </c>
      <c r="R31" s="26" t="n">
        <v>9</v>
      </c>
      <c r="S31" s="29" t="n">
        <v>0</v>
      </c>
      <c r="T31" s="24" t="inlineStr">
        <is>
          <t>dota2-tiered-elo-v6</t>
        </is>
      </c>
      <c r="U31" s="24" t="inlineStr">
        <is>
          <t>settled</t>
        </is>
      </c>
      <c r="V31" s="24" t="inlineStr">
        <is>
          <t>win</t>
        </is>
      </c>
      <c r="W31" s="26" t="n">
        <v>1</v>
      </c>
      <c r="X31" s="26" t="n">
        <v>0</v>
      </c>
      <c r="Y31" s="25" t="n"/>
      <c r="Z31" s="26" t="n"/>
      <c r="AA31" s="28" t="n"/>
      <c r="AB31" s="28" t="n"/>
      <c r="AC31" s="30" t="n">
        <v>0</v>
      </c>
      <c r="AD31" s="24" t="inlineStr">
        <is>
          <t>2026-08-07T06:00:37.794982Z</t>
        </is>
      </c>
      <c r="AE31" s="31" t="inlineStr">
        <is>
          <t>Neutral Elo baseline; executable ask 0.5800 (market_slug=aec-dota2-nh-lvlup-2026-08-06).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NO_CALL_WINNER_OVERVALUED</t>
        </is>
      </c>
      <c r="AP31" s="24" t="inlineStr">
        <is>
          <t>Level UP</t>
        </is>
      </c>
      <c r="AQ31" s="24" t="inlineStr">
        <is>
          <t>Level UP</t>
        </is>
      </c>
      <c r="AR31" s="24" t="inlineStr">
        <is>
          <t>Level UP</t>
        </is>
      </c>
      <c r="AS31" s="24" t="inlineStr">
        <is>
          <t>No Hoodwink</t>
        </is>
      </c>
      <c r="AT31" s="24" t="inlineStr">
        <is>
          <t>No Hoodwink</t>
        </is>
      </c>
      <c r="AU31" s="24" t="inlineStr">
        <is>
          <t>No Hoodwink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4b65e86ec6027f3de08417af250975d63d7eb48ed52a953720074a1ff26360df</t>
        </is>
      </c>
      <c r="BB31" s="24" t="inlineStr">
        <is>
          <t>neutral_elo</t>
        </is>
      </c>
      <c r="BC31" s="24" t="inlineStr">
        <is>
          <t>dota2-tiered-elo-v6</t>
        </is>
      </c>
      <c r="BD31" s="24" t="inlineStr">
        <is>
          <t>4b65e86ec6027f3de08417af250975d63d7eb48ed52a953720074a1ff26360df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dota2-tiered-elo-v6</t>
        </is>
      </c>
      <c r="BH31" s="24" t="inlineStr">
        <is>
          <t>2026-08-06T00:24:36.336119Z</t>
        </is>
      </c>
      <c r="BI31" s="24" t="inlineStr">
        <is>
          <t>["same_event","same_team_same_day","same_league_same_day"]</t>
        </is>
      </c>
      <c r="BJ31" s="25" t="n"/>
      <c r="BK31" s="26" t="n">
        <v>-138</v>
      </c>
      <c r="BL31" s="27" t="n">
        <v>1.724638</v>
      </c>
      <c r="BM31" s="28" t="n">
        <v>0.579832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</row>
    <row r="32" ht="36" customHeight="1">
      <c r="A32" s="24" t="inlineStr">
        <is>
          <t>f9b4255a13754545</t>
        </is>
      </c>
      <c r="B32" s="24" t="inlineStr">
        <is>
          <t>2026-08-07T06:05:31.608591Z</t>
        </is>
      </c>
      <c r="C32" s="24" t="inlineStr">
        <is>
          <t>2026-08-07T09:00:00Z</t>
        </is>
      </c>
      <c r="D32" s="24" t="inlineStr">
        <is>
          <t>71682</t>
        </is>
      </c>
      <c r="E32" s="24" t="inlineStr">
        <is>
          <t>DOTA2</t>
        </is>
      </c>
      <c r="F32" s="24" t="inlineStr">
        <is>
          <t>Zero Tenacity</t>
        </is>
      </c>
      <c r="G32" s="24" t="inlineStr">
        <is>
          <t>No Hoodwink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-133</v>
      </c>
      <c r="M32" s="27" t="n">
        <v>1.75188</v>
      </c>
      <c r="N32" s="28" t="n">
        <v>0.570815</v>
      </c>
      <c r="O32" s="28" t="n">
        <v>0.655357</v>
      </c>
      <c r="P32" s="28" t="n"/>
      <c r="Q32" s="28" t="n">
        <v>0.08454200000000001</v>
      </c>
      <c r="R32" s="26" t="n">
        <v>62</v>
      </c>
      <c r="S32" s="29" t="n">
        <v>1.75</v>
      </c>
      <c r="T32" s="24" t="inlineStr">
        <is>
          <t>dota2-tiered-elo-v6</t>
        </is>
      </c>
      <c r="U32" s="24" t="inlineStr">
        <is>
          <t>settled</t>
        </is>
      </c>
      <c r="V32" s="24" t="inlineStr">
        <is>
          <t>win</t>
        </is>
      </c>
      <c r="W32" s="26" t="n">
        <v>1</v>
      </c>
      <c r="X32" s="26" t="n">
        <v>0</v>
      </c>
      <c r="Y32" s="25" t="n"/>
      <c r="Z32" s="26" t="n">
        <v>-133</v>
      </c>
      <c r="AA32" s="28" t="n">
        <v>0.57</v>
      </c>
      <c r="AB32" s="28" t="n">
        <v>-0.000815</v>
      </c>
      <c r="AC32" s="30" t="n">
        <v>1.3158</v>
      </c>
      <c r="AD32" s="24" t="inlineStr">
        <is>
          <t>2026-08-07T12:13:02.922338Z</t>
        </is>
      </c>
      <c r="AE32" s="31" t="inlineStr">
        <is>
          <t>Neutral Elo baseline; executable ask 0.5700 (market_slug=aec-dota2-nh-z10-2026-08-07).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Zero Tenacity</t>
        </is>
      </c>
      <c r="AQ32" s="24" t="inlineStr">
        <is>
          <t>Zero Tenacity</t>
        </is>
      </c>
      <c r="AR32" s="24" t="inlineStr">
        <is>
          <t>Zero Tenacity</t>
        </is>
      </c>
      <c r="AS32" s="24" t="inlineStr">
        <is>
          <t>No Hoodwink</t>
        </is>
      </c>
      <c r="AT32" s="24" t="inlineStr">
        <is>
          <t>No Hoodwink</t>
        </is>
      </c>
      <c r="AU32" s="24" t="inlineStr">
        <is>
          <t>No Hoodwink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b5735afe41509d1bfa8df2510b921846426862fa58936449e65c5e162a34c4c8</t>
        </is>
      </c>
      <c r="BB32" s="24" t="inlineStr">
        <is>
          <t>neutral_elo</t>
        </is>
      </c>
      <c r="BC32" s="24" t="inlineStr">
        <is>
          <t>dota2-tiered-elo-v6</t>
        </is>
      </c>
      <c r="BD32" s="24" t="inlineStr">
        <is>
          <t>b5735afe41509d1bfa8df2510b921846426862fa58936449e65c5e162a34c4c8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dota2-tiered-elo-v6</t>
        </is>
      </c>
      <c r="BH32" s="24" t="inlineStr">
        <is>
          <t>2026-08-07T06:05:28.583196Z</t>
        </is>
      </c>
      <c r="BI32" s="24" t="inlineStr">
        <is>
          <t>["same_event","same_team_same_day","same_league_same_day"]</t>
        </is>
      </c>
      <c r="BJ32" s="25" t="n"/>
      <c r="BK32" s="26" t="n">
        <v>-133</v>
      </c>
      <c r="BL32" s="27" t="n">
        <v>1.75188</v>
      </c>
      <c r="BM32" s="28" t="n">
        <v>0.570815</v>
      </c>
      <c r="BN32" s="28" t="n"/>
      <c r="BO32" s="28" t="n"/>
      <c r="BP32" s="25" t="n"/>
      <c r="BQ32" s="27" t="n">
        <v>1.75188</v>
      </c>
      <c r="BR32" s="28" t="n">
        <v>0.57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</row>
    <row r="33" ht="36" customHeight="1">
      <c r="A33" s="24" t="inlineStr">
        <is>
          <t>8f3474fb76404d02</t>
        </is>
      </c>
      <c r="B33" s="24" t="inlineStr">
        <is>
          <t>2026-08-07T09:11:24.357961Z</t>
        </is>
      </c>
      <c r="C33" s="24" t="inlineStr">
        <is>
          <t>2026-08-07T12:00:00Z</t>
        </is>
      </c>
      <c r="D33" s="24" t="inlineStr">
        <is>
          <t>71775</t>
        </is>
      </c>
      <c r="E33" s="24" t="inlineStr">
        <is>
          <t>DOTA2</t>
        </is>
      </c>
      <c r="F33" s="24" t="inlineStr">
        <is>
          <t>Team Syntax</t>
        </is>
      </c>
      <c r="G33" s="24" t="inlineStr">
        <is>
          <t>Ilbirs eSports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150</v>
      </c>
      <c r="M33" s="27" t="n">
        <v>2.5</v>
      </c>
      <c r="N33" s="28" t="n">
        <v>0.4</v>
      </c>
      <c r="O33" s="28" t="n">
        <v>0.534269</v>
      </c>
      <c r="P33" s="28" t="n"/>
      <c r="Q33" s="28" t="n">
        <v>0.134269</v>
      </c>
      <c r="R33" s="26" t="n">
        <v>87</v>
      </c>
      <c r="S33" s="29" t="n">
        <v>1</v>
      </c>
      <c r="T33" s="24" t="inlineStr">
        <is>
          <t>dota2-tiered-elo-v6</t>
        </is>
      </c>
      <c r="U33" s="24" t="inlineStr">
        <is>
          <t>settled</t>
        </is>
      </c>
      <c r="V33" s="24" t="inlineStr">
        <is>
          <t>loss</t>
        </is>
      </c>
      <c r="W33" s="26" t="n">
        <v>0</v>
      </c>
      <c r="X33" s="26" t="n">
        <v>1</v>
      </c>
      <c r="Y33" s="25" t="n"/>
      <c r="Z33" s="26" t="n">
        <v>150</v>
      </c>
      <c r="AA33" s="28" t="n">
        <v>0.4</v>
      </c>
      <c r="AB33" s="28" t="n">
        <v>0</v>
      </c>
      <c r="AC33" s="30" t="n">
        <v>-1</v>
      </c>
      <c r="AD33" s="24" t="inlineStr">
        <is>
          <t>2026-08-07T15:18:45.404133Z</t>
        </is>
      </c>
      <c r="AE33" s="31" t="inlineStr">
        <is>
          <t>Neutral Elo baseline; executable ask 0.4000 (market_slug=aec-dota2-ill-stx-2026-08-07).</t>
        </is>
      </c>
      <c r="AF33" s="31" t="inlineStr">
        <is>
          <t>Config-promoted esports baseline; gates enforced at log time.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Team Syntax</t>
        </is>
      </c>
      <c r="AQ33" s="24" t="inlineStr">
        <is>
          <t>Team Syntax</t>
        </is>
      </c>
      <c r="AR33" s="24" t="inlineStr">
        <is>
          <t>Team Syntax</t>
        </is>
      </c>
      <c r="AS33" s="24" t="inlineStr">
        <is>
          <t>Ilbirs eSports</t>
        </is>
      </c>
      <c r="AT33" s="24" t="inlineStr">
        <is>
          <t>Ilbirs eSports</t>
        </is>
      </c>
      <c r="AU33" s="24" t="inlineStr">
        <is>
          <t>Ilbirs eSports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f9dedaeb469ef593cde46debd4929efce40f56a153d988595b6823ce5dad05ca</t>
        </is>
      </c>
      <c r="BB33" s="24" t="inlineStr">
        <is>
          <t>neutral_elo</t>
        </is>
      </c>
      <c r="BC33" s="24" t="inlineStr">
        <is>
          <t>dota2-tiered-elo-v6</t>
        </is>
      </c>
      <c r="BD33" s="24" t="inlineStr">
        <is>
          <t>f9dedaeb469ef593cde46debd4929efce40f56a153d988595b6823ce5dad05ca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dota2-tiered-elo-v6</t>
        </is>
      </c>
      <c r="BH33" s="24" t="inlineStr">
        <is>
          <t>2026-08-07T09:11:20.860338Z</t>
        </is>
      </c>
      <c r="BI33" s="24" t="inlineStr">
        <is>
          <t>["same_event","same_team_same_day","same_league_same_day"]</t>
        </is>
      </c>
      <c r="BJ33" s="25" t="n"/>
      <c r="BK33" s="26" t="n">
        <v>150</v>
      </c>
      <c r="BL33" s="27" t="n">
        <v>2.5</v>
      </c>
      <c r="BM33" s="28" t="n">
        <v>0.4</v>
      </c>
      <c r="BN33" s="28" t="n"/>
      <c r="BO33" s="28" t="n"/>
      <c r="BP33" s="25" t="n"/>
      <c r="BQ33" s="27" t="n">
        <v>2.5</v>
      </c>
      <c r="BR33" s="28" t="n">
        <v>0.4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</row>
    <row r="34" ht="36" customHeight="1">
      <c r="A34" s="24" t="inlineStr">
        <is>
          <t>2c074976bc35472a</t>
        </is>
      </c>
      <c r="B34" s="24" t="inlineStr">
        <is>
          <t>2026-08-07T12:17:12.940920Z</t>
        </is>
      </c>
      <c r="C34" s="24" t="inlineStr">
        <is>
          <t>2026-08-07T15:00:00Z</t>
        </is>
      </c>
      <c r="D34" s="24" t="inlineStr">
        <is>
          <t>71907</t>
        </is>
      </c>
      <c r="E34" s="24" t="inlineStr">
        <is>
          <t>DOTA2</t>
        </is>
      </c>
      <c r="F34" s="24" t="inlineStr">
        <is>
          <t>Team Jenz</t>
        </is>
      </c>
      <c r="G34" s="24" t="inlineStr">
        <is>
          <t>Power Rangers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-213</v>
      </c>
      <c r="M34" s="27" t="n">
        <v>1.469484</v>
      </c>
      <c r="N34" s="28" t="n">
        <v>0.680511</v>
      </c>
      <c r="O34" s="28" t="n">
        <v>0.659257</v>
      </c>
      <c r="P34" s="28" t="n"/>
      <c r="Q34" s="28" t="n">
        <v>-0.021254</v>
      </c>
      <c r="R34" s="26" t="n">
        <v>9</v>
      </c>
      <c r="S34" s="29" t="n">
        <v>0</v>
      </c>
      <c r="T34" s="24" t="inlineStr">
        <is>
          <t>dota2-tiered-elo-v6</t>
        </is>
      </c>
      <c r="U34" s="24" t="inlineStr">
        <is>
          <t>open</t>
        </is>
      </c>
      <c r="V34" s="24" t="n"/>
      <c r="W34" s="26" t="n"/>
      <c r="X34" s="26" t="n"/>
      <c r="Y34" s="25" t="n"/>
      <c r="Z34" s="26" t="n"/>
      <c r="AA34" s="28" t="n"/>
      <c r="AB34" s="28" t="n"/>
      <c r="AC34" s="30" t="n"/>
      <c r="AD34" s="24" t="n"/>
      <c r="AE34" s="31" t="inlineStr">
        <is>
          <t>Neutral Elo baseline; executable ask 0.6800 (market_slug=aec-dota2-pr-tje-2026-08-07).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NO_CALL_WINNER_OVERVALUED</t>
        </is>
      </c>
      <c r="AP34" s="24" t="inlineStr">
        <is>
          <t>Team Jenz</t>
        </is>
      </c>
      <c r="AQ34" s="24" t="inlineStr">
        <is>
          <t>Team Jenz</t>
        </is>
      </c>
      <c r="AR34" s="24" t="inlineStr">
        <is>
          <t>Team Jenz</t>
        </is>
      </c>
      <c r="AS34" s="24" t="inlineStr">
        <is>
          <t>Power Rangers</t>
        </is>
      </c>
      <c r="AT34" s="24" t="inlineStr">
        <is>
          <t>Power Rangers</t>
        </is>
      </c>
      <c r="AU34" s="24" t="inlineStr">
        <is>
          <t>Power Rangers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007188172239d3dfb1106fac54f73170318b23e441cc93d6e8e709844ef5fc38</t>
        </is>
      </c>
      <c r="BB34" s="24" t="inlineStr">
        <is>
          <t>neutral_elo</t>
        </is>
      </c>
      <c r="BC34" s="24" t="inlineStr">
        <is>
          <t>dota2-tiered-elo-v6</t>
        </is>
      </c>
      <c r="BD34" s="24" t="inlineStr">
        <is>
          <t>007188172239d3dfb1106fac54f73170318b23e441cc93d6e8e709844ef5fc38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dota2-tiered-elo-v6</t>
        </is>
      </c>
      <c r="BH34" s="24" t="inlineStr">
        <is>
          <t>2026-08-07T12:17:10.694583Z</t>
        </is>
      </c>
      <c r="BI34" s="24" t="inlineStr">
        <is>
          <t>["same_event","same_team_same_day","same_league_same_day"]</t>
        </is>
      </c>
      <c r="BJ34" s="25" t="n"/>
      <c r="BK34" s="26" t="n">
        <v>-213</v>
      </c>
      <c r="BL34" s="27" t="n">
        <v>1.469484</v>
      </c>
      <c r="BM34" s="28" t="n">
        <v>0.680511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False</t>
        </is>
      </c>
    </row>
    <row r="35" ht="36" customHeight="1">
      <c r="A35" s="24" t="inlineStr">
        <is>
          <t>9ca73c7d5d2943e8</t>
        </is>
      </c>
      <c r="B35" s="24" t="inlineStr">
        <is>
          <t>2026-08-07T15:23:55.158135Z</t>
        </is>
      </c>
      <c r="C35" s="24" t="inlineStr">
        <is>
          <t>2026-08-07T18:00:00Z</t>
        </is>
      </c>
      <c r="D35" s="24" t="inlineStr">
        <is>
          <t>72081</t>
        </is>
      </c>
      <c r="E35" s="24" t="inlineStr">
        <is>
          <t>DOTA2</t>
        </is>
      </c>
      <c r="F35" s="24" t="inlineStr">
        <is>
          <t>Nemiga Gaming</t>
        </is>
      </c>
      <c r="G35" s="24" t="inlineStr">
        <is>
          <t>Team Jenz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-150</v>
      </c>
      <c r="M35" s="27" t="n">
        <v>1.666667</v>
      </c>
      <c r="N35" s="28" t="n">
        <v>0.6</v>
      </c>
      <c r="O35" s="28" t="n">
        <v>0.602486</v>
      </c>
      <c r="P35" s="28" t="n"/>
      <c r="Q35" s="28" t="n">
        <v>0.002486</v>
      </c>
      <c r="R35" s="26" t="n">
        <v>21</v>
      </c>
      <c r="S35" s="29" t="n">
        <v>0</v>
      </c>
      <c r="T35" s="24" t="inlineStr">
        <is>
          <t>dota2-tiered-elo-v6</t>
        </is>
      </c>
      <c r="U35" s="24" t="inlineStr">
        <is>
          <t>open</t>
        </is>
      </c>
      <c r="V35" s="24" t="n"/>
      <c r="W35" s="26" t="n"/>
      <c r="X35" s="26" t="n"/>
      <c r="Y35" s="25" t="n"/>
      <c r="Z35" s="26" t="n"/>
      <c r="AA35" s="28" t="n"/>
      <c r="AB35" s="28" t="n"/>
      <c r="AC35" s="30" t="n"/>
      <c r="AD35" s="24" t="n"/>
      <c r="AE35" s="31" t="inlineStr">
        <is>
          <t>Neutral Elo baseline; executable ask 0.6000 (market_slug=aec-dota2-tje-nemiga-2026-08-07).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NO_CALL_WINNER_OVERVALUED</t>
        </is>
      </c>
      <c r="AP35" s="24" t="inlineStr">
        <is>
          <t>Nemiga Gaming</t>
        </is>
      </c>
      <c r="AQ35" s="24" t="inlineStr">
        <is>
          <t>Nemiga Gaming</t>
        </is>
      </c>
      <c r="AR35" s="24" t="inlineStr">
        <is>
          <t>Nemiga Gaming</t>
        </is>
      </c>
      <c r="AS35" s="24" t="inlineStr">
        <is>
          <t>Team Jenz</t>
        </is>
      </c>
      <c r="AT35" s="24" t="inlineStr">
        <is>
          <t>Team Jenz</t>
        </is>
      </c>
      <c r="AU35" s="24" t="inlineStr">
        <is>
          <t>Team Jenz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c3ccf6a5a853bf09f9c7ad7a3e7bb20f0df6d66be999c1fcc3b13debd13b244b</t>
        </is>
      </c>
      <c r="BB35" s="24" t="inlineStr">
        <is>
          <t>neutral_elo</t>
        </is>
      </c>
      <c r="BC35" s="24" t="inlineStr">
        <is>
          <t>dota2-tiered-elo-v6</t>
        </is>
      </c>
      <c r="BD35" s="24" t="inlineStr">
        <is>
          <t>c3ccf6a5a853bf09f9c7ad7a3e7bb20f0df6d66be999c1fcc3b13debd13b244b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dota2-tiered-elo-v6</t>
        </is>
      </c>
      <c r="BH35" s="24" t="inlineStr">
        <is>
          <t>2026-08-07T15:23:53.673514Z</t>
        </is>
      </c>
      <c r="BI35" s="24" t="inlineStr">
        <is>
          <t>["same_event","same_team_same_day","same_league_same_day"]</t>
        </is>
      </c>
      <c r="BJ35" s="25" t="n"/>
      <c r="BK35" s="26" t="n">
        <v>-150</v>
      </c>
      <c r="BL35" s="27" t="n">
        <v>1.666667</v>
      </c>
      <c r="BM35" s="28" t="n">
        <v>0.6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</row>
    <row r="36" ht="36" customHeight="1">
      <c r="A36" s="24" t="inlineStr">
        <is>
          <t>374baf4ba0594e7d</t>
        </is>
      </c>
      <c r="B36" s="24" t="inlineStr">
        <is>
          <t>2026-08-07T15:23:55.158135Z</t>
        </is>
      </c>
      <c r="C36" s="24" t="inlineStr">
        <is>
          <t>2026-08-07T18:00:00Z</t>
        </is>
      </c>
      <c r="D36" s="24" t="inlineStr">
        <is>
          <t>74328</t>
        </is>
      </c>
      <c r="E36" s="24" t="inlineStr">
        <is>
          <t>DOTA2</t>
        </is>
      </c>
      <c r="F36" s="24" t="inlineStr">
        <is>
          <t>Team Lynx</t>
        </is>
      </c>
      <c r="G36" s="24" t="inlineStr">
        <is>
          <t>PuckChamp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-122</v>
      </c>
      <c r="M36" s="27" t="n">
        <v>1.819672</v>
      </c>
      <c r="N36" s="28" t="n">
        <v>0.54955</v>
      </c>
      <c r="O36" s="28" t="n">
        <v>0.535813</v>
      </c>
      <c r="P36" s="28" t="n"/>
      <c r="Q36" s="28" t="n">
        <v>-0.013737</v>
      </c>
      <c r="R36" s="26" t="n">
        <v>13</v>
      </c>
      <c r="S36" s="29" t="n">
        <v>0</v>
      </c>
      <c r="T36" s="24" t="inlineStr">
        <is>
          <t>dota2-tiered-elo-v6</t>
        </is>
      </c>
      <c r="U36" s="24" t="inlineStr">
        <is>
          <t>open</t>
        </is>
      </c>
      <c r="V36" s="24" t="n"/>
      <c r="W36" s="26" t="n"/>
      <c r="X36" s="26" t="n"/>
      <c r="Y36" s="25" t="n"/>
      <c r="Z36" s="26" t="n"/>
      <c r="AA36" s="28" t="n"/>
      <c r="AB36" s="28" t="n"/>
      <c r="AC36" s="30" t="n"/>
      <c r="AD36" s="24" t="n"/>
      <c r="AE36" s="31" t="inlineStr">
        <is>
          <t>Neutral Elo baseline; executable ask 0.5500 (market_slug=aec-dota2-pckcp-lynx-2026-08-07).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NO_CALL_WINNER_OVERVALUED</t>
        </is>
      </c>
      <c r="AP36" s="24" t="inlineStr">
        <is>
          <t>Team Lynx</t>
        </is>
      </c>
      <c r="AQ36" s="24" t="inlineStr">
        <is>
          <t>Team Lynx</t>
        </is>
      </c>
      <c r="AR36" s="24" t="inlineStr">
        <is>
          <t>Team Lynx</t>
        </is>
      </c>
      <c r="AS36" s="24" t="inlineStr">
        <is>
          <t>PuckChamp</t>
        </is>
      </c>
      <c r="AT36" s="24" t="inlineStr">
        <is>
          <t>PuckChamp</t>
        </is>
      </c>
      <c r="AU36" s="24" t="inlineStr">
        <is>
          <t>PuckChamp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c3ccf6a5a853bf09f9c7ad7a3e7bb20f0df6d66be999c1fcc3b13debd13b244b</t>
        </is>
      </c>
      <c r="BB36" s="24" t="inlineStr">
        <is>
          <t>neutral_elo</t>
        </is>
      </c>
      <c r="BC36" s="24" t="inlineStr">
        <is>
          <t>dota2-tiered-elo-v6</t>
        </is>
      </c>
      <c r="BD36" s="24" t="inlineStr">
        <is>
          <t>c3ccf6a5a853bf09f9c7ad7a3e7bb20f0df6d66be999c1fcc3b13debd13b244b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dota2-tiered-elo-v6</t>
        </is>
      </c>
      <c r="BH36" s="24" t="inlineStr">
        <is>
          <t>2026-08-07T15:23:54.153981Z</t>
        </is>
      </c>
      <c r="BI36" s="24" t="inlineStr">
        <is>
          <t>["same_event","same_team_same_day","same_league_same_day"]</t>
        </is>
      </c>
      <c r="BJ36" s="25" t="n"/>
      <c r="BK36" s="26" t="n">
        <v>-122</v>
      </c>
      <c r="BL36" s="27" t="n">
        <v>1.819672</v>
      </c>
      <c r="BM36" s="28" t="n">
        <v>0.54955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False</t>
        </is>
      </c>
    </row>
    <row r="37" ht="36" customHeight="1">
      <c r="A37" s="24" t="inlineStr">
        <is>
          <t>f2a22c6d33dc4a36</t>
        </is>
      </c>
      <c r="B37" s="24" t="inlineStr">
        <is>
          <t>2026-08-07T15:23:55.158135Z</t>
        </is>
      </c>
      <c r="C37" s="24" t="inlineStr">
        <is>
          <t>2026-08-08T09:00:00Z</t>
        </is>
      </c>
      <c r="D37" s="24" t="inlineStr">
        <is>
          <t>72729</t>
        </is>
      </c>
      <c r="E37" s="24" t="inlineStr">
        <is>
          <t>DOTA2</t>
        </is>
      </c>
      <c r="F37" s="24" t="inlineStr">
        <is>
          <t>Team Syntax</t>
        </is>
      </c>
      <c r="G37" s="24" t="inlineStr">
        <is>
          <t>Power Rangers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163</v>
      </c>
      <c r="M37" s="27" t="n">
        <v>2.63</v>
      </c>
      <c r="N37" s="28" t="n">
        <v>0.380228</v>
      </c>
      <c r="O37" s="28" t="n">
        <v>0.645469</v>
      </c>
      <c r="P37" s="28" t="n"/>
      <c r="Q37" s="28" t="n">
        <v>0.265241</v>
      </c>
      <c r="R37" s="26" t="n">
        <v>100</v>
      </c>
      <c r="S37" s="29" t="n">
        <v>1.75</v>
      </c>
      <c r="T37" s="24" t="inlineStr">
        <is>
          <t>dota2-tiered-elo-v6</t>
        </is>
      </c>
      <c r="U37" s="24" t="inlineStr">
        <is>
          <t>open</t>
        </is>
      </c>
      <c r="V37" s="24" t="n"/>
      <c r="W37" s="26" t="n"/>
      <c r="X37" s="26" t="n"/>
      <c r="Y37" s="25" t="n"/>
      <c r="Z37" s="26" t="n"/>
      <c r="AA37" s="28" t="n"/>
      <c r="AB37" s="28" t="n"/>
      <c r="AC37" s="30" t="n"/>
      <c r="AD37" s="24" t="n"/>
      <c r="AE37" s="31" t="inlineStr">
        <is>
          <t>Neutral Elo baseline; executable ask 0.3800 (market_slug=aec-dota2-pr-stx-2026-08-08).</t>
        </is>
      </c>
      <c r="AF37" s="31" t="inlineStr">
        <is>
          <t>Config-promoted esports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Team Syntax</t>
        </is>
      </c>
      <c r="AQ37" s="24" t="inlineStr">
        <is>
          <t>Team Syntax</t>
        </is>
      </c>
      <c r="AR37" s="24" t="inlineStr">
        <is>
          <t>Team Syntax</t>
        </is>
      </c>
      <c r="AS37" s="24" t="inlineStr">
        <is>
          <t>Power Rangers</t>
        </is>
      </c>
      <c r="AT37" s="24" t="inlineStr">
        <is>
          <t>Power Rangers</t>
        </is>
      </c>
      <c r="AU37" s="24" t="inlineStr">
        <is>
          <t>Power Rangers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c3ccf6a5a853bf09f9c7ad7a3e7bb20f0df6d66be999c1fcc3b13debd13b244b</t>
        </is>
      </c>
      <c r="BB37" s="24" t="inlineStr">
        <is>
          <t>neutral_elo</t>
        </is>
      </c>
      <c r="BC37" s="24" t="inlineStr">
        <is>
          <t>dota2-tiered-elo-v6</t>
        </is>
      </c>
      <c r="BD37" s="24" t="inlineStr">
        <is>
          <t>c3ccf6a5a853bf09f9c7ad7a3e7bb20f0df6d66be999c1fcc3b13debd13b244b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dota2-tiered-elo-v6</t>
        </is>
      </c>
      <c r="BH37" s="24" t="inlineStr">
        <is>
          <t>2026-08-07T15:23:54.650443Z</t>
        </is>
      </c>
      <c r="BI37" s="24" t="inlineStr">
        <is>
          <t>["same_event","same_team_same_day","same_league_same_day"]</t>
        </is>
      </c>
      <c r="BJ37" s="25" t="n"/>
      <c r="BK37" s="26" t="n">
        <v>163</v>
      </c>
      <c r="BL37" s="27" t="n">
        <v>2.63</v>
      </c>
      <c r="BM37" s="28" t="n">
        <v>0.380228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</row>
    <row r="38" ht="36" customHeight="1">
      <c r="A38" s="24" t="inlineStr">
        <is>
          <t>5a53c162faa5448f</t>
        </is>
      </c>
      <c r="B38" s="24" t="inlineStr">
        <is>
          <t>2026-08-07T15:23:55.158135Z</t>
        </is>
      </c>
      <c r="C38" s="24" t="inlineStr">
        <is>
          <t>2026-08-08T09:00:00Z</t>
        </is>
      </c>
      <c r="D38" s="24" t="inlineStr">
        <is>
          <t>74329</t>
        </is>
      </c>
      <c r="E38" s="24" t="inlineStr">
        <is>
          <t>DOTA2</t>
        </is>
      </c>
      <c r="F38" s="24" t="inlineStr">
        <is>
          <t>No Hoodwink</t>
        </is>
      </c>
      <c r="G38" s="24" t="inlineStr">
        <is>
          <t>Ilbirs eSports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163</v>
      </c>
      <c r="M38" s="27" t="n">
        <v>2.63</v>
      </c>
      <c r="N38" s="28" t="n">
        <v>0.380228</v>
      </c>
      <c r="O38" s="28" t="n">
        <v>0.681484</v>
      </c>
      <c r="P38" s="28" t="n"/>
      <c r="Q38" s="28" t="n">
        <v>0.301256</v>
      </c>
      <c r="R38" s="26" t="n">
        <v>100</v>
      </c>
      <c r="S38" s="29" t="n">
        <v>2</v>
      </c>
      <c r="T38" s="24" t="inlineStr">
        <is>
          <t>dota2-tiered-elo-v6</t>
        </is>
      </c>
      <c r="U38" s="24" t="inlineStr">
        <is>
          <t>open</t>
        </is>
      </c>
      <c r="V38" s="24" t="n"/>
      <c r="W38" s="26" t="n"/>
      <c r="X38" s="26" t="n"/>
      <c r="Y38" s="25" t="n"/>
      <c r="Z38" s="26" t="n"/>
      <c r="AA38" s="28" t="n"/>
      <c r="AB38" s="28" t="n"/>
      <c r="AC38" s="30" t="n"/>
      <c r="AD38" s="24" t="n"/>
      <c r="AE38" s="31" t="inlineStr">
        <is>
          <t>Neutral Elo baseline; executable ask 0.3800 (market_slug=aec-dota2-ill-nh-2026-08-08).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No Hoodwink</t>
        </is>
      </c>
      <c r="AQ38" s="24" t="inlineStr">
        <is>
          <t>No Hoodwink</t>
        </is>
      </c>
      <c r="AR38" s="24" t="inlineStr">
        <is>
          <t>No Hoodwink</t>
        </is>
      </c>
      <c r="AS38" s="24" t="inlineStr">
        <is>
          <t>Ilbirs eSports</t>
        </is>
      </c>
      <c r="AT38" s="24" t="inlineStr">
        <is>
          <t>Ilbirs eSports</t>
        </is>
      </c>
      <c r="AU38" s="24" t="inlineStr">
        <is>
          <t>Ilbirs eSports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c3ccf6a5a853bf09f9c7ad7a3e7bb20f0df6d66be999c1fcc3b13debd13b244b</t>
        </is>
      </c>
      <c r="BB38" s="24" t="inlineStr">
        <is>
          <t>neutral_elo</t>
        </is>
      </c>
      <c r="BC38" s="24" t="inlineStr">
        <is>
          <t>dota2-tiered-elo-v6</t>
        </is>
      </c>
      <c r="BD38" s="24" t="inlineStr">
        <is>
          <t>c3ccf6a5a853bf09f9c7ad7a3e7bb20f0df6d66be999c1fcc3b13debd13b244b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dota2-tiered-elo-v6</t>
        </is>
      </c>
      <c r="BH38" s="24" t="inlineStr">
        <is>
          <t>2026-08-07T15:23:55.156966Z</t>
        </is>
      </c>
      <c r="BI38" s="24" t="inlineStr">
        <is>
          <t>["same_event","same_team_same_day","same_league_same_day"]</t>
        </is>
      </c>
      <c r="BJ38" s="25" t="n"/>
      <c r="BK38" s="26" t="n">
        <v>163</v>
      </c>
      <c r="BL38" s="27" t="n">
        <v>2.63</v>
      </c>
      <c r="BM38" s="28" t="n">
        <v>0.380228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2026-08-07T15:23:57Z</dcterms:created>
  <dcterms:modified xmlns:dcterms="http://purl.org/dc/terms/" xmlns:xsi="http://www.w3.org/2001/XMLSchema-instance" xsi:type="dcterms:W3CDTF">2026-08-07T15:23:57Z</dcterms:modified>
</cp:coreProperties>
</file>