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9" headerRowCount="1">
  <autoFilter ref="A1:CS2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COUNTA('Picks'!$A$2:$A$29)</f>
        <v/>
      </c>
      <c r="C4" s="6">
        <f>COUNTIF('Picks'!$U$2:$U$29,"open")</f>
        <v/>
      </c>
      <c r="E4" s="6">
        <f>COUNTIF('Picks'!$U$2:$U$29,"settled")</f>
        <v/>
      </c>
      <c r="G4" s="6">
        <f>IF(COUNTIFS('Picks'!$U$2:$U$29,"settled",'Picks'!$V$2:$V$29,"win")+COUNTIFS('Picks'!$U$2:$U$29,"settled",'Picks'!$V$2:$V$29,"loss")&gt;=$L$2,"Ready","Insufficient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COUNTIF('Picks'!$BX$2:$BX$29,"&gt;0")</f>
        <v/>
      </c>
      <c r="C7" s="6">
        <f>COUNTIFS('Picks'!$BX$2:$BX$29,"&gt;0",'Picks'!$V$2:$V$29,"win")&amp;"-"&amp;COUNTIFS('Picks'!$BX$2:$BX$29,"&gt;0",'Picks'!$V$2:$V$29,"loss")</f>
        <v/>
      </c>
      <c r="E7" s="7">
        <f>IFERROR(COUNTIFS('Picks'!$BX$2:$BX$29,"&gt;0",'Picks'!$V$2:$V$29,"win")/(COUNTIFS('Picks'!$BX$2:$BX$29,"&gt;0",'Picks'!$V$2:$V$29,"win")+COUNTIFS('Picks'!$BX$2:$BX$29,"&gt;0",'Picks'!$V$2:$V$29,"loss")),0)</f>
        <v/>
      </c>
      <c r="G7" s="7">
        <f>IFERROR(SUM('Picks'!$BY$2:$BY$29)/SUM('Picks'!$BX$2:$BX$29),0)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SUM('Picks'!$BY$2:$BY$29)</f>
        <v/>
      </c>
      <c r="C10" s="9">
        <f>IFERROR(AVERAGEIF('Picks'!$AB$2:$AB$29,"&lt;&gt;",'Picks'!$AB$2:$AB$29),0)</f>
        <v/>
      </c>
      <c r="E10" s="6">
        <f>COUNTIFS('Picks'!$AM$2:$AM$29,"QUALIFIED_SHADOW_CALL",'Picks'!$U$2:$U$29,"settled")</f>
        <v/>
      </c>
      <c r="G10" s="8">
        <f>SUMIFS('Picks'!$AC$2:$AC$29,'Picks'!$AM$2:$AM$29,"QUALIFIED_SHADOW_CALL")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COUNTIFS('Picks'!$H$2:$H$29,$A14,'Picks'!$U$2:$U$29,"settled")</f>
        <v/>
      </c>
      <c r="C14" s="13">
        <f>COUNTIFS('Picks'!$H$2:$H$29,$A14,'Picks'!$U$2:$U$29,"settled",'Picks'!$V$2:$V$29,"win")</f>
        <v/>
      </c>
      <c r="D14" s="13">
        <f>COUNTIFS('Picks'!$H$2:$H$29,$A14,'Picks'!$U$2:$U$29,"settled",'Picks'!$V$2:$V$29,"loss")</f>
        <v/>
      </c>
      <c r="E14" s="14">
        <f>IFERROR(C14/(C14+D14),0)</f>
        <v/>
      </c>
      <c r="F14" s="15">
        <f>SUMIFS('Picks'!$BY$2:$BY$29,'Picks'!$H$2:$H$29,$A14)</f>
        <v/>
      </c>
      <c r="G14" s="16">
        <f>IFERROR(AVERAGEIFS('Picks'!$AB$2:$AB$29,'Picks'!$H$2:$H$29,$A14,'Picks'!$U$2:$U$29,"settled"),0)</f>
        <v/>
      </c>
    </row>
    <row r="15">
      <c r="A15" s="17" t="inlineStr">
        <is>
          <t>spread</t>
        </is>
      </c>
      <c r="B15" s="18">
        <f>COUNTIFS('Picks'!$H$2:$H$29,$A15,'Picks'!$U$2:$U$29,"settled")</f>
        <v/>
      </c>
      <c r="C15" s="18">
        <f>COUNTIFS('Picks'!$H$2:$H$29,$A15,'Picks'!$U$2:$U$29,"settled",'Picks'!$V$2:$V$29,"win")</f>
        <v/>
      </c>
      <c r="D15" s="18">
        <f>COUNTIFS('Picks'!$H$2:$H$29,$A15,'Picks'!$U$2:$U$29,"settled",'Picks'!$V$2:$V$29,"loss")</f>
        <v/>
      </c>
      <c r="E15" s="19">
        <f>IFERROR(C15/(C15+D15),0)</f>
        <v/>
      </c>
      <c r="F15" s="20">
        <f>SUMIFS('Picks'!$BY$2:$BY$29,'Picks'!$H$2:$H$29,$A15)</f>
        <v/>
      </c>
      <c r="G15" s="21">
        <f>IFERROR(AVERAGEIFS('Picks'!$AB$2:$AB$29,'Picks'!$H$2:$H$29,$A15,'Picks'!$U$2:$U$29,"settled"),0)</f>
        <v/>
      </c>
    </row>
    <row r="16">
      <c r="A16" s="12" t="inlineStr">
        <is>
          <t>total</t>
        </is>
      </c>
      <c r="B16" s="13">
        <f>COUNTIFS('Picks'!$H$2:$H$29,$A16,'Picks'!$U$2:$U$29,"settled")</f>
        <v/>
      </c>
      <c r="C16" s="13">
        <f>COUNTIFS('Picks'!$H$2:$H$29,$A16,'Picks'!$U$2:$U$29,"settled",'Picks'!$V$2:$V$29,"win")</f>
        <v/>
      </c>
      <c r="D16" s="13">
        <f>COUNTIFS('Picks'!$H$2:$H$29,$A16,'Picks'!$U$2:$U$29,"settled",'Picks'!$V$2:$V$29,"loss")</f>
        <v/>
      </c>
      <c r="E16" s="14">
        <f>IFERROR(C16/(C16+D16),0)</f>
        <v/>
      </c>
      <c r="F16" s="15">
        <f>SUMIFS('Picks'!$BY$2:$BY$29,'Picks'!$H$2:$H$29,$A16)</f>
        <v/>
      </c>
      <c r="G16" s="16">
        <f>IFERROR(AVERAGEIFS('Picks'!$AB$2:$AB$29,'Picks'!$H$2:$H$29,$A16,'Picks'!$U$2:$U$29,"settled"),0)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8804b09f2e484069</t>
        </is>
      </c>
      <c r="B2" s="24" t="inlineStr">
        <is>
          <t>2026-08-05T04:38:12.341207Z</t>
        </is>
      </c>
      <c r="C2" s="24" t="inlineStr">
        <is>
          <t>2026-08-05T08:00:00Z</t>
        </is>
      </c>
      <c r="D2" s="24" t="inlineStr">
        <is>
          <t>72079</t>
        </is>
      </c>
      <c r="E2" s="24" t="inlineStr">
        <is>
          <t>DOTA2</t>
        </is>
      </c>
      <c r="F2" s="24" t="inlineStr">
        <is>
          <t>Rune Eaters</t>
        </is>
      </c>
      <c r="G2" s="24" t="inlineStr">
        <is>
          <t>Team Resilience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122</v>
      </c>
      <c r="M2" s="27" t="n">
        <v>2.22</v>
      </c>
      <c r="N2" s="28" t="n">
        <v>0.45045</v>
      </c>
      <c r="O2" s="28" t="n">
        <v>0.500216</v>
      </c>
      <c r="P2" s="28" t="n"/>
      <c r="Q2" s="28" t="n">
        <v>0.049766</v>
      </c>
      <c r="R2" s="26" t="n">
        <v>45</v>
      </c>
      <c r="S2" s="29" t="n">
        <v>1</v>
      </c>
      <c r="T2" s="24" t="inlineStr">
        <is>
          <t>dota2-tiered-elo-v6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122</v>
      </c>
      <c r="AA2" s="28" t="n">
        <v>0.45</v>
      </c>
      <c r="AB2" s="28" t="n">
        <v>-0.00045</v>
      </c>
      <c r="AC2" s="30" t="n">
        <v>1.22</v>
      </c>
      <c r="AD2" s="24" t="inlineStr">
        <is>
          <t>2026-08-05T10:17:02.060126Z</t>
        </is>
      </c>
      <c r="AE2" s="31" t="inlineStr">
        <is>
          <t>Neutral Elo baseline; executable ask 0.4500 (market_slug=aec-dota2-tr-re-2026-08-05).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Rune Eaters</t>
        </is>
      </c>
      <c r="AQ2" s="24" t="inlineStr">
        <is>
          <t>Rune Eaters</t>
        </is>
      </c>
      <c r="AR2" s="24" t="inlineStr">
        <is>
          <t>Rune Eaters</t>
        </is>
      </c>
      <c r="AS2" s="24" t="inlineStr">
        <is>
          <t>Team Resilience</t>
        </is>
      </c>
      <c r="AT2" s="24" t="inlineStr">
        <is>
          <t>Team Resilience</t>
        </is>
      </c>
      <c r="AU2" s="24" t="inlineStr">
        <is>
          <t>Team Resilience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2375429151111a3cb0937a48db93b740727ff54a7bd88a5e4f97e0362efce045</t>
        </is>
      </c>
      <c r="BB2" s="24" t="inlineStr">
        <is>
          <t>neutral_elo</t>
        </is>
      </c>
      <c r="BC2" s="24" t="inlineStr">
        <is>
          <t>dota2-tiered-elo-v6</t>
        </is>
      </c>
      <c r="BD2" s="24" t="inlineStr">
        <is>
          <t>2375429151111a3cb0937a48db93b740727ff54a7bd88a5e4f97e0362efce045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dota2-tiered-elo-v6</t>
        </is>
      </c>
      <c r="BH2" s="24" t="inlineStr">
        <is>
          <t>2026-08-05T04:38:08.611098Z</t>
        </is>
      </c>
      <c r="BI2" s="24" t="inlineStr">
        <is>
          <t>["same_event","same_team_same_day","same_league_same_day"]</t>
        </is>
      </c>
      <c r="BJ2" s="25" t="n"/>
      <c r="BK2" s="26" t="n">
        <v>122</v>
      </c>
      <c r="BL2" s="27" t="n">
        <v>2.22</v>
      </c>
      <c r="BM2" s="28" t="n">
        <v>0.45045</v>
      </c>
      <c r="BN2" s="28" t="n"/>
      <c r="BO2" s="28" t="n"/>
      <c r="BP2" s="25" t="n"/>
      <c r="BQ2" s="27" t="n">
        <v>2.22</v>
      </c>
      <c r="BR2" s="28" t="n">
        <v>0.45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38b2b0d956f84f99</t>
        </is>
      </c>
      <c r="B3" s="24" t="inlineStr">
        <is>
          <t>2026-08-05T04:38:12.341207Z</t>
        </is>
      </c>
      <c r="C3" s="24" t="inlineStr">
        <is>
          <t>2026-08-05T09:00:00Z</t>
        </is>
      </c>
      <c r="D3" s="24" t="inlineStr">
        <is>
          <t>71970</t>
        </is>
      </c>
      <c r="E3" s="24" t="inlineStr">
        <is>
          <t>DOTA2</t>
        </is>
      </c>
      <c r="F3" s="24" t="inlineStr">
        <is>
          <t>BetBoom Team</t>
        </is>
      </c>
      <c r="G3" s="24" t="inlineStr">
        <is>
          <t>1win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-113</v>
      </c>
      <c r="M3" s="27" t="n">
        <v>1.884956</v>
      </c>
      <c r="N3" s="28" t="n">
        <v>0.530516</v>
      </c>
      <c r="O3" s="28" t="n">
        <v>0.658681</v>
      </c>
      <c r="P3" s="28" t="n"/>
      <c r="Q3" s="28" t="n">
        <v>0.128165</v>
      </c>
      <c r="R3" s="26" t="n">
        <v>84</v>
      </c>
      <c r="S3" s="29" t="n">
        <v>1.75</v>
      </c>
      <c r="T3" s="24" t="inlineStr">
        <is>
          <t>dota2-tiered-elo-v6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-113</v>
      </c>
      <c r="AA3" s="28" t="n">
        <v>0.53</v>
      </c>
      <c r="AB3" s="28" t="n">
        <v>-0.000516</v>
      </c>
      <c r="AC3" s="30" t="n">
        <v>-1.75</v>
      </c>
      <c r="AD3" s="24" t="inlineStr">
        <is>
          <t>2026-08-05T13:50:43.202468Z</t>
        </is>
      </c>
      <c r="AE3" s="31" t="inlineStr">
        <is>
          <t>Neutral Elo baseline; executable ask 0.5300 (market_slug=aec-dota2-1win-bb-2026-08-05).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BetBoom Team</t>
        </is>
      </c>
      <c r="AQ3" s="24" t="inlineStr">
        <is>
          <t>BetBoom Team</t>
        </is>
      </c>
      <c r="AR3" s="24" t="inlineStr">
        <is>
          <t>BetBoom Team</t>
        </is>
      </c>
      <c r="AS3" s="24" t="inlineStr">
        <is>
          <t>1win</t>
        </is>
      </c>
      <c r="AT3" s="24" t="inlineStr">
        <is>
          <t>1win</t>
        </is>
      </c>
      <c r="AU3" s="24" t="inlineStr">
        <is>
          <t>1win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2375429151111a3cb0937a48db93b740727ff54a7bd88a5e4f97e0362efce045</t>
        </is>
      </c>
      <c r="BB3" s="24" t="inlineStr">
        <is>
          <t>neutral_elo</t>
        </is>
      </c>
      <c r="BC3" s="24" t="inlineStr">
        <is>
          <t>dota2-tiered-elo-v6</t>
        </is>
      </c>
      <c r="BD3" s="24" t="inlineStr">
        <is>
          <t>2375429151111a3cb0937a48db93b740727ff54a7bd88a5e4f97e0362efce045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dota2-tiered-elo-v6</t>
        </is>
      </c>
      <c r="BH3" s="24" t="inlineStr">
        <is>
          <t>2026-08-05T04:38:09.196950Z</t>
        </is>
      </c>
      <c r="BI3" s="24" t="inlineStr">
        <is>
          <t>["same_event","same_team_same_day","same_league_same_day"]</t>
        </is>
      </c>
      <c r="BJ3" s="25" t="n"/>
      <c r="BK3" s="26" t="n">
        <v>-113</v>
      </c>
      <c r="BL3" s="27" t="n">
        <v>1.884956</v>
      </c>
      <c r="BM3" s="28" t="n">
        <v>0.530516</v>
      </c>
      <c r="BN3" s="28" t="n"/>
      <c r="BO3" s="28" t="n"/>
      <c r="BP3" s="25" t="n"/>
      <c r="BQ3" s="27" t="n">
        <v>1.884956</v>
      </c>
      <c r="BR3" s="28" t="n">
        <v>0.53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8300edfe97dd4fab</t>
        </is>
      </c>
      <c r="B4" s="24" t="inlineStr">
        <is>
          <t>2026-08-05T10:46:31.198892Z</t>
        </is>
      </c>
      <c r="C4" s="24" t="inlineStr">
        <is>
          <t>2026-08-05T12:00:00Z</t>
        </is>
      </c>
      <c r="D4" s="24" t="inlineStr">
        <is>
          <t>72080</t>
        </is>
      </c>
      <c r="E4" s="24" t="inlineStr">
        <is>
          <t>DOTA2</t>
        </is>
      </c>
      <c r="F4" s="24" t="inlineStr">
        <is>
          <t>Yakult Brothers</t>
        </is>
      </c>
      <c r="G4" s="24" t="inlineStr">
        <is>
          <t>PlayTime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0.805779</v>
      </c>
      <c r="P4" s="28" t="n"/>
      <c r="Q4" s="28" t="n">
        <v>0.135812</v>
      </c>
      <c r="R4" s="26" t="n">
        <v>88</v>
      </c>
      <c r="S4" s="29" t="n">
        <v>2</v>
      </c>
      <c r="T4" s="24" t="inlineStr">
        <is>
          <t>dota2-tiered-elo-v6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-203</v>
      </c>
      <c r="AA4" s="28" t="n">
        <v>0.67</v>
      </c>
      <c r="AB4" s="28" t="n">
        <v>3.3e-05</v>
      </c>
      <c r="AC4" s="30" t="n">
        <v>0.9852</v>
      </c>
      <c r="AD4" s="24" t="inlineStr">
        <is>
          <t>2026-08-05T17:00:04.537577Z</t>
        </is>
      </c>
      <c r="AE4" s="31" t="inlineStr">
        <is>
          <t>Neutral Elo baseline; executable ask 0.6700 (market_slug=aec-dota2-pla-yb-2026-08-05).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Yakult Brothers</t>
        </is>
      </c>
      <c r="AQ4" s="24" t="inlineStr">
        <is>
          <t>Yakult Brothers</t>
        </is>
      </c>
      <c r="AR4" s="24" t="inlineStr">
        <is>
          <t>Yakult Brothers</t>
        </is>
      </c>
      <c r="AS4" s="24" t="inlineStr">
        <is>
          <t>PlayTime</t>
        </is>
      </c>
      <c r="AT4" s="24" t="inlineStr">
        <is>
          <t>PlayTime</t>
        </is>
      </c>
      <c r="AU4" s="24" t="inlineStr">
        <is>
          <t>PlayTime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dc641a33858ba89d589d026590c359ae9cf892296ca087b95549769d488c4494</t>
        </is>
      </c>
      <c r="BB4" s="24" t="inlineStr">
        <is>
          <t>neutral_elo</t>
        </is>
      </c>
      <c r="BC4" s="24" t="inlineStr">
        <is>
          <t>dota2-tiered-elo-v6</t>
        </is>
      </c>
      <c r="BD4" s="24" t="inlineStr">
        <is>
          <t>dc641a33858ba89d589d026590c359ae9cf892296ca087b95549769d488c4494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dota2-tiered-elo-v6</t>
        </is>
      </c>
      <c r="BH4" s="24" t="inlineStr">
        <is>
          <t>2026-08-05T10:46:27.725458Z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>
        <v>1.492611</v>
      </c>
      <c r="BR4" s="28" t="n">
        <v>0.67</v>
      </c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6c2da34bbed748a7</t>
        </is>
      </c>
      <c r="B5" s="24" t="inlineStr">
        <is>
          <t>2026-08-06T00:24:36.791267Z</t>
        </is>
      </c>
      <c r="C5" s="24" t="inlineStr">
        <is>
          <t>2026-08-06T09:00:00Z</t>
        </is>
      </c>
      <c r="D5" s="24" t="inlineStr">
        <is>
          <t>70575</t>
        </is>
      </c>
      <c r="E5" s="24" t="inlineStr">
        <is>
          <t>DOTA2</t>
        </is>
      </c>
      <c r="F5" s="24" t="inlineStr">
        <is>
          <t>RE.Arise</t>
        </is>
      </c>
      <c r="G5" s="24" t="inlineStr">
        <is>
          <t>Level UP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127</v>
      </c>
      <c r="M5" s="27" t="n">
        <v>2.27</v>
      </c>
      <c r="N5" s="28" t="n">
        <v>0.440529</v>
      </c>
      <c r="O5" s="28" t="n">
        <v>0.527212</v>
      </c>
      <c r="P5" s="28" t="n"/>
      <c r="Q5" s="28" t="n">
        <v>0.086683</v>
      </c>
      <c r="R5" s="26" t="n">
        <v>63</v>
      </c>
      <c r="S5" s="29" t="n">
        <v>1</v>
      </c>
      <c r="T5" s="24" t="inlineStr">
        <is>
          <t>dota2-tiered-elo-v6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2026-08-06T18:55:16.797850Z</t>
        </is>
      </c>
      <c r="AE5" s="31" t="inlineStr">
        <is>
          <t>Neutral Elo baseline; executable ask 0.4400 (market_slug=aec-dota2-lvlup-rae-2026-08-06).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RE.Arise</t>
        </is>
      </c>
      <c r="AQ5" s="24" t="inlineStr">
        <is>
          <t>RE.Arise</t>
        </is>
      </c>
      <c r="AR5" s="24" t="inlineStr">
        <is>
          <t>RE.Arise</t>
        </is>
      </c>
      <c r="AS5" s="24" t="inlineStr">
        <is>
          <t>Level UP</t>
        </is>
      </c>
      <c r="AT5" s="24" t="inlineStr">
        <is>
          <t>Level UP</t>
        </is>
      </c>
      <c r="AU5" s="24" t="inlineStr">
        <is>
          <t>Level UP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4b65e86ec6027f3de08417af250975d63d7eb48ed52a953720074a1ff26360df</t>
        </is>
      </c>
      <c r="BB5" s="24" t="inlineStr">
        <is>
          <t>neutral_elo</t>
        </is>
      </c>
      <c r="BC5" s="24" t="inlineStr">
        <is>
          <t>dota2-tiered-elo-v6</t>
        </is>
      </c>
      <c r="BD5" s="24" t="inlineStr">
        <is>
          <t>4b65e86ec6027f3de08417af250975d63d7eb48ed52a953720074a1ff26360df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dota2-tiered-elo-v6</t>
        </is>
      </c>
      <c r="BH5" s="24" t="inlineStr">
        <is>
          <t>2026-08-06T00:24:35.411288Z</t>
        </is>
      </c>
      <c r="BI5" s="24" t="inlineStr">
        <is>
          <t>["same_event","same_team_same_day","same_league_same_day"]</t>
        </is>
      </c>
      <c r="BJ5" s="25" t="n"/>
      <c r="BK5" s="26" t="n">
        <v>127</v>
      </c>
      <c r="BL5" s="27" t="n">
        <v>2.27</v>
      </c>
      <c r="BM5" s="28" t="n">
        <v>0.440529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-1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dc2f368de06048d4</t>
        </is>
      </c>
      <c r="B6" s="24" t="inlineStr">
        <is>
          <t>2026-08-06T00:24:36.791267Z</t>
        </is>
      </c>
      <c r="C6" s="24" t="inlineStr">
        <is>
          <t>2026-08-06T12:00:00Z</t>
        </is>
      </c>
      <c r="D6" s="24" t="inlineStr">
        <is>
          <t>70648</t>
        </is>
      </c>
      <c r="E6" s="24" t="inlineStr">
        <is>
          <t>DOTA2</t>
        </is>
      </c>
      <c r="F6" s="24" t="inlineStr">
        <is>
          <t>No Hoodwink</t>
        </is>
      </c>
      <c r="G6" s="24" t="inlineStr">
        <is>
          <t>RE.Arise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133</v>
      </c>
      <c r="M6" s="27" t="n">
        <v>2.33</v>
      </c>
      <c r="N6" s="28" t="n">
        <v>0.429185</v>
      </c>
      <c r="O6" s="28" t="n">
        <v>0.61125</v>
      </c>
      <c r="P6" s="28" t="n"/>
      <c r="Q6" s="28" t="n">
        <v>0.182065</v>
      </c>
      <c r="R6" s="26" t="n">
        <v>100</v>
      </c>
      <c r="S6" s="29" t="n">
        <v>1.5</v>
      </c>
      <c r="T6" s="24" t="inlineStr">
        <is>
          <t>dota2-tiered-elo-v6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1.995</v>
      </c>
      <c r="AD6" s="24" t="inlineStr">
        <is>
          <t>2026-08-06T18:55:18.434522Z</t>
        </is>
      </c>
      <c r="AE6" s="31" t="inlineStr">
        <is>
          <t>Neutral Elo baseline; executable ask 0.4300 (market_slug=aec-dota2-rae-nh-2026-08-06).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 Hoodwink</t>
        </is>
      </c>
      <c r="AQ6" s="24" t="inlineStr">
        <is>
          <t>No Hoodwink</t>
        </is>
      </c>
      <c r="AR6" s="24" t="inlineStr">
        <is>
          <t>No Hoodwink</t>
        </is>
      </c>
      <c r="AS6" s="24" t="inlineStr">
        <is>
          <t>RE.Arise</t>
        </is>
      </c>
      <c r="AT6" s="24" t="inlineStr">
        <is>
          <t>RE.Arise</t>
        </is>
      </c>
      <c r="AU6" s="24" t="inlineStr">
        <is>
          <t>RE.Arise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4b65e86ec6027f3de08417af250975d63d7eb48ed52a953720074a1ff26360df</t>
        </is>
      </c>
      <c r="BB6" s="24" t="inlineStr">
        <is>
          <t>neutral_elo</t>
        </is>
      </c>
      <c r="BC6" s="24" t="inlineStr">
        <is>
          <t>dota2-tiered-elo-v6</t>
        </is>
      </c>
      <c r="BD6" s="24" t="inlineStr">
        <is>
          <t>4b65e86ec6027f3de08417af250975d63d7eb48ed52a953720074a1ff26360df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dota2-tiered-elo-v6</t>
        </is>
      </c>
      <c r="BH6" s="24" t="inlineStr">
        <is>
          <t>2026-08-06T00:24:35.868255Z</t>
        </is>
      </c>
      <c r="BI6" s="24" t="inlineStr">
        <is>
          <t>["same_event","same_team_same_day","same_league_same_day"]</t>
        </is>
      </c>
      <c r="BJ6" s="25" t="n"/>
      <c r="BK6" s="26" t="n">
        <v>133</v>
      </c>
      <c r="BL6" s="27" t="n">
        <v>2.33</v>
      </c>
      <c r="BM6" s="28" t="n">
        <v>0.429185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6d583ae5811d479e</t>
        </is>
      </c>
      <c r="B7" s="24" t="inlineStr">
        <is>
          <t>2026-08-06T00:24:36.791267Z</t>
        </is>
      </c>
      <c r="C7" s="24" t="inlineStr">
        <is>
          <t>2026-08-06T15:00:00Z</t>
        </is>
      </c>
      <c r="D7" s="24" t="inlineStr">
        <is>
          <t>70732</t>
        </is>
      </c>
      <c r="E7" s="24" t="inlineStr">
        <is>
          <t>DOTA2</t>
        </is>
      </c>
      <c r="F7" s="24" t="inlineStr">
        <is>
          <t>Level UP</t>
        </is>
      </c>
      <c r="G7" s="24" t="inlineStr">
        <is>
          <t>No Hoodwink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-138</v>
      </c>
      <c r="M7" s="27" t="n">
        <v>1.724638</v>
      </c>
      <c r="N7" s="28" t="n">
        <v>0.579832</v>
      </c>
      <c r="O7" s="28" t="n">
        <v>0.55707</v>
      </c>
      <c r="P7" s="28" t="n"/>
      <c r="Q7" s="28" t="n">
        <v>-0.022762</v>
      </c>
      <c r="R7" s="26" t="n">
        <v>9</v>
      </c>
      <c r="S7" s="29" t="n">
        <v>1</v>
      </c>
      <c r="T7" s="24" t="inlineStr">
        <is>
          <t>dota2-tiered-elo-v6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0.7246</v>
      </c>
      <c r="AD7" s="24" t="inlineStr">
        <is>
          <t>2026-08-07T06:00:37.794982Z</t>
        </is>
      </c>
      <c r="AE7" s="31" t="inlineStr">
        <is>
          <t>Neutral Elo baseline; executable ask 0.5800 (market_slug=aec-dota2-nh-lvlup-2026-08-06).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NO_CALL_WINNER_OVERVALUED</t>
        </is>
      </c>
      <c r="AP7" s="24" t="inlineStr">
        <is>
          <t>Level UP</t>
        </is>
      </c>
      <c r="AQ7" s="24" t="inlineStr">
        <is>
          <t>Level UP</t>
        </is>
      </c>
      <c r="AR7" s="24" t="inlineStr">
        <is>
          <t>Level UP</t>
        </is>
      </c>
      <c r="AS7" s="24" t="inlineStr">
        <is>
          <t>No Hoodwink</t>
        </is>
      </c>
      <c r="AT7" s="24" t="inlineStr">
        <is>
          <t>No Hoodwink</t>
        </is>
      </c>
      <c r="AU7" s="24" t="inlineStr">
        <is>
          <t>No Hoodwink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4b65e86ec6027f3de08417af250975d63d7eb48ed52a953720074a1ff26360df</t>
        </is>
      </c>
      <c r="BB7" s="24" t="inlineStr">
        <is>
          <t>neutral_elo</t>
        </is>
      </c>
      <c r="BC7" s="24" t="inlineStr">
        <is>
          <t>dota2-tiered-elo-v6</t>
        </is>
      </c>
      <c r="BD7" s="24" t="inlineStr">
        <is>
          <t>4b65e86ec6027f3de08417af250975d63d7eb48ed52a953720074a1ff26360df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dota2-tiered-elo-v6</t>
        </is>
      </c>
      <c r="BH7" s="24" t="inlineStr">
        <is>
          <t>2026-08-06T00:24:36.336119Z</t>
        </is>
      </c>
      <c r="BI7" s="24" t="inlineStr">
        <is>
          <t>["same_event","same_team_same_day","same_league_same_day"]</t>
        </is>
      </c>
      <c r="BJ7" s="25" t="n"/>
      <c r="BK7" s="26" t="n">
        <v>-138</v>
      </c>
      <c r="BL7" s="27" t="n">
        <v>1.724638</v>
      </c>
      <c r="BM7" s="28" t="n">
        <v>0.579832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f9b4255a13754545</t>
        </is>
      </c>
      <c r="B8" s="24" t="inlineStr">
        <is>
          <t>2026-08-07T06:05:31.608591Z</t>
        </is>
      </c>
      <c r="C8" s="24" t="inlineStr">
        <is>
          <t>2026-08-07T09:00:00Z</t>
        </is>
      </c>
      <c r="D8" s="24" t="inlineStr">
        <is>
          <t>71682</t>
        </is>
      </c>
      <c r="E8" s="24" t="inlineStr">
        <is>
          <t>DOTA2</t>
        </is>
      </c>
      <c r="F8" s="24" t="inlineStr">
        <is>
          <t>Zero Tenacity</t>
        </is>
      </c>
      <c r="G8" s="24" t="inlineStr">
        <is>
          <t>No Hoodwink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-133</v>
      </c>
      <c r="M8" s="27" t="n">
        <v>1.75188</v>
      </c>
      <c r="N8" s="28" t="n">
        <v>0.570815</v>
      </c>
      <c r="O8" s="28" t="n">
        <v>0.655357</v>
      </c>
      <c r="P8" s="28" t="n"/>
      <c r="Q8" s="28" t="n">
        <v>0.08454200000000001</v>
      </c>
      <c r="R8" s="26" t="n">
        <v>62</v>
      </c>
      <c r="S8" s="29" t="n">
        <v>1.75</v>
      </c>
      <c r="T8" s="24" t="inlineStr">
        <is>
          <t>dota2-tiered-elo-v6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-133</v>
      </c>
      <c r="AA8" s="28" t="n">
        <v>0.57</v>
      </c>
      <c r="AB8" s="28" t="n">
        <v>-0.000815</v>
      </c>
      <c r="AC8" s="30" t="n">
        <v>1.3158</v>
      </c>
      <c r="AD8" s="24" t="inlineStr">
        <is>
          <t>2026-08-07T12:13:02.922338Z</t>
        </is>
      </c>
      <c r="AE8" s="31" t="inlineStr">
        <is>
          <t>Neutral Elo baseline; executable ask 0.5700 (market_slug=aec-dota2-nh-z10-2026-08-07).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Zero Tenacity</t>
        </is>
      </c>
      <c r="AQ8" s="24" t="inlineStr">
        <is>
          <t>Zero Tenacity</t>
        </is>
      </c>
      <c r="AR8" s="24" t="inlineStr">
        <is>
          <t>Zero Tenacity</t>
        </is>
      </c>
      <c r="AS8" s="24" t="inlineStr">
        <is>
          <t>No Hoodwink</t>
        </is>
      </c>
      <c r="AT8" s="24" t="inlineStr">
        <is>
          <t>No Hoodwink</t>
        </is>
      </c>
      <c r="AU8" s="24" t="inlineStr">
        <is>
          <t>No Hoodwink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b5735afe41509d1bfa8df2510b921846426862fa58936449e65c5e162a34c4c8</t>
        </is>
      </c>
      <c r="BB8" s="24" t="inlineStr">
        <is>
          <t>neutral_elo</t>
        </is>
      </c>
      <c r="BC8" s="24" t="inlineStr">
        <is>
          <t>dota2-tiered-elo-v6</t>
        </is>
      </c>
      <c r="BD8" s="24" t="inlineStr">
        <is>
          <t>b5735afe41509d1bfa8df2510b921846426862fa58936449e65c5e162a34c4c8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dota2-tiered-elo-v6</t>
        </is>
      </c>
      <c r="BH8" s="24" t="inlineStr">
        <is>
          <t>2026-08-07T06:05:28.583196Z</t>
        </is>
      </c>
      <c r="BI8" s="24" t="inlineStr">
        <is>
          <t>["same_event","same_team_same_day","same_league_same_day"]</t>
        </is>
      </c>
      <c r="BJ8" s="25" t="n"/>
      <c r="BK8" s="26" t="n">
        <v>-133</v>
      </c>
      <c r="BL8" s="27" t="n">
        <v>1.75188</v>
      </c>
      <c r="BM8" s="28" t="n">
        <v>0.570815</v>
      </c>
      <c r="BN8" s="28" t="n"/>
      <c r="BO8" s="28" t="n"/>
      <c r="BP8" s="25" t="n"/>
      <c r="BQ8" s="27" t="n">
        <v>1.75188</v>
      </c>
      <c r="BR8" s="28" t="n">
        <v>0.57</v>
      </c>
      <c r="BS8" s="28" t="n"/>
      <c r="BT8" s="28" t="n"/>
      <c r="BU8" s="25" t="n"/>
      <c r="BV8" s="29" t="n"/>
      <c r="BW8" s="24" t="n"/>
      <c r="BX8" s="30" t="n">
        <v>1</v>
      </c>
      <c r="BY8" s="27" t="n">
        <v>0.91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8f3474fb76404d02</t>
        </is>
      </c>
      <c r="B9" s="24" t="inlineStr">
        <is>
          <t>2026-08-07T09:11:24.357961Z</t>
        </is>
      </c>
      <c r="C9" s="24" t="inlineStr">
        <is>
          <t>2026-08-07T12:00:00Z</t>
        </is>
      </c>
      <c r="D9" s="24" t="inlineStr">
        <is>
          <t>71775</t>
        </is>
      </c>
      <c r="E9" s="24" t="inlineStr">
        <is>
          <t>DOTA2</t>
        </is>
      </c>
      <c r="F9" s="24" t="inlineStr">
        <is>
          <t>Team Syntax</t>
        </is>
      </c>
      <c r="G9" s="24" t="inlineStr">
        <is>
          <t>Ilbirs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0.534269</v>
      </c>
      <c r="P9" s="28" t="n"/>
      <c r="Q9" s="28" t="n">
        <v>0.134269</v>
      </c>
      <c r="R9" s="26" t="n">
        <v>87</v>
      </c>
      <c r="S9" s="29" t="n">
        <v>1</v>
      </c>
      <c r="T9" s="24" t="inlineStr">
        <is>
          <t>dota2-tiered-elo-v6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150</v>
      </c>
      <c r="AA9" s="28" t="n">
        <v>0.4</v>
      </c>
      <c r="AB9" s="28" t="n">
        <v>0</v>
      </c>
      <c r="AC9" s="30" t="n">
        <v>-1</v>
      </c>
      <c r="AD9" s="24" t="inlineStr">
        <is>
          <t>2026-08-07T15:18:45.404133Z</t>
        </is>
      </c>
      <c r="AE9" s="31" t="inlineStr">
        <is>
          <t>Neutral Elo baseline; executable ask 0.4000 (market_slug=aec-dota2-ill-stx-2026-08-07).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Team Syntax</t>
        </is>
      </c>
      <c r="AQ9" s="24" t="inlineStr">
        <is>
          <t>Team Syntax</t>
        </is>
      </c>
      <c r="AR9" s="24" t="inlineStr">
        <is>
          <t>Team Syntax</t>
        </is>
      </c>
      <c r="AS9" s="24" t="inlineStr">
        <is>
          <t>Ilbirs eSports</t>
        </is>
      </c>
      <c r="AT9" s="24" t="inlineStr">
        <is>
          <t>Ilbirs eSports</t>
        </is>
      </c>
      <c r="AU9" s="24" t="inlineStr">
        <is>
          <t>Ilbirs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f9dedaeb469ef593cde46debd4929efce40f56a153d988595b6823ce5dad05ca</t>
        </is>
      </c>
      <c r="BB9" s="24" t="inlineStr">
        <is>
          <t>neutral_elo</t>
        </is>
      </c>
      <c r="BC9" s="24" t="inlineStr">
        <is>
          <t>dota2-tiered-elo-v6</t>
        </is>
      </c>
      <c r="BD9" s="24" t="inlineStr">
        <is>
          <t>f9dedaeb469ef593cde46debd4929efce40f56a153d988595b6823ce5dad05ca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dota2-tiered-elo-v6</t>
        </is>
      </c>
      <c r="BH9" s="24" t="inlineStr">
        <is>
          <t>2026-08-07T09:11:20.860338Z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>
        <v>2.5</v>
      </c>
      <c r="BR9" s="28" t="n">
        <v>0.4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2c074976bc35472a</t>
        </is>
      </c>
      <c r="B10" s="24" t="inlineStr">
        <is>
          <t>2026-08-07T12:17:12.940920Z</t>
        </is>
      </c>
      <c r="C10" s="24" t="inlineStr">
        <is>
          <t>2026-08-07T15:00:00Z</t>
        </is>
      </c>
      <c r="D10" s="24" t="inlineStr">
        <is>
          <t>71907</t>
        </is>
      </c>
      <c r="E10" s="24" t="inlineStr">
        <is>
          <t>DOTA2</t>
        </is>
      </c>
      <c r="F10" s="24" t="inlineStr">
        <is>
          <t>Team Jenz</t>
        </is>
      </c>
      <c r="G10" s="24" t="inlineStr">
        <is>
          <t>Power Rangers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-213</v>
      </c>
      <c r="M10" s="27" t="n">
        <v>1.469484</v>
      </c>
      <c r="N10" s="28" t="n">
        <v>0.680511</v>
      </c>
      <c r="O10" s="28" t="n">
        <v>0.659257</v>
      </c>
      <c r="P10" s="28" t="n"/>
      <c r="Q10" s="28" t="n">
        <v>-0.021254</v>
      </c>
      <c r="R10" s="26" t="n">
        <v>9</v>
      </c>
      <c r="S10" s="29" t="n">
        <v>1.75</v>
      </c>
      <c r="T10" s="24" t="inlineStr">
        <is>
          <t>dota2-tiered-elo-v6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-213</v>
      </c>
      <c r="AA10" s="28" t="n">
        <v>0.68</v>
      </c>
      <c r="AB10" s="28" t="n">
        <v>-0.000511</v>
      </c>
      <c r="AC10" s="30" t="n">
        <v>0.8216</v>
      </c>
      <c r="AD10" s="24" t="inlineStr">
        <is>
          <t>2026-08-07T18:26:23.598929Z</t>
        </is>
      </c>
      <c r="AE10" s="31" t="inlineStr">
        <is>
          <t>Neutral Elo baseline; executable ask 0.6800 (market_slug=aec-dota2-pr-tje-2026-08-07).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NO_CALL_WINNER_OVERVALUED</t>
        </is>
      </c>
      <c r="AP10" s="24" t="inlineStr">
        <is>
          <t>Team Jenz</t>
        </is>
      </c>
      <c r="AQ10" s="24" t="inlineStr">
        <is>
          <t>Team Jenz</t>
        </is>
      </c>
      <c r="AR10" s="24" t="inlineStr">
        <is>
          <t>Team Jenz</t>
        </is>
      </c>
      <c r="AS10" s="24" t="inlineStr">
        <is>
          <t>Power Rangers</t>
        </is>
      </c>
      <c r="AT10" s="24" t="inlineStr">
        <is>
          <t>Power Rangers</t>
        </is>
      </c>
      <c r="AU10" s="24" t="inlineStr">
        <is>
          <t>Power Rangers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007188172239d3dfb1106fac54f73170318b23e441cc93d6e8e709844ef5fc38</t>
        </is>
      </c>
      <c r="BB10" s="24" t="inlineStr">
        <is>
          <t>neutral_elo</t>
        </is>
      </c>
      <c r="BC10" s="24" t="inlineStr">
        <is>
          <t>dota2-tiered-elo-v6</t>
        </is>
      </c>
      <c r="BD10" s="24" t="inlineStr">
        <is>
          <t>007188172239d3dfb1106fac54f73170318b23e441cc93d6e8e709844ef5fc38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dota2-tiered-elo-v6</t>
        </is>
      </c>
      <c r="BH10" s="24" t="inlineStr">
        <is>
          <t>2026-08-07T12:17:10.694583Z</t>
        </is>
      </c>
      <c r="BI10" s="24" t="inlineStr">
        <is>
          <t>["same_event","same_team_same_day","same_league_same_day"]</t>
        </is>
      </c>
      <c r="BJ10" s="25" t="n"/>
      <c r="BK10" s="26" t="n">
        <v>-213</v>
      </c>
      <c r="BL10" s="27" t="n">
        <v>1.469484</v>
      </c>
      <c r="BM10" s="28" t="n">
        <v>0.680511</v>
      </c>
      <c r="BN10" s="28" t="n"/>
      <c r="BO10" s="28" t="n"/>
      <c r="BP10" s="25" t="n"/>
      <c r="BQ10" s="27" t="n">
        <v>1.469484</v>
      </c>
      <c r="BR10" s="28" t="n">
        <v>0.68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9ca73c7d5d2943e8</t>
        </is>
      </c>
      <c r="B11" s="24" t="inlineStr">
        <is>
          <t>2026-08-07T15:23:55.158135Z</t>
        </is>
      </c>
      <c r="C11" s="24" t="inlineStr">
        <is>
          <t>2026-08-07T18:00:00Z</t>
        </is>
      </c>
      <c r="D11" s="24" t="inlineStr">
        <is>
          <t>72081</t>
        </is>
      </c>
      <c r="E11" s="24" t="inlineStr">
        <is>
          <t>DOTA2</t>
        </is>
      </c>
      <c r="F11" s="24" t="inlineStr">
        <is>
          <t>Nemiga Gaming</t>
        </is>
      </c>
      <c r="G11" s="24" t="inlineStr">
        <is>
          <t>Team Jenz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0.602486</v>
      </c>
      <c r="P11" s="28" t="n"/>
      <c r="Q11" s="28" t="n">
        <v>0.002486</v>
      </c>
      <c r="R11" s="26" t="n">
        <v>21</v>
      </c>
      <c r="S11" s="29" t="n">
        <v>1.25</v>
      </c>
      <c r="T11" s="24" t="inlineStr">
        <is>
          <t>dota2-tiered-elo-v6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-150</v>
      </c>
      <c r="AA11" s="28" t="n">
        <v>0.6</v>
      </c>
      <c r="AB11" s="28" t="n">
        <v>0</v>
      </c>
      <c r="AC11" s="30" t="n">
        <v>-1.25</v>
      </c>
      <c r="AD11" s="24" t="inlineStr">
        <is>
          <t>2026-08-07T21:54:41.451613Z</t>
        </is>
      </c>
      <c r="AE11" s="31" t="inlineStr">
        <is>
          <t>Neutral Elo baseline; executable ask 0.6000 (market_slug=aec-dota2-tje-nemiga-2026-08-07).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NO_CALL_WINNER_OVERVALUED</t>
        </is>
      </c>
      <c r="AP11" s="24" t="inlineStr">
        <is>
          <t>Nemiga Gaming</t>
        </is>
      </c>
      <c r="AQ11" s="24" t="inlineStr">
        <is>
          <t>Nemiga Gaming</t>
        </is>
      </c>
      <c r="AR11" s="24" t="inlineStr">
        <is>
          <t>Nemiga Gaming</t>
        </is>
      </c>
      <c r="AS11" s="24" t="inlineStr">
        <is>
          <t>Team Jenz</t>
        </is>
      </c>
      <c r="AT11" s="24" t="inlineStr">
        <is>
          <t>Team Jenz</t>
        </is>
      </c>
      <c r="AU11" s="24" t="inlineStr">
        <is>
          <t>Team Jenz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c3ccf6a5a853bf09f9c7ad7a3e7bb20f0df6d66be999c1fcc3b13debd13b244b</t>
        </is>
      </c>
      <c r="BB11" s="24" t="inlineStr">
        <is>
          <t>neutral_elo</t>
        </is>
      </c>
      <c r="BC11" s="24" t="inlineStr">
        <is>
          <t>dota2-tiered-elo-v6</t>
        </is>
      </c>
      <c r="BD11" s="24" t="inlineStr">
        <is>
          <t>c3ccf6a5a853bf09f9c7ad7a3e7bb20f0df6d66be999c1fcc3b13debd13b244b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dota2-tiered-elo-v6</t>
        </is>
      </c>
      <c r="BH11" s="24" t="inlineStr">
        <is>
          <t>2026-08-07T15:23:53.673514Z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>
        <v>1.666667</v>
      </c>
      <c r="BR11" s="28" t="n">
        <v>0.6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374baf4ba0594e7d</t>
        </is>
      </c>
      <c r="B12" s="24" t="inlineStr">
        <is>
          <t>2026-08-07T15:23:55.158135Z</t>
        </is>
      </c>
      <c r="C12" s="24" t="inlineStr">
        <is>
          <t>2026-08-07T18:00:00Z</t>
        </is>
      </c>
      <c r="D12" s="24" t="inlineStr">
        <is>
          <t>74328</t>
        </is>
      </c>
      <c r="E12" s="24" t="inlineStr">
        <is>
          <t>DOTA2</t>
        </is>
      </c>
      <c r="F12" s="24" t="inlineStr">
        <is>
          <t>Team Lynx</t>
        </is>
      </c>
      <c r="G12" s="24" t="inlineStr">
        <is>
          <t>PuckChamp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0.535813</v>
      </c>
      <c r="P12" s="28" t="n"/>
      <c r="Q12" s="28" t="n">
        <v>-0.013737</v>
      </c>
      <c r="R12" s="26" t="n">
        <v>13</v>
      </c>
      <c r="S12" s="29" t="n">
        <v>1</v>
      </c>
      <c r="T12" s="24" t="inlineStr">
        <is>
          <t>dota2-tiered-elo-v6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-122</v>
      </c>
      <c r="AA12" s="28" t="n">
        <v>0.55</v>
      </c>
      <c r="AB12" s="28" t="n">
        <v>0.00045</v>
      </c>
      <c r="AC12" s="30" t="n">
        <v>0.8197</v>
      </c>
      <c r="AD12" s="24" t="inlineStr">
        <is>
          <t>2026-08-08T00:59:28.831999Z</t>
        </is>
      </c>
      <c r="AE12" s="31" t="inlineStr">
        <is>
          <t>Neutral Elo baseline; executable ask 0.5500 (market_slug=aec-dota2-pckcp-lynx-2026-08-07).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NO_CALL_WINNER_OVERVALUED</t>
        </is>
      </c>
      <c r="AP12" s="24" t="inlineStr">
        <is>
          <t>Team Lynx</t>
        </is>
      </c>
      <c r="AQ12" s="24" t="inlineStr">
        <is>
          <t>Team Lynx</t>
        </is>
      </c>
      <c r="AR12" s="24" t="inlineStr">
        <is>
          <t>Team Lynx</t>
        </is>
      </c>
      <c r="AS12" s="24" t="inlineStr">
        <is>
          <t>PuckChamp</t>
        </is>
      </c>
      <c r="AT12" s="24" t="inlineStr">
        <is>
          <t>PuckChamp</t>
        </is>
      </c>
      <c r="AU12" s="24" t="inlineStr">
        <is>
          <t>PuckChamp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c3ccf6a5a853bf09f9c7ad7a3e7bb20f0df6d66be999c1fcc3b13debd13b244b</t>
        </is>
      </c>
      <c r="BB12" s="24" t="inlineStr">
        <is>
          <t>neutral_elo</t>
        </is>
      </c>
      <c r="BC12" s="24" t="inlineStr">
        <is>
          <t>dota2-tiered-elo-v6</t>
        </is>
      </c>
      <c r="BD12" s="24" t="inlineStr">
        <is>
          <t>c3ccf6a5a853bf09f9c7ad7a3e7bb20f0df6d66be999c1fcc3b13debd13b244b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dota2-tiered-elo-v6</t>
        </is>
      </c>
      <c r="BH12" s="24" t="inlineStr">
        <is>
          <t>2026-08-07T15:23:54.153981Z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>
        <v>1.819672</v>
      </c>
      <c r="BR12" s="28" t="n">
        <v>0.55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b89b6694dfff4234</t>
        </is>
      </c>
      <c r="B13" s="24" t="inlineStr">
        <is>
          <t>2026-08-08T04:07:53.607771Z</t>
        </is>
      </c>
      <c r="C13" s="24" t="inlineStr">
        <is>
          <t>2026-08-08T09:00:00Z</t>
        </is>
      </c>
      <c r="D13" s="24" t="inlineStr">
        <is>
          <t>74329</t>
        </is>
      </c>
      <c r="E13" s="24" t="inlineStr">
        <is>
          <t>DOTA2</t>
        </is>
      </c>
      <c r="F13" s="24" t="inlineStr">
        <is>
          <t>No Hoodwink</t>
        </is>
      </c>
      <c r="G13" s="24" t="inlineStr">
        <is>
          <t>Ilbirs eSports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0.694921</v>
      </c>
      <c r="P13" s="28" t="n"/>
      <c r="Q13" s="28" t="n">
        <v>0.274753</v>
      </c>
      <c r="R13" s="26" t="n">
        <v>100</v>
      </c>
      <c r="S13" s="29" t="n">
        <v>2</v>
      </c>
      <c r="T13" s="24" t="inlineStr">
        <is>
          <t>dota2-tiered-elo-v6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-2</v>
      </c>
      <c r="AD13" s="24" t="inlineStr">
        <is>
          <t>2026-08-08T18:34:03.559160Z</t>
        </is>
      </c>
      <c r="AE13" s="31" t="inlineStr">
        <is>
          <t>Neutral Elo baseline; executable ask 0.4200 (market_slug=aec-dota2-ill-nh-2026-08-08).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No Hoodwink</t>
        </is>
      </c>
      <c r="AQ13" s="24" t="inlineStr">
        <is>
          <t>No Hoodwink</t>
        </is>
      </c>
      <c r="AR13" s="24" t="inlineStr">
        <is>
          <t>No Hoodwink</t>
        </is>
      </c>
      <c r="AS13" s="24" t="inlineStr">
        <is>
          <t>Ilbirs eSports</t>
        </is>
      </c>
      <c r="AT13" s="24" t="inlineStr">
        <is>
          <t>Ilbirs eSports</t>
        </is>
      </c>
      <c r="AU13" s="24" t="inlineStr">
        <is>
          <t>Ilbirs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0cf8a886b6f638698c8273f1686e63957340d124b26747939ba7748e5424e52f</t>
        </is>
      </c>
      <c r="BB13" s="24" t="inlineStr">
        <is>
          <t>neutral_elo</t>
        </is>
      </c>
      <c r="BC13" s="24" t="inlineStr">
        <is>
          <t>dota2-tiered-elo-v6</t>
        </is>
      </c>
      <c r="BD13" s="24" t="inlineStr">
        <is>
          <t>0cf8a886b6f638698c8273f1686e63957340d124b26747939ba7748e5424e52f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dota2-tiered-elo-v6</t>
        </is>
      </c>
      <c r="BH13" s="24" t="inlineStr">
        <is>
          <t>2026-08-08T04:07:52.173653Z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31194c9091464e31</t>
        </is>
      </c>
      <c r="B14" s="24" t="inlineStr">
        <is>
          <t>2026-08-08T04:07:53.607771Z</t>
        </is>
      </c>
      <c r="C14" s="24" t="inlineStr">
        <is>
          <t>2026-08-08T12:00:00Z</t>
        </is>
      </c>
      <c r="D14" s="24" t="inlineStr">
        <is>
          <t>74944</t>
        </is>
      </c>
      <c r="E14" s="24" t="inlineStr">
        <is>
          <t>DOTA2</t>
        </is>
      </c>
      <c r="F14" s="24" t="inlineStr">
        <is>
          <t>PuckChamp</t>
        </is>
      </c>
      <c r="G14" s="24" t="inlineStr">
        <is>
          <t>FTS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156</v>
      </c>
      <c r="M14" s="27" t="n">
        <v>2.56</v>
      </c>
      <c r="N14" s="28" t="n">
        <v>0.390625</v>
      </c>
      <c r="O14" s="28" t="n">
        <v>0.533843</v>
      </c>
      <c r="P14" s="28" t="n"/>
      <c r="Q14" s="28" t="n">
        <v>0.143218</v>
      </c>
      <c r="R14" s="26" t="n">
        <v>92</v>
      </c>
      <c r="S14" s="29" t="n">
        <v>1</v>
      </c>
      <c r="T14" s="24" t="inlineStr">
        <is>
          <t>dota2-tiered-elo-v6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150</v>
      </c>
      <c r="AA14" s="28" t="n">
        <v>0.4</v>
      </c>
      <c r="AB14" s="28" t="n">
        <v>0.009375</v>
      </c>
      <c r="AC14" s="30" t="n">
        <v>1.56</v>
      </c>
      <c r="AD14" s="24" t="inlineStr">
        <is>
          <t>2026-08-08T18:34:05.005944Z</t>
        </is>
      </c>
      <c r="AE14" s="31" t="inlineStr">
        <is>
          <t>Neutral Elo baseline; executable ask 0.3900 (market_slug=aec-dota2-fts-pckcp-2026-08-08).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PuckChamp</t>
        </is>
      </c>
      <c r="AQ14" s="24" t="inlineStr">
        <is>
          <t>PuckChamp</t>
        </is>
      </c>
      <c r="AR14" s="24" t="inlineStr">
        <is>
          <t>PuckChamp</t>
        </is>
      </c>
      <c r="AS14" s="24" t="inlineStr">
        <is>
          <t>FTS</t>
        </is>
      </c>
      <c r="AT14" s="24" t="inlineStr">
        <is>
          <t>FTS</t>
        </is>
      </c>
      <c r="AU14" s="24" t="inlineStr">
        <is>
          <t>FTS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0cf8a886b6f638698c8273f1686e63957340d124b26747939ba7748e5424e52f</t>
        </is>
      </c>
      <c r="BB14" s="24" t="inlineStr">
        <is>
          <t>neutral_elo</t>
        </is>
      </c>
      <c r="BC14" s="24" t="inlineStr">
        <is>
          <t>dota2-tiered-elo-v6</t>
        </is>
      </c>
      <c r="BD14" s="24" t="inlineStr">
        <is>
          <t>0cf8a886b6f638698c8273f1686e63957340d124b26747939ba7748e5424e52f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dota2-tiered-elo-v6</t>
        </is>
      </c>
      <c r="BH14" s="24" t="inlineStr">
        <is>
          <t>2026-08-08T04:07:52.761230Z</t>
        </is>
      </c>
      <c r="BI14" s="24" t="inlineStr">
        <is>
          <t>["same_event","same_team_same_day","same_league_same_day"]</t>
        </is>
      </c>
      <c r="BJ14" s="25" t="n"/>
      <c r="BK14" s="26" t="n">
        <v>156</v>
      </c>
      <c r="BL14" s="27" t="n">
        <v>2.56</v>
      </c>
      <c r="BM14" s="28" t="n">
        <v>0.390625</v>
      </c>
      <c r="BN14" s="28" t="n"/>
      <c r="BO14" s="28" t="n"/>
      <c r="BP14" s="25" t="n"/>
      <c r="BQ14" s="27" t="n">
        <v>2.5</v>
      </c>
      <c r="BR14" s="28" t="n">
        <v>0.4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498cd253705a4950</t>
        </is>
      </c>
      <c r="B15" s="24" t="inlineStr">
        <is>
          <t>2026-08-09T05:18:31.005738Z</t>
        </is>
      </c>
      <c r="C15" s="24" t="inlineStr">
        <is>
          <t>2026-08-09T09:00:00Z</t>
        </is>
      </c>
      <c r="D15" s="24" t="inlineStr">
        <is>
          <t>75946</t>
        </is>
      </c>
      <c r="E15" s="24" t="inlineStr">
        <is>
          <t>DOTA2</t>
        </is>
      </c>
      <c r="F15" s="24" t="inlineStr">
        <is>
          <t>Yellow Submarine</t>
        </is>
      </c>
      <c r="G15" s="24" t="inlineStr">
        <is>
          <t>Power Rangers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-122</v>
      </c>
      <c r="M15" s="27" t="n">
        <v>1.819672</v>
      </c>
      <c r="N15" s="28" t="n">
        <v>0.54955</v>
      </c>
      <c r="O15" s="28" t="n">
        <v>0.564048</v>
      </c>
      <c r="P15" s="28" t="n"/>
      <c r="Q15" s="28" t="n">
        <v>0.014498</v>
      </c>
      <c r="R15" s="26" t="n">
        <v>27</v>
      </c>
      <c r="S15" s="29" t="n">
        <v>1</v>
      </c>
      <c r="T15" s="24" t="inlineStr">
        <is>
          <t>dota2-tiered-elo-v6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-122</v>
      </c>
      <c r="AA15" s="28" t="n">
        <v>0.55</v>
      </c>
      <c r="AB15" s="28" t="n">
        <v>0.00045</v>
      </c>
      <c r="AC15" s="30" t="n">
        <v>-1</v>
      </c>
      <c r="AD15" s="24" t="inlineStr">
        <is>
          <t>2026-08-09T13:55:56.963082Z</t>
        </is>
      </c>
      <c r="AE15" s="31" t="inlineStr">
        <is>
          <t>Neutral Elo baseline; executable ask 0.5500 (market_slug=aec-dota2-pr-yes-2026-08-09).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NO_CALL_WINNER_OVERVALUED</t>
        </is>
      </c>
      <c r="AP15" s="24" t="inlineStr">
        <is>
          <t>Yellow Submarine</t>
        </is>
      </c>
      <c r="AQ15" s="24" t="inlineStr">
        <is>
          <t>Yellow Submarine</t>
        </is>
      </c>
      <c r="AR15" s="24" t="inlineStr">
        <is>
          <t>Yellow Submarine</t>
        </is>
      </c>
      <c r="AS15" s="24" t="inlineStr">
        <is>
          <t>Power Rangers</t>
        </is>
      </c>
      <c r="AT15" s="24" t="inlineStr">
        <is>
          <t>Power Rangers</t>
        </is>
      </c>
      <c r="AU15" s="24" t="inlineStr">
        <is>
          <t>Power Rangers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f61d33108d741f882603707769cb7ff07bbf39b21ddf16b7bc925dd926d15ddb</t>
        </is>
      </c>
      <c r="BB15" s="24" t="inlineStr">
        <is>
          <t>neutral_elo</t>
        </is>
      </c>
      <c r="BC15" s="24" t="inlineStr">
        <is>
          <t>dota2-tiered-elo-v6</t>
        </is>
      </c>
      <c r="BD15" s="24" t="inlineStr">
        <is>
          <t>f61d33108d741f882603707769cb7ff07bbf39b21ddf16b7bc925dd926d15ddb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dota2-tiered-elo-v6</t>
        </is>
      </c>
      <c r="BH15" s="24" t="inlineStr">
        <is>
          <t>2026-08-09T05:18:27.012322Z</t>
        </is>
      </c>
      <c r="BI15" s="24" t="inlineStr">
        <is>
          <t>["same_event","same_team_same_day","same_league_same_day"]</t>
        </is>
      </c>
      <c r="BJ15" s="25" t="n"/>
      <c r="BK15" s="26" t="n">
        <v>-122</v>
      </c>
      <c r="BL15" s="27" t="n">
        <v>1.819672</v>
      </c>
      <c r="BM15" s="28" t="n">
        <v>0.54955</v>
      </c>
      <c r="BN15" s="28" t="n"/>
      <c r="BO15" s="28" t="n"/>
      <c r="BP15" s="25" t="n"/>
      <c r="BQ15" s="27" t="n">
        <v>1.819672</v>
      </c>
      <c r="BR15" s="28" t="n">
        <v>0.55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17945d149d364c4a</t>
        </is>
      </c>
      <c r="B16" s="24" t="inlineStr">
        <is>
          <t>2026-08-09T05:18:31.005738Z</t>
        </is>
      </c>
      <c r="C16" s="24" t="inlineStr">
        <is>
          <t>2026-08-09T12:00:00Z</t>
        </is>
      </c>
      <c r="D16" s="24" t="inlineStr">
        <is>
          <t>75947</t>
        </is>
      </c>
      <c r="E16" s="24" t="inlineStr">
        <is>
          <t>DOTA2</t>
        </is>
      </c>
      <c r="F16" s="24" t="inlineStr">
        <is>
          <t>FTS</t>
        </is>
      </c>
      <c r="G16" s="24" t="inlineStr">
        <is>
          <t>No Hoodwink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0.527271</v>
      </c>
      <c r="P16" s="28" t="n"/>
      <c r="Q16" s="28" t="n">
        <v>-0.003245</v>
      </c>
      <c r="R16" s="26" t="n">
        <v>18</v>
      </c>
      <c r="S16" s="29" t="n">
        <v>1</v>
      </c>
      <c r="T16" s="24" t="inlineStr">
        <is>
          <t>dota2-tiered-elo-v6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</v>
      </c>
      <c r="AD16" s="24" t="inlineStr">
        <is>
          <t>2026-08-09T17:04:09.445721Z</t>
        </is>
      </c>
      <c r="AE16" s="31" t="inlineStr">
        <is>
          <t>Neutral Elo baseline; executable ask 0.5300 (market_slug=aec-dota2-nh-fts-2026-08-09).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NO_CALL_WINNER_OVERVALUED</t>
        </is>
      </c>
      <c r="AP16" s="24" t="inlineStr">
        <is>
          <t>FTS</t>
        </is>
      </c>
      <c r="AQ16" s="24" t="inlineStr">
        <is>
          <t>FTS</t>
        </is>
      </c>
      <c r="AR16" s="24" t="inlineStr">
        <is>
          <t>FTS</t>
        </is>
      </c>
      <c r="AS16" s="24" t="inlineStr">
        <is>
          <t>No Hoodwink</t>
        </is>
      </c>
      <c r="AT16" s="24" t="inlineStr">
        <is>
          <t>No Hoodwink</t>
        </is>
      </c>
      <c r="AU16" s="24" t="inlineStr">
        <is>
          <t>No Hoodwink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f61d33108d741f882603707769cb7ff07bbf39b21ddf16b7bc925dd926d15ddb</t>
        </is>
      </c>
      <c r="BB16" s="24" t="inlineStr">
        <is>
          <t>neutral_elo</t>
        </is>
      </c>
      <c r="BC16" s="24" t="inlineStr">
        <is>
          <t>dota2-tiered-elo-v6</t>
        </is>
      </c>
      <c r="BD16" s="24" t="inlineStr">
        <is>
          <t>f61d33108d741f882603707769cb7ff07bbf39b21ddf16b7bc925dd926d15ddb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dota2-tiered-elo-v6</t>
        </is>
      </c>
      <c r="BH16" s="24" t="inlineStr">
        <is>
          <t>2026-08-09T05:18:27.708910Z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  <row r="17" ht="36" customHeight="1">
      <c r="A17" s="24" t="inlineStr">
        <is>
          <t>4a1e3c7d1c9b4155</t>
        </is>
      </c>
      <c r="B17" s="24" t="inlineStr">
        <is>
          <t>2026-08-09T17:08:12.247912Z</t>
        </is>
      </c>
      <c r="C17" s="24" t="inlineStr">
        <is>
          <t>2026-08-09T18:00:00Z</t>
        </is>
      </c>
      <c r="D17" s="24" t="inlineStr">
        <is>
          <t>75151</t>
        </is>
      </c>
      <c r="E17" s="24" t="inlineStr">
        <is>
          <t>DOTA2</t>
        </is>
      </c>
      <c r="F17" s="24" t="inlineStr">
        <is>
          <t>Ilbirs eSports</t>
        </is>
      </c>
      <c r="G17" s="24" t="inlineStr">
        <is>
          <t>RE.Arise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-203</v>
      </c>
      <c r="M17" s="27" t="n">
        <v>1.492611</v>
      </c>
      <c r="N17" s="28" t="n">
        <v>0.669967</v>
      </c>
      <c r="O17" s="28" t="n">
        <v>0.504538</v>
      </c>
      <c r="P17" s="28" t="n"/>
      <c r="Q17" s="28" t="n">
        <v>-0.165429</v>
      </c>
      <c r="R17" s="26" t="n">
        <v>0</v>
      </c>
      <c r="S17" s="29" t="n">
        <v>1</v>
      </c>
      <c r="T17" s="24" t="inlineStr">
        <is>
          <t>dota2-tiered-elo-v6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-203</v>
      </c>
      <c r="AA17" s="28" t="n">
        <v>0.67</v>
      </c>
      <c r="AB17" s="28" t="n">
        <v>3.3e-05</v>
      </c>
      <c r="AC17" s="30" t="n">
        <v>0.4926</v>
      </c>
      <c r="AD17" s="24" t="inlineStr">
        <is>
          <t>2026-08-09T23:30:28.508007Z</t>
        </is>
      </c>
      <c r="AE17" s="31" t="inlineStr">
        <is>
          <t>Neutral Elo baseline; executable ask 0.6700 (market_slug=aec-dota2-rae-ill-2026-08-09).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NO_CALL_WINNER_OVERVALUED</t>
        </is>
      </c>
      <c r="AP17" s="24" t="inlineStr">
        <is>
          <t>Ilbirs eSports</t>
        </is>
      </c>
      <c r="AQ17" s="24" t="inlineStr">
        <is>
          <t>Ilbirs eSports</t>
        </is>
      </c>
      <c r="AR17" s="24" t="inlineStr">
        <is>
          <t>Ilbirs eSports</t>
        </is>
      </c>
      <c r="AS17" s="24" t="inlineStr">
        <is>
          <t>RE.Arise</t>
        </is>
      </c>
      <c r="AT17" s="24" t="inlineStr">
        <is>
          <t>RE.Arise</t>
        </is>
      </c>
      <c r="AU17" s="24" t="inlineStr">
        <is>
          <t>RE.Arise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b3e966da2714bd7fcf36794fa00bf8ff367c9e7acb64b21fcab64e7b7cbb4474</t>
        </is>
      </c>
      <c r="BB17" s="24" t="inlineStr">
        <is>
          <t>neutral_elo</t>
        </is>
      </c>
      <c r="BC17" s="24" t="inlineStr">
        <is>
          <t>dota2-tiered-elo-v6</t>
        </is>
      </c>
      <c r="BD17" s="24" t="inlineStr">
        <is>
          <t>b3e966da2714bd7fcf36794fa00bf8ff367c9e7acb64b21fcab64e7b7cbb4474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dota2-tiered-elo-v6</t>
        </is>
      </c>
      <c r="BH17" s="24" t="inlineStr">
        <is>
          <t>2026-08-09T17:08:10.205915Z</t>
        </is>
      </c>
      <c r="BI17" s="24" t="inlineStr">
        <is>
          <t>["same_event","same_team_same_day","same_league_same_day"]</t>
        </is>
      </c>
      <c r="BJ17" s="25" t="n"/>
      <c r="BK17" s="26" t="n">
        <v>-203</v>
      </c>
      <c r="BL17" s="27" t="n">
        <v>1.492611</v>
      </c>
      <c r="BM17" s="28" t="n">
        <v>0.669967</v>
      </c>
      <c r="BN17" s="28" t="n"/>
      <c r="BO17" s="28" t="n"/>
      <c r="BP17" s="25" t="n"/>
      <c r="BQ17" s="27" t="n">
        <v>1.492611</v>
      </c>
      <c r="BR17" s="28" t="n">
        <v>0.67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3aa260f4b4544e6b</t>
        </is>
      </c>
      <c r="B18" s="24" t="inlineStr">
        <is>
          <t>2026-08-10T05:41:14.399564Z</t>
        </is>
      </c>
      <c r="C18" s="24" t="inlineStr">
        <is>
          <t>2026-08-10T09:00:00Z</t>
        </is>
      </c>
      <c r="D18" s="24" t="inlineStr">
        <is>
          <t>76395</t>
        </is>
      </c>
      <c r="E18" s="24" t="inlineStr">
        <is>
          <t>DOTA2</t>
        </is>
      </c>
      <c r="F18" s="24" t="inlineStr">
        <is>
          <t>MOUZ</t>
        </is>
      </c>
      <c r="G18" s="24" t="inlineStr">
        <is>
          <t>Power Rangers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0.617196</v>
      </c>
      <c r="P18" s="28" t="n"/>
      <c r="Q18" s="28" t="n">
        <v>0.166746</v>
      </c>
      <c r="R18" s="26" t="n">
        <v>100</v>
      </c>
      <c r="S18" s="29" t="n">
        <v>1.5</v>
      </c>
      <c r="T18" s="24" t="inlineStr">
        <is>
          <t>dota2-tiered-elo-v6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2026-08-10T16:32:31.697144Z</t>
        </is>
      </c>
      <c r="AE18" s="31" t="inlineStr">
        <is>
          <t>Neutral Elo baseline; executable ask 0.4500 (market_slug=aec-dota2-pr-mouz-2026-08-10).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MOUZ</t>
        </is>
      </c>
      <c r="AQ18" s="24" t="inlineStr">
        <is>
          <t>MOUZ</t>
        </is>
      </c>
      <c r="AR18" s="24" t="inlineStr">
        <is>
          <t>MOUZ</t>
        </is>
      </c>
      <c r="AS18" s="24" t="inlineStr">
        <is>
          <t>Power Rangers</t>
        </is>
      </c>
      <c r="AT18" s="24" t="inlineStr">
        <is>
          <t>Power Rangers</t>
        </is>
      </c>
      <c r="AU18" s="24" t="inlineStr">
        <is>
          <t>Power Rangers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2e4ae6cde129603fa72e772e36ee857b52e2bf4f4d2d82d428622477e46d2626</t>
        </is>
      </c>
      <c r="BB18" s="24" t="inlineStr">
        <is>
          <t>neutral_elo</t>
        </is>
      </c>
      <c r="BC18" s="24" t="inlineStr">
        <is>
          <t>dota2-tiered-elo-v6</t>
        </is>
      </c>
      <c r="BD18" s="24" t="inlineStr">
        <is>
          <t>2e4ae6cde129603fa72e772e36ee857b52e2bf4f4d2d82d428622477e46d2626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dota2-tiered-elo-v6</t>
        </is>
      </c>
      <c r="BH18" s="24" t="inlineStr">
        <is>
          <t>2026-08-10T05:41:11.396742Z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10b350a8956c47aa</t>
        </is>
      </c>
      <c r="B19" s="24" t="inlineStr">
        <is>
          <t>2026-08-10T05:41:14.399564Z</t>
        </is>
      </c>
      <c r="C19" s="24" t="inlineStr">
        <is>
          <t>2026-08-10T12:00:00Z</t>
        </is>
      </c>
      <c r="D19" s="24" t="inlineStr">
        <is>
          <t>76906</t>
        </is>
      </c>
      <c r="E19" s="24" t="inlineStr">
        <is>
          <t>DOTA2</t>
        </is>
      </c>
      <c r="F19" s="24" t="inlineStr">
        <is>
          <t>Zero Tenacity</t>
        </is>
      </c>
      <c r="G19" s="24" t="inlineStr">
        <is>
          <t>Ilbirs eSports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0.602651</v>
      </c>
      <c r="P19" s="28" t="n"/>
      <c r="Q19" s="28" t="n">
        <v>0.012487</v>
      </c>
      <c r="R19" s="26" t="n">
        <v>26</v>
      </c>
      <c r="S19" s="29" t="n">
        <v>1.25</v>
      </c>
      <c r="T19" s="24" t="inlineStr">
        <is>
          <t>dota2-tiered-elo-v6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>
        <v>-144</v>
      </c>
      <c r="AA19" s="28" t="n">
        <v>0.59</v>
      </c>
      <c r="AB19" s="28" t="n">
        <v>-0.000164</v>
      </c>
      <c r="AC19" s="30" t="n">
        <v>0.8681</v>
      </c>
      <c r="AD19" s="24" t="inlineStr">
        <is>
          <t>2026-08-10T16:32:33.207622Z</t>
        </is>
      </c>
      <c r="AE19" s="31" t="inlineStr">
        <is>
          <t>Neutral Elo baseline; executable ask 0.5900 (market_slug=aec-dota2-ill-z10-2026-08-10).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Zero Tenacity</t>
        </is>
      </c>
      <c r="AQ19" s="24" t="inlineStr">
        <is>
          <t>Zero Tenacity</t>
        </is>
      </c>
      <c r="AR19" s="24" t="inlineStr">
        <is>
          <t>Zero Tenacity</t>
        </is>
      </c>
      <c r="AS19" s="24" t="inlineStr">
        <is>
          <t>Ilbirs eSports</t>
        </is>
      </c>
      <c r="AT19" s="24" t="inlineStr">
        <is>
          <t>Ilbirs eSports</t>
        </is>
      </c>
      <c r="AU19" s="24" t="inlineStr">
        <is>
          <t>Ilbirs eSports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2e4ae6cde129603fa72e772e36ee857b52e2bf4f4d2d82d428622477e46d2626</t>
        </is>
      </c>
      <c r="BB19" s="24" t="inlineStr">
        <is>
          <t>neutral_elo</t>
        </is>
      </c>
      <c r="BC19" s="24" t="inlineStr">
        <is>
          <t>dota2-tiered-elo-v6</t>
        </is>
      </c>
      <c r="BD19" s="24" t="inlineStr">
        <is>
          <t>2e4ae6cde129603fa72e772e36ee857b52e2bf4f4d2d82d428622477e46d2626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dota2-tiered-elo-v6</t>
        </is>
      </c>
      <c r="BH19" s="24" t="inlineStr">
        <is>
          <t>2026-08-10T05:41:12.161251Z</t>
        </is>
      </c>
      <c r="BI19" s="24" t="inlineStr">
        <is>
          <t>["same_event","same_team_same_day","same_league_same_day"]</t>
        </is>
      </c>
      <c r="BJ19" s="25" t="n"/>
      <c r="BK19" s="26" t="n">
        <v>-144</v>
      </c>
      <c r="BL19" s="27" t="n">
        <v>1.694444</v>
      </c>
      <c r="BM19" s="28" t="n">
        <v>0.590164</v>
      </c>
      <c r="BN19" s="28" t="n"/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0.91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cb6d9e8e41754df2</t>
        </is>
      </c>
      <c r="B20" s="24" t="inlineStr">
        <is>
          <t>2026-08-10T05:41:14.399564Z</t>
        </is>
      </c>
      <c r="C20" s="24" t="inlineStr">
        <is>
          <t>2026-08-10T12:00:00Z</t>
        </is>
      </c>
      <c r="D20" s="24" t="inlineStr">
        <is>
          <t>76981</t>
        </is>
      </c>
      <c r="E20" s="24" t="inlineStr">
        <is>
          <t>DOTA2</t>
        </is>
      </c>
      <c r="F20" s="24" t="inlineStr">
        <is>
          <t>RE.Arise</t>
        </is>
      </c>
      <c r="G20" s="24" t="inlineStr">
        <is>
          <t>Team Lynx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0.561717</v>
      </c>
      <c r="P20" s="28" t="n"/>
      <c r="Q20" s="28" t="n">
        <v>-0.067913</v>
      </c>
      <c r="R20" s="26" t="n">
        <v>0</v>
      </c>
      <c r="S20" s="29" t="n">
        <v>1</v>
      </c>
      <c r="T20" s="24" t="inlineStr">
        <is>
          <t>dota2-tiered-elo-v6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2026-08-10T16:32:34.639724Z</t>
        </is>
      </c>
      <c r="AE20" s="31" t="inlineStr">
        <is>
          <t>Neutral Elo baseline; executable ask 0.6300 (market_slug=aec-dota2-lynx-rae-2026-08-10).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RE.Arise</t>
        </is>
      </c>
      <c r="AQ20" s="24" t="inlineStr">
        <is>
          <t>RE.Arise</t>
        </is>
      </c>
      <c r="AR20" s="24" t="inlineStr">
        <is>
          <t>RE.Arise</t>
        </is>
      </c>
      <c r="AS20" s="24" t="inlineStr">
        <is>
          <t>Team Lynx</t>
        </is>
      </c>
      <c r="AT20" s="24" t="inlineStr">
        <is>
          <t>Team Lynx</t>
        </is>
      </c>
      <c r="AU20" s="24" t="inlineStr">
        <is>
          <t>Team Lynx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2e4ae6cde129603fa72e772e36ee857b52e2bf4f4d2d82d428622477e46d2626</t>
        </is>
      </c>
      <c r="BB20" s="24" t="inlineStr">
        <is>
          <t>neutral_elo</t>
        </is>
      </c>
      <c r="BC20" s="24" t="inlineStr">
        <is>
          <t>dota2-tiered-elo-v6</t>
        </is>
      </c>
      <c r="BD20" s="24" t="inlineStr">
        <is>
          <t>2e4ae6cde129603fa72e772e36ee857b52e2bf4f4d2d82d428622477e46d2626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dota2-tiered-elo-v6</t>
        </is>
      </c>
      <c r="BH20" s="24" t="inlineStr">
        <is>
          <t>2026-08-10T05:41:12.712148Z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/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e01c6da8c9ba4085</t>
        </is>
      </c>
      <c r="B21" s="24" t="inlineStr">
        <is>
          <t>2026-08-10T05:41:14.399564Z</t>
        </is>
      </c>
      <c r="C21" s="24" t="inlineStr">
        <is>
          <t>2026-08-10T15:00:00Z</t>
        </is>
      </c>
      <c r="D21" s="24" t="inlineStr">
        <is>
          <t>76396</t>
        </is>
      </c>
      <c r="E21" s="24" t="inlineStr">
        <is>
          <t>DOTA2</t>
        </is>
      </c>
      <c r="F21" s="24" t="inlineStr">
        <is>
          <t>Level UP</t>
        </is>
      </c>
      <c r="G21" s="24" t="inlineStr">
        <is>
          <t>Yellow Submarine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100</v>
      </c>
      <c r="M21" s="27" t="n">
        <v>2</v>
      </c>
      <c r="N21" s="28" t="n">
        <v>0.5</v>
      </c>
      <c r="O21" s="28" t="n">
        <v>0.5843469999999999</v>
      </c>
      <c r="P21" s="28" t="n"/>
      <c r="Q21" s="28" t="n">
        <v>0.08434700000000001</v>
      </c>
      <c r="R21" s="26" t="n">
        <v>62</v>
      </c>
      <c r="S21" s="29" t="n">
        <v>1.25</v>
      </c>
      <c r="T21" s="24" t="inlineStr">
        <is>
          <t>dota2-tiered-elo-v6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>
        <v>100</v>
      </c>
      <c r="AA21" s="28" t="n">
        <v>0.5</v>
      </c>
      <c r="AB21" s="28" t="n">
        <v>0</v>
      </c>
      <c r="AC21" s="30" t="n">
        <v>-1.25</v>
      </c>
      <c r="AD21" s="24" t="inlineStr">
        <is>
          <t>2026-08-11T13:07:44.660021Z</t>
        </is>
      </c>
      <c r="AE21" s="31" t="inlineStr">
        <is>
          <t>Neutral Elo baseline; executable ask 0.5000 (market_slug=aec-dota2-yes-lvlup-2026-08-10).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Level UP</t>
        </is>
      </c>
      <c r="AQ21" s="24" t="inlineStr">
        <is>
          <t>Level UP</t>
        </is>
      </c>
      <c r="AR21" s="24" t="inlineStr">
        <is>
          <t>Level UP</t>
        </is>
      </c>
      <c r="AS21" s="24" t="inlineStr">
        <is>
          <t>Yellow Submarine</t>
        </is>
      </c>
      <c r="AT21" s="24" t="inlineStr">
        <is>
          <t>Yellow Submarine</t>
        </is>
      </c>
      <c r="AU21" s="24" t="inlineStr">
        <is>
          <t>Yellow Submarine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2e4ae6cde129603fa72e772e36ee857b52e2bf4f4d2d82d428622477e46d2626</t>
        </is>
      </c>
      <c r="BB21" s="24" t="inlineStr">
        <is>
          <t>neutral_elo</t>
        </is>
      </c>
      <c r="BC21" s="24" t="inlineStr">
        <is>
          <t>dota2-tiered-elo-v6</t>
        </is>
      </c>
      <c r="BD21" s="24" t="inlineStr">
        <is>
          <t>2e4ae6cde129603fa72e772e36ee857b52e2bf4f4d2d82d428622477e46d2626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dota2-tiered-elo-v6</t>
        </is>
      </c>
      <c r="BH21" s="24" t="inlineStr">
        <is>
          <t>2026-08-10T05:41:13.718619Z</t>
        </is>
      </c>
      <c r="BI21" s="24" t="inlineStr">
        <is>
          <t>["same_event","same_team_same_day","same_league_same_day"]</t>
        </is>
      </c>
      <c r="BJ21" s="25" t="n"/>
      <c r="BK21" s="26" t="n">
        <v>100</v>
      </c>
      <c r="BL21" s="27" t="n">
        <v>2</v>
      </c>
      <c r="BM21" s="28" t="n">
        <v>0.5</v>
      </c>
      <c r="BN21" s="28" t="n"/>
      <c r="BO21" s="28" t="n"/>
      <c r="BP21" s="25" t="n"/>
      <c r="BQ21" s="27" t="n">
        <v>2</v>
      </c>
      <c r="BR21" s="28" t="n">
        <v>0.5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-1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a8268eb2d82d4dec</t>
        </is>
      </c>
      <c r="B22" s="24" t="inlineStr">
        <is>
          <t>2026-08-10T16:36:30.771344Z</t>
        </is>
      </c>
      <c r="C22" s="24" t="inlineStr">
        <is>
          <t>2026-08-10T18:00:00Z</t>
        </is>
      </c>
      <c r="D22" s="24" t="inlineStr">
        <is>
          <t>76907</t>
        </is>
      </c>
      <c r="E22" s="24" t="inlineStr">
        <is>
          <t>DOTA2</t>
        </is>
      </c>
      <c r="F22" s="24" t="inlineStr">
        <is>
          <t>Natus Vincere</t>
        </is>
      </c>
      <c r="G22" s="24" t="inlineStr">
        <is>
          <t>Rune Eaters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-233</v>
      </c>
      <c r="M22" s="27" t="n">
        <v>1.429185</v>
      </c>
      <c r="N22" s="28" t="n">
        <v>0.6997</v>
      </c>
      <c r="O22" s="28" t="n">
        <v>0.691469</v>
      </c>
      <c r="P22" s="28" t="n"/>
      <c r="Q22" s="28" t="n">
        <v>-0.008231</v>
      </c>
      <c r="R22" s="26" t="n">
        <v>16</v>
      </c>
      <c r="S22" s="29" t="n">
        <v>2</v>
      </c>
      <c r="T22" s="24" t="inlineStr">
        <is>
          <t>dota2-tiered-elo-v6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-233</v>
      </c>
      <c r="AA22" s="28" t="n">
        <v>0.7</v>
      </c>
      <c r="AB22" s="28" t="n">
        <v>0.0003</v>
      </c>
      <c r="AC22" s="30" t="n">
        <v>0.8584000000000001</v>
      </c>
      <c r="AD22" s="24" t="inlineStr">
        <is>
          <t>2026-08-11T13:07:46.086827Z</t>
        </is>
      </c>
      <c r="AE22" s="31" t="inlineStr">
        <is>
          <t>Neutral Elo baseline; executable ask 0.7000 (market_slug=aec-dota2-re-navi-2026-08-10).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Natus Vincere</t>
        </is>
      </c>
      <c r="AQ22" s="24" t="inlineStr">
        <is>
          <t>Natus Vincere</t>
        </is>
      </c>
      <c r="AR22" s="24" t="inlineStr">
        <is>
          <t>Natus Vincere</t>
        </is>
      </c>
      <c r="AS22" s="24" t="inlineStr">
        <is>
          <t>Rune Eaters</t>
        </is>
      </c>
      <c r="AT22" s="24" t="inlineStr">
        <is>
          <t>Rune Eaters</t>
        </is>
      </c>
      <c r="AU22" s="24" t="inlineStr">
        <is>
          <t>Rune Eaters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b55bd0eb25b8db13b26b84033d5d815ee06f77aac1fa364d04f301723e69eb8f</t>
        </is>
      </c>
      <c r="BB22" s="24" t="inlineStr">
        <is>
          <t>neutral_elo</t>
        </is>
      </c>
      <c r="BC22" s="24" t="inlineStr">
        <is>
          <t>dota2-tiered-elo-v6</t>
        </is>
      </c>
      <c r="BD22" s="24" t="inlineStr">
        <is>
          <t>b55bd0eb25b8db13b26b84033d5d815ee06f77aac1fa364d04f301723e69eb8f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dota2-tiered-elo-v6</t>
        </is>
      </c>
      <c r="BH22" s="24" t="inlineStr">
        <is>
          <t>2026-08-10T16:36:30.771106Z</t>
        </is>
      </c>
      <c r="BI22" s="24" t="inlineStr">
        <is>
          <t>["same_event","same_team_same_day","same_league_same_day"]</t>
        </is>
      </c>
      <c r="BJ22" s="25" t="n"/>
      <c r="BK22" s="26" t="n">
        <v>-233</v>
      </c>
      <c r="BL22" s="27" t="n">
        <v>1.429185</v>
      </c>
      <c r="BM22" s="28" t="n">
        <v>0.6997</v>
      </c>
      <c r="BN22" s="28" t="n"/>
      <c r="BO22" s="28" t="n"/>
      <c r="BP22" s="25" t="n"/>
      <c r="BQ22" s="27" t="n">
        <v>1.429185</v>
      </c>
      <c r="BR22" s="28" t="n">
        <v>0.7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0.91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</row>
    <row r="23" ht="36" customHeight="1">
      <c r="A23" s="24" t="inlineStr">
        <is>
          <t>3c9edd2587e84ba4</t>
        </is>
      </c>
      <c r="B23" s="24" t="inlineStr">
        <is>
          <t>2026-08-12T08:22:28.832657Z</t>
        </is>
      </c>
      <c r="C23" s="24" t="inlineStr">
        <is>
          <t>2026-08-12T09:00:00Z</t>
        </is>
      </c>
      <c r="D23" s="24" t="inlineStr">
        <is>
          <t>79381</t>
        </is>
      </c>
      <c r="E23" s="24" t="inlineStr">
        <is>
          <t>DOTA2</t>
        </is>
      </c>
      <c r="F23" s="24" t="inlineStr">
        <is>
          <t>Rune Eaters</t>
        </is>
      </c>
      <c r="G23" s="24" t="inlineStr">
        <is>
          <t>Level UP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122</v>
      </c>
      <c r="M23" s="27" t="n">
        <v>2.22</v>
      </c>
      <c r="N23" s="28" t="n">
        <v>0.45045</v>
      </c>
      <c r="O23" s="28" t="n">
        <v>0.5450159999999999</v>
      </c>
      <c r="P23" s="28" t="n"/>
      <c r="Q23" s="28" t="n">
        <v>0.094566</v>
      </c>
      <c r="R23" s="26" t="n">
        <v>67</v>
      </c>
      <c r="S23" s="29" t="n">
        <v>1</v>
      </c>
      <c r="T23" s="24" t="inlineStr">
        <is>
          <t>dota2-tiered-elo-v6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>
        <v>122</v>
      </c>
      <c r="AA23" s="28" t="n">
        <v>0.45</v>
      </c>
      <c r="AB23" s="28" t="n">
        <v>-0.00045</v>
      </c>
      <c r="AC23" s="30" t="n">
        <v>1.22</v>
      </c>
      <c r="AD23" s="24" t="inlineStr">
        <is>
          <t>2026-08-12T14:32:25.172024Z</t>
        </is>
      </c>
      <c r="AE23" s="31" t="inlineStr">
        <is>
          <t>Neutral Elo baseline; executable ask 0.4500 (market_slug=aec-dota2-lvlup-re-2026-08-12).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Rune Eaters</t>
        </is>
      </c>
      <c r="AQ23" s="24" t="inlineStr">
        <is>
          <t>Rune Eaters</t>
        </is>
      </c>
      <c r="AR23" s="24" t="inlineStr">
        <is>
          <t>Rune Eaters</t>
        </is>
      </c>
      <c r="AS23" s="24" t="inlineStr">
        <is>
          <t>Level UP</t>
        </is>
      </c>
      <c r="AT23" s="24" t="inlineStr">
        <is>
          <t>Level UP</t>
        </is>
      </c>
      <c r="AU23" s="24" t="inlineStr">
        <is>
          <t>Level UP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4806051748ca0e0e71f7a78cdec3088c19d0b8147cff09cd9e9a8b19e8dc6791</t>
        </is>
      </c>
      <c r="BB23" s="24" t="inlineStr">
        <is>
          <t>neutral_elo</t>
        </is>
      </c>
      <c r="BC23" s="24" t="inlineStr">
        <is>
          <t>dota2-tiered-elo-v6</t>
        </is>
      </c>
      <c r="BD23" s="24" t="inlineStr">
        <is>
          <t>4806051748ca0e0e71f7a78cdec3088c19d0b8147cff09cd9e9a8b19e8dc6791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dota2-tiered-elo-v6</t>
        </is>
      </c>
      <c r="BH23" s="24" t="inlineStr">
        <is>
          <t>2026-08-12T08:22:23.388322Z</t>
        </is>
      </c>
      <c r="BI23" s="24" t="inlineStr">
        <is>
          <t>["same_event","same_team_same_day","same_league_same_day"]</t>
        </is>
      </c>
      <c r="BJ23" s="25" t="n"/>
      <c r="BK23" s="26" t="n">
        <v>122</v>
      </c>
      <c r="BL23" s="27" t="n">
        <v>2.22</v>
      </c>
      <c r="BM23" s="28" t="n">
        <v>0.45045</v>
      </c>
      <c r="BN23" s="28" t="n"/>
      <c r="BO23" s="28" t="n"/>
      <c r="BP23" s="25" t="n"/>
      <c r="BQ23" s="27" t="n">
        <v>2.22</v>
      </c>
      <c r="BR23" s="28" t="n">
        <v>0.45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2b180c6ea30645f3</t>
        </is>
      </c>
      <c r="B24" s="24" t="inlineStr">
        <is>
          <t>2026-08-12T21:33:42.422268Z</t>
        </is>
      </c>
      <c r="C24" s="24" t="inlineStr">
        <is>
          <t>2026-08-13T05:00:00Z</t>
        </is>
      </c>
      <c r="D24" s="24" t="inlineStr">
        <is>
          <t>77167</t>
        </is>
      </c>
      <c r="E24" s="24" t="inlineStr">
        <is>
          <t>DOTA2</t>
        </is>
      </c>
      <c r="F24" s="24" t="inlineStr">
        <is>
          <t>Xtreme Gaming</t>
        </is>
      </c>
      <c r="G24" s="24" t="inlineStr">
        <is>
          <t>Team Spirit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0.738336</v>
      </c>
      <c r="P24" s="28" t="n"/>
      <c r="Q24" s="28" t="n">
        <v>0.038636</v>
      </c>
      <c r="R24" s="26" t="n">
        <v>39</v>
      </c>
      <c r="S24" s="29" t="n">
        <v>2</v>
      </c>
      <c r="T24" s="24" t="inlineStr">
        <is>
          <t>dota2-tiered-elo-v6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0.8584000000000001</v>
      </c>
      <c r="AD24" s="24" t="inlineStr">
        <is>
          <t>2026-08-13T10:05:42.006322Z</t>
        </is>
      </c>
      <c r="AE24" s="31" t="inlineStr">
        <is>
          <t>Neutral Elo baseline; executable ask 0.7000 (market_slug=aec-dota2-ts-xtreme-2026-08-13).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Xtreme Gaming</t>
        </is>
      </c>
      <c r="AQ24" s="24" t="inlineStr">
        <is>
          <t>Xtreme Gaming</t>
        </is>
      </c>
      <c r="AR24" s="24" t="inlineStr">
        <is>
          <t>Xtreme Gaming</t>
        </is>
      </c>
      <c r="AS24" s="24" t="inlineStr">
        <is>
          <t>Team Spirit</t>
        </is>
      </c>
      <c r="AT24" s="24" t="inlineStr">
        <is>
          <t>Team Spirit</t>
        </is>
      </c>
      <c r="AU24" s="24" t="inlineStr">
        <is>
          <t>Team Spirit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3a1a2b913a7c526741b38a48f0957f5889bc186a2bd05c8fa45d935778de3be1</t>
        </is>
      </c>
      <c r="BB24" s="24" t="inlineStr">
        <is>
          <t>neutral_elo</t>
        </is>
      </c>
      <c r="BC24" s="24" t="inlineStr">
        <is>
          <t>dota2-tiered-elo-v6</t>
        </is>
      </c>
      <c r="BD24" s="24" t="inlineStr">
        <is>
          <t>3a1a2b913a7c526741b38a48f0957f5889bc186a2bd05c8fa45d935778de3be1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dota2-tiered-elo-v6</t>
        </is>
      </c>
      <c r="BH24" s="24" t="inlineStr">
        <is>
          <t>2026-08-12T21:33:41.354194Z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e393a458fda84b2c</t>
        </is>
      </c>
      <c r="B25" s="24" t="inlineStr">
        <is>
          <t>2026-08-13T17:16:24.578466Z</t>
        </is>
      </c>
      <c r="C25" s="24" t="inlineStr">
        <is>
          <t>2026-08-14T02:00:00Z</t>
        </is>
      </c>
      <c r="D25" s="24" t="inlineStr">
        <is>
          <t>80486</t>
        </is>
      </c>
      <c r="E25" s="24" t="inlineStr">
        <is>
          <t>DOTA2</t>
        </is>
      </c>
      <c r="F25" s="24" t="inlineStr">
        <is>
          <t>Team Liquid</t>
        </is>
      </c>
      <c r="G25" s="24" t="inlineStr">
        <is>
          <t>Team Yandex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-163</v>
      </c>
      <c r="M25" s="27" t="n">
        <v>1.613497</v>
      </c>
      <c r="N25" s="28" t="n">
        <v>0.619772</v>
      </c>
      <c r="O25" s="28" t="n">
        <v>0.6715989999999999</v>
      </c>
      <c r="P25" s="28" t="n"/>
      <c r="Q25" s="28" t="n">
        <v>0.051827</v>
      </c>
      <c r="R25" s="26" t="n">
        <v>46</v>
      </c>
      <c r="S25" s="29" t="n">
        <v>1.75</v>
      </c>
      <c r="T25" s="24" t="inlineStr">
        <is>
          <t>dota2-tiered-elo-v6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0.6200 (market_slug=aec-dota2-ty-liquid-2026-08-14).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Team Liquid</t>
        </is>
      </c>
      <c r="AQ25" s="24" t="inlineStr">
        <is>
          <t>Team Liquid</t>
        </is>
      </c>
      <c r="AR25" s="24" t="inlineStr">
        <is>
          <t>Team Liquid</t>
        </is>
      </c>
      <c r="AS25" s="24" t="inlineStr">
        <is>
          <t>Team Yandex</t>
        </is>
      </c>
      <c r="AT25" s="24" t="inlineStr">
        <is>
          <t>Team Yandex</t>
        </is>
      </c>
      <c r="AU25" s="24" t="inlineStr">
        <is>
          <t>Team Yandex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34400c15f5679c060458bb6b5dbe8cc623f1b008cf64e0b428c51611a5c66f4e</t>
        </is>
      </c>
      <c r="BB25" s="24" t="inlineStr">
        <is>
          <t>neutral_elo</t>
        </is>
      </c>
      <c r="BC25" s="24" t="inlineStr">
        <is>
          <t>dota2-tiered-elo-v6</t>
        </is>
      </c>
      <c r="BD25" s="24" t="inlineStr">
        <is>
          <t>34400c15f5679c060458bb6b5dbe8cc623f1b008cf64e0b428c51611a5c66f4e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dota2-tiered-elo-v6</t>
        </is>
      </c>
      <c r="BH25" s="24" t="inlineStr">
        <is>
          <t>2026-08-13T17:16:21.311272Z</t>
        </is>
      </c>
      <c r="BI25" s="24" t="inlineStr">
        <is>
          <t>["same_event","same_team_same_day","same_league_same_day"]</t>
        </is>
      </c>
      <c r="BJ25" s="25" t="n"/>
      <c r="BK25" s="26" t="n">
        <v>-163</v>
      </c>
      <c r="BL25" s="27" t="n">
        <v>1.613497</v>
      </c>
      <c r="BM25" s="28" t="n">
        <v>0.619772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db579deadff24fce</t>
        </is>
      </c>
      <c r="B26" s="24" t="inlineStr">
        <is>
          <t>2026-08-13T17:16:24.578466Z</t>
        </is>
      </c>
      <c r="C26" s="24" t="inlineStr">
        <is>
          <t>2026-08-14T02:00:00Z</t>
        </is>
      </c>
      <c r="D26" s="24" t="inlineStr">
        <is>
          <t>80487</t>
        </is>
      </c>
      <c r="E26" s="24" t="inlineStr">
        <is>
          <t>DOTA2</t>
        </is>
      </c>
      <c r="F26" s="24" t="inlineStr">
        <is>
          <t>Xtreme Gaming</t>
        </is>
      </c>
      <c r="G26" s="24" t="inlineStr">
        <is>
          <t>Team Spirit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0.79937</v>
      </c>
      <c r="P26" s="28" t="n"/>
      <c r="Q26" s="28" t="n">
        <v>0.209206</v>
      </c>
      <c r="R26" s="26" t="n">
        <v>100</v>
      </c>
      <c r="S26" s="29" t="n">
        <v>2</v>
      </c>
      <c r="T26" s="24" t="inlineStr">
        <is>
          <t>dota2-tiered-elo-v6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(market_slug=aec-dota2-ts-xtreme-2026-08-14).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Xtreme Gaming</t>
        </is>
      </c>
      <c r="AQ26" s="24" t="inlineStr">
        <is>
          <t>Xtreme Gaming</t>
        </is>
      </c>
      <c r="AR26" s="24" t="inlineStr">
        <is>
          <t>Xtreme Gaming</t>
        </is>
      </c>
      <c r="AS26" s="24" t="inlineStr">
        <is>
          <t>Team Spirit</t>
        </is>
      </c>
      <c r="AT26" s="24" t="inlineStr">
        <is>
          <t>Team Spirit</t>
        </is>
      </c>
      <c r="AU26" s="24" t="inlineStr">
        <is>
          <t>Team Spirit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34400c15f5679c060458bb6b5dbe8cc623f1b008cf64e0b428c51611a5c66f4e</t>
        </is>
      </c>
      <c r="BB26" s="24" t="inlineStr">
        <is>
          <t>neutral_elo</t>
        </is>
      </c>
      <c r="BC26" s="24" t="inlineStr">
        <is>
          <t>dota2-tiered-elo-v6</t>
        </is>
      </c>
      <c r="BD26" s="24" t="inlineStr">
        <is>
          <t>34400c15f5679c060458bb6b5dbe8cc623f1b008cf64e0b428c51611a5c66f4e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dota2-tiered-elo-v6</t>
        </is>
      </c>
      <c r="BH26" s="24" t="inlineStr">
        <is>
          <t>2026-08-13T17:16:21.914112Z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d86f883d1bd34a24</t>
        </is>
      </c>
      <c r="B27" s="24" t="inlineStr">
        <is>
          <t>2026-08-13T17:16:24.578466Z</t>
        </is>
      </c>
      <c r="C27" s="24" t="inlineStr">
        <is>
          <t>2026-08-14T02:00:00Z</t>
        </is>
      </c>
      <c r="D27" s="24" t="inlineStr">
        <is>
          <t>80488</t>
        </is>
      </c>
      <c r="E27" s="24" t="inlineStr">
        <is>
          <t>DOTA2</t>
        </is>
      </c>
      <c r="F27" s="24" t="inlineStr">
        <is>
          <t>Aurora</t>
        </is>
      </c>
      <c r="G27" s="24" t="inlineStr">
        <is>
          <t>Team Spirit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-127</v>
      </c>
      <c r="M27" s="27" t="n">
        <v>1.787402</v>
      </c>
      <c r="N27" s="28" t="n">
        <v>0.5594710000000001</v>
      </c>
      <c r="O27" s="28" t="n">
        <v>0.5237039999999999</v>
      </c>
      <c r="P27" s="28" t="n"/>
      <c r="Q27" s="28" t="n">
        <v>-0.035767</v>
      </c>
      <c r="R27" s="26" t="n">
        <v>2</v>
      </c>
      <c r="S27" s="29" t="n">
        <v>1</v>
      </c>
      <c r="T27" s="24" t="inlineStr">
        <is>
          <t>dota2-tiered-elo-v6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0.5600 (market_slug=aec-dota2-ts-aur-2026-08-14).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Aurora</t>
        </is>
      </c>
      <c r="AQ27" s="24" t="inlineStr">
        <is>
          <t>Aurora</t>
        </is>
      </c>
      <c r="AR27" s="24" t="inlineStr">
        <is>
          <t>Aurora</t>
        </is>
      </c>
      <c r="AS27" s="24" t="inlineStr">
        <is>
          <t>Team Spirit</t>
        </is>
      </c>
      <c r="AT27" s="24" t="inlineStr">
        <is>
          <t>Team Spirit</t>
        </is>
      </c>
      <c r="AU27" s="24" t="inlineStr">
        <is>
          <t>Team Spirit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34400c15f5679c060458bb6b5dbe8cc623f1b008cf64e0b428c51611a5c66f4e</t>
        </is>
      </c>
      <c r="BB27" s="24" t="inlineStr">
        <is>
          <t>neutral_elo</t>
        </is>
      </c>
      <c r="BC27" s="24" t="inlineStr">
        <is>
          <t>dota2-tiered-elo-v6</t>
        </is>
      </c>
      <c r="BD27" s="24" t="inlineStr">
        <is>
          <t>34400c15f5679c060458bb6b5dbe8cc623f1b008cf64e0b428c51611a5c66f4e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dota2-tiered-elo-v6</t>
        </is>
      </c>
      <c r="BH27" s="24" t="inlineStr">
        <is>
          <t>2026-08-13T17:16:22.422111Z</t>
        </is>
      </c>
      <c r="BI27" s="24" t="inlineStr">
        <is>
          <t>["same_event","same_team_same_day","same_league_same_day"]</t>
        </is>
      </c>
      <c r="BJ27" s="25" t="n"/>
      <c r="BK27" s="26" t="n">
        <v>-127</v>
      </c>
      <c r="BL27" s="27" t="n">
        <v>1.787402</v>
      </c>
      <c r="BM27" s="28" t="n">
        <v>0.5594710000000001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</row>
    <row r="28" ht="36" customHeight="1">
      <c r="A28" s="24" t="inlineStr">
        <is>
          <t>59016120870e4d94</t>
        </is>
      </c>
      <c r="B28" s="24" t="inlineStr">
        <is>
          <t>2026-08-13T17:16:24.578466Z</t>
        </is>
      </c>
      <c r="C28" s="24" t="inlineStr">
        <is>
          <t>2026-08-14T05:00:00Z</t>
        </is>
      </c>
      <c r="D28" s="24" t="inlineStr">
        <is>
          <t>80587</t>
        </is>
      </c>
      <c r="E28" s="24" t="inlineStr">
        <is>
          <t>DOTA2</t>
        </is>
      </c>
      <c r="F28" s="24" t="inlineStr">
        <is>
          <t>OG</t>
        </is>
      </c>
      <c r="G28" s="24" t="inlineStr">
        <is>
          <t>Team Resilience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-113</v>
      </c>
      <c r="M28" s="27" t="n">
        <v>1.884956</v>
      </c>
      <c r="N28" s="28" t="n">
        <v>0.530516</v>
      </c>
      <c r="O28" s="28" t="n">
        <v>0.630076</v>
      </c>
      <c r="P28" s="28" t="n"/>
      <c r="Q28" s="28" t="n">
        <v>0.09956</v>
      </c>
      <c r="R28" s="26" t="n">
        <v>70</v>
      </c>
      <c r="S28" s="29" t="n">
        <v>1.5</v>
      </c>
      <c r="T28" s="24" t="inlineStr">
        <is>
          <t>dota2-tiered-elo-v6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0.5300 (market_slug=aec-dota2-tr-og-2026-08-14).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OG</t>
        </is>
      </c>
      <c r="AQ28" s="24" t="inlineStr">
        <is>
          <t>OG</t>
        </is>
      </c>
      <c r="AR28" s="24" t="inlineStr">
        <is>
          <t>OG</t>
        </is>
      </c>
      <c r="AS28" s="24" t="inlineStr">
        <is>
          <t>Team Resilience</t>
        </is>
      </c>
      <c r="AT28" s="24" t="inlineStr">
        <is>
          <t>Team Resilience</t>
        </is>
      </c>
      <c r="AU28" s="24" t="inlineStr">
        <is>
          <t>Team Resilience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34400c15f5679c060458bb6b5dbe8cc623f1b008cf64e0b428c51611a5c66f4e</t>
        </is>
      </c>
      <c r="BB28" s="24" t="inlineStr">
        <is>
          <t>neutral_elo</t>
        </is>
      </c>
      <c r="BC28" s="24" t="inlineStr">
        <is>
          <t>dota2-tiered-elo-v6</t>
        </is>
      </c>
      <c r="BD28" s="24" t="inlineStr">
        <is>
          <t>34400c15f5679c060458bb6b5dbe8cc623f1b008cf64e0b428c51611a5c66f4e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dota2-tiered-elo-v6</t>
        </is>
      </c>
      <c r="BH28" s="24" t="inlineStr">
        <is>
          <t>2026-08-13T17:16:22.989356Z</t>
        </is>
      </c>
      <c r="BI28" s="24" t="inlineStr">
        <is>
          <t>["same_event","same_team_same_day","same_league_same_day"]</t>
        </is>
      </c>
      <c r="BJ28" s="25" t="n"/>
      <c r="BK28" s="26" t="n">
        <v>-113</v>
      </c>
      <c r="BL28" s="27" t="n">
        <v>1.884956</v>
      </c>
      <c r="BM28" s="28" t="n">
        <v>0.530516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38f1e138479a4e62</t>
        </is>
      </c>
      <c r="B29" s="24" t="inlineStr">
        <is>
          <t>2026-08-13T17:16:24.578466Z</t>
        </is>
      </c>
      <c r="C29" s="24" t="inlineStr">
        <is>
          <t>2026-08-14T05:00:00Z</t>
        </is>
      </c>
      <c r="D29" s="24" t="inlineStr">
        <is>
          <t>80588</t>
        </is>
      </c>
      <c r="E29" s="24" t="inlineStr">
        <is>
          <t>DOTA2</t>
        </is>
      </c>
      <c r="F29" s="24" t="inlineStr">
        <is>
          <t>Nigma Galaxy</t>
        </is>
      </c>
      <c r="G29" s="24" t="inlineStr">
        <is>
          <t>LGD Gaming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-122</v>
      </c>
      <c r="M29" s="27" t="n">
        <v>1.819672</v>
      </c>
      <c r="N29" s="28" t="n">
        <v>0.54955</v>
      </c>
      <c r="O29" s="28" t="n">
        <v>0.578638</v>
      </c>
      <c r="P29" s="28" t="n"/>
      <c r="Q29" s="28" t="n">
        <v>0.029088</v>
      </c>
      <c r="R29" s="26" t="n">
        <v>35</v>
      </c>
      <c r="S29" s="29" t="n">
        <v>1.25</v>
      </c>
      <c r="T29" s="24" t="inlineStr">
        <is>
          <t>dota2-tiered-elo-v6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0.5500 (market_slug=aec-dota2-lgd-ngx-2026-08-14).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Nigma Galaxy</t>
        </is>
      </c>
      <c r="AQ29" s="24" t="inlineStr">
        <is>
          <t>Nigma Galaxy</t>
        </is>
      </c>
      <c r="AR29" s="24" t="inlineStr">
        <is>
          <t>Nigma Galaxy</t>
        </is>
      </c>
      <c r="AS29" s="24" t="inlineStr">
        <is>
          <t>LGD Gaming</t>
        </is>
      </c>
      <c r="AT29" s="24" t="inlineStr">
        <is>
          <t>LGD Gaming</t>
        </is>
      </c>
      <c r="AU29" s="24" t="inlineStr">
        <is>
          <t>LGD Gaming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34400c15f5679c060458bb6b5dbe8cc623f1b008cf64e0b428c51611a5c66f4e</t>
        </is>
      </c>
      <c r="BB29" s="24" t="inlineStr">
        <is>
          <t>neutral_elo</t>
        </is>
      </c>
      <c r="BC29" s="24" t="inlineStr">
        <is>
          <t>dota2-tiered-elo-v6</t>
        </is>
      </c>
      <c r="BD29" s="24" t="inlineStr">
        <is>
          <t>34400c15f5679c060458bb6b5dbe8cc623f1b008cf64e0b428c51611a5c66f4e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dota2-tiered-elo-v6</t>
        </is>
      </c>
      <c r="BH29" s="24" t="inlineStr">
        <is>
          <t>2026-08-13T17:16:23.502827Z</t>
        </is>
      </c>
      <c r="BI29" s="24" t="inlineStr">
        <is>
          <t>["same_event","same_team_same_day","same_league_same_day"]</t>
        </is>
      </c>
      <c r="BJ29" s="25" t="n"/>
      <c r="BK29" s="26" t="n">
        <v>-122</v>
      </c>
      <c r="BL29" s="27" t="n">
        <v>1.819672</v>
      </c>
      <c r="BM29" s="28" t="n">
        <v>0.54955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2026-08-13T17:16:25Z</dcterms:created>
  <dcterms:modified xmlns:dcterms="http://purl.org/dc/terms/" xmlns:xsi="http://www.w3.org/2001/XMLSchema-instance" xsi:type="dcterms:W3CDTF">2026-08-13T17:16:25Z</dcterms:modified>
</cp:coreProperties>
</file>