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8" headerRowCount="1">
  <autoFilter ref="A1:CS3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COUNTA('Picks'!$A$2:$A$38)</f>
        <v/>
      </c>
      <c r="C4" s="6">
        <f>COUNTIF('Picks'!$U$2:$U$38,"open")</f>
        <v/>
      </c>
      <c r="E4" s="6">
        <f>COUNTIF('Picks'!$U$2:$U$38,"settled")</f>
        <v/>
      </c>
      <c r="G4" s="6">
        <f>IF(COUNTIFS('Picks'!$U$2:$U$38,"settled",'Picks'!$V$2:$V$38,"win")+COUNTIFS('Picks'!$U$2:$U$38,"settled",'Picks'!$V$2:$V$38,"loss")&gt;=$L$2,"Ready","Insufficient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COUNTIF('Picks'!$BX$2:$BX$38,"&gt;0")</f>
        <v/>
      </c>
      <c r="C7" s="6">
        <f>COUNTIFS('Picks'!$BX$2:$BX$38,"&gt;0",'Picks'!$V$2:$V$38,"win")&amp;"-"&amp;COUNTIFS('Picks'!$BX$2:$BX$38,"&gt;0",'Picks'!$V$2:$V$38,"loss")</f>
        <v/>
      </c>
      <c r="E7" s="7">
        <f>IFERROR(COUNTIFS('Picks'!$BX$2:$BX$38,"&gt;0",'Picks'!$V$2:$V$38,"win")/(COUNTIFS('Picks'!$BX$2:$BX$38,"&gt;0",'Picks'!$V$2:$V$38,"win")+COUNTIFS('Picks'!$BX$2:$BX$38,"&gt;0",'Picks'!$V$2:$V$38,"loss")),0)</f>
        <v/>
      </c>
      <c r="G7" s="7">
        <f>IFERROR(SUM('Picks'!$BY$2:$BY$38)/SUM('Picks'!$BX$2:$BX$38),0)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SUM('Picks'!$BY$2:$BY$38)</f>
        <v/>
      </c>
      <c r="C10" s="9">
        <f>IFERROR(AVERAGEIF('Picks'!$AB$2:$AB$38,"&lt;&gt;",'Picks'!$AB$2:$AB$38),0)</f>
        <v/>
      </c>
      <c r="E10" s="6">
        <f>COUNTIFS('Picks'!$AM$2:$AM$38,"QUALIFIED_SHADOW_CALL",'Picks'!$U$2:$U$38,"settled")</f>
        <v/>
      </c>
      <c r="G10" s="8">
        <f>SUMIFS('Picks'!$AC$2:$AC$38,'Picks'!$AM$2:$AM$38,"QUALIFIED_SHADOW_CALL")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COUNTIFS('Picks'!$H$2:$H$38,$A14,'Picks'!$U$2:$U$38,"settled")</f>
        <v/>
      </c>
      <c r="C14" s="13">
        <f>COUNTIFS('Picks'!$H$2:$H$38,$A14,'Picks'!$U$2:$U$38,"settled",'Picks'!$V$2:$V$38,"win")</f>
        <v/>
      </c>
      <c r="D14" s="13">
        <f>COUNTIFS('Picks'!$H$2:$H$38,$A14,'Picks'!$U$2:$U$38,"settled",'Picks'!$V$2:$V$38,"loss")</f>
        <v/>
      </c>
      <c r="E14" s="14">
        <f>IFERROR(C14/(C14+D14),0)</f>
        <v/>
      </c>
      <c r="F14" s="15">
        <f>SUMIFS('Picks'!$BY$2:$BY$38,'Picks'!$H$2:$H$38,$A14)</f>
        <v/>
      </c>
      <c r="G14" s="16">
        <f>IFERROR(AVERAGEIFS('Picks'!$AB$2:$AB$38,'Picks'!$H$2:$H$38,$A14,'Picks'!$U$2:$U$38,"settled"),0)</f>
        <v/>
      </c>
    </row>
    <row r="15">
      <c r="A15" s="17" t="inlineStr">
        <is>
          <t>spread</t>
        </is>
      </c>
      <c r="B15" s="18">
        <f>COUNTIFS('Picks'!$H$2:$H$38,$A15,'Picks'!$U$2:$U$38,"settled")</f>
        <v/>
      </c>
      <c r="C15" s="18">
        <f>COUNTIFS('Picks'!$H$2:$H$38,$A15,'Picks'!$U$2:$U$38,"settled",'Picks'!$V$2:$V$38,"win")</f>
        <v/>
      </c>
      <c r="D15" s="18">
        <f>COUNTIFS('Picks'!$H$2:$H$38,$A15,'Picks'!$U$2:$U$38,"settled",'Picks'!$V$2:$V$38,"loss")</f>
        <v/>
      </c>
      <c r="E15" s="19">
        <f>IFERROR(C15/(C15+D15),0)</f>
        <v/>
      </c>
      <c r="F15" s="20">
        <f>SUMIFS('Picks'!$BY$2:$BY$38,'Picks'!$H$2:$H$38,$A15)</f>
        <v/>
      </c>
      <c r="G15" s="21">
        <f>IFERROR(AVERAGEIFS('Picks'!$AB$2:$AB$38,'Picks'!$H$2:$H$38,$A15,'Picks'!$U$2:$U$38,"settled"),0)</f>
        <v/>
      </c>
    </row>
    <row r="16">
      <c r="A16" s="12" t="inlineStr">
        <is>
          <t>total</t>
        </is>
      </c>
      <c r="B16" s="13">
        <f>COUNTIFS('Picks'!$H$2:$H$38,$A16,'Picks'!$U$2:$U$38,"settled")</f>
        <v/>
      </c>
      <c r="C16" s="13">
        <f>COUNTIFS('Picks'!$H$2:$H$38,$A16,'Picks'!$U$2:$U$38,"settled",'Picks'!$V$2:$V$38,"win")</f>
        <v/>
      </c>
      <c r="D16" s="13">
        <f>COUNTIFS('Picks'!$H$2:$H$38,$A16,'Picks'!$U$2:$U$38,"settled",'Picks'!$V$2:$V$38,"loss")</f>
        <v/>
      </c>
      <c r="E16" s="14">
        <f>IFERROR(C16/(C16+D16),0)</f>
        <v/>
      </c>
      <c r="F16" s="15">
        <f>SUMIFS('Picks'!$BY$2:$BY$38,'Picks'!$H$2:$H$38,$A16)</f>
        <v/>
      </c>
      <c r="G16" s="16">
        <f>IFERROR(AVERAGEIFS('Picks'!$AB$2:$AB$38,'Picks'!$H$2:$H$38,$A16,'Picks'!$U$2:$U$38,"settled"),0)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-2</v>
      </c>
      <c r="AD17" s="24" t="inlineStr">
        <is>
          <t>2026-08-02T19:26:45.633634Z</t>
        </is>
      </c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3fd99efe9c6243da</t>
        </is>
      </c>
      <c r="B18" s="24" t="inlineStr">
        <is>
          <t>2026-08-03T04:20:25.162543Z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0.688438</v>
      </c>
      <c r="P18" s="28" t="n"/>
      <c r="Q18" s="28" t="n">
        <v>0.058808</v>
      </c>
      <c r="R18" s="26" t="n">
        <v>49</v>
      </c>
      <c r="S18" s="29" t="n">
        <v>2</v>
      </c>
      <c r="T18" s="24" t="inlineStr">
        <is>
          <t>dota2-tiered-elo-v5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1.1765</v>
      </c>
      <c r="AD18" s="24" t="inlineStr">
        <is>
          <t>2026-08-03T10:06:42.804391Z</t>
        </is>
      </c>
      <c r="AE18" s="31" t="inlineStr">
        <is>
          <t>Neutral Elo baseline; executable ask 0.6300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bf20998d8a70c3832fd09ea459020acc93ce47c0fe8f683c0d8face894c2cb28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bf20998d8a70c3832fd09ea459020acc93ce47c0fe8f683c0d8face894c2cb28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2026-08-03T04:20:21.088131Z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6530d53c06454f44</t>
        </is>
      </c>
      <c r="B19" s="24" t="inlineStr">
        <is>
          <t>2026-08-03T06:32:33.049242Z</t>
        </is>
      </c>
      <c r="C19" s="24" t="inlineStr">
        <is>
          <t>2026-08-03T09:00:00Z</t>
        </is>
      </c>
      <c r="D19" s="24" t="inlineStr">
        <is>
          <t>70303</t>
        </is>
      </c>
      <c r="E19" s="24" t="inlineStr">
        <is>
          <t>DOTA2</t>
        </is>
      </c>
      <c r="F19" s="24" t="inlineStr">
        <is>
          <t>1win</t>
        </is>
      </c>
      <c r="G19" s="24" t="inlineStr">
        <is>
          <t>LGD Gaming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156</v>
      </c>
      <c r="M19" s="27" t="n">
        <v>2.56</v>
      </c>
      <c r="N19" s="28" t="n">
        <v>0.390625</v>
      </c>
      <c r="O19" s="28" t="n">
        <v>0.622594</v>
      </c>
      <c r="P19" s="28" t="n"/>
      <c r="Q19" s="28" t="n">
        <v>0.231969</v>
      </c>
      <c r="R19" s="26" t="n">
        <v>100</v>
      </c>
      <c r="S19" s="29" t="n">
        <v>1.5</v>
      </c>
      <c r="T19" s="24" t="inlineStr">
        <is>
          <t>dota2-tiered-elo-v5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156</v>
      </c>
      <c r="AA19" s="28" t="n">
        <v>0.39</v>
      </c>
      <c r="AB19" s="28" t="n">
        <v>-0.000625</v>
      </c>
      <c r="AC19" s="30" t="n">
        <v>-1.5</v>
      </c>
      <c r="AD19" s="24" t="inlineStr">
        <is>
          <t>2026-08-03T10:55:54.261507Z</t>
        </is>
      </c>
      <c r="AE19" s="31" t="inlineStr">
        <is>
          <t>Neutral Elo baseline; executable ask 0.3900 (market_slug=aec-dota2-lgd-1win-2026-08-03).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1win</t>
        </is>
      </c>
      <c r="AQ19" s="24" t="inlineStr">
        <is>
          <t>1win</t>
        </is>
      </c>
      <c r="AR19" s="24" t="inlineStr">
        <is>
          <t>1win</t>
        </is>
      </c>
      <c r="AS19" s="24" t="inlineStr">
        <is>
          <t>LGD Gaming</t>
        </is>
      </c>
      <c r="AT19" s="24" t="inlineStr">
        <is>
          <t>LGD Gaming</t>
        </is>
      </c>
      <c r="AU19" s="24" t="inlineStr">
        <is>
          <t>LGD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533fea08f6899886856a22c8b82fe2bc1d4c49576971024283434d4b7315bbc9</t>
        </is>
      </c>
      <c r="BB19" s="24" t="inlineStr">
        <is>
          <t>neutral_elo</t>
        </is>
      </c>
      <c r="BC19" s="24" t="inlineStr">
        <is>
          <t>dota2-tiered-elo-v5</t>
        </is>
      </c>
      <c r="BD19" s="24" t="inlineStr">
        <is>
          <t>533fea08f6899886856a22c8b82fe2bc1d4c49576971024283434d4b7315bbc9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dota2-tiered-elo-v5</t>
        </is>
      </c>
      <c r="BH19" s="24" t="inlineStr">
        <is>
          <t>2026-08-03T06:32:30.412423Z</t>
        </is>
      </c>
      <c r="BI19" s="24" t="inlineStr">
        <is>
          <t>["same_event","same_team_same_day","same_league_same_day"]</t>
        </is>
      </c>
      <c r="BJ19" s="25" t="n"/>
      <c r="BK19" s="26" t="n">
        <v>156</v>
      </c>
      <c r="BL19" s="27" t="n">
        <v>2.56</v>
      </c>
      <c r="BM19" s="28" t="n">
        <v>0.390625</v>
      </c>
      <c r="BN19" s="28" t="n"/>
      <c r="BO19" s="28" t="n"/>
      <c r="BP19" s="25" t="n"/>
      <c r="BQ19" s="27" t="n">
        <v>2.56</v>
      </c>
      <c r="BR19" s="28" t="n">
        <v>0.39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8e9037eabbdc48e1</t>
        </is>
      </c>
      <c r="B20" s="24" t="inlineStr">
        <is>
          <t>2026-08-03T10:59:43.802206Z</t>
        </is>
      </c>
      <c r="C20" s="24" t="inlineStr">
        <is>
          <t>2026-08-03T12:00:00Z</t>
        </is>
      </c>
      <c r="D20" s="24" t="inlineStr">
        <is>
          <t>70304</t>
        </is>
      </c>
      <c r="E20" s="24" t="inlineStr">
        <is>
          <t>DOTA2</t>
        </is>
      </c>
      <c r="F20" s="24" t="inlineStr">
        <is>
          <t>GamerLegion</t>
        </is>
      </c>
      <c r="G20" s="24" t="inlineStr">
        <is>
          <t>OG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0.557781</v>
      </c>
      <c r="P20" s="28" t="n"/>
      <c r="Q20" s="28" t="n">
        <v>-0.032383</v>
      </c>
      <c r="R20" s="26" t="n">
        <v>4</v>
      </c>
      <c r="S20" s="29" t="n">
        <v>1</v>
      </c>
      <c r="T20" s="24" t="inlineStr">
        <is>
          <t>dota2-tiered-elo-v5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0.6944</v>
      </c>
      <c r="AD20" s="24" t="inlineStr">
        <is>
          <t>2026-08-03T15:52:24.784101Z</t>
        </is>
      </c>
      <c r="AE20" s="31" t="inlineStr">
        <is>
          <t>Neutral Elo baseline; executable ask 0.5900 (market_slug=aec-dota2-og-gl-2026-08-03).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GamerLegion</t>
        </is>
      </c>
      <c r="AQ20" s="24" t="inlineStr">
        <is>
          <t>GamerLegion</t>
        </is>
      </c>
      <c r="AR20" s="24" t="inlineStr">
        <is>
          <t>GamerLegion</t>
        </is>
      </c>
      <c r="AS20" s="24" t="inlineStr">
        <is>
          <t>OG</t>
        </is>
      </c>
      <c r="AT20" s="24" t="inlineStr">
        <is>
          <t>OG</t>
        </is>
      </c>
      <c r="AU20" s="24" t="inlineStr">
        <is>
          <t>OG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528639205c5899c0cdf1bae7bf1adfb5d019bc11e79b9bc778f8eb3bb742ae6e</t>
        </is>
      </c>
      <c r="BB20" s="24" t="inlineStr">
        <is>
          <t>neutral_elo</t>
        </is>
      </c>
      <c r="BC20" s="24" t="inlineStr">
        <is>
          <t>dota2-tiered-elo-v5</t>
        </is>
      </c>
      <c r="BD20" s="24" t="inlineStr">
        <is>
          <t>528639205c5899c0cdf1bae7bf1adfb5d019bc11e79b9bc778f8eb3bb742ae6e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dota2-tiered-elo-v5</t>
        </is>
      </c>
      <c r="BH20" s="24" t="inlineStr">
        <is>
          <t>2026-08-03T10:59:42.011106Z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e4bdc99ea0824c30</t>
        </is>
      </c>
      <c r="B21" s="24" t="inlineStr">
        <is>
          <t>2026-08-03T13:30:35.070004Z</t>
        </is>
      </c>
      <c r="C21" s="24" t="inlineStr">
        <is>
          <t>2026-08-03T14:00:00Z</t>
        </is>
      </c>
      <c r="D21" s="24" t="inlineStr">
        <is>
          <t>70380</t>
        </is>
      </c>
      <c r="E21" s="24" t="inlineStr">
        <is>
          <t>DOTA2</t>
        </is>
      </c>
      <c r="F21" s="24" t="inlineStr">
        <is>
          <t>LGD Gaming</t>
        </is>
      </c>
      <c r="G21" s="24" t="inlineStr">
        <is>
          <t>Rune Eaters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-233</v>
      </c>
      <c r="M21" s="27" t="n">
        <v>1.429185</v>
      </c>
      <c r="N21" s="28" t="n">
        <v>0.6997</v>
      </c>
      <c r="O21" s="28" t="n">
        <v>0.75532</v>
      </c>
      <c r="P21" s="28" t="n"/>
      <c r="Q21" s="28" t="n">
        <v>0.05562</v>
      </c>
      <c r="R21" s="26" t="n">
        <v>48</v>
      </c>
      <c r="S21" s="29" t="n">
        <v>2</v>
      </c>
      <c r="T21" s="24" t="inlineStr">
        <is>
          <t>dota2-tiered-elo-v5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-233</v>
      </c>
      <c r="AA21" s="28" t="n">
        <v>0.7</v>
      </c>
      <c r="AB21" s="28" t="n">
        <v>0.0003</v>
      </c>
      <c r="AC21" s="30" t="n">
        <v>-2</v>
      </c>
      <c r="AD21" s="24" t="inlineStr">
        <is>
          <t>2026-08-03T22:55:33.101548Z</t>
        </is>
      </c>
      <c r="AE21" s="31" t="inlineStr">
        <is>
          <t>Neutral Elo baseline; executable ask 0.7000 (market_slug=aec-dota2-re-lgd-2026-08-03).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LGD Gaming</t>
        </is>
      </c>
      <c r="AQ21" s="24" t="inlineStr">
        <is>
          <t>LGD Gaming</t>
        </is>
      </c>
      <c r="AR21" s="24" t="inlineStr">
        <is>
          <t>LGD Gaming</t>
        </is>
      </c>
      <c r="AS21" s="24" t="inlineStr">
        <is>
          <t>Rune Eaters</t>
        </is>
      </c>
      <c r="AT21" s="24" t="inlineStr">
        <is>
          <t>Rune Eaters</t>
        </is>
      </c>
      <c r="AU21" s="24" t="inlineStr">
        <is>
          <t>Rune Eaters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9f83c860ce6adddad784676b2958b8c4421adf6e3abacd5545efbed1bb0cde1d</t>
        </is>
      </c>
      <c r="BB21" s="24" t="inlineStr">
        <is>
          <t>neutral_elo</t>
        </is>
      </c>
      <c r="BC21" s="24" t="inlineStr">
        <is>
          <t>dota2-tiered-elo-v5</t>
        </is>
      </c>
      <c r="BD21" s="24" t="inlineStr">
        <is>
          <t>9f83c860ce6adddad784676b2958b8c4421adf6e3abacd5545efbed1bb0cde1d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dota2-tiered-elo-v5</t>
        </is>
      </c>
      <c r="BH21" s="24" t="inlineStr">
        <is>
          <t>2026-08-03T13:30:33.121525Z</t>
        </is>
      </c>
      <c r="BI21" s="24" t="inlineStr">
        <is>
          <t>["same_event","same_team_same_day","same_league_same_day"]</t>
        </is>
      </c>
      <c r="BJ21" s="25" t="n"/>
      <c r="BK21" s="26" t="n">
        <v>-233</v>
      </c>
      <c r="BL21" s="27" t="n">
        <v>1.429185</v>
      </c>
      <c r="BM21" s="28" t="n">
        <v>0.6997</v>
      </c>
      <c r="BN21" s="28" t="n"/>
      <c r="BO21" s="28" t="n"/>
      <c r="BP21" s="25" t="n"/>
      <c r="BQ21" s="27" t="n">
        <v>1.429185</v>
      </c>
      <c r="BR21" s="28" t="n">
        <v>0.7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23f48a1e758d46b2</t>
        </is>
      </c>
      <c r="B22" s="24" t="inlineStr">
        <is>
          <t>2026-08-03T13:30:35.070004Z</t>
        </is>
      </c>
      <c r="C22" s="24" t="inlineStr">
        <is>
          <t>2026-08-03T15:00:00Z</t>
        </is>
      </c>
      <c r="D22" s="24" t="inlineStr">
        <is>
          <t>70305</t>
        </is>
      </c>
      <c r="E22" s="24" t="inlineStr">
        <is>
          <t>DOTA2</t>
        </is>
      </c>
      <c r="F22" s="24" t="inlineStr">
        <is>
          <t>BetBoom Team</t>
        </is>
      </c>
      <c r="G22" s="24" t="inlineStr">
        <is>
          <t>Team Falcons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0.571416</v>
      </c>
      <c r="P22" s="28" t="n"/>
      <c r="Q22" s="28" t="n">
        <v>0.0409</v>
      </c>
      <c r="R22" s="26" t="n">
        <v>40</v>
      </c>
      <c r="S22" s="29" t="n">
        <v>1.25</v>
      </c>
      <c r="T22" s="24" t="inlineStr">
        <is>
          <t>dota2-tiered-elo-v5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-1.25</v>
      </c>
      <c r="AD22" s="24" t="inlineStr">
        <is>
          <t>2026-08-03T19:52:00.620621Z</t>
        </is>
      </c>
      <c r="AE22" s="31" t="inlineStr">
        <is>
          <t>Neutral Elo baseline; executable ask 0.5300 (market_slug=aec-dota2-flc-bb-2026-08-03).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BetBoom Team</t>
        </is>
      </c>
      <c r="AQ22" s="24" t="inlineStr">
        <is>
          <t>BetBoom Team</t>
        </is>
      </c>
      <c r="AR22" s="24" t="inlineStr">
        <is>
          <t>BetBoom Team</t>
        </is>
      </c>
      <c r="AS22" s="24" t="inlineStr">
        <is>
          <t>Team Falcons</t>
        </is>
      </c>
      <c r="AT22" s="24" t="inlineStr">
        <is>
          <t>Team Falcons</t>
        </is>
      </c>
      <c r="AU22" s="24" t="inlineStr">
        <is>
          <t>Team Falcons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9f83c860ce6adddad784676b2958b8c4421adf6e3abacd5545efbed1bb0cde1d</t>
        </is>
      </c>
      <c r="BB22" s="24" t="inlineStr">
        <is>
          <t>neutral_elo</t>
        </is>
      </c>
      <c r="BC22" s="24" t="inlineStr">
        <is>
          <t>dota2-tiered-elo-v5</t>
        </is>
      </c>
      <c r="BD22" s="24" t="inlineStr">
        <is>
          <t>9f83c860ce6adddad784676b2958b8c4421adf6e3abacd5545efbed1bb0cde1d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dota2-tiered-elo-v5</t>
        </is>
      </c>
      <c r="BH22" s="24" t="inlineStr">
        <is>
          <t>2026-08-03T13:30:33.684542Z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7f141fd9db27496a</t>
        </is>
      </c>
      <c r="B23" s="24" t="inlineStr">
        <is>
          <t>2026-08-04T08:56:24.176296Z</t>
        </is>
      </c>
      <c r="C23" s="24" t="inlineStr">
        <is>
          <t>2026-08-04T11:00:00Z</t>
        </is>
      </c>
      <c r="D23" s="24" t="inlineStr">
        <is>
          <t>70684</t>
        </is>
      </c>
      <c r="E23" s="24" t="inlineStr">
        <is>
          <t>DOTA2</t>
        </is>
      </c>
      <c r="F23" s="24" t="inlineStr">
        <is>
          <t>Team Resilience</t>
        </is>
      </c>
      <c r="G23" s="24" t="inlineStr">
        <is>
          <t>PlayTime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0.701803</v>
      </c>
      <c r="P23" s="28" t="n"/>
      <c r="Q23" s="28" t="n">
        <v>0.121971</v>
      </c>
      <c r="R23" s="26" t="n">
        <v>81</v>
      </c>
      <c r="S23" s="29" t="n">
        <v>2</v>
      </c>
      <c r="T23" s="24" t="inlineStr">
        <is>
          <t>dota2-tiered-elo-v5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1.4493</v>
      </c>
      <c r="AD23" s="24" t="inlineStr">
        <is>
          <t>2026-08-04T14:03:19.328085Z</t>
        </is>
      </c>
      <c r="AE23" s="31" t="inlineStr">
        <is>
          <t>Neutral Elo baseline; executable ask 0.5800 (market_slug=aec-dota2-pla-tr-2026-08-04).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Resilience</t>
        </is>
      </c>
      <c r="AQ23" s="24" t="inlineStr">
        <is>
          <t>Team Resilience</t>
        </is>
      </c>
      <c r="AR23" s="24" t="inlineStr">
        <is>
          <t>Team Resilience</t>
        </is>
      </c>
      <c r="AS23" s="24" t="inlineStr">
        <is>
          <t>PlayTime</t>
        </is>
      </c>
      <c r="AT23" s="24" t="inlineStr">
        <is>
          <t>PlayTime</t>
        </is>
      </c>
      <c r="AU23" s="24" t="inlineStr">
        <is>
          <t>PlayTime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97107a1d2e9f7b705ead2c5fce1c23807f8dd72b6d4856d7fd17103d4393ae99</t>
        </is>
      </c>
      <c r="BB23" s="24" t="inlineStr">
        <is>
          <t>neutral_elo</t>
        </is>
      </c>
      <c r="BC23" s="24" t="inlineStr">
        <is>
          <t>dota2-tiered-elo-v5</t>
        </is>
      </c>
      <c r="BD23" s="24" t="inlineStr">
        <is>
          <t>97107a1d2e9f7b705ead2c5fce1c23807f8dd72b6d4856d7fd17103d4393ae99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dota2-tiered-elo-v5</t>
        </is>
      </c>
      <c r="BH23" s="24" t="inlineStr">
        <is>
          <t>2026-08-04T08:56:22.344795Z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3bfb89d3bcc646f4</t>
        </is>
      </c>
      <c r="B24" s="24" t="inlineStr">
        <is>
          <t>2026-08-04T12:01:37.365629Z</t>
        </is>
      </c>
      <c r="C24" s="24" t="inlineStr">
        <is>
          <t>2026-08-04T14:00:00Z</t>
        </is>
      </c>
      <c r="D24" s="24" t="inlineStr">
        <is>
          <t>71323</t>
        </is>
      </c>
      <c r="E24" s="24" t="inlineStr">
        <is>
          <t>DOTA2</t>
        </is>
      </c>
      <c r="F24" s="24" t="inlineStr">
        <is>
          <t>Rune Eaters</t>
        </is>
      </c>
      <c r="G24" s="24" t="inlineStr">
        <is>
          <t>Yakult Brothers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-150</v>
      </c>
      <c r="M24" s="27" t="n">
        <v>1.666667</v>
      </c>
      <c r="N24" s="28" t="n">
        <v>0.6</v>
      </c>
      <c r="O24" s="28" t="n">
        <v>0.63019</v>
      </c>
      <c r="P24" s="28" t="n"/>
      <c r="Q24" s="28" t="n">
        <v>0.03019</v>
      </c>
      <c r="R24" s="26" t="n">
        <v>35</v>
      </c>
      <c r="S24" s="29" t="n">
        <v>1.5</v>
      </c>
      <c r="T24" s="24" t="inlineStr">
        <is>
          <t>dota2-tiered-elo-v5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-150</v>
      </c>
      <c r="AA24" s="28" t="n">
        <v>0.6</v>
      </c>
      <c r="AB24" s="28" t="n">
        <v>0</v>
      </c>
      <c r="AC24" s="30" t="n">
        <v>-1.5</v>
      </c>
      <c r="AD24" s="24" t="inlineStr">
        <is>
          <t>2026-08-04T18:04:02.952248Z</t>
        </is>
      </c>
      <c r="AE24" s="31" t="inlineStr">
        <is>
          <t>Neutral Elo baseline; executable ask 0.6000 (market_slug=aec-dota2-yb-re-2026-08-04).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Rune Eaters</t>
        </is>
      </c>
      <c r="AQ24" s="24" t="inlineStr">
        <is>
          <t>Rune Eaters</t>
        </is>
      </c>
      <c r="AR24" s="24" t="inlineStr">
        <is>
          <t>Rune Eaters</t>
        </is>
      </c>
      <c r="AS24" s="24" t="inlineStr">
        <is>
          <t>Yakult Brothers</t>
        </is>
      </c>
      <c r="AT24" s="24" t="inlineStr">
        <is>
          <t>Yakult Brothers</t>
        </is>
      </c>
      <c r="AU24" s="24" t="inlineStr">
        <is>
          <t>Yakult Brothers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a6c9607e653da0963c1aedbfdf02df93d0e81f5e712085073f323442476b541d</t>
        </is>
      </c>
      <c r="BB24" s="24" t="inlineStr">
        <is>
          <t>neutral_elo</t>
        </is>
      </c>
      <c r="BC24" s="24" t="inlineStr">
        <is>
          <t>dota2-tiered-elo-v5</t>
        </is>
      </c>
      <c r="BD24" s="24" t="inlineStr">
        <is>
          <t>a6c9607e653da0963c1aedbfdf02df93d0e81f5e712085073f323442476b541d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dota2-tiered-elo-v5</t>
        </is>
      </c>
      <c r="BH24" s="24" t="inlineStr">
        <is>
          <t>2026-08-04T12:01:36.421980Z</t>
        </is>
      </c>
      <c r="BI24" s="24" t="inlineStr">
        <is>
          <t>["same_event","same_team_same_day","same_league_same_day"]</t>
        </is>
      </c>
      <c r="BJ24" s="25" t="n"/>
      <c r="BK24" s="26" t="n">
        <v>-150</v>
      </c>
      <c r="BL24" s="27" t="n">
        <v>1.666667</v>
      </c>
      <c r="BM24" s="28" t="n">
        <v>0.6</v>
      </c>
      <c r="BN24" s="28" t="n"/>
      <c r="BO24" s="28" t="n"/>
      <c r="BP24" s="25" t="n"/>
      <c r="BQ24" s="27" t="n">
        <v>1.666667</v>
      </c>
      <c r="BR24" s="28" t="n">
        <v>0.6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191a66f39af04c24</t>
        </is>
      </c>
      <c r="B25" s="24" t="inlineStr">
        <is>
          <t>2026-08-04T14:26:39.396561Z</t>
        </is>
      </c>
      <c r="C25" s="24" t="inlineStr">
        <is>
          <t>2026-08-04T15:00:00Z</t>
        </is>
      </c>
      <c r="D25" s="24" t="inlineStr">
        <is>
          <t>71394</t>
        </is>
      </c>
      <c r="E25" s="24" t="inlineStr">
        <is>
          <t>DOTA2</t>
        </is>
      </c>
      <c r="F25" s="24" t="inlineStr">
        <is>
          <t>Team Liquid</t>
        </is>
      </c>
      <c r="G25" s="24" t="inlineStr">
        <is>
          <t>Team Falcons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0.599247</v>
      </c>
      <c r="P25" s="28" t="n"/>
      <c r="Q25" s="28" t="n">
        <v>-0.051103</v>
      </c>
      <c r="R25" s="26" t="n">
        <v>0</v>
      </c>
      <c r="S25" s="29" t="n">
        <v>1.25</v>
      </c>
      <c r="T25" s="24" t="inlineStr">
        <is>
          <t>dota2-tiered-elo-v5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-186</v>
      </c>
      <c r="AA25" s="28" t="n">
        <v>0.65</v>
      </c>
      <c r="AB25" s="28" t="n">
        <v>-0.00035</v>
      </c>
      <c r="AC25" s="30" t="n">
        <v>0.672</v>
      </c>
      <c r="AD25" s="24" t="inlineStr">
        <is>
          <t>2026-08-04T18:04:05.209291Z</t>
        </is>
      </c>
      <c r="AE25" s="31" t="inlineStr">
        <is>
          <t>Neutral Elo baseline; executable ask 0.6500 (market_slug=aec-dota2-flc-liquid-2026-08-04).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Team Liquid</t>
        </is>
      </c>
      <c r="AQ25" s="24" t="inlineStr">
        <is>
          <t>Team Liquid</t>
        </is>
      </c>
      <c r="AR25" s="24" t="inlineStr">
        <is>
          <t>Team Liquid</t>
        </is>
      </c>
      <c r="AS25" s="24" t="inlineStr">
        <is>
          <t>Team Falcons</t>
        </is>
      </c>
      <c r="AT25" s="24" t="inlineStr">
        <is>
          <t>Team Falcons</t>
        </is>
      </c>
      <c r="AU25" s="24" t="inlineStr">
        <is>
          <t>Team Falcons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b921081c94f350d1171b92b678f9b1518a4a8603443c3731dc34195c91e09a2e</t>
        </is>
      </c>
      <c r="BB25" s="24" t="inlineStr">
        <is>
          <t>neutral_elo</t>
        </is>
      </c>
      <c r="BC25" s="24" t="inlineStr">
        <is>
          <t>dota2-tiered-elo-v5</t>
        </is>
      </c>
      <c r="BD25" s="24" t="inlineStr">
        <is>
          <t>b921081c94f350d1171b92b678f9b1518a4a8603443c3731dc34195c91e09a2e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dota2-tiered-elo-v5</t>
        </is>
      </c>
      <c r="BH25" s="24" t="inlineStr">
        <is>
          <t>2026-08-04T14:26:39.396089Z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>
        <v>1.537634</v>
      </c>
      <c r="BR25" s="28" t="n">
        <v>0.65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8804b09f2e484069</t>
        </is>
      </c>
      <c r="B26" s="24" t="inlineStr">
        <is>
          <t>2026-08-05T04:38:12.341207Z</t>
        </is>
      </c>
      <c r="C26" s="24" t="inlineStr">
        <is>
          <t>2026-08-05T08:00:00Z</t>
        </is>
      </c>
      <c r="D26" s="24" t="inlineStr">
        <is>
          <t>72079</t>
        </is>
      </c>
      <c r="E26" s="24" t="inlineStr">
        <is>
          <t>DOTA2</t>
        </is>
      </c>
      <c r="F26" s="24" t="inlineStr">
        <is>
          <t>Rune Eaters</t>
        </is>
      </c>
      <c r="G26" s="24" t="inlineStr">
        <is>
          <t>Team Resilience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122</v>
      </c>
      <c r="M26" s="27" t="n">
        <v>2.22</v>
      </c>
      <c r="N26" s="28" t="n">
        <v>0.45045</v>
      </c>
      <c r="O26" s="28" t="n">
        <v>0.500216</v>
      </c>
      <c r="P26" s="28" t="n"/>
      <c r="Q26" s="28" t="n">
        <v>0.049766</v>
      </c>
      <c r="R26" s="26" t="n">
        <v>45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122</v>
      </c>
      <c r="AA26" s="28" t="n">
        <v>0.45</v>
      </c>
      <c r="AB26" s="28" t="n">
        <v>-0.00045</v>
      </c>
      <c r="AC26" s="30" t="n">
        <v>1.22</v>
      </c>
      <c r="AD26" s="24" t="inlineStr">
        <is>
          <t>2026-08-05T10:17:02.060126Z</t>
        </is>
      </c>
      <c r="AE26" s="31" t="inlineStr">
        <is>
          <t>Neutral Elo baseline; executable ask 0.4500 (market_slug=aec-dota2-tr-re-2026-08-05).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Rune Eaters</t>
        </is>
      </c>
      <c r="AQ26" s="24" t="inlineStr">
        <is>
          <t>Rune Eaters</t>
        </is>
      </c>
      <c r="AR26" s="24" t="inlineStr">
        <is>
          <t>Rune Eaters</t>
        </is>
      </c>
      <c r="AS26" s="24" t="inlineStr">
        <is>
          <t>Team Resilience</t>
        </is>
      </c>
      <c r="AT26" s="24" t="inlineStr">
        <is>
          <t>Team Resilience</t>
        </is>
      </c>
      <c r="AU26" s="24" t="inlineStr">
        <is>
          <t>Team Resilience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2375429151111a3cb0937a48db93b740727ff54a7bd88a5e4f97e0362efce045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2375429151111a3cb0937a48db93b740727ff54a7bd88a5e4f97e0362efce045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2026-08-05T04:38:08.611098Z</t>
        </is>
      </c>
      <c r="BI26" s="24" t="inlineStr">
        <is>
          <t>["same_event","same_team_same_day","same_league_same_day"]</t>
        </is>
      </c>
      <c r="BJ26" s="25" t="n"/>
      <c r="BK26" s="26" t="n">
        <v>122</v>
      </c>
      <c r="BL26" s="27" t="n">
        <v>2.22</v>
      </c>
      <c r="BM26" s="28" t="n">
        <v>0.45045</v>
      </c>
      <c r="BN26" s="28" t="n"/>
      <c r="BO26" s="28" t="n"/>
      <c r="BP26" s="25" t="n"/>
      <c r="BQ26" s="27" t="n">
        <v>2.22</v>
      </c>
      <c r="BR26" s="28" t="n">
        <v>0.45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38b2b0d956f84f99</t>
        </is>
      </c>
      <c r="B27" s="24" t="inlineStr">
        <is>
          <t>2026-08-05T04:38:12.341207Z</t>
        </is>
      </c>
      <c r="C27" s="24" t="inlineStr">
        <is>
          <t>2026-08-05T09:00:00Z</t>
        </is>
      </c>
      <c r="D27" s="24" t="inlineStr">
        <is>
          <t>71970</t>
        </is>
      </c>
      <c r="E27" s="24" t="inlineStr">
        <is>
          <t>DOTA2</t>
        </is>
      </c>
      <c r="F27" s="24" t="inlineStr">
        <is>
          <t>BetBoom Team</t>
        </is>
      </c>
      <c r="G27" s="24" t="inlineStr">
        <is>
          <t>1win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-113</v>
      </c>
      <c r="M27" s="27" t="n">
        <v>1.884956</v>
      </c>
      <c r="N27" s="28" t="n">
        <v>0.530516</v>
      </c>
      <c r="O27" s="28" t="n">
        <v>0.658681</v>
      </c>
      <c r="P27" s="28" t="n"/>
      <c r="Q27" s="28" t="n">
        <v>0.128165</v>
      </c>
      <c r="R27" s="26" t="n">
        <v>84</v>
      </c>
      <c r="S27" s="29" t="n">
        <v>1.75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-113</v>
      </c>
      <c r="AA27" s="28" t="n">
        <v>0.53</v>
      </c>
      <c r="AB27" s="28" t="n">
        <v>-0.000516</v>
      </c>
      <c r="AC27" s="30" t="n">
        <v>-1.75</v>
      </c>
      <c r="AD27" s="24" t="inlineStr">
        <is>
          <t>2026-08-05T13:50:43.202468Z</t>
        </is>
      </c>
      <c r="AE27" s="31" t="inlineStr">
        <is>
          <t>Neutral Elo baseline; executable ask 0.5300 (market_slug=aec-dota2-1win-bb-2026-08-05).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BetBoom Team</t>
        </is>
      </c>
      <c r="AQ27" s="24" t="inlineStr">
        <is>
          <t>BetBoom Team</t>
        </is>
      </c>
      <c r="AR27" s="24" t="inlineStr">
        <is>
          <t>BetBoom Team</t>
        </is>
      </c>
      <c r="AS27" s="24" t="inlineStr">
        <is>
          <t>1win</t>
        </is>
      </c>
      <c r="AT27" s="24" t="inlineStr">
        <is>
          <t>1win</t>
        </is>
      </c>
      <c r="AU27" s="24" t="inlineStr">
        <is>
          <t>1win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2375429151111a3cb0937a48db93b740727ff54a7bd88a5e4f97e0362efce045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2375429151111a3cb0937a48db93b740727ff54a7bd88a5e4f97e0362efce045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2026-08-05T04:38:09.196950Z</t>
        </is>
      </c>
      <c r="BI27" s="24" t="inlineStr">
        <is>
          <t>["same_event","same_team_same_day","same_league_same_day"]</t>
        </is>
      </c>
      <c r="BJ27" s="25" t="n"/>
      <c r="BK27" s="26" t="n">
        <v>-113</v>
      </c>
      <c r="BL27" s="27" t="n">
        <v>1.884956</v>
      </c>
      <c r="BM27" s="28" t="n">
        <v>0.530516</v>
      </c>
      <c r="BN27" s="28" t="n"/>
      <c r="BO27" s="28" t="n"/>
      <c r="BP27" s="25" t="n"/>
      <c r="BQ27" s="27" t="n">
        <v>1.884956</v>
      </c>
      <c r="BR27" s="28" t="n">
        <v>0.53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8300edfe97dd4fab</t>
        </is>
      </c>
      <c r="B28" s="24" t="inlineStr">
        <is>
          <t>2026-08-05T10:46:31.198892Z</t>
        </is>
      </c>
      <c r="C28" s="24" t="inlineStr">
        <is>
          <t>2026-08-05T12:00:00Z</t>
        </is>
      </c>
      <c r="D28" s="24" t="inlineStr">
        <is>
          <t>72080</t>
        </is>
      </c>
      <c r="E28" s="24" t="inlineStr">
        <is>
          <t>DOTA2</t>
        </is>
      </c>
      <c r="F28" s="24" t="inlineStr">
        <is>
          <t>Yakult Brothers</t>
        </is>
      </c>
      <c r="G28" s="24" t="inlineStr">
        <is>
          <t>PlayTime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-203</v>
      </c>
      <c r="M28" s="27" t="n">
        <v>1.492611</v>
      </c>
      <c r="N28" s="28" t="n">
        <v>0.669967</v>
      </c>
      <c r="O28" s="28" t="n">
        <v>0.805779</v>
      </c>
      <c r="P28" s="28" t="n"/>
      <c r="Q28" s="28" t="n">
        <v>0.135812</v>
      </c>
      <c r="R28" s="26" t="n">
        <v>88</v>
      </c>
      <c r="S28" s="29" t="n">
        <v>2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-203</v>
      </c>
      <c r="AA28" s="28" t="n">
        <v>0.67</v>
      </c>
      <c r="AB28" s="28" t="n">
        <v>3.3e-05</v>
      </c>
      <c r="AC28" s="30" t="n">
        <v>0.9852</v>
      </c>
      <c r="AD28" s="24" t="inlineStr">
        <is>
          <t>2026-08-05T17:00:04.537577Z</t>
        </is>
      </c>
      <c r="AE28" s="31" t="inlineStr">
        <is>
          <t>Neutral Elo baseline; executable ask 0.6700 (market_slug=aec-dota2-pla-yb-2026-08-05).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Yakult Brothers</t>
        </is>
      </c>
      <c r="AQ28" s="24" t="inlineStr">
        <is>
          <t>Yakult Brothers</t>
        </is>
      </c>
      <c r="AR28" s="24" t="inlineStr">
        <is>
          <t>Yakult Brothers</t>
        </is>
      </c>
      <c r="AS28" s="24" t="inlineStr">
        <is>
          <t>PlayTime</t>
        </is>
      </c>
      <c r="AT28" s="24" t="inlineStr">
        <is>
          <t>PlayTime</t>
        </is>
      </c>
      <c r="AU28" s="24" t="inlineStr">
        <is>
          <t>PlayTime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dc641a33858ba89d589d026590c359ae9cf892296ca087b95549769d488c4494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dc641a33858ba89d589d026590c359ae9cf892296ca087b95549769d488c4494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2026-08-05T10:46:27.725458Z</t>
        </is>
      </c>
      <c r="BI28" s="24" t="inlineStr">
        <is>
          <t>["same_event","same_team_same_day","same_league_same_day"]</t>
        </is>
      </c>
      <c r="BJ28" s="25" t="n"/>
      <c r="BK28" s="26" t="n">
        <v>-203</v>
      </c>
      <c r="BL28" s="27" t="n">
        <v>1.492611</v>
      </c>
      <c r="BM28" s="28" t="n">
        <v>0.669967</v>
      </c>
      <c r="BN28" s="28" t="n"/>
      <c r="BO28" s="28" t="n"/>
      <c r="BP28" s="25" t="n"/>
      <c r="BQ28" s="27" t="n">
        <v>1.492611</v>
      </c>
      <c r="BR28" s="28" t="n">
        <v>0.67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6c2da34bbed748a7</t>
        </is>
      </c>
      <c r="B29" s="24" t="inlineStr">
        <is>
          <t>2026-08-06T00:24:36.791267Z</t>
        </is>
      </c>
      <c r="C29" s="24" t="inlineStr">
        <is>
          <t>2026-08-06T09:00:00Z</t>
        </is>
      </c>
      <c r="D29" s="24" t="inlineStr">
        <is>
          <t>70575</t>
        </is>
      </c>
      <c r="E29" s="24" t="inlineStr">
        <is>
          <t>DOTA2</t>
        </is>
      </c>
      <c r="F29" s="24" t="inlineStr">
        <is>
          <t>RE.Arise</t>
        </is>
      </c>
      <c r="G29" s="24" t="inlineStr">
        <is>
          <t>Level UP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0.527212</v>
      </c>
      <c r="P29" s="28" t="n"/>
      <c r="Q29" s="28" t="n">
        <v>0.086683</v>
      </c>
      <c r="R29" s="26" t="n">
        <v>63</v>
      </c>
      <c r="S29" s="29" t="n">
        <v>1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</v>
      </c>
      <c r="AD29" s="24" t="inlineStr">
        <is>
          <t>2026-08-06T18:55:16.797850Z</t>
        </is>
      </c>
      <c r="AE29" s="31" t="inlineStr">
        <is>
          <t>Neutral Elo baseline; executable ask 0.4400 (market_slug=aec-dota2-lvlup-rae-2026-08-06).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RE.Arise</t>
        </is>
      </c>
      <c r="AQ29" s="24" t="inlineStr">
        <is>
          <t>RE.Arise</t>
        </is>
      </c>
      <c r="AR29" s="24" t="inlineStr">
        <is>
          <t>RE.Arise</t>
        </is>
      </c>
      <c r="AS29" s="24" t="inlineStr">
        <is>
          <t>Level UP</t>
        </is>
      </c>
      <c r="AT29" s="24" t="inlineStr">
        <is>
          <t>Level UP</t>
        </is>
      </c>
      <c r="AU29" s="24" t="inlineStr">
        <is>
          <t>Level UP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4b65e86ec6027f3de08417af250975d63d7eb48ed52a953720074a1ff26360df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4b65e86ec6027f3de08417af250975d63d7eb48ed52a953720074a1ff26360df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2026-08-06T00:24:35.411288Z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dc2f368de06048d4</t>
        </is>
      </c>
      <c r="B30" s="24" t="inlineStr">
        <is>
          <t>2026-08-06T00:24:36.791267Z</t>
        </is>
      </c>
      <c r="C30" s="24" t="inlineStr">
        <is>
          <t>2026-08-06T12:00:00Z</t>
        </is>
      </c>
      <c r="D30" s="24" t="inlineStr">
        <is>
          <t>70648</t>
        </is>
      </c>
      <c r="E30" s="24" t="inlineStr">
        <is>
          <t>DOTA2</t>
        </is>
      </c>
      <c r="F30" s="24" t="inlineStr">
        <is>
          <t>No Hoodwink</t>
        </is>
      </c>
      <c r="G30" s="24" t="inlineStr">
        <is>
          <t>RE.Arise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133</v>
      </c>
      <c r="M30" s="27" t="n">
        <v>2.33</v>
      </c>
      <c r="N30" s="28" t="n">
        <v>0.429185</v>
      </c>
      <c r="O30" s="28" t="n">
        <v>0.61125</v>
      </c>
      <c r="P30" s="28" t="n"/>
      <c r="Q30" s="28" t="n">
        <v>0.182065</v>
      </c>
      <c r="R30" s="26" t="n">
        <v>100</v>
      </c>
      <c r="S30" s="29" t="n">
        <v>1.5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1.995</v>
      </c>
      <c r="AD30" s="24" t="inlineStr">
        <is>
          <t>2026-08-06T18:55:18.434522Z</t>
        </is>
      </c>
      <c r="AE30" s="31" t="inlineStr">
        <is>
          <t>Neutral Elo baseline; executable ask 0.4300 (market_slug=aec-dota2-rae-nh-2026-08-06).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No Hoodwink</t>
        </is>
      </c>
      <c r="AQ30" s="24" t="inlineStr">
        <is>
          <t>No Hoodwink</t>
        </is>
      </c>
      <c r="AR30" s="24" t="inlineStr">
        <is>
          <t>No Hoodwink</t>
        </is>
      </c>
      <c r="AS30" s="24" t="inlineStr">
        <is>
          <t>RE.Arise</t>
        </is>
      </c>
      <c r="AT30" s="24" t="inlineStr">
        <is>
          <t>RE.Arise</t>
        </is>
      </c>
      <c r="AU30" s="24" t="inlineStr">
        <is>
          <t>RE.Arise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4b65e86ec6027f3de08417af250975d63d7eb48ed52a953720074a1ff26360df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4b65e86ec6027f3de08417af250975d63d7eb48ed52a953720074a1ff26360df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2026-08-06T00:24:35.868255Z</t>
        </is>
      </c>
      <c r="BI30" s="24" t="inlineStr">
        <is>
          <t>["same_event","same_team_same_day","same_league_same_day"]</t>
        </is>
      </c>
      <c r="BJ30" s="25" t="n"/>
      <c r="BK30" s="26" t="n">
        <v>133</v>
      </c>
      <c r="BL30" s="27" t="n">
        <v>2.33</v>
      </c>
      <c r="BM30" s="28" t="n">
        <v>0.429185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6d583ae5811d479e</t>
        </is>
      </c>
      <c r="B31" s="24" t="inlineStr">
        <is>
          <t>2026-08-06T00:24:36.791267Z</t>
        </is>
      </c>
      <c r="C31" s="24" t="inlineStr">
        <is>
          <t>2026-08-06T15:00:00Z</t>
        </is>
      </c>
      <c r="D31" s="24" t="inlineStr">
        <is>
          <t>70732</t>
        </is>
      </c>
      <c r="E31" s="24" t="inlineStr">
        <is>
          <t>DOTA2</t>
        </is>
      </c>
      <c r="F31" s="24" t="inlineStr">
        <is>
          <t>Level UP</t>
        </is>
      </c>
      <c r="G31" s="24" t="inlineStr">
        <is>
          <t>No Hoodwink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0.55707</v>
      </c>
      <c r="P31" s="28" t="n"/>
      <c r="Q31" s="28" t="n">
        <v>-0.022762</v>
      </c>
      <c r="R31" s="26" t="n">
        <v>9</v>
      </c>
      <c r="S31" s="29" t="n">
        <v>0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2026-08-07T06:00:37.794982Z</t>
        </is>
      </c>
      <c r="AE31" s="31" t="inlineStr">
        <is>
          <t>Neutral Elo baseline; executable ask 0.5800 (market_slug=aec-dota2-nh-lvlup-2026-08-06).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Level UP</t>
        </is>
      </c>
      <c r="AQ31" s="24" t="inlineStr">
        <is>
          <t>Level UP</t>
        </is>
      </c>
      <c r="AR31" s="24" t="inlineStr">
        <is>
          <t>Level UP</t>
        </is>
      </c>
      <c r="AS31" s="24" t="inlineStr">
        <is>
          <t>No Hoodwink</t>
        </is>
      </c>
      <c r="AT31" s="24" t="inlineStr">
        <is>
          <t>No Hoodwink</t>
        </is>
      </c>
      <c r="AU31" s="24" t="inlineStr">
        <is>
          <t>No Hoodwink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4b65e86ec6027f3de08417af250975d63d7eb48ed52a953720074a1ff26360df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4b65e86ec6027f3de08417af250975d63d7eb48ed52a953720074a1ff26360df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2026-08-06T00:24:36.336119Z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f9b4255a13754545</t>
        </is>
      </c>
      <c r="B32" s="24" t="inlineStr">
        <is>
          <t>2026-08-07T06:05:31.608591Z</t>
        </is>
      </c>
      <c r="C32" s="24" t="inlineStr">
        <is>
          <t>2026-08-07T09:00:00Z</t>
        </is>
      </c>
      <c r="D32" s="24" t="inlineStr">
        <is>
          <t>71682</t>
        </is>
      </c>
      <c r="E32" s="24" t="inlineStr">
        <is>
          <t>DOTA2</t>
        </is>
      </c>
      <c r="F32" s="24" t="inlineStr">
        <is>
          <t>Zero Tenacity</t>
        </is>
      </c>
      <c r="G32" s="24" t="inlineStr">
        <is>
          <t>No Hoodwink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0.655357</v>
      </c>
      <c r="P32" s="28" t="n"/>
      <c r="Q32" s="28" t="n">
        <v>0.08454200000000001</v>
      </c>
      <c r="R32" s="26" t="n">
        <v>62</v>
      </c>
      <c r="S32" s="29" t="n">
        <v>1.75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1.3158</v>
      </c>
      <c r="AD32" s="24" t="inlineStr">
        <is>
          <t>2026-08-07T12:13:02.922338Z</t>
        </is>
      </c>
      <c r="AE32" s="31" t="inlineStr">
        <is>
          <t>Neutral Elo baseline; executable ask 0.5700 (market_slug=aec-dota2-nh-z10-2026-08-07).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Zero Tenacity</t>
        </is>
      </c>
      <c r="AQ32" s="24" t="inlineStr">
        <is>
          <t>Zero Tenacity</t>
        </is>
      </c>
      <c r="AR32" s="24" t="inlineStr">
        <is>
          <t>Zero Tenacity</t>
        </is>
      </c>
      <c r="AS32" s="24" t="inlineStr">
        <is>
          <t>No Hoodwink</t>
        </is>
      </c>
      <c r="AT32" s="24" t="inlineStr">
        <is>
          <t>No Hoodwink</t>
        </is>
      </c>
      <c r="AU32" s="24" t="inlineStr">
        <is>
          <t>No Hoodwink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b5735afe41509d1bfa8df2510b921846426862fa58936449e65c5e162a34c4c8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b5735afe41509d1bfa8df2510b921846426862fa58936449e65c5e162a34c4c8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2026-08-07T06:05:28.583196Z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8f3474fb76404d02</t>
        </is>
      </c>
      <c r="B33" s="24" t="inlineStr">
        <is>
          <t>2026-08-07T09:11:24.357961Z</t>
        </is>
      </c>
      <c r="C33" s="24" t="inlineStr">
        <is>
          <t>2026-08-07T12:00:00Z</t>
        </is>
      </c>
      <c r="D33" s="24" t="inlineStr">
        <is>
          <t>71775</t>
        </is>
      </c>
      <c r="E33" s="24" t="inlineStr">
        <is>
          <t>DOTA2</t>
        </is>
      </c>
      <c r="F33" s="24" t="inlineStr">
        <is>
          <t>Team Syntax</t>
        </is>
      </c>
      <c r="G33" s="24" t="inlineStr">
        <is>
          <t>Ilbirs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150</v>
      </c>
      <c r="M33" s="27" t="n">
        <v>2.5</v>
      </c>
      <c r="N33" s="28" t="n">
        <v>0.4</v>
      </c>
      <c r="O33" s="28" t="n">
        <v>0.534269</v>
      </c>
      <c r="P33" s="28" t="n"/>
      <c r="Q33" s="28" t="n">
        <v>0.134269</v>
      </c>
      <c r="R33" s="26" t="n">
        <v>87</v>
      </c>
      <c r="S33" s="29" t="n">
        <v>1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>
        <v>150</v>
      </c>
      <c r="AA33" s="28" t="n">
        <v>0.4</v>
      </c>
      <c r="AB33" s="28" t="n">
        <v>0</v>
      </c>
      <c r="AC33" s="30" t="n">
        <v>-1</v>
      </c>
      <c r="AD33" s="24" t="inlineStr">
        <is>
          <t>2026-08-07T15:18:45.404133Z</t>
        </is>
      </c>
      <c r="AE33" s="31" t="inlineStr">
        <is>
          <t>Neutral Elo baseline; executable ask 0.4000 (market_slug=aec-dota2-ill-stx-2026-08-07).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Team Syntax</t>
        </is>
      </c>
      <c r="AQ33" s="24" t="inlineStr">
        <is>
          <t>Team Syntax</t>
        </is>
      </c>
      <c r="AR33" s="24" t="inlineStr">
        <is>
          <t>Team Syntax</t>
        </is>
      </c>
      <c r="AS33" s="24" t="inlineStr">
        <is>
          <t>Ilbirs eSports</t>
        </is>
      </c>
      <c r="AT33" s="24" t="inlineStr">
        <is>
          <t>Ilbirs eSports</t>
        </is>
      </c>
      <c r="AU33" s="24" t="inlineStr">
        <is>
          <t>Ilbirs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f9dedaeb469ef593cde46debd4929efce40f56a153d988595b6823ce5dad05ca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f9dedaeb469ef593cde46debd4929efce40f56a153d988595b6823ce5dad05ca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2026-08-07T09:11:20.860338Z</t>
        </is>
      </c>
      <c r="BI33" s="24" t="inlineStr">
        <is>
          <t>["same_event","same_team_same_day","same_league_same_day"]</t>
        </is>
      </c>
      <c r="BJ33" s="25" t="n"/>
      <c r="BK33" s="26" t="n">
        <v>150</v>
      </c>
      <c r="BL33" s="27" t="n">
        <v>2.5</v>
      </c>
      <c r="BM33" s="28" t="n">
        <v>0.4</v>
      </c>
      <c r="BN33" s="28" t="n"/>
      <c r="BO33" s="28" t="n"/>
      <c r="BP33" s="25" t="n"/>
      <c r="BQ33" s="27" t="n">
        <v>2.5</v>
      </c>
      <c r="BR33" s="28" t="n">
        <v>0.4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2c074976bc35472a</t>
        </is>
      </c>
      <c r="B34" s="24" t="inlineStr">
        <is>
          <t>2026-08-07T12:17:12.940920Z</t>
        </is>
      </c>
      <c r="C34" s="24" t="inlineStr">
        <is>
          <t>2026-08-07T15:00:00Z</t>
        </is>
      </c>
      <c r="D34" s="24" t="inlineStr">
        <is>
          <t>71907</t>
        </is>
      </c>
      <c r="E34" s="24" t="inlineStr">
        <is>
          <t>DOTA2</t>
        </is>
      </c>
      <c r="F34" s="24" t="inlineStr">
        <is>
          <t>Team Jenz</t>
        </is>
      </c>
      <c r="G34" s="24" t="inlineStr">
        <is>
          <t>Power Rangers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-213</v>
      </c>
      <c r="M34" s="27" t="n">
        <v>1.469484</v>
      </c>
      <c r="N34" s="28" t="n">
        <v>0.680511</v>
      </c>
      <c r="O34" s="28" t="n">
        <v>0.659257</v>
      </c>
      <c r="P34" s="28" t="n"/>
      <c r="Q34" s="28" t="n">
        <v>-0.021254</v>
      </c>
      <c r="R34" s="26" t="n">
        <v>9</v>
      </c>
      <c r="S34" s="29" t="n">
        <v>0</v>
      </c>
      <c r="T34" s="24" t="inlineStr">
        <is>
          <t>dota2-tiered-elo-v6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-213</v>
      </c>
      <c r="AA34" s="28" t="n">
        <v>0.68</v>
      </c>
      <c r="AB34" s="28" t="n">
        <v>-0.000511</v>
      </c>
      <c r="AC34" s="30" t="n">
        <v>0</v>
      </c>
      <c r="AD34" s="24" t="inlineStr">
        <is>
          <t>2026-08-07T18:26:23.598929Z</t>
        </is>
      </c>
      <c r="AE34" s="31" t="inlineStr">
        <is>
          <t>Neutral Elo baseline; executable ask 0.6800 (market_slug=aec-dota2-pr-tje-2026-08-07).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Team Jenz</t>
        </is>
      </c>
      <c r="AQ34" s="24" t="inlineStr">
        <is>
          <t>Team Jenz</t>
        </is>
      </c>
      <c r="AR34" s="24" t="inlineStr">
        <is>
          <t>Team Jenz</t>
        </is>
      </c>
      <c r="AS34" s="24" t="inlineStr">
        <is>
          <t>Power Rangers</t>
        </is>
      </c>
      <c r="AT34" s="24" t="inlineStr">
        <is>
          <t>Power Rangers</t>
        </is>
      </c>
      <c r="AU34" s="24" t="inlineStr">
        <is>
          <t>Power Rangers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007188172239d3dfb1106fac54f73170318b23e441cc93d6e8e709844ef5fc38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007188172239d3dfb1106fac54f73170318b23e441cc93d6e8e709844ef5fc38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2026-08-07T12:17:10.694583Z</t>
        </is>
      </c>
      <c r="BI34" s="24" t="inlineStr">
        <is>
          <t>["same_event","same_team_same_day","same_league_same_day"]</t>
        </is>
      </c>
      <c r="BJ34" s="25" t="n"/>
      <c r="BK34" s="26" t="n">
        <v>-213</v>
      </c>
      <c r="BL34" s="27" t="n">
        <v>1.469484</v>
      </c>
      <c r="BM34" s="28" t="n">
        <v>0.680511</v>
      </c>
      <c r="BN34" s="28" t="n"/>
      <c r="BO34" s="28" t="n"/>
      <c r="BP34" s="25" t="n"/>
      <c r="BQ34" s="27" t="n">
        <v>1.469484</v>
      </c>
      <c r="BR34" s="28" t="n">
        <v>0.68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9ca73c7d5d2943e8</t>
        </is>
      </c>
      <c r="B35" s="24" t="inlineStr">
        <is>
          <t>2026-08-07T15:23:55.158135Z</t>
        </is>
      </c>
      <c r="C35" s="24" t="inlineStr">
        <is>
          <t>2026-08-07T18:00:00Z</t>
        </is>
      </c>
      <c r="D35" s="24" t="inlineStr">
        <is>
          <t>72081</t>
        </is>
      </c>
      <c r="E35" s="24" t="inlineStr">
        <is>
          <t>DOTA2</t>
        </is>
      </c>
      <c r="F35" s="24" t="inlineStr">
        <is>
          <t>Nemiga Gaming</t>
        </is>
      </c>
      <c r="G35" s="24" t="inlineStr">
        <is>
          <t>Team Jenz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-150</v>
      </c>
      <c r="M35" s="27" t="n">
        <v>1.666667</v>
      </c>
      <c r="N35" s="28" t="n">
        <v>0.6</v>
      </c>
      <c r="O35" s="28" t="n">
        <v>0.602486</v>
      </c>
      <c r="P35" s="28" t="n"/>
      <c r="Q35" s="28" t="n">
        <v>0.002486</v>
      </c>
      <c r="R35" s="26" t="n">
        <v>21</v>
      </c>
      <c r="S35" s="29" t="n">
        <v>0</v>
      </c>
      <c r="T35" s="24" t="inlineStr">
        <is>
          <t>dota2-tiered-elo-v6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0.6000 (market_slug=aec-dota2-tje-nemiga-2026-08-07).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Nemiga Gaming</t>
        </is>
      </c>
      <c r="AQ35" s="24" t="inlineStr">
        <is>
          <t>Nemiga Gaming</t>
        </is>
      </c>
      <c r="AR35" s="24" t="inlineStr">
        <is>
          <t>Nemiga Gaming</t>
        </is>
      </c>
      <c r="AS35" s="24" t="inlineStr">
        <is>
          <t>Team Jenz</t>
        </is>
      </c>
      <c r="AT35" s="24" t="inlineStr">
        <is>
          <t>Team Jenz</t>
        </is>
      </c>
      <c r="AU35" s="24" t="inlineStr">
        <is>
          <t>Team Jenz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c3ccf6a5a853bf09f9c7ad7a3e7bb20f0df6d66be999c1fcc3b13debd13b244b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c3ccf6a5a853bf09f9c7ad7a3e7bb20f0df6d66be999c1fcc3b13debd13b244b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2026-08-07T15:23:53.673514Z</t>
        </is>
      </c>
      <c r="BI35" s="24" t="inlineStr">
        <is>
          <t>["same_event","same_team_same_day","same_league_same_day"]</t>
        </is>
      </c>
      <c r="BJ35" s="25" t="n"/>
      <c r="BK35" s="26" t="n">
        <v>-150</v>
      </c>
      <c r="BL35" s="27" t="n">
        <v>1.666667</v>
      </c>
      <c r="BM35" s="28" t="n">
        <v>0.6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374baf4ba0594e7d</t>
        </is>
      </c>
      <c r="B36" s="24" t="inlineStr">
        <is>
          <t>2026-08-07T15:23:55.158135Z</t>
        </is>
      </c>
      <c r="C36" s="24" t="inlineStr">
        <is>
          <t>2026-08-07T18:00:00Z</t>
        </is>
      </c>
      <c r="D36" s="24" t="inlineStr">
        <is>
          <t>74328</t>
        </is>
      </c>
      <c r="E36" s="24" t="inlineStr">
        <is>
          <t>DOTA2</t>
        </is>
      </c>
      <c r="F36" s="24" t="inlineStr">
        <is>
          <t>Team Lynx</t>
        </is>
      </c>
      <c r="G36" s="24" t="inlineStr">
        <is>
          <t>PuckChamp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-122</v>
      </c>
      <c r="M36" s="27" t="n">
        <v>1.819672</v>
      </c>
      <c r="N36" s="28" t="n">
        <v>0.54955</v>
      </c>
      <c r="O36" s="28" t="n">
        <v>0.535813</v>
      </c>
      <c r="P36" s="28" t="n"/>
      <c r="Q36" s="28" t="n">
        <v>-0.013737</v>
      </c>
      <c r="R36" s="26" t="n">
        <v>13</v>
      </c>
      <c r="S36" s="29" t="n">
        <v>0</v>
      </c>
      <c r="T36" s="24" t="inlineStr">
        <is>
          <t>dota2-tiered-elo-v6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0.5500 (market_slug=aec-dota2-pckcp-lynx-2026-08-07).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NO_CALL_WINNER_OVERVALUED</t>
        </is>
      </c>
      <c r="AP36" s="24" t="inlineStr">
        <is>
          <t>Team Lynx</t>
        </is>
      </c>
      <c r="AQ36" s="24" t="inlineStr">
        <is>
          <t>Team Lynx</t>
        </is>
      </c>
      <c r="AR36" s="24" t="inlineStr">
        <is>
          <t>Team Lynx</t>
        </is>
      </c>
      <c r="AS36" s="24" t="inlineStr">
        <is>
          <t>PuckChamp</t>
        </is>
      </c>
      <c r="AT36" s="24" t="inlineStr">
        <is>
          <t>PuckChamp</t>
        </is>
      </c>
      <c r="AU36" s="24" t="inlineStr">
        <is>
          <t>PuckChamp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c3ccf6a5a853bf09f9c7ad7a3e7bb20f0df6d66be999c1fcc3b13debd13b244b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c3ccf6a5a853bf09f9c7ad7a3e7bb20f0df6d66be999c1fcc3b13debd13b244b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2026-08-07T15:23:54.153981Z</t>
        </is>
      </c>
      <c r="BI36" s="24" t="inlineStr">
        <is>
          <t>["same_event","same_team_same_day","same_league_same_day"]</t>
        </is>
      </c>
      <c r="BJ36" s="25" t="n"/>
      <c r="BK36" s="26" t="n">
        <v>-122</v>
      </c>
      <c r="BL36" s="27" t="n">
        <v>1.819672</v>
      </c>
      <c r="BM36" s="28" t="n">
        <v>0.54955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53aa932f6d9e41c3</t>
        </is>
      </c>
      <c r="B37" s="24" t="inlineStr">
        <is>
          <t>2026-08-07T18:31:07.919250Z</t>
        </is>
      </c>
      <c r="C37" s="24" t="inlineStr">
        <is>
          <t>2026-08-08T09:00:00Z</t>
        </is>
      </c>
      <c r="D37" s="24" t="inlineStr">
        <is>
          <t>72729</t>
        </is>
      </c>
      <c r="E37" s="24" t="inlineStr">
        <is>
          <t>DOTA2</t>
        </is>
      </c>
      <c r="F37" s="24" t="inlineStr">
        <is>
          <t>Team Syntax</t>
        </is>
      </c>
      <c r="G37" s="24" t="inlineStr">
        <is>
          <t>Power Rangers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113</v>
      </c>
      <c r="M37" s="27" t="n">
        <v>2.13</v>
      </c>
      <c r="N37" s="28" t="n">
        <v>0.469484</v>
      </c>
      <c r="O37" s="28" t="n">
        <v>0.665399</v>
      </c>
      <c r="P37" s="28" t="n"/>
      <c r="Q37" s="28" t="n">
        <v>0.195915</v>
      </c>
      <c r="R37" s="26" t="n">
        <v>100</v>
      </c>
      <c r="S37" s="29" t="n">
        <v>1.75</v>
      </c>
      <c r="T37" s="24" t="inlineStr">
        <is>
          <t>dota2-tiered-elo-v6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0.4700 (market_slug=aec-dota2-pr-stx-2026-08-08).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Team Syntax</t>
        </is>
      </c>
      <c r="AQ37" s="24" t="inlineStr">
        <is>
          <t>Team Syntax</t>
        </is>
      </c>
      <c r="AR37" s="24" t="inlineStr">
        <is>
          <t>Team Syntax</t>
        </is>
      </c>
      <c r="AS37" s="24" t="inlineStr">
        <is>
          <t>Power Rangers</t>
        </is>
      </c>
      <c r="AT37" s="24" t="inlineStr">
        <is>
          <t>Power Rangers</t>
        </is>
      </c>
      <c r="AU37" s="24" t="inlineStr">
        <is>
          <t>Power Rangers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7611cb925b0bdd8cda78eee9a465c4db63ed56bf3e0e41982af2c70978a81fdb</t>
        </is>
      </c>
      <c r="BB37" s="24" t="inlineStr">
        <is>
          <t>neutral_elo</t>
        </is>
      </c>
      <c r="BC37" s="24" t="inlineStr">
        <is>
          <t>dota2-tiered-elo-v6</t>
        </is>
      </c>
      <c r="BD37" s="24" t="inlineStr">
        <is>
          <t>7611cb925b0bdd8cda78eee9a465c4db63ed56bf3e0e41982af2c70978a81fdb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dota2-tiered-elo-v6</t>
        </is>
      </c>
      <c r="BH37" s="24" t="inlineStr">
        <is>
          <t>2026-08-07T18:31:07.387751Z</t>
        </is>
      </c>
      <c r="BI37" s="24" t="inlineStr">
        <is>
          <t>["same_event","same_team_same_day","same_league_same_day"]</t>
        </is>
      </c>
      <c r="BJ37" s="25" t="n"/>
      <c r="BK37" s="26" t="n">
        <v>113</v>
      </c>
      <c r="BL37" s="27" t="n">
        <v>2.13</v>
      </c>
      <c r="BM37" s="28" t="n">
        <v>0.469484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989b48273cb1417d</t>
        </is>
      </c>
      <c r="B38" s="24" t="inlineStr">
        <is>
          <t>2026-08-07T18:31:07.919250Z</t>
        </is>
      </c>
      <c r="C38" s="24" t="inlineStr">
        <is>
          <t>2026-08-08T09:00:00Z</t>
        </is>
      </c>
      <c r="D38" s="24" t="inlineStr">
        <is>
          <t>74329</t>
        </is>
      </c>
      <c r="E38" s="24" t="inlineStr">
        <is>
          <t>DOTA2</t>
        </is>
      </c>
      <c r="F38" s="24" t="inlineStr">
        <is>
          <t>No Hoodwink</t>
        </is>
      </c>
      <c r="G38" s="24" t="inlineStr">
        <is>
          <t>Ilbirs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0.681177</v>
      </c>
      <c r="P38" s="28" t="n"/>
      <c r="Q38" s="28" t="n">
        <v>0.271341</v>
      </c>
      <c r="R38" s="26" t="n">
        <v>100</v>
      </c>
      <c r="S38" s="29" t="n">
        <v>1.75</v>
      </c>
      <c r="T38" s="24" t="inlineStr">
        <is>
          <t>dota2-tiered-elo-v6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0.4100 (market_slug=aec-dota2-ill-nh-2026-08-08).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No Hoodwink</t>
        </is>
      </c>
      <c r="AQ38" s="24" t="inlineStr">
        <is>
          <t>No Hoodwink</t>
        </is>
      </c>
      <c r="AR38" s="24" t="inlineStr">
        <is>
          <t>No Hoodwink</t>
        </is>
      </c>
      <c r="AS38" s="24" t="inlineStr">
        <is>
          <t>Ilbirs eSports</t>
        </is>
      </c>
      <c r="AT38" s="24" t="inlineStr">
        <is>
          <t>Ilbirs eSports</t>
        </is>
      </c>
      <c r="AU38" s="24" t="inlineStr">
        <is>
          <t>Ilbirs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7611cb925b0bdd8cda78eee9a465c4db63ed56bf3e0e41982af2c70978a81fdb</t>
        </is>
      </c>
      <c r="BB38" s="24" t="inlineStr">
        <is>
          <t>neutral_elo</t>
        </is>
      </c>
      <c r="BC38" s="24" t="inlineStr">
        <is>
          <t>dota2-tiered-elo-v6</t>
        </is>
      </c>
      <c r="BD38" s="24" t="inlineStr">
        <is>
          <t>7611cb925b0bdd8cda78eee9a465c4db63ed56bf3e0e41982af2c70978a81fdb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dota2-tiered-elo-v6</t>
        </is>
      </c>
      <c r="BH38" s="24" t="inlineStr">
        <is>
          <t>2026-08-07T18:31:07.918561Z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2026-08-07T18:31:12Z</dcterms:created>
  <dcterms:modified xmlns:dcterms="http://purl.org/dc/terms/" xmlns:xsi="http://www.w3.org/2001/XMLSchema-instance" xsi:type="dcterms:W3CDTF">2026-08-07T18:31:12Z</dcterms:modified>
</cp:coreProperties>
</file>