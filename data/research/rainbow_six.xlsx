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4" headerRowCount="1">
  <autoFilter ref="A1:CS4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COUNTA('Picks'!$A$2:$A$4)</f>
        <v/>
      </c>
      <c r="C4" s="6">
        <f>COUNTIF('Picks'!$U$2:$U$4,"open")</f>
        <v/>
      </c>
      <c r="E4" s="6">
        <f>COUNTIF('Picks'!$U$2:$U$4,"settled")</f>
        <v/>
      </c>
      <c r="G4" s="6">
        <f>IF(COUNTIFS('Picks'!$U$2:$U$4,"settled",'Picks'!$V$2:$V$4,"win")+COUNTIFS('Picks'!$U$2:$U$4,"settled",'Picks'!$V$2:$V$4,"loss")&gt;=$L$2,"Ready","Insufficient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COUNTIF('Picks'!$BX$2:$BX$4,"&gt;0")</f>
        <v/>
      </c>
      <c r="C7" s="6">
        <f>COUNTIFS('Picks'!$BX$2:$BX$4,"&gt;0",'Picks'!$V$2:$V$4,"win")&amp;"-"&amp;COUNTIFS('Picks'!$BX$2:$BX$4,"&gt;0",'Picks'!$V$2:$V$4,"loss")</f>
        <v/>
      </c>
      <c r="E7" s="7">
        <f>IFERROR(COUNTIFS('Picks'!$BX$2:$BX$4,"&gt;0",'Picks'!$V$2:$V$4,"win")/(COUNTIFS('Picks'!$BX$2:$BX$4,"&gt;0",'Picks'!$V$2:$V$4,"win")+COUNTIFS('Picks'!$BX$2:$BX$4,"&gt;0",'Picks'!$V$2:$V$4,"loss")),0)</f>
        <v/>
      </c>
      <c r="G7" s="7">
        <f>IFERROR(SUM('Picks'!$BY$2:$BY$4)/SUM('Picks'!$BX$2:$BX$4),0)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SUM('Picks'!$BY$2:$BY$4)</f>
        <v/>
      </c>
      <c r="C10" s="9">
        <f>IFERROR(AVERAGEIF('Picks'!$AB$2:$AB$4,"&lt;&gt;",'Picks'!$AB$2:$AB$4),0)</f>
        <v/>
      </c>
      <c r="E10" s="6">
        <f>COUNTIFS('Picks'!$AM$2:$AM$4,"QUALIFIED_SHADOW_CALL",'Picks'!$U$2:$U$4,"settled")</f>
        <v/>
      </c>
      <c r="G10" s="8">
        <f>SUMIFS('Picks'!$AC$2:$AC$4,'Picks'!$AM$2:$AM$4,"QUALIFIED_SHADOW_CALL")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COUNTIFS('Picks'!$H$2:$H$4,$A14,'Picks'!$U$2:$U$4,"settled")</f>
        <v/>
      </c>
      <c r="C14" s="13">
        <f>COUNTIFS('Picks'!$H$2:$H$4,$A14,'Picks'!$U$2:$U$4,"settled",'Picks'!$V$2:$V$4,"win")</f>
        <v/>
      </c>
      <c r="D14" s="13">
        <f>COUNTIFS('Picks'!$H$2:$H$4,$A14,'Picks'!$U$2:$U$4,"settled",'Picks'!$V$2:$V$4,"loss")</f>
        <v/>
      </c>
      <c r="E14" s="14">
        <f>IFERROR(C14/(C14+D14),0)</f>
        <v/>
      </c>
      <c r="F14" s="15">
        <f>SUMIFS('Picks'!$BY$2:$BY$4,'Picks'!$H$2:$H$4,$A14)</f>
        <v/>
      </c>
      <c r="G14" s="16">
        <f>IFERROR(AVERAGEIFS('Picks'!$AB$2:$AB$4,'Picks'!$H$2:$H$4,$A14,'Picks'!$U$2:$U$4,"settled"),0)</f>
        <v/>
      </c>
    </row>
    <row r="15">
      <c r="A15" s="17" t="inlineStr">
        <is>
          <t>spread</t>
        </is>
      </c>
      <c r="B15" s="18">
        <f>COUNTIFS('Picks'!$H$2:$H$4,$A15,'Picks'!$U$2:$U$4,"settled")</f>
        <v/>
      </c>
      <c r="C15" s="18">
        <f>COUNTIFS('Picks'!$H$2:$H$4,$A15,'Picks'!$U$2:$U$4,"settled",'Picks'!$V$2:$V$4,"win")</f>
        <v/>
      </c>
      <c r="D15" s="18">
        <f>COUNTIFS('Picks'!$H$2:$H$4,$A15,'Picks'!$U$2:$U$4,"settled",'Picks'!$V$2:$V$4,"loss")</f>
        <v/>
      </c>
      <c r="E15" s="19">
        <f>IFERROR(C15/(C15+D15),0)</f>
        <v/>
      </c>
      <c r="F15" s="20">
        <f>SUMIFS('Picks'!$BY$2:$BY$4,'Picks'!$H$2:$H$4,$A15)</f>
        <v/>
      </c>
      <c r="G15" s="21">
        <f>IFERROR(AVERAGEIFS('Picks'!$AB$2:$AB$4,'Picks'!$H$2:$H$4,$A15,'Picks'!$U$2:$U$4,"settled"),0)</f>
        <v/>
      </c>
    </row>
    <row r="16">
      <c r="A16" s="12" t="inlineStr">
        <is>
          <t>total</t>
        </is>
      </c>
      <c r="B16" s="13">
        <f>COUNTIFS('Picks'!$H$2:$H$4,$A16,'Picks'!$U$2:$U$4,"settled")</f>
        <v/>
      </c>
      <c r="C16" s="13">
        <f>COUNTIFS('Picks'!$H$2:$H$4,$A16,'Picks'!$U$2:$U$4,"settled",'Picks'!$V$2:$V$4,"win")</f>
        <v/>
      </c>
      <c r="D16" s="13">
        <f>COUNTIFS('Picks'!$H$2:$H$4,$A16,'Picks'!$U$2:$U$4,"settled",'Picks'!$V$2:$V$4,"loss")</f>
        <v/>
      </c>
      <c r="E16" s="14">
        <f>IFERROR(C16/(C16+D16),0)</f>
        <v/>
      </c>
      <c r="F16" s="15">
        <f>SUMIFS('Picks'!$BY$2:$BY$4,'Picks'!$H$2:$H$4,$A16)</f>
        <v/>
      </c>
      <c r="G16" s="16">
        <f>IFERROR(AVERAGEIFS('Picks'!$AB$2:$AB$4,'Picks'!$H$2:$H$4,$A16,'Picks'!$U$2:$U$4,"settled"),0)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89f5038c33654ea0</t>
        </is>
      </c>
      <c r="B2" s="24" t="inlineStr">
        <is>
          <t>2026-08-06T03:30:30.498661Z</t>
        </is>
      </c>
      <c r="C2" s="24" t="inlineStr">
        <is>
          <t>2026-08-06T15:20:00Z</t>
        </is>
      </c>
      <c r="D2" s="24" t="inlineStr">
        <is>
          <t>73419</t>
        </is>
      </c>
      <c r="E2" s="24" t="inlineStr">
        <is>
          <t>RAINBOW_SIX</t>
        </is>
      </c>
      <c r="F2" s="24" t="inlineStr">
        <is>
          <t>M80</t>
        </is>
      </c>
      <c r="G2" s="24" t="inlineStr">
        <is>
          <t>Falcons Esport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-117</v>
      </c>
      <c r="M2" s="27" t="n">
        <v>1.854701</v>
      </c>
      <c r="N2" s="28" t="n">
        <v>0.539171</v>
      </c>
      <c r="O2" s="28" t="n">
        <v>0.578429</v>
      </c>
      <c r="P2" s="28" t="n"/>
      <c r="Q2" s="28" t="n">
        <v>0.039258</v>
      </c>
      <c r="R2" s="26" t="n">
        <v>40</v>
      </c>
      <c r="S2" s="29" t="n">
        <v>1.25</v>
      </c>
      <c r="T2" s="24" t="inlineStr">
        <is>
          <t>rainbow_six-tiered-elo-v6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/>
      <c r="AA2" s="28" t="n"/>
      <c r="AB2" s="28" t="n"/>
      <c r="AC2" s="30" t="n">
        <v>1.0684</v>
      </c>
      <c r="AD2" s="24" t="inlineStr">
        <is>
          <t>2026-08-06T18:56:44.131290Z</t>
        </is>
      </c>
      <c r="AE2" s="31" t="inlineStr">
        <is>
          <t>Neutral Elo baseline; executable ask 0.5400 (market_slug=aec-r6-flcs-m80-2026-08-06).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NO_CALL_WINNER_OVERVALUED</t>
        </is>
      </c>
      <c r="AP2" s="24" t="inlineStr">
        <is>
          <t>M80</t>
        </is>
      </c>
      <c r="AQ2" s="24" t="inlineStr">
        <is>
          <t>M80</t>
        </is>
      </c>
      <c r="AR2" s="24" t="inlineStr">
        <is>
          <t>M80</t>
        </is>
      </c>
      <c r="AS2" s="24" t="inlineStr">
        <is>
          <t>Falcons Esport</t>
        </is>
      </c>
      <c r="AT2" s="24" t="inlineStr">
        <is>
          <t>Falcons Esport</t>
        </is>
      </c>
      <c r="AU2" s="24" t="inlineStr">
        <is>
          <t>Falcons Esport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a698c67f693c2eeab5e359d6ca252b9aa5ba235175563e8abf0dff8043e8288c</t>
        </is>
      </c>
      <c r="BB2" s="24" t="inlineStr">
        <is>
          <t>neutral_elo</t>
        </is>
      </c>
      <c r="BC2" s="24" t="inlineStr">
        <is>
          <t>rainbow_six-tiered-elo-v6</t>
        </is>
      </c>
      <c r="BD2" s="24" t="inlineStr">
        <is>
          <t>a698c67f693c2eeab5e359d6ca252b9aa5ba235175563e8abf0dff8043e8288c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rainbow_six-tiered-elo-v6</t>
        </is>
      </c>
      <c r="BH2" s="24" t="inlineStr">
        <is>
          <t>2026-08-06T03:30:27.416067Z</t>
        </is>
      </c>
      <c r="BI2" s="24" t="inlineStr">
        <is>
          <t>["same_event","same_team_same_day","same_league_same_day"]</t>
        </is>
      </c>
      <c r="BJ2" s="25" t="n"/>
      <c r="BK2" s="26" t="n">
        <v>-117</v>
      </c>
      <c r="BL2" s="27" t="n">
        <v>1.854701</v>
      </c>
      <c r="BM2" s="28" t="n">
        <v>0.539171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>
        <v>1</v>
      </c>
      <c r="BY2" s="27" t="n">
        <v>0.91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</row>
    <row r="3" ht="36" customHeight="1">
      <c r="A3" s="24" t="inlineStr">
        <is>
          <t>19bf234c158b4525</t>
        </is>
      </c>
      <c r="B3" s="24" t="inlineStr">
        <is>
          <t>2026-08-09T14:01:43.911021Z</t>
        </is>
      </c>
      <c r="C3" s="24" t="inlineStr">
        <is>
          <t>2026-08-09T17:00:00Z</t>
        </is>
      </c>
      <c r="D3" s="24" t="inlineStr">
        <is>
          <t>75283</t>
        </is>
      </c>
      <c r="E3" s="24" t="inlineStr">
        <is>
          <t>RAINBOW_SIX</t>
        </is>
      </c>
      <c r="F3" s="24" t="inlineStr">
        <is>
          <t>Weibo Gaming</t>
        </is>
      </c>
      <c r="G3" s="24" t="inlineStr">
        <is>
          <t>Virtus.pro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163</v>
      </c>
      <c r="M3" s="27" t="n">
        <v>2.63</v>
      </c>
      <c r="N3" s="28" t="n">
        <v>0.380228</v>
      </c>
      <c r="O3" s="28" t="n">
        <v>0.5820070000000001</v>
      </c>
      <c r="P3" s="28" t="n"/>
      <c r="Q3" s="28" t="n">
        <v>0.201779</v>
      </c>
      <c r="R3" s="26" t="n">
        <v>100</v>
      </c>
      <c r="S3" s="29" t="n">
        <v>1.25</v>
      </c>
      <c r="T3" s="24" t="inlineStr">
        <is>
          <t>rainbow_six-tiered-elo-v6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178</v>
      </c>
      <c r="AA3" s="28" t="n">
        <v>0.36</v>
      </c>
      <c r="AB3" s="28" t="n">
        <v>-0.020228</v>
      </c>
      <c r="AC3" s="30" t="n">
        <v>2.0375</v>
      </c>
      <c r="AD3" s="24" t="inlineStr">
        <is>
          <t>2026-08-09T17:05:13.541977Z</t>
        </is>
      </c>
      <c r="AE3" s="31" t="inlineStr">
        <is>
          <t>Neutral Elo baseline; executable ask 0.3800 (market_slug=aec-r6-vp-wbg-2026-08-09).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Weibo Gaming</t>
        </is>
      </c>
      <c r="AQ3" s="24" t="inlineStr">
        <is>
          <t>Weibo Gaming</t>
        </is>
      </c>
      <c r="AR3" s="24" t="inlineStr">
        <is>
          <t>Weibo Gaming</t>
        </is>
      </c>
      <c r="AS3" s="24" t="inlineStr">
        <is>
          <t>Virtus.pro</t>
        </is>
      </c>
      <c r="AT3" s="24" t="inlineStr">
        <is>
          <t>Virtus.pro</t>
        </is>
      </c>
      <c r="AU3" s="24" t="inlineStr">
        <is>
          <t>Virtus.pro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3b81c1a225385446e6c2efcb53bbcef49ca7c03c0ccb69faec9e458b1a6f00c1</t>
        </is>
      </c>
      <c r="BB3" s="24" t="inlineStr">
        <is>
          <t>neutral_elo</t>
        </is>
      </c>
      <c r="BC3" s="24" t="inlineStr">
        <is>
          <t>rainbow_six-tiered-elo-v6</t>
        </is>
      </c>
      <c r="BD3" s="24" t="inlineStr">
        <is>
          <t>3b81c1a225385446e6c2efcb53bbcef49ca7c03c0ccb69faec9e458b1a6f00c1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rainbow_six-tiered-elo-v6</t>
        </is>
      </c>
      <c r="BH3" s="24" t="inlineStr">
        <is>
          <t>2026-08-09T14:01:43.349448Z</t>
        </is>
      </c>
      <c r="BI3" s="24" t="inlineStr">
        <is>
          <t>["same_event","same_team_same_day","same_league_same_day"]</t>
        </is>
      </c>
      <c r="BJ3" s="25" t="n"/>
      <c r="BK3" s="26" t="n">
        <v>163</v>
      </c>
      <c r="BL3" s="27" t="n">
        <v>2.63</v>
      </c>
      <c r="BM3" s="28" t="n">
        <v>0.380228</v>
      </c>
      <c r="BN3" s="28" t="n"/>
      <c r="BO3" s="28" t="n"/>
      <c r="BP3" s="25" t="n"/>
      <c r="BQ3" s="27" t="n">
        <v>2.78</v>
      </c>
      <c r="BR3" s="28" t="n">
        <v>0.36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</row>
    <row r="4" ht="36" customHeight="1">
      <c r="A4" s="24" t="inlineStr">
        <is>
          <t>0295e13994eb4209</t>
        </is>
      </c>
      <c r="B4" s="24" t="inlineStr">
        <is>
          <t>2026-08-13T13:47:13.395027Z</t>
        </is>
      </c>
      <c r="C4" s="24" t="inlineStr">
        <is>
          <t>2026-08-13T14:00:00Z</t>
        </is>
      </c>
      <c r="D4" s="24" t="inlineStr">
        <is>
          <t>77319</t>
        </is>
      </c>
      <c r="E4" s="24" t="inlineStr">
        <is>
          <t>RAINBOW_SIX</t>
        </is>
      </c>
      <c r="F4" s="24" t="inlineStr">
        <is>
          <t>Team Secret</t>
        </is>
      </c>
      <c r="G4" s="24" t="inlineStr">
        <is>
          <t>Geekay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-156</v>
      </c>
      <c r="M4" s="27" t="n">
        <v>1.641026</v>
      </c>
      <c r="N4" s="28" t="n">
        <v>0.609375</v>
      </c>
      <c r="O4" s="28" t="n">
        <v>0.642788</v>
      </c>
      <c r="P4" s="28" t="n"/>
      <c r="Q4" s="28" t="n">
        <v>0.033413</v>
      </c>
      <c r="R4" s="26" t="n">
        <v>37</v>
      </c>
      <c r="S4" s="29" t="n">
        <v>1.5</v>
      </c>
      <c r="T4" s="24" t="inlineStr">
        <is>
          <t>rainbow_six-tiered-elo-v6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-156</v>
      </c>
      <c r="AA4" s="28" t="n">
        <v>0.61</v>
      </c>
      <c r="AB4" s="28" t="n">
        <v>0.000625</v>
      </c>
      <c r="AC4" s="30" t="n">
        <v>0.9615</v>
      </c>
      <c r="AD4" s="24" t="inlineStr">
        <is>
          <t>2026-08-13T16:50:10.325320Z</t>
        </is>
      </c>
      <c r="AE4" s="31" t="inlineStr">
        <is>
          <t>Neutral Elo baseline; executable ask 0.6100 (market_slug=aec-r6-ge-secret-2026-08-13).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Team Secret</t>
        </is>
      </c>
      <c r="AQ4" s="24" t="inlineStr">
        <is>
          <t>Team Secret</t>
        </is>
      </c>
      <c r="AR4" s="24" t="inlineStr">
        <is>
          <t>Team Secret</t>
        </is>
      </c>
      <c r="AS4" s="24" t="inlineStr">
        <is>
          <t>Geekay Esports</t>
        </is>
      </c>
      <c r="AT4" s="24" t="inlineStr">
        <is>
          <t>Geekay Esports</t>
        </is>
      </c>
      <c r="AU4" s="24" t="inlineStr">
        <is>
          <t>Geekay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5abfbacc5cb76b78275a1604ae93eb223c0b4a7794a63b0d764f8921f60f0e7b</t>
        </is>
      </c>
      <c r="BB4" s="24" t="inlineStr">
        <is>
          <t>neutral_elo</t>
        </is>
      </c>
      <c r="BC4" s="24" t="inlineStr">
        <is>
          <t>rainbow_six-tiered-elo-v6</t>
        </is>
      </c>
      <c r="BD4" s="24" t="inlineStr">
        <is>
          <t>5abfbacc5cb76b78275a1604ae93eb223c0b4a7794a63b0d764f8921f60f0e7b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rainbow_six-tiered-elo-v6</t>
        </is>
      </c>
      <c r="BH4" s="24" t="inlineStr">
        <is>
          <t>2026-08-13T13:47:12.403984Z</t>
        </is>
      </c>
      <c r="BI4" s="24" t="inlineStr">
        <is>
          <t>["same_event","same_team_same_day","same_league_same_day"]</t>
        </is>
      </c>
      <c r="BJ4" s="25" t="n"/>
      <c r="BK4" s="26" t="n">
        <v>-156</v>
      </c>
      <c r="BL4" s="27" t="n">
        <v>1.641026</v>
      </c>
      <c r="BM4" s="28" t="n">
        <v>0.609375</v>
      </c>
      <c r="BN4" s="28" t="n"/>
      <c r="BO4" s="28" t="n"/>
      <c r="BP4" s="25" t="n"/>
      <c r="BQ4" s="27" t="n">
        <v>1.641026</v>
      </c>
      <c r="BR4" s="28" t="n">
        <v>0.61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2026-08-13T16:51:54Z</dcterms:created>
  <dcterms:modified xmlns:dcterms="http://purl.org/dc/terms/" xmlns:xsi="http://www.w3.org/2001/XMLSchema-instance" xsi:type="dcterms:W3CDTF">2026-08-13T16:51:54Z</dcterms:modified>
</cp:coreProperties>
</file>