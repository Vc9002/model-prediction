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5" headerRowCount="1">
  <autoFilter ref="A1:CS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COUNTA('Picks'!$A$2:$A$5)</f>
        <v/>
      </c>
      <c r="C4" s="6">
        <f>COUNTIF('Picks'!$U$2:$U$5,"open")</f>
        <v/>
      </c>
      <c r="E4" s="6">
        <f>COUNTIF('Picks'!$U$2:$U$5,"settled")</f>
        <v/>
      </c>
      <c r="G4" s="6">
        <f>IF(COUNTIFS('Picks'!$U$2:$U$5,"settled",'Picks'!$V$2:$V$5,"win")+COUNTIFS('Picks'!$U$2:$U$5,"settled",'Picks'!$V$2:$V$5,"loss")&gt;=$L$2,"Ready","Insufficient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COUNTIF('Picks'!$BX$2:$BX$5,"&gt;0")</f>
        <v/>
      </c>
      <c r="C7" s="6">
        <f>COUNTIFS('Picks'!$BX$2:$BX$5,"&gt;0",'Picks'!$V$2:$V$5,"win")&amp;"-"&amp;COUNTIFS('Picks'!$BX$2:$BX$5,"&gt;0",'Picks'!$V$2:$V$5,"loss")</f>
        <v/>
      </c>
      <c r="E7" s="7">
        <f>IFERROR(COUNTIFS('Picks'!$BX$2:$BX$5,"&gt;0",'Picks'!$V$2:$V$5,"win")/(COUNTIFS('Picks'!$BX$2:$BX$5,"&gt;0",'Picks'!$V$2:$V$5,"win")+COUNTIFS('Picks'!$BX$2:$BX$5,"&gt;0",'Picks'!$V$2:$V$5,"loss")),0)</f>
        <v/>
      </c>
      <c r="G7" s="7">
        <f>IFERROR(SUM('Picks'!$BY$2:$BY$5)/SUM('Picks'!$BX$2:$BX$5),0)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SUM('Picks'!$BY$2:$BY$5)</f>
        <v/>
      </c>
      <c r="C10" s="9">
        <f>IFERROR(AVERAGEIF('Picks'!$AB$2:$AB$5,"&lt;&gt;",'Picks'!$AB$2:$AB$5),0)</f>
        <v/>
      </c>
      <c r="E10" s="6">
        <f>COUNTIFS('Picks'!$AM$2:$AM$5,"QUALIFIED_SHADOW_CALL",'Picks'!$U$2:$U$5,"settled")</f>
        <v/>
      </c>
      <c r="G10" s="8">
        <f>SUMIFS('Picks'!$AC$2:$AC$5,'Picks'!$AM$2:$AM$5,"QUALIFIED_SHADOW_CALL")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COUNTIFS('Picks'!$H$2:$H$5,$A14,'Picks'!$U$2:$U$5,"settled")</f>
        <v/>
      </c>
      <c r="C14" s="13">
        <f>COUNTIFS('Picks'!$H$2:$H$5,$A14,'Picks'!$U$2:$U$5,"settled",'Picks'!$V$2:$V$5,"win")</f>
        <v/>
      </c>
      <c r="D14" s="13">
        <f>COUNTIFS('Picks'!$H$2:$H$5,$A14,'Picks'!$U$2:$U$5,"settled",'Picks'!$V$2:$V$5,"loss")</f>
        <v/>
      </c>
      <c r="E14" s="14">
        <f>IFERROR(C14/(C14+D14),0)</f>
        <v/>
      </c>
      <c r="F14" s="15">
        <f>SUMIFS('Picks'!$BY$2:$BY$5,'Picks'!$H$2:$H$5,$A14)</f>
        <v/>
      </c>
      <c r="G14" s="16">
        <f>IFERROR(AVERAGEIFS('Picks'!$AB$2:$AB$5,'Picks'!$H$2:$H$5,$A14,'Picks'!$U$2:$U$5,"settled"),0)</f>
        <v/>
      </c>
    </row>
    <row r="15">
      <c r="A15" s="17" t="inlineStr">
        <is>
          <t>spread</t>
        </is>
      </c>
      <c r="B15" s="18">
        <f>COUNTIFS('Picks'!$H$2:$H$5,$A15,'Picks'!$U$2:$U$5,"settled")</f>
        <v/>
      </c>
      <c r="C15" s="18">
        <f>COUNTIFS('Picks'!$H$2:$H$5,$A15,'Picks'!$U$2:$U$5,"settled",'Picks'!$V$2:$V$5,"win")</f>
        <v/>
      </c>
      <c r="D15" s="18">
        <f>COUNTIFS('Picks'!$H$2:$H$5,$A15,'Picks'!$U$2:$U$5,"settled",'Picks'!$V$2:$V$5,"loss")</f>
        <v/>
      </c>
      <c r="E15" s="19">
        <f>IFERROR(C15/(C15+D15),0)</f>
        <v/>
      </c>
      <c r="F15" s="20">
        <f>SUMIFS('Picks'!$BY$2:$BY$5,'Picks'!$H$2:$H$5,$A15)</f>
        <v/>
      </c>
      <c r="G15" s="21">
        <f>IFERROR(AVERAGEIFS('Picks'!$AB$2:$AB$5,'Picks'!$H$2:$H$5,$A15,'Picks'!$U$2:$U$5,"settled"),0)</f>
        <v/>
      </c>
    </row>
    <row r="16">
      <c r="A16" s="12" t="inlineStr">
        <is>
          <t>total</t>
        </is>
      </c>
      <c r="B16" s="13">
        <f>COUNTIFS('Picks'!$H$2:$H$5,$A16,'Picks'!$U$2:$U$5,"settled")</f>
        <v/>
      </c>
      <c r="C16" s="13">
        <f>COUNTIFS('Picks'!$H$2:$H$5,$A16,'Picks'!$U$2:$U$5,"settled",'Picks'!$V$2:$V$5,"win")</f>
        <v/>
      </c>
      <c r="D16" s="13">
        <f>COUNTIFS('Picks'!$H$2:$H$5,$A16,'Picks'!$U$2:$U$5,"settled",'Picks'!$V$2:$V$5,"loss")</f>
        <v/>
      </c>
      <c r="E16" s="14">
        <f>IFERROR(C16/(C16+D16),0)</f>
        <v/>
      </c>
      <c r="F16" s="15">
        <f>SUMIFS('Picks'!$BY$2:$BY$5,'Picks'!$H$2:$H$5,$A16)</f>
        <v/>
      </c>
      <c r="G16" s="16">
        <f>IFERROR(AVERAGEIFS('Picks'!$AB$2:$AB$5,'Picks'!$H$2:$H$5,$A16,'Picks'!$U$2:$U$5,"settled"),0)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89f5038c33654ea0</t>
        </is>
      </c>
      <c r="B2" s="24" t="inlineStr">
        <is>
          <t>2026-08-06T03:30:30.498661Z</t>
        </is>
      </c>
      <c r="C2" s="24" t="inlineStr">
        <is>
          <t>2026-08-06T15:20:00Z</t>
        </is>
      </c>
      <c r="D2" s="24" t="inlineStr">
        <is>
          <t>73419</t>
        </is>
      </c>
      <c r="E2" s="24" t="inlineStr">
        <is>
          <t>RAINBOW_SIX</t>
        </is>
      </c>
      <c r="F2" s="24" t="inlineStr">
        <is>
          <t>M80</t>
        </is>
      </c>
      <c r="G2" s="24" t="inlineStr">
        <is>
          <t>Falcons Esport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-117</v>
      </c>
      <c r="M2" s="27" t="n">
        <v>1.854701</v>
      </c>
      <c r="N2" s="28" t="n">
        <v>0.539171</v>
      </c>
      <c r="O2" s="28" t="n">
        <v>0.578429</v>
      </c>
      <c r="P2" s="28" t="n"/>
      <c r="Q2" s="28" t="n">
        <v>0.039258</v>
      </c>
      <c r="R2" s="26" t="n">
        <v>40</v>
      </c>
      <c r="S2" s="29" t="n">
        <v>0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2026-08-06T18:56:44.131290Z</t>
        </is>
      </c>
      <c r="AE2" s="31" t="inlineStr">
        <is>
          <t>Neutral Elo baseline; executable ask 0.5400 (market_slug=aec-r6-flcs-m80-2026-08-06).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NO_CALL_WINNER_OVERVALUED</t>
        </is>
      </c>
      <c r="AP2" s="24" t="inlineStr">
        <is>
          <t>M80</t>
        </is>
      </c>
      <c r="AQ2" s="24" t="inlineStr">
        <is>
          <t>M80</t>
        </is>
      </c>
      <c r="AR2" s="24" t="inlineStr">
        <is>
          <t>M80</t>
        </is>
      </c>
      <c r="AS2" s="24" t="inlineStr">
        <is>
          <t>Falcons Esport</t>
        </is>
      </c>
      <c r="AT2" s="24" t="inlineStr">
        <is>
          <t>Falcons Esport</t>
        </is>
      </c>
      <c r="AU2" s="24" t="inlineStr">
        <is>
          <t>Falcons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a698c67f693c2eeab5e359d6ca252b9aa5ba235175563e8abf0dff8043e8288c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a698c67f693c2eeab5e359d6ca252b9aa5ba235175563e8abf0dff8043e8288c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2026-08-06T03:30:27.416067Z</t>
        </is>
      </c>
      <c r="BI2" s="24" t="inlineStr">
        <is>
          <t>["same_event","same_team_same_day","same_league_same_day"]</t>
        </is>
      </c>
      <c r="BJ2" s="25" t="n"/>
      <c r="BK2" s="26" t="n">
        <v>-117</v>
      </c>
      <c r="BL2" s="27" t="n">
        <v>1.854701</v>
      </c>
      <c r="BM2" s="28" t="n">
        <v>0.539171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19bf234c158b4525</t>
        </is>
      </c>
      <c r="B3" s="24" t="inlineStr">
        <is>
          <t>2026-08-09T14:01:43.911021Z</t>
        </is>
      </c>
      <c r="C3" s="24" t="inlineStr">
        <is>
          <t>2026-08-09T17:00:00Z</t>
        </is>
      </c>
      <c r="D3" s="24" t="inlineStr">
        <is>
          <t>75283</t>
        </is>
      </c>
      <c r="E3" s="24" t="inlineStr">
        <is>
          <t>RAINBOW_SIX</t>
        </is>
      </c>
      <c r="F3" s="24" t="inlineStr">
        <is>
          <t>Weibo Gaming</t>
        </is>
      </c>
      <c r="G3" s="24" t="inlineStr">
        <is>
          <t>Virtus.pro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163</v>
      </c>
      <c r="M3" s="27" t="n">
        <v>2.63</v>
      </c>
      <c r="N3" s="28" t="n">
        <v>0.380228</v>
      </c>
      <c r="O3" s="28" t="n">
        <v>0.5820070000000001</v>
      </c>
      <c r="P3" s="28" t="n"/>
      <c r="Q3" s="28" t="n">
        <v>0.201779</v>
      </c>
      <c r="R3" s="26" t="n">
        <v>100</v>
      </c>
      <c r="S3" s="29" t="n">
        <v>1.25</v>
      </c>
      <c r="T3" s="24" t="inlineStr">
        <is>
          <t>rainbow_six-tiered-elo-v6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178</v>
      </c>
      <c r="AA3" s="28" t="n">
        <v>0.36</v>
      </c>
      <c r="AB3" s="28" t="n">
        <v>-0.020228</v>
      </c>
      <c r="AC3" s="30" t="n">
        <v>2.0375</v>
      </c>
      <c r="AD3" s="24" t="inlineStr">
        <is>
          <t>2026-08-09T17:05:13.541977Z</t>
        </is>
      </c>
      <c r="AE3" s="31" t="inlineStr">
        <is>
          <t>Neutral Elo baseline; executable ask 0.3800 (market_slug=aec-r6-vp-wbg-2026-08-09).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Virtus.pro</t>
        </is>
      </c>
      <c r="AT3" s="24" t="inlineStr">
        <is>
          <t>Virtus.pro</t>
        </is>
      </c>
      <c r="AU3" s="24" t="inlineStr">
        <is>
          <t>Virtus.pro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3b81c1a225385446e6c2efcb53bbcef49ca7c03c0ccb69faec9e458b1a6f00c1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3b81c1a225385446e6c2efcb53bbcef49ca7c03c0ccb69faec9e458b1a6f00c1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2026-08-09T14:01:43.349448Z</t>
        </is>
      </c>
      <c r="BI3" s="24" t="inlineStr">
        <is>
          <t>["same_event","same_team_same_day","same_league_same_day"]</t>
        </is>
      </c>
      <c r="BJ3" s="25" t="n"/>
      <c r="BK3" s="26" t="n">
        <v>163</v>
      </c>
      <c r="BL3" s="27" t="n">
        <v>2.63</v>
      </c>
      <c r="BM3" s="28" t="n">
        <v>0.380228</v>
      </c>
      <c r="BN3" s="28" t="n"/>
      <c r="BO3" s="28" t="n"/>
      <c r="BP3" s="25" t="n"/>
      <c r="BQ3" s="27" t="n">
        <v>2.78</v>
      </c>
      <c r="BR3" s="28" t="n">
        <v>0.36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a81aa3f10f114794</t>
        </is>
      </c>
      <c r="B4" s="24" t="inlineStr">
        <is>
          <t>2026-08-12T17:44:27.133025Z</t>
        </is>
      </c>
      <c r="C4" s="24" t="inlineStr">
        <is>
          <t>2026-08-13T14:00:00Z</t>
        </is>
      </c>
      <c r="D4" s="24" t="inlineStr">
        <is>
          <t>77319</t>
        </is>
      </c>
      <c r="E4" s="24" t="inlineStr">
        <is>
          <t>RAINBOW_SIX</t>
        </is>
      </c>
      <c r="F4" s="24" t="inlineStr">
        <is>
          <t>Team Secret</t>
        </is>
      </c>
      <c r="G4" s="24" t="inlineStr">
        <is>
          <t>Geekay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0.64338</v>
      </c>
      <c r="P4" s="28" t="n"/>
      <c r="Q4" s="28" t="n">
        <v>0.003092</v>
      </c>
      <c r="R4" s="26" t="n">
        <v>22</v>
      </c>
      <c r="S4" s="29" t="n">
        <v>1.5</v>
      </c>
      <c r="T4" s="24" t="inlineStr">
        <is>
          <t>rainbow_six-tiered-elo-v6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0.6400 (market_slug=aec-r6-ge-secret-2026-08-13).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Team Secret</t>
        </is>
      </c>
      <c r="AQ4" s="24" t="inlineStr">
        <is>
          <t>Team Secret</t>
        </is>
      </c>
      <c r="AR4" s="24" t="inlineStr">
        <is>
          <t>Team Secret</t>
        </is>
      </c>
      <c r="AS4" s="24" t="inlineStr">
        <is>
          <t>Geekay Esports</t>
        </is>
      </c>
      <c r="AT4" s="24" t="inlineStr">
        <is>
          <t>Geekay Esports</t>
        </is>
      </c>
      <c r="AU4" s="24" t="inlineStr">
        <is>
          <t>Geekay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2dfefd2258c1f6dfaf21ec195dd0ad9f26d9b256b7c7b984568fe75dbc5e12d4</t>
        </is>
      </c>
      <c r="BB4" s="24" t="inlineStr">
        <is>
          <t>neutral_elo</t>
        </is>
      </c>
      <c r="BC4" s="24" t="inlineStr">
        <is>
          <t>rainbow_six-tiered-elo-v6</t>
        </is>
      </c>
      <c r="BD4" s="24" t="inlineStr">
        <is>
          <t>2dfefd2258c1f6dfaf21ec195dd0ad9f26d9b256b7c7b984568fe75dbc5e12d4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rainbow_six-tiered-elo-v6</t>
        </is>
      </c>
      <c r="BH4" s="24" t="inlineStr">
        <is>
          <t>2026-08-12T17:44:26.239957Z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aff8e00576e44ed0</t>
        </is>
      </c>
      <c r="B5" s="24" t="inlineStr">
        <is>
          <t>2026-08-12T17:44:27.133025Z</t>
        </is>
      </c>
      <c r="C5" s="24" t="inlineStr">
        <is>
          <t>2026-08-13T17:00:00Z</t>
        </is>
      </c>
      <c r="D5" s="24" t="inlineStr">
        <is>
          <t>77480</t>
        </is>
      </c>
      <c r="E5" s="24" t="inlineStr">
        <is>
          <t>RAINBOW_SIX</t>
        </is>
      </c>
      <c r="F5" s="24" t="inlineStr">
        <is>
          <t>Team Liquid</t>
        </is>
      </c>
      <c r="G5" s="24" t="inlineStr">
        <is>
          <t>FaZe Clan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-163</v>
      </c>
      <c r="M5" s="27" t="n">
        <v>1.613497</v>
      </c>
      <c r="N5" s="28" t="n">
        <v>0.619772</v>
      </c>
      <c r="O5" s="28" t="n">
        <v>0.739148</v>
      </c>
      <c r="P5" s="28" t="n"/>
      <c r="Q5" s="28" t="n">
        <v>0.119376</v>
      </c>
      <c r="R5" s="26" t="n">
        <v>80</v>
      </c>
      <c r="S5" s="29" t="n">
        <v>2</v>
      </c>
      <c r="T5" s="24" t="inlineStr">
        <is>
          <t>rainbow_six-tiered-elo-v6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0.6200 (market_slug=aec-r6-faze-liquid-2026-08-13).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Liquid</t>
        </is>
      </c>
      <c r="AQ5" s="24" t="inlineStr">
        <is>
          <t>Team Liquid</t>
        </is>
      </c>
      <c r="AR5" s="24" t="inlineStr">
        <is>
          <t>Team Liquid</t>
        </is>
      </c>
      <c r="AS5" s="24" t="inlineStr">
        <is>
          <t>FaZe Clan</t>
        </is>
      </c>
      <c r="AT5" s="24" t="inlineStr">
        <is>
          <t>FaZe Clan</t>
        </is>
      </c>
      <c r="AU5" s="24" t="inlineStr">
        <is>
          <t>FaZe Clan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2dfefd2258c1f6dfaf21ec195dd0ad9f26d9b256b7c7b984568fe75dbc5e12d4</t>
        </is>
      </c>
      <c r="BB5" s="24" t="inlineStr">
        <is>
          <t>neutral_elo</t>
        </is>
      </c>
      <c r="BC5" s="24" t="inlineStr">
        <is>
          <t>rainbow_six-tiered-elo-v6</t>
        </is>
      </c>
      <c r="BD5" s="24" t="inlineStr">
        <is>
          <t>2dfefd2258c1f6dfaf21ec195dd0ad9f26d9b256b7c7b984568fe75dbc5e12d4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rainbow_six-tiered-elo-v6</t>
        </is>
      </c>
      <c r="BH5" s="24" t="inlineStr">
        <is>
          <t>2026-08-12T17:44:27.132333Z</t>
        </is>
      </c>
      <c r="BI5" s="24" t="inlineStr">
        <is>
          <t>["same_event","same_team_same_day","same_league_same_day"]</t>
        </is>
      </c>
      <c r="BJ5" s="25" t="n"/>
      <c r="BK5" s="26" t="n">
        <v>-163</v>
      </c>
      <c r="BL5" s="27" t="n">
        <v>1.613497</v>
      </c>
      <c r="BM5" s="28" t="n">
        <v>0.619772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2026-08-12T17:44:27Z</dcterms:created>
  <dcterms:modified xmlns:dcterms="http://purl.org/dc/terms/" xmlns:xsi="http://www.w3.org/2001/XMLSchema-instance" xsi:type="dcterms:W3CDTF">2026-08-12T17:44:27Z</dcterms:modified>
</cp:coreProperties>
</file>