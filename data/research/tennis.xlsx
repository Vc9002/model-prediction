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12" headerRowCount="1">
  <autoFilter ref="A1:CP112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COUNTA('Picks'!$A$2:$A$112)</f>
        <v/>
      </c>
      <c r="C4" s="6">
        <f>COUNTIF('Picks'!$U$2:$U$112,"open")</f>
        <v/>
      </c>
      <c r="E4" s="6">
        <f>COUNTIF('Picks'!$U$2:$U$112,"settled")</f>
        <v/>
      </c>
      <c r="G4" s="6">
        <f>IF(COUNTIFS('Picks'!$U$2:$U$112,"settled",'Picks'!$V$2:$V$112,"win")+COUNTIFS('Picks'!$U$2:$U$112,"settled",'Picks'!$V$2:$V$112,"loss")&gt;=$L$2,"Ready","Insufficient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COUNTIF('Picks'!$BX$2:$BX$112,"&gt;0")</f>
        <v/>
      </c>
      <c r="C7" s="6">
        <f>COUNTIFS('Picks'!$BX$2:$BX$112,"&gt;0",'Picks'!$V$2:$V$112,"win")&amp;"-"&amp;COUNTIFS('Picks'!$BX$2:$BX$112,"&gt;0",'Picks'!$V$2:$V$112,"loss")</f>
        <v/>
      </c>
      <c r="E7" s="7">
        <f>IFERROR(COUNTIFS('Picks'!$BX$2:$BX$112,"&gt;0",'Picks'!$V$2:$V$112,"win")/(COUNTIFS('Picks'!$BX$2:$BX$112,"&gt;0",'Picks'!$V$2:$V$112,"win")+COUNTIFS('Picks'!$BX$2:$BX$112,"&gt;0",'Picks'!$V$2:$V$112,"loss")),0)</f>
        <v/>
      </c>
      <c r="G7" s="7">
        <f>IFERROR(SUM('Picks'!$BY$2:$BY$112)/SUM('Picks'!$BX$2:$BX$112),0)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SUM('Picks'!$BY$2:$BY$112)</f>
        <v/>
      </c>
      <c r="C10" s="9">
        <f>IFERROR(AVERAGEIF('Picks'!$AB$2:$AB$112,"&lt;&gt;",'Picks'!$AB$2:$AB$112),0)</f>
        <v/>
      </c>
      <c r="E10" s="6">
        <f>COUNTIFS('Picks'!$AM$2:$AM$112,"QUALIFIED_SHADOW_CALL",'Picks'!$U$2:$U$112,"settled")</f>
        <v/>
      </c>
      <c r="G10" s="8">
        <f>SUMIFS('Picks'!$AC$2:$AC$112,'Picks'!$AM$2:$AM$112,"QUALIFIED_SHADOW_CALL")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COUNTIFS('Picks'!$H$2:$H$112,$A14,'Picks'!$U$2:$U$112,"settled")</f>
        <v/>
      </c>
      <c r="C14" s="13">
        <f>COUNTIFS('Picks'!$H$2:$H$112,$A14,'Picks'!$U$2:$U$112,"settled",'Picks'!$V$2:$V$112,"win")</f>
        <v/>
      </c>
      <c r="D14" s="13">
        <f>COUNTIFS('Picks'!$H$2:$H$112,$A14,'Picks'!$U$2:$U$112,"settled",'Picks'!$V$2:$V$112,"loss")</f>
        <v/>
      </c>
      <c r="E14" s="14">
        <f>IFERROR(C14/(C14+D14),0)</f>
        <v/>
      </c>
      <c r="F14" s="15">
        <f>SUMIFS('Picks'!$BY$2:$BY$112,'Picks'!$H$2:$H$112,$A14)</f>
        <v/>
      </c>
      <c r="G14" s="16">
        <f>IFERROR(AVERAGEIFS('Picks'!$AB$2:$AB$112,'Picks'!$H$2:$H$112,$A14,'Picks'!$U$2:$U$112,"settled"),0)</f>
        <v/>
      </c>
    </row>
    <row r="15">
      <c r="A15" s="17" t="inlineStr">
        <is>
          <t>spread</t>
        </is>
      </c>
      <c r="B15" s="18">
        <f>COUNTIFS('Picks'!$H$2:$H$112,$A15,'Picks'!$U$2:$U$112,"settled")</f>
        <v/>
      </c>
      <c r="C15" s="18">
        <f>COUNTIFS('Picks'!$H$2:$H$112,$A15,'Picks'!$U$2:$U$112,"settled",'Picks'!$V$2:$V$112,"win")</f>
        <v/>
      </c>
      <c r="D15" s="18">
        <f>COUNTIFS('Picks'!$H$2:$H$112,$A15,'Picks'!$U$2:$U$112,"settled",'Picks'!$V$2:$V$112,"loss")</f>
        <v/>
      </c>
      <c r="E15" s="19">
        <f>IFERROR(C15/(C15+D15),0)</f>
        <v/>
      </c>
      <c r="F15" s="20">
        <f>SUMIFS('Picks'!$BY$2:$BY$112,'Picks'!$H$2:$H$112,$A15)</f>
        <v/>
      </c>
      <c r="G15" s="21">
        <f>IFERROR(AVERAGEIFS('Picks'!$AB$2:$AB$112,'Picks'!$H$2:$H$112,$A15,'Picks'!$U$2:$U$112,"settled"),0)</f>
        <v/>
      </c>
    </row>
    <row r="16">
      <c r="A16" s="12" t="inlineStr">
        <is>
          <t>total</t>
        </is>
      </c>
      <c r="B16" s="13">
        <f>COUNTIFS('Picks'!$H$2:$H$112,$A16,'Picks'!$U$2:$U$112,"settled")</f>
        <v/>
      </c>
      <c r="C16" s="13">
        <f>COUNTIFS('Picks'!$H$2:$H$112,$A16,'Picks'!$U$2:$U$112,"settled",'Picks'!$V$2:$V$112,"win")</f>
        <v/>
      </c>
      <c r="D16" s="13">
        <f>COUNTIFS('Picks'!$H$2:$H$112,$A16,'Picks'!$U$2:$U$112,"settled",'Picks'!$V$2:$V$112,"loss")</f>
        <v/>
      </c>
      <c r="E16" s="14">
        <f>IFERROR(C16/(C16+D16),0)</f>
        <v/>
      </c>
      <c r="F16" s="15">
        <f>SUMIFS('Picks'!$BY$2:$BY$112,'Picks'!$H$2:$H$112,$A16)</f>
        <v/>
      </c>
      <c r="G16" s="16">
        <f>IFERROR(AVERAGEIFS('Picks'!$AB$2:$AB$112,'Picks'!$H$2:$H$112,$A16,'Picks'!$U$2:$U$112,"settled"),0)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inlineStr">
        <is>
          <t>True</t>
        </is>
      </c>
    </row>
    <row r="101" ht="36" customHeight="1">
      <c r="A101" s="24" t="inlineStr">
        <is>
          <t>a7f951016379499b</t>
        </is>
      </c>
      <c r="B101" s="24" t="inlineStr">
        <is>
          <t>2026-08-02T15:50:00.179683Z</t>
        </is>
      </c>
      <c r="C101" s="24" t="inlineStr">
        <is>
          <t>2026-08-02T17:30Z</t>
        </is>
      </c>
      <c r="D101" s="24" t="inlineStr">
        <is>
          <t>1067-2026:179469</t>
        </is>
      </c>
      <c r="E101" s="24" t="inlineStr">
        <is>
          <t>TENNIS</t>
        </is>
      </c>
      <c r="F101" s="24" t="inlineStr">
        <is>
          <t>Darja Vidmanova</t>
        </is>
      </c>
      <c r="G101" s="24" t="inlineStr">
        <is>
          <t>Kristina Liutova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104</v>
      </c>
      <c r="M101" s="27" t="n">
        <v>2.04</v>
      </c>
      <c r="N101" s="28" t="n">
        <v>0.490196</v>
      </c>
      <c r="O101" s="28" t="n">
        <v>0.639939</v>
      </c>
      <c r="P101" s="28" t="n">
        <v>0.05</v>
      </c>
      <c r="Q101" s="28" t="n">
        <v>0.149743</v>
      </c>
      <c r="R101" s="26" t="n">
        <v>95</v>
      </c>
      <c r="S101" s="29" t="n">
        <v>1.5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Darja Vidmanova p=0.640 vs Kristina Liutova. Executable ask 0.4900 (aec-wta-kriliu-darvid-2026-08-02).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Darja Vidmanova</t>
        </is>
      </c>
      <c r="AQ101" s="24" t="inlineStr">
        <is>
          <t>Darja Vidmanova</t>
        </is>
      </c>
      <c r="AR101" s="24" t="inlineStr">
        <is>
          <t>Darja Vidmanova</t>
        </is>
      </c>
      <c r="AS101" s="24" t="inlineStr">
        <is>
          <t>Kristina Liutova</t>
        </is>
      </c>
      <c r="AT101" s="24" t="inlineStr">
        <is>
          <t>Kristina Liutova</t>
        </is>
      </c>
      <c r="AU101" s="24" t="inlineStr">
        <is>
          <t>Kristina Liutova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2026-08-02T15:46:42.019193Z</t>
        </is>
      </c>
      <c r="BI101" s="24" t="inlineStr">
        <is>
          <t>["same_event","same_team_same_day","same_league_same_day"]</t>
        </is>
      </c>
      <c r="BJ101" s="25" t="n"/>
      <c r="BK101" s="26" t="n">
        <v>104</v>
      </c>
      <c r="BL101" s="27" t="n">
        <v>2.04</v>
      </c>
      <c r="BM101" s="28" t="n">
        <v>0.490196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inlineStr">
        <is>
          <t>True</t>
        </is>
      </c>
    </row>
    <row r="102" ht="36" customHeight="1">
      <c r="A102" s="24" t="inlineStr">
        <is>
          <t>c0cf59bfb705465c</t>
        </is>
      </c>
      <c r="B102" s="24" t="inlineStr">
        <is>
          <t>2026-08-02T15:50:00.179683Z</t>
        </is>
      </c>
      <c r="C102" s="24" t="inlineStr">
        <is>
          <t>2026-08-02T16:30Z</t>
        </is>
      </c>
      <c r="D102" s="24" t="inlineStr">
        <is>
          <t>421-2026:182259</t>
        </is>
      </c>
      <c r="E102" s="24" t="inlineStr">
        <is>
          <t>TENNIS</t>
        </is>
      </c>
      <c r="F102" s="24" t="inlineStr">
        <is>
          <t>Viktorija Golubic</t>
        </is>
      </c>
      <c r="G102" s="24" t="inlineStr">
        <is>
          <t>Kimberly Birrell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0.530496</v>
      </c>
      <c r="P102" s="28" t="n">
        <v>0.05</v>
      </c>
      <c r="Q102" s="28" t="n">
        <v>0.020692</v>
      </c>
      <c r="R102" s="26" t="n">
        <v>30</v>
      </c>
      <c r="S102" s="29" t="n">
        <v>1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Viktorija Golubic p=0.470 vs Kimberly Birrell. Executable ask 0.5100 (aec-wta-kimbir-vikgol-2026-08-02).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Viktorija Golubic</t>
        </is>
      </c>
      <c r="AQ102" s="24" t="inlineStr">
        <is>
          <t>Viktorija Golubic</t>
        </is>
      </c>
      <c r="AR102" s="24" t="inlineStr">
        <is>
          <t>Viktorija Golubic</t>
        </is>
      </c>
      <c r="AS102" s="24" t="inlineStr">
        <is>
          <t>Kimberly Birrell</t>
        </is>
      </c>
      <c r="AT102" s="24" t="inlineStr">
        <is>
          <t>Kimberly Birrell</t>
        </is>
      </c>
      <c r="AU102" s="24" t="inlineStr">
        <is>
          <t>Kimberly Birrell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2026-08-02T15:46:40.733235Z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inlineStr">
        <is>
          <t>True</t>
        </is>
      </c>
    </row>
    <row r="103" ht="36" customHeight="1">
      <c r="A103" s="24" t="inlineStr">
        <is>
          <t>1631795568fd45da</t>
        </is>
      </c>
      <c r="B103" s="24" t="inlineStr">
        <is>
          <t>2026-08-02T15:50:00.179683Z</t>
        </is>
      </c>
      <c r="C103" s="24" t="inlineStr">
        <is>
          <t>2026-08-02T16:30Z</t>
        </is>
      </c>
      <c r="D103" s="24" t="inlineStr">
        <is>
          <t>421-2026:182280</t>
        </is>
      </c>
      <c r="E103" s="24" t="inlineStr">
        <is>
          <t>TENNIS</t>
        </is>
      </c>
      <c r="F103" s="24" t="inlineStr">
        <is>
          <t>Sara Bejlek</t>
        </is>
      </c>
      <c r="G103" s="24" t="inlineStr">
        <is>
          <t>Wang Xiyu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-144</v>
      </c>
      <c r="M103" s="27" t="n">
        <v>1.694444</v>
      </c>
      <c r="N103" s="28" t="n">
        <v>0.590164</v>
      </c>
      <c r="O103" s="28" t="n">
        <v>0.597848</v>
      </c>
      <c r="P103" s="28" t="n">
        <v>0.05</v>
      </c>
      <c r="Q103" s="28" t="n">
        <v>0.007684</v>
      </c>
      <c r="R103" s="26" t="n">
        <v>24</v>
      </c>
      <c r="S103" s="29" t="n">
        <v>1.25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Sara Bejlek p=0.598 vs Wang Xiyu. Executable ask 0.5900 (aec-wta-xiywan-sarbej-2026-08-02).</t>
        </is>
      </c>
      <c r="AF103" s="31" t="inlineStr">
        <is>
          <t>Research-only surface-blended Elo model; singles only, WTA-only market coverage, not yet locked-holdout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Sara Bejlek</t>
        </is>
      </c>
      <c r="AQ103" s="24" t="inlineStr">
        <is>
          <t>Sara Bejlek</t>
        </is>
      </c>
      <c r="AR103" s="24" t="inlineStr">
        <is>
          <t>Sara Bejlek</t>
        </is>
      </c>
      <c r="AS103" s="24" t="inlineStr">
        <is>
          <t>Wang Xiyu</t>
        </is>
      </c>
      <c r="AT103" s="24" t="inlineStr">
        <is>
          <t>Wang Xiyu</t>
        </is>
      </c>
      <c r="AU103" s="24" t="inlineStr">
        <is>
          <t>Wang Xiyu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999faa03e2fa83bdf40e3760cb8645b4c314e4cc37c2050b8320d6582c4d8167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999faa03e2fa83bdf40e3760cb8645b4c314e4cc37c2050b8320d6582c4d8167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999faa03e2fa83bdf40e3760cb8645b4c314e4cc37c2050b8320d6582c4d8167</t>
        </is>
      </c>
      <c r="BH103" s="24" t="inlineStr">
        <is>
          <t>2026-08-02T15:46:41.086960Z</t>
        </is>
      </c>
      <c r="BI103" s="24" t="inlineStr">
        <is>
          <t>["same_event","same_team_same_day","same_league_same_day"]</t>
        </is>
      </c>
      <c r="BJ103" s="25" t="n"/>
      <c r="BK103" s="26" t="n">
        <v>-144</v>
      </c>
      <c r="BL103" s="27" t="n">
        <v>1.694444</v>
      </c>
      <c r="BM103" s="28" t="n">
        <v>0.590164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inlineStr">
        <is>
          <t>True</t>
        </is>
      </c>
    </row>
    <row r="104" ht="36" customHeight="1">
      <c r="A104" s="24" t="inlineStr">
        <is>
          <t>aa80b38afdc44bf2</t>
        </is>
      </c>
      <c r="B104" s="24" t="inlineStr">
        <is>
          <t>2026-08-02T15:50:00.179683Z</t>
        </is>
      </c>
      <c r="C104" s="24" t="inlineStr">
        <is>
          <t>2026-08-02T18:00Z</t>
        </is>
      </c>
      <c r="D104" s="24" t="inlineStr">
        <is>
          <t>421-2026:182257</t>
        </is>
      </c>
      <c r="E104" s="24" t="inlineStr">
        <is>
          <t>TENNIS</t>
        </is>
      </c>
      <c r="F104" s="24" t="inlineStr">
        <is>
          <t>Antonia Ruzic</t>
        </is>
      </c>
      <c r="G104" s="24" t="inlineStr">
        <is>
          <t>Lois Boisson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-104</v>
      </c>
      <c r="M104" s="27" t="n">
        <v>1.961538</v>
      </c>
      <c r="N104" s="28" t="n">
        <v>0.509804</v>
      </c>
      <c r="O104" s="28" t="n">
        <v>0.549832</v>
      </c>
      <c r="P104" s="28" t="n">
        <v>0.05</v>
      </c>
      <c r="Q104" s="28" t="n">
        <v>0.040028</v>
      </c>
      <c r="R104" s="26" t="n">
        <v>40</v>
      </c>
      <c r="S104" s="29" t="n">
        <v>1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Antonia Ruzic p=0.550 vs Lois Boisson. Executable ask 0.5100 (aec-wta-loiboi-antruz-2026-08-02).</t>
        </is>
      </c>
      <c r="AF104" s="31" t="inlineStr">
        <is>
          <t>Research-only surface-blended Elo model; singles only, WTA-only market coverage,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Antonia Ruzic</t>
        </is>
      </c>
      <c r="AQ104" s="24" t="inlineStr">
        <is>
          <t>Antonia Ruzic</t>
        </is>
      </c>
      <c r="AR104" s="24" t="inlineStr">
        <is>
          <t>Antonia Ruzic</t>
        </is>
      </c>
      <c r="AS104" s="24" t="inlineStr">
        <is>
          <t>Lois Boisson</t>
        </is>
      </c>
      <c r="AT104" s="24" t="inlineStr">
        <is>
          <t>Lois Boisson</t>
        </is>
      </c>
      <c r="AU104" s="24" t="inlineStr">
        <is>
          <t>Lois Boisson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999faa03e2fa83bdf40e3760cb8645b4c314e4cc37c2050b8320d6582c4d8167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999faa03e2fa83bdf40e3760cb8645b4c314e4cc37c2050b8320d6582c4d8167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999faa03e2fa83bdf40e3760cb8645b4c314e4cc37c2050b8320d6582c4d8167</t>
        </is>
      </c>
      <c r="BH104" s="24" t="inlineStr">
        <is>
          <t>2026-08-02T15:46:48.248249Z</t>
        </is>
      </c>
      <c r="BI104" s="24" t="inlineStr">
        <is>
          <t>["same_event","same_team_same_day","same_league_same_day"]</t>
        </is>
      </c>
      <c r="BJ104" s="25" t="n"/>
      <c r="BK104" s="26" t="n">
        <v>-104</v>
      </c>
      <c r="BL104" s="27" t="n">
        <v>1.961538</v>
      </c>
      <c r="BM104" s="28" t="n">
        <v>0.509804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inlineStr">
        <is>
          <t>True</t>
        </is>
      </c>
    </row>
    <row r="105" ht="36" customHeight="1">
      <c r="A105" s="24" t="inlineStr">
        <is>
          <t>d1fcb39b0d8f4e1a</t>
        </is>
      </c>
      <c r="B105" s="24" t="inlineStr">
        <is>
          <t>2026-08-02T15:50:00.179683Z</t>
        </is>
      </c>
      <c r="C105" s="24" t="inlineStr">
        <is>
          <t>2026-08-02T18:00Z</t>
        </is>
      </c>
      <c r="D105" s="24" t="inlineStr">
        <is>
          <t>421-2026:182268</t>
        </is>
      </c>
      <c r="E105" s="24" t="inlineStr">
        <is>
          <t>TENNIS</t>
        </is>
      </c>
      <c r="F105" s="24" t="inlineStr">
        <is>
          <t>Katherine Sebov</t>
        </is>
      </c>
      <c r="G105" s="24" t="inlineStr">
        <is>
          <t>Aoi Ito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0.52927</v>
      </c>
      <c r="P105" s="28" t="n">
        <v>0.05</v>
      </c>
      <c r="Q105" s="28" t="n">
        <v>-0.07073</v>
      </c>
      <c r="R105" s="26" t="n">
        <v>0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Katherine Sebov p=0.471 vs Aoi Ito. Executable ask 0.6000 (aec-wta-aoiito-katseb-2026-08-02).</t>
        </is>
      </c>
      <c r="AF105" s="31" t="inlineStr">
        <is>
          <t>Research-only surface-blended Elo model; singles only, WTA-only market coverage,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Katherine Sebov</t>
        </is>
      </c>
      <c r="AQ105" s="24" t="inlineStr">
        <is>
          <t>Katherine Sebov</t>
        </is>
      </c>
      <c r="AR105" s="24" t="inlineStr">
        <is>
          <t>Katherine Sebov</t>
        </is>
      </c>
      <c r="AS105" s="24" t="inlineStr">
        <is>
          <t>Aoi Ito</t>
        </is>
      </c>
      <c r="AT105" s="24" t="inlineStr">
        <is>
          <t>Aoi Ito</t>
        </is>
      </c>
      <c r="AU105" s="24" t="inlineStr">
        <is>
          <t>Aoi Ito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999faa03e2fa83bdf40e3760cb8645b4c314e4cc37c2050b8320d6582c4d8167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999faa03e2fa83bdf40e3760cb8645b4c314e4cc37c2050b8320d6582c4d8167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999faa03e2fa83bdf40e3760cb8645b4c314e4cc37c2050b8320d6582c4d8167</t>
        </is>
      </c>
      <c r="BH105" s="24" t="inlineStr">
        <is>
          <t>2026-08-02T15:46:44.674546Z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inlineStr">
        <is>
          <t>False</t>
        </is>
      </c>
    </row>
    <row r="106" ht="36" customHeight="1">
      <c r="A106" s="24" t="inlineStr">
        <is>
          <t>c061c5b94c184f35</t>
        </is>
      </c>
      <c r="B106" s="24" t="inlineStr">
        <is>
          <t>2026-08-02T15:50:00.179683Z</t>
        </is>
      </c>
      <c r="C106" s="24" t="inlineStr">
        <is>
          <t>2026-08-02T18:00Z</t>
        </is>
      </c>
      <c r="D106" s="24" t="inlineStr">
        <is>
          <t>421-2026:182284</t>
        </is>
      </c>
      <c r="E106" s="24" t="inlineStr">
        <is>
          <t>TENNIS</t>
        </is>
      </c>
      <c r="F106" s="24" t="inlineStr">
        <is>
          <t>Camila Osorio</t>
        </is>
      </c>
      <c r="G106" s="24" t="inlineStr">
        <is>
          <t>Lucrezia Stefanini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-233</v>
      </c>
      <c r="M106" s="27" t="n">
        <v>1.429185</v>
      </c>
      <c r="N106" s="28" t="n">
        <v>0.6997</v>
      </c>
      <c r="O106" s="28" t="n">
        <v>0.736958</v>
      </c>
      <c r="P106" s="28" t="n">
        <v>0.05</v>
      </c>
      <c r="Q106" s="28" t="n">
        <v>0.037258</v>
      </c>
      <c r="R106" s="26" t="n">
        <v>39</v>
      </c>
      <c r="S106" s="29" t="n">
        <v>2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Camila Osorio p=0.737 vs Lucrezia Stefanini. Executable ask 0.7000 (aec-wta-lucste-camoso-2026-08-02).</t>
        </is>
      </c>
      <c r="AF106" s="31" t="inlineStr">
        <is>
          <t>Research-only surface-blended Elo model; singles only, WTA-only market coverage,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Camila Osorio</t>
        </is>
      </c>
      <c r="AQ106" s="24" t="inlineStr">
        <is>
          <t>Camila Osorio</t>
        </is>
      </c>
      <c r="AR106" s="24" t="inlineStr">
        <is>
          <t>Camila Osorio</t>
        </is>
      </c>
      <c r="AS106" s="24" t="inlineStr">
        <is>
          <t>Lucrezia Stefanini</t>
        </is>
      </c>
      <c r="AT106" s="24" t="inlineStr">
        <is>
          <t>Lucrezia Stefanini</t>
        </is>
      </c>
      <c r="AU106" s="24" t="inlineStr">
        <is>
          <t>Lucrezia Stefanini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999faa03e2fa83bdf40e3760cb8645b4c314e4cc37c2050b8320d6582c4d8167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999faa03e2fa83bdf40e3760cb8645b4c314e4cc37c2050b8320d6582c4d8167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999faa03e2fa83bdf40e3760cb8645b4c314e4cc37c2050b8320d6582c4d8167</t>
        </is>
      </c>
      <c r="BH106" s="24" t="inlineStr">
        <is>
          <t>2026-08-02T15:46:43.798568Z</t>
        </is>
      </c>
      <c r="BI106" s="24" t="inlineStr">
        <is>
          <t>["same_event","same_team_same_day","same_league_same_day"]</t>
        </is>
      </c>
      <c r="BJ106" s="25" t="n"/>
      <c r="BK106" s="26" t="n">
        <v>-233</v>
      </c>
      <c r="BL106" s="27" t="n">
        <v>1.429185</v>
      </c>
      <c r="BM106" s="28" t="n">
        <v>0.6997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inlineStr">
        <is>
          <t>True</t>
        </is>
      </c>
    </row>
    <row r="107" ht="36" customHeight="1">
      <c r="A107" s="24" t="inlineStr">
        <is>
          <t>68186bba3f2b4e2e</t>
        </is>
      </c>
      <c r="B107" s="24" t="inlineStr">
        <is>
          <t>2026-08-02T15:50:00.179683Z</t>
        </is>
      </c>
      <c r="C107" s="24" t="inlineStr">
        <is>
          <t>2026-08-02T19:30Z</t>
        </is>
      </c>
      <c r="D107" s="24" t="inlineStr">
        <is>
          <t>421-2026:182241</t>
        </is>
      </c>
      <c r="E107" s="24" t="inlineStr">
        <is>
          <t>TENNIS</t>
        </is>
      </c>
      <c r="F107" s="24" t="inlineStr">
        <is>
          <t>Anna Blinkova</t>
        </is>
      </c>
      <c r="G107" s="24" t="inlineStr">
        <is>
          <t>Rebecca Sramkova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117</v>
      </c>
      <c r="M107" s="27" t="n">
        <v>2.17</v>
      </c>
      <c r="N107" s="28" t="n">
        <v>0.460829</v>
      </c>
      <c r="O107" s="28" t="n">
        <v>0.53051</v>
      </c>
      <c r="P107" s="28" t="n">
        <v>0.05</v>
      </c>
      <c r="Q107" s="28" t="n">
        <v>0.06968100000000001</v>
      </c>
      <c r="R107" s="26" t="n">
        <v>55</v>
      </c>
      <c r="S107" s="29" t="n">
        <v>1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Anna Blinkova p=0.469 vs Rebecca Sramkova. Executable ask 0.4600 (aec-wta-rebsra-annbli-2026-08-02).</t>
        </is>
      </c>
      <c r="AF107" s="31" t="inlineStr">
        <is>
          <t>Research-only surface-blended Elo model; singles only, WTA-only market coverage,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Anna Blinkova</t>
        </is>
      </c>
      <c r="AQ107" s="24" t="inlineStr">
        <is>
          <t>Anna Blinkova</t>
        </is>
      </c>
      <c r="AR107" s="24" t="inlineStr">
        <is>
          <t>Anna Blinkova</t>
        </is>
      </c>
      <c r="AS107" s="24" t="inlineStr">
        <is>
          <t>Rebecca Sramkova</t>
        </is>
      </c>
      <c r="AT107" s="24" t="inlineStr">
        <is>
          <t>Rebecca Sramkova</t>
        </is>
      </c>
      <c r="AU107" s="24" t="inlineStr">
        <is>
          <t>Rebecca Sramkova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999faa03e2fa83bdf40e3760cb8645b4c314e4cc37c2050b8320d6582c4d8167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999faa03e2fa83bdf40e3760cb8645b4c314e4cc37c2050b8320d6582c4d8167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999faa03e2fa83bdf40e3760cb8645b4c314e4cc37c2050b8320d6582c4d8167</t>
        </is>
      </c>
      <c r="BH107" s="24" t="inlineStr">
        <is>
          <t>2026-08-02T15:46:49.636292Z</t>
        </is>
      </c>
      <c r="BI107" s="24" t="inlineStr">
        <is>
          <t>["same_event","same_team_same_day","same_league_same_day"]</t>
        </is>
      </c>
      <c r="BJ107" s="25" t="n"/>
      <c r="BK107" s="26" t="n">
        <v>117</v>
      </c>
      <c r="BL107" s="27" t="n">
        <v>2.17</v>
      </c>
      <c r="BM107" s="28" t="n">
        <v>0.460829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inlineStr">
        <is>
          <t>True</t>
        </is>
      </c>
    </row>
    <row r="108" ht="36" customHeight="1">
      <c r="A108" s="24" t="inlineStr">
        <is>
          <t>e5a2586d0b754134</t>
        </is>
      </c>
      <c r="B108" s="24" t="inlineStr">
        <is>
          <t>2026-08-02T15:50:00.179683Z</t>
        </is>
      </c>
      <c r="C108" s="24" t="inlineStr">
        <is>
          <t>2026-08-02T20:00Z</t>
        </is>
      </c>
      <c r="D108" s="24" t="inlineStr">
        <is>
          <t>421-2026:182273</t>
        </is>
      </c>
      <c r="E108" s="24" t="inlineStr">
        <is>
          <t>TENNIS</t>
        </is>
      </c>
      <c r="F108" s="24" t="inlineStr">
        <is>
          <t>Lanlana Tararudee</t>
        </is>
      </c>
      <c r="G108" s="24" t="inlineStr">
        <is>
          <t>Emerson Jones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0.756798</v>
      </c>
      <c r="P108" s="28" t="n">
        <v>0.05</v>
      </c>
      <c r="Q108" s="28" t="n">
        <v>0.106448</v>
      </c>
      <c r="R108" s="26" t="n">
        <v>73</v>
      </c>
      <c r="S108" s="29" t="n">
        <v>2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Lanlana Tararudee p=0.757 vs Emerson Jones. Executable ask 0.6500 (aec-wta-emejon-lantar-2026-08-02).</t>
        </is>
      </c>
      <c r="AF108" s="31" t="inlineStr">
        <is>
          <t>Research-only surface-blended Elo model; singles only, WTA-only market coverage,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Lanlana Tararudee</t>
        </is>
      </c>
      <c r="AQ108" s="24" t="inlineStr">
        <is>
          <t>Lanlana Tararudee</t>
        </is>
      </c>
      <c r="AR108" s="24" t="inlineStr">
        <is>
          <t>Lanlana Tararudee</t>
        </is>
      </c>
      <c r="AS108" s="24" t="inlineStr">
        <is>
          <t>Emerson Jones</t>
        </is>
      </c>
      <c r="AT108" s="24" t="inlineStr">
        <is>
          <t>Emerson Jones</t>
        </is>
      </c>
      <c r="AU108" s="24" t="inlineStr">
        <is>
          <t>Emerson Jones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999faa03e2fa83bdf40e3760cb8645b4c314e4cc37c2050b8320d6582c4d8167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999faa03e2fa83bdf40e3760cb8645b4c314e4cc37c2050b8320d6582c4d8167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999faa03e2fa83bdf40e3760cb8645b4c314e4cc37c2050b8320d6582c4d8167</t>
        </is>
      </c>
      <c r="BH108" s="24" t="inlineStr">
        <is>
          <t>2026-08-02T15:46:51.741348Z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inlineStr">
        <is>
          <t>True</t>
        </is>
      </c>
    </row>
    <row r="109" ht="36" customHeight="1">
      <c r="A109" s="24" t="inlineStr">
        <is>
          <t>8c5a4b8f1d9449a4</t>
        </is>
      </c>
      <c r="B109" s="24" t="inlineStr">
        <is>
          <t>2026-08-02T15:50:00.179683Z</t>
        </is>
      </c>
      <c r="C109" s="24" t="inlineStr">
        <is>
          <t>2026-08-02T21:00Z</t>
        </is>
      </c>
      <c r="D109" s="24" t="inlineStr">
        <is>
          <t>421-2026:182240</t>
        </is>
      </c>
      <c r="E109" s="24" t="inlineStr">
        <is>
          <t>TENNIS</t>
        </is>
      </c>
      <c r="F109" s="24" t="inlineStr">
        <is>
          <t>Cadence Brace</t>
        </is>
      </c>
      <c r="G109" s="24" t="inlineStr">
        <is>
          <t>McCartney Kessler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-614</v>
      </c>
      <c r="M109" s="27" t="n">
        <v>1.162866</v>
      </c>
      <c r="N109" s="28" t="n">
        <v>0.859944</v>
      </c>
      <c r="O109" s="28" t="n">
        <v>0.7637620000000001</v>
      </c>
      <c r="P109" s="28" t="n">
        <v>0.05</v>
      </c>
      <c r="Q109" s="28" t="n">
        <v>-0.096182</v>
      </c>
      <c r="R109" s="26" t="n">
        <v>0</v>
      </c>
      <c r="S109" s="29" t="n">
        <v>2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Cadence Brace p=0.236 vs McCartney Kessler. Executable ask 0.8600 (aec-wta-mcckes-cadbra-2026-08-02).</t>
        </is>
      </c>
      <c r="AF109" s="31" t="inlineStr">
        <is>
          <t>Research-only surface-blended Elo model; singles only, WTA-only market coverage,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NO_CALL_LOW_EDGE</t>
        </is>
      </c>
      <c r="AP109" s="24" t="inlineStr">
        <is>
          <t>Cadence Brace</t>
        </is>
      </c>
      <c r="AQ109" s="24" t="inlineStr">
        <is>
          <t>Cadence Brace</t>
        </is>
      </c>
      <c r="AR109" s="24" t="inlineStr">
        <is>
          <t>Cadence Brace</t>
        </is>
      </c>
      <c r="AS109" s="24" t="inlineStr">
        <is>
          <t>McCartney Kessler</t>
        </is>
      </c>
      <c r="AT109" s="24" t="inlineStr">
        <is>
          <t>McCartney Kessler</t>
        </is>
      </c>
      <c r="AU109" s="24" t="inlineStr">
        <is>
          <t>McCartney Kessler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999faa03e2fa83bdf40e3760cb8645b4c314e4cc37c2050b8320d6582c4d8167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999faa03e2fa83bdf40e3760cb8645b4c314e4cc37c2050b8320d6582c4d8167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999faa03e2fa83bdf40e3760cb8645b4c314e4cc37c2050b8320d6582c4d8167</t>
        </is>
      </c>
      <c r="BH109" s="24" t="inlineStr">
        <is>
          <t>2026-08-02T15:46:54.553392Z</t>
        </is>
      </c>
      <c r="BI109" s="24" t="inlineStr">
        <is>
          <t>["same_event","same_team_same_day","same_league_same_day"]</t>
        </is>
      </c>
      <c r="BJ109" s="25" t="n"/>
      <c r="BK109" s="26" t="n">
        <v>-614</v>
      </c>
      <c r="BL109" s="27" t="n">
        <v>1.162866</v>
      </c>
      <c r="BM109" s="28" t="n">
        <v>0.859944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inlineStr">
        <is>
          <t>False</t>
        </is>
      </c>
    </row>
    <row r="110" ht="36" customHeight="1">
      <c r="A110" s="24" t="inlineStr">
        <is>
          <t>6240c2227d994ec7</t>
        </is>
      </c>
      <c r="B110" s="24" t="inlineStr">
        <is>
          <t>2026-08-02T15:50:00.179683Z</t>
        </is>
      </c>
      <c r="C110" s="24" t="inlineStr">
        <is>
          <t>2026-08-02T21:30Z</t>
        </is>
      </c>
      <c r="D110" s="24" t="inlineStr">
        <is>
          <t>421-2026:182283</t>
        </is>
      </c>
      <c r="E110" s="24" t="inlineStr">
        <is>
          <t>TENNIS</t>
        </is>
      </c>
      <c r="F110" s="24" t="inlineStr">
        <is>
          <t>Elisabetta Cocciaretto</t>
        </is>
      </c>
      <c r="G110" s="24" t="inlineStr">
        <is>
          <t>Talia Gibson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-144</v>
      </c>
      <c r="M110" s="27" t="n">
        <v>1.694444</v>
      </c>
      <c r="N110" s="28" t="n">
        <v>0.590164</v>
      </c>
      <c r="O110" s="28" t="n">
        <v>0.578226</v>
      </c>
      <c r="P110" s="28" t="n">
        <v>0.05</v>
      </c>
      <c r="Q110" s="28" t="n">
        <v>-0.011938</v>
      </c>
      <c r="R110" s="26" t="n">
        <v>14</v>
      </c>
      <c r="S110" s="29" t="n">
        <v>1.25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Elisabetta Cocciaretto p=0.578 vs Talia Gibson. Executable ask 0.5900 (aec-wta-talgib-elicoc-2026-08-02).</t>
        </is>
      </c>
      <c r="AF110" s="31" t="inlineStr">
        <is>
          <t>Research-only surface-blended Elo model; singles only, WTA-only market coverage,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NO_CALL_LOW_EDGE</t>
        </is>
      </c>
      <c r="AP110" s="24" t="inlineStr">
        <is>
          <t>Elisabetta Cocciaretto</t>
        </is>
      </c>
      <c r="AQ110" s="24" t="inlineStr">
        <is>
          <t>Elisabetta Cocciaretto</t>
        </is>
      </c>
      <c r="AR110" s="24" t="inlineStr">
        <is>
          <t>Elisabetta Cocciaretto</t>
        </is>
      </c>
      <c r="AS110" s="24" t="inlineStr">
        <is>
          <t>Talia Gibson</t>
        </is>
      </c>
      <c r="AT110" s="24" t="inlineStr">
        <is>
          <t>Talia Gibson</t>
        </is>
      </c>
      <c r="AU110" s="24" t="inlineStr">
        <is>
          <t>Talia Gibson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999faa03e2fa83bdf40e3760cb8645b4c314e4cc37c2050b8320d6582c4d8167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999faa03e2fa83bdf40e3760cb8645b4c314e4cc37c2050b8320d6582c4d8167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999faa03e2fa83bdf40e3760cb8645b4c314e4cc37c2050b8320d6582c4d8167</t>
        </is>
      </c>
      <c r="BH110" s="24" t="inlineStr">
        <is>
          <t>2026-08-02T15:46:55.125883Z</t>
        </is>
      </c>
      <c r="BI110" s="24" t="inlineStr">
        <is>
          <t>["same_event","same_team_same_day","same_league_same_day"]</t>
        </is>
      </c>
      <c r="BJ110" s="25" t="n"/>
      <c r="BK110" s="26" t="n">
        <v>-144</v>
      </c>
      <c r="BL110" s="27" t="n">
        <v>1.694444</v>
      </c>
      <c r="BM110" s="28" t="n">
        <v>0.590164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inlineStr">
        <is>
          <t>False</t>
        </is>
      </c>
    </row>
    <row r="111" ht="36" customHeight="1">
      <c r="A111" s="24" t="inlineStr">
        <is>
          <t>d8eff19de3f843cc</t>
        </is>
      </c>
      <c r="B111" s="24" t="inlineStr">
        <is>
          <t>2026-08-02T15:50:00.179683Z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Research-only surface-blended Elo model; singles only, WTA-only market coverage,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999faa03e2fa83bdf40e3760cb8645b4c314e4cc37c2050b8320d6582c4d8167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999faa03e2fa83bdf40e3760cb8645b4c314e4cc37c2050b8320d6582c4d8167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999faa03e2fa83bdf40e3760cb8645b4c314e4cc37c2050b8320d6582c4d8167</t>
        </is>
      </c>
      <c r="BH111" s="24" t="inlineStr">
        <is>
          <t>2026-08-02T15:46:55.388422Z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inlineStr">
        <is>
          <t>True</t>
        </is>
      </c>
    </row>
    <row r="112" ht="36" customHeight="1">
      <c r="A112" s="24" t="inlineStr">
        <is>
          <t>fc4cd1d6df72434b</t>
        </is>
      </c>
      <c r="B112" s="24" t="inlineStr">
        <is>
          <t>2026-08-02T15:50:00.179683Z</t>
        </is>
      </c>
      <c r="C112" s="24" t="inlineStr">
        <is>
          <t>2026-08-03T00:30Z</t>
        </is>
      </c>
      <c r="D112" s="24" t="inlineStr">
        <is>
          <t>421-2026:182281</t>
        </is>
      </c>
      <c r="E112" s="24" t="inlineStr">
        <is>
          <t>TENNIS</t>
        </is>
      </c>
      <c r="F112" s="24" t="inlineStr">
        <is>
          <t>Zhang Shuai</t>
        </is>
      </c>
      <c r="G112" s="24" t="inlineStr">
        <is>
          <t>Yulia Putintseva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0.630736</v>
      </c>
      <c r="P112" s="28" t="n">
        <v>0.05</v>
      </c>
      <c r="Q112" s="28" t="n">
        <v>-0.019614</v>
      </c>
      <c r="R112" s="26" t="n">
        <v>10</v>
      </c>
      <c r="S112" s="29" t="n">
        <v>1.5</v>
      </c>
      <c r="T112" s="24" t="inlineStr">
        <is>
          <t>tennis-surface-elo-v1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Surface-blended Elo on Hard: Zhang Shuai p=0.369 vs Yulia Putintseva. Executable ask 0.6500 (aec-wta-yulput-shuzha-2026-08-02).</t>
        </is>
      </c>
      <c r="AF112" s="31" t="inlineStr">
        <is>
          <t>Research-only surface-blended Elo model; singles only, WTA-only market coverage,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Zhang Shuai</t>
        </is>
      </c>
      <c r="AQ112" s="24" t="inlineStr">
        <is>
          <t>Zhang Shuai</t>
        </is>
      </c>
      <c r="AR112" s="24" t="inlineStr">
        <is>
          <t>Zhang Shuai</t>
        </is>
      </c>
      <c r="AS112" s="24" t="inlineStr">
        <is>
          <t>Yulia Putintseva</t>
        </is>
      </c>
      <c r="AT112" s="24" t="inlineStr">
        <is>
          <t>Yulia Putintseva</t>
        </is>
      </c>
      <c r="AU112" s="24" t="inlineStr">
        <is>
          <t>Yulia Putintseva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999faa03e2fa83bdf40e3760cb8645b4c314e4cc37c2050b8320d6582c4d8167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999faa03e2fa83bdf40e3760cb8645b4c314e4cc37c2050b8320d6582c4d8167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999faa03e2fa83bdf40e3760cb8645b4c314e4cc37c2050b8320d6582c4d8167</t>
        </is>
      </c>
      <c r="BH112" s="24" t="inlineStr">
        <is>
          <t>2026-08-02T15:46:55.697720Z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2026-08-02T15:53:31Z</dcterms:created>
  <dcterms:modified xsi:type="dcterms:W3CDTF">2026-08-02T15:53:31Z</dcterms:modified>
</cp:coreProperties>
</file>