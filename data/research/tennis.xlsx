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8" headerRowCount="1">
  <autoFilter ref="A1:CO6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COUNTA('Picks'!$A$2:$A$68)</f>
        <v/>
      </c>
      <c r="C4" s="6">
        <f>COUNTIF('Picks'!$U$2:$U$68,"open")</f>
        <v/>
      </c>
      <c r="E4" s="6">
        <f>COUNTIF('Picks'!$U$2:$U$68,"settled")</f>
        <v/>
      </c>
      <c r="G4" s="6">
        <f>IF(COUNTIFS('Picks'!$U$2:$U$68,"settled",'Picks'!$V$2:$V$68,"win")+COUNTIFS('Picks'!$U$2:$U$68,"settled",'Picks'!$V$2:$V$68,"loss")&gt;=$L$2,"Ready","Insufficient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COUNTIF('Picks'!$BX$2:$BX$68,"&gt;0")</f>
        <v/>
      </c>
      <c r="C7" s="6">
        <f>COUNTIFS('Picks'!$BX$2:$BX$68,"&gt;0",'Picks'!$V$2:$V$68,"win")&amp;"-"&amp;COUNTIFS('Picks'!$BX$2:$BX$68,"&gt;0",'Picks'!$V$2:$V$68,"loss")</f>
        <v/>
      </c>
      <c r="E7" s="7">
        <f>IFERROR(COUNTIFS('Picks'!$BX$2:$BX$68,"&gt;0",'Picks'!$V$2:$V$68,"win")/(COUNTIFS('Picks'!$BX$2:$BX$68,"&gt;0",'Picks'!$V$2:$V$68,"win")+COUNTIFS('Picks'!$BX$2:$BX$68,"&gt;0",'Picks'!$V$2:$V$68,"loss")),0)</f>
        <v/>
      </c>
      <c r="G7" s="7">
        <f>IFERROR(SUM('Picks'!$BY$2:$BY$68)/SUM('Picks'!$BX$2:$BX$68),0)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SUM('Picks'!$BY$2:$BY$68)</f>
        <v/>
      </c>
      <c r="C10" s="9">
        <f>IFERROR(AVERAGEIF('Picks'!$AB$2:$AB$68,"&lt;&gt;",'Picks'!$AB$2:$AB$68),0)</f>
        <v/>
      </c>
      <c r="E10" s="6">
        <f>COUNTIFS('Picks'!$AM$2:$AM$68,"QUALIFIED_SHADOW_CALL",'Picks'!$U$2:$U$68,"settled")</f>
        <v/>
      </c>
      <c r="G10" s="8">
        <f>SUMIFS('Picks'!$AC$2:$AC$68,'Picks'!$AM$2:$AM$68,"QUALIFIED_SHADOW_CALL")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COUNTIFS('Picks'!$H$2:$H$68,$A14,'Picks'!$U$2:$U$68,"settled")</f>
        <v/>
      </c>
      <c r="C14" s="13">
        <f>COUNTIFS('Picks'!$H$2:$H$68,$A14,'Picks'!$U$2:$U$68,"settled",'Picks'!$V$2:$V$68,"win")</f>
        <v/>
      </c>
      <c r="D14" s="13">
        <f>COUNTIFS('Picks'!$H$2:$H$68,$A14,'Picks'!$U$2:$U$68,"settled",'Picks'!$V$2:$V$68,"loss")</f>
        <v/>
      </c>
      <c r="E14" s="14">
        <f>IFERROR(C14/(C14+D14),0)</f>
        <v/>
      </c>
      <c r="F14" s="15">
        <f>SUMIFS('Picks'!$BY$2:$BY$68,'Picks'!$H$2:$H$68,$A14)</f>
        <v/>
      </c>
      <c r="G14" s="16">
        <f>IFERROR(AVERAGEIFS('Picks'!$AB$2:$AB$68,'Picks'!$H$2:$H$68,$A14,'Picks'!$U$2:$U$68,"settled"),0)</f>
        <v/>
      </c>
    </row>
    <row r="15">
      <c r="A15" s="17" t="inlineStr">
        <is>
          <t>spread</t>
        </is>
      </c>
      <c r="B15" s="18">
        <f>COUNTIFS('Picks'!$H$2:$H$68,$A15,'Picks'!$U$2:$U$68,"settled")</f>
        <v/>
      </c>
      <c r="C15" s="18">
        <f>COUNTIFS('Picks'!$H$2:$H$68,$A15,'Picks'!$U$2:$U$68,"settled",'Picks'!$V$2:$V$68,"win")</f>
        <v/>
      </c>
      <c r="D15" s="18">
        <f>COUNTIFS('Picks'!$H$2:$H$68,$A15,'Picks'!$U$2:$U$68,"settled",'Picks'!$V$2:$V$68,"loss")</f>
        <v/>
      </c>
      <c r="E15" s="19">
        <f>IFERROR(C15/(C15+D15),0)</f>
        <v/>
      </c>
      <c r="F15" s="20">
        <f>SUMIFS('Picks'!$BY$2:$BY$68,'Picks'!$H$2:$H$68,$A15)</f>
        <v/>
      </c>
      <c r="G15" s="21">
        <f>IFERROR(AVERAGEIFS('Picks'!$AB$2:$AB$68,'Picks'!$H$2:$H$68,$A15,'Picks'!$U$2:$U$68,"settled"),0)</f>
        <v/>
      </c>
    </row>
    <row r="16">
      <c r="A16" s="12" t="inlineStr">
        <is>
          <t>total</t>
        </is>
      </c>
      <c r="B16" s="13">
        <f>COUNTIFS('Picks'!$H$2:$H$68,$A16,'Picks'!$U$2:$U$68,"settled")</f>
        <v/>
      </c>
      <c r="C16" s="13">
        <f>COUNTIFS('Picks'!$H$2:$H$68,$A16,'Picks'!$U$2:$U$68,"settled",'Picks'!$V$2:$V$68,"win")</f>
        <v/>
      </c>
      <c r="D16" s="13">
        <f>COUNTIFS('Picks'!$H$2:$H$68,$A16,'Picks'!$U$2:$U$68,"settled",'Picks'!$V$2:$V$68,"loss")</f>
        <v/>
      </c>
      <c r="E16" s="14">
        <f>IFERROR(C16/(C16+D16),0)</f>
        <v/>
      </c>
      <c r="F16" s="15">
        <f>SUMIFS('Picks'!$BY$2:$BY$68,'Picks'!$H$2:$H$68,$A16)</f>
        <v/>
      </c>
      <c r="G16" s="16">
        <f>IFERROR(AVERAGEIFS('Picks'!$AB$2:$AB$68,'Picks'!$H$2:$H$68,$A16,'Picks'!$U$2:$U$68,"settled"),0)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0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0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0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0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0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0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0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0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0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0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0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0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0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0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0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0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0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0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0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0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0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0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0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0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0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0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0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0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0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0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0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0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0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0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0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0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0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0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0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0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0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0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0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0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0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0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0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0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0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0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0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0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0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0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0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0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0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0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0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0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0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0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0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0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0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0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0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0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0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0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0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0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0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0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0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0</v>
      </c>
      <c r="T58" s="24" t="inlineStr">
        <is>
          <t>tennis-surface-elo-v1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0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0</v>
      </c>
      <c r="T60" s="24" t="inlineStr">
        <is>
          <t>tennis-surface-elo-v1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a83cffe8daa44cf6</t>
        </is>
      </c>
      <c r="B61" s="24" t="inlineStr">
        <is>
          <t>2026-07-30T17:20:01.182496Z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0</v>
      </c>
      <c r="T61" s="24" t="inlineStr">
        <is>
          <t>tennis-surface-elo-v1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2026-07-30T17:17:54.938784Z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d76b851d49ea4089</t>
        </is>
      </c>
      <c r="B62" s="24" t="inlineStr">
        <is>
          <t>2026-07-30T17:20:01.182496Z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0</v>
      </c>
      <c r="T62" s="24" t="inlineStr">
        <is>
          <t>tennis-surface-elo-v1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2026-07-30T17:17:54.997326Z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1a576638a4ac430f</t>
        </is>
      </c>
      <c r="B63" s="24" t="inlineStr">
        <is>
          <t>2026-07-30T17:20:01.182496Z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0</v>
      </c>
      <c r="T63" s="24" t="inlineStr">
        <is>
          <t>tennis-surface-elo-v1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2026-07-30T17:17:58.851659Z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86ac38977bd34407</t>
        </is>
      </c>
      <c r="B64" s="24" t="inlineStr">
        <is>
          <t>2026-07-30T17:20:01.182496Z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0</v>
      </c>
      <c r="T64" s="24" t="inlineStr">
        <is>
          <t>tennis-surface-elo-v1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2026-07-30T17:17:57.813995Z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94098b44e1f544b9</t>
        </is>
      </c>
      <c r="B65" s="24" t="inlineStr">
        <is>
          <t>2026-07-30T17:20:01.182496Z</t>
        </is>
      </c>
      <c r="C65" s="24" t="inlineStr">
        <is>
          <t>2026-07-30T22:00Z</t>
        </is>
      </c>
      <c r="D65" s="24" t="inlineStr">
        <is>
          <t>888-2026:178999</t>
        </is>
      </c>
      <c r="E65" s="24" t="inlineStr">
        <is>
          <t>TENNIS</t>
        </is>
      </c>
      <c r="F65" s="24" t="inlineStr">
        <is>
          <t>Anastasia Potapova</t>
        </is>
      </c>
      <c r="G65" s="24" t="inlineStr">
        <is>
          <t>Diana Shnaider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-113</v>
      </c>
      <c r="M65" s="27" t="n">
        <v>1.884956</v>
      </c>
      <c r="N65" s="28" t="n">
        <v>0.530516</v>
      </c>
      <c r="O65" s="28" t="n">
        <v>0.52483</v>
      </c>
      <c r="P65" s="28" t="n">
        <v>0.05</v>
      </c>
      <c r="Q65" s="28" t="n">
        <v>-0.005686</v>
      </c>
      <c r="R65" s="26" t="n">
        <v>17</v>
      </c>
      <c r="S65" s="29" t="n">
        <v>0</v>
      </c>
      <c r="T65" s="24" t="inlineStr">
        <is>
          <t>tennis-surface-elo-v1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Surface-blended Elo on Hard: Anastasia Potapova p=0.475 vs Diana Shnaider. Executable ask 0.5300 (aec-wta-diashn-anapot-2026-07-30).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Anastasia Potapova</t>
        </is>
      </c>
      <c r="AQ65" s="24" t="inlineStr">
        <is>
          <t>Anastasia Potapova</t>
        </is>
      </c>
      <c r="AR65" s="24" t="inlineStr">
        <is>
          <t>Anastasia Potapova</t>
        </is>
      </c>
      <c r="AS65" s="24" t="inlineStr">
        <is>
          <t>Diana Shnaider</t>
        </is>
      </c>
      <c r="AT65" s="24" t="inlineStr">
        <is>
          <t>Diana Shnaider</t>
        </is>
      </c>
      <c r="AU65" s="24" t="inlineStr">
        <is>
          <t>Diana Shnaider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2026-07-30T17:17:59.424416Z</t>
        </is>
      </c>
      <c r="BI65" s="24" t="inlineStr">
        <is>
          <t>["same_event","same_team_same_day","same_league_same_day"]</t>
        </is>
      </c>
      <c r="BJ65" s="25" t="n"/>
      <c r="BK65" s="26" t="n">
        <v>-113</v>
      </c>
      <c r="BL65" s="27" t="n">
        <v>1.884956</v>
      </c>
      <c r="BM65" s="28" t="n">
        <v>0.530516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cd3c6788cca84289</t>
        </is>
      </c>
      <c r="B66" s="24" t="inlineStr">
        <is>
          <t>2026-07-30T17:20:01.182496Z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0</v>
      </c>
      <c r="T66" s="24" t="inlineStr">
        <is>
          <t>tennis-surface-elo-v1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2026-07-30T17:18:03.684187Z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494e50bcd2bb4f02</t>
        </is>
      </c>
      <c r="B67" s="24" t="inlineStr">
        <is>
          <t>2026-07-30T17:20:01.182496Z</t>
        </is>
      </c>
      <c r="C67" s="24" t="inlineStr">
        <is>
          <t>2026-07-30T19:00Z</t>
        </is>
      </c>
      <c r="D67" s="24" t="inlineStr">
        <is>
          <t>1067-2026:179464</t>
        </is>
      </c>
      <c r="E67" s="24" t="inlineStr">
        <is>
          <t>TENNIS</t>
        </is>
      </c>
      <c r="F67" s="24" t="inlineStr">
        <is>
          <t>Peyton Stearns</t>
        </is>
      </c>
      <c r="G67" s="24" t="inlineStr">
        <is>
          <t>Tatiana Prozorova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-163</v>
      </c>
      <c r="M67" s="27" t="n">
        <v>1.613497</v>
      </c>
      <c r="N67" s="28" t="n">
        <v>0.619772</v>
      </c>
      <c r="O67" s="28" t="n">
        <v>0.519871</v>
      </c>
      <c r="P67" s="28" t="n">
        <v>0.05</v>
      </c>
      <c r="Q67" s="28" t="n">
        <v>-0.099901</v>
      </c>
      <c r="R67" s="26" t="n">
        <v>0</v>
      </c>
      <c r="S67" s="29" t="n">
        <v>0</v>
      </c>
      <c r="T67" s="24" t="inlineStr">
        <is>
          <t>tennis-surface-elo-v1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Surface-blended Elo on Hard: Peyton Stearns p=0.520 vs Tatiana Prozorova. Executable ask 0.6200 (aec-wta-tatpro-peyste-2026-07-30).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Peyton Stearns</t>
        </is>
      </c>
      <c r="AQ67" s="24" t="inlineStr">
        <is>
          <t>Peyton Stearns</t>
        </is>
      </c>
      <c r="AR67" s="24" t="inlineStr">
        <is>
          <t>Peyton Stearns</t>
        </is>
      </c>
      <c r="AS67" s="24" t="inlineStr">
        <is>
          <t>Tatiana Prozorova</t>
        </is>
      </c>
      <c r="AT67" s="24" t="inlineStr">
        <is>
          <t>Tatiana Prozorova</t>
        </is>
      </c>
      <c r="AU67" s="24" t="inlineStr">
        <is>
          <t>Tatiana Prozorova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2026-07-30T17:17:56.374384Z</t>
        </is>
      </c>
      <c r="BI67" s="24" t="inlineStr">
        <is>
          <t>["same_event","same_team_same_day","same_league_same_day"]</t>
        </is>
      </c>
      <c r="BJ67" s="25" t="n"/>
      <c r="BK67" s="26" t="n">
        <v>-163</v>
      </c>
      <c r="BL67" s="27" t="n">
        <v>1.613497</v>
      </c>
      <c r="BM67" s="28" t="n">
        <v>0.619772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16c0c563ecfc49c4</t>
        </is>
      </c>
      <c r="B68" s="24" t="inlineStr">
        <is>
          <t>2026-07-30T17:20:01.182496Z</t>
        </is>
      </c>
      <c r="C68" s="24" t="inlineStr">
        <is>
          <t>2026-07-30T23:00Z</t>
        </is>
      </c>
      <c r="D68" s="24" t="inlineStr">
        <is>
          <t>1067-2026:179463</t>
        </is>
      </c>
      <c r="E68" s="24" t="inlineStr">
        <is>
          <t>TENNIS</t>
        </is>
      </c>
      <c r="F68" s="24" t="inlineStr">
        <is>
          <t>Darja Vidmanova</t>
        </is>
      </c>
      <c r="G68" s="24" t="inlineStr">
        <is>
          <t>Sloane Stephens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-156</v>
      </c>
      <c r="M68" s="27" t="n">
        <v>1.641026</v>
      </c>
      <c r="N68" s="28" t="n">
        <v>0.609375</v>
      </c>
      <c r="O68" s="28" t="n">
        <v>0.715942</v>
      </c>
      <c r="P68" s="28" t="n">
        <v>0.05</v>
      </c>
      <c r="Q68" s="28" t="n">
        <v>0.106567</v>
      </c>
      <c r="R68" s="26" t="n">
        <v>73</v>
      </c>
      <c r="S68" s="29" t="n">
        <v>0</v>
      </c>
      <c r="T68" s="24" t="inlineStr">
        <is>
          <t>tennis-surface-elo-v1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Surface-blended Elo on Hard: Darja Vidmanova p=0.716 vs Sloane Stephens. Executable ask 0.6100 (aec-wta-sloste-darvid-2026-07-30).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Darja Vidmanova</t>
        </is>
      </c>
      <c r="AQ68" s="24" t="inlineStr">
        <is>
          <t>Darja Vidmanova</t>
        </is>
      </c>
      <c r="AR68" s="24" t="inlineStr">
        <is>
          <t>Darja Vidmanova</t>
        </is>
      </c>
      <c r="AS68" s="24" t="inlineStr">
        <is>
          <t>Sloane Stephens</t>
        </is>
      </c>
      <c r="AT68" s="24" t="inlineStr">
        <is>
          <t>Sloane Stephens</t>
        </is>
      </c>
      <c r="AU68" s="24" t="inlineStr">
        <is>
          <t>Sloane Stephens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2026-07-30T17:18:02.129419Z</t>
        </is>
      </c>
      <c r="BI68" s="24" t="inlineStr">
        <is>
          <t>["same_event","same_team_same_day","same_league_same_day"]</t>
        </is>
      </c>
      <c r="BJ68" s="25" t="n"/>
      <c r="BK68" s="26" t="n">
        <v>-156</v>
      </c>
      <c r="BL68" s="27" t="n">
        <v>1.641026</v>
      </c>
      <c r="BM68" s="28" t="n">
        <v>0.609375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2026-07-30T17:20:04Z</dcterms:created>
  <dcterms:modified xsi:type="dcterms:W3CDTF">2026-07-30T17:20:04Z</dcterms:modified>
</cp:coreProperties>
</file>