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O114" headerRowCount="1">
  <autoFilter ref="A1:CO114"/>
  <tableColumns count="93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COUNTA('Picks'!$A$2:$A$114)</f>
        <v/>
      </c>
      <c r="C4" s="6">
        <f>COUNTIF('Picks'!$U$2:$U$114,"open")</f>
        <v/>
      </c>
      <c r="E4" s="6">
        <f>COUNTIF('Picks'!$U$2:$U$114,"settled")</f>
        <v/>
      </c>
      <c r="G4" s="6">
        <f>IF(COUNTIFS('Picks'!$U$2:$U$114,"settled",'Picks'!$V$2:$V$114,"win")+COUNTIFS('Picks'!$U$2:$U$114,"settled",'Picks'!$V$2:$V$114,"loss")&gt;=$L$2,"Ready","Insufficient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COUNTIF('Picks'!$BX$2:$BX$114,"&gt;0")</f>
        <v/>
      </c>
      <c r="C7" s="6">
        <f>COUNTIFS('Picks'!$BX$2:$BX$114,"&gt;0",'Picks'!$V$2:$V$114,"win")&amp;"-"&amp;COUNTIFS('Picks'!$BX$2:$BX$114,"&gt;0",'Picks'!$V$2:$V$114,"loss")</f>
        <v/>
      </c>
      <c r="E7" s="7">
        <f>IFERROR(COUNTIFS('Picks'!$BX$2:$BX$114,"&gt;0",'Picks'!$V$2:$V$114,"win")/(COUNTIFS('Picks'!$BX$2:$BX$114,"&gt;0",'Picks'!$V$2:$V$114,"win")+COUNTIFS('Picks'!$BX$2:$BX$114,"&gt;0",'Picks'!$V$2:$V$114,"loss")),0)</f>
        <v/>
      </c>
      <c r="G7" s="7">
        <f>IFERROR(SUM('Picks'!$BY$2:$BY$114)/SUM('Picks'!$BX$2:$BX$114),0)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SUM('Picks'!$BY$2:$BY$114)</f>
        <v/>
      </c>
      <c r="C10" s="9">
        <f>IFERROR(AVERAGEIF('Picks'!$AB$2:$AB$114,"&lt;&gt;",'Picks'!$AB$2:$AB$114),0)</f>
        <v/>
      </c>
      <c r="E10" s="6">
        <f>COUNTIFS('Picks'!$AM$2:$AM$114,"QUALIFIED_SHADOW_CALL",'Picks'!$U$2:$U$114,"settled")</f>
        <v/>
      </c>
      <c r="G10" s="8">
        <f>SUMIFS('Picks'!$AC$2:$AC$114,'Picks'!$AM$2:$AM$114,"QUALIFIED_SHADOW_CALL")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COUNTIFS('Picks'!$H$2:$H$114,$A14,'Picks'!$U$2:$U$114,"settled")</f>
        <v/>
      </c>
      <c r="C14" s="13">
        <f>COUNTIFS('Picks'!$H$2:$H$114,$A14,'Picks'!$U$2:$U$114,"settled",'Picks'!$V$2:$V$114,"win")</f>
        <v/>
      </c>
      <c r="D14" s="13">
        <f>COUNTIFS('Picks'!$H$2:$H$114,$A14,'Picks'!$U$2:$U$114,"settled",'Picks'!$V$2:$V$114,"loss")</f>
        <v/>
      </c>
      <c r="E14" s="14">
        <f>IFERROR(C14/(C14+D14),0)</f>
        <v/>
      </c>
      <c r="F14" s="15">
        <f>SUMIFS('Picks'!$BY$2:$BY$114,'Picks'!$H$2:$H$114,$A14)</f>
        <v/>
      </c>
      <c r="G14" s="16">
        <f>IFERROR(AVERAGEIFS('Picks'!$AB$2:$AB$114,'Picks'!$H$2:$H$114,$A14,'Picks'!$U$2:$U$114,"settled"),0)</f>
        <v/>
      </c>
    </row>
    <row r="15">
      <c r="A15" s="17" t="inlineStr">
        <is>
          <t>spread</t>
        </is>
      </c>
      <c r="B15" s="18">
        <f>COUNTIFS('Picks'!$H$2:$H$114,$A15,'Picks'!$U$2:$U$114,"settled")</f>
        <v/>
      </c>
      <c r="C15" s="18">
        <f>COUNTIFS('Picks'!$H$2:$H$114,$A15,'Picks'!$U$2:$U$114,"settled",'Picks'!$V$2:$V$114,"win")</f>
        <v/>
      </c>
      <c r="D15" s="18">
        <f>COUNTIFS('Picks'!$H$2:$H$114,$A15,'Picks'!$U$2:$U$114,"settled",'Picks'!$V$2:$V$114,"loss")</f>
        <v/>
      </c>
      <c r="E15" s="19">
        <f>IFERROR(C15/(C15+D15),0)</f>
        <v/>
      </c>
      <c r="F15" s="20">
        <f>SUMIFS('Picks'!$BY$2:$BY$114,'Picks'!$H$2:$H$114,$A15)</f>
        <v/>
      </c>
      <c r="G15" s="21">
        <f>IFERROR(AVERAGEIFS('Picks'!$AB$2:$AB$114,'Picks'!$H$2:$H$114,$A15,'Picks'!$U$2:$U$114,"settled"),0)</f>
        <v/>
      </c>
    </row>
    <row r="16">
      <c r="A16" s="12" t="inlineStr">
        <is>
          <t>total</t>
        </is>
      </c>
      <c r="B16" s="13">
        <f>COUNTIFS('Picks'!$H$2:$H$114,$A16,'Picks'!$U$2:$U$114,"settled")</f>
        <v/>
      </c>
      <c r="C16" s="13">
        <f>COUNTIFS('Picks'!$H$2:$H$114,$A16,'Picks'!$U$2:$U$114,"settled",'Picks'!$V$2:$V$114,"win")</f>
        <v/>
      </c>
      <c r="D16" s="13">
        <f>COUNTIFS('Picks'!$H$2:$H$114,$A16,'Picks'!$U$2:$U$114,"settled",'Picks'!$V$2:$V$114,"loss")</f>
        <v/>
      </c>
      <c r="E16" s="14">
        <f>IFERROR(C16/(C16+D16),0)</f>
        <v/>
      </c>
      <c r="F16" s="15">
        <f>SUMIFS('Picks'!$BY$2:$BY$114,'Picks'!$H$2:$H$114,$A16)</f>
        <v/>
      </c>
      <c r="G16" s="16">
        <f>IFERROR(AVERAGEIFS('Picks'!$AB$2:$AB$114,'Picks'!$H$2:$H$114,$A16,'Picks'!$U$2:$U$114,"settled"),0)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O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</row>
    <row r="2" ht="36" customHeight="1">
      <c r="A2" s="24" t="inlineStr">
        <is>
          <t>7e2113a2b9104093</t>
        </is>
      </c>
      <c r="B2" s="24" t="inlineStr">
        <is>
          <t>2026-07-27T15:07:03.733108Z</t>
        </is>
      </c>
      <c r="C2" s="24" t="inlineStr">
        <is>
          <t>2026-07-27T16:30Z</t>
        </is>
      </c>
      <c r="D2" s="24" t="inlineStr">
        <is>
          <t>888-2026:179013</t>
        </is>
      </c>
      <c r="E2" s="24" t="inlineStr">
        <is>
          <t>TENNIS</t>
        </is>
      </c>
      <c r="F2" s="24" t="inlineStr">
        <is>
          <t>Sofia Kenin</t>
        </is>
      </c>
      <c r="G2" s="24" t="inlineStr">
        <is>
          <t>Emma Navarro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233</v>
      </c>
      <c r="M2" s="27" t="n">
        <v>3.33</v>
      </c>
      <c r="N2" s="28" t="n">
        <v>0.3003</v>
      </c>
      <c r="O2" s="28" t="n">
        <v>0.5</v>
      </c>
      <c r="P2" s="28" t="n">
        <v>0.2</v>
      </c>
      <c r="Q2" s="28" t="n">
        <v>0.1997</v>
      </c>
      <c r="R2" s="26" t="n">
        <v>30</v>
      </c>
      <c r="S2" s="29" t="n">
        <v>1</v>
      </c>
      <c r="T2" s="24" t="inlineStr">
        <is>
          <t>tennis-surface-elo-v1</t>
        </is>
      </c>
      <c r="U2" s="24" t="inlineStr">
        <is>
          <t>settled</t>
        </is>
      </c>
      <c r="V2" s="24" t="inlineStr">
        <is>
          <t>loss</t>
        </is>
      </c>
      <c r="W2" s="26" t="n">
        <v>0</v>
      </c>
      <c r="X2" s="26" t="n">
        <v>1</v>
      </c>
      <c r="Y2" s="25" t="n"/>
      <c r="Z2" s="26" t="n"/>
      <c r="AA2" s="28" t="n"/>
      <c r="AB2" s="28" t="n"/>
      <c r="AC2" s="30" t="n">
        <v>-1</v>
      </c>
      <c r="AD2" s="24" t="inlineStr">
        <is>
          <t>2026-07-27T19:47:31.199433Z</t>
        </is>
      </c>
      <c r="AE2" s="31" t="inlineStr">
        <is>
          <t>Surface-blended Elo on Hard: Sofia Kenin p=0.500 vs Emma Navarro. Executable ask 0.3000 (aec-wta-emmnav-sofken-2026-07-27).</t>
        </is>
      </c>
      <c r="AF2" s="31" t="inlineStr">
        <is>
          <t>Research-only surface-blended Elo model; singles only, WTA-only market coverage, not yet locked-holdout qualified.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NO_CALL</t>
        </is>
      </c>
      <c r="AO2" s="24" t="inlineStr">
        <is>
          <t>NO_CALL_MODEL_UNVALIDATED</t>
        </is>
      </c>
      <c r="AP2" s="24" t="inlineStr">
        <is>
          <t>Sofia Kenin</t>
        </is>
      </c>
      <c r="AQ2" s="24" t="inlineStr">
        <is>
          <t>Sofia Kenin</t>
        </is>
      </c>
      <c r="AR2" s="24" t="inlineStr">
        <is>
          <t>Sofia Kenin</t>
        </is>
      </c>
      <c r="AS2" s="24" t="inlineStr">
        <is>
          <t>Emma Navarro</t>
        </is>
      </c>
      <c r="AT2" s="24" t="inlineStr">
        <is>
          <t>Emma Navarro</t>
        </is>
      </c>
      <c r="AU2" s="24" t="inlineStr">
        <is>
          <t>Emma Navarro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research</t>
        </is>
      </c>
      <c r="BA2" s="24" t="inlineStr">
        <is>
          <t>73429bd71f12304106b9ffb751bd50617d5109d487f00de7ae2732f60e779590</t>
        </is>
      </c>
      <c r="BB2" s="24" t="inlineStr">
        <is>
          <t>surface_blended_elo</t>
        </is>
      </c>
      <c r="BC2" s="24" t="inlineStr">
        <is>
          <t>tennis-surface-elo-v1</t>
        </is>
      </c>
      <c r="BD2" s="24" t="inlineStr">
        <is>
          <t>73429bd71f12304106b9ffb751bd50617d5109d487f00de7ae2732f60e779590</t>
        </is>
      </c>
      <c r="BE2" s="24" t="inlineStr">
        <is>
          <t>tennis-surface-elo-v1</t>
        </is>
      </c>
      <c r="BF2" s="24" t="inlineStr">
        <is>
          <t>1</t>
        </is>
      </c>
      <c r="BG2" s="24" t="inlineStr">
        <is>
          <t>73429bd71f12304106b9ffb751bd50617d5109d487f00de7ae2732f60e779590</t>
        </is>
      </c>
      <c r="BH2" s="24" t="inlineStr">
        <is>
          <t>2026-07-27T15:05:37.057253Z</t>
        </is>
      </c>
      <c r="BI2" s="24" t="inlineStr">
        <is>
          <t>["same_event","same_team_same_day","same_league_same_day"]</t>
        </is>
      </c>
      <c r="BJ2" s="25" t="n"/>
      <c r="BK2" s="26" t="n">
        <v>233</v>
      </c>
      <c r="BL2" s="27" t="n">
        <v>3.33</v>
      </c>
      <c r="BM2" s="28" t="n">
        <v>0.3003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</row>
    <row r="3" ht="36" customHeight="1">
      <c r="A3" s="24" t="inlineStr">
        <is>
          <t>3b5660f4c52642df</t>
        </is>
      </c>
      <c r="B3" s="24" t="inlineStr">
        <is>
          <t>2026-07-27T19:49:40.013851Z</t>
        </is>
      </c>
      <c r="C3" s="24" t="inlineStr">
        <is>
          <t>2026-07-27T22:00Z</t>
        </is>
      </c>
      <c r="D3" s="24" t="inlineStr">
        <is>
          <t>888-2026:179015</t>
        </is>
      </c>
      <c r="E3" s="24" t="inlineStr">
        <is>
          <t>TENNIS</t>
        </is>
      </c>
      <c r="F3" s="24" t="inlineStr">
        <is>
          <t>Madison Keys</t>
        </is>
      </c>
      <c r="G3" s="24" t="inlineStr">
        <is>
          <t>Liudmila Samsonova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-317</v>
      </c>
      <c r="M3" s="27" t="n">
        <v>1.315457</v>
      </c>
      <c r="N3" s="28" t="n">
        <v>0.760192</v>
      </c>
      <c r="O3" s="28" t="n">
        <v>0.79541</v>
      </c>
      <c r="P3" s="28" t="n">
        <v>0.05</v>
      </c>
      <c r="Q3" s="28" t="n">
        <v>0.035218</v>
      </c>
      <c r="R3" s="26" t="n">
        <v>38</v>
      </c>
      <c r="S3" s="29" t="n">
        <v>2</v>
      </c>
      <c r="T3" s="24" t="inlineStr">
        <is>
          <t>tennis-surface-elo-v1</t>
        </is>
      </c>
      <c r="U3" s="24" t="inlineStr">
        <is>
          <t>settled</t>
        </is>
      </c>
      <c r="V3" s="24" t="inlineStr">
        <is>
          <t>loss</t>
        </is>
      </c>
      <c r="W3" s="26" t="n">
        <v>0</v>
      </c>
      <c r="X3" s="26" t="n">
        <v>1</v>
      </c>
      <c r="Y3" s="25" t="n"/>
      <c r="Z3" s="26" t="n"/>
      <c r="AA3" s="28" t="n"/>
      <c r="AB3" s="28" t="n"/>
      <c r="AC3" s="30" t="n">
        <v>-2</v>
      </c>
      <c r="AD3" s="24" t="inlineStr">
        <is>
          <t>2026-07-28T01:57:12.909303Z</t>
        </is>
      </c>
      <c r="AE3" s="31" t="inlineStr">
        <is>
          <t>Surface-blended Elo on Hard: Madison Keys p=0.795 vs Liudmila Samsonova. Executable ask 0.7600 (aec-wta-liusam-madkey-2026-07-27).</t>
        </is>
      </c>
      <c r="AF3" s="31" t="inlineStr">
        <is>
          <t>Research-only surface-blended Elo model; singles only, WTA-only market coverage, not yet locked-holdout qualified.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research_observation</t>
        </is>
      </c>
      <c r="AL3" s="26" t="n">
        <v>3</v>
      </c>
      <c r="AM3" s="24" t="inlineStr">
        <is>
          <t>RESEARCH_OBSERVATION</t>
        </is>
      </c>
      <c r="AN3" s="24" t="inlineStr">
        <is>
          <t>NO_CALL</t>
        </is>
      </c>
      <c r="AO3" s="24" t="inlineStr">
        <is>
          <t>NO_CALL_MODEL_UNVALIDATED</t>
        </is>
      </c>
      <c r="AP3" s="24" t="inlineStr">
        <is>
          <t>Madison Keys</t>
        </is>
      </c>
      <c r="AQ3" s="24" t="inlineStr">
        <is>
          <t>Madison Keys</t>
        </is>
      </c>
      <c r="AR3" s="24" t="inlineStr">
        <is>
          <t>Madison Keys</t>
        </is>
      </c>
      <c r="AS3" s="24" t="inlineStr">
        <is>
          <t>Liudmila Samsonova</t>
        </is>
      </c>
      <c r="AT3" s="24" t="inlineStr">
        <is>
          <t>Liudmila Samsonova</t>
        </is>
      </c>
      <c r="AU3" s="24" t="inlineStr">
        <is>
          <t>Liudmila Samsonova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research</t>
        </is>
      </c>
      <c r="BA3" s="24" t="inlineStr">
        <is>
          <t>73429bd71f12304106b9ffb751bd50617d5109d487f00de7ae2732f60e779590</t>
        </is>
      </c>
      <c r="BB3" s="24" t="inlineStr">
        <is>
          <t>surface_blended_elo</t>
        </is>
      </c>
      <c r="BC3" s="24" t="inlineStr">
        <is>
          <t>tennis-surface-elo-v1</t>
        </is>
      </c>
      <c r="BD3" s="24" t="inlineStr">
        <is>
          <t>73429bd71f12304106b9ffb751bd50617d5109d487f00de7ae2732f60e779590</t>
        </is>
      </c>
      <c r="BE3" s="24" t="inlineStr">
        <is>
          <t>tennis-surface-elo-v1</t>
        </is>
      </c>
      <c r="BF3" s="24" t="inlineStr">
        <is>
          <t>1</t>
        </is>
      </c>
      <c r="BG3" s="24" t="inlineStr">
        <is>
          <t>73429bd71f12304106b9ffb751bd50617d5109d487f00de7ae2732f60e779590</t>
        </is>
      </c>
      <c r="BH3" s="24" t="inlineStr">
        <is>
          <t>2026-07-27T19:48:24.043030Z</t>
        </is>
      </c>
      <c r="BI3" s="24" t="inlineStr">
        <is>
          <t>["same_event","same_team_same_day","same_league_same_day"]</t>
        </is>
      </c>
      <c r="BJ3" s="25" t="n"/>
      <c r="BK3" s="26" t="n">
        <v>-317</v>
      </c>
      <c r="BL3" s="27" t="n">
        <v>1.315457</v>
      </c>
      <c r="BM3" s="28" t="n">
        <v>0.760192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</row>
    <row r="4" ht="36" customHeight="1">
      <c r="A4" s="24" t="inlineStr">
        <is>
          <t>d89920db2b224bab</t>
        </is>
      </c>
      <c r="B4" s="24" t="inlineStr">
        <is>
          <t>2026-07-27T19:49:40.013851Z</t>
        </is>
      </c>
      <c r="C4" s="24" t="inlineStr">
        <is>
          <t>2026-07-27T22:30Z</t>
        </is>
      </c>
      <c r="D4" s="24" t="inlineStr">
        <is>
          <t>888-2026:179011</t>
        </is>
      </c>
      <c r="E4" s="24" t="inlineStr">
        <is>
          <t>TENNIS</t>
        </is>
      </c>
      <c r="F4" s="24" t="inlineStr">
        <is>
          <t>Katie Boulter</t>
        </is>
      </c>
      <c r="G4" s="24" t="inlineStr">
        <is>
          <t>Ashlyn Krueger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150</v>
      </c>
      <c r="M4" s="27" t="n">
        <v>2.5</v>
      </c>
      <c r="N4" s="28" t="n">
        <v>0.4</v>
      </c>
      <c r="O4" s="28" t="n">
        <v>0.5086039999999999</v>
      </c>
      <c r="P4" s="28" t="n">
        <v>0.05</v>
      </c>
      <c r="Q4" s="28" t="n">
        <v>0.108604</v>
      </c>
      <c r="R4" s="26" t="n">
        <v>74</v>
      </c>
      <c r="S4" s="29" t="n">
        <v>1</v>
      </c>
      <c r="T4" s="24" t="inlineStr">
        <is>
          <t>tennis-surface-elo-v1</t>
        </is>
      </c>
      <c r="U4" s="24" t="inlineStr">
        <is>
          <t>settled</t>
        </is>
      </c>
      <c r="V4" s="24" t="inlineStr">
        <is>
          <t>loss</t>
        </is>
      </c>
      <c r="W4" s="26" t="n">
        <v>0</v>
      </c>
      <c r="X4" s="26" t="n">
        <v>1</v>
      </c>
      <c r="Y4" s="25" t="n"/>
      <c r="Z4" s="26" t="n"/>
      <c r="AA4" s="28" t="n"/>
      <c r="AB4" s="28" t="n"/>
      <c r="AC4" s="30" t="n">
        <v>-1</v>
      </c>
      <c r="AD4" s="24" t="inlineStr">
        <is>
          <t>2026-07-28T01:57:12.964210Z</t>
        </is>
      </c>
      <c r="AE4" s="31" t="inlineStr">
        <is>
          <t>Surface-blended Elo on Hard: Katie Boulter p=0.509 vs Ashlyn Krueger. Executable ask 0.4000 (aec-wta-ashkru-katbou-2026-07-27).</t>
        </is>
      </c>
      <c r="AF4" s="31" t="inlineStr">
        <is>
          <t>Research-only surface-blended Elo model; singles only, WTA-only market coverage, not yet locked-holdout qualified.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NO_CALL_MODEL_UNVALIDATED</t>
        </is>
      </c>
      <c r="AP4" s="24" t="inlineStr">
        <is>
          <t>Katie Boulter</t>
        </is>
      </c>
      <c r="AQ4" s="24" t="inlineStr">
        <is>
          <t>Katie Boulter</t>
        </is>
      </c>
      <c r="AR4" s="24" t="inlineStr">
        <is>
          <t>Katie Boulter</t>
        </is>
      </c>
      <c r="AS4" s="24" t="inlineStr">
        <is>
          <t>Ashlyn Krueger</t>
        </is>
      </c>
      <c r="AT4" s="24" t="inlineStr">
        <is>
          <t>Ashlyn Krueger</t>
        </is>
      </c>
      <c r="AU4" s="24" t="inlineStr">
        <is>
          <t>Ashlyn Krueger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research</t>
        </is>
      </c>
      <c r="BA4" s="24" t="inlineStr">
        <is>
          <t>73429bd71f12304106b9ffb751bd50617d5109d487f00de7ae2732f60e779590</t>
        </is>
      </c>
      <c r="BB4" s="24" t="inlineStr">
        <is>
          <t>surface_blended_elo</t>
        </is>
      </c>
      <c r="BC4" s="24" t="inlineStr">
        <is>
          <t>tennis-surface-elo-v1</t>
        </is>
      </c>
      <c r="BD4" s="24" t="inlineStr">
        <is>
          <t>73429bd71f12304106b9ffb751bd50617d5109d487f00de7ae2732f60e779590</t>
        </is>
      </c>
      <c r="BE4" s="24" t="inlineStr">
        <is>
          <t>tennis-surface-elo-v1</t>
        </is>
      </c>
      <c r="BF4" s="24" t="inlineStr">
        <is>
          <t>1</t>
        </is>
      </c>
      <c r="BG4" s="24" t="inlineStr">
        <is>
          <t>73429bd71f12304106b9ffb751bd50617d5109d487f00de7ae2732f60e779590</t>
        </is>
      </c>
      <c r="BH4" s="24" t="inlineStr">
        <is>
          <t>2026-07-27T19:48:29.416107Z</t>
        </is>
      </c>
      <c r="BI4" s="24" t="inlineStr">
        <is>
          <t>["same_event","same_team_same_day","same_league_same_day"]</t>
        </is>
      </c>
      <c r="BJ4" s="25" t="n"/>
      <c r="BK4" s="26" t="n">
        <v>150</v>
      </c>
      <c r="BL4" s="27" t="n">
        <v>2.5</v>
      </c>
      <c r="BM4" s="28" t="n">
        <v>0.4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</row>
    <row r="5" ht="36" customHeight="1">
      <c r="A5" s="24" t="inlineStr">
        <is>
          <t>3a5d647692064eec</t>
        </is>
      </c>
      <c r="B5" s="24" t="inlineStr">
        <is>
          <t>2026-07-27T19:49:40.013851Z</t>
        </is>
      </c>
      <c r="C5" s="24" t="inlineStr">
        <is>
          <t>2026-07-27T22:00Z</t>
        </is>
      </c>
      <c r="D5" s="24" t="inlineStr">
        <is>
          <t>1067-2026:179458</t>
        </is>
      </c>
      <c r="E5" s="24" t="inlineStr">
        <is>
          <t>TENNIS</t>
        </is>
      </c>
      <c r="F5" s="24" t="inlineStr">
        <is>
          <t>Reese Brantmeier</t>
        </is>
      </c>
      <c r="G5" s="24" t="inlineStr">
        <is>
          <t>Iryna Shymanovich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-117</v>
      </c>
      <c r="M5" s="27" t="n">
        <v>1.854701</v>
      </c>
      <c r="N5" s="28" t="n">
        <v>0.539171</v>
      </c>
      <c r="O5" s="28" t="n">
        <v>0.586243</v>
      </c>
      <c r="P5" s="28" t="n">
        <v>0.05</v>
      </c>
      <c r="Q5" s="28" t="n">
        <v>0.047072</v>
      </c>
      <c r="R5" s="26" t="n">
        <v>44</v>
      </c>
      <c r="S5" s="29" t="n">
        <v>1.25</v>
      </c>
      <c r="T5" s="24" t="inlineStr">
        <is>
          <t>tennis-surface-elo-v1</t>
        </is>
      </c>
      <c r="U5" s="24" t="inlineStr">
        <is>
          <t>settled</t>
        </is>
      </c>
      <c r="V5" s="24" t="inlineStr">
        <is>
          <t>win</t>
        </is>
      </c>
      <c r="W5" s="26" t="n">
        <v>0</v>
      </c>
      <c r="X5" s="26" t="n">
        <v>1</v>
      </c>
      <c r="Y5" s="25" t="n"/>
      <c r="Z5" s="26" t="n"/>
      <c r="AA5" s="28" t="n"/>
      <c r="AB5" s="28" t="n"/>
      <c r="AC5" s="30" t="n">
        <v>1.0684</v>
      </c>
      <c r="AD5" s="24" t="inlineStr">
        <is>
          <t>2026-07-28T01:57:13.013056Z</t>
        </is>
      </c>
      <c r="AE5" s="31" t="inlineStr">
        <is>
          <t>Surface-blended Elo on Hard: Reese Brantmeier p=0.414 vs Iryna Shymanovich. Executable ask 0.5400 (aec-wta-iryshy-reebra-2026-07-27).</t>
        </is>
      </c>
      <c r="AF5" s="31" t="inlineStr">
        <is>
          <t>Research-only surface-blended Elo model; singles only, WTA-only market coverage, not yet locked-holdout qualified.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research_observation</t>
        </is>
      </c>
      <c r="AL5" s="26" t="n">
        <v>3</v>
      </c>
      <c r="AM5" s="24" t="inlineStr">
        <is>
          <t>RESEARCH_OBSERVATION</t>
        </is>
      </c>
      <c r="AN5" s="24" t="inlineStr">
        <is>
          <t>NO_CALL</t>
        </is>
      </c>
      <c r="AO5" s="24" t="inlineStr">
        <is>
          <t>NO_CALL_MODEL_UNVALIDATED</t>
        </is>
      </c>
      <c r="AP5" s="24" t="inlineStr">
        <is>
          <t>Reese Brantmeier</t>
        </is>
      </c>
      <c r="AQ5" s="24" t="inlineStr">
        <is>
          <t>Reese Brantmeier</t>
        </is>
      </c>
      <c r="AR5" s="24" t="inlineStr">
        <is>
          <t>Reese Brantmeier</t>
        </is>
      </c>
      <c r="AS5" s="24" t="inlineStr">
        <is>
          <t>Iryna Shymanovich</t>
        </is>
      </c>
      <c r="AT5" s="24" t="inlineStr">
        <is>
          <t>Iryna Shymanovich</t>
        </is>
      </c>
      <c r="AU5" s="24" t="inlineStr">
        <is>
          <t>Iryna Shymanovich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research</t>
        </is>
      </c>
      <c r="BA5" s="24" t="inlineStr">
        <is>
          <t>73429bd71f12304106b9ffb751bd50617d5109d487f00de7ae2732f60e779590</t>
        </is>
      </c>
      <c r="BB5" s="24" t="inlineStr">
        <is>
          <t>surface_blended_elo</t>
        </is>
      </c>
      <c r="BC5" s="24" t="inlineStr">
        <is>
          <t>tennis-surface-elo-v1</t>
        </is>
      </c>
      <c r="BD5" s="24" t="inlineStr">
        <is>
          <t>73429bd71f12304106b9ffb751bd50617d5109d487f00de7ae2732f60e779590</t>
        </is>
      </c>
      <c r="BE5" s="24" t="inlineStr">
        <is>
          <t>tennis-surface-elo-v1</t>
        </is>
      </c>
      <c r="BF5" s="24" t="inlineStr">
        <is>
          <t>1</t>
        </is>
      </c>
      <c r="BG5" s="24" t="inlineStr">
        <is>
          <t>73429bd71f12304106b9ffb751bd50617d5109d487f00de7ae2732f60e779590</t>
        </is>
      </c>
      <c r="BH5" s="24" t="inlineStr">
        <is>
          <t>2026-07-27T19:48:21.751615Z</t>
        </is>
      </c>
      <c r="BI5" s="24" t="inlineStr">
        <is>
          <t>["same_event","same_team_same_day","same_league_same_day"]</t>
        </is>
      </c>
      <c r="BJ5" s="25" t="n"/>
      <c r="BK5" s="26" t="n">
        <v>-117</v>
      </c>
      <c r="BL5" s="27" t="n">
        <v>1.854701</v>
      </c>
      <c r="BM5" s="28" t="n">
        <v>0.539171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</row>
    <row r="6" ht="36" customHeight="1">
      <c r="A6" s="24" t="inlineStr">
        <is>
          <t>dbf54110c6ac4140</t>
        </is>
      </c>
      <c r="B6" s="24" t="inlineStr">
        <is>
          <t>2026-07-27T19:49:40.013851Z</t>
        </is>
      </c>
      <c r="C6" s="24" t="inlineStr">
        <is>
          <t>2026-07-27T22:00Z</t>
        </is>
      </c>
      <c r="D6" s="24" t="inlineStr">
        <is>
          <t>1067-2026:179467</t>
        </is>
      </c>
      <c r="E6" s="24" t="inlineStr">
        <is>
          <t>TENNIS</t>
        </is>
      </c>
      <c r="F6" s="24" t="inlineStr">
        <is>
          <t>Tatjana Maria</t>
        </is>
      </c>
      <c r="G6" s="24" t="inlineStr">
        <is>
          <t>Talia Gibson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144</v>
      </c>
      <c r="M6" s="27" t="n">
        <v>2.44</v>
      </c>
      <c r="N6" s="28" t="n">
        <v>0.409836</v>
      </c>
      <c r="O6" s="28" t="n">
        <v>0.553067</v>
      </c>
      <c r="P6" s="28" t="n">
        <v>0.05</v>
      </c>
      <c r="Q6" s="28" t="n">
        <v>0.143231</v>
      </c>
      <c r="R6" s="26" t="n">
        <v>92</v>
      </c>
      <c r="S6" s="29" t="n">
        <v>1</v>
      </c>
      <c r="T6" s="24" t="inlineStr">
        <is>
          <t>tennis-surface-elo-v1</t>
        </is>
      </c>
      <c r="U6" s="24" t="inlineStr">
        <is>
          <t>settled</t>
        </is>
      </c>
      <c r="V6" s="24" t="inlineStr">
        <is>
          <t>win</t>
        </is>
      </c>
      <c r="W6" s="26" t="n">
        <v>1</v>
      </c>
      <c r="X6" s="26" t="n">
        <v>0</v>
      </c>
      <c r="Y6" s="25" t="n"/>
      <c r="Z6" s="26" t="n"/>
      <c r="AA6" s="28" t="n"/>
      <c r="AB6" s="28" t="n"/>
      <c r="AC6" s="30" t="n">
        <v>1.44</v>
      </c>
      <c r="AD6" s="24" t="inlineStr">
        <is>
          <t>2026-07-28T01:57:13.062475Z</t>
        </is>
      </c>
      <c r="AE6" s="31" t="inlineStr">
        <is>
          <t>Surface-blended Elo on Hard: Tatjana Maria p=0.553 vs Talia Gibson. Executable ask 0.4100 (aec-wta-talgib-tatmar-2026-07-26).</t>
        </is>
      </c>
      <c r="AF6" s="31" t="inlineStr">
        <is>
          <t>Research-only surface-blended Elo model; singles only, WTA-only market coverage, not yet locked-holdout qualified.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research_observation</t>
        </is>
      </c>
      <c r="AL6" s="26" t="n">
        <v>3</v>
      </c>
      <c r="AM6" s="24" t="inlineStr">
        <is>
          <t>RESEARCH_OBSERVATION</t>
        </is>
      </c>
      <c r="AN6" s="24" t="inlineStr">
        <is>
          <t>NO_CALL</t>
        </is>
      </c>
      <c r="AO6" s="24" t="inlineStr">
        <is>
          <t>NO_CALL_MODEL_UNVALIDATED</t>
        </is>
      </c>
      <c r="AP6" s="24" t="inlineStr">
        <is>
          <t>Tatjana Maria</t>
        </is>
      </c>
      <c r="AQ6" s="24" t="inlineStr">
        <is>
          <t>Tatjana Maria</t>
        </is>
      </c>
      <c r="AR6" s="24" t="inlineStr">
        <is>
          <t>Tatjana Maria</t>
        </is>
      </c>
      <c r="AS6" s="24" t="inlineStr">
        <is>
          <t>Talia Gibson</t>
        </is>
      </c>
      <c r="AT6" s="24" t="inlineStr">
        <is>
          <t>Talia Gibson</t>
        </is>
      </c>
      <c r="AU6" s="24" t="inlineStr">
        <is>
          <t>Talia Gibson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research</t>
        </is>
      </c>
      <c r="BA6" s="24" t="inlineStr">
        <is>
          <t>73429bd71f12304106b9ffb751bd50617d5109d487f00de7ae2732f60e779590</t>
        </is>
      </c>
      <c r="BB6" s="24" t="inlineStr">
        <is>
          <t>surface_blended_elo</t>
        </is>
      </c>
      <c r="BC6" s="24" t="inlineStr">
        <is>
          <t>tennis-surface-elo-v1</t>
        </is>
      </c>
      <c r="BD6" s="24" t="inlineStr">
        <is>
          <t>73429bd71f12304106b9ffb751bd50617d5109d487f00de7ae2732f60e779590</t>
        </is>
      </c>
      <c r="BE6" s="24" t="inlineStr">
        <is>
          <t>tennis-surface-elo-v1</t>
        </is>
      </c>
      <c r="BF6" s="24" t="inlineStr">
        <is>
          <t>1</t>
        </is>
      </c>
      <c r="BG6" s="24" t="inlineStr">
        <is>
          <t>73429bd71f12304106b9ffb751bd50617d5109d487f00de7ae2732f60e779590</t>
        </is>
      </c>
      <c r="BH6" s="24" t="inlineStr">
        <is>
          <t>2026-07-27T19:48:25.266083Z</t>
        </is>
      </c>
      <c r="BI6" s="24" t="inlineStr">
        <is>
          <t>["same_event","same_team_same_day","same_league_same_day"]</t>
        </is>
      </c>
      <c r="BJ6" s="25" t="n"/>
      <c r="BK6" s="26" t="n">
        <v>144</v>
      </c>
      <c r="BL6" s="27" t="n">
        <v>2.44</v>
      </c>
      <c r="BM6" s="28" t="n">
        <v>0.409836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</row>
    <row r="7" ht="36" customHeight="1">
      <c r="A7" s="24" t="inlineStr">
        <is>
          <t>dcab0226e1494560</t>
        </is>
      </c>
      <c r="B7" s="24" t="inlineStr">
        <is>
          <t>2026-07-27T19:49:40.013851Z</t>
        </is>
      </c>
      <c r="C7" s="24" t="inlineStr">
        <is>
          <t>2026-07-27T22:00Z</t>
        </is>
      </c>
      <c r="D7" s="24" t="inlineStr">
        <is>
          <t>1067-2026:179448</t>
        </is>
      </c>
      <c r="E7" s="24" t="inlineStr">
        <is>
          <t>TENNIS</t>
        </is>
      </c>
      <c r="F7" s="24" t="inlineStr">
        <is>
          <t>Tatiana Prozorova</t>
        </is>
      </c>
      <c r="G7" s="24" t="inlineStr">
        <is>
          <t>Solana Sierra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-122</v>
      </c>
      <c r="M7" s="27" t="n">
        <v>1.819672</v>
      </c>
      <c r="N7" s="28" t="n">
        <v>0.54955</v>
      </c>
      <c r="O7" s="28" t="n">
        <v>0.5067430000000001</v>
      </c>
      <c r="P7" s="28" t="n">
        <v>0.05</v>
      </c>
      <c r="Q7" s="28" t="n">
        <v>-0.042807</v>
      </c>
      <c r="R7" s="26" t="n">
        <v>0</v>
      </c>
      <c r="S7" s="29" t="n">
        <v>1</v>
      </c>
      <c r="T7" s="24" t="inlineStr">
        <is>
          <t>tennis-surface-elo-v1</t>
        </is>
      </c>
      <c r="U7" s="24" t="inlineStr">
        <is>
          <t>settled</t>
        </is>
      </c>
      <c r="V7" s="24" t="inlineStr">
        <is>
          <t>win</t>
        </is>
      </c>
      <c r="W7" s="26" t="n">
        <v>1</v>
      </c>
      <c r="X7" s="26" t="n">
        <v>0</v>
      </c>
      <c r="Y7" s="25" t="n"/>
      <c r="Z7" s="26" t="n"/>
      <c r="AA7" s="28" t="n"/>
      <c r="AB7" s="28" t="n"/>
      <c r="AC7" s="30" t="n">
        <v>0.8197</v>
      </c>
      <c r="AD7" s="24" t="inlineStr">
        <is>
          <t>2026-07-28T01:57:13.111845Z</t>
        </is>
      </c>
      <c r="AE7" s="31" t="inlineStr">
        <is>
          <t>Surface-blended Elo on Hard: Tatiana Prozorova p=0.507 vs Solana Sierra. Executable ask 0.5500 (aec-wta-solsie-tatpro-2026-07-27).</t>
        </is>
      </c>
      <c r="AF7" s="31" t="inlineStr">
        <is>
          <t>Research-only surface-blended Elo model; singles only, WTA-only market coverage, not yet locked-holdout qualified.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NO_CALL_MODEL_UNVALIDATED</t>
        </is>
      </c>
      <c r="AP7" s="24" t="inlineStr">
        <is>
          <t>Tatiana Prozorova</t>
        </is>
      </c>
      <c r="AQ7" s="24" t="inlineStr">
        <is>
          <t>Tatiana Prozorova</t>
        </is>
      </c>
      <c r="AR7" s="24" t="inlineStr">
        <is>
          <t>Tatiana Prozorova</t>
        </is>
      </c>
      <c r="AS7" s="24" t="inlineStr">
        <is>
          <t>Solana Sierra</t>
        </is>
      </c>
      <c r="AT7" s="24" t="inlineStr">
        <is>
          <t>Solana Sierra</t>
        </is>
      </c>
      <c r="AU7" s="24" t="inlineStr">
        <is>
          <t>Solana Sierra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research</t>
        </is>
      </c>
      <c r="BA7" s="24" t="inlineStr">
        <is>
          <t>73429bd71f12304106b9ffb751bd50617d5109d487f00de7ae2732f60e779590</t>
        </is>
      </c>
      <c r="BB7" s="24" t="inlineStr">
        <is>
          <t>surface_blended_elo</t>
        </is>
      </c>
      <c r="BC7" s="24" t="inlineStr">
        <is>
          <t>tennis-surface-elo-v1</t>
        </is>
      </c>
      <c r="BD7" s="24" t="inlineStr">
        <is>
          <t>73429bd71f12304106b9ffb751bd50617d5109d487f00de7ae2732f60e779590</t>
        </is>
      </c>
      <c r="BE7" s="24" t="inlineStr">
        <is>
          <t>tennis-surface-elo-v1</t>
        </is>
      </c>
      <c r="BF7" s="24" t="inlineStr">
        <is>
          <t>1</t>
        </is>
      </c>
      <c r="BG7" s="24" t="inlineStr">
        <is>
          <t>73429bd71f12304106b9ffb751bd50617d5109d487f00de7ae2732f60e779590</t>
        </is>
      </c>
      <c r="BH7" s="24" t="inlineStr">
        <is>
          <t>2026-07-27T19:48:27.703444Z</t>
        </is>
      </c>
      <c r="BI7" s="24" t="inlineStr">
        <is>
          <t>["same_event","same_team_same_day","same_league_same_day"]</t>
        </is>
      </c>
      <c r="BJ7" s="25" t="n"/>
      <c r="BK7" s="26" t="n">
        <v>-122</v>
      </c>
      <c r="BL7" s="27" t="n">
        <v>1.819672</v>
      </c>
      <c r="BM7" s="28" t="n">
        <v>0.54955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</row>
    <row r="8" ht="36" customHeight="1">
      <c r="A8" s="24" t="inlineStr">
        <is>
          <t>c277e64f1cdc4fc0</t>
        </is>
      </c>
      <c r="B8" s="24" t="inlineStr">
        <is>
          <t>2026-07-27T22:53:48.234236Z</t>
        </is>
      </c>
      <c r="C8" s="24" t="inlineStr">
        <is>
          <t>2026-07-27T23:00Z</t>
        </is>
      </c>
      <c r="D8" s="24" t="inlineStr">
        <is>
          <t>888-2026:179005</t>
        </is>
      </c>
      <c r="E8" s="24" t="inlineStr">
        <is>
          <t>TENNIS</t>
        </is>
      </c>
      <c r="F8" s="24" t="inlineStr">
        <is>
          <t>Rebecca Sramkova</t>
        </is>
      </c>
      <c r="G8" s="24" t="inlineStr">
        <is>
          <t>Janice Tjen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-170</v>
      </c>
      <c r="M8" s="27" t="n">
        <v>1.588235</v>
      </c>
      <c r="N8" s="28" t="n">
        <v>0.62963</v>
      </c>
      <c r="O8" s="28" t="n">
        <v>0.5261749999999999</v>
      </c>
      <c r="P8" s="28" t="n">
        <v>0.05</v>
      </c>
      <c r="Q8" s="28" t="n">
        <v>-0.103455</v>
      </c>
      <c r="R8" s="26" t="n">
        <v>0</v>
      </c>
      <c r="S8" s="29" t="n">
        <v>1</v>
      </c>
      <c r="T8" s="24" t="inlineStr">
        <is>
          <t>tennis-surface-elo-v1</t>
        </is>
      </c>
      <c r="U8" s="24" t="inlineStr">
        <is>
          <t>settled</t>
        </is>
      </c>
      <c r="V8" s="24" t="inlineStr">
        <is>
          <t>win</t>
        </is>
      </c>
      <c r="W8" s="26" t="n">
        <v>0</v>
      </c>
      <c r="X8" s="26" t="n">
        <v>1</v>
      </c>
      <c r="Y8" s="25" t="n"/>
      <c r="Z8" s="26" t="n"/>
      <c r="AA8" s="28" t="n"/>
      <c r="AB8" s="28" t="n"/>
      <c r="AC8" s="30" t="n">
        <v>0.5881999999999999</v>
      </c>
      <c r="AD8" s="24" t="inlineStr">
        <is>
          <t>2026-07-28T01:57:13.159775Z</t>
        </is>
      </c>
      <c r="AE8" s="31" t="inlineStr">
        <is>
          <t>Surface-blended Elo on Hard: Rebecca Sramkova p=0.474 vs Janice Tjen. Executable ask 0.6300 (aec-wta-jantje-rebsra-2026-07-27).</t>
        </is>
      </c>
      <c r="AF8" s="31" t="inlineStr">
        <is>
          <t>Research-only surface-blended Elo model; singles only, WTA-only market coverage, not yet locked-holdout qualified.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research_observation</t>
        </is>
      </c>
      <c r="AL8" s="26" t="n">
        <v>3</v>
      </c>
      <c r="AM8" s="24" t="inlineStr">
        <is>
          <t>RESEARCH_OBSERVATION</t>
        </is>
      </c>
      <c r="AN8" s="24" t="inlineStr">
        <is>
          <t>NO_CALL</t>
        </is>
      </c>
      <c r="AO8" s="24" t="inlineStr">
        <is>
          <t>NO_CALL_MODEL_UNVALIDATED</t>
        </is>
      </c>
      <c r="AP8" s="24" t="inlineStr">
        <is>
          <t>Rebecca Sramkova</t>
        </is>
      </c>
      <c r="AQ8" s="24" t="inlineStr">
        <is>
          <t>Rebecca Sramkova</t>
        </is>
      </c>
      <c r="AR8" s="24" t="inlineStr">
        <is>
          <t>Rebecca Sramkova</t>
        </is>
      </c>
      <c r="AS8" s="24" t="inlineStr">
        <is>
          <t>Janice Tjen</t>
        </is>
      </c>
      <c r="AT8" s="24" t="inlineStr">
        <is>
          <t>Janice Tjen</t>
        </is>
      </c>
      <c r="AU8" s="24" t="inlineStr">
        <is>
          <t>Janice Tjen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research</t>
        </is>
      </c>
      <c r="BA8" s="24" t="inlineStr">
        <is>
          <t>73429bd71f12304106b9ffb751bd50617d5109d487f00de7ae2732f60e779590</t>
        </is>
      </c>
      <c r="BB8" s="24" t="inlineStr">
        <is>
          <t>surface_blended_elo</t>
        </is>
      </c>
      <c r="BC8" s="24" t="inlineStr">
        <is>
          <t>tennis-surface-elo-v1</t>
        </is>
      </c>
      <c r="BD8" s="24" t="inlineStr">
        <is>
          <t>73429bd71f12304106b9ffb751bd50617d5109d487f00de7ae2732f60e779590</t>
        </is>
      </c>
      <c r="BE8" s="24" t="inlineStr">
        <is>
          <t>tennis-surface-elo-v1</t>
        </is>
      </c>
      <c r="BF8" s="24" t="inlineStr">
        <is>
          <t>1</t>
        </is>
      </c>
      <c r="BG8" s="24" t="inlineStr">
        <is>
          <t>73429bd71f12304106b9ffb751bd50617d5109d487f00de7ae2732f60e779590</t>
        </is>
      </c>
      <c r="BH8" s="24" t="inlineStr">
        <is>
          <t>2026-07-27T22:52:57.906473Z</t>
        </is>
      </c>
      <c r="BI8" s="24" t="inlineStr">
        <is>
          <t>["same_event","same_team_same_day","same_league_same_day"]</t>
        </is>
      </c>
      <c r="BJ8" s="25" t="n"/>
      <c r="BK8" s="26" t="n">
        <v>-170</v>
      </c>
      <c r="BL8" s="27" t="n">
        <v>1.588235</v>
      </c>
      <c r="BM8" s="28" t="n">
        <v>0.62963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</row>
    <row r="9" ht="36" customHeight="1">
      <c r="A9" s="24" t="inlineStr">
        <is>
          <t>56daff3298ea462f</t>
        </is>
      </c>
      <c r="B9" s="24" t="inlineStr">
        <is>
          <t>2026-07-27T22:53:48.234236Z</t>
        </is>
      </c>
      <c r="C9" s="24" t="inlineStr">
        <is>
          <t>2026-07-28T00:00Z</t>
        </is>
      </c>
      <c r="D9" s="24" t="inlineStr">
        <is>
          <t>1067-2026:179442</t>
        </is>
      </c>
      <c r="E9" s="24" t="inlineStr">
        <is>
          <t>TENNIS</t>
        </is>
      </c>
      <c r="F9" s="24" t="inlineStr">
        <is>
          <t>Storm Hunter</t>
        </is>
      </c>
      <c r="G9" s="24" t="inlineStr">
        <is>
          <t>Camila Osorio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-257</v>
      </c>
      <c r="M9" s="27" t="n">
        <v>1.389105</v>
      </c>
      <c r="N9" s="28" t="n">
        <v>0.719888</v>
      </c>
      <c r="O9" s="28" t="n">
        <v>0.649232</v>
      </c>
      <c r="P9" s="28" t="n">
        <v>0.05</v>
      </c>
      <c r="Q9" s="28" t="n">
        <v>-0.070656</v>
      </c>
      <c r="R9" s="26" t="n">
        <v>0</v>
      </c>
      <c r="S9" s="29" t="n">
        <v>1.75</v>
      </c>
      <c r="T9" s="24" t="inlineStr">
        <is>
          <t>tennis-surface-elo-v1</t>
        </is>
      </c>
      <c r="U9" s="24" t="inlineStr">
        <is>
          <t>settled</t>
        </is>
      </c>
      <c r="V9" s="24" t="inlineStr">
        <is>
          <t>win</t>
        </is>
      </c>
      <c r="W9" s="26" t="n">
        <v>0</v>
      </c>
      <c r="X9" s="26" t="n">
        <v>1</v>
      </c>
      <c r="Y9" s="25" t="n"/>
      <c r="Z9" s="26" t="n"/>
      <c r="AA9" s="28" t="n"/>
      <c r="AB9" s="28" t="n"/>
      <c r="AC9" s="30" t="n">
        <v>0.6808999999999999</v>
      </c>
      <c r="AD9" s="24" t="inlineStr">
        <is>
          <t>2026-07-28T01:57:13.207099Z</t>
        </is>
      </c>
      <c r="AE9" s="31" t="inlineStr">
        <is>
          <t>Surface-blended Elo on Hard: Storm Hunter p=0.351 vs Camila Osorio. Executable ask 0.7200 (aec-wta-camoso-stohun-2026-07-27).</t>
        </is>
      </c>
      <c r="AF9" s="31" t="inlineStr">
        <is>
          <t>Research-only surface-blended Elo model; singles only, WTA-only market coverage, not yet locked-holdout qualified.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research_observation</t>
        </is>
      </c>
      <c r="AL9" s="26" t="n">
        <v>3</v>
      </c>
      <c r="AM9" s="24" t="inlineStr">
        <is>
          <t>RESEARCH_OBSERVATION</t>
        </is>
      </c>
      <c r="AN9" s="24" t="inlineStr">
        <is>
          <t>NO_CALL</t>
        </is>
      </c>
      <c r="AO9" s="24" t="inlineStr">
        <is>
          <t>NO_CALL_MODEL_UNVALIDATED</t>
        </is>
      </c>
      <c r="AP9" s="24" t="inlineStr">
        <is>
          <t>Storm Hunter</t>
        </is>
      </c>
      <c r="AQ9" s="24" t="inlineStr">
        <is>
          <t>Storm Hunter</t>
        </is>
      </c>
      <c r="AR9" s="24" t="inlineStr">
        <is>
          <t>Storm Hunter</t>
        </is>
      </c>
      <c r="AS9" s="24" t="inlineStr">
        <is>
          <t>Camila Osorio</t>
        </is>
      </c>
      <c r="AT9" s="24" t="inlineStr">
        <is>
          <t>Camila Osorio</t>
        </is>
      </c>
      <c r="AU9" s="24" t="inlineStr">
        <is>
          <t>Camila Osorio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research</t>
        </is>
      </c>
      <c r="BA9" s="24" t="inlineStr">
        <is>
          <t>73429bd71f12304106b9ffb751bd50617d5109d487f00de7ae2732f60e779590</t>
        </is>
      </c>
      <c r="BB9" s="24" t="inlineStr">
        <is>
          <t>surface_blended_elo</t>
        </is>
      </c>
      <c r="BC9" s="24" t="inlineStr">
        <is>
          <t>tennis-surface-elo-v1</t>
        </is>
      </c>
      <c r="BD9" s="24" t="inlineStr">
        <is>
          <t>73429bd71f12304106b9ffb751bd50617d5109d487f00de7ae2732f60e779590</t>
        </is>
      </c>
      <c r="BE9" s="24" t="inlineStr">
        <is>
          <t>tennis-surface-elo-v1</t>
        </is>
      </c>
      <c r="BF9" s="24" t="inlineStr">
        <is>
          <t>1</t>
        </is>
      </c>
      <c r="BG9" s="24" t="inlineStr">
        <is>
          <t>73429bd71f12304106b9ffb751bd50617d5109d487f00de7ae2732f60e779590</t>
        </is>
      </c>
      <c r="BH9" s="24" t="inlineStr">
        <is>
          <t>2026-07-27T22:52:59.384587Z</t>
        </is>
      </c>
      <c r="BI9" s="24" t="inlineStr">
        <is>
          <t>["same_event","same_team_same_day","same_league_same_day"]</t>
        </is>
      </c>
      <c r="BJ9" s="25" t="n"/>
      <c r="BK9" s="26" t="n">
        <v>-257</v>
      </c>
      <c r="BL9" s="27" t="n">
        <v>1.389105</v>
      </c>
      <c r="BM9" s="28" t="n">
        <v>0.719888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</row>
    <row r="10" ht="36" customHeight="1">
      <c r="A10" s="24" t="inlineStr">
        <is>
          <t>7346e54569e94c40</t>
        </is>
      </c>
      <c r="B10" s="24" t="inlineStr">
        <is>
          <t>2026-07-27T22:53:48.234236Z</t>
        </is>
      </c>
      <c r="C10" s="24" t="inlineStr">
        <is>
          <t>2026-07-28T00:00Z</t>
        </is>
      </c>
      <c r="D10" s="24" t="inlineStr">
        <is>
          <t>1067-2026:179449</t>
        </is>
      </c>
      <c r="E10" s="24" t="inlineStr">
        <is>
          <t>TENNIS</t>
        </is>
      </c>
      <c r="F10" s="24" t="inlineStr">
        <is>
          <t>Elvina Kalieva</t>
        </is>
      </c>
      <c r="G10" s="24" t="inlineStr">
        <is>
          <t>Katherine Sebov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-203</v>
      </c>
      <c r="M10" s="27" t="n">
        <v>1.492611</v>
      </c>
      <c r="N10" s="28" t="n">
        <v>0.669967</v>
      </c>
      <c r="O10" s="28" t="n">
        <v>0.574055</v>
      </c>
      <c r="P10" s="28" t="n">
        <v>0.05</v>
      </c>
      <c r="Q10" s="28" t="n">
        <v>-0.095912</v>
      </c>
      <c r="R10" s="26" t="n">
        <v>0</v>
      </c>
      <c r="S10" s="29" t="n">
        <v>1.25</v>
      </c>
      <c r="T10" s="24" t="inlineStr">
        <is>
          <t>tennis-surface-elo-v1</t>
        </is>
      </c>
      <c r="U10" s="24" t="inlineStr">
        <is>
          <t>settled</t>
        </is>
      </c>
      <c r="V10" s="24" t="inlineStr">
        <is>
          <t>win</t>
        </is>
      </c>
      <c r="W10" s="26" t="n">
        <v>1</v>
      </c>
      <c r="X10" s="26" t="n">
        <v>0</v>
      </c>
      <c r="Y10" s="25" t="n"/>
      <c r="Z10" s="26" t="n"/>
      <c r="AA10" s="28" t="n"/>
      <c r="AB10" s="28" t="n"/>
      <c r="AC10" s="30" t="n">
        <v>0.6158</v>
      </c>
      <c r="AD10" s="24" t="inlineStr">
        <is>
          <t>2026-07-28T05:00:27.320959Z</t>
        </is>
      </c>
      <c r="AE10" s="31" t="inlineStr">
        <is>
          <t>Surface-blended Elo on Hard: Elvina Kalieva p=0.574 vs Katherine Sebov. Executable ask 0.6700 (aec-wta-katseb-elvkal-2026-07-27).</t>
        </is>
      </c>
      <c r="AF10" s="31" t="inlineStr">
        <is>
          <t>Research-only surface-blended Elo model; singles only, WTA-only market coverage, not yet locked-holdout qualified.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NO_CALL_MODEL_UNVALIDATED</t>
        </is>
      </c>
      <c r="AP10" s="24" t="inlineStr">
        <is>
          <t>Elvina Kalieva</t>
        </is>
      </c>
      <c r="AQ10" s="24" t="inlineStr">
        <is>
          <t>Elvina Kalieva</t>
        </is>
      </c>
      <c r="AR10" s="24" t="inlineStr">
        <is>
          <t>Elvina Kalieva</t>
        </is>
      </c>
      <c r="AS10" s="24" t="inlineStr">
        <is>
          <t>Katherine Sebov</t>
        </is>
      </c>
      <c r="AT10" s="24" t="inlineStr">
        <is>
          <t>Katherine Sebov</t>
        </is>
      </c>
      <c r="AU10" s="24" t="inlineStr">
        <is>
          <t>Katherine Sebov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research</t>
        </is>
      </c>
      <c r="BA10" s="24" t="inlineStr">
        <is>
          <t>73429bd71f12304106b9ffb751bd50617d5109d487f00de7ae2732f60e779590</t>
        </is>
      </c>
      <c r="BB10" s="24" t="inlineStr">
        <is>
          <t>surface_blended_elo</t>
        </is>
      </c>
      <c r="BC10" s="24" t="inlineStr">
        <is>
          <t>tennis-surface-elo-v1</t>
        </is>
      </c>
      <c r="BD10" s="24" t="inlineStr">
        <is>
          <t>73429bd71f12304106b9ffb751bd50617d5109d487f00de7ae2732f60e779590</t>
        </is>
      </c>
      <c r="BE10" s="24" t="inlineStr">
        <is>
          <t>tennis-surface-elo-v1</t>
        </is>
      </c>
      <c r="BF10" s="24" t="inlineStr">
        <is>
          <t>1</t>
        </is>
      </c>
      <c r="BG10" s="24" t="inlineStr">
        <is>
          <t>73429bd71f12304106b9ffb751bd50617d5109d487f00de7ae2732f60e779590</t>
        </is>
      </c>
      <c r="BH10" s="24" t="inlineStr">
        <is>
          <t>2026-07-27T22:53:01.928572Z</t>
        </is>
      </c>
      <c r="BI10" s="24" t="inlineStr">
        <is>
          <t>["same_event","same_team_same_day","same_league_same_day"]</t>
        </is>
      </c>
      <c r="BJ10" s="25" t="n"/>
      <c r="BK10" s="26" t="n">
        <v>-203</v>
      </c>
      <c r="BL10" s="27" t="n">
        <v>1.492611</v>
      </c>
      <c r="BM10" s="28" t="n">
        <v>0.669967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</row>
    <row r="11" ht="36" customHeight="1">
      <c r="A11" s="24" t="inlineStr">
        <is>
          <t>ecdeea06b6a04baf</t>
        </is>
      </c>
      <c r="B11" s="24" t="inlineStr">
        <is>
          <t>2026-07-28T01:58:09.459721Z</t>
        </is>
      </c>
      <c r="C11" s="24" t="inlineStr">
        <is>
          <t>2026-07-28T04:00Z</t>
        </is>
      </c>
      <c r="D11" s="24" t="inlineStr">
        <is>
          <t>875-2026:179541</t>
        </is>
      </c>
      <c r="E11" s="24" t="inlineStr">
        <is>
          <t>TENNIS</t>
        </is>
      </c>
      <c r="F11" s="24" t="inlineStr">
        <is>
          <t>Mai Hontama</t>
        </is>
      </c>
      <c r="G11" s="24" t="inlineStr">
        <is>
          <t>Kayla Day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163</v>
      </c>
      <c r="M11" s="27" t="n">
        <v>2.63</v>
      </c>
      <c r="N11" s="28" t="n">
        <v>0.380228</v>
      </c>
      <c r="O11" s="28" t="n">
        <v>0.5315029999999999</v>
      </c>
      <c r="P11" s="28" t="n">
        <v>0.05</v>
      </c>
      <c r="Q11" s="28" t="n">
        <v>0.151275</v>
      </c>
      <c r="R11" s="26" t="n">
        <v>96</v>
      </c>
      <c r="S11" s="29" t="n">
        <v>1</v>
      </c>
      <c r="T11" s="24" t="inlineStr">
        <is>
          <t>tennis-surface-elo-v1</t>
        </is>
      </c>
      <c r="U11" s="24" t="inlineStr">
        <is>
          <t>settled</t>
        </is>
      </c>
      <c r="V11" s="24" t="inlineStr">
        <is>
          <t>win</t>
        </is>
      </c>
      <c r="W11" s="26" t="n">
        <v>1</v>
      </c>
      <c r="X11" s="26" t="n">
        <v>0</v>
      </c>
      <c r="Y11" s="25" t="n"/>
      <c r="Z11" s="26" t="n"/>
      <c r="AA11" s="28" t="n"/>
      <c r="AB11" s="28" t="n"/>
      <c r="AC11" s="30" t="n">
        <v>1.63</v>
      </c>
      <c r="AD11" s="24" t="inlineStr">
        <is>
          <t>2026-07-28T23:37:08.880974Z</t>
        </is>
      </c>
      <c r="AE11" s="31" t="inlineStr">
        <is>
          <t>Surface-blended Elo on Hard: Mai Hontama p=0.532 vs Kayla Day. Executable ask 0.3800 (aec-wta-kayday-maihon-2026-07-27).</t>
        </is>
      </c>
      <c r="AF11" s="31" t="inlineStr">
        <is>
          <t>Research-only surface-blended Elo model; singles only, WTA-only market coverage, not yet locked-holdout qualified.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NO_CALL_MODEL_UNVALIDATED</t>
        </is>
      </c>
      <c r="AP11" s="24" t="inlineStr">
        <is>
          <t>Mai Hontama</t>
        </is>
      </c>
      <c r="AQ11" s="24" t="inlineStr">
        <is>
          <t>Mai Hontama</t>
        </is>
      </c>
      <c r="AR11" s="24" t="inlineStr">
        <is>
          <t>Mai Hontama</t>
        </is>
      </c>
      <c r="AS11" s="24" t="inlineStr">
        <is>
          <t>Kayla Day</t>
        </is>
      </c>
      <c r="AT11" s="24" t="inlineStr">
        <is>
          <t>Kayla Day</t>
        </is>
      </c>
      <c r="AU11" s="24" t="inlineStr">
        <is>
          <t>Kayla Day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research</t>
        </is>
      </c>
      <c r="BA11" s="24" t="inlineStr">
        <is>
          <t>73429bd71f12304106b9ffb751bd50617d5109d487f00de7ae2732f60e779590</t>
        </is>
      </c>
      <c r="BB11" s="24" t="inlineStr">
        <is>
          <t>surface_blended_elo</t>
        </is>
      </c>
      <c r="BC11" s="24" t="inlineStr">
        <is>
          <t>tennis-surface-elo-v1</t>
        </is>
      </c>
      <c r="BD11" s="24" t="inlineStr">
        <is>
          <t>73429bd71f12304106b9ffb751bd50617d5109d487f00de7ae2732f60e779590</t>
        </is>
      </c>
      <c r="BE11" s="24" t="inlineStr">
        <is>
          <t>tennis-surface-elo-v1</t>
        </is>
      </c>
      <c r="BF11" s="24" t="inlineStr">
        <is>
          <t>1</t>
        </is>
      </c>
      <c r="BG11" s="24" t="inlineStr">
        <is>
          <t>73429bd71f12304106b9ffb751bd50617d5109d487f00de7ae2732f60e779590</t>
        </is>
      </c>
      <c r="BH11" s="24" t="inlineStr">
        <is>
          <t>2026-07-28T01:57:54.105196Z</t>
        </is>
      </c>
      <c r="BI11" s="24" t="inlineStr">
        <is>
          <t>["same_event","same_team_same_day","same_league_same_day"]</t>
        </is>
      </c>
      <c r="BJ11" s="25" t="n"/>
      <c r="BK11" s="26" t="n">
        <v>163</v>
      </c>
      <c r="BL11" s="27" t="n">
        <v>2.63</v>
      </c>
      <c r="BM11" s="28" t="n">
        <v>0.380228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</row>
    <row r="12" ht="36" customHeight="1">
      <c r="A12" s="24" t="inlineStr">
        <is>
          <t>8dda84772591491a</t>
        </is>
      </c>
      <c r="B12" s="24" t="inlineStr">
        <is>
          <t>2026-07-28T05:03:44.224309Z</t>
        </is>
      </c>
      <c r="C12" s="24" t="inlineStr">
        <is>
          <t>2026-07-28T08:00Z</t>
        </is>
      </c>
      <c r="D12" s="24" t="inlineStr">
        <is>
          <t>1073-2026:179584</t>
        </is>
      </c>
      <c r="E12" s="24" t="inlineStr">
        <is>
          <t>TENNIS</t>
        </is>
      </c>
      <c r="F12" s="24" t="inlineStr">
        <is>
          <t>Alesia Breaz</t>
        </is>
      </c>
      <c r="G12" s="24" t="inlineStr">
        <is>
          <t>Laura Samson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-1900</v>
      </c>
      <c r="M12" s="27" t="n">
        <v>1.052632</v>
      </c>
      <c r="N12" s="28" t="n">
        <v>0.95</v>
      </c>
      <c r="O12" s="28" t="n">
        <v>0.539316</v>
      </c>
      <c r="P12" s="28" t="n">
        <v>0.2</v>
      </c>
      <c r="Q12" s="28" t="n">
        <v>-0.410684</v>
      </c>
      <c r="R12" s="26" t="n">
        <v>0</v>
      </c>
      <c r="S12" s="29" t="n">
        <v>1</v>
      </c>
      <c r="T12" s="24" t="inlineStr">
        <is>
          <t>tennis-surface-elo-v1</t>
        </is>
      </c>
      <c r="U12" s="24" t="inlineStr">
        <is>
          <t>settled</t>
        </is>
      </c>
      <c r="V12" s="24" t="inlineStr">
        <is>
          <t>win</t>
        </is>
      </c>
      <c r="W12" s="26" t="n">
        <v>0</v>
      </c>
      <c r="X12" s="26" t="n">
        <v>1</v>
      </c>
      <c r="Y12" s="25" t="n"/>
      <c r="Z12" s="26" t="n"/>
      <c r="AA12" s="28" t="n"/>
      <c r="AB12" s="28" t="n"/>
      <c r="AC12" s="30" t="n">
        <v>0.0526</v>
      </c>
      <c r="AD12" s="24" t="inlineStr">
        <is>
          <t>2026-07-28T11:12:39.258308Z</t>
        </is>
      </c>
      <c r="AE12" s="31" t="inlineStr">
        <is>
          <t>Surface-blended Elo on Hard: Alesia Breaz p=0.461 vs Laura Samson. Executable ask 0.9500 (aec-wta-lausam-alebre-2026-07-27).</t>
        </is>
      </c>
      <c r="AF12" s="31" t="inlineStr">
        <is>
          <t>Research-only surface-blended Elo model; singles only, WTA-only market coverage, not yet locked-holdout qualified.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research_observation</t>
        </is>
      </c>
      <c r="AL12" s="26" t="n">
        <v>3</v>
      </c>
      <c r="AM12" s="24" t="inlineStr">
        <is>
          <t>RESEARCH_OBSERVATION</t>
        </is>
      </c>
      <c r="AN12" s="24" t="inlineStr">
        <is>
          <t>NO_CALL</t>
        </is>
      </c>
      <c r="AO12" s="24" t="inlineStr">
        <is>
          <t>NO_CALL_MODEL_UNVALIDATED</t>
        </is>
      </c>
      <c r="AP12" s="24" t="inlineStr">
        <is>
          <t>Alesia Breaz</t>
        </is>
      </c>
      <c r="AQ12" s="24" t="inlineStr">
        <is>
          <t>Alesia Breaz</t>
        </is>
      </c>
      <c r="AR12" s="24" t="inlineStr">
        <is>
          <t>Alesia Breaz</t>
        </is>
      </c>
      <c r="AS12" s="24" t="inlineStr">
        <is>
          <t>Laura Samson</t>
        </is>
      </c>
      <c r="AT12" s="24" t="inlineStr">
        <is>
          <t>Laura Samson</t>
        </is>
      </c>
      <c r="AU12" s="24" t="inlineStr">
        <is>
          <t>Laura Samson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research</t>
        </is>
      </c>
      <c r="BA12" s="24" t="inlineStr">
        <is>
          <t>73429bd71f12304106b9ffb751bd50617d5109d487f00de7ae2732f60e779590</t>
        </is>
      </c>
      <c r="BB12" s="24" t="inlineStr">
        <is>
          <t>surface_blended_elo</t>
        </is>
      </c>
      <c r="BC12" s="24" t="inlineStr">
        <is>
          <t>tennis-surface-elo-v1</t>
        </is>
      </c>
      <c r="BD12" s="24" t="inlineStr">
        <is>
          <t>73429bd71f12304106b9ffb751bd50617d5109d487f00de7ae2732f60e779590</t>
        </is>
      </c>
      <c r="BE12" s="24" t="inlineStr">
        <is>
          <t>tennis-surface-elo-v1</t>
        </is>
      </c>
      <c r="BF12" s="24" t="inlineStr">
        <is>
          <t>1</t>
        </is>
      </c>
      <c r="BG12" s="24" t="inlineStr">
        <is>
          <t>73429bd71f12304106b9ffb751bd50617d5109d487f00de7ae2732f60e779590</t>
        </is>
      </c>
      <c r="BH12" s="24" t="inlineStr">
        <is>
          <t>2026-07-28T05:01:29.400703Z</t>
        </is>
      </c>
      <c r="BI12" s="24" t="inlineStr">
        <is>
          <t>["same_event","same_team_same_day","same_league_same_day"]</t>
        </is>
      </c>
      <c r="BJ12" s="25" t="n"/>
      <c r="BK12" s="26" t="n">
        <v>-1900</v>
      </c>
      <c r="BL12" s="27" t="n">
        <v>1.052632</v>
      </c>
      <c r="BM12" s="28" t="n">
        <v>0.95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</row>
    <row r="13" ht="36" customHeight="1">
      <c r="A13" s="24" t="inlineStr">
        <is>
          <t>30d29ce7fa0d4fdb</t>
        </is>
      </c>
      <c r="B13" s="24" t="inlineStr">
        <is>
          <t>2026-07-28T05:03:44.224309Z</t>
        </is>
      </c>
      <c r="C13" s="24" t="inlineStr">
        <is>
          <t>2026-07-28T08:00Z</t>
        </is>
      </c>
      <c r="D13" s="24" t="inlineStr">
        <is>
          <t>1073-2026:179580</t>
        </is>
      </c>
      <c r="E13" s="24" t="inlineStr">
        <is>
          <t>TENNIS</t>
        </is>
      </c>
      <c r="F13" s="24" t="inlineStr">
        <is>
          <t>Dalila Spiteri</t>
        </is>
      </c>
      <c r="G13" s="24" t="inlineStr">
        <is>
          <t>Yelyzaveta Kotliar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-127</v>
      </c>
      <c r="M13" s="27" t="n">
        <v>1.787402</v>
      </c>
      <c r="N13" s="28" t="n">
        <v>0.5594710000000001</v>
      </c>
      <c r="O13" s="28" t="n">
        <v>0.629597</v>
      </c>
      <c r="P13" s="28" t="n">
        <v>0.05</v>
      </c>
      <c r="Q13" s="28" t="n">
        <v>0.07012599999999999</v>
      </c>
      <c r="R13" s="26" t="n">
        <v>55</v>
      </c>
      <c r="S13" s="29" t="n">
        <v>1.5</v>
      </c>
      <c r="T13" s="24" t="inlineStr">
        <is>
          <t>tennis-surface-elo-v1</t>
        </is>
      </c>
      <c r="U13" s="24" t="inlineStr">
        <is>
          <t>settled</t>
        </is>
      </c>
      <c r="V13" s="24" t="inlineStr">
        <is>
          <t>win</t>
        </is>
      </c>
      <c r="W13" s="26" t="n">
        <v>0</v>
      </c>
      <c r="X13" s="26" t="n">
        <v>1</v>
      </c>
      <c r="Y13" s="25" t="n"/>
      <c r="Z13" s="26" t="n"/>
      <c r="AA13" s="28" t="n"/>
      <c r="AB13" s="28" t="n"/>
      <c r="AC13" s="30" t="n">
        <v>1.1811</v>
      </c>
      <c r="AD13" s="24" t="inlineStr">
        <is>
          <t>2026-07-28T11:12:39.363889Z</t>
        </is>
      </c>
      <c r="AE13" s="31" t="inlineStr">
        <is>
          <t>Surface-blended Elo on Hard: Dalila Spiteri p=0.370 vs Yelyzaveta Kotliar. Executable ask 0.5600 (aec-wta-yelkot-dalspi-2026-07-28).</t>
        </is>
      </c>
      <c r="AF13" s="31" t="inlineStr">
        <is>
          <t>Research-only surface-blended Elo model; singles only, WTA-only market coverage, not yet locked-holdout qualified.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research_observation</t>
        </is>
      </c>
      <c r="AL13" s="26" t="n">
        <v>3</v>
      </c>
      <c r="AM13" s="24" t="inlineStr">
        <is>
          <t>RESEARCH_OBSERVATION</t>
        </is>
      </c>
      <c r="AN13" s="24" t="inlineStr">
        <is>
          <t>NO_CALL</t>
        </is>
      </c>
      <c r="AO13" s="24" t="inlineStr">
        <is>
          <t>NO_CALL_MODEL_UNVALIDATED</t>
        </is>
      </c>
      <c r="AP13" s="24" t="inlineStr">
        <is>
          <t>Dalila Spiteri</t>
        </is>
      </c>
      <c r="AQ13" s="24" t="inlineStr">
        <is>
          <t>Dalila Spiteri</t>
        </is>
      </c>
      <c r="AR13" s="24" t="inlineStr">
        <is>
          <t>Dalila Spiteri</t>
        </is>
      </c>
      <c r="AS13" s="24" t="inlineStr">
        <is>
          <t>Yelyzaveta Kotliar</t>
        </is>
      </c>
      <c r="AT13" s="24" t="inlineStr">
        <is>
          <t>Yelyzaveta Kotliar</t>
        </is>
      </c>
      <c r="AU13" s="24" t="inlineStr">
        <is>
          <t>Yelyzaveta Kotliar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research</t>
        </is>
      </c>
      <c r="BA13" s="24" t="inlineStr">
        <is>
          <t>73429bd71f12304106b9ffb751bd50617d5109d487f00de7ae2732f60e779590</t>
        </is>
      </c>
      <c r="BB13" s="24" t="inlineStr">
        <is>
          <t>surface_blended_elo</t>
        </is>
      </c>
      <c r="BC13" s="24" t="inlineStr">
        <is>
          <t>tennis-surface-elo-v1</t>
        </is>
      </c>
      <c r="BD13" s="24" t="inlineStr">
        <is>
          <t>73429bd71f12304106b9ffb751bd50617d5109d487f00de7ae2732f60e779590</t>
        </is>
      </c>
      <c r="BE13" s="24" t="inlineStr">
        <is>
          <t>tennis-surface-elo-v1</t>
        </is>
      </c>
      <c r="BF13" s="24" t="inlineStr">
        <is>
          <t>1</t>
        </is>
      </c>
      <c r="BG13" s="24" t="inlineStr">
        <is>
          <t>73429bd71f12304106b9ffb751bd50617d5109d487f00de7ae2732f60e779590</t>
        </is>
      </c>
      <c r="BH13" s="24" t="inlineStr">
        <is>
          <t>2026-07-28T05:01:29.353293Z</t>
        </is>
      </c>
      <c r="BI13" s="24" t="inlineStr">
        <is>
          <t>["same_event","same_team_same_day","same_league_same_day"]</t>
        </is>
      </c>
      <c r="BJ13" s="25" t="n"/>
      <c r="BK13" s="26" t="n">
        <v>-127</v>
      </c>
      <c r="BL13" s="27" t="n">
        <v>1.787402</v>
      </c>
      <c r="BM13" s="28" t="n">
        <v>0.5594710000000001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</row>
    <row r="14" ht="36" customHeight="1">
      <c r="A14" s="24" t="inlineStr">
        <is>
          <t>cc74bd5c56de4e4f</t>
        </is>
      </c>
      <c r="B14" s="24" t="inlineStr">
        <is>
          <t>2026-07-28T05:03:44.224309Z</t>
        </is>
      </c>
      <c r="C14" s="24" t="inlineStr">
        <is>
          <t>2026-07-28T08:00Z</t>
        </is>
      </c>
      <c r="D14" s="24" t="inlineStr">
        <is>
          <t>1073-2026:183171</t>
        </is>
      </c>
      <c r="E14" s="24" t="inlineStr">
        <is>
          <t>TENNIS</t>
        </is>
      </c>
      <c r="F14" s="24" t="inlineStr">
        <is>
          <t>Darja Semenistaja</t>
        </is>
      </c>
      <c r="G14" s="24" t="inlineStr">
        <is>
          <t>Mia Ristic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-113</v>
      </c>
      <c r="M14" s="27" t="n">
        <v>1.884956</v>
      </c>
      <c r="N14" s="28" t="n">
        <v>0.530516</v>
      </c>
      <c r="O14" s="28" t="n">
        <v>0.553512</v>
      </c>
      <c r="P14" s="28" t="n">
        <v>0.05</v>
      </c>
      <c r="Q14" s="28" t="n">
        <v>0.022996</v>
      </c>
      <c r="R14" s="26" t="n">
        <v>31</v>
      </c>
      <c r="S14" s="29" t="n">
        <v>1</v>
      </c>
      <c r="T14" s="24" t="inlineStr">
        <is>
          <t>tennis-surface-elo-v1</t>
        </is>
      </c>
      <c r="U14" s="24" t="inlineStr">
        <is>
          <t>settled</t>
        </is>
      </c>
      <c r="V14" s="24" t="inlineStr">
        <is>
          <t>loss</t>
        </is>
      </c>
      <c r="W14" s="26" t="n">
        <v>0</v>
      </c>
      <c r="X14" s="26" t="n">
        <v>1</v>
      </c>
      <c r="Y14" s="25" t="n"/>
      <c r="Z14" s="26" t="n"/>
      <c r="AA14" s="28" t="n"/>
      <c r="AB14" s="28" t="n"/>
      <c r="AC14" s="30" t="n">
        <v>-1</v>
      </c>
      <c r="AD14" s="24" t="inlineStr">
        <is>
          <t>2026-07-28T11:12:39.467765Z</t>
        </is>
      </c>
      <c r="AE14" s="31" t="inlineStr">
        <is>
          <t>Surface-blended Elo on Hard: Darja Semenistaja p=0.554 vs Mia Ristic. Executable ask 0.5300 (aec-wta-miaris-darsem-2026-07-27).</t>
        </is>
      </c>
      <c r="AF14" s="31" t="inlineStr">
        <is>
          <t>Research-only surface-blended Elo model; singles only, WTA-only market coverage, not yet locked-holdout qualified.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research_observation</t>
        </is>
      </c>
      <c r="AL14" s="26" t="n">
        <v>3</v>
      </c>
      <c r="AM14" s="24" t="inlineStr">
        <is>
          <t>RESEARCH_OBSERVATION</t>
        </is>
      </c>
      <c r="AN14" s="24" t="inlineStr">
        <is>
          <t>NO_CALL</t>
        </is>
      </c>
      <c r="AO14" s="24" t="inlineStr">
        <is>
          <t>NO_CALL_MODEL_UNVALIDATED</t>
        </is>
      </c>
      <c r="AP14" s="24" t="inlineStr">
        <is>
          <t>Darja Semenistaja</t>
        </is>
      </c>
      <c r="AQ14" s="24" t="inlineStr">
        <is>
          <t>Darja Semenistaja</t>
        </is>
      </c>
      <c r="AR14" s="24" t="inlineStr">
        <is>
          <t>Darja Semenistaja</t>
        </is>
      </c>
      <c r="AS14" s="24" t="inlineStr">
        <is>
          <t>Mia Ristic</t>
        </is>
      </c>
      <c r="AT14" s="24" t="inlineStr">
        <is>
          <t>Mia Ristic</t>
        </is>
      </c>
      <c r="AU14" s="24" t="inlineStr">
        <is>
          <t>Mia Ristic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research</t>
        </is>
      </c>
      <c r="BA14" s="24" t="inlineStr">
        <is>
          <t>73429bd71f12304106b9ffb751bd50617d5109d487f00de7ae2732f60e779590</t>
        </is>
      </c>
      <c r="BB14" s="24" t="inlineStr">
        <is>
          <t>surface_blended_elo</t>
        </is>
      </c>
      <c r="BC14" s="24" t="inlineStr">
        <is>
          <t>tennis-surface-elo-v1</t>
        </is>
      </c>
      <c r="BD14" s="24" t="inlineStr">
        <is>
          <t>73429bd71f12304106b9ffb751bd50617d5109d487f00de7ae2732f60e779590</t>
        </is>
      </c>
      <c r="BE14" s="24" t="inlineStr">
        <is>
          <t>tennis-surface-elo-v1</t>
        </is>
      </c>
      <c r="BF14" s="24" t="inlineStr">
        <is>
          <t>1</t>
        </is>
      </c>
      <c r="BG14" s="24" t="inlineStr">
        <is>
          <t>73429bd71f12304106b9ffb751bd50617d5109d487f00de7ae2732f60e779590</t>
        </is>
      </c>
      <c r="BH14" s="24" t="inlineStr">
        <is>
          <t>2026-07-28T05:01:29.436773Z</t>
        </is>
      </c>
      <c r="BI14" s="24" t="inlineStr">
        <is>
          <t>["same_event","same_team_same_day","same_league_same_day"]</t>
        </is>
      </c>
      <c r="BJ14" s="25" t="n"/>
      <c r="BK14" s="26" t="n">
        <v>-113</v>
      </c>
      <c r="BL14" s="27" t="n">
        <v>1.884956</v>
      </c>
      <c r="BM14" s="28" t="n">
        <v>0.530516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</row>
    <row r="15" ht="36" customHeight="1">
      <c r="A15" s="24" t="inlineStr">
        <is>
          <t>c468caf1f2da4603</t>
        </is>
      </c>
      <c r="B15" s="24" t="inlineStr">
        <is>
          <t>2026-07-28T08:09:48.374429Z</t>
        </is>
      </c>
      <c r="C15" s="24" t="inlineStr">
        <is>
          <t>2026-07-28T09:30Z</t>
        </is>
      </c>
      <c r="D15" s="24" t="inlineStr">
        <is>
          <t>1073-2026:183172</t>
        </is>
      </c>
      <c r="E15" s="24" t="inlineStr">
        <is>
          <t>TENNIS</t>
        </is>
      </c>
      <c r="F15" s="24" t="inlineStr">
        <is>
          <t>Lucia Bronzetti</t>
        </is>
      </c>
      <c r="G15" s="24" t="inlineStr">
        <is>
          <t>Miriana Tona</t>
        </is>
      </c>
      <c r="H15" s="24" t="inlineStr">
        <is>
          <t>moneyline</t>
        </is>
      </c>
      <c r="I15" s="24" t="inlineStr">
        <is>
          <t>away</t>
        </is>
      </c>
      <c r="J15" s="25" t="n"/>
      <c r="K15" s="24" t="inlineStr">
        <is>
          <t>polymarket_us</t>
        </is>
      </c>
      <c r="L15" s="26" t="n">
        <v>-1011</v>
      </c>
      <c r="M15" s="27" t="n">
        <v>1.098912</v>
      </c>
      <c r="N15" s="28" t="n">
        <v>0.909991</v>
      </c>
      <c r="O15" s="28" t="n">
        <v>0.671191</v>
      </c>
      <c r="P15" s="28" t="n">
        <v>0.05</v>
      </c>
      <c r="Q15" s="28" t="n">
        <v>-0.2388</v>
      </c>
      <c r="R15" s="26" t="n">
        <v>0</v>
      </c>
      <c r="S15" s="29" t="n">
        <v>1.75</v>
      </c>
      <c r="T15" s="24" t="inlineStr">
        <is>
          <t>tennis-surface-elo-v1</t>
        </is>
      </c>
      <c r="U15" s="24" t="inlineStr">
        <is>
          <t>settled</t>
        </is>
      </c>
      <c r="V15" s="24" t="inlineStr">
        <is>
          <t>win</t>
        </is>
      </c>
      <c r="W15" s="26" t="n">
        <v>1</v>
      </c>
      <c r="X15" s="26" t="n">
        <v>0</v>
      </c>
      <c r="Y15" s="25" t="n"/>
      <c r="Z15" s="26" t="n"/>
      <c r="AA15" s="28" t="n"/>
      <c r="AB15" s="28" t="n"/>
      <c r="AC15" s="30" t="n">
        <v>0.1731</v>
      </c>
      <c r="AD15" s="24" t="inlineStr">
        <is>
          <t>2026-07-28T14:18:43.901317Z</t>
        </is>
      </c>
      <c r="AE15" s="31" t="inlineStr">
        <is>
          <t>Surface-blended Elo on Hard: Lucia Bronzetti p=0.671 vs Miriana Tona. Executable ask 0.9100 (aec-wta-mirton-lucbro-2026-07-28).</t>
        </is>
      </c>
      <c r="AF15" s="31" t="inlineStr">
        <is>
          <t>Research-only surface-blended Elo model; singles only, WTA-only market coverage, not yet locked-holdout qualified.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research_observation</t>
        </is>
      </c>
      <c r="AL15" s="26" t="n">
        <v>3</v>
      </c>
      <c r="AM15" s="24" t="inlineStr">
        <is>
          <t>RESEARCH_OBSERVATION</t>
        </is>
      </c>
      <c r="AN15" s="24" t="inlineStr">
        <is>
          <t>NO_CALL</t>
        </is>
      </c>
      <c r="AO15" s="24" t="inlineStr">
        <is>
          <t>NO_CALL_MODEL_UNVALIDATED</t>
        </is>
      </c>
      <c r="AP15" s="24" t="inlineStr">
        <is>
          <t>Lucia Bronzetti</t>
        </is>
      </c>
      <c r="AQ15" s="24" t="inlineStr">
        <is>
          <t>Lucia Bronzetti</t>
        </is>
      </c>
      <c r="AR15" s="24" t="inlineStr">
        <is>
          <t>Lucia Bronzetti</t>
        </is>
      </c>
      <c r="AS15" s="24" t="inlineStr">
        <is>
          <t>Miriana Tona</t>
        </is>
      </c>
      <c r="AT15" s="24" t="inlineStr">
        <is>
          <t>Miriana Tona</t>
        </is>
      </c>
      <c r="AU15" s="24" t="inlineStr">
        <is>
          <t>Miriana Tona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research</t>
        </is>
      </c>
      <c r="BA15" s="24" t="inlineStr">
        <is>
          <t>73429bd71f12304106b9ffb751bd50617d5109d487f00de7ae2732f60e779590</t>
        </is>
      </c>
      <c r="BB15" s="24" t="inlineStr">
        <is>
          <t>surface_blended_elo</t>
        </is>
      </c>
      <c r="BC15" s="24" t="inlineStr">
        <is>
          <t>tennis-surface-elo-v1</t>
        </is>
      </c>
      <c r="BD15" s="24" t="inlineStr">
        <is>
          <t>73429bd71f12304106b9ffb751bd50617d5109d487f00de7ae2732f60e779590</t>
        </is>
      </c>
      <c r="BE15" s="24" t="inlineStr">
        <is>
          <t>tennis-surface-elo-v1</t>
        </is>
      </c>
      <c r="BF15" s="24" t="inlineStr">
        <is>
          <t>1</t>
        </is>
      </c>
      <c r="BG15" s="24" t="inlineStr">
        <is>
          <t>73429bd71f12304106b9ffb751bd50617d5109d487f00de7ae2732f60e779590</t>
        </is>
      </c>
      <c r="BH15" s="24" t="inlineStr">
        <is>
          <t>2026-07-28T08:07:29.222890Z</t>
        </is>
      </c>
      <c r="BI15" s="24" t="inlineStr">
        <is>
          <t>["same_event","same_team_same_day","same_league_same_day"]</t>
        </is>
      </c>
      <c r="BJ15" s="25" t="n"/>
      <c r="BK15" s="26" t="n">
        <v>-1011</v>
      </c>
      <c r="BL15" s="27" t="n">
        <v>1.098912</v>
      </c>
      <c r="BM15" s="28" t="n">
        <v>0.909991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</row>
    <row r="16" ht="36" customHeight="1">
      <c r="A16" s="24" t="inlineStr">
        <is>
          <t>da48ac67863741c5</t>
        </is>
      </c>
      <c r="B16" s="24" t="inlineStr">
        <is>
          <t>2026-07-28T08:09:48.374429Z</t>
        </is>
      </c>
      <c r="C16" s="24" t="inlineStr">
        <is>
          <t>2026-07-28T10:00Z</t>
        </is>
      </c>
      <c r="D16" s="24" t="inlineStr">
        <is>
          <t>1073-2026:183177</t>
        </is>
      </c>
      <c r="E16" s="24" t="inlineStr">
        <is>
          <t>TENNIS</t>
        </is>
      </c>
      <c r="F16" s="24" t="inlineStr">
        <is>
          <t>Lola Radivojevic</t>
        </is>
      </c>
      <c r="G16" s="24" t="inlineStr">
        <is>
          <t>Margaux Rouvroy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400</v>
      </c>
      <c r="M16" s="27" t="n">
        <v>5</v>
      </c>
      <c r="N16" s="28" t="n">
        <v>0.2</v>
      </c>
      <c r="O16" s="28" t="n">
        <v>0.549053</v>
      </c>
      <c r="P16" s="28" t="n">
        <v>0.05</v>
      </c>
      <c r="Q16" s="28" t="n">
        <v>0.349053</v>
      </c>
      <c r="R16" s="26" t="n">
        <v>100</v>
      </c>
      <c r="S16" s="29" t="n">
        <v>1</v>
      </c>
      <c r="T16" s="24" t="inlineStr">
        <is>
          <t>tennis-surface-elo-v1</t>
        </is>
      </c>
      <c r="U16" s="24" t="inlineStr">
        <is>
          <t>settled</t>
        </is>
      </c>
      <c r="V16" s="24" t="inlineStr">
        <is>
          <t>win</t>
        </is>
      </c>
      <c r="W16" s="26" t="n">
        <v>0</v>
      </c>
      <c r="X16" s="26" t="n">
        <v>1</v>
      </c>
      <c r="Y16" s="25" t="n"/>
      <c r="Z16" s="26" t="n"/>
      <c r="AA16" s="28" t="n"/>
      <c r="AB16" s="28" t="n"/>
      <c r="AC16" s="30" t="n">
        <v>4</v>
      </c>
      <c r="AD16" s="24" t="inlineStr">
        <is>
          <t>2026-07-28T14:18:44.017439Z</t>
        </is>
      </c>
      <c r="AE16" s="31" t="inlineStr">
        <is>
          <t>Surface-blended Elo on Hard: Lola Radivojevic p=0.451 vs Margaux Rouvroy. Executable ask 0.2000 (aec-wta-marrou-lolrad-2026-07-28).</t>
        </is>
      </c>
      <c r="AF16" s="31" t="inlineStr">
        <is>
          <t>Research-only surface-blended Elo model; singles only, WTA-only market coverage, not yet locked-holdout qualified.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NO_CALL_MODEL_UNVALIDATED</t>
        </is>
      </c>
      <c r="AP16" s="24" t="inlineStr">
        <is>
          <t>Lola Radivojevic</t>
        </is>
      </c>
      <c r="AQ16" s="24" t="inlineStr">
        <is>
          <t>Lola Radivojevic</t>
        </is>
      </c>
      <c r="AR16" s="24" t="inlineStr">
        <is>
          <t>Lola Radivojevic</t>
        </is>
      </c>
      <c r="AS16" s="24" t="inlineStr">
        <is>
          <t>Margaux Rouvroy</t>
        </is>
      </c>
      <c r="AT16" s="24" t="inlineStr">
        <is>
          <t>Margaux Rouvroy</t>
        </is>
      </c>
      <c r="AU16" s="24" t="inlineStr">
        <is>
          <t>Margaux Rouvroy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research</t>
        </is>
      </c>
      <c r="BA16" s="24" t="inlineStr">
        <is>
          <t>73429bd71f12304106b9ffb751bd50617d5109d487f00de7ae2732f60e779590</t>
        </is>
      </c>
      <c r="BB16" s="24" t="inlineStr">
        <is>
          <t>surface_blended_elo</t>
        </is>
      </c>
      <c r="BC16" s="24" t="inlineStr">
        <is>
          <t>tennis-surface-elo-v1</t>
        </is>
      </c>
      <c r="BD16" s="24" t="inlineStr">
        <is>
          <t>73429bd71f12304106b9ffb751bd50617d5109d487f00de7ae2732f60e779590</t>
        </is>
      </c>
      <c r="BE16" s="24" t="inlineStr">
        <is>
          <t>tennis-surface-elo-v1</t>
        </is>
      </c>
      <c r="BF16" s="24" t="inlineStr">
        <is>
          <t>1</t>
        </is>
      </c>
      <c r="BG16" s="24" t="inlineStr">
        <is>
          <t>73429bd71f12304106b9ffb751bd50617d5109d487f00de7ae2732f60e779590</t>
        </is>
      </c>
      <c r="BH16" s="24" t="inlineStr">
        <is>
          <t>2026-07-28T08:07:29.251635Z</t>
        </is>
      </c>
      <c r="BI16" s="24" t="inlineStr">
        <is>
          <t>["same_event","same_team_same_day","same_league_same_day"]</t>
        </is>
      </c>
      <c r="BJ16" s="25" t="n"/>
      <c r="BK16" s="26" t="n">
        <v>400</v>
      </c>
      <c r="BL16" s="27" t="n">
        <v>5</v>
      </c>
      <c r="BM16" s="28" t="n">
        <v>0.2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</row>
    <row r="17" ht="36" customHeight="1">
      <c r="A17" s="24" t="inlineStr">
        <is>
          <t>fdfd679380374cf5</t>
        </is>
      </c>
      <c r="B17" s="24" t="inlineStr">
        <is>
          <t>2026-07-28T08:09:48.374429Z</t>
        </is>
      </c>
      <c r="C17" s="24" t="inlineStr">
        <is>
          <t>2026-07-28T11:00Z</t>
        </is>
      </c>
      <c r="D17" s="24" t="inlineStr">
        <is>
          <t>1073-2026:179593</t>
        </is>
      </c>
      <c r="E17" s="24" t="inlineStr">
        <is>
          <t>TENNIS</t>
        </is>
      </c>
      <c r="F17" s="24" t="inlineStr">
        <is>
          <t>Chloe Paquet</t>
        </is>
      </c>
      <c r="G17" s="24" t="inlineStr">
        <is>
          <t>Francesca Jones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-376</v>
      </c>
      <c r="M17" s="27" t="n">
        <v>1.265957</v>
      </c>
      <c r="N17" s="28" t="n">
        <v>0.789916</v>
      </c>
      <c r="O17" s="28" t="n">
        <v>0.742329</v>
      </c>
      <c r="P17" s="28" t="n">
        <v>0.05</v>
      </c>
      <c r="Q17" s="28" t="n">
        <v>-0.047587</v>
      </c>
      <c r="R17" s="26" t="n">
        <v>0</v>
      </c>
      <c r="S17" s="29" t="n">
        <v>2</v>
      </c>
      <c r="T17" s="24" t="inlineStr">
        <is>
          <t>tennis-surface-elo-v1</t>
        </is>
      </c>
      <c r="U17" s="24" t="inlineStr">
        <is>
          <t>settled</t>
        </is>
      </c>
      <c r="V17" s="24" t="inlineStr">
        <is>
          <t>win</t>
        </is>
      </c>
      <c r="W17" s="26" t="n">
        <v>0</v>
      </c>
      <c r="X17" s="26" t="n">
        <v>1</v>
      </c>
      <c r="Y17" s="25" t="n"/>
      <c r="Z17" s="26" t="n"/>
      <c r="AA17" s="28" t="n"/>
      <c r="AB17" s="28" t="n"/>
      <c r="AC17" s="30" t="n">
        <v>0.5319</v>
      </c>
      <c r="AD17" s="24" t="inlineStr">
        <is>
          <t>2026-07-28T14:18:44.134104Z</t>
        </is>
      </c>
      <c r="AE17" s="31" t="inlineStr">
        <is>
          <t>Surface-blended Elo on Hard: Chloe Paquet p=0.258 vs Francesca Jones. Executable ask 0.7900 (aec-wta-frajon-chlpaq-2026-07-27).</t>
        </is>
      </c>
      <c r="AF17" s="31" t="inlineStr">
        <is>
          <t>Research-only surface-blended Elo model; singles only, WTA-only market coverage, not yet locked-holdout qualified.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NO_CALL_MODEL_UNVALIDATED</t>
        </is>
      </c>
      <c r="AP17" s="24" t="inlineStr">
        <is>
          <t>Chloe Paquet</t>
        </is>
      </c>
      <c r="AQ17" s="24" t="inlineStr">
        <is>
          <t>Chloe Paquet</t>
        </is>
      </c>
      <c r="AR17" s="24" t="inlineStr">
        <is>
          <t>Chloe Paquet</t>
        </is>
      </c>
      <c r="AS17" s="24" t="inlineStr">
        <is>
          <t>Francesca Jones</t>
        </is>
      </c>
      <c r="AT17" s="24" t="inlineStr">
        <is>
          <t>Francesca Jones</t>
        </is>
      </c>
      <c r="AU17" s="24" t="inlineStr">
        <is>
          <t>Francesca Jones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research</t>
        </is>
      </c>
      <c r="BA17" s="24" t="inlineStr">
        <is>
          <t>73429bd71f12304106b9ffb751bd50617d5109d487f00de7ae2732f60e779590</t>
        </is>
      </c>
      <c r="BB17" s="24" t="inlineStr">
        <is>
          <t>surface_blended_elo</t>
        </is>
      </c>
      <c r="BC17" s="24" t="inlineStr">
        <is>
          <t>tennis-surface-elo-v1</t>
        </is>
      </c>
      <c r="BD17" s="24" t="inlineStr">
        <is>
          <t>73429bd71f12304106b9ffb751bd50617d5109d487f00de7ae2732f60e779590</t>
        </is>
      </c>
      <c r="BE17" s="24" t="inlineStr">
        <is>
          <t>tennis-surface-elo-v1</t>
        </is>
      </c>
      <c r="BF17" s="24" t="inlineStr">
        <is>
          <t>1</t>
        </is>
      </c>
      <c r="BG17" s="24" t="inlineStr">
        <is>
          <t>73429bd71f12304106b9ffb751bd50617d5109d487f00de7ae2732f60e779590</t>
        </is>
      </c>
      <c r="BH17" s="24" t="inlineStr">
        <is>
          <t>2026-07-28T08:07:29.757214Z</t>
        </is>
      </c>
      <c r="BI17" s="24" t="inlineStr">
        <is>
          <t>["same_event","same_team_same_day","same_league_same_day"]</t>
        </is>
      </c>
      <c r="BJ17" s="25" t="n"/>
      <c r="BK17" s="26" t="n">
        <v>-376</v>
      </c>
      <c r="BL17" s="27" t="n">
        <v>1.265957</v>
      </c>
      <c r="BM17" s="28" t="n">
        <v>0.789916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</row>
    <row r="18" ht="36" customHeight="1">
      <c r="A18" s="24" t="inlineStr">
        <is>
          <t>4ef8462ffb1f4f65</t>
        </is>
      </c>
      <c r="B18" s="24" t="inlineStr">
        <is>
          <t>2026-07-28T08:09:48.374429Z</t>
        </is>
      </c>
      <c r="C18" s="24" t="inlineStr">
        <is>
          <t>2026-07-28T11:00Z</t>
        </is>
      </c>
      <c r="D18" s="24" t="inlineStr">
        <is>
          <t>1073-2026:179585</t>
        </is>
      </c>
      <c r="E18" s="24" t="inlineStr">
        <is>
          <t>TENNIS</t>
        </is>
      </c>
      <c r="F18" s="24" t="inlineStr">
        <is>
          <t>Maia Ilinca Burcescu</t>
        </is>
      </c>
      <c r="G18" s="24" t="inlineStr">
        <is>
          <t>Alevtina Ibragimova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-456</v>
      </c>
      <c r="M18" s="27" t="n">
        <v>1.219298</v>
      </c>
      <c r="N18" s="28" t="n">
        <v>0.820144</v>
      </c>
      <c r="O18" s="28" t="n">
        <v>0.597506</v>
      </c>
      <c r="P18" s="28" t="n">
        <v>0.05</v>
      </c>
      <c r="Q18" s="28" t="n">
        <v>-0.222638</v>
      </c>
      <c r="R18" s="26" t="n">
        <v>0</v>
      </c>
      <c r="S18" s="29" t="n">
        <v>1.25</v>
      </c>
      <c r="T18" s="24" t="inlineStr">
        <is>
          <t>tennis-surface-elo-v1</t>
        </is>
      </c>
      <c r="U18" s="24" t="inlineStr">
        <is>
          <t>settled</t>
        </is>
      </c>
      <c r="V18" s="24" t="inlineStr">
        <is>
          <t>win</t>
        </is>
      </c>
      <c r="W18" s="26" t="n">
        <v>0</v>
      </c>
      <c r="X18" s="26" t="n">
        <v>1</v>
      </c>
      <c r="Y18" s="25" t="n"/>
      <c r="Z18" s="26" t="n"/>
      <c r="AA18" s="28" t="n"/>
      <c r="AB18" s="28" t="n"/>
      <c r="AC18" s="30" t="n">
        <v>0.2741</v>
      </c>
      <c r="AD18" s="24" t="inlineStr">
        <is>
          <t>2026-07-28T14:59:03.420461Z</t>
        </is>
      </c>
      <c r="AE18" s="31" t="inlineStr">
        <is>
          <t>Surface-blended Elo on Hard: Maia Ilinca Burcescu p=0.402 vs Alevtina Ibragimova. Executable ask 0.8200 (aec-wta-aleibr-maibur-2026-07-27).</t>
        </is>
      </c>
      <c r="AF18" s="31" t="inlineStr">
        <is>
          <t>Research-only surface-blended Elo model; singles only, WTA-only market coverage, not yet locked-holdout qualified.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research_observation</t>
        </is>
      </c>
      <c r="AL18" s="26" t="n">
        <v>3</v>
      </c>
      <c r="AM18" s="24" t="inlineStr">
        <is>
          <t>RESEARCH_OBSERVATION</t>
        </is>
      </c>
      <c r="AN18" s="24" t="inlineStr">
        <is>
          <t>NO_CALL</t>
        </is>
      </c>
      <c r="AO18" s="24" t="inlineStr">
        <is>
          <t>NO_CALL_MODEL_UNVALIDATED</t>
        </is>
      </c>
      <c r="AP18" s="24" t="inlineStr">
        <is>
          <t>Maia Ilinca Burcescu</t>
        </is>
      </c>
      <c r="AQ18" s="24" t="inlineStr">
        <is>
          <t>Maia Ilinca Burcescu</t>
        </is>
      </c>
      <c r="AR18" s="24" t="inlineStr">
        <is>
          <t>Maia Ilinca Burcescu</t>
        </is>
      </c>
      <c r="AS18" s="24" t="inlineStr">
        <is>
          <t>Alevtina Ibragimova</t>
        </is>
      </c>
      <c r="AT18" s="24" t="inlineStr">
        <is>
          <t>Alevtina Ibragimova</t>
        </is>
      </c>
      <c r="AU18" s="24" t="inlineStr">
        <is>
          <t>Alevtina Ibragimova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research</t>
        </is>
      </c>
      <c r="BA18" s="24" t="inlineStr">
        <is>
          <t>73429bd71f12304106b9ffb751bd50617d5109d487f00de7ae2732f60e779590</t>
        </is>
      </c>
      <c r="BB18" s="24" t="inlineStr">
        <is>
          <t>surface_blended_elo</t>
        </is>
      </c>
      <c r="BC18" s="24" t="inlineStr">
        <is>
          <t>tennis-surface-elo-v1</t>
        </is>
      </c>
      <c r="BD18" s="24" t="inlineStr">
        <is>
          <t>73429bd71f12304106b9ffb751bd50617d5109d487f00de7ae2732f60e779590</t>
        </is>
      </c>
      <c r="BE18" s="24" t="inlineStr">
        <is>
          <t>tennis-surface-elo-v1</t>
        </is>
      </c>
      <c r="BF18" s="24" t="inlineStr">
        <is>
          <t>1</t>
        </is>
      </c>
      <c r="BG18" s="24" t="inlineStr">
        <is>
          <t>73429bd71f12304106b9ffb751bd50617d5109d487f00de7ae2732f60e779590</t>
        </is>
      </c>
      <c r="BH18" s="24" t="inlineStr">
        <is>
          <t>2026-07-28T08:07:29.244295Z</t>
        </is>
      </c>
      <c r="BI18" s="24" t="inlineStr">
        <is>
          <t>["same_event","same_team_same_day","same_league_same_day"]</t>
        </is>
      </c>
      <c r="BJ18" s="25" t="n"/>
      <c r="BK18" s="26" t="n">
        <v>-456</v>
      </c>
      <c r="BL18" s="27" t="n">
        <v>1.219298</v>
      </c>
      <c r="BM18" s="28" t="n">
        <v>0.820144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</row>
    <row r="19" ht="36" customHeight="1">
      <c r="A19" s="24" t="inlineStr">
        <is>
          <t>4892baa973e74093</t>
        </is>
      </c>
      <c r="B19" s="24" t="inlineStr">
        <is>
          <t>2026-07-28T08:09:48.374429Z</t>
        </is>
      </c>
      <c r="C19" s="24" t="inlineStr">
        <is>
          <t>2026-07-28T11:00Z</t>
        </is>
      </c>
      <c r="D19" s="24" t="inlineStr">
        <is>
          <t>1073-2026:179582</t>
        </is>
      </c>
      <c r="E19" s="24" t="inlineStr">
        <is>
          <t>TENNIS</t>
        </is>
      </c>
      <c r="F19" s="24" t="inlineStr">
        <is>
          <t>Anastasiia Sobolieva</t>
        </is>
      </c>
      <c r="G19" s="24" t="inlineStr">
        <is>
          <t>Selena Janicijevic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376</v>
      </c>
      <c r="M19" s="27" t="n">
        <v>4.76</v>
      </c>
      <c r="N19" s="28" t="n">
        <v>0.210084</v>
      </c>
      <c r="O19" s="28" t="n">
        <v>0.506887</v>
      </c>
      <c r="P19" s="28" t="n">
        <v>0.05</v>
      </c>
      <c r="Q19" s="28" t="n">
        <v>0.296803</v>
      </c>
      <c r="R19" s="26" t="n">
        <v>100</v>
      </c>
      <c r="S19" s="29" t="n">
        <v>1</v>
      </c>
      <c r="T19" s="24" t="inlineStr">
        <is>
          <t>tennis-surface-elo-v1</t>
        </is>
      </c>
      <c r="U19" s="24" t="inlineStr">
        <is>
          <t>settled</t>
        </is>
      </c>
      <c r="V19" s="24" t="inlineStr">
        <is>
          <t>loss</t>
        </is>
      </c>
      <c r="W19" s="26" t="n">
        <v>1</v>
      </c>
      <c r="X19" s="26" t="n">
        <v>0</v>
      </c>
      <c r="Y19" s="25" t="n"/>
      <c r="Z19" s="26" t="n"/>
      <c r="AA19" s="28" t="n"/>
      <c r="AB19" s="28" t="n"/>
      <c r="AC19" s="30" t="n">
        <v>-1</v>
      </c>
      <c r="AD19" s="24" t="inlineStr">
        <is>
          <t>2026-07-28T14:18:44.280191Z</t>
        </is>
      </c>
      <c r="AE19" s="31" t="inlineStr">
        <is>
          <t>Surface-blended Elo on Hard: Anastasiia Sobolieva p=0.493 vs Selena Janicijevic. Executable ask 0.2100 (aec-wta-seljan-anasob-2026-07-27).</t>
        </is>
      </c>
      <c r="AF19" s="31" t="inlineStr">
        <is>
          <t>Research-only surface-blended Elo model; singles only, WTA-only market coverage, not yet locked-holdout qualified.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research_observation</t>
        </is>
      </c>
      <c r="AL19" s="26" t="n">
        <v>3</v>
      </c>
      <c r="AM19" s="24" t="inlineStr">
        <is>
          <t>RESEARCH_OBSERVATION</t>
        </is>
      </c>
      <c r="AN19" s="24" t="inlineStr">
        <is>
          <t>NO_CALL</t>
        </is>
      </c>
      <c r="AO19" s="24" t="inlineStr">
        <is>
          <t>NO_CALL_MODEL_UNVALIDATED</t>
        </is>
      </c>
      <c r="AP19" s="24" t="inlineStr">
        <is>
          <t>Anastasiia Sobolieva</t>
        </is>
      </c>
      <c r="AQ19" s="24" t="inlineStr">
        <is>
          <t>Anastasiia Sobolieva</t>
        </is>
      </c>
      <c r="AR19" s="24" t="inlineStr">
        <is>
          <t>Anastasiia Sobolieva</t>
        </is>
      </c>
      <c r="AS19" s="24" t="inlineStr">
        <is>
          <t>Selena Janicijevic</t>
        </is>
      </c>
      <c r="AT19" s="24" t="inlineStr">
        <is>
          <t>Selena Janicijevic</t>
        </is>
      </c>
      <c r="AU19" s="24" t="inlineStr">
        <is>
          <t>Selena Janicijevic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research</t>
        </is>
      </c>
      <c r="BA19" s="24" t="inlineStr">
        <is>
          <t>73429bd71f12304106b9ffb751bd50617d5109d487f00de7ae2732f60e779590</t>
        </is>
      </c>
      <c r="BB19" s="24" t="inlineStr">
        <is>
          <t>surface_blended_elo</t>
        </is>
      </c>
      <c r="BC19" s="24" t="inlineStr">
        <is>
          <t>tennis-surface-elo-v1</t>
        </is>
      </c>
      <c r="BD19" s="24" t="inlineStr">
        <is>
          <t>73429bd71f12304106b9ffb751bd50617d5109d487f00de7ae2732f60e779590</t>
        </is>
      </c>
      <c r="BE19" s="24" t="inlineStr">
        <is>
          <t>tennis-surface-elo-v1</t>
        </is>
      </c>
      <c r="BF19" s="24" t="inlineStr">
        <is>
          <t>1</t>
        </is>
      </c>
      <c r="BG19" s="24" t="inlineStr">
        <is>
          <t>73429bd71f12304106b9ffb751bd50617d5109d487f00de7ae2732f60e779590</t>
        </is>
      </c>
      <c r="BH19" s="24" t="inlineStr">
        <is>
          <t>2026-07-28T08:07:29.943296Z</t>
        </is>
      </c>
      <c r="BI19" s="24" t="inlineStr">
        <is>
          <t>["same_event","same_team_same_day","same_league_same_day"]</t>
        </is>
      </c>
      <c r="BJ19" s="25" t="n"/>
      <c r="BK19" s="26" t="n">
        <v>376</v>
      </c>
      <c r="BL19" s="27" t="n">
        <v>4.76</v>
      </c>
      <c r="BM19" s="28" t="n">
        <v>0.210084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</row>
    <row r="20" ht="36" customHeight="1">
      <c r="A20" s="24" t="inlineStr">
        <is>
          <t>b348a92598374228</t>
        </is>
      </c>
      <c r="B20" s="24" t="inlineStr">
        <is>
          <t>2026-07-28T11:15:58.367390Z</t>
        </is>
      </c>
      <c r="C20" s="24" t="inlineStr">
        <is>
          <t>2026-07-28T14:00Z</t>
        </is>
      </c>
      <c r="D20" s="24" t="inlineStr">
        <is>
          <t>1073-2026:179597</t>
        </is>
      </c>
      <c r="E20" s="24" t="inlineStr">
        <is>
          <t>TENNIS</t>
        </is>
      </c>
      <c r="F20" s="24" t="inlineStr">
        <is>
          <t>Carole Monnet</t>
        </is>
      </c>
      <c r="G20" s="24" t="inlineStr">
        <is>
          <t>Miriam Bulgaru</t>
        </is>
      </c>
      <c r="H20" s="24" t="inlineStr">
        <is>
          <t>moneyline</t>
        </is>
      </c>
      <c r="I20" s="24" t="inlineStr">
        <is>
          <t>away</t>
        </is>
      </c>
      <c r="J20" s="25" t="n"/>
      <c r="K20" s="24" t="inlineStr">
        <is>
          <t>polymarket_us</t>
        </is>
      </c>
      <c r="L20" s="26" t="n">
        <v>-133</v>
      </c>
      <c r="M20" s="27" t="n">
        <v>1.75188</v>
      </c>
      <c r="N20" s="28" t="n">
        <v>0.570815</v>
      </c>
      <c r="O20" s="28" t="n">
        <v>0.604046</v>
      </c>
      <c r="P20" s="28" t="n">
        <v>0.05</v>
      </c>
      <c r="Q20" s="28" t="n">
        <v>0.033231</v>
      </c>
      <c r="R20" s="26" t="n">
        <v>37</v>
      </c>
      <c r="S20" s="29" t="n">
        <v>1.25</v>
      </c>
      <c r="T20" s="24" t="inlineStr">
        <is>
          <t>tennis-surface-elo-v1</t>
        </is>
      </c>
      <c r="U20" s="24" t="inlineStr">
        <is>
          <t>settled</t>
        </is>
      </c>
      <c r="V20" s="24" t="inlineStr">
        <is>
          <t>win</t>
        </is>
      </c>
      <c r="W20" s="26" t="n">
        <v>1</v>
      </c>
      <c r="X20" s="26" t="n">
        <v>0</v>
      </c>
      <c r="Y20" s="25" t="n"/>
      <c r="Z20" s="26" t="n"/>
      <c r="AA20" s="28" t="n"/>
      <c r="AB20" s="28" t="n"/>
      <c r="AC20" s="30" t="n">
        <v>0.9399</v>
      </c>
      <c r="AD20" s="24" t="inlineStr">
        <is>
          <t>2026-07-28T16:02:14.284405Z</t>
        </is>
      </c>
      <c r="AE20" s="31" t="inlineStr">
        <is>
          <t>Surface-blended Elo on Hard: Carole Monnet p=0.604 vs Miriam Bulgaru. Executable ask 0.5700 (aec-wta-mirbul-carmon-2026-07-27).</t>
        </is>
      </c>
      <c r="AF20" s="31" t="inlineStr">
        <is>
          <t>Research-only surface-blended Elo model; singles only, WTA-only market coverage, not yet locked-holdout qualified.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research_observation</t>
        </is>
      </c>
      <c r="AL20" s="26" t="n">
        <v>3</v>
      </c>
      <c r="AM20" s="24" t="inlineStr">
        <is>
          <t>RESEARCH_OBSERVATION</t>
        </is>
      </c>
      <c r="AN20" s="24" t="inlineStr">
        <is>
          <t>NO_CALL</t>
        </is>
      </c>
      <c r="AO20" s="24" t="inlineStr">
        <is>
          <t>NO_CALL_MODEL_UNVALIDATED</t>
        </is>
      </c>
      <c r="AP20" s="24" t="inlineStr">
        <is>
          <t>Carole Monnet</t>
        </is>
      </c>
      <c r="AQ20" s="24" t="inlineStr">
        <is>
          <t>Carole Monnet</t>
        </is>
      </c>
      <c r="AR20" s="24" t="inlineStr">
        <is>
          <t>Carole Monnet</t>
        </is>
      </c>
      <c r="AS20" s="24" t="inlineStr">
        <is>
          <t>Miriam Bulgaru</t>
        </is>
      </c>
      <c r="AT20" s="24" t="inlineStr">
        <is>
          <t>Miriam Bulgaru</t>
        </is>
      </c>
      <c r="AU20" s="24" t="inlineStr">
        <is>
          <t>Miriam Bulgaru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research</t>
        </is>
      </c>
      <c r="BA20" s="24" t="inlineStr">
        <is>
          <t>73429bd71f12304106b9ffb751bd50617d5109d487f00de7ae2732f60e779590</t>
        </is>
      </c>
      <c r="BB20" s="24" t="inlineStr">
        <is>
          <t>surface_blended_elo</t>
        </is>
      </c>
      <c r="BC20" s="24" t="inlineStr">
        <is>
          <t>tennis-surface-elo-v1</t>
        </is>
      </c>
      <c r="BD20" s="24" t="inlineStr">
        <is>
          <t>73429bd71f12304106b9ffb751bd50617d5109d487f00de7ae2732f60e779590</t>
        </is>
      </c>
      <c r="BE20" s="24" t="inlineStr">
        <is>
          <t>tennis-surface-elo-v1</t>
        </is>
      </c>
      <c r="BF20" s="24" t="inlineStr">
        <is>
          <t>1</t>
        </is>
      </c>
      <c r="BG20" s="24" t="inlineStr">
        <is>
          <t>73429bd71f12304106b9ffb751bd50617d5109d487f00de7ae2732f60e779590</t>
        </is>
      </c>
      <c r="BH20" s="24" t="inlineStr">
        <is>
          <t>2026-07-28T11:13:41.297840Z</t>
        </is>
      </c>
      <c r="BI20" s="24" t="inlineStr">
        <is>
          <t>["same_event","same_team_same_day","same_league_same_day"]</t>
        </is>
      </c>
      <c r="BJ20" s="25" t="n"/>
      <c r="BK20" s="26" t="n">
        <v>-133</v>
      </c>
      <c r="BL20" s="27" t="n">
        <v>1.75188</v>
      </c>
      <c r="BM20" s="28" t="n">
        <v>0.570815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</row>
    <row r="21" ht="36" customHeight="1">
      <c r="A21" s="24" t="inlineStr">
        <is>
          <t>b6f4a3e099bb472a</t>
        </is>
      </c>
      <c r="B21" s="24" t="inlineStr">
        <is>
          <t>2026-07-28T14:22:03.423136Z</t>
        </is>
      </c>
      <c r="C21" s="24" t="inlineStr">
        <is>
          <t>2026-07-28T15:00Z</t>
        </is>
      </c>
      <c r="D21" s="24" t="inlineStr">
        <is>
          <t>888-2026:179000</t>
        </is>
      </c>
      <c r="E21" s="24" t="inlineStr">
        <is>
          <t>TENNIS</t>
        </is>
      </c>
      <c r="F21" s="24" t="inlineStr">
        <is>
          <t>Polina Kudermetova</t>
        </is>
      </c>
      <c r="G21" s="24" t="inlineStr">
        <is>
          <t>Cristina Bucsa</t>
        </is>
      </c>
      <c r="H21" s="24" t="inlineStr">
        <is>
          <t>moneyline</t>
        </is>
      </c>
      <c r="I21" s="24" t="inlineStr">
        <is>
          <t>away</t>
        </is>
      </c>
      <c r="J21" s="25" t="n"/>
      <c r="K21" s="24" t="inlineStr">
        <is>
          <t>polymarket_us</t>
        </is>
      </c>
      <c r="L21" s="26" t="n">
        <v>-133</v>
      </c>
      <c r="M21" s="27" t="n">
        <v>1.75188</v>
      </c>
      <c r="N21" s="28" t="n">
        <v>0.570815</v>
      </c>
      <c r="O21" s="28" t="n">
        <v>0.512221</v>
      </c>
      <c r="P21" s="28" t="n">
        <v>0.05</v>
      </c>
      <c r="Q21" s="28" t="n">
        <v>-0.058594</v>
      </c>
      <c r="R21" s="26" t="n">
        <v>0</v>
      </c>
      <c r="S21" s="29" t="n">
        <v>1</v>
      </c>
      <c r="T21" s="24" t="inlineStr">
        <is>
          <t>tennis-surface-elo-v1</t>
        </is>
      </c>
      <c r="U21" s="24" t="inlineStr">
        <is>
          <t>settled</t>
        </is>
      </c>
      <c r="V21" s="24" t="inlineStr">
        <is>
          <t>win</t>
        </is>
      </c>
      <c r="W21" s="26" t="n">
        <v>1</v>
      </c>
      <c r="X21" s="26" t="n">
        <v>0</v>
      </c>
      <c r="Y21" s="25" t="n"/>
      <c r="Z21" s="26" t="n"/>
      <c r="AA21" s="28" t="n"/>
      <c r="AB21" s="28" t="n"/>
      <c r="AC21" s="30" t="n">
        <v>0.7519</v>
      </c>
      <c r="AD21" s="24" t="inlineStr">
        <is>
          <t>2026-07-28T20:31:20.529941Z</t>
        </is>
      </c>
      <c r="AE21" s="31" t="inlineStr">
        <is>
          <t>Surface-blended Elo on Hard: Polina Kudermetova p=0.512 vs Cristina Bucsa. Executable ask 0.5700 (aec-wta-cribuc-polkud-2026-07-27).</t>
        </is>
      </c>
      <c r="AF21" s="31" t="inlineStr">
        <is>
          <t>Research-only surface-blended Elo model; singles only, WTA-only market coverage, not yet locked-holdout qualified.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research_observation</t>
        </is>
      </c>
      <c r="AL21" s="26" t="n">
        <v>3</v>
      </c>
      <c r="AM21" s="24" t="inlineStr">
        <is>
          <t>RESEARCH_OBSERVATION</t>
        </is>
      </c>
      <c r="AN21" s="24" t="inlineStr">
        <is>
          <t>NO_CALL</t>
        </is>
      </c>
      <c r="AO21" s="24" t="inlineStr">
        <is>
          <t>NO_CALL_MODEL_UNVALIDATED</t>
        </is>
      </c>
      <c r="AP21" s="24" t="inlineStr">
        <is>
          <t>Polina Kudermetova</t>
        </is>
      </c>
      <c r="AQ21" s="24" t="inlineStr">
        <is>
          <t>Polina Kudermetova</t>
        </is>
      </c>
      <c r="AR21" s="24" t="inlineStr">
        <is>
          <t>Polina Kudermetova</t>
        </is>
      </c>
      <c r="AS21" s="24" t="inlineStr">
        <is>
          <t>Cristina Bucsa</t>
        </is>
      </c>
      <c r="AT21" s="24" t="inlineStr">
        <is>
          <t>Cristina Bucsa</t>
        </is>
      </c>
      <c r="AU21" s="24" t="inlineStr">
        <is>
          <t>Cristina Bucsa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research</t>
        </is>
      </c>
      <c r="BA21" s="24" t="inlineStr">
        <is>
          <t>73429bd71f12304106b9ffb751bd50617d5109d487f00de7ae2732f60e779590</t>
        </is>
      </c>
      <c r="BB21" s="24" t="inlineStr">
        <is>
          <t>surface_blended_elo</t>
        </is>
      </c>
      <c r="BC21" s="24" t="inlineStr">
        <is>
          <t>tennis-surface-elo-v1</t>
        </is>
      </c>
      <c r="BD21" s="24" t="inlineStr">
        <is>
          <t>73429bd71f12304106b9ffb751bd50617d5109d487f00de7ae2732f60e779590</t>
        </is>
      </c>
      <c r="BE21" s="24" t="inlineStr">
        <is>
          <t>tennis-surface-elo-v1</t>
        </is>
      </c>
      <c r="BF21" s="24" t="inlineStr">
        <is>
          <t>1</t>
        </is>
      </c>
      <c r="BG21" s="24" t="inlineStr">
        <is>
          <t>73429bd71f12304106b9ffb751bd50617d5109d487f00de7ae2732f60e779590</t>
        </is>
      </c>
      <c r="BH21" s="24" t="inlineStr">
        <is>
          <t>2026-07-28T14:19:47.442380Z</t>
        </is>
      </c>
      <c r="BI21" s="24" t="inlineStr">
        <is>
          <t>["same_event","same_team_same_day","same_league_same_day"]</t>
        </is>
      </c>
      <c r="BJ21" s="25" t="n"/>
      <c r="BK21" s="26" t="n">
        <v>-133</v>
      </c>
      <c r="BL21" s="27" t="n">
        <v>1.75188</v>
      </c>
      <c r="BM21" s="28" t="n">
        <v>0.570815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</row>
    <row r="22" ht="36" customHeight="1">
      <c r="A22" s="24" t="inlineStr">
        <is>
          <t>6a97ad946c334512</t>
        </is>
      </c>
      <c r="B22" s="24" t="inlineStr">
        <is>
          <t>2026-07-28T14:22:03.423136Z</t>
        </is>
      </c>
      <c r="C22" s="24" t="inlineStr">
        <is>
          <t>2026-07-28T15:00Z</t>
        </is>
      </c>
      <c r="D22" s="24" t="inlineStr">
        <is>
          <t>888-2026:179017</t>
        </is>
      </c>
      <c r="E22" s="24" t="inlineStr">
        <is>
          <t>TENNIS</t>
        </is>
      </c>
      <c r="F22" s="24" t="inlineStr">
        <is>
          <t>Wang Xinyu</t>
        </is>
      </c>
      <c r="G22" s="24" t="inlineStr">
        <is>
          <t>Julieta Pareja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-138</v>
      </c>
      <c r="M22" s="27" t="n">
        <v>1.724638</v>
      </c>
      <c r="N22" s="28" t="n">
        <v>0.579832</v>
      </c>
      <c r="O22" s="28" t="n">
        <v>0.624023</v>
      </c>
      <c r="P22" s="28" t="n">
        <v>0.05</v>
      </c>
      <c r="Q22" s="28" t="n">
        <v>0.044191</v>
      </c>
      <c r="R22" s="26" t="n">
        <v>42</v>
      </c>
      <c r="S22" s="29" t="n">
        <v>1.5</v>
      </c>
      <c r="T22" s="24" t="inlineStr">
        <is>
          <t>tennis-surface-elo-v1</t>
        </is>
      </c>
      <c r="U22" s="24" t="inlineStr">
        <is>
          <t>settled</t>
        </is>
      </c>
      <c r="V22" s="24" t="inlineStr">
        <is>
          <t>win</t>
        </is>
      </c>
      <c r="W22" s="26" t="n">
        <v>1</v>
      </c>
      <c r="X22" s="26" t="n">
        <v>0</v>
      </c>
      <c r="Y22" s="25" t="n"/>
      <c r="Z22" s="26" t="n"/>
      <c r="AA22" s="28" t="n"/>
      <c r="AB22" s="28" t="n"/>
      <c r="AC22" s="30" t="n">
        <v>1.087</v>
      </c>
      <c r="AD22" s="24" t="inlineStr">
        <is>
          <t>2026-07-28T17:24:52.772577Z</t>
        </is>
      </c>
      <c r="AE22" s="31" t="inlineStr">
        <is>
          <t>Surface-blended Elo on Hard: Wang Xinyu p=0.624 vs Julieta Pareja. Executable ask 0.5800 (aec-wta-julpar-xinwan-2026-07-27).</t>
        </is>
      </c>
      <c r="AF22" s="31" t="inlineStr">
        <is>
          <t>Research-only surface-blended Elo model; singles only, WTA-only market coverage, not yet locked-holdout qualified.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research_observation</t>
        </is>
      </c>
      <c r="AL22" s="26" t="n">
        <v>3</v>
      </c>
      <c r="AM22" s="24" t="inlineStr">
        <is>
          <t>RESEARCH_OBSERVATION</t>
        </is>
      </c>
      <c r="AN22" s="24" t="inlineStr">
        <is>
          <t>NO_CALL</t>
        </is>
      </c>
      <c r="AO22" s="24" t="inlineStr">
        <is>
          <t>NO_CALL_MODEL_UNVALIDATED</t>
        </is>
      </c>
      <c r="AP22" s="24" t="inlineStr">
        <is>
          <t>Wang Xinyu</t>
        </is>
      </c>
      <c r="AQ22" s="24" t="inlineStr">
        <is>
          <t>Wang Xinyu</t>
        </is>
      </c>
      <c r="AR22" s="24" t="inlineStr">
        <is>
          <t>Wang Xinyu</t>
        </is>
      </c>
      <c r="AS22" s="24" t="inlineStr">
        <is>
          <t>Julieta Pareja</t>
        </is>
      </c>
      <c r="AT22" s="24" t="inlineStr">
        <is>
          <t>Julieta Pareja</t>
        </is>
      </c>
      <c r="AU22" s="24" t="inlineStr">
        <is>
          <t>Julieta Pareja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research</t>
        </is>
      </c>
      <c r="BA22" s="24" t="inlineStr">
        <is>
          <t>73429bd71f12304106b9ffb751bd50617d5109d487f00de7ae2732f60e779590</t>
        </is>
      </c>
      <c r="BB22" s="24" t="inlineStr">
        <is>
          <t>surface_blended_elo</t>
        </is>
      </c>
      <c r="BC22" s="24" t="inlineStr">
        <is>
          <t>tennis-surface-elo-v1</t>
        </is>
      </c>
      <c r="BD22" s="24" t="inlineStr">
        <is>
          <t>73429bd71f12304106b9ffb751bd50617d5109d487f00de7ae2732f60e779590</t>
        </is>
      </c>
      <c r="BE22" s="24" t="inlineStr">
        <is>
          <t>tennis-surface-elo-v1</t>
        </is>
      </c>
      <c r="BF22" s="24" t="inlineStr">
        <is>
          <t>1</t>
        </is>
      </c>
      <c r="BG22" s="24" t="inlineStr">
        <is>
          <t>73429bd71f12304106b9ffb751bd50617d5109d487f00de7ae2732f60e779590</t>
        </is>
      </c>
      <c r="BH22" s="24" t="inlineStr">
        <is>
          <t>2026-07-28T14:19:49.037022Z</t>
        </is>
      </c>
      <c r="BI22" s="24" t="inlineStr">
        <is>
          <t>["same_event","same_team_same_day","same_league_same_day"]</t>
        </is>
      </c>
      <c r="BJ22" s="25" t="n"/>
      <c r="BK22" s="26" t="n">
        <v>-138</v>
      </c>
      <c r="BL22" s="27" t="n">
        <v>1.724638</v>
      </c>
      <c r="BM22" s="28" t="n">
        <v>0.579832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</row>
    <row r="23" ht="36" customHeight="1">
      <c r="A23" s="24" t="inlineStr">
        <is>
          <t>ba633ac72b564928</t>
        </is>
      </c>
      <c r="B23" s="24" t="inlineStr">
        <is>
          <t>2026-07-28T14:22:03.423136Z</t>
        </is>
      </c>
      <c r="C23" s="24" t="inlineStr">
        <is>
          <t>2026-07-28T15:00Z</t>
        </is>
      </c>
      <c r="D23" s="24" t="inlineStr">
        <is>
          <t>1067-2026:179443</t>
        </is>
      </c>
      <c r="E23" s="24" t="inlineStr">
        <is>
          <t>TENNIS</t>
        </is>
      </c>
      <c r="F23" s="24" t="inlineStr">
        <is>
          <t>Kristina Liutova</t>
        </is>
      </c>
      <c r="G23" s="24" t="inlineStr">
        <is>
          <t>Ekaterina Alexandrova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-203</v>
      </c>
      <c r="M23" s="27" t="n">
        <v>1.492611</v>
      </c>
      <c r="N23" s="28" t="n">
        <v>0.669967</v>
      </c>
      <c r="O23" s="28" t="n">
        <v>0.695466</v>
      </c>
      <c r="P23" s="28" t="n">
        <v>0.05</v>
      </c>
      <c r="Q23" s="28" t="n">
        <v>0.025499</v>
      </c>
      <c r="R23" s="26" t="n">
        <v>33</v>
      </c>
      <c r="S23" s="29" t="n">
        <v>2</v>
      </c>
      <c r="T23" s="24" t="inlineStr">
        <is>
          <t>tennis-surface-elo-v1</t>
        </is>
      </c>
      <c r="U23" s="24" t="inlineStr">
        <is>
          <t>settled</t>
        </is>
      </c>
      <c r="V23" s="24" t="inlineStr">
        <is>
          <t>loss</t>
        </is>
      </c>
      <c r="W23" s="26" t="n">
        <v>1</v>
      </c>
      <c r="X23" s="26" t="n">
        <v>0</v>
      </c>
      <c r="Y23" s="25" t="n"/>
      <c r="Z23" s="26" t="n"/>
      <c r="AA23" s="28" t="n"/>
      <c r="AB23" s="28" t="n"/>
      <c r="AC23" s="30" t="n">
        <v>-2</v>
      </c>
      <c r="AD23" s="24" t="inlineStr">
        <is>
          <t>2026-07-28T20:31:20.658235Z</t>
        </is>
      </c>
      <c r="AE23" s="31" t="inlineStr">
        <is>
          <t>Surface-blended Elo on Hard: Kristina Liutova p=0.305 vs Ekaterina Alexandrova. Executable ask 0.6700 (aec-wta-ekaale-kriliu-2026-07-28).</t>
        </is>
      </c>
      <c r="AF23" s="31" t="inlineStr">
        <is>
          <t>Research-only surface-blended Elo model; singles only, WTA-only market coverage, not yet locked-holdout qualified.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research_observation</t>
        </is>
      </c>
      <c r="AL23" s="26" t="n">
        <v>3</v>
      </c>
      <c r="AM23" s="24" t="inlineStr">
        <is>
          <t>RESEARCH_OBSERVATION</t>
        </is>
      </c>
      <c r="AN23" s="24" t="inlineStr">
        <is>
          <t>NO_CALL</t>
        </is>
      </c>
      <c r="AO23" s="24" t="inlineStr">
        <is>
          <t>NO_CALL_MODEL_UNVALIDATED</t>
        </is>
      </c>
      <c r="AP23" s="24" t="inlineStr">
        <is>
          <t>Kristina Liutova</t>
        </is>
      </c>
      <c r="AQ23" s="24" t="inlineStr">
        <is>
          <t>Kristina Liutova</t>
        </is>
      </c>
      <c r="AR23" s="24" t="inlineStr">
        <is>
          <t>Kristina Liutova</t>
        </is>
      </c>
      <c r="AS23" s="24" t="inlineStr">
        <is>
          <t>Ekaterina Alexandrova</t>
        </is>
      </c>
      <c r="AT23" s="24" t="inlineStr">
        <is>
          <t>Ekaterina Alexandrova</t>
        </is>
      </c>
      <c r="AU23" s="24" t="inlineStr">
        <is>
          <t>Ekaterina Alexandrova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research</t>
        </is>
      </c>
      <c r="BA23" s="24" t="inlineStr">
        <is>
          <t>73429bd71f12304106b9ffb751bd50617d5109d487f00de7ae2732f60e779590</t>
        </is>
      </c>
      <c r="BB23" s="24" t="inlineStr">
        <is>
          <t>surface_blended_elo</t>
        </is>
      </c>
      <c r="BC23" s="24" t="inlineStr">
        <is>
          <t>tennis-surface-elo-v1</t>
        </is>
      </c>
      <c r="BD23" s="24" t="inlineStr">
        <is>
          <t>73429bd71f12304106b9ffb751bd50617d5109d487f00de7ae2732f60e779590</t>
        </is>
      </c>
      <c r="BE23" s="24" t="inlineStr">
        <is>
          <t>tennis-surface-elo-v1</t>
        </is>
      </c>
      <c r="BF23" s="24" t="inlineStr">
        <is>
          <t>1</t>
        </is>
      </c>
      <c r="BG23" s="24" t="inlineStr">
        <is>
          <t>73429bd71f12304106b9ffb751bd50617d5109d487f00de7ae2732f60e779590</t>
        </is>
      </c>
      <c r="BH23" s="24" t="inlineStr">
        <is>
          <t>2026-07-28T14:19:54.883376Z</t>
        </is>
      </c>
      <c r="BI23" s="24" t="inlineStr">
        <is>
          <t>["same_event","same_team_same_day","same_league_same_day"]</t>
        </is>
      </c>
      <c r="BJ23" s="25" t="n"/>
      <c r="BK23" s="26" t="n">
        <v>-203</v>
      </c>
      <c r="BL23" s="27" t="n">
        <v>1.492611</v>
      </c>
      <c r="BM23" s="28" t="n">
        <v>0.669967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</row>
    <row r="24" ht="36" customHeight="1">
      <c r="A24" s="24" t="inlineStr">
        <is>
          <t>1bd4b44fe1704333</t>
        </is>
      </c>
      <c r="B24" s="24" t="inlineStr">
        <is>
          <t>2026-07-28T14:22:03.423136Z</t>
        </is>
      </c>
      <c r="C24" s="24" t="inlineStr">
        <is>
          <t>2026-07-28T15:00Z</t>
        </is>
      </c>
      <c r="D24" s="24" t="inlineStr">
        <is>
          <t>1067-2026:179450</t>
        </is>
      </c>
      <c r="E24" s="24" t="inlineStr">
        <is>
          <t>TENNIS</t>
        </is>
      </c>
      <c r="F24" s="24" t="inlineStr">
        <is>
          <t>Cadence Brace</t>
        </is>
      </c>
      <c r="G24" s="24" t="inlineStr">
        <is>
          <t>Zeynep Sonmez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-614</v>
      </c>
      <c r="M24" s="27" t="n">
        <v>1.162866</v>
      </c>
      <c r="N24" s="28" t="n">
        <v>0.859944</v>
      </c>
      <c r="O24" s="28" t="n">
        <v>0.772271</v>
      </c>
      <c r="P24" s="28" t="n">
        <v>0.05</v>
      </c>
      <c r="Q24" s="28" t="n">
        <v>-0.087673</v>
      </c>
      <c r="R24" s="26" t="n">
        <v>0</v>
      </c>
      <c r="S24" s="29" t="n">
        <v>2</v>
      </c>
      <c r="T24" s="24" t="inlineStr">
        <is>
          <t>tennis-surface-elo-v1</t>
        </is>
      </c>
      <c r="U24" s="24" t="inlineStr">
        <is>
          <t>settled</t>
        </is>
      </c>
      <c r="V24" s="24" t="inlineStr">
        <is>
          <t>win</t>
        </is>
      </c>
      <c r="W24" s="26" t="n">
        <v>0</v>
      </c>
      <c r="X24" s="26" t="n">
        <v>1</v>
      </c>
      <c r="Y24" s="25" t="n"/>
      <c r="Z24" s="26" t="n"/>
      <c r="AA24" s="28" t="n"/>
      <c r="AB24" s="28" t="n"/>
      <c r="AC24" s="30" t="n">
        <v>0.3257</v>
      </c>
      <c r="AD24" s="24" t="inlineStr">
        <is>
          <t>2026-07-28T17:24:52.915624Z</t>
        </is>
      </c>
      <c r="AE24" s="31" t="inlineStr">
        <is>
          <t>Surface-blended Elo on Hard: Cadence Brace p=0.228 vs Zeynep Sonmez. Executable ask 0.8600 (aec-wta-zeyson-cadbra-2026-07-26).</t>
        </is>
      </c>
      <c r="AF24" s="31" t="inlineStr">
        <is>
          <t>Research-only surface-blended Elo model; singles only, WTA-only market coverage, not yet locked-holdout qualified.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research_observation</t>
        </is>
      </c>
      <c r="AL24" s="26" t="n">
        <v>3</v>
      </c>
      <c r="AM24" s="24" t="inlineStr">
        <is>
          <t>RESEARCH_OBSERVATION</t>
        </is>
      </c>
      <c r="AN24" s="24" t="inlineStr">
        <is>
          <t>NO_CALL</t>
        </is>
      </c>
      <c r="AO24" s="24" t="inlineStr">
        <is>
          <t>NO_CALL_MODEL_UNVALIDATED</t>
        </is>
      </c>
      <c r="AP24" s="24" t="inlineStr">
        <is>
          <t>Cadence Brace</t>
        </is>
      </c>
      <c r="AQ24" s="24" t="inlineStr">
        <is>
          <t>Cadence Brace</t>
        </is>
      </c>
      <c r="AR24" s="24" t="inlineStr">
        <is>
          <t>Cadence Brace</t>
        </is>
      </c>
      <c r="AS24" s="24" t="inlineStr">
        <is>
          <t>Zeynep Sonmez</t>
        </is>
      </c>
      <c r="AT24" s="24" t="inlineStr">
        <is>
          <t>Zeynep Sonmez</t>
        </is>
      </c>
      <c r="AU24" s="24" t="inlineStr">
        <is>
          <t>Zeynep Sonmez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research</t>
        </is>
      </c>
      <c r="BA24" s="24" t="inlineStr">
        <is>
          <t>73429bd71f12304106b9ffb751bd50617d5109d487f00de7ae2732f60e779590</t>
        </is>
      </c>
      <c r="BB24" s="24" t="inlineStr">
        <is>
          <t>surface_blended_elo</t>
        </is>
      </c>
      <c r="BC24" s="24" t="inlineStr">
        <is>
          <t>tennis-surface-elo-v1</t>
        </is>
      </c>
      <c r="BD24" s="24" t="inlineStr">
        <is>
          <t>73429bd71f12304106b9ffb751bd50617d5109d487f00de7ae2732f60e779590</t>
        </is>
      </c>
      <c r="BE24" s="24" t="inlineStr">
        <is>
          <t>tennis-surface-elo-v1</t>
        </is>
      </c>
      <c r="BF24" s="24" t="inlineStr">
        <is>
          <t>1</t>
        </is>
      </c>
      <c r="BG24" s="24" t="inlineStr">
        <is>
          <t>73429bd71f12304106b9ffb751bd50617d5109d487f00de7ae2732f60e779590</t>
        </is>
      </c>
      <c r="BH24" s="24" t="inlineStr">
        <is>
          <t>2026-07-28T14:19:52.688752Z</t>
        </is>
      </c>
      <c r="BI24" s="24" t="inlineStr">
        <is>
          <t>["same_event","same_team_same_day","same_league_same_day"]</t>
        </is>
      </c>
      <c r="BJ24" s="25" t="n"/>
      <c r="BK24" s="26" t="n">
        <v>-614</v>
      </c>
      <c r="BL24" s="27" t="n">
        <v>1.162866</v>
      </c>
      <c r="BM24" s="28" t="n">
        <v>0.859944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</row>
    <row r="25" ht="36" customHeight="1">
      <c r="A25" s="24" t="inlineStr">
        <is>
          <t>056d2c4664fc49e4</t>
        </is>
      </c>
      <c r="B25" s="24" t="inlineStr">
        <is>
          <t>2026-07-28T16:33:15.182462Z</t>
        </is>
      </c>
      <c r="C25" s="24" t="inlineStr">
        <is>
          <t>2026-07-28T17:00Z</t>
        </is>
      </c>
      <c r="D25" s="24" t="inlineStr">
        <is>
          <t>888-2026:179022</t>
        </is>
      </c>
      <c r="E25" s="24" t="inlineStr">
        <is>
          <t>TENNIS</t>
        </is>
      </c>
      <c r="F25" s="24" t="inlineStr">
        <is>
          <t>Zheng Qinwen</t>
        </is>
      </c>
      <c r="G25" s="24" t="inlineStr">
        <is>
          <t>Alexandra Eala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-133</v>
      </c>
      <c r="M25" s="27" t="n">
        <v>1.75188</v>
      </c>
      <c r="N25" s="28" t="n">
        <v>0.570815</v>
      </c>
      <c r="O25" s="28" t="n">
        <v>0.527043</v>
      </c>
      <c r="P25" s="28" t="n">
        <v>0.05</v>
      </c>
      <c r="Q25" s="28" t="n">
        <v>-0.043772</v>
      </c>
      <c r="R25" s="26" t="n">
        <v>0</v>
      </c>
      <c r="S25" s="29" t="n">
        <v>1</v>
      </c>
      <c r="T25" s="24" t="inlineStr">
        <is>
          <t>tennis-surface-elo-v1</t>
        </is>
      </c>
      <c r="U25" s="24" t="inlineStr">
        <is>
          <t>settled</t>
        </is>
      </c>
      <c r="V25" s="24" t="inlineStr">
        <is>
          <t>loss</t>
        </is>
      </c>
      <c r="W25" s="26" t="n">
        <v>0</v>
      </c>
      <c r="X25" s="26" t="n">
        <v>1</v>
      </c>
      <c r="Y25" s="25" t="n"/>
      <c r="Z25" s="26" t="n"/>
      <c r="AA25" s="28" t="n"/>
      <c r="AB25" s="28" t="n"/>
      <c r="AC25" s="30" t="n">
        <v>-1</v>
      </c>
      <c r="AD25" s="24" t="inlineStr">
        <is>
          <t>2026-07-28T20:31:20.789060Z</t>
        </is>
      </c>
      <c r="AE25" s="31" t="inlineStr">
        <is>
          <t>Surface-blended Elo on Hard: Zheng Qinwen p=0.527 vs Alexandra Eala. Executable ask 0.5700 (aec-wta-aleeal-qinzhe-2026-07-27).</t>
        </is>
      </c>
      <c r="AF25" s="31" t="inlineStr">
        <is>
          <t>Research-only surface-blended Elo model; singles only, WTA-only market coverage, not yet locked-holdout qualified.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research_observation</t>
        </is>
      </c>
      <c r="AL25" s="26" t="n">
        <v>3</v>
      </c>
      <c r="AM25" s="24" t="inlineStr">
        <is>
          <t>RESEARCH_OBSERVATION</t>
        </is>
      </c>
      <c r="AN25" s="24" t="inlineStr">
        <is>
          <t>NO_CALL</t>
        </is>
      </c>
      <c r="AO25" s="24" t="inlineStr">
        <is>
          <t>NO_CALL_MODEL_UNVALIDATED</t>
        </is>
      </c>
      <c r="AP25" s="24" t="inlineStr">
        <is>
          <t>Zheng Qinwen</t>
        </is>
      </c>
      <c r="AQ25" s="24" t="inlineStr">
        <is>
          <t>Zheng Qinwen</t>
        </is>
      </c>
      <c r="AR25" s="24" t="inlineStr">
        <is>
          <t>Zheng Qinwen</t>
        </is>
      </c>
      <c r="AS25" s="24" t="inlineStr">
        <is>
          <t>Alexandra Eala</t>
        </is>
      </c>
      <c r="AT25" s="24" t="inlineStr">
        <is>
          <t>Alexandra Eala</t>
        </is>
      </c>
      <c r="AU25" s="24" t="inlineStr">
        <is>
          <t>Alexandra Eala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research</t>
        </is>
      </c>
      <c r="BA25" s="24" t="inlineStr">
        <is>
          <t>73429bd71f12304106b9ffb751bd50617d5109d487f00de7ae2732f60e779590</t>
        </is>
      </c>
      <c r="BB25" s="24" t="inlineStr">
        <is>
          <t>surface_blended_elo</t>
        </is>
      </c>
      <c r="BC25" s="24" t="inlineStr">
        <is>
          <t>tennis-surface-elo-v1</t>
        </is>
      </c>
      <c r="BD25" s="24" t="inlineStr">
        <is>
          <t>73429bd71f12304106b9ffb751bd50617d5109d487f00de7ae2732f60e779590</t>
        </is>
      </c>
      <c r="BE25" s="24" t="inlineStr">
        <is>
          <t>tennis-surface-elo-v1</t>
        </is>
      </c>
      <c r="BF25" s="24" t="inlineStr">
        <is>
          <t>1</t>
        </is>
      </c>
      <c r="BG25" s="24" t="inlineStr">
        <is>
          <t>73429bd71f12304106b9ffb751bd50617d5109d487f00de7ae2732f60e779590</t>
        </is>
      </c>
      <c r="BH25" s="24" t="inlineStr">
        <is>
          <t>2026-07-28T16:31:07.397161Z</t>
        </is>
      </c>
      <c r="BI25" s="24" t="inlineStr">
        <is>
          <t>["same_event","same_team_same_day","same_league_same_day"]</t>
        </is>
      </c>
      <c r="BJ25" s="25" t="n"/>
      <c r="BK25" s="26" t="n">
        <v>-133</v>
      </c>
      <c r="BL25" s="27" t="n">
        <v>1.75188</v>
      </c>
      <c r="BM25" s="28" t="n">
        <v>0.570815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</row>
    <row r="26" ht="36" customHeight="1">
      <c r="A26" s="24" t="inlineStr">
        <is>
          <t>6e2e3187c05a4d6a</t>
        </is>
      </c>
      <c r="B26" s="24" t="inlineStr">
        <is>
          <t>2026-07-28T17:28:10.769619Z</t>
        </is>
      </c>
      <c r="C26" s="24" t="inlineStr">
        <is>
          <t>2026-07-28T19:00Z</t>
        </is>
      </c>
      <c r="D26" s="24" t="inlineStr">
        <is>
          <t>875-2026:179553</t>
        </is>
      </c>
      <c r="E26" s="24" t="inlineStr">
        <is>
          <t>TENNIS</t>
        </is>
      </c>
      <c r="F26" s="24" t="inlineStr">
        <is>
          <t>Nao Hibino</t>
        </is>
      </c>
      <c r="G26" s="24" t="inlineStr">
        <is>
          <t>Teah Chavez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614</v>
      </c>
      <c r="M26" s="27" t="n">
        <v>7.14</v>
      </c>
      <c r="N26" s="28" t="n">
        <v>0.140056</v>
      </c>
      <c r="O26" s="28" t="n">
        <v>0.588365</v>
      </c>
      <c r="P26" s="28" t="n">
        <v>0.2</v>
      </c>
      <c r="Q26" s="28" t="n">
        <v>0.448309</v>
      </c>
      <c r="R26" s="26" t="n">
        <v>100</v>
      </c>
      <c r="S26" s="29" t="n">
        <v>1</v>
      </c>
      <c r="T26" s="24" t="inlineStr">
        <is>
          <t>tennis-surface-elo-v1</t>
        </is>
      </c>
      <c r="U26" s="24" t="inlineStr">
        <is>
          <t>settled</t>
        </is>
      </c>
      <c r="V26" s="24" t="inlineStr">
        <is>
          <t>loss</t>
        </is>
      </c>
      <c r="W26" s="26" t="n">
        <v>1</v>
      </c>
      <c r="X26" s="26" t="n">
        <v>0</v>
      </c>
      <c r="Y26" s="25" t="n"/>
      <c r="Z26" s="26" t="n"/>
      <c r="AA26" s="28" t="n"/>
      <c r="AB26" s="28" t="n"/>
      <c r="AC26" s="30" t="n">
        <v>-1</v>
      </c>
      <c r="AD26" s="24" t="inlineStr">
        <is>
          <t>2026-07-28T23:37:09.013311Z</t>
        </is>
      </c>
      <c r="AE26" s="31" t="inlineStr">
        <is>
          <t>Surface-blended Elo on Hard: Nao Hibino p=0.412 vs Teah Chavez. Executable ask 0.1400 (aec-wta-teacha-naohib-2026-07-27).</t>
        </is>
      </c>
      <c r="AF26" s="31" t="inlineStr">
        <is>
          <t>Research-only surface-blended Elo model; singles only, WTA-only market coverage, not yet locked-holdout qualified.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research_observation</t>
        </is>
      </c>
      <c r="AL26" s="26" t="n">
        <v>3</v>
      </c>
      <c r="AM26" s="24" t="inlineStr">
        <is>
          <t>RESEARCH_OBSERVATION</t>
        </is>
      </c>
      <c r="AN26" s="24" t="inlineStr">
        <is>
          <t>NO_CALL</t>
        </is>
      </c>
      <c r="AO26" s="24" t="inlineStr">
        <is>
          <t>NO_CALL_MODEL_UNVALIDATED</t>
        </is>
      </c>
      <c r="AP26" s="24" t="inlineStr">
        <is>
          <t>Nao Hibino</t>
        </is>
      </c>
      <c r="AQ26" s="24" t="inlineStr">
        <is>
          <t>Nao Hibino</t>
        </is>
      </c>
      <c r="AR26" s="24" t="inlineStr">
        <is>
          <t>Nao Hibino</t>
        </is>
      </c>
      <c r="AS26" s="24" t="inlineStr">
        <is>
          <t>Teah Chavez</t>
        </is>
      </c>
      <c r="AT26" s="24" t="inlineStr">
        <is>
          <t>Teah Chavez</t>
        </is>
      </c>
      <c r="AU26" s="24" t="inlineStr">
        <is>
          <t>Teah Chavez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research</t>
        </is>
      </c>
      <c r="BA26" s="24" t="inlineStr">
        <is>
          <t>73429bd71f12304106b9ffb751bd50617d5109d487f00de7ae2732f60e779590</t>
        </is>
      </c>
      <c r="BB26" s="24" t="inlineStr">
        <is>
          <t>surface_blended_elo</t>
        </is>
      </c>
      <c r="BC26" s="24" t="inlineStr">
        <is>
          <t>tennis-surface-elo-v1</t>
        </is>
      </c>
      <c r="BD26" s="24" t="inlineStr">
        <is>
          <t>73429bd71f12304106b9ffb751bd50617d5109d487f00de7ae2732f60e779590</t>
        </is>
      </c>
      <c r="BE26" s="24" t="inlineStr">
        <is>
          <t>tennis-surface-elo-v1</t>
        </is>
      </c>
      <c r="BF26" s="24" t="inlineStr">
        <is>
          <t>1</t>
        </is>
      </c>
      <c r="BG26" s="24" t="inlineStr">
        <is>
          <t>73429bd71f12304106b9ffb751bd50617d5109d487f00de7ae2732f60e779590</t>
        </is>
      </c>
      <c r="BH26" s="24" t="inlineStr">
        <is>
          <t>2026-07-28T17:26:00.042296Z</t>
        </is>
      </c>
      <c r="BI26" s="24" t="inlineStr">
        <is>
          <t>["same_event","same_team_same_day","same_league_same_day"]</t>
        </is>
      </c>
      <c r="BJ26" s="25" t="n"/>
      <c r="BK26" s="26" t="n">
        <v>614</v>
      </c>
      <c r="BL26" s="27" t="n">
        <v>7.14</v>
      </c>
      <c r="BM26" s="28" t="n">
        <v>0.140056</v>
      </c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</row>
    <row r="27" ht="36" customHeight="1">
      <c r="A27" s="24" t="inlineStr">
        <is>
          <t>7170400c15374484</t>
        </is>
      </c>
      <c r="B27" s="24" t="inlineStr">
        <is>
          <t>2026-07-28T17:28:10.769619Z</t>
        </is>
      </c>
      <c r="C27" s="24" t="inlineStr">
        <is>
          <t>2026-07-28T20:30Z</t>
        </is>
      </c>
      <c r="D27" s="24" t="inlineStr">
        <is>
          <t>875-2026:179534</t>
        </is>
      </c>
      <c r="E27" s="24" t="inlineStr">
        <is>
          <t>TENNIS</t>
        </is>
      </c>
      <c r="F27" s="24" t="inlineStr">
        <is>
          <t>Miho Kuramochi</t>
        </is>
      </c>
      <c r="G27" s="24" t="inlineStr">
        <is>
          <t>Moyuka Uchijima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-376</v>
      </c>
      <c r="M27" s="27" t="n">
        <v>1.265957</v>
      </c>
      <c r="N27" s="28" t="n">
        <v>0.789916</v>
      </c>
      <c r="O27" s="28" t="n">
        <v>0.629629</v>
      </c>
      <c r="P27" s="28" t="n">
        <v>0.05</v>
      </c>
      <c r="Q27" s="28" t="n">
        <v>-0.160287</v>
      </c>
      <c r="R27" s="26" t="n">
        <v>0</v>
      </c>
      <c r="S27" s="29" t="n">
        <v>1.5</v>
      </c>
      <c r="T27" s="24" t="inlineStr">
        <is>
          <t>tennis-surface-elo-v1</t>
        </is>
      </c>
      <c r="U27" s="24" t="inlineStr">
        <is>
          <t>settled</t>
        </is>
      </c>
      <c r="V27" s="24" t="inlineStr">
        <is>
          <t>win</t>
        </is>
      </c>
      <c r="W27" s="26" t="n">
        <v>0</v>
      </c>
      <c r="X27" s="26" t="n">
        <v>1</v>
      </c>
      <c r="Y27" s="25" t="n"/>
      <c r="Z27" s="26" t="n"/>
      <c r="AA27" s="28" t="n"/>
      <c r="AB27" s="28" t="n"/>
      <c r="AC27" s="30" t="n">
        <v>0.3989</v>
      </c>
      <c r="AD27" s="24" t="inlineStr">
        <is>
          <t>2026-07-28T23:37:09.141329Z</t>
        </is>
      </c>
      <c r="AE27" s="31" t="inlineStr">
        <is>
          <t>Surface-blended Elo on Hard: Miho Kuramochi p=0.370 vs Moyuka Uchijima. Executable ask 0.7900 (aec-wta-moyuch-mihkur-2026-07-28).</t>
        </is>
      </c>
      <c r="AF27" s="31" t="inlineStr">
        <is>
          <t>Research-only surface-blended Elo model; singles only, WTA-only market coverage, not yet locked-holdout qualified.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research_observation</t>
        </is>
      </c>
      <c r="AL27" s="26" t="n">
        <v>3</v>
      </c>
      <c r="AM27" s="24" t="inlineStr">
        <is>
          <t>RESEARCH_OBSERVATION</t>
        </is>
      </c>
      <c r="AN27" s="24" t="inlineStr">
        <is>
          <t>NO_CALL</t>
        </is>
      </c>
      <c r="AO27" s="24" t="inlineStr">
        <is>
          <t>NO_CALL_MODEL_UNVALIDATED</t>
        </is>
      </c>
      <c r="AP27" s="24" t="inlineStr">
        <is>
          <t>Miho Kuramochi</t>
        </is>
      </c>
      <c r="AQ27" s="24" t="inlineStr">
        <is>
          <t>Miho Kuramochi</t>
        </is>
      </c>
      <c r="AR27" s="24" t="inlineStr">
        <is>
          <t>Miho Kuramochi</t>
        </is>
      </c>
      <c r="AS27" s="24" t="inlineStr">
        <is>
          <t>Moyuka Uchijima</t>
        </is>
      </c>
      <c r="AT27" s="24" t="inlineStr">
        <is>
          <t>Moyuka Uchijima</t>
        </is>
      </c>
      <c r="AU27" s="24" t="inlineStr">
        <is>
          <t>Moyuka Uchijima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research</t>
        </is>
      </c>
      <c r="BA27" s="24" t="inlineStr">
        <is>
          <t>73429bd71f12304106b9ffb751bd50617d5109d487f00de7ae2732f60e779590</t>
        </is>
      </c>
      <c r="BB27" s="24" t="inlineStr">
        <is>
          <t>surface_blended_elo</t>
        </is>
      </c>
      <c r="BC27" s="24" t="inlineStr">
        <is>
          <t>tennis-surface-elo-v1</t>
        </is>
      </c>
      <c r="BD27" s="24" t="inlineStr">
        <is>
          <t>73429bd71f12304106b9ffb751bd50617d5109d487f00de7ae2732f60e779590</t>
        </is>
      </c>
      <c r="BE27" s="24" t="inlineStr">
        <is>
          <t>tennis-surface-elo-v1</t>
        </is>
      </c>
      <c r="BF27" s="24" t="inlineStr">
        <is>
          <t>1</t>
        </is>
      </c>
      <c r="BG27" s="24" t="inlineStr">
        <is>
          <t>73429bd71f12304106b9ffb751bd50617d5109d487f00de7ae2732f60e779590</t>
        </is>
      </c>
      <c r="BH27" s="24" t="inlineStr">
        <is>
          <t>2026-07-28T17:26:02.304685Z</t>
        </is>
      </c>
      <c r="BI27" s="24" t="inlineStr">
        <is>
          <t>["same_event","same_team_same_day","same_league_same_day"]</t>
        </is>
      </c>
      <c r="BJ27" s="25" t="n"/>
      <c r="BK27" s="26" t="n">
        <v>-376</v>
      </c>
      <c r="BL27" s="27" t="n">
        <v>1.265957</v>
      </c>
      <c r="BM27" s="28" t="n">
        <v>0.789916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</row>
    <row r="28" ht="36" customHeight="1">
      <c r="A28" s="24" t="inlineStr">
        <is>
          <t>ae93d371d4b04bd0</t>
        </is>
      </c>
      <c r="B28" s="24" t="inlineStr">
        <is>
          <t>2026-07-28T17:28:10.769619Z</t>
        </is>
      </c>
      <c r="C28" s="24" t="inlineStr">
        <is>
          <t>2026-07-28T19:00Z</t>
        </is>
      </c>
      <c r="D28" s="24" t="inlineStr">
        <is>
          <t>888-2026:179003</t>
        </is>
      </c>
      <c r="E28" s="24" t="inlineStr">
        <is>
          <t>TENNIS</t>
        </is>
      </c>
      <c r="F28" s="24" t="inlineStr">
        <is>
          <t>Anna Kalinskaya</t>
        </is>
      </c>
      <c r="G28" s="24" t="inlineStr">
        <is>
          <t>Daria Kasatkina</t>
        </is>
      </c>
      <c r="H28" s="24" t="inlineStr">
        <is>
          <t>moneyline</t>
        </is>
      </c>
      <c r="I28" s="24" t="inlineStr">
        <is>
          <t>away</t>
        </is>
      </c>
      <c r="J28" s="25" t="n"/>
      <c r="K28" s="24" t="inlineStr">
        <is>
          <t>polymarket_us</t>
        </is>
      </c>
      <c r="L28" s="26" t="n">
        <v>-178</v>
      </c>
      <c r="M28" s="27" t="n">
        <v>1.561798</v>
      </c>
      <c r="N28" s="28" t="n">
        <v>0.640288</v>
      </c>
      <c r="O28" s="28" t="n">
        <v>0.604672</v>
      </c>
      <c r="P28" s="28" t="n">
        <v>0.05</v>
      </c>
      <c r="Q28" s="28" t="n">
        <v>-0.035616</v>
      </c>
      <c r="R28" s="26" t="n">
        <v>2</v>
      </c>
      <c r="S28" s="29" t="n">
        <v>1.25</v>
      </c>
      <c r="T28" s="24" t="inlineStr">
        <is>
          <t>tennis-surface-elo-v1</t>
        </is>
      </c>
      <c r="U28" s="24" t="inlineStr">
        <is>
          <t>settled</t>
        </is>
      </c>
      <c r="V28" s="24" t="inlineStr">
        <is>
          <t>win</t>
        </is>
      </c>
      <c r="W28" s="26" t="n">
        <v>1</v>
      </c>
      <c r="X28" s="26" t="n">
        <v>0</v>
      </c>
      <c r="Y28" s="25" t="n"/>
      <c r="Z28" s="26" t="n"/>
      <c r="AA28" s="28" t="n"/>
      <c r="AB28" s="28" t="n"/>
      <c r="AC28" s="30" t="n">
        <v>0.7022</v>
      </c>
      <c r="AD28" s="24" t="inlineStr">
        <is>
          <t>2026-07-28T23:37:09.272804Z</t>
        </is>
      </c>
      <c r="AE28" s="31" t="inlineStr">
        <is>
          <t>Surface-blended Elo on Hard: Anna Kalinskaya p=0.605 vs Daria Kasatkina. Executable ask 0.6400 (aec-wta-darkas-annkal-2026-07-27).</t>
        </is>
      </c>
      <c r="AF28" s="31" t="inlineStr">
        <is>
          <t>Research-only surface-blended Elo model; singles only, WTA-only market coverage, not yet locked-holdout qualified.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research_observation</t>
        </is>
      </c>
      <c r="AL28" s="26" t="n">
        <v>3</v>
      </c>
      <c r="AM28" s="24" t="inlineStr">
        <is>
          <t>RESEARCH_OBSERVATION</t>
        </is>
      </c>
      <c r="AN28" s="24" t="inlineStr">
        <is>
          <t>NO_CALL</t>
        </is>
      </c>
      <c r="AO28" s="24" t="inlineStr">
        <is>
          <t>NO_CALL_MODEL_UNVALIDATED</t>
        </is>
      </c>
      <c r="AP28" s="24" t="inlineStr">
        <is>
          <t>Anna Kalinskaya</t>
        </is>
      </c>
      <c r="AQ28" s="24" t="inlineStr">
        <is>
          <t>Anna Kalinskaya</t>
        </is>
      </c>
      <c r="AR28" s="24" t="inlineStr">
        <is>
          <t>Anna Kalinskaya</t>
        </is>
      </c>
      <c r="AS28" s="24" t="inlineStr">
        <is>
          <t>Daria Kasatkina</t>
        </is>
      </c>
      <c r="AT28" s="24" t="inlineStr">
        <is>
          <t>Daria Kasatkina</t>
        </is>
      </c>
      <c r="AU28" s="24" t="inlineStr">
        <is>
          <t>Daria Kasatkina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research</t>
        </is>
      </c>
      <c r="BA28" s="24" t="inlineStr">
        <is>
          <t>73429bd71f12304106b9ffb751bd50617d5109d487f00de7ae2732f60e779590</t>
        </is>
      </c>
      <c r="BB28" s="24" t="inlineStr">
        <is>
          <t>surface_blended_elo</t>
        </is>
      </c>
      <c r="BC28" s="24" t="inlineStr">
        <is>
          <t>tennis-surface-elo-v1</t>
        </is>
      </c>
      <c r="BD28" s="24" t="inlineStr">
        <is>
          <t>73429bd71f12304106b9ffb751bd50617d5109d487f00de7ae2732f60e779590</t>
        </is>
      </c>
      <c r="BE28" s="24" t="inlineStr">
        <is>
          <t>tennis-surface-elo-v1</t>
        </is>
      </c>
      <c r="BF28" s="24" t="inlineStr">
        <is>
          <t>1</t>
        </is>
      </c>
      <c r="BG28" s="24" t="inlineStr">
        <is>
          <t>73429bd71f12304106b9ffb751bd50617d5109d487f00de7ae2732f60e779590</t>
        </is>
      </c>
      <c r="BH28" s="24" t="inlineStr">
        <is>
          <t>2026-07-28T17:26:00.832341Z</t>
        </is>
      </c>
      <c r="BI28" s="24" t="inlineStr">
        <is>
          <t>["same_event","same_team_same_day","same_league_same_day"]</t>
        </is>
      </c>
      <c r="BJ28" s="25" t="n"/>
      <c r="BK28" s="26" t="n">
        <v>-178</v>
      </c>
      <c r="BL28" s="27" t="n">
        <v>1.561798</v>
      </c>
      <c r="BM28" s="28" t="n">
        <v>0.640288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</row>
    <row r="29" ht="36" customHeight="1">
      <c r="A29" s="24" t="inlineStr">
        <is>
          <t>00406ef261434c9c</t>
        </is>
      </c>
      <c r="B29" s="24" t="inlineStr">
        <is>
          <t>2026-07-28T17:28:10.769619Z</t>
        </is>
      </c>
      <c r="C29" s="24" t="inlineStr">
        <is>
          <t>2026-07-28T20:30Z</t>
        </is>
      </c>
      <c r="D29" s="24" t="inlineStr">
        <is>
          <t>888-2026:179007</t>
        </is>
      </c>
      <c r="E29" s="24" t="inlineStr">
        <is>
          <t>TENNIS</t>
        </is>
      </c>
      <c r="F29" s="24" t="inlineStr">
        <is>
          <t>Ann Li</t>
        </is>
      </c>
      <c r="G29" s="24" t="inlineStr">
        <is>
          <t>Magdalena Frech</t>
        </is>
      </c>
      <c r="H29" s="24" t="inlineStr">
        <is>
          <t>moneyline</t>
        </is>
      </c>
      <c r="I29" s="24" t="inlineStr">
        <is>
          <t>away</t>
        </is>
      </c>
      <c r="J29" s="25" t="n"/>
      <c r="K29" s="24" t="inlineStr">
        <is>
          <t>polymarket_us</t>
        </is>
      </c>
      <c r="L29" s="26" t="n">
        <v>-194</v>
      </c>
      <c r="M29" s="27" t="n">
        <v>1.515464</v>
      </c>
      <c r="N29" s="28" t="n">
        <v>0.659864</v>
      </c>
      <c r="O29" s="28" t="n">
        <v>0.617829</v>
      </c>
      <c r="P29" s="28" t="n">
        <v>0.05</v>
      </c>
      <c r="Q29" s="28" t="n">
        <v>-0.042035</v>
      </c>
      <c r="R29" s="26" t="n">
        <v>0</v>
      </c>
      <c r="S29" s="29" t="n">
        <v>1.5</v>
      </c>
      <c r="T29" s="24" t="inlineStr">
        <is>
          <t>tennis-surface-elo-v1</t>
        </is>
      </c>
      <c r="U29" s="24" t="inlineStr">
        <is>
          <t>settled</t>
        </is>
      </c>
      <c r="V29" s="24" t="inlineStr">
        <is>
          <t>loss</t>
        </is>
      </c>
      <c r="W29" s="26" t="n">
        <v>0</v>
      </c>
      <c r="X29" s="26" t="n">
        <v>1</v>
      </c>
      <c r="Y29" s="25" t="n"/>
      <c r="Z29" s="26" t="n"/>
      <c r="AA29" s="28" t="n"/>
      <c r="AB29" s="28" t="n"/>
      <c r="AC29" s="30" t="n">
        <v>-1.5</v>
      </c>
      <c r="AD29" s="24" t="inlineStr">
        <is>
          <t>2026-07-29T02:41:50.768016Z</t>
        </is>
      </c>
      <c r="AE29" s="31" t="inlineStr">
        <is>
          <t>Surface-blended Elo on Hard: Ann Li p=0.618 vs Magdalena Frech. Executable ask 0.6600 (aec-wta-magfre-annli-2026-07-27).</t>
        </is>
      </c>
      <c r="AF29" s="31" t="inlineStr">
        <is>
          <t>Research-only surface-blended Elo model; singles only, WTA-only market coverage, not yet locked-holdout qualified.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research_observation</t>
        </is>
      </c>
      <c r="AL29" s="26" t="n">
        <v>3</v>
      </c>
      <c r="AM29" s="24" t="inlineStr">
        <is>
          <t>RESEARCH_OBSERVATION</t>
        </is>
      </c>
      <c r="AN29" s="24" t="inlineStr">
        <is>
          <t>NO_CALL</t>
        </is>
      </c>
      <c r="AO29" s="24" t="inlineStr">
        <is>
          <t>NO_CALL_MODEL_UNVALIDATED</t>
        </is>
      </c>
      <c r="AP29" s="24" t="inlineStr">
        <is>
          <t>Ann Li</t>
        </is>
      </c>
      <c r="AQ29" s="24" t="inlineStr">
        <is>
          <t>Ann Li</t>
        </is>
      </c>
      <c r="AR29" s="24" t="inlineStr">
        <is>
          <t>Ann Li</t>
        </is>
      </c>
      <c r="AS29" s="24" t="inlineStr">
        <is>
          <t>Magdalena Frech</t>
        </is>
      </c>
      <c r="AT29" s="24" t="inlineStr">
        <is>
          <t>Magdalena Frech</t>
        </is>
      </c>
      <c r="AU29" s="24" t="inlineStr">
        <is>
          <t>Magdalena Frech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research</t>
        </is>
      </c>
      <c r="BA29" s="24" t="inlineStr">
        <is>
          <t>73429bd71f12304106b9ffb751bd50617d5109d487f00de7ae2732f60e779590</t>
        </is>
      </c>
      <c r="BB29" s="24" t="inlineStr">
        <is>
          <t>surface_blended_elo</t>
        </is>
      </c>
      <c r="BC29" s="24" t="inlineStr">
        <is>
          <t>tennis-surface-elo-v1</t>
        </is>
      </c>
      <c r="BD29" s="24" t="inlineStr">
        <is>
          <t>73429bd71f12304106b9ffb751bd50617d5109d487f00de7ae2732f60e779590</t>
        </is>
      </c>
      <c r="BE29" s="24" t="inlineStr">
        <is>
          <t>tennis-surface-elo-v1</t>
        </is>
      </c>
      <c r="BF29" s="24" t="inlineStr">
        <is>
          <t>1</t>
        </is>
      </c>
      <c r="BG29" s="24" t="inlineStr">
        <is>
          <t>73429bd71f12304106b9ffb751bd50617d5109d487f00de7ae2732f60e779590</t>
        </is>
      </c>
      <c r="BH29" s="24" t="inlineStr">
        <is>
          <t>2026-07-28T17:26:03.054314Z</t>
        </is>
      </c>
      <c r="BI29" s="24" t="inlineStr">
        <is>
          <t>["same_event","same_team_same_day","same_league_same_day"]</t>
        </is>
      </c>
      <c r="BJ29" s="25" t="n"/>
      <c r="BK29" s="26" t="n">
        <v>-194</v>
      </c>
      <c r="BL29" s="27" t="n">
        <v>1.515464</v>
      </c>
      <c r="BM29" s="28" t="n">
        <v>0.659864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</row>
    <row r="30" ht="36" customHeight="1">
      <c r="A30" s="24" t="inlineStr">
        <is>
          <t>aab983093f964221</t>
        </is>
      </c>
      <c r="B30" s="24" t="inlineStr">
        <is>
          <t>2026-07-28T20:34:16.434936Z</t>
        </is>
      </c>
      <c r="C30" s="24" t="inlineStr">
        <is>
          <t>2026-07-28T22:00Z</t>
        </is>
      </c>
      <c r="D30" s="24" t="inlineStr">
        <is>
          <t>875-2026:179533</t>
        </is>
      </c>
      <c r="E30" s="24" t="inlineStr">
        <is>
          <t>TENNIS</t>
        </is>
      </c>
      <c r="F30" s="24" t="inlineStr">
        <is>
          <t>Kyoka Okamura</t>
        </is>
      </c>
      <c r="G30" s="24" t="inlineStr">
        <is>
          <t>Hayu Kinoshita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-178</v>
      </c>
      <c r="M30" s="27" t="n">
        <v>1.561798</v>
      </c>
      <c r="N30" s="28" t="n">
        <v>0.640288</v>
      </c>
      <c r="O30" s="28" t="n">
        <v>0.501925</v>
      </c>
      <c r="P30" s="28" t="n">
        <v>0.05</v>
      </c>
      <c r="Q30" s="28" t="n">
        <v>-0.138363</v>
      </c>
      <c r="R30" s="26" t="n">
        <v>0</v>
      </c>
      <c r="S30" s="29" t="n">
        <v>1</v>
      </c>
      <c r="T30" s="24" t="inlineStr">
        <is>
          <t>tennis-surface-elo-v1</t>
        </is>
      </c>
      <c r="U30" s="24" t="inlineStr">
        <is>
          <t>settled</t>
        </is>
      </c>
      <c r="V30" s="24" t="inlineStr">
        <is>
          <t>win</t>
        </is>
      </c>
      <c r="W30" s="26" t="n">
        <v>0</v>
      </c>
      <c r="X30" s="26" t="n">
        <v>1</v>
      </c>
      <c r="Y30" s="25" t="n"/>
      <c r="Z30" s="26" t="n"/>
      <c r="AA30" s="28" t="n"/>
      <c r="AB30" s="28" t="n"/>
      <c r="AC30" s="30" t="n">
        <v>0.5618</v>
      </c>
      <c r="AD30" s="24" t="inlineStr">
        <is>
          <t>2026-07-28T23:37:09.407867Z</t>
        </is>
      </c>
      <c r="AE30" s="31" t="inlineStr">
        <is>
          <t>Surface-blended Elo on Hard: Kyoka Okamura p=0.498 vs Hayu Kinoshita. Executable ask 0.6400 (aec-wta-haykin-kyooka-2026-07-27).</t>
        </is>
      </c>
      <c r="AF30" s="31" t="inlineStr">
        <is>
          <t>Research-only surface-blended Elo model; singles only, WTA-only market coverage, not yet locked-holdout qualified.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research_observation</t>
        </is>
      </c>
      <c r="AL30" s="26" t="n">
        <v>3</v>
      </c>
      <c r="AM30" s="24" t="inlineStr">
        <is>
          <t>RESEARCH_OBSERVATION</t>
        </is>
      </c>
      <c r="AN30" s="24" t="inlineStr">
        <is>
          <t>NO_CALL</t>
        </is>
      </c>
      <c r="AO30" s="24" t="inlineStr">
        <is>
          <t>NO_CALL_MODEL_UNVALIDATED</t>
        </is>
      </c>
      <c r="AP30" s="24" t="inlineStr">
        <is>
          <t>Kyoka Okamura</t>
        </is>
      </c>
      <c r="AQ30" s="24" t="inlineStr">
        <is>
          <t>Kyoka Okamura</t>
        </is>
      </c>
      <c r="AR30" s="24" t="inlineStr">
        <is>
          <t>Kyoka Okamura</t>
        </is>
      </c>
      <c r="AS30" s="24" t="inlineStr">
        <is>
          <t>Hayu Kinoshita</t>
        </is>
      </c>
      <c r="AT30" s="24" t="inlineStr">
        <is>
          <t>Hayu Kinoshita</t>
        </is>
      </c>
      <c r="AU30" s="24" t="inlineStr">
        <is>
          <t>Hayu Kinoshita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research</t>
        </is>
      </c>
      <c r="BA30" s="24" t="inlineStr">
        <is>
          <t>73429bd71f12304106b9ffb751bd50617d5109d487f00de7ae2732f60e779590</t>
        </is>
      </c>
      <c r="BB30" s="24" t="inlineStr">
        <is>
          <t>surface_blended_elo</t>
        </is>
      </c>
      <c r="BC30" s="24" t="inlineStr">
        <is>
          <t>tennis-surface-elo-v1</t>
        </is>
      </c>
      <c r="BD30" s="24" t="inlineStr">
        <is>
          <t>73429bd71f12304106b9ffb751bd50617d5109d487f00de7ae2732f60e779590</t>
        </is>
      </c>
      <c r="BE30" s="24" t="inlineStr">
        <is>
          <t>tennis-surface-elo-v1</t>
        </is>
      </c>
      <c r="BF30" s="24" t="inlineStr">
        <is>
          <t>1</t>
        </is>
      </c>
      <c r="BG30" s="24" t="inlineStr">
        <is>
          <t>73429bd71f12304106b9ffb751bd50617d5109d487f00de7ae2732f60e779590</t>
        </is>
      </c>
      <c r="BH30" s="24" t="inlineStr">
        <is>
          <t>2026-07-28T20:32:32.394091Z</t>
        </is>
      </c>
      <c r="BI30" s="24" t="inlineStr">
        <is>
          <t>["same_event","same_team_same_day","same_league_same_day"]</t>
        </is>
      </c>
      <c r="BJ30" s="25" t="n"/>
      <c r="BK30" s="26" t="n">
        <v>-178</v>
      </c>
      <c r="BL30" s="27" t="n">
        <v>1.561798</v>
      </c>
      <c r="BM30" s="28" t="n">
        <v>0.640288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</row>
    <row r="31" ht="36" customHeight="1">
      <c r="A31" s="24" t="inlineStr">
        <is>
          <t>872389f9af7b4001</t>
        </is>
      </c>
      <c r="B31" s="24" t="inlineStr">
        <is>
          <t>2026-07-28T20:34:16.434936Z</t>
        </is>
      </c>
      <c r="C31" s="24" t="inlineStr">
        <is>
          <t>2026-07-28T23:30Z</t>
        </is>
      </c>
      <c r="D31" s="24" t="inlineStr">
        <is>
          <t>875-2026:179546</t>
        </is>
      </c>
      <c r="E31" s="24" t="inlineStr">
        <is>
          <t>TENNIS</t>
        </is>
      </c>
      <c r="F31" s="24" t="inlineStr">
        <is>
          <t>Ellie Schoppe</t>
        </is>
      </c>
      <c r="G31" s="24" t="inlineStr">
        <is>
          <t>Priscilla Hon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-335</v>
      </c>
      <c r="M31" s="27" t="n">
        <v>1.298507</v>
      </c>
      <c r="N31" s="28" t="n">
        <v>0.770115</v>
      </c>
      <c r="O31" s="28" t="n">
        <v>0.511706</v>
      </c>
      <c r="P31" s="28" t="n">
        <v>0.05</v>
      </c>
      <c r="Q31" s="28" t="n">
        <v>-0.258409</v>
      </c>
      <c r="R31" s="26" t="n">
        <v>0</v>
      </c>
      <c r="S31" s="29" t="n">
        <v>1</v>
      </c>
      <c r="T31" s="24" t="inlineStr">
        <is>
          <t>tennis-surface-elo-v1</t>
        </is>
      </c>
      <c r="U31" s="24" t="inlineStr">
        <is>
          <t>settled</t>
        </is>
      </c>
      <c r="V31" s="24" t="inlineStr">
        <is>
          <t>win</t>
        </is>
      </c>
      <c r="W31" s="26" t="n">
        <v>0</v>
      </c>
      <c r="X31" s="26" t="n">
        <v>1</v>
      </c>
      <c r="Y31" s="25" t="n"/>
      <c r="Z31" s="26" t="n"/>
      <c r="AA31" s="28" t="n"/>
      <c r="AB31" s="28" t="n"/>
      <c r="AC31" s="30" t="n">
        <v>0.2985</v>
      </c>
      <c r="AD31" s="24" t="inlineStr">
        <is>
          <t>2026-07-29T02:41:50.894577Z</t>
        </is>
      </c>
      <c r="AE31" s="31" t="inlineStr">
        <is>
          <t>Surface-blended Elo on Hard: Ellie Schoppe p=0.488 vs Priscilla Hon. Executable ask 0.7700 (aec-wta-prihon-ellsch-2026-07-28).</t>
        </is>
      </c>
      <c r="AF31" s="31" t="inlineStr">
        <is>
          <t>Research-only surface-blended Elo model; singles only, WTA-only market coverage, not yet locked-holdout qualified.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research_observation</t>
        </is>
      </c>
      <c r="AL31" s="26" t="n">
        <v>3</v>
      </c>
      <c r="AM31" s="24" t="inlineStr">
        <is>
          <t>RESEARCH_OBSERVATION</t>
        </is>
      </c>
      <c r="AN31" s="24" t="inlineStr">
        <is>
          <t>NO_CALL</t>
        </is>
      </c>
      <c r="AO31" s="24" t="inlineStr">
        <is>
          <t>NO_CALL_MODEL_UNVALIDATED</t>
        </is>
      </c>
      <c r="AP31" s="24" t="inlineStr">
        <is>
          <t>Ellie Schoppe</t>
        </is>
      </c>
      <c r="AQ31" s="24" t="inlineStr">
        <is>
          <t>Ellie Schoppe</t>
        </is>
      </c>
      <c r="AR31" s="24" t="inlineStr">
        <is>
          <t>Ellie Schoppe</t>
        </is>
      </c>
      <c r="AS31" s="24" t="inlineStr">
        <is>
          <t>Priscilla Hon</t>
        </is>
      </c>
      <c r="AT31" s="24" t="inlineStr">
        <is>
          <t>Priscilla Hon</t>
        </is>
      </c>
      <c r="AU31" s="24" t="inlineStr">
        <is>
          <t>Priscilla Hon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research</t>
        </is>
      </c>
      <c r="BA31" s="24" t="inlineStr">
        <is>
          <t>73429bd71f12304106b9ffb751bd50617d5109d487f00de7ae2732f60e779590</t>
        </is>
      </c>
      <c r="BB31" s="24" t="inlineStr">
        <is>
          <t>surface_blended_elo</t>
        </is>
      </c>
      <c r="BC31" s="24" t="inlineStr">
        <is>
          <t>tennis-surface-elo-v1</t>
        </is>
      </c>
      <c r="BD31" s="24" t="inlineStr">
        <is>
          <t>73429bd71f12304106b9ffb751bd50617d5109d487f00de7ae2732f60e779590</t>
        </is>
      </c>
      <c r="BE31" s="24" t="inlineStr">
        <is>
          <t>tennis-surface-elo-v1</t>
        </is>
      </c>
      <c r="BF31" s="24" t="inlineStr">
        <is>
          <t>1</t>
        </is>
      </c>
      <c r="BG31" s="24" t="inlineStr">
        <is>
          <t>73429bd71f12304106b9ffb751bd50617d5109d487f00de7ae2732f60e779590</t>
        </is>
      </c>
      <c r="BH31" s="24" t="inlineStr">
        <is>
          <t>2026-07-28T20:32:37.984067Z</t>
        </is>
      </c>
      <c r="BI31" s="24" t="inlineStr">
        <is>
          <t>["same_event","same_team_same_day","same_league_same_day"]</t>
        </is>
      </c>
      <c r="BJ31" s="25" t="n"/>
      <c r="BK31" s="26" t="n">
        <v>-335</v>
      </c>
      <c r="BL31" s="27" t="n">
        <v>1.298507</v>
      </c>
      <c r="BM31" s="28" t="n">
        <v>0.770115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</row>
    <row r="32" ht="36" customHeight="1">
      <c r="A32" s="24" t="inlineStr">
        <is>
          <t>e25f9dbf5bb146a7</t>
        </is>
      </c>
      <c r="B32" s="24" t="inlineStr">
        <is>
          <t>2026-07-28T20:34:16.434936Z</t>
        </is>
      </c>
      <c r="C32" s="24" t="inlineStr">
        <is>
          <t>2026-07-28T23:30Z</t>
        </is>
      </c>
      <c r="D32" s="24" t="inlineStr">
        <is>
          <t>888-2026:179001</t>
        </is>
      </c>
      <c r="E32" s="24" t="inlineStr">
        <is>
          <t>TENNIS</t>
        </is>
      </c>
      <c r="F32" s="24" t="inlineStr">
        <is>
          <t>Venus Williams</t>
        </is>
      </c>
      <c r="G32" s="24" t="inlineStr">
        <is>
          <t>Anastasia Potapova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-614</v>
      </c>
      <c r="M32" s="27" t="n">
        <v>1.162866</v>
      </c>
      <c r="N32" s="28" t="n">
        <v>0.859944</v>
      </c>
      <c r="O32" s="28" t="n">
        <v>0.842881</v>
      </c>
      <c r="P32" s="28" t="n">
        <v>0.05</v>
      </c>
      <c r="Q32" s="28" t="n">
        <v>-0.017063</v>
      </c>
      <c r="R32" s="26" t="n">
        <v>11</v>
      </c>
      <c r="S32" s="29" t="n">
        <v>2</v>
      </c>
      <c r="T32" s="24" t="inlineStr">
        <is>
          <t>tennis-surface-elo-v1</t>
        </is>
      </c>
      <c r="U32" s="24" t="inlineStr">
        <is>
          <t>settled</t>
        </is>
      </c>
      <c r="V32" s="24" t="inlineStr">
        <is>
          <t>win</t>
        </is>
      </c>
      <c r="W32" s="26" t="n">
        <v>0</v>
      </c>
      <c r="X32" s="26" t="n">
        <v>1</v>
      </c>
      <c r="Y32" s="25" t="n"/>
      <c r="Z32" s="26" t="n"/>
      <c r="AA32" s="28" t="n"/>
      <c r="AB32" s="28" t="n"/>
      <c r="AC32" s="30" t="n">
        <v>0.3257</v>
      </c>
      <c r="AD32" s="24" t="inlineStr">
        <is>
          <t>2026-07-29T02:41:51.026860Z</t>
        </is>
      </c>
      <c r="AE32" s="31" t="inlineStr">
        <is>
          <t>Surface-blended Elo on Hard: Venus Williams p=0.157 vs Anastasia Potapova. Executable ask 0.8600 (aec-wta-anapot-venwil-2026-07-27).</t>
        </is>
      </c>
      <c r="AF32" s="31" t="inlineStr">
        <is>
          <t>Research-only surface-blended Elo model; singles only, WTA-only market coverage, not yet locked-holdout qualified.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research_observation</t>
        </is>
      </c>
      <c r="AL32" s="26" t="n">
        <v>3</v>
      </c>
      <c r="AM32" s="24" t="inlineStr">
        <is>
          <t>RESEARCH_OBSERVATION</t>
        </is>
      </c>
      <c r="AN32" s="24" t="inlineStr">
        <is>
          <t>NO_CALL</t>
        </is>
      </c>
      <c r="AO32" s="24" t="inlineStr">
        <is>
          <t>NO_CALL_MODEL_UNVALIDATED</t>
        </is>
      </c>
      <c r="AP32" s="24" t="inlineStr">
        <is>
          <t>Venus Williams</t>
        </is>
      </c>
      <c r="AQ32" s="24" t="inlineStr">
        <is>
          <t>Venus Williams</t>
        </is>
      </c>
      <c r="AR32" s="24" t="inlineStr">
        <is>
          <t>Venus Williams</t>
        </is>
      </c>
      <c r="AS32" s="24" t="inlineStr">
        <is>
          <t>Anastasia Potapova</t>
        </is>
      </c>
      <c r="AT32" s="24" t="inlineStr">
        <is>
          <t>Anastasia Potapova</t>
        </is>
      </c>
      <c r="AU32" s="24" t="inlineStr">
        <is>
          <t>Anastasia Potapova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research</t>
        </is>
      </c>
      <c r="BA32" s="24" t="inlineStr">
        <is>
          <t>73429bd71f12304106b9ffb751bd50617d5109d487f00de7ae2732f60e779590</t>
        </is>
      </c>
      <c r="BB32" s="24" t="inlineStr">
        <is>
          <t>surface_blended_elo</t>
        </is>
      </c>
      <c r="BC32" s="24" t="inlineStr">
        <is>
          <t>tennis-surface-elo-v1</t>
        </is>
      </c>
      <c r="BD32" s="24" t="inlineStr">
        <is>
          <t>73429bd71f12304106b9ffb751bd50617d5109d487f00de7ae2732f60e779590</t>
        </is>
      </c>
      <c r="BE32" s="24" t="inlineStr">
        <is>
          <t>tennis-surface-elo-v1</t>
        </is>
      </c>
      <c r="BF32" s="24" t="inlineStr">
        <is>
          <t>1</t>
        </is>
      </c>
      <c r="BG32" s="24" t="inlineStr">
        <is>
          <t>73429bd71f12304106b9ffb751bd50617d5109d487f00de7ae2732f60e779590</t>
        </is>
      </c>
      <c r="BH32" s="24" t="inlineStr">
        <is>
          <t>2026-07-28T20:32:42.963351Z</t>
        </is>
      </c>
      <c r="BI32" s="24" t="inlineStr">
        <is>
          <t>["same_event","same_team_same_day","same_league_same_day"]</t>
        </is>
      </c>
      <c r="BJ32" s="25" t="n"/>
      <c r="BK32" s="26" t="n">
        <v>-614</v>
      </c>
      <c r="BL32" s="27" t="n">
        <v>1.162866</v>
      </c>
      <c r="BM32" s="28" t="n">
        <v>0.859944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</row>
    <row r="33" ht="36" customHeight="1">
      <c r="A33" s="24" t="inlineStr">
        <is>
          <t>858c3d6a87ba4281</t>
        </is>
      </c>
      <c r="B33" s="24" t="inlineStr">
        <is>
          <t>2026-07-28T20:34:16.434936Z</t>
        </is>
      </c>
      <c r="C33" s="24" t="inlineStr">
        <is>
          <t>2026-07-28T22:00Z</t>
        </is>
      </c>
      <c r="D33" s="24" t="inlineStr">
        <is>
          <t>1067-2026:179461</t>
        </is>
      </c>
      <c r="E33" s="24" t="inlineStr">
        <is>
          <t>TENNIS</t>
        </is>
      </c>
      <c r="F33" s="24" t="inlineStr">
        <is>
          <t>Peyton Stearns</t>
        </is>
      </c>
      <c r="G33" s="24" t="inlineStr">
        <is>
          <t>Mary Stoiana</t>
        </is>
      </c>
      <c r="H33" s="24" t="inlineStr">
        <is>
          <t>moneyline</t>
        </is>
      </c>
      <c r="I33" s="24" t="inlineStr">
        <is>
          <t>away</t>
        </is>
      </c>
      <c r="J33" s="25" t="n"/>
      <c r="K33" s="24" t="inlineStr">
        <is>
          <t>polymarket_us</t>
        </is>
      </c>
      <c r="L33" s="26" t="n">
        <v>-156</v>
      </c>
      <c r="M33" s="27" t="n">
        <v>1.641026</v>
      </c>
      <c r="N33" s="28" t="n">
        <v>0.609375</v>
      </c>
      <c r="O33" s="28" t="n">
        <v>0.561639</v>
      </c>
      <c r="P33" s="28" t="n">
        <v>0.05</v>
      </c>
      <c r="Q33" s="28" t="n">
        <v>-0.047736</v>
      </c>
      <c r="R33" s="26" t="n">
        <v>0</v>
      </c>
      <c r="S33" s="29" t="n">
        <v>1</v>
      </c>
      <c r="T33" s="24" t="inlineStr">
        <is>
          <t>tennis-surface-elo-v1</t>
        </is>
      </c>
      <c r="U33" s="24" t="inlineStr">
        <is>
          <t>settled</t>
        </is>
      </c>
      <c r="V33" s="24" t="inlineStr">
        <is>
          <t>win</t>
        </is>
      </c>
      <c r="W33" s="26" t="n">
        <v>1</v>
      </c>
      <c r="X33" s="26" t="n">
        <v>0</v>
      </c>
      <c r="Y33" s="25" t="n"/>
      <c r="Z33" s="26" t="n"/>
      <c r="AA33" s="28" t="n"/>
      <c r="AB33" s="28" t="n"/>
      <c r="AC33" s="30" t="n">
        <v>0.641</v>
      </c>
      <c r="AD33" s="24" t="inlineStr">
        <is>
          <t>2026-07-29T02:41:51.185206Z</t>
        </is>
      </c>
      <c r="AE33" s="31" t="inlineStr">
        <is>
          <t>Surface-blended Elo on Hard: Peyton Stearns p=0.562 vs Mary Stoiana. Executable ask 0.6100 (aec-wta-marsto-peyste-2026-07-26).</t>
        </is>
      </c>
      <c r="AF33" s="31" t="inlineStr">
        <is>
          <t>Research-only surface-blended Elo model; singles only, WTA-only market coverage, not yet locked-holdout qualified.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research_observation</t>
        </is>
      </c>
      <c r="AL33" s="26" t="n">
        <v>3</v>
      </c>
      <c r="AM33" s="24" t="inlineStr">
        <is>
          <t>RESEARCH_OBSERVATION</t>
        </is>
      </c>
      <c r="AN33" s="24" t="inlineStr">
        <is>
          <t>NO_CALL</t>
        </is>
      </c>
      <c r="AO33" s="24" t="inlineStr">
        <is>
          <t>NO_CALL_MODEL_UNVALIDATED</t>
        </is>
      </c>
      <c r="AP33" s="24" t="inlineStr">
        <is>
          <t>Peyton Stearns</t>
        </is>
      </c>
      <c r="AQ33" s="24" t="inlineStr">
        <is>
          <t>Peyton Stearns</t>
        </is>
      </c>
      <c r="AR33" s="24" t="inlineStr">
        <is>
          <t>Peyton Stearns</t>
        </is>
      </c>
      <c r="AS33" s="24" t="inlineStr">
        <is>
          <t>Mary Stoiana</t>
        </is>
      </c>
      <c r="AT33" s="24" t="inlineStr">
        <is>
          <t>Mary Stoiana</t>
        </is>
      </c>
      <c r="AU33" s="24" t="inlineStr">
        <is>
          <t>Mary Stoiana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research</t>
        </is>
      </c>
      <c r="BA33" s="24" t="inlineStr">
        <is>
          <t>73429bd71f12304106b9ffb751bd50617d5109d487f00de7ae2732f60e779590</t>
        </is>
      </c>
      <c r="BB33" s="24" t="inlineStr">
        <is>
          <t>surface_blended_elo</t>
        </is>
      </c>
      <c r="BC33" s="24" t="inlineStr">
        <is>
          <t>tennis-surface-elo-v1</t>
        </is>
      </c>
      <c r="BD33" s="24" t="inlineStr">
        <is>
          <t>73429bd71f12304106b9ffb751bd50617d5109d487f00de7ae2732f60e779590</t>
        </is>
      </c>
      <c r="BE33" s="24" t="inlineStr">
        <is>
          <t>tennis-surface-elo-v1</t>
        </is>
      </c>
      <c r="BF33" s="24" t="inlineStr">
        <is>
          <t>1</t>
        </is>
      </c>
      <c r="BG33" s="24" t="inlineStr">
        <is>
          <t>73429bd71f12304106b9ffb751bd50617d5109d487f00de7ae2732f60e779590</t>
        </is>
      </c>
      <c r="BH33" s="24" t="inlineStr">
        <is>
          <t>2026-07-28T20:32:36.629256Z</t>
        </is>
      </c>
      <c r="BI33" s="24" t="inlineStr">
        <is>
          <t>["same_event","same_team_same_day","same_league_same_day"]</t>
        </is>
      </c>
      <c r="BJ33" s="25" t="n"/>
      <c r="BK33" s="26" t="n">
        <v>-156</v>
      </c>
      <c r="BL33" s="27" t="n">
        <v>1.641026</v>
      </c>
      <c r="BM33" s="28" t="n">
        <v>0.609375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</row>
    <row r="34" ht="36" customHeight="1">
      <c r="A34" s="24" t="inlineStr">
        <is>
          <t>41c7c5044dee4ed6</t>
        </is>
      </c>
      <c r="B34" s="24" t="inlineStr">
        <is>
          <t>2026-07-28T20:34:16.434936Z</t>
        </is>
      </c>
      <c r="C34" s="24" t="inlineStr">
        <is>
          <t>2026-07-28T22:00Z</t>
        </is>
      </c>
      <c r="D34" s="24" t="inlineStr">
        <is>
          <t>1067-2026:179459</t>
        </is>
      </c>
      <c r="E34" s="24" t="inlineStr">
        <is>
          <t>TENNIS</t>
        </is>
      </c>
      <c r="F34" s="24" t="inlineStr">
        <is>
          <t>Marina Bassols Ribera</t>
        </is>
      </c>
      <c r="G34" s="24" t="inlineStr">
        <is>
          <t>Darja Vidmanova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-186</v>
      </c>
      <c r="M34" s="27" t="n">
        <v>1.537634</v>
      </c>
      <c r="N34" s="28" t="n">
        <v>0.65035</v>
      </c>
      <c r="O34" s="28" t="n">
        <v>0.578209</v>
      </c>
      <c r="P34" s="28" t="n">
        <v>0.05</v>
      </c>
      <c r="Q34" s="28" t="n">
        <v>-0.072141</v>
      </c>
      <c r="R34" s="26" t="n">
        <v>0</v>
      </c>
      <c r="S34" s="29" t="n">
        <v>1.25</v>
      </c>
      <c r="T34" s="24" t="inlineStr">
        <is>
          <t>tennis-surface-elo-v1</t>
        </is>
      </c>
      <c r="U34" s="24" t="inlineStr">
        <is>
          <t>settled</t>
        </is>
      </c>
      <c r="V34" s="24" t="inlineStr">
        <is>
          <t>win</t>
        </is>
      </c>
      <c r="W34" s="26" t="n">
        <v>0</v>
      </c>
      <c r="X34" s="26" t="n">
        <v>1</v>
      </c>
      <c r="Y34" s="25" t="n"/>
      <c r="Z34" s="26" t="n"/>
      <c r="AA34" s="28" t="n"/>
      <c r="AB34" s="28" t="n"/>
      <c r="AC34" s="30" t="n">
        <v>0.672</v>
      </c>
      <c r="AD34" s="24" t="inlineStr">
        <is>
          <t>2026-07-29T02:41:51.312699Z</t>
        </is>
      </c>
      <c r="AE34" s="31" t="inlineStr">
        <is>
          <t>Surface-blended Elo on Hard: Marina Bassols Ribera p=0.422 vs Darja Vidmanova. Executable ask 0.6500 (aec-wta-darvid-marrib-2026-07-26).</t>
        </is>
      </c>
      <c r="AF34" s="31" t="inlineStr">
        <is>
          <t>Research-only surface-blended Elo model; singles only, WTA-only market coverage, not yet locked-holdout qualified.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research_observation</t>
        </is>
      </c>
      <c r="AL34" s="26" t="n">
        <v>3</v>
      </c>
      <c r="AM34" s="24" t="inlineStr">
        <is>
          <t>RESEARCH_OBSERVATION</t>
        </is>
      </c>
      <c r="AN34" s="24" t="inlineStr">
        <is>
          <t>NO_CALL</t>
        </is>
      </c>
      <c r="AO34" s="24" t="inlineStr">
        <is>
          <t>NO_CALL_MODEL_UNVALIDATED</t>
        </is>
      </c>
      <c r="AP34" s="24" t="inlineStr">
        <is>
          <t>Marina Bassols Ribera</t>
        </is>
      </c>
      <c r="AQ34" s="24" t="inlineStr">
        <is>
          <t>Marina Bassols Ribera</t>
        </is>
      </c>
      <c r="AR34" s="24" t="inlineStr">
        <is>
          <t>Marina Bassols Ribera</t>
        </is>
      </c>
      <c r="AS34" s="24" t="inlineStr">
        <is>
          <t>Darja Vidmanova</t>
        </is>
      </c>
      <c r="AT34" s="24" t="inlineStr">
        <is>
          <t>Darja Vidmanova</t>
        </is>
      </c>
      <c r="AU34" s="24" t="inlineStr">
        <is>
          <t>Darja Vidmanova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research</t>
        </is>
      </c>
      <c r="BA34" s="24" t="inlineStr">
        <is>
          <t>73429bd71f12304106b9ffb751bd50617d5109d487f00de7ae2732f60e779590</t>
        </is>
      </c>
      <c r="BB34" s="24" t="inlineStr">
        <is>
          <t>surface_blended_elo</t>
        </is>
      </c>
      <c r="BC34" s="24" t="inlineStr">
        <is>
          <t>tennis-surface-elo-v1</t>
        </is>
      </c>
      <c r="BD34" s="24" t="inlineStr">
        <is>
          <t>73429bd71f12304106b9ffb751bd50617d5109d487f00de7ae2732f60e779590</t>
        </is>
      </c>
      <c r="BE34" s="24" t="inlineStr">
        <is>
          <t>tennis-surface-elo-v1</t>
        </is>
      </c>
      <c r="BF34" s="24" t="inlineStr">
        <is>
          <t>1</t>
        </is>
      </c>
      <c r="BG34" s="24" t="inlineStr">
        <is>
          <t>73429bd71f12304106b9ffb751bd50617d5109d487f00de7ae2732f60e779590</t>
        </is>
      </c>
      <c r="BH34" s="24" t="inlineStr">
        <is>
          <t>2026-07-28T20:32:34.889939Z</t>
        </is>
      </c>
      <c r="BI34" s="24" t="inlineStr">
        <is>
          <t>["same_event","same_team_same_day","same_league_same_day"]</t>
        </is>
      </c>
      <c r="BJ34" s="25" t="n"/>
      <c r="BK34" s="26" t="n">
        <v>-186</v>
      </c>
      <c r="BL34" s="27" t="n">
        <v>1.537634</v>
      </c>
      <c r="BM34" s="28" t="n">
        <v>0.65035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</row>
    <row r="35" ht="36" customHeight="1">
      <c r="A35" s="24" t="inlineStr">
        <is>
          <t>2db0d70eaf264ba1</t>
        </is>
      </c>
      <c r="B35" s="24" t="inlineStr">
        <is>
          <t>2026-07-28T20:34:16.434936Z</t>
        </is>
      </c>
      <c r="C35" s="24" t="inlineStr">
        <is>
          <t>2026-07-28T23:30Z</t>
        </is>
      </c>
      <c r="D35" s="24" t="inlineStr">
        <is>
          <t>1067-2026:179452</t>
        </is>
      </c>
      <c r="E35" s="24" t="inlineStr">
        <is>
          <t>TENNIS</t>
        </is>
      </c>
      <c r="F35" s="24" t="inlineStr">
        <is>
          <t>Kimberly Birrell</t>
        </is>
      </c>
      <c r="G35" s="24" t="inlineStr">
        <is>
          <t>Ma YeXin</t>
        </is>
      </c>
      <c r="H35" s="24" t="inlineStr">
        <is>
          <t>moneyline</t>
        </is>
      </c>
      <c r="I35" s="24" t="inlineStr">
        <is>
          <t>away</t>
        </is>
      </c>
      <c r="J35" s="25" t="n"/>
      <c r="K35" s="24" t="inlineStr">
        <is>
          <t>polymarket_us</t>
        </is>
      </c>
      <c r="L35" s="26" t="n">
        <v>-456</v>
      </c>
      <c r="M35" s="27" t="n">
        <v>1.219298</v>
      </c>
      <c r="N35" s="28" t="n">
        <v>0.820144</v>
      </c>
      <c r="O35" s="28" t="n">
        <v>0.719453</v>
      </c>
      <c r="P35" s="28" t="n">
        <v>0.05</v>
      </c>
      <c r="Q35" s="28" t="n">
        <v>-0.100691</v>
      </c>
      <c r="R35" s="26" t="n">
        <v>0</v>
      </c>
      <c r="S35" s="29" t="n">
        <v>2</v>
      </c>
      <c r="T35" s="24" t="inlineStr">
        <is>
          <t>tennis-surface-elo-v1</t>
        </is>
      </c>
      <c r="U35" s="24" t="inlineStr">
        <is>
          <t>settled</t>
        </is>
      </c>
      <c r="V35" s="24" t="inlineStr">
        <is>
          <t>loss</t>
        </is>
      </c>
      <c r="W35" s="26" t="n">
        <v>0</v>
      </c>
      <c r="X35" s="26" t="n">
        <v>1</v>
      </c>
      <c r="Y35" s="25" t="n"/>
      <c r="Z35" s="26" t="n"/>
      <c r="AA35" s="28" t="n"/>
      <c r="AB35" s="28" t="n"/>
      <c r="AC35" s="30" t="n">
        <v>-2</v>
      </c>
      <c r="AD35" s="24" t="inlineStr">
        <is>
          <t>2026-07-29T05:45:07.796021Z</t>
        </is>
      </c>
      <c r="AE35" s="31" t="inlineStr">
        <is>
          <t>Surface-blended Elo on Hard: Kimberly Birrell p=0.719 vs Ma YeXin. Executable ask 0.8200 (aec-wta-yexma-kimbir-2026-07-28).</t>
        </is>
      </c>
      <c r="AF35" s="31" t="inlineStr">
        <is>
          <t>Research-only surface-blended Elo model; singles only, WTA-only market coverage, not yet locked-holdout qualified.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research_observation</t>
        </is>
      </c>
      <c r="AL35" s="26" t="n">
        <v>3</v>
      </c>
      <c r="AM35" s="24" t="inlineStr">
        <is>
          <t>RESEARCH_OBSERVATION</t>
        </is>
      </c>
      <c r="AN35" s="24" t="inlineStr">
        <is>
          <t>NO_CALL</t>
        </is>
      </c>
      <c r="AO35" s="24" t="inlineStr">
        <is>
          <t>NO_CALL_MODEL_UNVALIDATED</t>
        </is>
      </c>
      <c r="AP35" s="24" t="inlineStr">
        <is>
          <t>Kimberly Birrell</t>
        </is>
      </c>
      <c r="AQ35" s="24" t="inlineStr">
        <is>
          <t>Kimberly Birrell</t>
        </is>
      </c>
      <c r="AR35" s="24" t="inlineStr">
        <is>
          <t>Kimberly Birrell</t>
        </is>
      </c>
      <c r="AS35" s="24" t="inlineStr">
        <is>
          <t>Ma YeXin</t>
        </is>
      </c>
      <c r="AT35" s="24" t="inlineStr">
        <is>
          <t>Ma YeXin</t>
        </is>
      </c>
      <c r="AU35" s="24" t="inlineStr">
        <is>
          <t>Ma YeXin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research</t>
        </is>
      </c>
      <c r="BA35" s="24" t="inlineStr">
        <is>
          <t>73429bd71f12304106b9ffb751bd50617d5109d487f00de7ae2732f60e779590</t>
        </is>
      </c>
      <c r="BB35" s="24" t="inlineStr">
        <is>
          <t>surface_blended_elo</t>
        </is>
      </c>
      <c r="BC35" s="24" t="inlineStr">
        <is>
          <t>tennis-surface-elo-v1</t>
        </is>
      </c>
      <c r="BD35" s="24" t="inlineStr">
        <is>
          <t>73429bd71f12304106b9ffb751bd50617d5109d487f00de7ae2732f60e779590</t>
        </is>
      </c>
      <c r="BE35" s="24" t="inlineStr">
        <is>
          <t>tennis-surface-elo-v1</t>
        </is>
      </c>
      <c r="BF35" s="24" t="inlineStr">
        <is>
          <t>1</t>
        </is>
      </c>
      <c r="BG35" s="24" t="inlineStr">
        <is>
          <t>73429bd71f12304106b9ffb751bd50617d5109d487f00de7ae2732f60e779590</t>
        </is>
      </c>
      <c r="BH35" s="24" t="inlineStr">
        <is>
          <t>2026-07-28T20:32:41.504735Z</t>
        </is>
      </c>
      <c r="BI35" s="24" t="inlineStr">
        <is>
          <t>["same_event","same_team_same_day","same_league_same_day"]</t>
        </is>
      </c>
      <c r="BJ35" s="25" t="n"/>
      <c r="BK35" s="26" t="n">
        <v>-456</v>
      </c>
      <c r="BL35" s="27" t="n">
        <v>1.219298</v>
      </c>
      <c r="BM35" s="28" t="n">
        <v>0.820144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</row>
    <row r="36" ht="36" customHeight="1">
      <c r="A36" s="24" t="inlineStr">
        <is>
          <t>f481749e046c411d</t>
        </is>
      </c>
      <c r="B36" s="24" t="inlineStr">
        <is>
          <t>2026-07-28T20:34:16.434936Z</t>
        </is>
      </c>
      <c r="C36" s="24" t="inlineStr">
        <is>
          <t>2026-07-28T23:30Z</t>
        </is>
      </c>
      <c r="D36" s="24" t="inlineStr">
        <is>
          <t>1067-2026:179465</t>
        </is>
      </c>
      <c r="E36" s="24" t="inlineStr">
        <is>
          <t>TENNIS</t>
        </is>
      </c>
      <c r="F36" s="24" t="inlineStr">
        <is>
          <t>McCartney Kessler</t>
        </is>
      </c>
      <c r="G36" s="24" t="inlineStr">
        <is>
          <t>Renata Zarazua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-317</v>
      </c>
      <c r="M36" s="27" t="n">
        <v>1.315457</v>
      </c>
      <c r="N36" s="28" t="n">
        <v>0.760192</v>
      </c>
      <c r="O36" s="28" t="n">
        <v>0.710335</v>
      </c>
      <c r="P36" s="28" t="n">
        <v>0.05</v>
      </c>
      <c r="Q36" s="28" t="n">
        <v>-0.049857</v>
      </c>
      <c r="R36" s="26" t="n">
        <v>0</v>
      </c>
      <c r="S36" s="29" t="n">
        <v>2</v>
      </c>
      <c r="T36" s="24" t="inlineStr">
        <is>
          <t>tennis-surface-elo-v1</t>
        </is>
      </c>
      <c r="U36" s="24" t="inlineStr">
        <is>
          <t>settled</t>
        </is>
      </c>
      <c r="V36" s="24" t="inlineStr">
        <is>
          <t>loss</t>
        </is>
      </c>
      <c r="W36" s="26" t="n">
        <v>0</v>
      </c>
      <c r="X36" s="26" t="n">
        <v>1</v>
      </c>
      <c r="Y36" s="25" t="n"/>
      <c r="Z36" s="26" t="n"/>
      <c r="AA36" s="28" t="n"/>
      <c r="AB36" s="28" t="n"/>
      <c r="AC36" s="30" t="n">
        <v>-2</v>
      </c>
      <c r="AD36" s="24" t="inlineStr">
        <is>
          <t>2026-07-29T05:45:07.959644Z</t>
        </is>
      </c>
      <c r="AE36" s="31" t="inlineStr">
        <is>
          <t>Surface-blended Elo on Hard: McCartney Kessler p=0.710 vs Renata Zarazua. Executable ask 0.7600 (aec-wta-renzar-mcckes-2026-07-26).</t>
        </is>
      </c>
      <c r="AF36" s="31" t="inlineStr">
        <is>
          <t>Research-only surface-blended Elo model; singles only, WTA-only market coverage, not yet locked-holdout qualified.</t>
        </is>
      </c>
      <c r="AG36" s="24" t="inlineStr">
        <is>
          <t>review_required</t>
        </is>
      </c>
      <c r="AH36" s="24" t="n"/>
      <c r="AI36" s="31" t="n"/>
      <c r="AJ36" s="31" t="n"/>
      <c r="AK36" s="24" t="inlineStr">
        <is>
          <t>research_observation</t>
        </is>
      </c>
      <c r="AL36" s="26" t="n">
        <v>3</v>
      </c>
      <c r="AM36" s="24" t="inlineStr">
        <is>
          <t>RESEARCH_OBSERVATION</t>
        </is>
      </c>
      <c r="AN36" s="24" t="inlineStr">
        <is>
          <t>NO_CALL</t>
        </is>
      </c>
      <c r="AO36" s="24" t="inlineStr">
        <is>
          <t>NO_CALL_MODEL_UNVALIDATED</t>
        </is>
      </c>
      <c r="AP36" s="24" t="inlineStr">
        <is>
          <t>McCartney Kessler</t>
        </is>
      </c>
      <c r="AQ36" s="24" t="inlineStr">
        <is>
          <t>McCartney Kessler</t>
        </is>
      </c>
      <c r="AR36" s="24" t="inlineStr">
        <is>
          <t>McCartney Kessler</t>
        </is>
      </c>
      <c r="AS36" s="24" t="inlineStr">
        <is>
          <t>Renata Zarazua</t>
        </is>
      </c>
      <c r="AT36" s="24" t="inlineStr">
        <is>
          <t>Renata Zarazua</t>
        </is>
      </c>
      <c r="AU36" s="24" t="inlineStr">
        <is>
          <t>Renata Zarazua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research</t>
        </is>
      </c>
      <c r="BA36" s="24" t="inlineStr">
        <is>
          <t>73429bd71f12304106b9ffb751bd50617d5109d487f00de7ae2732f60e779590</t>
        </is>
      </c>
      <c r="BB36" s="24" t="inlineStr">
        <is>
          <t>surface_blended_elo</t>
        </is>
      </c>
      <c r="BC36" s="24" t="inlineStr">
        <is>
          <t>tennis-surface-elo-v1</t>
        </is>
      </c>
      <c r="BD36" s="24" t="inlineStr">
        <is>
          <t>73429bd71f12304106b9ffb751bd50617d5109d487f00de7ae2732f60e779590</t>
        </is>
      </c>
      <c r="BE36" s="24" t="inlineStr">
        <is>
          <t>tennis-surface-elo-v1</t>
        </is>
      </c>
      <c r="BF36" s="24" t="inlineStr">
        <is>
          <t>1</t>
        </is>
      </c>
      <c r="BG36" s="24" t="inlineStr">
        <is>
          <t>73429bd71f12304106b9ffb751bd50617d5109d487f00de7ae2732f60e779590</t>
        </is>
      </c>
      <c r="BH36" s="24" t="inlineStr">
        <is>
          <t>2026-07-28T20:32:38.530130Z</t>
        </is>
      </c>
      <c r="BI36" s="24" t="inlineStr">
        <is>
          <t>["same_event","same_team_same_day","same_league_same_day"]</t>
        </is>
      </c>
      <c r="BJ36" s="25" t="n"/>
      <c r="BK36" s="26" t="n">
        <v>-317</v>
      </c>
      <c r="BL36" s="27" t="n">
        <v>1.315457</v>
      </c>
      <c r="BM36" s="28" t="n">
        <v>0.760192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</row>
    <row r="37" ht="36" customHeight="1">
      <c r="A37" s="24" t="inlineStr">
        <is>
          <t>db3fc8cba73b4168</t>
        </is>
      </c>
      <c r="B37" s="24" t="inlineStr">
        <is>
          <t>2026-07-28T23:39:18.069207Z</t>
        </is>
      </c>
      <c r="C37" s="24" t="inlineStr">
        <is>
          <t>2026-07-29T02:30Z</t>
        </is>
      </c>
      <c r="D37" s="24" t="inlineStr">
        <is>
          <t>875-2026:179531</t>
        </is>
      </c>
      <c r="E37" s="24" t="inlineStr">
        <is>
          <t>TENNIS</t>
        </is>
      </c>
      <c r="F37" s="24" t="inlineStr">
        <is>
          <t>Sofia Costoulas</t>
        </is>
      </c>
      <c r="G37" s="24" t="inlineStr">
        <is>
          <t>Lizette Cabrera</t>
        </is>
      </c>
      <c r="H37" s="24" t="inlineStr">
        <is>
          <t>moneyline</t>
        </is>
      </c>
      <c r="I37" s="24" t="inlineStr">
        <is>
          <t>away</t>
        </is>
      </c>
      <c r="J37" s="25" t="n"/>
      <c r="K37" s="24" t="inlineStr">
        <is>
          <t>polymarket_us</t>
        </is>
      </c>
      <c r="L37" s="26" t="n">
        <v>-270</v>
      </c>
      <c r="M37" s="27" t="n">
        <v>1.37037</v>
      </c>
      <c r="N37" s="28" t="n">
        <v>0.72973</v>
      </c>
      <c r="O37" s="28" t="n">
        <v>0.546068</v>
      </c>
      <c r="P37" s="28" t="n">
        <v>0.05</v>
      </c>
      <c r="Q37" s="28" t="n">
        <v>-0.183662</v>
      </c>
      <c r="R37" s="26" t="n">
        <v>0</v>
      </c>
      <c r="S37" s="29" t="n">
        <v>1</v>
      </c>
      <c r="T37" s="24" t="inlineStr">
        <is>
          <t>tennis-surface-elo-v1</t>
        </is>
      </c>
      <c r="U37" s="24" t="inlineStr">
        <is>
          <t>settled</t>
        </is>
      </c>
      <c r="V37" s="24" t="inlineStr">
        <is>
          <t>win</t>
        </is>
      </c>
      <c r="W37" s="26" t="n">
        <v>1</v>
      </c>
      <c r="X37" s="26" t="n">
        <v>0</v>
      </c>
      <c r="Y37" s="25" t="n"/>
      <c r="Z37" s="26" t="n"/>
      <c r="AA37" s="28" t="n"/>
      <c r="AB37" s="28" t="n"/>
      <c r="AC37" s="30" t="n">
        <v>0.3704</v>
      </c>
      <c r="AD37" s="24" t="inlineStr">
        <is>
          <t>2026-07-30T04:12:56.907188Z</t>
        </is>
      </c>
      <c r="AE37" s="31" t="inlineStr">
        <is>
          <t>Surface-blended Elo on Hard: Sofia Costoulas p=0.546 vs Lizette Cabrera. Executable ask 0.7300 (aec-wta-lizcab-sofcos-2026-07-27).</t>
        </is>
      </c>
      <c r="AF37" s="31" t="inlineStr">
        <is>
          <t>Research-only surface-blended Elo model; singles only, WTA-only market coverage, not yet locked-holdout qualified.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research_observation</t>
        </is>
      </c>
      <c r="AL37" s="26" t="n">
        <v>3</v>
      </c>
      <c r="AM37" s="24" t="inlineStr">
        <is>
          <t>RESEARCH_OBSERVATION</t>
        </is>
      </c>
      <c r="AN37" s="24" t="inlineStr">
        <is>
          <t>NO_CALL</t>
        </is>
      </c>
      <c r="AO37" s="24" t="inlineStr">
        <is>
          <t>NO_CALL_MODEL_UNVALIDATED</t>
        </is>
      </c>
      <c r="AP37" s="24" t="inlineStr">
        <is>
          <t>Sofia Costoulas</t>
        </is>
      </c>
      <c r="AQ37" s="24" t="inlineStr">
        <is>
          <t>Sofia Costoulas</t>
        </is>
      </c>
      <c r="AR37" s="24" t="inlineStr">
        <is>
          <t>Sofia Costoulas</t>
        </is>
      </c>
      <c r="AS37" s="24" t="inlineStr">
        <is>
          <t>Lizette Cabrera</t>
        </is>
      </c>
      <c r="AT37" s="24" t="inlineStr">
        <is>
          <t>Lizette Cabrera</t>
        </is>
      </c>
      <c r="AU37" s="24" t="inlineStr">
        <is>
          <t>Lizette Cabrera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research</t>
        </is>
      </c>
      <c r="BA37" s="24" t="inlineStr">
        <is>
          <t>73429bd71f12304106b9ffb751bd50617d5109d487f00de7ae2732f60e779590</t>
        </is>
      </c>
      <c r="BB37" s="24" t="inlineStr">
        <is>
          <t>surface_blended_elo</t>
        </is>
      </c>
      <c r="BC37" s="24" t="inlineStr">
        <is>
          <t>tennis-surface-elo-v1</t>
        </is>
      </c>
      <c r="BD37" s="24" t="inlineStr">
        <is>
          <t>73429bd71f12304106b9ffb751bd50617d5109d487f00de7ae2732f60e779590</t>
        </is>
      </c>
      <c r="BE37" s="24" t="inlineStr">
        <is>
          <t>tennis-surface-elo-v1</t>
        </is>
      </c>
      <c r="BF37" s="24" t="inlineStr">
        <is>
          <t>1</t>
        </is>
      </c>
      <c r="BG37" s="24" t="inlineStr">
        <is>
          <t>73429bd71f12304106b9ffb751bd50617d5109d487f00de7ae2732f60e779590</t>
        </is>
      </c>
      <c r="BH37" s="24" t="inlineStr">
        <is>
          <t>2026-07-28T23:38:14.586715Z</t>
        </is>
      </c>
      <c r="BI37" s="24" t="inlineStr">
        <is>
          <t>["same_event","same_team_same_day","same_league_same_day"]</t>
        </is>
      </c>
      <c r="BJ37" s="25" t="n"/>
      <c r="BK37" s="26" t="n">
        <v>-270</v>
      </c>
      <c r="BL37" s="27" t="n">
        <v>1.37037</v>
      </c>
      <c r="BM37" s="28" t="n">
        <v>0.72973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</row>
    <row r="38" ht="36" customHeight="1">
      <c r="A38" s="24" t="inlineStr">
        <is>
          <t>06dda72ce98b4533</t>
        </is>
      </c>
      <c r="B38" s="24" t="inlineStr">
        <is>
          <t>2026-07-28T23:39:18.069207Z</t>
        </is>
      </c>
      <c r="C38" s="24" t="inlineStr">
        <is>
          <t>2026-07-29T02:30Z</t>
        </is>
      </c>
      <c r="D38" s="24" t="inlineStr">
        <is>
          <t>875-2026:179542</t>
        </is>
      </c>
      <c r="E38" s="24" t="inlineStr">
        <is>
          <t>TENNIS</t>
        </is>
      </c>
      <c r="F38" s="24" t="inlineStr">
        <is>
          <t>Maddison Inglis</t>
        </is>
      </c>
      <c r="G38" s="24" t="inlineStr">
        <is>
          <t>Greet Minnen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-285</v>
      </c>
      <c r="M38" s="27" t="n">
        <v>1.350877</v>
      </c>
      <c r="N38" s="28" t="n">
        <v>0.74026</v>
      </c>
      <c r="O38" s="28" t="n">
        <v>0.534422</v>
      </c>
      <c r="P38" s="28" t="n">
        <v>0.05</v>
      </c>
      <c r="Q38" s="28" t="n">
        <v>-0.205838</v>
      </c>
      <c r="R38" s="26" t="n">
        <v>0</v>
      </c>
      <c r="S38" s="29" t="n">
        <v>1</v>
      </c>
      <c r="T38" s="24" t="inlineStr">
        <is>
          <t>tennis-surface-elo-v1</t>
        </is>
      </c>
      <c r="U38" s="24" t="inlineStr">
        <is>
          <t>settled</t>
        </is>
      </c>
      <c r="V38" s="24" t="inlineStr">
        <is>
          <t>loss</t>
        </is>
      </c>
      <c r="W38" s="26" t="n">
        <v>1</v>
      </c>
      <c r="X38" s="26" t="n">
        <v>0</v>
      </c>
      <c r="Y38" s="25" t="n"/>
      <c r="Z38" s="26" t="n"/>
      <c r="AA38" s="28" t="n"/>
      <c r="AB38" s="28" t="n"/>
      <c r="AC38" s="30" t="n">
        <v>-1</v>
      </c>
      <c r="AD38" s="24" t="inlineStr">
        <is>
          <t>2026-07-30T04:12:57.077131Z</t>
        </is>
      </c>
      <c r="AE38" s="31" t="inlineStr">
        <is>
          <t>Surface-blended Elo on Hard: Maddison Inglis p=0.466 vs Greet Minnen. Executable ask 0.7400 (aec-wta-gremin-mading-2026-07-27).</t>
        </is>
      </c>
      <c r="AF38" s="31" t="inlineStr">
        <is>
          <t>Research-only surface-blended Elo model; singles only, WTA-only market coverage, not yet locked-holdout qualified.</t>
        </is>
      </c>
      <c r="AG38" s="24" t="inlineStr">
        <is>
          <t>review_required</t>
        </is>
      </c>
      <c r="AH38" s="24" t="n"/>
      <c r="AI38" s="31" t="n"/>
      <c r="AJ38" s="31" t="n"/>
      <c r="AK38" s="24" t="inlineStr">
        <is>
          <t>research_observation</t>
        </is>
      </c>
      <c r="AL38" s="26" t="n">
        <v>3</v>
      </c>
      <c r="AM38" s="24" t="inlineStr">
        <is>
          <t>RESEARCH_OBSERVATION</t>
        </is>
      </c>
      <c r="AN38" s="24" t="inlineStr">
        <is>
          <t>NO_CALL</t>
        </is>
      </c>
      <c r="AO38" s="24" t="inlineStr">
        <is>
          <t>NO_CALL_MODEL_UNVALIDATED</t>
        </is>
      </c>
      <c r="AP38" s="24" t="inlineStr">
        <is>
          <t>Maddison Inglis</t>
        </is>
      </c>
      <c r="AQ38" s="24" t="inlineStr">
        <is>
          <t>Maddison Inglis</t>
        </is>
      </c>
      <c r="AR38" s="24" t="inlineStr">
        <is>
          <t>Maddison Inglis</t>
        </is>
      </c>
      <c r="AS38" s="24" t="inlineStr">
        <is>
          <t>Greet Minnen</t>
        </is>
      </c>
      <c r="AT38" s="24" t="inlineStr">
        <is>
          <t>Greet Minnen</t>
        </is>
      </c>
      <c r="AU38" s="24" t="inlineStr">
        <is>
          <t>Greet Minnen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research</t>
        </is>
      </c>
      <c r="BA38" s="24" t="inlineStr">
        <is>
          <t>73429bd71f12304106b9ffb751bd50617d5109d487f00de7ae2732f60e779590</t>
        </is>
      </c>
      <c r="BB38" s="24" t="inlineStr">
        <is>
          <t>surface_blended_elo</t>
        </is>
      </c>
      <c r="BC38" s="24" t="inlineStr">
        <is>
          <t>tennis-surface-elo-v1</t>
        </is>
      </c>
      <c r="BD38" s="24" t="inlineStr">
        <is>
          <t>73429bd71f12304106b9ffb751bd50617d5109d487f00de7ae2732f60e779590</t>
        </is>
      </c>
      <c r="BE38" s="24" t="inlineStr">
        <is>
          <t>tennis-surface-elo-v1</t>
        </is>
      </c>
      <c r="BF38" s="24" t="inlineStr">
        <is>
          <t>1</t>
        </is>
      </c>
      <c r="BG38" s="24" t="inlineStr">
        <is>
          <t>73429bd71f12304106b9ffb751bd50617d5109d487f00de7ae2732f60e779590</t>
        </is>
      </c>
      <c r="BH38" s="24" t="inlineStr">
        <is>
          <t>2026-07-28T23:38:14.504075Z</t>
        </is>
      </c>
      <c r="BI38" s="24" t="inlineStr">
        <is>
          <t>["same_event","same_team_same_day","same_league_same_day"]</t>
        </is>
      </c>
      <c r="BJ38" s="25" t="n"/>
      <c r="BK38" s="26" t="n">
        <v>-285</v>
      </c>
      <c r="BL38" s="27" t="n">
        <v>1.350877</v>
      </c>
      <c r="BM38" s="28" t="n">
        <v>0.74026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</row>
    <row r="39" ht="36" customHeight="1">
      <c r="A39" s="24" t="inlineStr">
        <is>
          <t>2c2074174fb04ee4</t>
        </is>
      </c>
      <c r="B39" s="24" t="inlineStr">
        <is>
          <t>2026-07-29T02:42:48.148482Z</t>
        </is>
      </c>
      <c r="C39" s="24" t="inlineStr">
        <is>
          <t>2026-07-29T04:00Z</t>
        </is>
      </c>
      <c r="D39" s="24" t="inlineStr">
        <is>
          <t>875-2026:179539</t>
        </is>
      </c>
      <c r="E39" s="24" t="inlineStr">
        <is>
          <t>TENNIS</t>
        </is>
      </c>
      <c r="F39" s="24" t="inlineStr">
        <is>
          <t>Annabelle Xu</t>
        </is>
      </c>
      <c r="G39" s="24" t="inlineStr">
        <is>
          <t>Ariana Arseneault</t>
        </is>
      </c>
      <c r="H39" s="24" t="inlineStr">
        <is>
          <t>moneyline</t>
        </is>
      </c>
      <c r="I39" s="24" t="inlineStr">
        <is>
          <t>away</t>
        </is>
      </c>
      <c r="J39" s="25" t="n"/>
      <c r="K39" s="24" t="inlineStr">
        <is>
          <t>polymarket_us</t>
        </is>
      </c>
      <c r="L39" s="26" t="n">
        <v>355</v>
      </c>
      <c r="M39" s="27" t="n">
        <v>4.55</v>
      </c>
      <c r="N39" s="28" t="n">
        <v>0.21978</v>
      </c>
      <c r="O39" s="28" t="n">
        <v>0.5013840000000001</v>
      </c>
      <c r="P39" s="28" t="n">
        <v>0.2</v>
      </c>
      <c r="Q39" s="28" t="n">
        <v>0.281604</v>
      </c>
      <c r="R39" s="26" t="n">
        <v>71</v>
      </c>
      <c r="S39" s="29" t="n">
        <v>1</v>
      </c>
      <c r="T39" s="24" t="inlineStr">
        <is>
          <t>tennis-surface-elo-v1</t>
        </is>
      </c>
      <c r="U39" s="24" t="inlineStr">
        <is>
          <t>settled</t>
        </is>
      </c>
      <c r="V39" s="24" t="inlineStr">
        <is>
          <t>loss</t>
        </is>
      </c>
      <c r="W39" s="26" t="n">
        <v>0</v>
      </c>
      <c r="X39" s="26" t="n">
        <v>1</v>
      </c>
      <c r="Y39" s="25" t="n"/>
      <c r="Z39" s="26" t="n"/>
      <c r="AA39" s="28" t="n"/>
      <c r="AB39" s="28" t="n"/>
      <c r="AC39" s="30" t="n">
        <v>-1</v>
      </c>
      <c r="AD39" s="24" t="inlineStr">
        <is>
          <t>2026-07-29T08:51:50.234581Z</t>
        </is>
      </c>
      <c r="AE39" s="31" t="inlineStr">
        <is>
          <t>Surface-blended Elo on Hard: Annabelle Xu p=0.501 vs Ariana Arseneault. Executable ask 0.2200 (aec-wta-ariars-annxu-2026-07-27).</t>
        </is>
      </c>
      <c r="AF39" s="31" t="inlineStr">
        <is>
          <t>Research-only surface-blended Elo model; singles only, WTA-only market coverage, not yet locked-holdout qualified.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research_observation</t>
        </is>
      </c>
      <c r="AL39" s="26" t="n">
        <v>3</v>
      </c>
      <c r="AM39" s="24" t="inlineStr">
        <is>
          <t>RESEARCH_OBSERVATION</t>
        </is>
      </c>
      <c r="AN39" s="24" t="inlineStr">
        <is>
          <t>NO_CALL</t>
        </is>
      </c>
      <c r="AO39" s="24" t="inlineStr">
        <is>
          <t>NO_CALL_MODEL_UNVALIDATED</t>
        </is>
      </c>
      <c r="AP39" s="24" t="inlineStr">
        <is>
          <t>Annabelle Xu</t>
        </is>
      </c>
      <c r="AQ39" s="24" t="inlineStr">
        <is>
          <t>Annabelle Xu</t>
        </is>
      </c>
      <c r="AR39" s="24" t="inlineStr">
        <is>
          <t>Annabelle Xu</t>
        </is>
      </c>
      <c r="AS39" s="24" t="inlineStr">
        <is>
          <t>Ariana Arseneault</t>
        </is>
      </c>
      <c r="AT39" s="24" t="inlineStr">
        <is>
          <t>Ariana Arseneault</t>
        </is>
      </c>
      <c r="AU39" s="24" t="inlineStr">
        <is>
          <t>Ariana Arseneault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research</t>
        </is>
      </c>
      <c r="BA39" s="24" t="inlineStr">
        <is>
          <t>73429bd71f12304106b9ffb751bd50617d5109d487f00de7ae2732f60e779590</t>
        </is>
      </c>
      <c r="BB39" s="24" t="inlineStr">
        <is>
          <t>surface_blended_elo</t>
        </is>
      </c>
      <c r="BC39" s="24" t="inlineStr">
        <is>
          <t>tennis-surface-elo-v1</t>
        </is>
      </c>
      <c r="BD39" s="24" t="inlineStr">
        <is>
          <t>73429bd71f12304106b9ffb751bd50617d5109d487f00de7ae2732f60e779590</t>
        </is>
      </c>
      <c r="BE39" s="24" t="inlineStr">
        <is>
          <t>tennis-surface-elo-v1</t>
        </is>
      </c>
      <c r="BF39" s="24" t="inlineStr">
        <is>
          <t>1</t>
        </is>
      </c>
      <c r="BG39" s="24" t="inlineStr">
        <is>
          <t>73429bd71f12304106b9ffb751bd50617d5109d487f00de7ae2732f60e779590</t>
        </is>
      </c>
      <c r="BH39" s="24" t="inlineStr">
        <is>
          <t>2026-07-28T23:38:14.799545Z</t>
        </is>
      </c>
      <c r="BI39" s="24" t="inlineStr">
        <is>
          <t>["same_event","same_team_same_day","same_league_same_day"]</t>
        </is>
      </c>
      <c r="BJ39" s="25" t="n"/>
      <c r="BK39" s="26" t="n">
        <v>355</v>
      </c>
      <c r="BL39" s="27" t="n">
        <v>4.55</v>
      </c>
      <c r="BM39" s="28" t="n">
        <v>0.21978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</row>
    <row r="40" ht="36" customHeight="1">
      <c r="A40" s="24" t="inlineStr">
        <is>
          <t>4a6b08dfd05c4c51</t>
        </is>
      </c>
      <c r="B40" s="24" t="inlineStr">
        <is>
          <t>2026-07-29T08:55:21.430631Z</t>
        </is>
      </c>
      <c r="C40" s="24" t="inlineStr">
        <is>
          <t>2026-07-29T09:00Z</t>
        </is>
      </c>
      <c r="D40" s="24" t="inlineStr">
        <is>
          <t>1073-2026:179583</t>
        </is>
      </c>
      <c r="E40" s="24" t="inlineStr">
        <is>
          <t>TENNIS</t>
        </is>
      </c>
      <c r="F40" s="24" t="inlineStr">
        <is>
          <t>Irene Burillo</t>
        </is>
      </c>
      <c r="G40" s="24" t="inlineStr">
        <is>
          <t>Kaitlin Quevedo</t>
        </is>
      </c>
      <c r="H40" s="24" t="inlineStr">
        <is>
          <t>moneyline</t>
        </is>
      </c>
      <c r="I40" s="24" t="inlineStr">
        <is>
          <t>home</t>
        </is>
      </c>
      <c r="J40" s="25" t="n"/>
      <c r="K40" s="24" t="inlineStr">
        <is>
          <t>polymarket_us</t>
        </is>
      </c>
      <c r="L40" s="26" t="n">
        <v>-355</v>
      </c>
      <c r="M40" s="27" t="n">
        <v>1.28169</v>
      </c>
      <c r="N40" s="28" t="n">
        <v>0.78022</v>
      </c>
      <c r="O40" s="28" t="n">
        <v>0.740447</v>
      </c>
      <c r="P40" s="28" t="n">
        <v>0.05</v>
      </c>
      <c r="Q40" s="28" t="n">
        <v>-0.039773</v>
      </c>
      <c r="R40" s="26" t="n">
        <v>0</v>
      </c>
      <c r="S40" s="29" t="n">
        <v>2</v>
      </c>
      <c r="T40" s="24" t="inlineStr">
        <is>
          <t>tennis-surface-elo-v1</t>
        </is>
      </c>
      <c r="U40" s="24" t="inlineStr">
        <is>
          <t>settled</t>
        </is>
      </c>
      <c r="V40" s="24" t="inlineStr">
        <is>
          <t>win</t>
        </is>
      </c>
      <c r="W40" s="26" t="n">
        <v>0</v>
      </c>
      <c r="X40" s="26" t="n">
        <v>1</v>
      </c>
      <c r="Y40" s="25" t="n"/>
      <c r="Z40" s="26" t="n"/>
      <c r="AA40" s="28" t="n"/>
      <c r="AB40" s="28" t="n"/>
      <c r="AC40" s="30" t="n">
        <v>0.5634</v>
      </c>
      <c r="AD40" s="24" t="inlineStr">
        <is>
          <t>2026-07-29T11:58:21.897341Z</t>
        </is>
      </c>
      <c r="AE40" s="31" t="inlineStr">
        <is>
          <t>Surface-blended Elo on Hard: Irene Burillo p=0.260 vs Kaitlin Quevedo. Executable ask 0.7800 (aec-wta-kaique-ireesc-2026-07-29).</t>
        </is>
      </c>
      <c r="AF40" s="31" t="inlineStr">
        <is>
          <t>Research-only surface-blended Elo model; singles only, WTA-only market coverage, not yet locked-holdout qualified.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research_observation</t>
        </is>
      </c>
      <c r="AL40" s="26" t="n">
        <v>3</v>
      </c>
      <c r="AM40" s="24" t="inlineStr">
        <is>
          <t>RESEARCH_OBSERVATION</t>
        </is>
      </c>
      <c r="AN40" s="24" t="inlineStr">
        <is>
          <t>NO_CALL</t>
        </is>
      </c>
      <c r="AO40" s="24" t="inlineStr">
        <is>
          <t>NO_CALL_MODEL_UNVALIDATED</t>
        </is>
      </c>
      <c r="AP40" s="24" t="inlineStr">
        <is>
          <t>Irene Burillo</t>
        </is>
      </c>
      <c r="AQ40" s="24" t="inlineStr">
        <is>
          <t>Irene Burillo</t>
        </is>
      </c>
      <c r="AR40" s="24" t="inlineStr">
        <is>
          <t>Irene Burillo</t>
        </is>
      </c>
      <c r="AS40" s="24" t="inlineStr">
        <is>
          <t>Kaitlin Quevedo</t>
        </is>
      </c>
      <c r="AT40" s="24" t="inlineStr">
        <is>
          <t>Kaitlin Quevedo</t>
        </is>
      </c>
      <c r="AU40" s="24" t="inlineStr">
        <is>
          <t>Kaitlin Quevedo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research</t>
        </is>
      </c>
      <c r="BA40" s="24" t="inlineStr">
        <is>
          <t>73429bd71f12304106b9ffb751bd50617d5109d487f00de7ae2732f60e779590</t>
        </is>
      </c>
      <c r="BB40" s="24" t="inlineStr">
        <is>
          <t>surface_blended_elo</t>
        </is>
      </c>
      <c r="BC40" s="24" t="inlineStr">
        <is>
          <t>tennis-surface-elo-v1</t>
        </is>
      </c>
      <c r="BD40" s="24" t="inlineStr">
        <is>
          <t>73429bd71f12304106b9ffb751bd50617d5109d487f00de7ae2732f60e779590</t>
        </is>
      </c>
      <c r="BE40" s="24" t="inlineStr">
        <is>
          <t>tennis-surface-elo-v1</t>
        </is>
      </c>
      <c r="BF40" s="24" t="inlineStr">
        <is>
          <t>1</t>
        </is>
      </c>
      <c r="BG40" s="24" t="inlineStr">
        <is>
          <t>73429bd71f12304106b9ffb751bd50617d5109d487f00de7ae2732f60e779590</t>
        </is>
      </c>
      <c r="BH40" s="24" t="inlineStr">
        <is>
          <t>2026-07-29T08:52:48.619185Z</t>
        </is>
      </c>
      <c r="BI40" s="24" t="inlineStr">
        <is>
          <t>["same_event","same_team_same_day","same_league_same_day"]</t>
        </is>
      </c>
      <c r="BJ40" s="25" t="n"/>
      <c r="BK40" s="26" t="n">
        <v>-355</v>
      </c>
      <c r="BL40" s="27" t="n">
        <v>1.28169</v>
      </c>
      <c r="BM40" s="28" t="n">
        <v>0.78022</v>
      </c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</row>
    <row r="41" ht="36" customHeight="1">
      <c r="A41" s="24" t="inlineStr">
        <is>
          <t>d1a96c589a2d428c</t>
        </is>
      </c>
      <c r="B41" s="24" t="inlineStr">
        <is>
          <t>2026-07-29T08:55:21.430631Z</t>
        </is>
      </c>
      <c r="C41" s="24" t="inlineStr">
        <is>
          <t>2026-07-29T09:00Z</t>
        </is>
      </c>
      <c r="D41" s="24" t="inlineStr">
        <is>
          <t>1073-2026:179578</t>
        </is>
      </c>
      <c r="E41" s="24" t="inlineStr">
        <is>
          <t>TENNIS</t>
        </is>
      </c>
      <c r="F41" s="24" t="inlineStr">
        <is>
          <t>Margaux Rouvroy</t>
        </is>
      </c>
      <c r="G41" s="24" t="inlineStr">
        <is>
          <t>Alice Rame</t>
        </is>
      </c>
      <c r="H41" s="24" t="inlineStr">
        <is>
          <t>moneyline</t>
        </is>
      </c>
      <c r="I41" s="24" t="inlineStr">
        <is>
          <t>away</t>
        </is>
      </c>
      <c r="J41" s="25" t="n"/>
      <c r="K41" s="24" t="inlineStr">
        <is>
          <t>polymarket_us</t>
        </is>
      </c>
      <c r="L41" s="26" t="n">
        <v>133</v>
      </c>
      <c r="M41" s="27" t="n">
        <v>2.33</v>
      </c>
      <c r="N41" s="28" t="n">
        <v>0.429185</v>
      </c>
      <c r="O41" s="28" t="n">
        <v>0.595788</v>
      </c>
      <c r="P41" s="28" t="n">
        <v>0.05</v>
      </c>
      <c r="Q41" s="28" t="n">
        <v>0.166603</v>
      </c>
      <c r="R41" s="26" t="n">
        <v>100</v>
      </c>
      <c r="S41" s="29" t="n">
        <v>1.25</v>
      </c>
      <c r="T41" s="24" t="inlineStr">
        <is>
          <t>tennis-surface-elo-v1</t>
        </is>
      </c>
      <c r="U41" s="24" t="inlineStr">
        <is>
          <t>settled</t>
        </is>
      </c>
      <c r="V41" s="24" t="inlineStr">
        <is>
          <t>loss</t>
        </is>
      </c>
      <c r="W41" s="26" t="n">
        <v>0</v>
      </c>
      <c r="X41" s="26" t="n">
        <v>1</v>
      </c>
      <c r="Y41" s="25" t="n"/>
      <c r="Z41" s="26" t="n"/>
      <c r="AA41" s="28" t="n"/>
      <c r="AB41" s="28" t="n"/>
      <c r="AC41" s="30" t="n">
        <v>-1.25</v>
      </c>
      <c r="AD41" s="24" t="inlineStr">
        <is>
          <t>2026-07-29T11:58:22.059061Z</t>
        </is>
      </c>
      <c r="AE41" s="31" t="inlineStr">
        <is>
          <t>Surface-blended Elo on Hard: Margaux Rouvroy p=0.596 vs Alice Rame. Executable ask 0.4300 (aec-wta-aliram-marrou-2026-07-29).</t>
        </is>
      </c>
      <c r="AF41" s="31" t="inlineStr">
        <is>
          <t>Research-only surface-blended Elo model; singles only, WTA-only market coverage, not yet locked-holdout qualified.</t>
        </is>
      </c>
      <c r="AG41" s="24" t="inlineStr">
        <is>
          <t>review_required</t>
        </is>
      </c>
      <c r="AH41" s="24" t="n"/>
      <c r="AI41" s="31" t="n"/>
      <c r="AJ41" s="31" t="n"/>
      <c r="AK41" s="24" t="inlineStr">
        <is>
          <t>research_observation</t>
        </is>
      </c>
      <c r="AL41" s="26" t="n">
        <v>3</v>
      </c>
      <c r="AM41" s="24" t="inlineStr">
        <is>
          <t>RESEARCH_OBSERVATION</t>
        </is>
      </c>
      <c r="AN41" s="24" t="inlineStr">
        <is>
          <t>NO_CALL</t>
        </is>
      </c>
      <c r="AO41" s="24" t="inlineStr">
        <is>
          <t>NO_CALL_MODEL_UNVALIDATED</t>
        </is>
      </c>
      <c r="AP41" s="24" t="inlineStr">
        <is>
          <t>Margaux Rouvroy</t>
        </is>
      </c>
      <c r="AQ41" s="24" t="inlineStr">
        <is>
          <t>Margaux Rouvroy</t>
        </is>
      </c>
      <c r="AR41" s="24" t="inlineStr">
        <is>
          <t>Margaux Rouvroy</t>
        </is>
      </c>
      <c r="AS41" s="24" t="inlineStr">
        <is>
          <t>Alice Rame</t>
        </is>
      </c>
      <c r="AT41" s="24" t="inlineStr">
        <is>
          <t>Alice Rame</t>
        </is>
      </c>
      <c r="AU41" s="24" t="inlineStr">
        <is>
          <t>Alice Rame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research</t>
        </is>
      </c>
      <c r="BA41" s="24" t="inlineStr">
        <is>
          <t>73429bd71f12304106b9ffb751bd50617d5109d487f00de7ae2732f60e779590</t>
        </is>
      </c>
      <c r="BB41" s="24" t="inlineStr">
        <is>
          <t>surface_blended_elo</t>
        </is>
      </c>
      <c r="BC41" s="24" t="inlineStr">
        <is>
          <t>tennis-surface-elo-v1</t>
        </is>
      </c>
      <c r="BD41" s="24" t="inlineStr">
        <is>
          <t>73429bd71f12304106b9ffb751bd50617d5109d487f00de7ae2732f60e779590</t>
        </is>
      </c>
      <c r="BE41" s="24" t="inlineStr">
        <is>
          <t>tennis-surface-elo-v1</t>
        </is>
      </c>
      <c r="BF41" s="24" t="inlineStr">
        <is>
          <t>1</t>
        </is>
      </c>
      <c r="BG41" s="24" t="inlineStr">
        <is>
          <t>73429bd71f12304106b9ffb751bd50617d5109d487f00de7ae2732f60e779590</t>
        </is>
      </c>
      <c r="BH41" s="24" t="inlineStr">
        <is>
          <t>2026-07-29T08:52:48.697468Z</t>
        </is>
      </c>
      <c r="BI41" s="24" t="inlineStr">
        <is>
          <t>["same_event","same_team_same_day","same_league_same_day"]</t>
        </is>
      </c>
      <c r="BJ41" s="25" t="n"/>
      <c r="BK41" s="26" t="n">
        <v>133</v>
      </c>
      <c r="BL41" s="27" t="n">
        <v>2.33</v>
      </c>
      <c r="BM41" s="28" t="n">
        <v>0.429185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</row>
    <row r="42" ht="36" customHeight="1">
      <c r="A42" s="24" t="inlineStr">
        <is>
          <t>1fd9d10e54be4c11</t>
        </is>
      </c>
      <c r="B42" s="24" t="inlineStr">
        <is>
          <t>2026-07-29T08:55:21.430631Z</t>
        </is>
      </c>
      <c r="C42" s="24" t="inlineStr">
        <is>
          <t>2026-07-29T10:30Z</t>
        </is>
      </c>
      <c r="D42" s="24" t="inlineStr">
        <is>
          <t>1073-2026:179581</t>
        </is>
      </c>
      <c r="E42" s="24" t="inlineStr">
        <is>
          <t>TENNIS</t>
        </is>
      </c>
      <c r="F42" s="24" t="inlineStr">
        <is>
          <t>Carole Monnet</t>
        </is>
      </c>
      <c r="G42" s="24" t="inlineStr">
        <is>
          <t>Elena Ruxandra Bertea</t>
        </is>
      </c>
      <c r="H42" s="24" t="inlineStr">
        <is>
          <t>moneyline</t>
        </is>
      </c>
      <c r="I42" s="24" t="inlineStr">
        <is>
          <t>home</t>
        </is>
      </c>
      <c r="J42" s="25" t="n"/>
      <c r="K42" s="24" t="inlineStr">
        <is>
          <t>polymarket_us</t>
        </is>
      </c>
      <c r="L42" s="26" t="n">
        <v>144</v>
      </c>
      <c r="M42" s="27" t="n">
        <v>2.44</v>
      </c>
      <c r="N42" s="28" t="n">
        <v>0.409836</v>
      </c>
      <c r="O42" s="28" t="n">
        <v>0.507464</v>
      </c>
      <c r="P42" s="28" t="n">
        <v>0.05</v>
      </c>
      <c r="Q42" s="28" t="n">
        <v>0.09762800000000001</v>
      </c>
      <c r="R42" s="26" t="n">
        <v>69</v>
      </c>
      <c r="S42" s="29" t="n">
        <v>1</v>
      </c>
      <c r="T42" s="24" t="inlineStr">
        <is>
          <t>tennis-surface-elo-v1</t>
        </is>
      </c>
      <c r="U42" s="24" t="inlineStr">
        <is>
          <t>settled</t>
        </is>
      </c>
      <c r="V42" s="24" t="inlineStr">
        <is>
          <t>loss</t>
        </is>
      </c>
      <c r="W42" s="26" t="n">
        <v>1</v>
      </c>
      <c r="X42" s="26" t="n">
        <v>0</v>
      </c>
      <c r="Y42" s="25" t="n"/>
      <c r="Z42" s="26" t="n"/>
      <c r="AA42" s="28" t="n"/>
      <c r="AB42" s="28" t="n"/>
      <c r="AC42" s="30" t="n">
        <v>-1</v>
      </c>
      <c r="AD42" s="24" t="inlineStr">
        <is>
          <t>2026-07-29T15:04:57.137903Z</t>
        </is>
      </c>
      <c r="AE42" s="31" t="inlineStr">
        <is>
          <t>Surface-blended Elo on Hard: Carole Monnet p=0.493 vs Elena Ruxandra Bertea. Executable ask 0.4100 (aec-wta-eleber-carmon-2026-07-29).</t>
        </is>
      </c>
      <c r="AF42" s="31" t="inlineStr">
        <is>
          <t>Research-only surface-blended Elo model; singles only, WTA-only market coverage, not yet locked-holdout qualified.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research_observation</t>
        </is>
      </c>
      <c r="AL42" s="26" t="n">
        <v>3</v>
      </c>
      <c r="AM42" s="24" t="inlineStr">
        <is>
          <t>RESEARCH_OBSERVATION</t>
        </is>
      </c>
      <c r="AN42" s="24" t="inlineStr">
        <is>
          <t>NO_CALL</t>
        </is>
      </c>
      <c r="AO42" s="24" t="inlineStr">
        <is>
          <t>NO_CALL_MODEL_UNVALIDATED</t>
        </is>
      </c>
      <c r="AP42" s="24" t="inlineStr">
        <is>
          <t>Carole Monnet</t>
        </is>
      </c>
      <c r="AQ42" s="24" t="inlineStr">
        <is>
          <t>Carole Monnet</t>
        </is>
      </c>
      <c r="AR42" s="24" t="inlineStr">
        <is>
          <t>Carole Monnet</t>
        </is>
      </c>
      <c r="AS42" s="24" t="inlineStr">
        <is>
          <t>Elena Ruxandra Bertea</t>
        </is>
      </c>
      <c r="AT42" s="24" t="inlineStr">
        <is>
          <t>Elena Ruxandra Bertea</t>
        </is>
      </c>
      <c r="AU42" s="24" t="inlineStr">
        <is>
          <t>Elena Ruxandra Bertea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research</t>
        </is>
      </c>
      <c r="BA42" s="24" t="inlineStr">
        <is>
          <t>73429bd71f12304106b9ffb751bd50617d5109d487f00de7ae2732f60e779590</t>
        </is>
      </c>
      <c r="BB42" s="24" t="inlineStr">
        <is>
          <t>surface_blended_elo</t>
        </is>
      </c>
      <c r="BC42" s="24" t="inlineStr">
        <is>
          <t>tennis-surface-elo-v1</t>
        </is>
      </c>
      <c r="BD42" s="24" t="inlineStr">
        <is>
          <t>73429bd71f12304106b9ffb751bd50617d5109d487f00de7ae2732f60e779590</t>
        </is>
      </c>
      <c r="BE42" s="24" t="inlineStr">
        <is>
          <t>tennis-surface-elo-v1</t>
        </is>
      </c>
      <c r="BF42" s="24" t="inlineStr">
        <is>
          <t>1</t>
        </is>
      </c>
      <c r="BG42" s="24" t="inlineStr">
        <is>
          <t>73429bd71f12304106b9ffb751bd50617d5109d487f00de7ae2732f60e779590</t>
        </is>
      </c>
      <c r="BH42" s="24" t="inlineStr">
        <is>
          <t>2026-07-29T08:52:48.630695Z</t>
        </is>
      </c>
      <c r="BI42" s="24" t="inlineStr">
        <is>
          <t>["same_event","same_team_same_day","same_league_same_day"]</t>
        </is>
      </c>
      <c r="BJ42" s="25" t="n"/>
      <c r="BK42" s="26" t="n">
        <v>144</v>
      </c>
      <c r="BL42" s="27" t="n">
        <v>2.44</v>
      </c>
      <c r="BM42" s="28" t="n">
        <v>0.409836</v>
      </c>
      <c r="BN42" s="28" t="n"/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</row>
    <row r="43" ht="36" customHeight="1">
      <c r="A43" s="24" t="inlineStr">
        <is>
          <t>de165a84ab994f0a</t>
        </is>
      </c>
      <c r="B43" s="24" t="inlineStr">
        <is>
          <t>2026-07-29T12:01:51.227703Z</t>
        </is>
      </c>
      <c r="C43" s="24" t="inlineStr">
        <is>
          <t>2026-07-29T15:00Z</t>
        </is>
      </c>
      <c r="D43" s="24" t="inlineStr">
        <is>
          <t>888-2026:178997</t>
        </is>
      </c>
      <c r="E43" s="24" t="inlineStr">
        <is>
          <t>TENNIS</t>
        </is>
      </c>
      <c r="F43" s="24" t="inlineStr">
        <is>
          <t>Liudmila Samsonova</t>
        </is>
      </c>
      <c r="G43" s="24" t="inlineStr">
        <is>
          <t>Wang Xinyu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163</v>
      </c>
      <c r="M43" s="27" t="n">
        <v>2.63</v>
      </c>
      <c r="N43" s="28" t="n">
        <v>0.380228</v>
      </c>
      <c r="O43" s="28" t="n">
        <v>0.610361</v>
      </c>
      <c r="P43" s="28" t="n">
        <v>0.05</v>
      </c>
      <c r="Q43" s="28" t="n">
        <v>0.230133</v>
      </c>
      <c r="R43" s="26" t="n">
        <v>100</v>
      </c>
      <c r="S43" s="29" t="n">
        <v>1.5</v>
      </c>
      <c r="T43" s="24" t="inlineStr">
        <is>
          <t>tennis-surface-elo-v1</t>
        </is>
      </c>
      <c r="U43" s="24" t="inlineStr">
        <is>
          <t>settled</t>
        </is>
      </c>
      <c r="V43" s="24" t="inlineStr">
        <is>
          <t>loss</t>
        </is>
      </c>
      <c r="W43" s="26" t="n">
        <v>1</v>
      </c>
      <c r="X43" s="26" t="n">
        <v>0</v>
      </c>
      <c r="Y43" s="25" t="n"/>
      <c r="Z43" s="26" t="n"/>
      <c r="AA43" s="28" t="n"/>
      <c r="AB43" s="28" t="n"/>
      <c r="AC43" s="30" t="n">
        <v>-1.5</v>
      </c>
      <c r="AD43" s="24" t="inlineStr">
        <is>
          <t>2026-07-29T17:34:37.373137Z</t>
        </is>
      </c>
      <c r="AE43" s="31" t="inlineStr">
        <is>
          <t>Surface-blended Elo on Hard: Liudmila Samsonova p=0.390 vs Wang Xinyu. Executable ask 0.3800 (aec-wta-xinwan-liusam-2026-07-29).</t>
        </is>
      </c>
      <c r="AF43" s="31" t="inlineStr">
        <is>
          <t>Research-only surface-blended Elo model; singles only, WTA-only market coverage, not yet locked-holdout qualified.</t>
        </is>
      </c>
      <c r="AG43" s="24" t="inlineStr">
        <is>
          <t>review_required</t>
        </is>
      </c>
      <c r="AH43" s="24" t="n"/>
      <c r="AI43" s="31" t="n"/>
      <c r="AJ43" s="31" t="n"/>
      <c r="AK43" s="24" t="inlineStr">
        <is>
          <t>research_observation</t>
        </is>
      </c>
      <c r="AL43" s="26" t="n">
        <v>3</v>
      </c>
      <c r="AM43" s="24" t="inlineStr">
        <is>
          <t>RESEARCH_OBSERVATION</t>
        </is>
      </c>
      <c r="AN43" s="24" t="inlineStr">
        <is>
          <t>NO_CALL</t>
        </is>
      </c>
      <c r="AO43" s="24" t="inlineStr">
        <is>
          <t>NO_CALL_MODEL_UNVALIDATED</t>
        </is>
      </c>
      <c r="AP43" s="24" t="inlineStr">
        <is>
          <t>Liudmila Samsonova</t>
        </is>
      </c>
      <c r="AQ43" s="24" t="inlineStr">
        <is>
          <t>Liudmila Samsonova</t>
        </is>
      </c>
      <c r="AR43" s="24" t="inlineStr">
        <is>
          <t>Liudmila Samsonova</t>
        </is>
      </c>
      <c r="AS43" s="24" t="inlineStr">
        <is>
          <t>Wang Xinyu</t>
        </is>
      </c>
      <c r="AT43" s="24" t="inlineStr">
        <is>
          <t>Wang Xinyu</t>
        </is>
      </c>
      <c r="AU43" s="24" t="inlineStr">
        <is>
          <t>Wang Xinyu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research</t>
        </is>
      </c>
      <c r="BA43" s="24" t="inlineStr">
        <is>
          <t>73429bd71f12304106b9ffb751bd50617d5109d487f00de7ae2732f60e779590</t>
        </is>
      </c>
      <c r="BB43" s="24" t="inlineStr">
        <is>
          <t>surface_blended_elo</t>
        </is>
      </c>
      <c r="BC43" s="24" t="inlineStr">
        <is>
          <t>tennis-surface-elo-v1</t>
        </is>
      </c>
      <c r="BD43" s="24" t="inlineStr">
        <is>
          <t>73429bd71f12304106b9ffb751bd50617d5109d487f00de7ae2732f60e779590</t>
        </is>
      </c>
      <c r="BE43" s="24" t="inlineStr">
        <is>
          <t>tennis-surface-elo-v1</t>
        </is>
      </c>
      <c r="BF43" s="24" t="inlineStr">
        <is>
          <t>1</t>
        </is>
      </c>
      <c r="BG43" s="24" t="inlineStr">
        <is>
          <t>73429bd71f12304106b9ffb751bd50617d5109d487f00de7ae2732f60e779590</t>
        </is>
      </c>
      <c r="BH43" s="24" t="inlineStr">
        <is>
          <t>2026-07-29T11:59:22.792537Z</t>
        </is>
      </c>
      <c r="BI43" s="24" t="inlineStr">
        <is>
          <t>["same_event","same_team_same_day","same_league_same_day"]</t>
        </is>
      </c>
      <c r="BJ43" s="25" t="n"/>
      <c r="BK43" s="26" t="n">
        <v>163</v>
      </c>
      <c r="BL43" s="27" t="n">
        <v>2.63</v>
      </c>
      <c r="BM43" s="28" t="n">
        <v>0.380228</v>
      </c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</row>
    <row r="44" ht="36" customHeight="1">
      <c r="A44" s="24" t="inlineStr">
        <is>
          <t>5e1308e15a2b4b9b</t>
        </is>
      </c>
      <c r="B44" s="24" t="inlineStr">
        <is>
          <t>2026-07-29T12:01:51.227703Z</t>
        </is>
      </c>
      <c r="C44" s="24" t="inlineStr">
        <is>
          <t>2026-07-29T15:00Z</t>
        </is>
      </c>
      <c r="D44" s="24" t="inlineStr">
        <is>
          <t>888-2026:179010</t>
        </is>
      </c>
      <c r="E44" s="24" t="inlineStr">
        <is>
          <t>TENNIS</t>
        </is>
      </c>
      <c r="F44" s="24" t="inlineStr">
        <is>
          <t>Alexandra Eala</t>
        </is>
      </c>
      <c r="G44" s="24" t="inlineStr">
        <is>
          <t>Leylah Fernandez</t>
        </is>
      </c>
      <c r="H44" s="24" t="inlineStr">
        <is>
          <t>moneyline</t>
        </is>
      </c>
      <c r="I44" s="24" t="inlineStr">
        <is>
          <t>away</t>
        </is>
      </c>
      <c r="J44" s="25" t="n"/>
      <c r="K44" s="24" t="inlineStr">
        <is>
          <t>polymarket_us</t>
        </is>
      </c>
      <c r="L44" s="26" t="n">
        <v>-104</v>
      </c>
      <c r="M44" s="27" t="n">
        <v>1.961538</v>
      </c>
      <c r="N44" s="28" t="n">
        <v>0.509804</v>
      </c>
      <c r="O44" s="28" t="n">
        <v>0.584863</v>
      </c>
      <c r="P44" s="28" t="n">
        <v>0.05</v>
      </c>
      <c r="Q44" s="28" t="n">
        <v>0.075059</v>
      </c>
      <c r="R44" s="26" t="n">
        <v>58</v>
      </c>
      <c r="S44" s="29" t="n">
        <v>1.25</v>
      </c>
      <c r="T44" s="24" t="inlineStr">
        <is>
          <t>tennis-surface-elo-v1</t>
        </is>
      </c>
      <c r="U44" s="24" t="inlineStr">
        <is>
          <t>settled</t>
        </is>
      </c>
      <c r="V44" s="24" t="inlineStr">
        <is>
          <t>win</t>
        </is>
      </c>
      <c r="W44" s="26" t="n">
        <v>1</v>
      </c>
      <c r="X44" s="26" t="n">
        <v>0</v>
      </c>
      <c r="Y44" s="25" t="n"/>
      <c r="Z44" s="26" t="n"/>
      <c r="AA44" s="28" t="n"/>
      <c r="AB44" s="28" t="n"/>
      <c r="AC44" s="30" t="n">
        <v>1.2019</v>
      </c>
      <c r="AD44" s="24" t="inlineStr">
        <is>
          <t>2026-07-29T17:34:37.529832Z</t>
        </is>
      </c>
      <c r="AE44" s="31" t="inlineStr">
        <is>
          <t>Surface-blended Elo on Hard: Alexandra Eala p=0.585 vs Leylah Fernandez. Executable ask 0.5100 (aec-wta-leyfer-aleeal-2026-07-29).</t>
        </is>
      </c>
      <c r="AF44" s="31" t="inlineStr">
        <is>
          <t>Research-only surface-blended Elo model; singles only, WTA-only market coverage, not yet locked-holdout qualified.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research_observation</t>
        </is>
      </c>
      <c r="AL44" s="26" t="n">
        <v>3</v>
      </c>
      <c r="AM44" s="24" t="inlineStr">
        <is>
          <t>RESEARCH_OBSERVATION</t>
        </is>
      </c>
      <c r="AN44" s="24" t="inlineStr">
        <is>
          <t>NO_CALL</t>
        </is>
      </c>
      <c r="AO44" s="24" t="inlineStr">
        <is>
          <t>NO_CALL_MODEL_UNVALIDATED</t>
        </is>
      </c>
      <c r="AP44" s="24" t="inlineStr">
        <is>
          <t>Alexandra Eala</t>
        </is>
      </c>
      <c r="AQ44" s="24" t="inlineStr">
        <is>
          <t>Alexandra Eala</t>
        </is>
      </c>
      <c r="AR44" s="24" t="inlineStr">
        <is>
          <t>Alexandra Eala</t>
        </is>
      </c>
      <c r="AS44" s="24" t="inlineStr">
        <is>
          <t>Leylah Fernandez</t>
        </is>
      </c>
      <c r="AT44" s="24" t="inlineStr">
        <is>
          <t>Leylah Fernandez</t>
        </is>
      </c>
      <c r="AU44" s="24" t="inlineStr">
        <is>
          <t>Leylah Fernandez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research</t>
        </is>
      </c>
      <c r="BA44" s="24" t="inlineStr">
        <is>
          <t>73429bd71f12304106b9ffb751bd50617d5109d487f00de7ae2732f60e779590</t>
        </is>
      </c>
      <c r="BB44" s="24" t="inlineStr">
        <is>
          <t>surface_blended_elo</t>
        </is>
      </c>
      <c r="BC44" s="24" t="inlineStr">
        <is>
          <t>tennis-surface-elo-v1</t>
        </is>
      </c>
      <c r="BD44" s="24" t="inlineStr">
        <is>
          <t>73429bd71f12304106b9ffb751bd50617d5109d487f00de7ae2732f60e779590</t>
        </is>
      </c>
      <c r="BE44" s="24" t="inlineStr">
        <is>
          <t>tennis-surface-elo-v1</t>
        </is>
      </c>
      <c r="BF44" s="24" t="inlineStr">
        <is>
          <t>1</t>
        </is>
      </c>
      <c r="BG44" s="24" t="inlineStr">
        <is>
          <t>73429bd71f12304106b9ffb751bd50617d5109d487f00de7ae2732f60e779590</t>
        </is>
      </c>
      <c r="BH44" s="24" t="inlineStr">
        <is>
          <t>2026-07-29T11:59:24.170797Z</t>
        </is>
      </c>
      <c r="BI44" s="24" t="inlineStr">
        <is>
          <t>["same_event","same_team_same_day","same_league_same_day"]</t>
        </is>
      </c>
      <c r="BJ44" s="25" t="n"/>
      <c r="BK44" s="26" t="n">
        <v>-104</v>
      </c>
      <c r="BL44" s="27" t="n">
        <v>1.961538</v>
      </c>
      <c r="BM44" s="28" t="n">
        <v>0.509804</v>
      </c>
      <c r="BN44" s="28" t="n"/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</row>
    <row r="45" ht="36" customHeight="1">
      <c r="A45" s="24" t="inlineStr">
        <is>
          <t>6a87bbcc35e844c4</t>
        </is>
      </c>
      <c r="B45" s="24" t="inlineStr">
        <is>
          <t>2026-07-29T12:01:51.227703Z</t>
        </is>
      </c>
      <c r="C45" s="24" t="inlineStr">
        <is>
          <t>2026-07-29T14:00Z</t>
        </is>
      </c>
      <c r="D45" s="24" t="inlineStr">
        <is>
          <t>1073-2026:179602</t>
        </is>
      </c>
      <c r="E45" s="24" t="inlineStr">
        <is>
          <t>TENNIS</t>
        </is>
      </c>
      <c r="F45" s="24" t="inlineStr">
        <is>
          <t>Caijsa Hennemann</t>
        </is>
      </c>
      <c r="G45" s="24" t="inlineStr">
        <is>
          <t>Sara Sorribes Tormo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-335</v>
      </c>
      <c r="M45" s="27" t="n">
        <v>1.298507</v>
      </c>
      <c r="N45" s="28" t="n">
        <v>0.770115</v>
      </c>
      <c r="O45" s="28" t="n">
        <v>0.613845</v>
      </c>
      <c r="P45" s="28" t="n">
        <v>0.05</v>
      </c>
      <c r="Q45" s="28" t="n">
        <v>-0.15627</v>
      </c>
      <c r="R45" s="26" t="n">
        <v>0</v>
      </c>
      <c r="S45" s="29" t="n">
        <v>1.5</v>
      </c>
      <c r="T45" s="24" t="inlineStr">
        <is>
          <t>tennis-surface-elo-v1</t>
        </is>
      </c>
      <c r="U45" s="24" t="inlineStr">
        <is>
          <t>settled</t>
        </is>
      </c>
      <c r="V45" s="24" t="inlineStr">
        <is>
          <t>win</t>
        </is>
      </c>
      <c r="W45" s="26" t="n">
        <v>0</v>
      </c>
      <c r="X45" s="26" t="n">
        <v>1</v>
      </c>
      <c r="Y45" s="25" t="n"/>
      <c r="Z45" s="26" t="n"/>
      <c r="AA45" s="28" t="n"/>
      <c r="AB45" s="28" t="n"/>
      <c r="AC45" s="30" t="n">
        <v>0.4478</v>
      </c>
      <c r="AD45" s="24" t="inlineStr">
        <is>
          <t>2026-07-29T17:34:37.684021Z</t>
        </is>
      </c>
      <c r="AE45" s="31" t="inlineStr">
        <is>
          <t>Surface-blended Elo on Hard: Caijsa Hennemann p=0.386 vs Sara Sorribes Tormo. Executable ask 0.7700 (aec-wta-sartor-caihen-2026-07-28).</t>
        </is>
      </c>
      <c r="AF45" s="31" t="inlineStr">
        <is>
          <t>Research-only surface-blended Elo model; singles only, WTA-only market coverage, not yet locked-holdout qualified.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research_observation</t>
        </is>
      </c>
      <c r="AL45" s="26" t="n">
        <v>3</v>
      </c>
      <c r="AM45" s="24" t="inlineStr">
        <is>
          <t>RESEARCH_OBSERVATION</t>
        </is>
      </c>
      <c r="AN45" s="24" t="inlineStr">
        <is>
          <t>NO_CALL</t>
        </is>
      </c>
      <c r="AO45" s="24" t="inlineStr">
        <is>
          <t>NO_CALL_MODEL_UNVALIDATED</t>
        </is>
      </c>
      <c r="AP45" s="24" t="inlineStr">
        <is>
          <t>Caijsa Hennemann</t>
        </is>
      </c>
      <c r="AQ45" s="24" t="inlineStr">
        <is>
          <t>Caijsa Hennemann</t>
        </is>
      </c>
      <c r="AR45" s="24" t="inlineStr">
        <is>
          <t>Caijsa Hennemann</t>
        </is>
      </c>
      <c r="AS45" s="24" t="inlineStr">
        <is>
          <t>Sara Sorribes Tormo</t>
        </is>
      </c>
      <c r="AT45" s="24" t="inlineStr">
        <is>
          <t>Sara Sorribes Tormo</t>
        </is>
      </c>
      <c r="AU45" s="24" t="inlineStr">
        <is>
          <t>Sara Sorribes Tormo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research</t>
        </is>
      </c>
      <c r="BA45" s="24" t="inlineStr">
        <is>
          <t>73429bd71f12304106b9ffb751bd50617d5109d487f00de7ae2732f60e779590</t>
        </is>
      </c>
      <c r="BB45" s="24" t="inlineStr">
        <is>
          <t>surface_blended_elo</t>
        </is>
      </c>
      <c r="BC45" s="24" t="inlineStr">
        <is>
          <t>tennis-surface-elo-v1</t>
        </is>
      </c>
      <c r="BD45" s="24" t="inlineStr">
        <is>
          <t>73429bd71f12304106b9ffb751bd50617d5109d487f00de7ae2732f60e779590</t>
        </is>
      </c>
      <c r="BE45" s="24" t="inlineStr">
        <is>
          <t>tennis-surface-elo-v1</t>
        </is>
      </c>
      <c r="BF45" s="24" t="inlineStr">
        <is>
          <t>1</t>
        </is>
      </c>
      <c r="BG45" s="24" t="inlineStr">
        <is>
          <t>73429bd71f12304106b9ffb751bd50617d5109d487f00de7ae2732f60e779590</t>
        </is>
      </c>
      <c r="BH45" s="24" t="inlineStr">
        <is>
          <t>2026-07-29T11:59:21.725564Z</t>
        </is>
      </c>
      <c r="BI45" s="24" t="inlineStr">
        <is>
          <t>["same_event","same_team_same_day","same_league_same_day"]</t>
        </is>
      </c>
      <c r="BJ45" s="25" t="n"/>
      <c r="BK45" s="26" t="n">
        <v>-335</v>
      </c>
      <c r="BL45" s="27" t="n">
        <v>1.298507</v>
      </c>
      <c r="BM45" s="28" t="n">
        <v>0.770115</v>
      </c>
      <c r="BN45" s="28" t="n"/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</row>
    <row r="46" ht="36" customHeight="1">
      <c r="A46" s="24" t="inlineStr">
        <is>
          <t>9eedacf3676e41ab</t>
        </is>
      </c>
      <c r="B46" s="24" t="inlineStr">
        <is>
          <t>2026-07-29T15:07:42.028247Z</t>
        </is>
      </c>
      <c r="C46" s="24" t="inlineStr">
        <is>
          <t>2026-07-29T17:00Z</t>
        </is>
      </c>
      <c r="D46" s="24" t="inlineStr">
        <is>
          <t>875-2026:179551</t>
        </is>
      </c>
      <c r="E46" s="24" t="inlineStr">
        <is>
          <t>TENNIS</t>
        </is>
      </c>
      <c r="F46" s="24" t="inlineStr">
        <is>
          <t>Hayu Kinoshita</t>
        </is>
      </c>
      <c r="G46" s="24" t="inlineStr">
        <is>
          <t>Moyuka Uchijima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-233</v>
      </c>
      <c r="M46" s="27" t="n">
        <v>1.429185</v>
      </c>
      <c r="N46" s="28" t="n">
        <v>0.6997</v>
      </c>
      <c r="O46" s="28" t="n">
        <v>0.661404</v>
      </c>
      <c r="P46" s="28" t="n">
        <v>0.05</v>
      </c>
      <c r="Q46" s="28" t="n">
        <v>-0.038296</v>
      </c>
      <c r="R46" s="26" t="n">
        <v>1</v>
      </c>
      <c r="S46" s="29" t="n">
        <v>1.75</v>
      </c>
      <c r="T46" s="24" t="inlineStr">
        <is>
          <t>tennis-surface-elo-v1</t>
        </is>
      </c>
      <c r="U46" s="24" t="inlineStr">
        <is>
          <t>settled</t>
        </is>
      </c>
      <c r="V46" s="24" t="inlineStr">
        <is>
          <t>win</t>
        </is>
      </c>
      <c r="W46" s="26" t="n">
        <v>0</v>
      </c>
      <c r="X46" s="26" t="n">
        <v>1</v>
      </c>
      <c r="Y46" s="25" t="n"/>
      <c r="Z46" s="26" t="n"/>
      <c r="AA46" s="28" t="n"/>
      <c r="AB46" s="28" t="n"/>
      <c r="AC46" s="30" t="n">
        <v>0.7511</v>
      </c>
      <c r="AD46" s="24" t="inlineStr">
        <is>
          <t>2026-07-30T04:12:57.598756Z</t>
        </is>
      </c>
      <c r="AE46" s="31" t="inlineStr">
        <is>
          <t>Surface-blended Elo on Hard: Hayu Kinoshita p=0.339 vs Moyuka Uchijima. Executable ask 0.7000 (aec-wta-moyuch-haykin-2026-07-30).</t>
        </is>
      </c>
      <c r="AF46" s="31" t="inlineStr">
        <is>
          <t>Research-only surface-blended Elo model; singles only, WTA-only market coverage, not yet locked-holdout qualified.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research_observation</t>
        </is>
      </c>
      <c r="AL46" s="26" t="n">
        <v>3</v>
      </c>
      <c r="AM46" s="24" t="inlineStr">
        <is>
          <t>RESEARCH_OBSERVATION</t>
        </is>
      </c>
      <c r="AN46" s="24" t="inlineStr">
        <is>
          <t>NO_CALL</t>
        </is>
      </c>
      <c r="AO46" s="24" t="inlineStr">
        <is>
          <t>NO_CALL_MODEL_UNVALIDATED</t>
        </is>
      </c>
      <c r="AP46" s="24" t="inlineStr">
        <is>
          <t>Hayu Kinoshita</t>
        </is>
      </c>
      <c r="AQ46" s="24" t="inlineStr">
        <is>
          <t>Hayu Kinoshita</t>
        </is>
      </c>
      <c r="AR46" s="24" t="inlineStr">
        <is>
          <t>Hayu Kinoshita</t>
        </is>
      </c>
      <c r="AS46" s="24" t="inlineStr">
        <is>
          <t>Moyuka Uchijima</t>
        </is>
      </c>
      <c r="AT46" s="24" t="inlineStr">
        <is>
          <t>Moyuka Uchijima</t>
        </is>
      </c>
      <c r="AU46" s="24" t="inlineStr">
        <is>
          <t>Moyuka Uchijima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research</t>
        </is>
      </c>
      <c r="BA46" s="24" t="inlineStr">
        <is>
          <t>73429bd71f12304106b9ffb751bd50617d5109d487f00de7ae2732f60e779590</t>
        </is>
      </c>
      <c r="BB46" s="24" t="inlineStr">
        <is>
          <t>surface_blended_elo</t>
        </is>
      </c>
      <c r="BC46" s="24" t="inlineStr">
        <is>
          <t>tennis-surface-elo-v1</t>
        </is>
      </c>
      <c r="BD46" s="24" t="inlineStr">
        <is>
          <t>73429bd71f12304106b9ffb751bd50617d5109d487f00de7ae2732f60e779590</t>
        </is>
      </c>
      <c r="BE46" s="24" t="inlineStr">
        <is>
          <t>tennis-surface-elo-v1</t>
        </is>
      </c>
      <c r="BF46" s="24" t="inlineStr">
        <is>
          <t>1</t>
        </is>
      </c>
      <c r="BG46" s="24" t="inlineStr">
        <is>
          <t>73429bd71f12304106b9ffb751bd50617d5109d487f00de7ae2732f60e779590</t>
        </is>
      </c>
      <c r="BH46" s="24" t="inlineStr">
        <is>
          <t>2026-07-29T15:06:10.686278Z</t>
        </is>
      </c>
      <c r="BI46" s="24" t="inlineStr">
        <is>
          <t>["same_event","same_team_same_day","same_league_same_day"]</t>
        </is>
      </c>
      <c r="BJ46" s="25" t="n"/>
      <c r="BK46" s="26" t="n">
        <v>-233</v>
      </c>
      <c r="BL46" s="27" t="n">
        <v>1.429185</v>
      </c>
      <c r="BM46" s="28" t="n">
        <v>0.6997</v>
      </c>
      <c r="BN46" s="28" t="n"/>
      <c r="BO46" s="28" t="n"/>
      <c r="BP46" s="25" t="n"/>
      <c r="BQ46" s="27" t="n"/>
      <c r="BR46" s="28" t="n"/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</row>
    <row r="47" ht="36" customHeight="1">
      <c r="A47" s="24" t="inlineStr">
        <is>
          <t>a0b147def3fd4a88</t>
        </is>
      </c>
      <c r="B47" s="24" t="inlineStr">
        <is>
          <t>2026-07-29T15:07:42.028247Z</t>
        </is>
      </c>
      <c r="C47" s="24" t="inlineStr">
        <is>
          <t>2026-07-29T16:00Z</t>
        </is>
      </c>
      <c r="D47" s="24" t="inlineStr">
        <is>
          <t>1067-2026:179462</t>
        </is>
      </c>
      <c r="E47" s="24" t="inlineStr">
        <is>
          <t>TENNIS</t>
        </is>
      </c>
      <c r="F47" s="24" t="inlineStr">
        <is>
          <t>Katie Volynets</t>
        </is>
      </c>
      <c r="G47" s="24" t="inlineStr">
        <is>
          <t>Iryna Shymanovich</t>
        </is>
      </c>
      <c r="H47" s="24" t="inlineStr">
        <is>
          <t>moneyline</t>
        </is>
      </c>
      <c r="I47" s="24" t="inlineStr">
        <is>
          <t>away</t>
        </is>
      </c>
      <c r="J47" s="25" t="n"/>
      <c r="K47" s="24" t="inlineStr">
        <is>
          <t>polymarket_us</t>
        </is>
      </c>
      <c r="L47" s="26" t="n">
        <v>-400</v>
      </c>
      <c r="M47" s="27" t="n">
        <v>1.25</v>
      </c>
      <c r="N47" s="28" t="n">
        <v>0.8</v>
      </c>
      <c r="O47" s="28" t="n">
        <v>0.681818</v>
      </c>
      <c r="P47" s="28" t="n">
        <v>0.05</v>
      </c>
      <c r="Q47" s="28" t="n">
        <v>-0.118182</v>
      </c>
      <c r="R47" s="26" t="n">
        <v>0</v>
      </c>
      <c r="S47" s="29" t="n">
        <v>2</v>
      </c>
      <c r="T47" s="24" t="inlineStr">
        <is>
          <t>tennis-surface-elo-v1</t>
        </is>
      </c>
      <c r="U47" s="24" t="inlineStr">
        <is>
          <t>settled</t>
        </is>
      </c>
      <c r="V47" s="24" t="inlineStr">
        <is>
          <t>win</t>
        </is>
      </c>
      <c r="W47" s="26" t="n">
        <v>1</v>
      </c>
      <c r="X47" s="26" t="n">
        <v>0</v>
      </c>
      <c r="Y47" s="25" t="n"/>
      <c r="Z47" s="26" t="n"/>
      <c r="AA47" s="28" t="n"/>
      <c r="AB47" s="28" t="n"/>
      <c r="AC47" s="30" t="n">
        <v>0.5</v>
      </c>
      <c r="AD47" s="24" t="inlineStr">
        <is>
          <t>2026-07-29T17:39:18.099080Z</t>
        </is>
      </c>
      <c r="AE47" s="31" t="inlineStr">
        <is>
          <t>Surface-blended Elo on Hard: Katie Volynets p=0.682 vs Iryna Shymanovich. Executable ask 0.8000 (aec-wta-iryshy-katvol-2026-07-28).</t>
        </is>
      </c>
      <c r="AF47" s="31" t="inlineStr">
        <is>
          <t>Research-only surface-blended Elo model; singles only, WTA-only market coverage, not yet locked-holdout qualified.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research_observation</t>
        </is>
      </c>
      <c r="AL47" s="26" t="n">
        <v>3</v>
      </c>
      <c r="AM47" s="24" t="inlineStr">
        <is>
          <t>RESEARCH_OBSERVATION</t>
        </is>
      </c>
      <c r="AN47" s="24" t="inlineStr">
        <is>
          <t>NO_CALL</t>
        </is>
      </c>
      <c r="AO47" s="24" t="inlineStr">
        <is>
          <t>NO_CALL_MODEL_UNVALIDATED</t>
        </is>
      </c>
      <c r="AP47" s="24" t="inlineStr">
        <is>
          <t>Katie Volynets</t>
        </is>
      </c>
      <c r="AQ47" s="24" t="inlineStr">
        <is>
          <t>Katie Volynets</t>
        </is>
      </c>
      <c r="AR47" s="24" t="inlineStr">
        <is>
          <t>Katie Volynets</t>
        </is>
      </c>
      <c r="AS47" s="24" t="inlineStr">
        <is>
          <t>Iryna Shymanovich</t>
        </is>
      </c>
      <c r="AT47" s="24" t="inlineStr">
        <is>
          <t>Iryna Shymanovich</t>
        </is>
      </c>
      <c r="AU47" s="24" t="inlineStr">
        <is>
          <t>Iryna Shymanovich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research</t>
        </is>
      </c>
      <c r="BA47" s="24" t="inlineStr">
        <is>
          <t>73429bd71f12304106b9ffb751bd50617d5109d487f00de7ae2732f60e779590</t>
        </is>
      </c>
      <c r="BB47" s="24" t="inlineStr">
        <is>
          <t>surface_blended_elo</t>
        </is>
      </c>
      <c r="BC47" s="24" t="inlineStr">
        <is>
          <t>tennis-surface-elo-v1</t>
        </is>
      </c>
      <c r="BD47" s="24" t="inlineStr">
        <is>
          <t>73429bd71f12304106b9ffb751bd50617d5109d487f00de7ae2732f60e779590</t>
        </is>
      </c>
      <c r="BE47" s="24" t="inlineStr">
        <is>
          <t>tennis-surface-elo-v1</t>
        </is>
      </c>
      <c r="BF47" s="24" t="inlineStr">
        <is>
          <t>1</t>
        </is>
      </c>
      <c r="BG47" s="24" t="inlineStr">
        <is>
          <t>73429bd71f12304106b9ffb751bd50617d5109d487f00de7ae2732f60e779590</t>
        </is>
      </c>
      <c r="BH47" s="24" t="inlineStr">
        <is>
          <t>2026-07-29T15:06:09.478927Z</t>
        </is>
      </c>
      <c r="BI47" s="24" t="inlineStr">
        <is>
          <t>["same_event","same_team_same_day","same_league_same_day"]</t>
        </is>
      </c>
      <c r="BJ47" s="25" t="n"/>
      <c r="BK47" s="26" t="n">
        <v>-400</v>
      </c>
      <c r="BL47" s="27" t="n">
        <v>1.25</v>
      </c>
      <c r="BM47" s="28" t="n">
        <v>0.8</v>
      </c>
      <c r="BN47" s="28" t="n"/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</row>
    <row r="48" ht="36" customHeight="1">
      <c r="A48" s="24" t="inlineStr">
        <is>
          <t>1b6e932c0c774d67</t>
        </is>
      </c>
      <c r="B48" s="24" t="inlineStr">
        <is>
          <t>2026-07-29T15:07:42.028247Z</t>
        </is>
      </c>
      <c r="C48" s="24" t="inlineStr">
        <is>
          <t>2026-07-29T17:30Z</t>
        </is>
      </c>
      <c r="D48" s="24" t="inlineStr">
        <is>
          <t>1067-2026:179457</t>
        </is>
      </c>
      <c r="E48" s="24" t="inlineStr">
        <is>
          <t>TENNIS</t>
        </is>
      </c>
      <c r="F48" s="24" t="inlineStr">
        <is>
          <t>Anastasia Zakharova</t>
        </is>
      </c>
      <c r="G48" s="24" t="inlineStr">
        <is>
          <t>Camila Osorio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-203</v>
      </c>
      <c r="M48" s="27" t="n">
        <v>1.492611</v>
      </c>
      <c r="N48" s="28" t="n">
        <v>0.669967</v>
      </c>
      <c r="O48" s="28" t="n">
        <v>0.546035</v>
      </c>
      <c r="P48" s="28" t="n">
        <v>0.05</v>
      </c>
      <c r="Q48" s="28" t="n">
        <v>-0.123932</v>
      </c>
      <c r="R48" s="26" t="n">
        <v>0</v>
      </c>
      <c r="S48" s="29" t="n">
        <v>1</v>
      </c>
      <c r="T48" s="24" t="inlineStr">
        <is>
          <t>tennis-surface-elo-v1</t>
        </is>
      </c>
      <c r="U48" s="24" t="inlineStr">
        <is>
          <t>settled</t>
        </is>
      </c>
      <c r="V48" s="24" t="inlineStr">
        <is>
          <t>loss</t>
        </is>
      </c>
      <c r="W48" s="26" t="n">
        <v>1</v>
      </c>
      <c r="X48" s="26" t="n">
        <v>0</v>
      </c>
      <c r="Y48" s="25" t="n"/>
      <c r="Z48" s="26" t="n"/>
      <c r="AA48" s="28" t="n"/>
      <c r="AB48" s="28" t="n"/>
      <c r="AC48" s="30" t="n">
        <v>-1</v>
      </c>
      <c r="AD48" s="24" t="inlineStr">
        <is>
          <t>2026-07-30T04:12:57.762482Z</t>
        </is>
      </c>
      <c r="AE48" s="31" t="inlineStr">
        <is>
          <t>Surface-blended Elo on Hard: Anastasia Zakharova p=0.454 vs Camila Osorio. Executable ask 0.6700 (aec-wta-camoso-anazak-2026-07-29).</t>
        </is>
      </c>
      <c r="AF48" s="31" t="inlineStr">
        <is>
          <t>Research-only surface-blended Elo model; singles only, WTA-only market coverage, not yet locked-holdout qualified.</t>
        </is>
      </c>
      <c r="AG48" s="24" t="inlineStr">
        <is>
          <t>review_required</t>
        </is>
      </c>
      <c r="AH48" s="24" t="n"/>
      <c r="AI48" s="31" t="n"/>
      <c r="AJ48" s="31" t="n"/>
      <c r="AK48" s="24" t="inlineStr">
        <is>
          <t>research_observation</t>
        </is>
      </c>
      <c r="AL48" s="26" t="n">
        <v>3</v>
      </c>
      <c r="AM48" s="24" t="inlineStr">
        <is>
          <t>RESEARCH_OBSERVATION</t>
        </is>
      </c>
      <c r="AN48" s="24" t="inlineStr">
        <is>
          <t>NO_CALL</t>
        </is>
      </c>
      <c r="AO48" s="24" t="inlineStr">
        <is>
          <t>NO_CALL_MODEL_UNVALIDATED</t>
        </is>
      </c>
      <c r="AP48" s="24" t="inlineStr">
        <is>
          <t>Anastasia Zakharova</t>
        </is>
      </c>
      <c r="AQ48" s="24" t="inlineStr">
        <is>
          <t>Anastasia Zakharova</t>
        </is>
      </c>
      <c r="AR48" s="24" t="inlineStr">
        <is>
          <t>Anastasia Zakharova</t>
        </is>
      </c>
      <c r="AS48" s="24" t="inlineStr">
        <is>
          <t>Camila Osorio</t>
        </is>
      </c>
      <c r="AT48" s="24" t="inlineStr">
        <is>
          <t>Camila Osorio</t>
        </is>
      </c>
      <c r="AU48" s="24" t="inlineStr">
        <is>
          <t>Camila Osorio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research</t>
        </is>
      </c>
      <c r="BA48" s="24" t="inlineStr">
        <is>
          <t>73429bd71f12304106b9ffb751bd50617d5109d487f00de7ae2732f60e779590</t>
        </is>
      </c>
      <c r="BB48" s="24" t="inlineStr">
        <is>
          <t>surface_blended_elo</t>
        </is>
      </c>
      <c r="BC48" s="24" t="inlineStr">
        <is>
          <t>tennis-surface-elo-v1</t>
        </is>
      </c>
      <c r="BD48" s="24" t="inlineStr">
        <is>
          <t>73429bd71f12304106b9ffb751bd50617d5109d487f00de7ae2732f60e779590</t>
        </is>
      </c>
      <c r="BE48" s="24" t="inlineStr">
        <is>
          <t>tennis-surface-elo-v1</t>
        </is>
      </c>
      <c r="BF48" s="24" t="inlineStr">
        <is>
          <t>1</t>
        </is>
      </c>
      <c r="BG48" s="24" t="inlineStr">
        <is>
          <t>73429bd71f12304106b9ffb751bd50617d5109d487f00de7ae2732f60e779590</t>
        </is>
      </c>
      <c r="BH48" s="24" t="inlineStr">
        <is>
          <t>2026-07-29T15:06:11.189993Z</t>
        </is>
      </c>
      <c r="BI48" s="24" t="inlineStr">
        <is>
          <t>["same_event","same_team_same_day","same_league_same_day"]</t>
        </is>
      </c>
      <c r="BJ48" s="25" t="n"/>
      <c r="BK48" s="26" t="n">
        <v>-203</v>
      </c>
      <c r="BL48" s="27" t="n">
        <v>1.492611</v>
      </c>
      <c r="BM48" s="28" t="n">
        <v>0.669967</v>
      </c>
      <c r="BN48" s="28" t="n"/>
      <c r="BO48" s="28" t="n"/>
      <c r="BP48" s="25" t="n"/>
      <c r="BQ48" s="27" t="n"/>
      <c r="BR48" s="28" t="n"/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</row>
    <row r="49" ht="36" customHeight="1">
      <c r="A49" s="24" t="inlineStr">
        <is>
          <t>4a3345c99c37475a</t>
        </is>
      </c>
      <c r="B49" s="24" t="inlineStr">
        <is>
          <t>2026-07-29T17:45:17.438275Z</t>
        </is>
      </c>
      <c r="C49" s="24" t="inlineStr">
        <is>
          <t>2026-07-29T20:30Z</t>
        </is>
      </c>
      <c r="D49" s="24" t="inlineStr">
        <is>
          <t>875-2026:179560</t>
        </is>
      </c>
      <c r="E49" s="24" t="inlineStr">
        <is>
          <t>TENNIS</t>
        </is>
      </c>
      <c r="F49" s="24" t="inlineStr">
        <is>
          <t>Mananchaya Sawangkaew</t>
        </is>
      </c>
      <c r="G49" s="24" t="inlineStr">
        <is>
          <t>Nao Hibino</t>
        </is>
      </c>
      <c r="H49" s="24" t="inlineStr">
        <is>
          <t>moneyline</t>
        </is>
      </c>
      <c r="I49" s="24" t="inlineStr">
        <is>
          <t>away</t>
        </is>
      </c>
      <c r="J49" s="25" t="n"/>
      <c r="K49" s="24" t="inlineStr">
        <is>
          <t>polymarket_us</t>
        </is>
      </c>
      <c r="L49" s="26" t="n">
        <v>-223</v>
      </c>
      <c r="M49" s="27" t="n">
        <v>1.44843</v>
      </c>
      <c r="N49" s="28" t="n">
        <v>0.690402</v>
      </c>
      <c r="O49" s="28" t="n">
        <v>0.751186</v>
      </c>
      <c r="P49" s="28" t="n">
        <v>0.05</v>
      </c>
      <c r="Q49" s="28" t="n">
        <v>0.060784</v>
      </c>
      <c r="R49" s="26" t="n">
        <v>50</v>
      </c>
      <c r="S49" s="29" t="n">
        <v>2</v>
      </c>
      <c r="T49" s="24" t="inlineStr">
        <is>
          <t>tennis-surface-elo-v1</t>
        </is>
      </c>
      <c r="U49" s="24" t="inlineStr">
        <is>
          <t>settled</t>
        </is>
      </c>
      <c r="V49" s="24" t="inlineStr">
        <is>
          <t>win</t>
        </is>
      </c>
      <c r="W49" s="26" t="n">
        <v>1</v>
      </c>
      <c r="X49" s="26" t="n">
        <v>0</v>
      </c>
      <c r="Y49" s="25" t="n"/>
      <c r="Z49" s="26" t="n"/>
      <c r="AA49" s="28" t="n"/>
      <c r="AB49" s="28" t="n"/>
      <c r="AC49" s="30" t="n">
        <v>0.8969</v>
      </c>
      <c r="AD49" s="24" t="inlineStr">
        <is>
          <t>2026-07-30T04:12:57.923604Z</t>
        </is>
      </c>
      <c r="AE49" s="31" t="inlineStr">
        <is>
          <t>Surface-blended Elo on Hard: Mananchaya Sawangkaew p=0.751 vs Nao Hibino. Executable ask 0.6900 (aec-wta-naohib-mansaw-2026-07-29).</t>
        </is>
      </c>
      <c r="AF49" s="31" t="inlineStr">
        <is>
          <t>Research-only surface-blended Elo model; singles only, WTA-only market coverage, not yet locked-holdout qualified.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research_observation</t>
        </is>
      </c>
      <c r="AL49" s="26" t="n">
        <v>3</v>
      </c>
      <c r="AM49" s="24" t="inlineStr">
        <is>
          <t>RESEARCH_OBSERVATION</t>
        </is>
      </c>
      <c r="AN49" s="24" t="inlineStr">
        <is>
          <t>NO_CALL</t>
        </is>
      </c>
      <c r="AO49" s="24" t="inlineStr">
        <is>
          <t>NO_CALL_MODEL_UNVALIDATED</t>
        </is>
      </c>
      <c r="AP49" s="24" t="inlineStr">
        <is>
          <t>Mananchaya Sawangkaew</t>
        </is>
      </c>
      <c r="AQ49" s="24" t="inlineStr">
        <is>
          <t>Mananchaya Sawangkaew</t>
        </is>
      </c>
      <c r="AR49" s="24" t="inlineStr">
        <is>
          <t>Mananchaya Sawangkaew</t>
        </is>
      </c>
      <c r="AS49" s="24" t="inlineStr">
        <is>
          <t>Nao Hibino</t>
        </is>
      </c>
      <c r="AT49" s="24" t="inlineStr">
        <is>
          <t>Nao Hibino</t>
        </is>
      </c>
      <c r="AU49" s="24" t="inlineStr">
        <is>
          <t>Nao Hibino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research</t>
        </is>
      </c>
      <c r="BA49" s="24" t="inlineStr">
        <is>
          <t>73429bd71f12304106b9ffb751bd50617d5109d487f00de7ae2732f60e779590</t>
        </is>
      </c>
      <c r="BB49" s="24" t="inlineStr">
        <is>
          <t>surface_blended_elo</t>
        </is>
      </c>
      <c r="BC49" s="24" t="inlineStr">
        <is>
          <t>tennis-surface-elo-v1</t>
        </is>
      </c>
      <c r="BD49" s="24" t="inlineStr">
        <is>
          <t>73429bd71f12304106b9ffb751bd50617d5109d487f00de7ae2732f60e779590</t>
        </is>
      </c>
      <c r="BE49" s="24" t="inlineStr">
        <is>
          <t>tennis-surface-elo-v1</t>
        </is>
      </c>
      <c r="BF49" s="24" t="inlineStr">
        <is>
          <t>1</t>
        </is>
      </c>
      <c r="BG49" s="24" t="inlineStr">
        <is>
          <t>73429bd71f12304106b9ffb751bd50617d5109d487f00de7ae2732f60e779590</t>
        </is>
      </c>
      <c r="BH49" s="24" t="inlineStr">
        <is>
          <t>2026-07-29T17:43:31.145763Z</t>
        </is>
      </c>
      <c r="BI49" s="24" t="inlineStr">
        <is>
          <t>["same_event","same_team_same_day","same_league_same_day"]</t>
        </is>
      </c>
      <c r="BJ49" s="25" t="n"/>
      <c r="BK49" s="26" t="n">
        <v>-223</v>
      </c>
      <c r="BL49" s="27" t="n">
        <v>1.44843</v>
      </c>
      <c r="BM49" s="28" t="n">
        <v>0.690402</v>
      </c>
      <c r="BN49" s="28" t="n"/>
      <c r="BO49" s="28" t="n"/>
      <c r="BP49" s="25" t="n"/>
      <c r="BQ49" s="27" t="n"/>
      <c r="BR49" s="28" t="n"/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</row>
    <row r="50" ht="36" customHeight="1">
      <c r="A50" s="24" t="inlineStr">
        <is>
          <t>ba55f97323e84ca7</t>
        </is>
      </c>
      <c r="B50" s="24" t="inlineStr">
        <is>
          <t>2026-07-29T17:45:17.438275Z</t>
        </is>
      </c>
      <c r="C50" s="24" t="inlineStr">
        <is>
          <t>2026-07-29T23:30Z</t>
        </is>
      </c>
      <c r="D50" s="24" t="inlineStr">
        <is>
          <t>875-2026:179561</t>
        </is>
      </c>
      <c r="E50" s="24" t="inlineStr">
        <is>
          <t>TENNIS</t>
        </is>
      </c>
      <c r="F50" s="24" t="inlineStr">
        <is>
          <t>Madison Brengle</t>
        </is>
      </c>
      <c r="G50" s="24" t="inlineStr">
        <is>
          <t>Emerson Jones</t>
        </is>
      </c>
      <c r="H50" s="24" t="inlineStr">
        <is>
          <t>moneyline</t>
        </is>
      </c>
      <c r="I50" s="24" t="inlineStr">
        <is>
          <t>home</t>
        </is>
      </c>
      <c r="J50" s="25" t="n"/>
      <c r="K50" s="24" t="inlineStr">
        <is>
          <t>polymarket_us</t>
        </is>
      </c>
      <c r="L50" s="26" t="n">
        <v>-213</v>
      </c>
      <c r="M50" s="27" t="n">
        <v>1.469484</v>
      </c>
      <c r="N50" s="28" t="n">
        <v>0.680511</v>
      </c>
      <c r="O50" s="28" t="n">
        <v>0.609945</v>
      </c>
      <c r="P50" s="28" t="n">
        <v>0.05</v>
      </c>
      <c r="Q50" s="28" t="n">
        <v>-0.070566</v>
      </c>
      <c r="R50" s="26" t="n">
        <v>0</v>
      </c>
      <c r="S50" s="29" t="n">
        <v>1.5</v>
      </c>
      <c r="T50" s="24" t="inlineStr">
        <is>
          <t>tennis-surface-elo-v1</t>
        </is>
      </c>
      <c r="U50" s="24" t="inlineStr">
        <is>
          <t>settled</t>
        </is>
      </c>
      <c r="V50" s="24" t="inlineStr">
        <is>
          <t>win</t>
        </is>
      </c>
      <c r="W50" s="26" t="n">
        <v>0</v>
      </c>
      <c r="X50" s="26" t="n">
        <v>1</v>
      </c>
      <c r="Y50" s="25" t="n"/>
      <c r="Z50" s="26" t="n"/>
      <c r="AA50" s="28" t="n"/>
      <c r="AB50" s="28" t="n"/>
      <c r="AC50" s="30" t="n">
        <v>0.7042</v>
      </c>
      <c r="AD50" s="24" t="inlineStr">
        <is>
          <t>2026-07-30T05:41:08.013743Z</t>
        </is>
      </c>
      <c r="AE50" s="31" t="inlineStr">
        <is>
          <t>Surface-blended Elo on Hard: Madison Brengle p=0.390 vs Emerson Jones. Executable ask 0.6800 (aec-wta-emejon-madbre-2026-07-29).</t>
        </is>
      </c>
      <c r="AF50" s="31" t="inlineStr">
        <is>
          <t>Research-only surface-blended Elo model; singles only, WTA-only market coverage, not yet locked-holdout qualified.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research_observation</t>
        </is>
      </c>
      <c r="AL50" s="26" t="n">
        <v>3</v>
      </c>
      <c r="AM50" s="24" t="inlineStr">
        <is>
          <t>RESEARCH_OBSERVATION</t>
        </is>
      </c>
      <c r="AN50" s="24" t="inlineStr">
        <is>
          <t>NO_CALL</t>
        </is>
      </c>
      <c r="AO50" s="24" t="inlineStr">
        <is>
          <t>NO_CALL_MODEL_UNVALIDATED</t>
        </is>
      </c>
      <c r="AP50" s="24" t="inlineStr">
        <is>
          <t>Madison Brengle</t>
        </is>
      </c>
      <c r="AQ50" s="24" t="inlineStr">
        <is>
          <t>Madison Brengle</t>
        </is>
      </c>
      <c r="AR50" s="24" t="inlineStr">
        <is>
          <t>Madison Brengle</t>
        </is>
      </c>
      <c r="AS50" s="24" t="inlineStr">
        <is>
          <t>Emerson Jones</t>
        </is>
      </c>
      <c r="AT50" s="24" t="inlineStr">
        <is>
          <t>Emerson Jones</t>
        </is>
      </c>
      <c r="AU50" s="24" t="inlineStr">
        <is>
          <t>Emerson Jones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research</t>
        </is>
      </c>
      <c r="BA50" s="24" t="inlineStr">
        <is>
          <t>73429bd71f12304106b9ffb751bd50617d5109d487f00de7ae2732f60e779590</t>
        </is>
      </c>
      <c r="BB50" s="24" t="inlineStr">
        <is>
          <t>surface_blended_elo</t>
        </is>
      </c>
      <c r="BC50" s="24" t="inlineStr">
        <is>
          <t>tennis-surface-elo-v1</t>
        </is>
      </c>
      <c r="BD50" s="24" t="inlineStr">
        <is>
          <t>73429bd71f12304106b9ffb751bd50617d5109d487f00de7ae2732f60e779590</t>
        </is>
      </c>
      <c r="BE50" s="24" t="inlineStr">
        <is>
          <t>tennis-surface-elo-v1</t>
        </is>
      </c>
      <c r="BF50" s="24" t="inlineStr">
        <is>
          <t>1</t>
        </is>
      </c>
      <c r="BG50" s="24" t="inlineStr">
        <is>
          <t>73429bd71f12304106b9ffb751bd50617d5109d487f00de7ae2732f60e779590</t>
        </is>
      </c>
      <c r="BH50" s="24" t="inlineStr">
        <is>
          <t>2026-07-29T17:43:34.870189Z</t>
        </is>
      </c>
      <c r="BI50" s="24" t="inlineStr">
        <is>
          <t>["same_event","same_team_same_day","same_league_same_day"]</t>
        </is>
      </c>
      <c r="BJ50" s="25" t="n"/>
      <c r="BK50" s="26" t="n">
        <v>-213</v>
      </c>
      <c r="BL50" s="27" t="n">
        <v>1.469484</v>
      </c>
      <c r="BM50" s="28" t="n">
        <v>0.680511</v>
      </c>
      <c r="BN50" s="28" t="n"/>
      <c r="BO50" s="28" t="n"/>
      <c r="BP50" s="25" t="n"/>
      <c r="BQ50" s="27" t="n"/>
      <c r="BR50" s="28" t="n"/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</row>
    <row r="51" ht="36" customHeight="1">
      <c r="A51" s="24" t="inlineStr">
        <is>
          <t>2272d1aa27ff4860</t>
        </is>
      </c>
      <c r="B51" s="24" t="inlineStr">
        <is>
          <t>2026-07-29T17:45:17.438275Z</t>
        </is>
      </c>
      <c r="C51" s="24" t="inlineStr">
        <is>
          <t>2026-07-30T01:00Z</t>
        </is>
      </c>
      <c r="D51" s="24" t="inlineStr">
        <is>
          <t>875-2026:179535</t>
        </is>
      </c>
      <c r="E51" s="24" t="inlineStr">
        <is>
          <t>TENNIS</t>
        </is>
      </c>
      <c r="F51" s="24" t="inlineStr">
        <is>
          <t>Taylah Preston</t>
        </is>
      </c>
      <c r="G51" s="24" t="inlineStr">
        <is>
          <t>Priscilla Hon</t>
        </is>
      </c>
      <c r="H51" s="24" t="inlineStr">
        <is>
          <t>moneyline</t>
        </is>
      </c>
      <c r="I51" s="24" t="inlineStr">
        <is>
          <t>away</t>
        </is>
      </c>
      <c r="J51" s="25" t="n"/>
      <c r="K51" s="24" t="inlineStr">
        <is>
          <t>polymarket_us</t>
        </is>
      </c>
      <c r="L51" s="26" t="n">
        <v>-245</v>
      </c>
      <c r="M51" s="27" t="n">
        <v>1.408163</v>
      </c>
      <c r="N51" s="28" t="n">
        <v>0.710145</v>
      </c>
      <c r="O51" s="28" t="n">
        <v>0.522226</v>
      </c>
      <c r="P51" s="28" t="n">
        <v>0.05</v>
      </c>
      <c r="Q51" s="28" t="n">
        <v>-0.187919</v>
      </c>
      <c r="R51" s="26" t="n">
        <v>0</v>
      </c>
      <c r="S51" s="29" t="n">
        <v>1</v>
      </c>
      <c r="T51" s="24" t="inlineStr">
        <is>
          <t>tennis-surface-elo-v1</t>
        </is>
      </c>
      <c r="U51" s="24" t="inlineStr">
        <is>
          <t>settled</t>
        </is>
      </c>
      <c r="V51" s="24" t="inlineStr">
        <is>
          <t>win</t>
        </is>
      </c>
      <c r="W51" s="26" t="n">
        <v>1</v>
      </c>
      <c r="X51" s="26" t="n">
        <v>0</v>
      </c>
      <c r="Y51" s="25" t="n"/>
      <c r="Z51" s="26" t="n"/>
      <c r="AA51" s="28" t="n"/>
      <c r="AB51" s="28" t="n"/>
      <c r="AC51" s="30" t="n">
        <v>0.4082</v>
      </c>
      <c r="AD51" s="24" t="inlineStr">
        <is>
          <t>2026-07-30T04:12:58.090024Z</t>
        </is>
      </c>
      <c r="AE51" s="31" t="inlineStr">
        <is>
          <t>Surface-blended Elo on Hard: Taylah Preston p=0.522 vs Priscilla Hon. Executable ask 0.7100 (aec-wta-prihon-taypre-2026-07-29).</t>
        </is>
      </c>
      <c r="AF51" s="31" t="inlineStr">
        <is>
          <t>Research-only surface-blended Elo model; singles only, WTA-only market coverage, not yet locked-holdout qualified.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research_observation</t>
        </is>
      </c>
      <c r="AL51" s="26" t="n">
        <v>3</v>
      </c>
      <c r="AM51" s="24" t="inlineStr">
        <is>
          <t>RESEARCH_OBSERVATION</t>
        </is>
      </c>
      <c r="AN51" s="24" t="inlineStr">
        <is>
          <t>NO_CALL</t>
        </is>
      </c>
      <c r="AO51" s="24" t="inlineStr">
        <is>
          <t>NO_CALL_MODEL_UNVALIDATED</t>
        </is>
      </c>
      <c r="AP51" s="24" t="inlineStr">
        <is>
          <t>Taylah Preston</t>
        </is>
      </c>
      <c r="AQ51" s="24" t="inlineStr">
        <is>
          <t>Taylah Preston</t>
        </is>
      </c>
      <c r="AR51" s="24" t="inlineStr">
        <is>
          <t>Taylah Preston</t>
        </is>
      </c>
      <c r="AS51" s="24" t="inlineStr">
        <is>
          <t>Priscilla Hon</t>
        </is>
      </c>
      <c r="AT51" s="24" t="inlineStr">
        <is>
          <t>Priscilla Hon</t>
        </is>
      </c>
      <c r="AU51" s="24" t="inlineStr">
        <is>
          <t>Priscilla Hon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research</t>
        </is>
      </c>
      <c r="BA51" s="24" t="inlineStr">
        <is>
          <t>73429bd71f12304106b9ffb751bd50617d5109d487f00de7ae2732f60e779590</t>
        </is>
      </c>
      <c r="BB51" s="24" t="inlineStr">
        <is>
          <t>surface_blended_elo</t>
        </is>
      </c>
      <c r="BC51" s="24" t="inlineStr">
        <is>
          <t>tennis-surface-elo-v1</t>
        </is>
      </c>
      <c r="BD51" s="24" t="inlineStr">
        <is>
          <t>73429bd71f12304106b9ffb751bd50617d5109d487f00de7ae2732f60e779590</t>
        </is>
      </c>
      <c r="BE51" s="24" t="inlineStr">
        <is>
          <t>tennis-surface-elo-v1</t>
        </is>
      </c>
      <c r="BF51" s="24" t="inlineStr">
        <is>
          <t>1</t>
        </is>
      </c>
      <c r="BG51" s="24" t="inlineStr">
        <is>
          <t>73429bd71f12304106b9ffb751bd50617d5109d487f00de7ae2732f60e779590</t>
        </is>
      </c>
      <c r="BH51" s="24" t="inlineStr">
        <is>
          <t>2026-07-29T17:43:34.962670Z</t>
        </is>
      </c>
      <c r="BI51" s="24" t="inlineStr">
        <is>
          <t>["same_event","same_team_same_day","same_league_same_day"]</t>
        </is>
      </c>
      <c r="BJ51" s="25" t="n"/>
      <c r="BK51" s="26" t="n">
        <v>-245</v>
      </c>
      <c r="BL51" s="27" t="n">
        <v>1.408163</v>
      </c>
      <c r="BM51" s="28" t="n">
        <v>0.710145</v>
      </c>
      <c r="BN51" s="28" t="n"/>
      <c r="BO51" s="28" t="n"/>
      <c r="BP51" s="25" t="n"/>
      <c r="BQ51" s="27" t="n"/>
      <c r="BR51" s="28" t="n"/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</row>
    <row r="52" ht="36" customHeight="1">
      <c r="A52" s="24" t="inlineStr">
        <is>
          <t>f56a39c844b14931</t>
        </is>
      </c>
      <c r="B52" s="24" t="inlineStr">
        <is>
          <t>2026-07-29T17:45:17.438275Z</t>
        </is>
      </c>
      <c r="C52" s="24" t="inlineStr">
        <is>
          <t>2026-07-29T18:00Z</t>
        </is>
      </c>
      <c r="D52" s="24" t="inlineStr">
        <is>
          <t>888-2026:178996</t>
        </is>
      </c>
      <c r="E52" s="24" t="inlineStr">
        <is>
          <t>TENNIS</t>
        </is>
      </c>
      <c r="F52" s="24" t="inlineStr">
        <is>
          <t>Elisabetta Cocciaretto</t>
        </is>
      </c>
      <c r="G52" s="24" t="inlineStr">
        <is>
          <t>Emma Navarro</t>
        </is>
      </c>
      <c r="H52" s="24" t="inlineStr">
        <is>
          <t>moneyline</t>
        </is>
      </c>
      <c r="I52" s="24" t="inlineStr">
        <is>
          <t>home</t>
        </is>
      </c>
      <c r="J52" s="25" t="n"/>
      <c r="K52" s="24" t="inlineStr">
        <is>
          <t>polymarket_us</t>
        </is>
      </c>
      <c r="L52" s="26" t="n">
        <v>-213</v>
      </c>
      <c r="M52" s="27" t="n">
        <v>1.469484</v>
      </c>
      <c r="N52" s="28" t="n">
        <v>0.680511</v>
      </c>
      <c r="O52" s="28" t="n">
        <v>0.534149</v>
      </c>
      <c r="P52" s="28" t="n">
        <v>0.05</v>
      </c>
      <c r="Q52" s="28" t="n">
        <v>-0.146362</v>
      </c>
      <c r="R52" s="26" t="n">
        <v>0</v>
      </c>
      <c r="S52" s="29" t="n">
        <v>1</v>
      </c>
      <c r="T52" s="24" t="inlineStr">
        <is>
          <t>tennis-surface-elo-v1</t>
        </is>
      </c>
      <c r="U52" s="24" t="inlineStr">
        <is>
          <t>settled</t>
        </is>
      </c>
      <c r="V52" s="24" t="inlineStr">
        <is>
          <t>loss</t>
        </is>
      </c>
      <c r="W52" s="26" t="n">
        <v>1</v>
      </c>
      <c r="X52" s="26" t="n">
        <v>0</v>
      </c>
      <c r="Y52" s="25" t="n"/>
      <c r="Z52" s="26" t="n"/>
      <c r="AA52" s="28" t="n"/>
      <c r="AB52" s="28" t="n"/>
      <c r="AC52" s="30" t="n">
        <v>-1</v>
      </c>
      <c r="AD52" s="24" t="inlineStr">
        <is>
          <t>2026-07-30T04:12:58.299938Z</t>
        </is>
      </c>
      <c r="AE52" s="31" t="inlineStr">
        <is>
          <t>Surface-blended Elo on Hard: Elisabetta Cocciaretto p=0.466 vs Emma Navarro. Executable ask 0.6800 (aec-wta-emmnav-elicoc-2026-07-29).</t>
        </is>
      </c>
      <c r="AF52" s="31" t="inlineStr">
        <is>
          <t>Research-only surface-blended Elo model; singles only, WTA-only market coverage, not yet locked-holdout qualified.</t>
        </is>
      </c>
      <c r="AG52" s="24" t="inlineStr">
        <is>
          <t>review_required</t>
        </is>
      </c>
      <c r="AH52" s="24" t="n"/>
      <c r="AI52" s="31" t="n"/>
      <c r="AJ52" s="31" t="n"/>
      <c r="AK52" s="24" t="inlineStr">
        <is>
          <t>research_observation</t>
        </is>
      </c>
      <c r="AL52" s="26" t="n">
        <v>3</v>
      </c>
      <c r="AM52" s="24" t="inlineStr">
        <is>
          <t>RESEARCH_OBSERVATION</t>
        </is>
      </c>
      <c r="AN52" s="24" t="inlineStr">
        <is>
          <t>NO_CALL</t>
        </is>
      </c>
      <c r="AO52" s="24" t="inlineStr">
        <is>
          <t>NO_CALL_MODEL_UNVALIDATED</t>
        </is>
      </c>
      <c r="AP52" s="24" t="inlineStr">
        <is>
          <t>Elisabetta Cocciaretto</t>
        </is>
      </c>
      <c r="AQ52" s="24" t="inlineStr">
        <is>
          <t>Elisabetta Cocciaretto</t>
        </is>
      </c>
      <c r="AR52" s="24" t="inlineStr">
        <is>
          <t>Elisabetta Cocciaretto</t>
        </is>
      </c>
      <c r="AS52" s="24" t="inlineStr">
        <is>
          <t>Emma Navarro</t>
        </is>
      </c>
      <c r="AT52" s="24" t="inlineStr">
        <is>
          <t>Emma Navarro</t>
        </is>
      </c>
      <c r="AU52" s="24" t="inlineStr">
        <is>
          <t>Emma Navarro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research</t>
        </is>
      </c>
      <c r="BA52" s="24" t="inlineStr">
        <is>
          <t>73429bd71f12304106b9ffb751bd50617d5109d487f00de7ae2732f60e779590</t>
        </is>
      </c>
      <c r="BB52" s="24" t="inlineStr">
        <is>
          <t>surface_blended_elo</t>
        </is>
      </c>
      <c r="BC52" s="24" t="inlineStr">
        <is>
          <t>tennis-surface-elo-v1</t>
        </is>
      </c>
      <c r="BD52" s="24" t="inlineStr">
        <is>
          <t>73429bd71f12304106b9ffb751bd50617d5109d487f00de7ae2732f60e779590</t>
        </is>
      </c>
      <c r="BE52" s="24" t="inlineStr">
        <is>
          <t>tennis-surface-elo-v1</t>
        </is>
      </c>
      <c r="BF52" s="24" t="inlineStr">
        <is>
          <t>1</t>
        </is>
      </c>
      <c r="BG52" s="24" t="inlineStr">
        <is>
          <t>73429bd71f12304106b9ffb751bd50617d5109d487f00de7ae2732f60e779590</t>
        </is>
      </c>
      <c r="BH52" s="24" t="inlineStr">
        <is>
          <t>2026-07-29T17:43:27.911072Z</t>
        </is>
      </c>
      <c r="BI52" s="24" t="inlineStr">
        <is>
          <t>["same_event","same_team_same_day","same_league_same_day"]</t>
        </is>
      </c>
      <c r="BJ52" s="25" t="n"/>
      <c r="BK52" s="26" t="n">
        <v>-213</v>
      </c>
      <c r="BL52" s="27" t="n">
        <v>1.469484</v>
      </c>
      <c r="BM52" s="28" t="n">
        <v>0.680511</v>
      </c>
      <c r="BN52" s="28" t="n"/>
      <c r="BO52" s="28" t="n"/>
      <c r="BP52" s="25" t="n"/>
      <c r="BQ52" s="27" t="n"/>
      <c r="BR52" s="28" t="n"/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</row>
    <row r="53" ht="36" customHeight="1">
      <c r="A53" s="24" t="inlineStr">
        <is>
          <t>ff2d3627a8014bb5</t>
        </is>
      </c>
      <c r="B53" s="24" t="inlineStr">
        <is>
          <t>2026-07-29T17:45:17.438275Z</t>
        </is>
      </c>
      <c r="C53" s="24" t="inlineStr">
        <is>
          <t>2026-07-29T22:30Z</t>
        </is>
      </c>
      <c r="D53" s="24" t="inlineStr">
        <is>
          <t>888-2026:178995</t>
        </is>
      </c>
      <c r="E53" s="24" t="inlineStr">
        <is>
          <t>TENNIS</t>
        </is>
      </c>
      <c r="F53" s="24" t="inlineStr">
        <is>
          <t>Naomi Osaka</t>
        </is>
      </c>
      <c r="G53" s="24" t="inlineStr">
        <is>
          <t>Ashlyn Krueger</t>
        </is>
      </c>
      <c r="H53" s="24" t="inlineStr">
        <is>
          <t>moneyline</t>
        </is>
      </c>
      <c r="I53" s="24" t="inlineStr">
        <is>
          <t>away</t>
        </is>
      </c>
      <c r="J53" s="25" t="n"/>
      <c r="K53" s="24" t="inlineStr">
        <is>
          <t>polymarket_us</t>
        </is>
      </c>
      <c r="L53" s="26" t="n">
        <v>-285</v>
      </c>
      <c r="M53" s="27" t="n">
        <v>1.350877</v>
      </c>
      <c r="N53" s="28" t="n">
        <v>0.74026</v>
      </c>
      <c r="O53" s="28" t="n">
        <v>0.68731</v>
      </c>
      <c r="P53" s="28" t="n">
        <v>0.05</v>
      </c>
      <c r="Q53" s="28" t="n">
        <v>-0.05295</v>
      </c>
      <c r="R53" s="26" t="n">
        <v>0</v>
      </c>
      <c r="S53" s="29" t="n">
        <v>2</v>
      </c>
      <c r="T53" s="24" t="inlineStr">
        <is>
          <t>tennis-surface-elo-v1</t>
        </is>
      </c>
      <c r="U53" s="24" t="inlineStr">
        <is>
          <t>settled</t>
        </is>
      </c>
      <c r="V53" s="24" t="inlineStr">
        <is>
          <t>win</t>
        </is>
      </c>
      <c r="W53" s="26" t="n">
        <v>1</v>
      </c>
      <c r="X53" s="26" t="n">
        <v>0</v>
      </c>
      <c r="Y53" s="25" t="n"/>
      <c r="Z53" s="26" t="n"/>
      <c r="AA53" s="28" t="n"/>
      <c r="AB53" s="28" t="n"/>
      <c r="AC53" s="30" t="n">
        <v>0.7018</v>
      </c>
      <c r="AD53" s="24" t="inlineStr">
        <is>
          <t>2026-07-30T04:12:58.471435Z</t>
        </is>
      </c>
      <c r="AE53" s="31" t="inlineStr">
        <is>
          <t>Surface-blended Elo on Hard: Naomi Osaka p=0.687 vs Ashlyn Krueger. Executable ask 0.7400 (aec-wta-ashkru-naoosa-2026-07-29).</t>
        </is>
      </c>
      <c r="AF53" s="31" t="inlineStr">
        <is>
          <t>Research-only surface-blended Elo model; singles only, WTA-only market coverage, not yet locked-holdout qualified.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research_observation</t>
        </is>
      </c>
      <c r="AL53" s="26" t="n">
        <v>3</v>
      </c>
      <c r="AM53" s="24" t="inlineStr">
        <is>
          <t>RESEARCH_OBSERVATION</t>
        </is>
      </c>
      <c r="AN53" s="24" t="inlineStr">
        <is>
          <t>NO_CALL</t>
        </is>
      </c>
      <c r="AO53" s="24" t="inlineStr">
        <is>
          <t>NO_CALL_MODEL_UNVALIDATED</t>
        </is>
      </c>
      <c r="AP53" s="24" t="inlineStr">
        <is>
          <t>Naomi Osaka</t>
        </is>
      </c>
      <c r="AQ53" s="24" t="inlineStr">
        <is>
          <t>Naomi Osaka</t>
        </is>
      </c>
      <c r="AR53" s="24" t="inlineStr">
        <is>
          <t>Naomi Osaka</t>
        </is>
      </c>
      <c r="AS53" s="24" t="inlineStr">
        <is>
          <t>Ashlyn Krueger</t>
        </is>
      </c>
      <c r="AT53" s="24" t="inlineStr">
        <is>
          <t>Ashlyn Krueger</t>
        </is>
      </c>
      <c r="AU53" s="24" t="inlineStr">
        <is>
          <t>Ashlyn Krueger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research</t>
        </is>
      </c>
      <c r="BA53" s="24" t="inlineStr">
        <is>
          <t>73429bd71f12304106b9ffb751bd50617d5109d487f00de7ae2732f60e779590</t>
        </is>
      </c>
      <c r="BB53" s="24" t="inlineStr">
        <is>
          <t>surface_blended_elo</t>
        </is>
      </c>
      <c r="BC53" s="24" t="inlineStr">
        <is>
          <t>tennis-surface-elo-v1</t>
        </is>
      </c>
      <c r="BD53" s="24" t="inlineStr">
        <is>
          <t>73429bd71f12304106b9ffb751bd50617d5109d487f00de7ae2732f60e779590</t>
        </is>
      </c>
      <c r="BE53" s="24" t="inlineStr">
        <is>
          <t>tennis-surface-elo-v1</t>
        </is>
      </c>
      <c r="BF53" s="24" t="inlineStr">
        <is>
          <t>1</t>
        </is>
      </c>
      <c r="BG53" s="24" t="inlineStr">
        <is>
          <t>73429bd71f12304106b9ffb751bd50617d5109d487f00de7ae2732f60e779590</t>
        </is>
      </c>
      <c r="BH53" s="24" t="inlineStr">
        <is>
          <t>2026-07-29T17:43:32.737176Z</t>
        </is>
      </c>
      <c r="BI53" s="24" t="inlineStr">
        <is>
          <t>["same_event","same_team_same_day","same_league_same_day"]</t>
        </is>
      </c>
      <c r="BJ53" s="25" t="n"/>
      <c r="BK53" s="26" t="n">
        <v>-285</v>
      </c>
      <c r="BL53" s="27" t="n">
        <v>1.350877</v>
      </c>
      <c r="BM53" s="28" t="n">
        <v>0.74026</v>
      </c>
      <c r="BN53" s="28" t="n"/>
      <c r="BO53" s="28" t="n"/>
      <c r="BP53" s="25" t="n"/>
      <c r="BQ53" s="27" t="n"/>
      <c r="BR53" s="28" t="n"/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</row>
    <row r="54" ht="36" customHeight="1">
      <c r="A54" s="24" t="inlineStr">
        <is>
          <t>ae6ff454954f447c</t>
        </is>
      </c>
      <c r="B54" s="24" t="inlineStr">
        <is>
          <t>2026-07-29T17:45:17.438275Z</t>
        </is>
      </c>
      <c r="C54" s="24" t="inlineStr">
        <is>
          <t>2026-07-29T19:15Z</t>
        </is>
      </c>
      <c r="D54" s="24" t="inlineStr">
        <is>
          <t>1067-2026:179466</t>
        </is>
      </c>
      <c r="E54" s="24" t="inlineStr">
        <is>
          <t>TENNIS</t>
        </is>
      </c>
      <c r="F54" s="24" t="inlineStr">
        <is>
          <t>Elvina Kalieva</t>
        </is>
      </c>
      <c r="G54" s="24" t="inlineStr">
        <is>
          <t>Zeynep Sonmez</t>
        </is>
      </c>
      <c r="H54" s="24" t="inlineStr">
        <is>
          <t>moneyline</t>
        </is>
      </c>
      <c r="I54" s="24" t="inlineStr">
        <is>
          <t>home</t>
        </is>
      </c>
      <c r="J54" s="25" t="n"/>
      <c r="K54" s="24" t="inlineStr">
        <is>
          <t>polymarket_us</t>
        </is>
      </c>
      <c r="L54" s="26" t="n">
        <v>-186</v>
      </c>
      <c r="M54" s="27" t="n">
        <v>1.537634</v>
      </c>
      <c r="N54" s="28" t="n">
        <v>0.65035</v>
      </c>
      <c r="O54" s="28" t="n">
        <v>0.677731</v>
      </c>
      <c r="P54" s="28" t="n">
        <v>0.05</v>
      </c>
      <c r="Q54" s="28" t="n">
        <v>0.027381</v>
      </c>
      <c r="R54" s="26" t="n">
        <v>34</v>
      </c>
      <c r="S54" s="29" t="n">
        <v>1.75</v>
      </c>
      <c r="T54" s="24" t="inlineStr">
        <is>
          <t>tennis-surface-elo-v1</t>
        </is>
      </c>
      <c r="U54" s="24" t="inlineStr">
        <is>
          <t>settled</t>
        </is>
      </c>
      <c r="V54" s="24" t="inlineStr">
        <is>
          <t>loss</t>
        </is>
      </c>
      <c r="W54" s="26" t="n">
        <v>1</v>
      </c>
      <c r="X54" s="26" t="n">
        <v>0</v>
      </c>
      <c r="Y54" s="25" t="n"/>
      <c r="Z54" s="26" t="n"/>
      <c r="AA54" s="28" t="n"/>
      <c r="AB54" s="28" t="n"/>
      <c r="AC54" s="30" t="n">
        <v>-1.75</v>
      </c>
      <c r="AD54" s="24" t="inlineStr">
        <is>
          <t>2026-07-30T04:12:58.638731Z</t>
        </is>
      </c>
      <c r="AE54" s="31" t="inlineStr">
        <is>
          <t>Surface-blended Elo on Hard: Elvina Kalieva p=0.322 vs Zeynep Sonmez. Executable ask 0.6500 (aec-wta-zeyson-elvkal-2026-07-29).</t>
        </is>
      </c>
      <c r="AF54" s="31" t="inlineStr">
        <is>
          <t>Research-only surface-blended Elo model; singles only, WTA-only market coverage, not yet locked-holdout qualified.</t>
        </is>
      </c>
      <c r="AG54" s="24" t="inlineStr">
        <is>
          <t>review_required</t>
        </is>
      </c>
      <c r="AH54" s="24" t="n"/>
      <c r="AI54" s="31" t="n"/>
      <c r="AJ54" s="31" t="n"/>
      <c r="AK54" s="24" t="inlineStr">
        <is>
          <t>research_observation</t>
        </is>
      </c>
      <c r="AL54" s="26" t="n">
        <v>3</v>
      </c>
      <c r="AM54" s="24" t="inlineStr">
        <is>
          <t>RESEARCH_OBSERVATION</t>
        </is>
      </c>
      <c r="AN54" s="24" t="inlineStr">
        <is>
          <t>NO_CALL</t>
        </is>
      </c>
      <c r="AO54" s="24" t="inlineStr">
        <is>
          <t>NO_CALL_MODEL_UNVALIDATED</t>
        </is>
      </c>
      <c r="AP54" s="24" t="inlineStr">
        <is>
          <t>Elvina Kalieva</t>
        </is>
      </c>
      <c r="AQ54" s="24" t="inlineStr">
        <is>
          <t>Elvina Kalieva</t>
        </is>
      </c>
      <c r="AR54" s="24" t="inlineStr">
        <is>
          <t>Elvina Kalieva</t>
        </is>
      </c>
      <c r="AS54" s="24" t="inlineStr">
        <is>
          <t>Zeynep Sonmez</t>
        </is>
      </c>
      <c r="AT54" s="24" t="inlineStr">
        <is>
          <t>Zeynep Sonmez</t>
        </is>
      </c>
      <c r="AU54" s="24" t="inlineStr">
        <is>
          <t>Zeynep Sonmez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research</t>
        </is>
      </c>
      <c r="BA54" s="24" t="inlineStr">
        <is>
          <t>73429bd71f12304106b9ffb751bd50617d5109d487f00de7ae2732f60e779590</t>
        </is>
      </c>
      <c r="BB54" s="24" t="inlineStr">
        <is>
          <t>surface_blended_elo</t>
        </is>
      </c>
      <c r="BC54" s="24" t="inlineStr">
        <is>
          <t>tennis-surface-elo-v1</t>
        </is>
      </c>
      <c r="BD54" s="24" t="inlineStr">
        <is>
          <t>73429bd71f12304106b9ffb751bd50617d5109d487f00de7ae2732f60e779590</t>
        </is>
      </c>
      <c r="BE54" s="24" t="inlineStr">
        <is>
          <t>tennis-surface-elo-v1</t>
        </is>
      </c>
      <c r="BF54" s="24" t="inlineStr">
        <is>
          <t>1</t>
        </is>
      </c>
      <c r="BG54" s="24" t="inlineStr">
        <is>
          <t>73429bd71f12304106b9ffb751bd50617d5109d487f00de7ae2732f60e779590</t>
        </is>
      </c>
      <c r="BH54" s="24" t="inlineStr">
        <is>
          <t>2026-07-29T17:43:29.985852Z</t>
        </is>
      </c>
      <c r="BI54" s="24" t="inlineStr">
        <is>
          <t>["same_event","same_team_same_day","same_league_same_day"]</t>
        </is>
      </c>
      <c r="BJ54" s="25" t="n"/>
      <c r="BK54" s="26" t="n">
        <v>-186</v>
      </c>
      <c r="BL54" s="27" t="n">
        <v>1.537634</v>
      </c>
      <c r="BM54" s="28" t="n">
        <v>0.65035</v>
      </c>
      <c r="BN54" s="28" t="n"/>
      <c r="BO54" s="28" t="n"/>
      <c r="BP54" s="25" t="n"/>
      <c r="BQ54" s="27" t="n"/>
      <c r="BR54" s="28" t="n"/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</row>
    <row r="55" ht="36" customHeight="1">
      <c r="A55" s="24" t="inlineStr">
        <is>
          <t>2cf5fcb8edff4226</t>
        </is>
      </c>
      <c r="B55" s="24" t="inlineStr">
        <is>
          <t>2026-07-29T17:45:17.438275Z</t>
        </is>
      </c>
      <c r="C55" s="24" t="inlineStr">
        <is>
          <t>2026-07-29T23:00Z</t>
        </is>
      </c>
      <c r="D55" s="24" t="inlineStr">
        <is>
          <t>1067-2026:179455</t>
        </is>
      </c>
      <c r="E55" s="24" t="inlineStr">
        <is>
          <t>TENNIS</t>
        </is>
      </c>
      <c r="F55" s="24" t="inlineStr">
        <is>
          <t>Renata Zarazua</t>
        </is>
      </c>
      <c r="G55" s="24" t="inlineStr">
        <is>
          <t>Tatjana Maria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-150</v>
      </c>
      <c r="M55" s="27" t="n">
        <v>1.666667</v>
      </c>
      <c r="N55" s="28" t="n">
        <v>0.6</v>
      </c>
      <c r="O55" s="28" t="n">
        <v>0.7051770000000001</v>
      </c>
      <c r="P55" s="28" t="n">
        <v>0.05</v>
      </c>
      <c r="Q55" s="28" t="n">
        <v>0.105177</v>
      </c>
      <c r="R55" s="26" t="n">
        <v>73</v>
      </c>
      <c r="S55" s="29" t="n">
        <v>2</v>
      </c>
      <c r="T55" s="24" t="inlineStr">
        <is>
          <t>tennis-surface-elo-v1</t>
        </is>
      </c>
      <c r="U55" s="24" t="inlineStr">
        <is>
          <t>settled</t>
        </is>
      </c>
      <c r="V55" s="24" t="inlineStr">
        <is>
          <t>loss</t>
        </is>
      </c>
      <c r="W55" s="26" t="n">
        <v>1</v>
      </c>
      <c r="X55" s="26" t="n">
        <v>0</v>
      </c>
      <c r="Y55" s="25" t="n"/>
      <c r="Z55" s="26" t="n"/>
      <c r="AA55" s="28" t="n"/>
      <c r="AB55" s="28" t="n"/>
      <c r="AC55" s="30" t="n">
        <v>-2</v>
      </c>
      <c r="AD55" s="24" t="inlineStr">
        <is>
          <t>2026-07-30T04:12:58.807246Z</t>
        </is>
      </c>
      <c r="AE55" s="31" t="inlineStr">
        <is>
          <t>Surface-blended Elo on Hard: Renata Zarazua p=0.295 vs Tatjana Maria. Executable ask 0.6000 (aec-wta-tatmar-renzar-2026-07-29).</t>
        </is>
      </c>
      <c r="AF55" s="31" t="inlineStr">
        <is>
          <t>Research-only surface-blended Elo model; singles only, WTA-only market coverage, not yet locked-holdout qualified.</t>
        </is>
      </c>
      <c r="AG55" s="24" t="inlineStr">
        <is>
          <t>review_required</t>
        </is>
      </c>
      <c r="AH55" s="24" t="n"/>
      <c r="AI55" s="31" t="n"/>
      <c r="AJ55" s="31" t="n"/>
      <c r="AK55" s="24" t="inlineStr">
        <is>
          <t>research_observation</t>
        </is>
      </c>
      <c r="AL55" s="26" t="n">
        <v>3</v>
      </c>
      <c r="AM55" s="24" t="inlineStr">
        <is>
          <t>RESEARCH_OBSERVATION</t>
        </is>
      </c>
      <c r="AN55" s="24" t="inlineStr">
        <is>
          <t>NO_CALL</t>
        </is>
      </c>
      <c r="AO55" s="24" t="inlineStr">
        <is>
          <t>NO_CALL_MODEL_UNVALIDATED</t>
        </is>
      </c>
      <c r="AP55" s="24" t="inlineStr">
        <is>
          <t>Renata Zarazua</t>
        </is>
      </c>
      <c r="AQ55" s="24" t="inlineStr">
        <is>
          <t>Renata Zarazua</t>
        </is>
      </c>
      <c r="AR55" s="24" t="inlineStr">
        <is>
          <t>Renata Zarazua</t>
        </is>
      </c>
      <c r="AS55" s="24" t="inlineStr">
        <is>
          <t>Tatjana Maria</t>
        </is>
      </c>
      <c r="AT55" s="24" t="inlineStr">
        <is>
          <t>Tatjana Maria</t>
        </is>
      </c>
      <c r="AU55" s="24" t="inlineStr">
        <is>
          <t>Tatjana Maria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research</t>
        </is>
      </c>
      <c r="BA55" s="24" t="inlineStr">
        <is>
          <t>73429bd71f12304106b9ffb751bd50617d5109d487f00de7ae2732f60e779590</t>
        </is>
      </c>
      <c r="BB55" s="24" t="inlineStr">
        <is>
          <t>surface_blended_elo</t>
        </is>
      </c>
      <c r="BC55" s="24" t="inlineStr">
        <is>
          <t>tennis-surface-elo-v1</t>
        </is>
      </c>
      <c r="BD55" s="24" t="inlineStr">
        <is>
          <t>73429bd71f12304106b9ffb751bd50617d5109d487f00de7ae2732f60e779590</t>
        </is>
      </c>
      <c r="BE55" s="24" t="inlineStr">
        <is>
          <t>tennis-surface-elo-v1</t>
        </is>
      </c>
      <c r="BF55" s="24" t="inlineStr">
        <is>
          <t>1</t>
        </is>
      </c>
      <c r="BG55" s="24" t="inlineStr">
        <is>
          <t>73429bd71f12304106b9ffb751bd50617d5109d487f00de7ae2732f60e779590</t>
        </is>
      </c>
      <c r="BH55" s="24" t="inlineStr">
        <is>
          <t>2026-07-29T17:43:33.953536Z</t>
        </is>
      </c>
      <c r="BI55" s="24" t="inlineStr">
        <is>
          <t>["same_event","same_team_same_day","same_league_same_day"]</t>
        </is>
      </c>
      <c r="BJ55" s="25" t="n"/>
      <c r="BK55" s="26" t="n">
        <v>-150</v>
      </c>
      <c r="BL55" s="27" t="n">
        <v>1.666667</v>
      </c>
      <c r="BM55" s="28" t="n">
        <v>0.6</v>
      </c>
      <c r="BN55" s="28" t="n"/>
      <c r="BO55" s="28" t="n"/>
      <c r="BP55" s="25" t="n"/>
      <c r="BQ55" s="27" t="n"/>
      <c r="BR55" s="28" t="n"/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</row>
    <row r="56" ht="36" customHeight="1">
      <c r="A56" s="24" t="inlineStr">
        <is>
          <t>e9efa0767df14a0e</t>
        </is>
      </c>
      <c r="B56" s="24" t="inlineStr">
        <is>
          <t>2026-07-30T07:22:18.156139Z</t>
        </is>
      </c>
      <c r="C56" s="24" t="inlineStr">
        <is>
          <t>2026-07-30T09:00Z</t>
        </is>
      </c>
      <c r="D56" s="24" t="inlineStr">
        <is>
          <t>1073-2026:179599</t>
        </is>
      </c>
      <c r="E56" s="24" t="inlineStr">
        <is>
          <t>TENNIS</t>
        </is>
      </c>
      <c r="F56" s="24" t="inlineStr">
        <is>
          <t>Mia Ristic</t>
        </is>
      </c>
      <c r="G56" s="24" t="inlineStr">
        <is>
          <t>Yelyzaveta Kotliar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400</v>
      </c>
      <c r="M56" s="27" t="n">
        <v>5</v>
      </c>
      <c r="N56" s="28" t="n">
        <v>0.2</v>
      </c>
      <c r="O56" s="28" t="n">
        <v>0.5190669999999999</v>
      </c>
      <c r="P56" s="28" t="n">
        <v>0.05</v>
      </c>
      <c r="Q56" s="28" t="n">
        <v>0.319067</v>
      </c>
      <c r="R56" s="26" t="n">
        <v>100</v>
      </c>
      <c r="S56" s="29" t="n">
        <v>1</v>
      </c>
      <c r="T56" s="24" t="inlineStr">
        <is>
          <t>tennis-surface-elo-v1</t>
        </is>
      </c>
      <c r="U56" s="24" t="inlineStr">
        <is>
          <t>settled</t>
        </is>
      </c>
      <c r="V56" s="24" t="inlineStr">
        <is>
          <t>loss</t>
        </is>
      </c>
      <c r="W56" s="26" t="n">
        <v>1</v>
      </c>
      <c r="X56" s="26" t="n">
        <v>0</v>
      </c>
      <c r="Y56" s="25" t="n"/>
      <c r="Z56" s="26" t="n"/>
      <c r="AA56" s="28" t="n"/>
      <c r="AB56" s="28" t="n"/>
      <c r="AC56" s="30" t="n">
        <v>-1</v>
      </c>
      <c r="AD56" s="24" t="inlineStr">
        <is>
          <t>2026-07-30T13:30:54.966484Z</t>
        </is>
      </c>
      <c r="AE56" s="31" t="inlineStr">
        <is>
          <t>Surface-blended Elo on Hard: Mia Ristic p=0.481 vs Yelyzaveta Kotliar. Executable ask 0.2000 (aec-wta-yelkot-miaris-2026-07-29).</t>
        </is>
      </c>
      <c r="AF56" s="31" t="inlineStr">
        <is>
          <t>Research-only surface-blended Elo model; singles only, WTA-only market coverage, not yet locked-holdout qualified.</t>
        </is>
      </c>
      <c r="AG56" s="24" t="inlineStr">
        <is>
          <t>review_required</t>
        </is>
      </c>
      <c r="AH56" s="24" t="n"/>
      <c r="AI56" s="31" t="n"/>
      <c r="AJ56" s="31" t="n"/>
      <c r="AK56" s="24" t="inlineStr">
        <is>
          <t>research_observation</t>
        </is>
      </c>
      <c r="AL56" s="26" t="n">
        <v>3</v>
      </c>
      <c r="AM56" s="24" t="inlineStr">
        <is>
          <t>RESEARCH_OBSERVATION</t>
        </is>
      </c>
      <c r="AN56" s="24" t="inlineStr">
        <is>
          <t>NO_CALL</t>
        </is>
      </c>
      <c r="AO56" s="24" t="inlineStr">
        <is>
          <t>NO_CALL_MODEL_UNVALIDATED</t>
        </is>
      </c>
      <c r="AP56" s="24" t="inlineStr">
        <is>
          <t>Mia Ristic</t>
        </is>
      </c>
      <c r="AQ56" s="24" t="inlineStr">
        <is>
          <t>Mia Ristic</t>
        </is>
      </c>
      <c r="AR56" s="24" t="inlineStr">
        <is>
          <t>Mia Ristic</t>
        </is>
      </c>
      <c r="AS56" s="24" t="inlineStr">
        <is>
          <t>Yelyzaveta Kotliar</t>
        </is>
      </c>
      <c r="AT56" s="24" t="inlineStr">
        <is>
          <t>Yelyzaveta Kotliar</t>
        </is>
      </c>
      <c r="AU56" s="24" t="inlineStr">
        <is>
          <t>Yelyzaveta Kotliar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research</t>
        </is>
      </c>
      <c r="BA56" s="24" t="inlineStr">
        <is>
          <t>73429bd71f12304106b9ffb751bd50617d5109d487f00de7ae2732f60e779590</t>
        </is>
      </c>
      <c r="BB56" s="24" t="inlineStr">
        <is>
          <t>surface_blended_elo</t>
        </is>
      </c>
      <c r="BC56" s="24" t="inlineStr">
        <is>
          <t>tennis-surface-elo-v1</t>
        </is>
      </c>
      <c r="BD56" s="24" t="inlineStr">
        <is>
          <t>73429bd71f12304106b9ffb751bd50617d5109d487f00de7ae2732f60e779590</t>
        </is>
      </c>
      <c r="BE56" s="24" t="inlineStr">
        <is>
          <t>tennis-surface-elo-v1</t>
        </is>
      </c>
      <c r="BF56" s="24" t="inlineStr">
        <is>
          <t>1</t>
        </is>
      </c>
      <c r="BG56" s="24" t="inlineStr">
        <is>
          <t>73429bd71f12304106b9ffb751bd50617d5109d487f00de7ae2732f60e779590</t>
        </is>
      </c>
      <c r="BH56" s="24" t="inlineStr">
        <is>
          <t>2026-07-30T07:20:24.446685Z</t>
        </is>
      </c>
      <c r="BI56" s="24" t="inlineStr">
        <is>
          <t>["same_event","same_team_same_day","same_league_same_day"]</t>
        </is>
      </c>
      <c r="BJ56" s="25" t="n"/>
      <c r="BK56" s="26" t="n">
        <v>400</v>
      </c>
      <c r="BL56" s="27" t="n">
        <v>5</v>
      </c>
      <c r="BM56" s="28" t="n">
        <v>0.2</v>
      </c>
      <c r="BN56" s="28" t="n"/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</row>
    <row r="57" ht="36" customHeight="1">
      <c r="A57" s="24" t="inlineStr">
        <is>
          <t>1f481c16c7a6423b</t>
        </is>
      </c>
      <c r="B57" s="24" t="inlineStr">
        <is>
          <t>2026-07-30T10:28:05.385402Z</t>
        </is>
      </c>
      <c r="C57" s="24" t="inlineStr">
        <is>
          <t>2026-07-30T10:30Z</t>
        </is>
      </c>
      <c r="D57" s="24" t="inlineStr">
        <is>
          <t>1073-2026:183178</t>
        </is>
      </c>
      <c r="E57" s="24" t="inlineStr">
        <is>
          <t>TENNIS</t>
        </is>
      </c>
      <c r="F57" s="24" t="inlineStr">
        <is>
          <t>Anastasiia Sobolieva</t>
        </is>
      </c>
      <c r="G57" s="24" t="inlineStr">
        <is>
          <t>Laura Samson</t>
        </is>
      </c>
      <c r="H57" s="24" t="inlineStr">
        <is>
          <t>moneyline</t>
        </is>
      </c>
      <c r="I57" s="24" t="inlineStr">
        <is>
          <t>home</t>
        </is>
      </c>
      <c r="J57" s="25" t="n"/>
      <c r="K57" s="24" t="inlineStr">
        <is>
          <t>polymarket_us</t>
        </is>
      </c>
      <c r="L57" s="26" t="n">
        <v>-104</v>
      </c>
      <c r="M57" s="27" t="n">
        <v>1.961538</v>
      </c>
      <c r="N57" s="28" t="n">
        <v>0.509804</v>
      </c>
      <c r="O57" s="28" t="n">
        <v>0.6387119999999999</v>
      </c>
      <c r="P57" s="28" t="n">
        <v>0.05</v>
      </c>
      <c r="Q57" s="28" t="n">
        <v>0.128908</v>
      </c>
      <c r="R57" s="26" t="n">
        <v>84</v>
      </c>
      <c r="S57" s="29" t="n">
        <v>1.5</v>
      </c>
      <c r="T57" s="24" t="inlineStr">
        <is>
          <t>tennis-surface-elo-v1</t>
        </is>
      </c>
      <c r="U57" s="24" t="inlineStr">
        <is>
          <t>settled</t>
        </is>
      </c>
      <c r="V57" s="24" t="inlineStr">
        <is>
          <t>win</t>
        </is>
      </c>
      <c r="W57" s="26" t="n">
        <v>0</v>
      </c>
      <c r="X57" s="26" t="n">
        <v>1</v>
      </c>
      <c r="Y57" s="25" t="n"/>
      <c r="Z57" s="26" t="n"/>
      <c r="AA57" s="28" t="n"/>
      <c r="AB57" s="28" t="n"/>
      <c r="AC57" s="30" t="n">
        <v>1.4423</v>
      </c>
      <c r="AD57" s="24" t="inlineStr">
        <is>
          <t>2026-07-30T13:30:55.251503Z</t>
        </is>
      </c>
      <c r="AE57" s="31" t="inlineStr">
        <is>
          <t>Surface-blended Elo on Hard: Anastasiia Sobolieva p=0.361 vs Laura Samson. Executable ask 0.5100 (aec-wta-lausam-anasob-2026-07-29).</t>
        </is>
      </c>
      <c r="AF57" s="31" t="inlineStr">
        <is>
          <t>Research-only surface-blended Elo model; singles only, WTA-only market coverage, not yet locked-holdout qualified.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research_observation</t>
        </is>
      </c>
      <c r="AL57" s="26" t="n">
        <v>3</v>
      </c>
      <c r="AM57" s="24" t="inlineStr">
        <is>
          <t>RESEARCH_OBSERVATION</t>
        </is>
      </c>
      <c r="AN57" s="24" t="inlineStr">
        <is>
          <t>NO_CALL</t>
        </is>
      </c>
      <c r="AO57" s="24" t="inlineStr">
        <is>
          <t>NO_CALL_MODEL_UNVALIDATED</t>
        </is>
      </c>
      <c r="AP57" s="24" t="inlineStr">
        <is>
          <t>Anastasiia Sobolieva</t>
        </is>
      </c>
      <c r="AQ57" s="24" t="inlineStr">
        <is>
          <t>Anastasiia Sobolieva</t>
        </is>
      </c>
      <c r="AR57" s="24" t="inlineStr">
        <is>
          <t>Anastasiia Sobolieva</t>
        </is>
      </c>
      <c r="AS57" s="24" t="inlineStr">
        <is>
          <t>Laura Samson</t>
        </is>
      </c>
      <c r="AT57" s="24" t="inlineStr">
        <is>
          <t>Laura Samson</t>
        </is>
      </c>
      <c r="AU57" s="24" t="inlineStr">
        <is>
          <t>Laura Samson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research</t>
        </is>
      </c>
      <c r="BA57" s="24" t="inlineStr">
        <is>
          <t>73429bd71f12304106b9ffb751bd50617d5109d487f00de7ae2732f60e779590</t>
        </is>
      </c>
      <c r="BB57" s="24" t="inlineStr">
        <is>
          <t>surface_blended_elo</t>
        </is>
      </c>
      <c r="BC57" s="24" t="inlineStr">
        <is>
          <t>tennis-surface-elo-v1</t>
        </is>
      </c>
      <c r="BD57" s="24" t="inlineStr">
        <is>
          <t>73429bd71f12304106b9ffb751bd50617d5109d487f00de7ae2732f60e779590</t>
        </is>
      </c>
      <c r="BE57" s="24" t="inlineStr">
        <is>
          <t>tennis-surface-elo-v1</t>
        </is>
      </c>
      <c r="BF57" s="24" t="inlineStr">
        <is>
          <t>1</t>
        </is>
      </c>
      <c r="BG57" s="24" t="inlineStr">
        <is>
          <t>73429bd71f12304106b9ffb751bd50617d5109d487f00de7ae2732f60e779590</t>
        </is>
      </c>
      <c r="BH57" s="24" t="inlineStr">
        <is>
          <t>2026-07-30T10:25:57.623656Z</t>
        </is>
      </c>
      <c r="BI57" s="24" t="inlineStr">
        <is>
          <t>["same_event","same_team_same_day","same_league_same_day"]</t>
        </is>
      </c>
      <c r="BJ57" s="25" t="n"/>
      <c r="BK57" s="26" t="n">
        <v>-104</v>
      </c>
      <c r="BL57" s="27" t="n">
        <v>1.961538</v>
      </c>
      <c r="BM57" s="28" t="n">
        <v>0.509804</v>
      </c>
      <c r="BN57" s="28" t="n"/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</row>
    <row r="58" ht="36" customHeight="1">
      <c r="A58" s="24" t="inlineStr">
        <is>
          <t>e9929ceab6c14c67</t>
        </is>
      </c>
      <c r="B58" s="24" t="inlineStr">
        <is>
          <t>2026-07-30T13:33:53.663155Z</t>
        </is>
      </c>
      <c r="C58" s="24" t="inlineStr">
        <is>
          <t>2026-07-30T16:00Z</t>
        </is>
      </c>
      <c r="D58" s="24" t="inlineStr">
        <is>
          <t>1067-2026:179440</t>
        </is>
      </c>
      <c r="E58" s="24" t="inlineStr">
        <is>
          <t>TENNIS</t>
        </is>
      </c>
      <c r="F58" s="24" t="inlineStr">
        <is>
          <t>Maya Joint</t>
        </is>
      </c>
      <c r="G58" s="24" t="inlineStr">
        <is>
          <t>Kristina Liutova</t>
        </is>
      </c>
      <c r="H58" s="24" t="inlineStr">
        <is>
          <t>moneyline</t>
        </is>
      </c>
      <c r="I58" s="24" t="inlineStr">
        <is>
          <t>away</t>
        </is>
      </c>
      <c r="J58" s="25" t="n"/>
      <c r="K58" s="24" t="inlineStr">
        <is>
          <t>polymarket_us</t>
        </is>
      </c>
      <c r="L58" s="26" t="n">
        <v>-150</v>
      </c>
      <c r="M58" s="27" t="n">
        <v>1.666667</v>
      </c>
      <c r="N58" s="28" t="n">
        <v>0.6</v>
      </c>
      <c r="O58" s="28" t="n">
        <v>0.582815</v>
      </c>
      <c r="P58" s="28" t="n">
        <v>0.05</v>
      </c>
      <c r="Q58" s="28" t="n">
        <v>-0.017185</v>
      </c>
      <c r="R58" s="26" t="n">
        <v>11</v>
      </c>
      <c r="S58" s="29" t="n">
        <v>1.25</v>
      </c>
      <c r="T58" s="24" t="inlineStr">
        <is>
          <t>tennis-surface-elo-v1</t>
        </is>
      </c>
      <c r="U58" s="24" t="inlineStr">
        <is>
          <t>settled</t>
        </is>
      </c>
      <c r="V58" s="24" t="inlineStr">
        <is>
          <t>loss</t>
        </is>
      </c>
      <c r="W58" s="26" t="n">
        <v>0</v>
      </c>
      <c r="X58" s="26" t="n">
        <v>1</v>
      </c>
      <c r="Y58" s="25" t="n"/>
      <c r="Z58" s="26" t="n"/>
      <c r="AA58" s="28" t="n"/>
      <c r="AB58" s="28" t="n"/>
      <c r="AC58" s="30" t="n">
        <v>-1.25</v>
      </c>
      <c r="AD58" s="24" t="inlineStr">
        <is>
          <t>2026-07-30T21:06:27.328889Z</t>
        </is>
      </c>
      <c r="AE58" s="31" t="inlineStr">
        <is>
          <t>Surface-blended Elo on Hard: Maya Joint p=0.583 vs Kristina Liutova. Executable ask 0.6000 (aec-wta-kriliu-mayjoi-2026-07-28).</t>
        </is>
      </c>
      <c r="AF58" s="31" t="inlineStr">
        <is>
          <t>Research-only surface-blended Elo model; singles only, WTA-only market coverage, not yet locked-holdout qualified.</t>
        </is>
      </c>
      <c r="AG58" s="24" t="inlineStr">
        <is>
          <t>review_required</t>
        </is>
      </c>
      <c r="AH58" s="24" t="n"/>
      <c r="AI58" s="31" t="n"/>
      <c r="AJ58" s="31" t="n"/>
      <c r="AK58" s="24" t="inlineStr">
        <is>
          <t>research_observation</t>
        </is>
      </c>
      <c r="AL58" s="26" t="n">
        <v>3</v>
      </c>
      <c r="AM58" s="24" t="inlineStr">
        <is>
          <t>RESEARCH_OBSERVATION</t>
        </is>
      </c>
      <c r="AN58" s="24" t="inlineStr">
        <is>
          <t>NO_CALL</t>
        </is>
      </c>
      <c r="AO58" s="24" t="inlineStr">
        <is>
          <t>NO_CALL_MODEL_UNVALIDATED</t>
        </is>
      </c>
      <c r="AP58" s="24" t="inlineStr">
        <is>
          <t>Maya Joint</t>
        </is>
      </c>
      <c r="AQ58" s="24" t="inlineStr">
        <is>
          <t>Maya Joint</t>
        </is>
      </c>
      <c r="AR58" s="24" t="inlineStr">
        <is>
          <t>Maya Joint</t>
        </is>
      </c>
      <c r="AS58" s="24" t="inlineStr">
        <is>
          <t>Kristina Liutova</t>
        </is>
      </c>
      <c r="AT58" s="24" t="inlineStr">
        <is>
          <t>Kristina Liutova</t>
        </is>
      </c>
      <c r="AU58" s="24" t="inlineStr">
        <is>
          <t>Kristina Liutova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research</t>
        </is>
      </c>
      <c r="BA58" s="24" t="inlineStr">
        <is>
          <t>73429bd71f12304106b9ffb751bd50617d5109d487f00de7ae2732f60e779590</t>
        </is>
      </c>
      <c r="BB58" s="24" t="inlineStr">
        <is>
          <t>surface_blended_elo</t>
        </is>
      </c>
      <c r="BC58" s="24" t="inlineStr">
        <is>
          <t>tennis-surface-elo-v1</t>
        </is>
      </c>
      <c r="BD58" s="24" t="inlineStr">
        <is>
          <t>73429bd71f12304106b9ffb751bd50617d5109d487f00de7ae2732f60e779590</t>
        </is>
      </c>
      <c r="BE58" s="24" t="inlineStr">
        <is>
          <t>tennis-surface-elo-v1</t>
        </is>
      </c>
      <c r="BF58" s="24" t="inlineStr">
        <is>
          <t>1</t>
        </is>
      </c>
      <c r="BG58" s="24" t="inlineStr">
        <is>
          <t>73429bd71f12304106b9ffb751bd50617d5109d487f00de7ae2732f60e779590</t>
        </is>
      </c>
      <c r="BH58" s="24" t="inlineStr">
        <is>
          <t>2026-07-30T13:31:49.488352Z</t>
        </is>
      </c>
      <c r="BI58" s="24" t="inlineStr">
        <is>
          <t>["same_event","same_team_same_day","same_league_same_day"]</t>
        </is>
      </c>
      <c r="BJ58" s="25" t="n"/>
      <c r="BK58" s="26" t="n">
        <v>-150</v>
      </c>
      <c r="BL58" s="27" t="n">
        <v>1.666667</v>
      </c>
      <c r="BM58" s="28" t="n">
        <v>0.6</v>
      </c>
      <c r="BN58" s="28" t="n"/>
      <c r="BO58" s="28" t="n"/>
      <c r="BP58" s="25" t="n"/>
      <c r="BQ58" s="27" t="n"/>
      <c r="BR58" s="28" t="n"/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</row>
    <row r="59" ht="36" customHeight="1">
      <c r="A59" s="24" t="inlineStr">
        <is>
          <t>ac191e99e8dd4155</t>
        </is>
      </c>
      <c r="B59" s="24" t="inlineStr">
        <is>
          <t>2026-07-30T13:33:53.663155Z</t>
        </is>
      </c>
      <c r="C59" s="24" t="inlineStr">
        <is>
          <t>2026-07-30T14:00Z</t>
        </is>
      </c>
      <c r="D59" s="24" t="inlineStr">
        <is>
          <t>1073-2026:179601</t>
        </is>
      </c>
      <c r="E59" s="24" t="inlineStr">
        <is>
          <t>TENNIS</t>
        </is>
      </c>
      <c r="F59" s="24" t="inlineStr">
        <is>
          <t>Lucia Bronzetti</t>
        </is>
      </c>
      <c r="G59" s="24" t="inlineStr">
        <is>
          <t>Alevtina Ibragimova</t>
        </is>
      </c>
      <c r="H59" s="24" t="inlineStr">
        <is>
          <t>moneyline</t>
        </is>
      </c>
      <c r="I59" s="24" t="inlineStr">
        <is>
          <t>away</t>
        </is>
      </c>
      <c r="J59" s="25" t="n"/>
      <c r="K59" s="24" t="inlineStr">
        <is>
          <t>polymarket_us</t>
        </is>
      </c>
      <c r="L59" s="26" t="n">
        <v>-186</v>
      </c>
      <c r="M59" s="27" t="n">
        <v>1.537634</v>
      </c>
      <c r="N59" s="28" t="n">
        <v>0.65035</v>
      </c>
      <c r="O59" s="28" t="n">
        <v>0.579964</v>
      </c>
      <c r="P59" s="28" t="n">
        <v>0.05</v>
      </c>
      <c r="Q59" s="28" t="n">
        <v>-0.070386</v>
      </c>
      <c r="R59" s="26" t="n">
        <v>0</v>
      </c>
      <c r="S59" s="29" t="n">
        <v>1.25</v>
      </c>
      <c r="T59" s="24" t="inlineStr">
        <is>
          <t>tennis-surface-elo-v1</t>
        </is>
      </c>
      <c r="U59" s="24" t="inlineStr">
        <is>
          <t>settled</t>
        </is>
      </c>
      <c r="V59" s="24" t="inlineStr">
        <is>
          <t>win</t>
        </is>
      </c>
      <c r="W59" s="26" t="n">
        <v>1</v>
      </c>
      <c r="X59" s="26" t="n">
        <v>0</v>
      </c>
      <c r="Y59" s="25" t="n"/>
      <c r="Z59" s="26" t="n"/>
      <c r="AA59" s="28" t="n"/>
      <c r="AB59" s="28" t="n"/>
      <c r="AC59" s="30" t="n">
        <v>0.672</v>
      </c>
      <c r="AD59" s="24" t="inlineStr">
        <is>
          <t>2026-07-30T16:36:51.092247Z</t>
        </is>
      </c>
      <c r="AE59" s="31" t="inlineStr">
        <is>
          <t>Surface-blended Elo on Hard: Lucia Bronzetti p=0.580 vs Alevtina Ibragimova. Executable ask 0.6500 (aec-wta-aleibr-lucbro-2026-07-29).</t>
        </is>
      </c>
      <c r="AF59" s="31" t="inlineStr">
        <is>
          <t>Research-only surface-blended Elo model; singles only, WTA-only market coverage, not yet locked-holdout qualified.</t>
        </is>
      </c>
      <c r="AG59" s="24" t="inlineStr">
        <is>
          <t>not_applicable</t>
        </is>
      </c>
      <c r="AH59" s="24" t="n"/>
      <c r="AI59" s="31" t="n"/>
      <c r="AJ59" s="31" t="n"/>
      <c r="AK59" s="24" t="inlineStr">
        <is>
          <t>research_observation</t>
        </is>
      </c>
      <c r="AL59" s="26" t="n">
        <v>3</v>
      </c>
      <c r="AM59" s="24" t="inlineStr">
        <is>
          <t>RESEARCH_OBSERVATION</t>
        </is>
      </c>
      <c r="AN59" s="24" t="inlineStr">
        <is>
          <t>NO_CALL</t>
        </is>
      </c>
      <c r="AO59" s="24" t="inlineStr">
        <is>
          <t>NO_CALL_MODEL_UNVALIDATED</t>
        </is>
      </c>
      <c r="AP59" s="24" t="inlineStr">
        <is>
          <t>Lucia Bronzetti</t>
        </is>
      </c>
      <c r="AQ59" s="24" t="inlineStr">
        <is>
          <t>Lucia Bronzetti</t>
        </is>
      </c>
      <c r="AR59" s="24" t="inlineStr">
        <is>
          <t>Lucia Bronzetti</t>
        </is>
      </c>
      <c r="AS59" s="24" t="inlineStr">
        <is>
          <t>Alevtina Ibragimova</t>
        </is>
      </c>
      <c r="AT59" s="24" t="inlineStr">
        <is>
          <t>Alevtina Ibragimova</t>
        </is>
      </c>
      <c r="AU59" s="24" t="inlineStr">
        <is>
          <t>Alevtina Ibragimova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research</t>
        </is>
      </c>
      <c r="BA59" s="24" t="inlineStr">
        <is>
          <t>73429bd71f12304106b9ffb751bd50617d5109d487f00de7ae2732f60e779590</t>
        </is>
      </c>
      <c r="BB59" s="24" t="inlineStr">
        <is>
          <t>surface_blended_elo</t>
        </is>
      </c>
      <c r="BC59" s="24" t="inlineStr">
        <is>
          <t>tennis-surface-elo-v1</t>
        </is>
      </c>
      <c r="BD59" s="24" t="inlineStr">
        <is>
          <t>73429bd71f12304106b9ffb751bd50617d5109d487f00de7ae2732f60e779590</t>
        </is>
      </c>
      <c r="BE59" s="24" t="inlineStr">
        <is>
          <t>tennis-surface-elo-v1</t>
        </is>
      </c>
      <c r="BF59" s="24" t="inlineStr">
        <is>
          <t>1</t>
        </is>
      </c>
      <c r="BG59" s="24" t="inlineStr">
        <is>
          <t>73429bd71f12304106b9ffb751bd50617d5109d487f00de7ae2732f60e779590</t>
        </is>
      </c>
      <c r="BH59" s="24" t="inlineStr">
        <is>
          <t>2026-07-30T13:31:49.448060Z</t>
        </is>
      </c>
      <c r="BI59" s="24" t="inlineStr">
        <is>
          <t>["same_event","same_team_same_day","same_league_same_day"]</t>
        </is>
      </c>
      <c r="BJ59" s="25" t="n"/>
      <c r="BK59" s="26" t="n">
        <v>-186</v>
      </c>
      <c r="BL59" s="27" t="n">
        <v>1.537634</v>
      </c>
      <c r="BM59" s="28" t="n">
        <v>0.65035</v>
      </c>
      <c r="BN59" s="28" t="n"/>
      <c r="BO59" s="28" t="n"/>
      <c r="BP59" s="25" t="n"/>
      <c r="BQ59" s="27" t="n"/>
      <c r="BR59" s="28" t="n"/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</row>
    <row r="60" ht="36" customHeight="1">
      <c r="A60" s="24" t="inlineStr">
        <is>
          <t>6d53fafea44848d1</t>
        </is>
      </c>
      <c r="B60" s="24" t="inlineStr">
        <is>
          <t>2026-07-30T16:53:01.133141Z</t>
        </is>
      </c>
      <c r="C60" s="24" t="inlineStr">
        <is>
          <t>2026-07-30T17:00Z</t>
        </is>
      </c>
      <c r="D60" s="24" t="inlineStr">
        <is>
          <t>888-2026:179021</t>
        </is>
      </c>
      <c r="E60" s="24" t="inlineStr">
        <is>
          <t>TENNIS</t>
        </is>
      </c>
      <c r="F60" s="24" t="inlineStr">
        <is>
          <t>Anna Kalinskaya</t>
        </is>
      </c>
      <c r="G60" s="24" t="inlineStr">
        <is>
          <t>Janice Tjen</t>
        </is>
      </c>
      <c r="H60" s="24" t="inlineStr">
        <is>
          <t>moneyline</t>
        </is>
      </c>
      <c r="I60" s="24" t="inlineStr">
        <is>
          <t>away</t>
        </is>
      </c>
      <c r="J60" s="25" t="n"/>
      <c r="K60" s="24" t="inlineStr">
        <is>
          <t>polymarket_us</t>
        </is>
      </c>
      <c r="L60" s="26" t="n">
        <v>-257</v>
      </c>
      <c r="M60" s="27" t="n">
        <v>1.389105</v>
      </c>
      <c r="N60" s="28" t="n">
        <v>0.719888</v>
      </c>
      <c r="O60" s="28" t="n">
        <v>0.711749</v>
      </c>
      <c r="P60" s="28" t="n">
        <v>0.05</v>
      </c>
      <c r="Q60" s="28" t="n">
        <v>-0.008139</v>
      </c>
      <c r="R60" s="26" t="n">
        <v>16</v>
      </c>
      <c r="S60" s="29" t="n">
        <v>2</v>
      </c>
      <c r="T60" s="24" t="inlineStr">
        <is>
          <t>tennis-surface-elo-v1</t>
        </is>
      </c>
      <c r="U60" s="24" t="inlineStr">
        <is>
          <t>settled</t>
        </is>
      </c>
      <c r="V60" s="24" t="inlineStr">
        <is>
          <t>win</t>
        </is>
      </c>
      <c r="W60" s="26" t="n">
        <v>1</v>
      </c>
      <c r="X60" s="26" t="n">
        <v>0</v>
      </c>
      <c r="Y60" s="25" t="n"/>
      <c r="Z60" s="26" t="n"/>
      <c r="AA60" s="28" t="n"/>
      <c r="AB60" s="28" t="n"/>
      <c r="AC60" s="30" t="n">
        <v>0.7782</v>
      </c>
      <c r="AD60" s="24" t="inlineStr">
        <is>
          <t>2026-07-30T21:06:27.521597Z</t>
        </is>
      </c>
      <c r="AE60" s="31" t="inlineStr">
        <is>
          <t>Surface-blended Elo on Hard: Anna Kalinskaya p=0.712 vs Janice Tjen. Executable ask 0.7200 (aec-wta-jantje-annkal-2026-07-29).</t>
        </is>
      </c>
      <c r="AF60" s="31" t="inlineStr">
        <is>
          <t>Research-only surface-blended Elo model; singles only, WTA-only market coverage, not yet locked-holdout qualified.</t>
        </is>
      </c>
      <c r="AG60" s="24" t="inlineStr">
        <is>
          <t>not_applicable</t>
        </is>
      </c>
      <c r="AH60" s="24" t="n"/>
      <c r="AI60" s="31" t="n"/>
      <c r="AJ60" s="31" t="n"/>
      <c r="AK60" s="24" t="inlineStr">
        <is>
          <t>research_observation</t>
        </is>
      </c>
      <c r="AL60" s="26" t="n">
        <v>3</v>
      </c>
      <c r="AM60" s="24" t="inlineStr">
        <is>
          <t>RESEARCH_OBSERVATION</t>
        </is>
      </c>
      <c r="AN60" s="24" t="inlineStr">
        <is>
          <t>NO_CALL</t>
        </is>
      </c>
      <c r="AO60" s="24" t="inlineStr">
        <is>
          <t>NO_CALL_MODEL_UNVALIDATED</t>
        </is>
      </c>
      <c r="AP60" s="24" t="inlineStr">
        <is>
          <t>Anna Kalinskaya</t>
        </is>
      </c>
      <c r="AQ60" s="24" t="inlineStr">
        <is>
          <t>Anna Kalinskaya</t>
        </is>
      </c>
      <c r="AR60" s="24" t="inlineStr">
        <is>
          <t>Anna Kalinskaya</t>
        </is>
      </c>
      <c r="AS60" s="24" t="inlineStr">
        <is>
          <t>Janice Tjen</t>
        </is>
      </c>
      <c r="AT60" s="24" t="inlineStr">
        <is>
          <t>Janice Tjen</t>
        </is>
      </c>
      <c r="AU60" s="24" t="inlineStr">
        <is>
          <t>Janice Tjen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research</t>
        </is>
      </c>
      <c r="BA60" s="24" t="inlineStr">
        <is>
          <t>73429bd71f12304106b9ffb751bd50617d5109d487f00de7ae2732f60e779590</t>
        </is>
      </c>
      <c r="BB60" s="24" t="inlineStr">
        <is>
          <t>surface_blended_elo</t>
        </is>
      </c>
      <c r="BC60" s="24" t="inlineStr">
        <is>
          <t>tennis-surface-elo-v1</t>
        </is>
      </c>
      <c r="BD60" s="24" t="inlineStr">
        <is>
          <t>73429bd71f12304106b9ffb751bd50617d5109d487f00de7ae2732f60e779590</t>
        </is>
      </c>
      <c r="BE60" s="24" t="inlineStr">
        <is>
          <t>tennis-surface-elo-v1</t>
        </is>
      </c>
      <c r="BF60" s="24" t="inlineStr">
        <is>
          <t>1</t>
        </is>
      </c>
      <c r="BG60" s="24" t="inlineStr">
        <is>
          <t>73429bd71f12304106b9ffb751bd50617d5109d487f00de7ae2732f60e779590</t>
        </is>
      </c>
      <c r="BH60" s="24" t="inlineStr">
        <is>
          <t>2026-07-30T16:50:51.570342Z</t>
        </is>
      </c>
      <c r="BI60" s="24" t="inlineStr">
        <is>
          <t>["same_event","same_team_same_day","same_league_same_day"]</t>
        </is>
      </c>
      <c r="BJ60" s="25" t="n"/>
      <c r="BK60" s="26" t="n">
        <v>-257</v>
      </c>
      <c r="BL60" s="27" t="n">
        <v>1.389105</v>
      </c>
      <c r="BM60" s="28" t="n">
        <v>0.719888</v>
      </c>
      <c r="BN60" s="28" t="n"/>
      <c r="BO60" s="28" t="n"/>
      <c r="BP60" s="25" t="n"/>
      <c r="BQ60" s="27" t="n"/>
      <c r="BR60" s="28" t="n"/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</row>
    <row r="61" ht="36" customHeight="1">
      <c r="A61" s="24" t="inlineStr">
        <is>
          <t>7c0cf703c2d9484e</t>
        </is>
      </c>
      <c r="B61" s="24" t="inlineStr">
        <is>
          <t>2026-07-30T17:37:43.528029Z</t>
        </is>
      </c>
      <c r="C61" s="24" t="inlineStr">
        <is>
          <t>2026-07-30T18:30Z</t>
        </is>
      </c>
      <c r="D61" s="24" t="inlineStr">
        <is>
          <t>875-2026:179558</t>
        </is>
      </c>
      <c r="E61" s="24" t="inlineStr">
        <is>
          <t>TENNIS</t>
        </is>
      </c>
      <c r="F61" s="24" t="inlineStr">
        <is>
          <t>Himeno Sakatsume</t>
        </is>
      </c>
      <c r="G61" s="24" t="inlineStr">
        <is>
          <t>Mai Hontama</t>
        </is>
      </c>
      <c r="H61" s="24" t="inlineStr">
        <is>
          <t>moneyline</t>
        </is>
      </c>
      <c r="I61" s="24" t="inlineStr">
        <is>
          <t>away</t>
        </is>
      </c>
      <c r="J61" s="25" t="n"/>
      <c r="K61" s="24" t="inlineStr">
        <is>
          <t>polymarket_us</t>
        </is>
      </c>
      <c r="L61" s="26" t="n">
        <v>113</v>
      </c>
      <c r="M61" s="27" t="n">
        <v>2.13</v>
      </c>
      <c r="N61" s="28" t="n">
        <v>0.469484</v>
      </c>
      <c r="O61" s="28" t="n">
        <v>0.5652740000000001</v>
      </c>
      <c r="P61" s="28" t="n">
        <v>0.05</v>
      </c>
      <c r="Q61" s="28" t="n">
        <v>0.09579</v>
      </c>
      <c r="R61" s="26" t="n">
        <v>68</v>
      </c>
      <c r="S61" s="29" t="n">
        <v>1</v>
      </c>
      <c r="T61" s="24" t="inlineStr">
        <is>
          <t>tennis-surface-elo-v1</t>
        </is>
      </c>
      <c r="U61" s="24" t="inlineStr">
        <is>
          <t>settled</t>
        </is>
      </c>
      <c r="V61" s="24" t="inlineStr">
        <is>
          <t>loss</t>
        </is>
      </c>
      <c r="W61" s="26" t="n">
        <v>0</v>
      </c>
      <c r="X61" s="26" t="n">
        <v>1</v>
      </c>
      <c r="Y61" s="25" t="n"/>
      <c r="Z61" s="26" t="n"/>
      <c r="AA61" s="28" t="n"/>
      <c r="AB61" s="28" t="n"/>
      <c r="AC61" s="30" t="n">
        <v>-1</v>
      </c>
      <c r="AD61" s="24" t="inlineStr">
        <is>
          <t>2026-07-30T21:06:27.713325Z</t>
        </is>
      </c>
      <c r="AE61" s="31" t="inlineStr">
        <is>
          <t>Surface-blended Elo on Hard: Himeno Sakatsume p=0.565 vs Mai Hontama. Executable ask 0.4700 (aec-wta-maihon-himsak-2026-07-31).</t>
        </is>
      </c>
      <c r="AF61" s="31" t="inlineStr">
        <is>
          <t>Research-only surface-blended Elo model; singles only, WTA-only market coverage, not yet locked-holdout qualified.</t>
        </is>
      </c>
      <c r="AG61" s="24" t="inlineStr">
        <is>
          <t>review_required</t>
        </is>
      </c>
      <c r="AH61" s="24" t="n"/>
      <c r="AI61" s="31" t="n"/>
      <c r="AJ61" s="31" t="n"/>
      <c r="AK61" s="24" t="inlineStr">
        <is>
          <t>research_observation</t>
        </is>
      </c>
      <c r="AL61" s="26" t="n">
        <v>3</v>
      </c>
      <c r="AM61" s="24" t="inlineStr">
        <is>
          <t>RESEARCH_OBSERVATION</t>
        </is>
      </c>
      <c r="AN61" s="24" t="inlineStr">
        <is>
          <t>NO_CALL</t>
        </is>
      </c>
      <c r="AO61" s="24" t="inlineStr">
        <is>
          <t>NO_CALL_MODEL_UNVALIDATED</t>
        </is>
      </c>
      <c r="AP61" s="24" t="inlineStr">
        <is>
          <t>Himeno Sakatsume</t>
        </is>
      </c>
      <c r="AQ61" s="24" t="inlineStr">
        <is>
          <t>Himeno Sakatsume</t>
        </is>
      </c>
      <c r="AR61" s="24" t="inlineStr">
        <is>
          <t>Himeno Sakatsume</t>
        </is>
      </c>
      <c r="AS61" s="24" t="inlineStr">
        <is>
          <t>Mai Hontama</t>
        </is>
      </c>
      <c r="AT61" s="24" t="inlineStr">
        <is>
          <t>Mai Hontama</t>
        </is>
      </c>
      <c r="AU61" s="24" t="inlineStr">
        <is>
          <t>Mai Hontama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research</t>
        </is>
      </c>
      <c r="BA61" s="24" t="inlineStr">
        <is>
          <t>73429bd71f12304106b9ffb751bd50617d5109d487f00de7ae2732f60e779590</t>
        </is>
      </c>
      <c r="BB61" s="24" t="inlineStr">
        <is>
          <t>surface_blended_elo</t>
        </is>
      </c>
      <c r="BC61" s="24" t="inlineStr">
        <is>
          <t>tennis-surface-elo-v1</t>
        </is>
      </c>
      <c r="BD61" s="24" t="inlineStr">
        <is>
          <t>73429bd71f12304106b9ffb751bd50617d5109d487f00de7ae2732f60e779590</t>
        </is>
      </c>
      <c r="BE61" s="24" t="inlineStr">
        <is>
          <t>tennis-surface-elo-v1</t>
        </is>
      </c>
      <c r="BF61" s="24" t="inlineStr">
        <is>
          <t>1</t>
        </is>
      </c>
      <c r="BG61" s="24" t="inlineStr">
        <is>
          <t>73429bd71f12304106b9ffb751bd50617d5109d487f00de7ae2732f60e779590</t>
        </is>
      </c>
      <c r="BH61" s="24" t="inlineStr">
        <is>
          <t>2026-07-30T17:35:52.310964Z</t>
        </is>
      </c>
      <c r="BI61" s="24" t="inlineStr">
        <is>
          <t>["same_event","same_team_same_day","same_league_same_day"]</t>
        </is>
      </c>
      <c r="BJ61" s="25" t="n"/>
      <c r="BK61" s="26" t="n">
        <v>113</v>
      </c>
      <c r="BL61" s="27" t="n">
        <v>2.13</v>
      </c>
      <c r="BM61" s="28" t="n">
        <v>0.469484</v>
      </c>
      <c r="BN61" s="28" t="n"/>
      <c r="BO61" s="28" t="n"/>
      <c r="BP61" s="25" t="n"/>
      <c r="BQ61" s="27" t="n"/>
      <c r="BR61" s="28" t="n"/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</row>
    <row r="62" ht="36" customHeight="1">
      <c r="A62" s="24" t="inlineStr">
        <is>
          <t>f437f6de19cd4aed</t>
        </is>
      </c>
      <c r="B62" s="24" t="inlineStr">
        <is>
          <t>2026-07-30T17:37:43.528029Z</t>
        </is>
      </c>
      <c r="C62" s="24" t="inlineStr">
        <is>
          <t>2026-07-30T18:30Z</t>
        </is>
      </c>
      <c r="D62" s="24" t="inlineStr">
        <is>
          <t>875-2026:179559</t>
        </is>
      </c>
      <c r="E62" s="24" t="inlineStr">
        <is>
          <t>TENNIS</t>
        </is>
      </c>
      <c r="F62" s="24" t="inlineStr">
        <is>
          <t>Maddison Inglis</t>
        </is>
      </c>
      <c r="G62" s="24" t="inlineStr">
        <is>
          <t>Moyuka Uchijima</t>
        </is>
      </c>
      <c r="H62" s="24" t="inlineStr">
        <is>
          <t>moneyline</t>
        </is>
      </c>
      <c r="I62" s="24" t="inlineStr">
        <is>
          <t>home</t>
        </is>
      </c>
      <c r="J62" s="25" t="n"/>
      <c r="K62" s="24" t="inlineStr">
        <is>
          <t>polymarket_us</t>
        </is>
      </c>
      <c r="L62" s="26" t="n">
        <v>-138</v>
      </c>
      <c r="M62" s="27" t="n">
        <v>1.724638</v>
      </c>
      <c r="N62" s="28" t="n">
        <v>0.579832</v>
      </c>
      <c r="O62" s="28" t="n">
        <v>0.555657</v>
      </c>
      <c r="P62" s="28" t="n">
        <v>0.05</v>
      </c>
      <c r="Q62" s="28" t="n">
        <v>-0.024175</v>
      </c>
      <c r="R62" s="26" t="n">
        <v>8</v>
      </c>
      <c r="S62" s="29" t="n">
        <v>1</v>
      </c>
      <c r="T62" s="24" t="inlineStr">
        <is>
          <t>tennis-surface-elo-v1</t>
        </is>
      </c>
      <c r="U62" s="24" t="inlineStr">
        <is>
          <t>settled</t>
        </is>
      </c>
      <c r="V62" s="24" t="inlineStr">
        <is>
          <t>loss</t>
        </is>
      </c>
      <c r="W62" s="26" t="n">
        <v>1</v>
      </c>
      <c r="X62" s="26" t="n">
        <v>0</v>
      </c>
      <c r="Y62" s="25" t="n"/>
      <c r="Z62" s="26" t="n"/>
      <c r="AA62" s="28" t="n"/>
      <c r="AB62" s="28" t="n"/>
      <c r="AC62" s="30" t="n">
        <v>-1</v>
      </c>
      <c r="AD62" s="24" t="inlineStr">
        <is>
          <t>2026-07-30T21:06:27.904521Z</t>
        </is>
      </c>
      <c r="AE62" s="31" t="inlineStr">
        <is>
          <t>Surface-blended Elo on Hard: Maddison Inglis p=0.444 vs Moyuka Uchijima. Executable ask 0.5800 (aec-wta-moyuch-mading-2026-07-30).</t>
        </is>
      </c>
      <c r="AF62" s="31" t="inlineStr">
        <is>
          <t>Research-only surface-blended Elo model; singles only, WTA-only market coverage, not yet locked-holdout qualified.</t>
        </is>
      </c>
      <c r="AG62" s="24" t="inlineStr">
        <is>
          <t>review_required</t>
        </is>
      </c>
      <c r="AH62" s="24" t="n"/>
      <c r="AI62" s="31" t="n"/>
      <c r="AJ62" s="31" t="n"/>
      <c r="AK62" s="24" t="inlineStr">
        <is>
          <t>research_observation</t>
        </is>
      </c>
      <c r="AL62" s="26" t="n">
        <v>3</v>
      </c>
      <c r="AM62" s="24" t="inlineStr">
        <is>
          <t>RESEARCH_OBSERVATION</t>
        </is>
      </c>
      <c r="AN62" s="24" t="inlineStr">
        <is>
          <t>NO_CALL</t>
        </is>
      </c>
      <c r="AO62" s="24" t="inlineStr">
        <is>
          <t>NO_CALL_MODEL_UNVALIDATED</t>
        </is>
      </c>
      <c r="AP62" s="24" t="inlineStr">
        <is>
          <t>Maddison Inglis</t>
        </is>
      </c>
      <c r="AQ62" s="24" t="inlineStr">
        <is>
          <t>Maddison Inglis</t>
        </is>
      </c>
      <c r="AR62" s="24" t="inlineStr">
        <is>
          <t>Maddison Inglis</t>
        </is>
      </c>
      <c r="AS62" s="24" t="inlineStr">
        <is>
          <t>Moyuka Uchijima</t>
        </is>
      </c>
      <c r="AT62" s="24" t="inlineStr">
        <is>
          <t>Moyuka Uchijima</t>
        </is>
      </c>
      <c r="AU62" s="24" t="inlineStr">
        <is>
          <t>Moyuka Uchijima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research</t>
        </is>
      </c>
      <c r="BA62" s="24" t="inlineStr">
        <is>
          <t>73429bd71f12304106b9ffb751bd50617d5109d487f00de7ae2732f60e779590</t>
        </is>
      </c>
      <c r="BB62" s="24" t="inlineStr">
        <is>
          <t>surface_blended_elo</t>
        </is>
      </c>
      <c r="BC62" s="24" t="inlineStr">
        <is>
          <t>tennis-surface-elo-v1</t>
        </is>
      </c>
      <c r="BD62" s="24" t="inlineStr">
        <is>
          <t>73429bd71f12304106b9ffb751bd50617d5109d487f00de7ae2732f60e779590</t>
        </is>
      </c>
      <c r="BE62" s="24" t="inlineStr">
        <is>
          <t>tennis-surface-elo-v1</t>
        </is>
      </c>
      <c r="BF62" s="24" t="inlineStr">
        <is>
          <t>1</t>
        </is>
      </c>
      <c r="BG62" s="24" t="inlineStr">
        <is>
          <t>73429bd71f12304106b9ffb751bd50617d5109d487f00de7ae2732f60e779590</t>
        </is>
      </c>
      <c r="BH62" s="24" t="inlineStr">
        <is>
          <t>2026-07-30T17:35:52.319608Z</t>
        </is>
      </c>
      <c r="BI62" s="24" t="inlineStr">
        <is>
          <t>["same_event","same_team_same_day","same_league_same_day"]</t>
        </is>
      </c>
      <c r="BJ62" s="25" t="n"/>
      <c r="BK62" s="26" t="n">
        <v>-138</v>
      </c>
      <c r="BL62" s="27" t="n">
        <v>1.724638</v>
      </c>
      <c r="BM62" s="28" t="n">
        <v>0.579832</v>
      </c>
      <c r="BN62" s="28" t="n"/>
      <c r="BO62" s="28" t="n"/>
      <c r="BP62" s="25" t="n"/>
      <c r="BQ62" s="27" t="n"/>
      <c r="BR62" s="28" t="n"/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</row>
    <row r="63" ht="36" customHeight="1">
      <c r="A63" s="24" t="inlineStr">
        <is>
          <t>c7d10b6b4dac4a9a</t>
        </is>
      </c>
      <c r="B63" s="24" t="inlineStr">
        <is>
          <t>2026-07-30T17:37:43.528029Z</t>
        </is>
      </c>
      <c r="C63" s="24" t="inlineStr">
        <is>
          <t>2026-07-30T19:30Z</t>
        </is>
      </c>
      <c r="D63" s="24" t="inlineStr">
        <is>
          <t>875-2026:179557</t>
        </is>
      </c>
      <c r="E63" s="24" t="inlineStr">
        <is>
          <t>TENNIS</t>
        </is>
      </c>
      <c r="F63" s="24" t="inlineStr">
        <is>
          <t>Taylah Preston</t>
        </is>
      </c>
      <c r="G63" s="24" t="inlineStr">
        <is>
          <t>Harriet Dart</t>
        </is>
      </c>
      <c r="H63" s="24" t="inlineStr">
        <is>
          <t>moneyline</t>
        </is>
      </c>
      <c r="I63" s="24" t="inlineStr">
        <is>
          <t>away</t>
        </is>
      </c>
      <c r="J63" s="25" t="n"/>
      <c r="K63" s="24" t="inlineStr">
        <is>
          <t>polymarket_us</t>
        </is>
      </c>
      <c r="L63" s="26" t="n">
        <v>-117</v>
      </c>
      <c r="M63" s="27" t="n">
        <v>1.854701</v>
      </c>
      <c r="N63" s="28" t="n">
        <v>0.539171</v>
      </c>
      <c r="O63" s="28" t="n">
        <v>0.532721</v>
      </c>
      <c r="P63" s="28" t="n">
        <v>0.05</v>
      </c>
      <c r="Q63" s="28" t="n">
        <v>-0.00645</v>
      </c>
      <c r="R63" s="26" t="n">
        <v>17</v>
      </c>
      <c r="S63" s="29" t="n">
        <v>1</v>
      </c>
      <c r="T63" s="24" t="inlineStr">
        <is>
          <t>tennis-surface-elo-v1</t>
        </is>
      </c>
      <c r="U63" s="24" t="inlineStr">
        <is>
          <t>settled</t>
        </is>
      </c>
      <c r="V63" s="24" t="inlineStr">
        <is>
          <t>win</t>
        </is>
      </c>
      <c r="W63" s="26" t="n">
        <v>1</v>
      </c>
      <c r="X63" s="26" t="n">
        <v>0</v>
      </c>
      <c r="Y63" s="25" t="n"/>
      <c r="Z63" s="26" t="n"/>
      <c r="AA63" s="28" t="n"/>
      <c r="AB63" s="28" t="n"/>
      <c r="AC63" s="30" t="n">
        <v>0.8547</v>
      </c>
      <c r="AD63" s="24" t="inlineStr">
        <is>
          <t>2026-07-31T00:55:25.037636Z</t>
        </is>
      </c>
      <c r="AE63" s="31" t="inlineStr">
        <is>
          <t>Surface-blended Elo on Hard: Taylah Preston p=0.533 vs Harriet Dart. Executable ask 0.5400 (aec-wta-hardar-taypre-2026-07-31).</t>
        </is>
      </c>
      <c r="AF63" s="31" t="inlineStr">
        <is>
          <t>Research-only surface-blended Elo model; singles only, WTA-only market coverage, not yet locked-holdout qualified.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research_observation</t>
        </is>
      </c>
      <c r="AL63" s="26" t="n">
        <v>3</v>
      </c>
      <c r="AM63" s="24" t="inlineStr">
        <is>
          <t>RESEARCH_OBSERVATION</t>
        </is>
      </c>
      <c r="AN63" s="24" t="inlineStr">
        <is>
          <t>NO_CALL</t>
        </is>
      </c>
      <c r="AO63" s="24" t="inlineStr">
        <is>
          <t>NO_CALL_MODEL_UNVALIDATED</t>
        </is>
      </c>
      <c r="AP63" s="24" t="inlineStr">
        <is>
          <t>Taylah Preston</t>
        </is>
      </c>
      <c r="AQ63" s="24" t="inlineStr">
        <is>
          <t>Taylah Preston</t>
        </is>
      </c>
      <c r="AR63" s="24" t="inlineStr">
        <is>
          <t>Taylah Preston</t>
        </is>
      </c>
      <c r="AS63" s="24" t="inlineStr">
        <is>
          <t>Harriet Dart</t>
        </is>
      </c>
      <c r="AT63" s="24" t="inlineStr">
        <is>
          <t>Harriet Dart</t>
        </is>
      </c>
      <c r="AU63" s="24" t="inlineStr">
        <is>
          <t>Harriet Dart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research</t>
        </is>
      </c>
      <c r="BA63" s="24" t="inlineStr">
        <is>
          <t>73429bd71f12304106b9ffb751bd50617d5109d487f00de7ae2732f60e779590</t>
        </is>
      </c>
      <c r="BB63" s="24" t="inlineStr">
        <is>
          <t>surface_blended_elo</t>
        </is>
      </c>
      <c r="BC63" s="24" t="inlineStr">
        <is>
          <t>tennis-surface-elo-v1</t>
        </is>
      </c>
      <c r="BD63" s="24" t="inlineStr">
        <is>
          <t>73429bd71f12304106b9ffb751bd50617d5109d487f00de7ae2732f60e779590</t>
        </is>
      </c>
      <c r="BE63" s="24" t="inlineStr">
        <is>
          <t>tennis-surface-elo-v1</t>
        </is>
      </c>
      <c r="BF63" s="24" t="inlineStr">
        <is>
          <t>1</t>
        </is>
      </c>
      <c r="BG63" s="24" t="inlineStr">
        <is>
          <t>73429bd71f12304106b9ffb751bd50617d5109d487f00de7ae2732f60e779590</t>
        </is>
      </c>
      <c r="BH63" s="24" t="inlineStr">
        <is>
          <t>2026-07-30T17:35:56.111877Z</t>
        </is>
      </c>
      <c r="BI63" s="24" t="inlineStr">
        <is>
          <t>["same_event","same_team_same_day","same_league_same_day"]</t>
        </is>
      </c>
      <c r="BJ63" s="25" t="n"/>
      <c r="BK63" s="26" t="n">
        <v>-117</v>
      </c>
      <c r="BL63" s="27" t="n">
        <v>1.854701</v>
      </c>
      <c r="BM63" s="28" t="n">
        <v>0.539171</v>
      </c>
      <c r="BN63" s="28" t="n"/>
      <c r="BO63" s="28" t="n"/>
      <c r="BP63" s="25" t="n"/>
      <c r="BQ63" s="27" t="n"/>
      <c r="BR63" s="28" t="n"/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</row>
    <row r="64" ht="36" customHeight="1">
      <c r="A64" s="24" t="inlineStr">
        <is>
          <t>c5ea892809844fc3</t>
        </is>
      </c>
      <c r="B64" s="24" t="inlineStr">
        <is>
          <t>2026-07-30T17:37:43.528029Z</t>
        </is>
      </c>
      <c r="C64" s="24" t="inlineStr">
        <is>
          <t>2026-07-30T19:00Z</t>
        </is>
      </c>
      <c r="D64" s="24" t="inlineStr">
        <is>
          <t>888-2026:179023</t>
        </is>
      </c>
      <c r="E64" s="24" t="inlineStr">
        <is>
          <t>TENNIS</t>
        </is>
      </c>
      <c r="F64" s="24" t="inlineStr">
        <is>
          <t>Magdalena Frech</t>
        </is>
      </c>
      <c r="G64" s="24" t="inlineStr">
        <is>
          <t>Jessica Pegula</t>
        </is>
      </c>
      <c r="H64" s="24" t="inlineStr">
        <is>
          <t>moneyline</t>
        </is>
      </c>
      <c r="I64" s="24" t="inlineStr">
        <is>
          <t>home</t>
        </is>
      </c>
      <c r="J64" s="25" t="n"/>
      <c r="K64" s="24" t="inlineStr">
        <is>
          <t>polymarket_us</t>
        </is>
      </c>
      <c r="L64" s="26" t="n">
        <v>-900</v>
      </c>
      <c r="M64" s="27" t="n">
        <v>1.111111</v>
      </c>
      <c r="N64" s="28" t="n">
        <v>0.9</v>
      </c>
      <c r="O64" s="28" t="n">
        <v>0.9137729999999999</v>
      </c>
      <c r="P64" s="28" t="n">
        <v>0.05</v>
      </c>
      <c r="Q64" s="28" t="n">
        <v>0.013773</v>
      </c>
      <c r="R64" s="26" t="n">
        <v>27</v>
      </c>
      <c r="S64" s="29" t="n">
        <v>2</v>
      </c>
      <c r="T64" s="24" t="inlineStr">
        <is>
          <t>tennis-surface-elo-v1</t>
        </is>
      </c>
      <c r="U64" s="24" t="inlineStr">
        <is>
          <t>settled</t>
        </is>
      </c>
      <c r="V64" s="24" t="inlineStr">
        <is>
          <t>win</t>
        </is>
      </c>
      <c r="W64" s="26" t="n">
        <v>0</v>
      </c>
      <c r="X64" s="26" t="n">
        <v>1</v>
      </c>
      <c r="Y64" s="25" t="n"/>
      <c r="Z64" s="26" t="n"/>
      <c r="AA64" s="28" t="n"/>
      <c r="AB64" s="28" t="n"/>
      <c r="AC64" s="30" t="n">
        <v>0.2222</v>
      </c>
      <c r="AD64" s="24" t="inlineStr">
        <is>
          <t>2026-07-31T00:55:25.228126Z</t>
        </is>
      </c>
      <c r="AE64" s="31" t="inlineStr">
        <is>
          <t>Surface-blended Elo on Hard: Magdalena Frech p=0.086 vs Jessica Pegula. Executable ask 0.9000 (aec-wta-jespeg-magfre-2026-07-30).</t>
        </is>
      </c>
      <c r="AF64" s="31" t="inlineStr">
        <is>
          <t>Research-only surface-blended Elo model; singles only, WTA-only market coverage, not yet locked-holdout qualified.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research_observation</t>
        </is>
      </c>
      <c r="AL64" s="26" t="n">
        <v>3</v>
      </c>
      <c r="AM64" s="24" t="inlineStr">
        <is>
          <t>RESEARCH_OBSERVATION</t>
        </is>
      </c>
      <c r="AN64" s="24" t="inlineStr">
        <is>
          <t>NO_CALL</t>
        </is>
      </c>
      <c r="AO64" s="24" t="inlineStr">
        <is>
          <t>NO_CALL_MODEL_UNVALIDATED</t>
        </is>
      </c>
      <c r="AP64" s="24" t="inlineStr">
        <is>
          <t>Magdalena Frech</t>
        </is>
      </c>
      <c r="AQ64" s="24" t="inlineStr">
        <is>
          <t>Magdalena Frech</t>
        </is>
      </c>
      <c r="AR64" s="24" t="inlineStr">
        <is>
          <t>Magdalena Frech</t>
        </is>
      </c>
      <c r="AS64" s="24" t="inlineStr">
        <is>
          <t>Jessica Pegula</t>
        </is>
      </c>
      <c r="AT64" s="24" t="inlineStr">
        <is>
          <t>Jessica Pegula</t>
        </is>
      </c>
      <c r="AU64" s="24" t="inlineStr">
        <is>
          <t>Jessica Pegula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research</t>
        </is>
      </c>
      <c r="BA64" s="24" t="inlineStr">
        <is>
          <t>73429bd71f12304106b9ffb751bd50617d5109d487f00de7ae2732f60e779590</t>
        </is>
      </c>
      <c r="BB64" s="24" t="inlineStr">
        <is>
          <t>surface_blended_elo</t>
        </is>
      </c>
      <c r="BC64" s="24" t="inlineStr">
        <is>
          <t>tennis-surface-elo-v1</t>
        </is>
      </c>
      <c r="BD64" s="24" t="inlineStr">
        <is>
          <t>73429bd71f12304106b9ffb751bd50617d5109d487f00de7ae2732f60e779590</t>
        </is>
      </c>
      <c r="BE64" s="24" t="inlineStr">
        <is>
          <t>tennis-surface-elo-v1</t>
        </is>
      </c>
      <c r="BF64" s="24" t="inlineStr">
        <is>
          <t>1</t>
        </is>
      </c>
      <c r="BG64" s="24" t="inlineStr">
        <is>
          <t>73429bd71f12304106b9ffb751bd50617d5109d487f00de7ae2732f60e779590</t>
        </is>
      </c>
      <c r="BH64" s="24" t="inlineStr">
        <is>
          <t>2026-07-30T17:35:52.888748Z</t>
        </is>
      </c>
      <c r="BI64" s="24" t="inlineStr">
        <is>
          <t>["same_event","same_team_same_day","same_league_same_day"]</t>
        </is>
      </c>
      <c r="BJ64" s="25" t="n"/>
      <c r="BK64" s="26" t="n">
        <v>-900</v>
      </c>
      <c r="BL64" s="27" t="n">
        <v>1.111111</v>
      </c>
      <c r="BM64" s="28" t="n">
        <v>0.9</v>
      </c>
      <c r="BN64" s="28" t="n"/>
      <c r="BO64" s="28" t="n"/>
      <c r="BP64" s="25" t="n"/>
      <c r="BQ64" s="27" t="n"/>
      <c r="BR64" s="28" t="n"/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</row>
    <row r="65" ht="36" customHeight="1">
      <c r="A65" s="24" t="inlineStr">
        <is>
          <t>f0a46e785b174dc0</t>
        </is>
      </c>
      <c r="B65" s="24" t="inlineStr">
        <is>
          <t>2026-07-30T17:37:43.528029Z</t>
        </is>
      </c>
      <c r="C65" s="24" t="inlineStr">
        <is>
          <t>2026-07-30T19:15Z</t>
        </is>
      </c>
      <c r="D65" s="24" t="inlineStr">
        <is>
          <t>1067-2026:179464</t>
        </is>
      </c>
      <c r="E65" s="24" t="inlineStr">
        <is>
          <t>TENNIS</t>
        </is>
      </c>
      <c r="F65" s="24" t="inlineStr">
        <is>
          <t>Peyton Stearns</t>
        </is>
      </c>
      <c r="G65" s="24" t="inlineStr">
        <is>
          <t>Tatiana Prozorova</t>
        </is>
      </c>
      <c r="H65" s="24" t="inlineStr">
        <is>
          <t>moneyline</t>
        </is>
      </c>
      <c r="I65" s="24" t="inlineStr">
        <is>
          <t>away</t>
        </is>
      </c>
      <c r="J65" s="25" t="n"/>
      <c r="K65" s="24" t="inlineStr">
        <is>
          <t>polymarket_us</t>
        </is>
      </c>
      <c r="L65" s="26" t="n">
        <v>-163</v>
      </c>
      <c r="M65" s="27" t="n">
        <v>1.613497</v>
      </c>
      <c r="N65" s="28" t="n">
        <v>0.619772</v>
      </c>
      <c r="O65" s="28" t="n">
        <v>0.519871</v>
      </c>
      <c r="P65" s="28" t="n">
        <v>0.05</v>
      </c>
      <c r="Q65" s="28" t="n">
        <v>-0.099901</v>
      </c>
      <c r="R65" s="26" t="n">
        <v>0</v>
      </c>
      <c r="S65" s="29" t="n">
        <v>1</v>
      </c>
      <c r="T65" s="24" t="inlineStr">
        <is>
          <t>tennis-surface-elo-v1</t>
        </is>
      </c>
      <c r="U65" s="24" t="inlineStr">
        <is>
          <t>settled</t>
        </is>
      </c>
      <c r="V65" s="24" t="inlineStr">
        <is>
          <t>win</t>
        </is>
      </c>
      <c r="W65" s="26" t="n">
        <v>1</v>
      </c>
      <c r="X65" s="26" t="n">
        <v>0</v>
      </c>
      <c r="Y65" s="25" t="n"/>
      <c r="Z65" s="26" t="n"/>
      <c r="AA65" s="28" t="n"/>
      <c r="AB65" s="28" t="n"/>
      <c r="AC65" s="30" t="n">
        <v>0.6135</v>
      </c>
      <c r="AD65" s="24" t="inlineStr">
        <is>
          <t>2026-07-31T00:55:25.417496Z</t>
        </is>
      </c>
      <c r="AE65" s="31" t="inlineStr">
        <is>
          <t>Surface-blended Elo on Hard: Peyton Stearns p=0.520 vs Tatiana Prozorova. Executable ask 0.6200 (aec-wta-tatpro-peyste-2026-07-30).</t>
        </is>
      </c>
      <c r="AF65" s="31" t="inlineStr">
        <is>
          <t>Research-only surface-blended Elo model; singles only, WTA-only market coverage, not yet locked-holdout qualified.</t>
        </is>
      </c>
      <c r="AG65" s="24" t="inlineStr">
        <is>
          <t>not_applicable</t>
        </is>
      </c>
      <c r="AH65" s="24" t="n"/>
      <c r="AI65" s="31" t="n"/>
      <c r="AJ65" s="31" t="n"/>
      <c r="AK65" s="24" t="inlineStr">
        <is>
          <t>research_observation</t>
        </is>
      </c>
      <c r="AL65" s="26" t="n">
        <v>3</v>
      </c>
      <c r="AM65" s="24" t="inlineStr">
        <is>
          <t>RESEARCH_OBSERVATION</t>
        </is>
      </c>
      <c r="AN65" s="24" t="inlineStr">
        <is>
          <t>NO_CALL</t>
        </is>
      </c>
      <c r="AO65" s="24" t="inlineStr">
        <is>
          <t>NO_CALL_MODEL_UNVALIDATED</t>
        </is>
      </c>
      <c r="AP65" s="24" t="inlineStr">
        <is>
          <t>Peyton Stearns</t>
        </is>
      </c>
      <c r="AQ65" s="24" t="inlineStr">
        <is>
          <t>Peyton Stearns</t>
        </is>
      </c>
      <c r="AR65" s="24" t="inlineStr">
        <is>
          <t>Peyton Stearns</t>
        </is>
      </c>
      <c r="AS65" s="24" t="inlineStr">
        <is>
          <t>Tatiana Prozorova</t>
        </is>
      </c>
      <c r="AT65" s="24" t="inlineStr">
        <is>
          <t>Tatiana Prozorova</t>
        </is>
      </c>
      <c r="AU65" s="24" t="inlineStr">
        <is>
          <t>Tatiana Prozorova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research</t>
        </is>
      </c>
      <c r="BA65" s="24" t="inlineStr">
        <is>
          <t>73429bd71f12304106b9ffb751bd50617d5109d487f00de7ae2732f60e779590</t>
        </is>
      </c>
      <c r="BB65" s="24" t="inlineStr">
        <is>
          <t>surface_blended_elo</t>
        </is>
      </c>
      <c r="BC65" s="24" t="inlineStr">
        <is>
          <t>tennis-surface-elo-v1</t>
        </is>
      </c>
      <c r="BD65" s="24" t="inlineStr">
        <is>
          <t>73429bd71f12304106b9ffb751bd50617d5109d487f00de7ae2732f60e779590</t>
        </is>
      </c>
      <c r="BE65" s="24" t="inlineStr">
        <is>
          <t>tennis-surface-elo-v1</t>
        </is>
      </c>
      <c r="BF65" s="24" t="inlineStr">
        <is>
          <t>1</t>
        </is>
      </c>
      <c r="BG65" s="24" t="inlineStr">
        <is>
          <t>73429bd71f12304106b9ffb751bd50617d5109d487f00de7ae2732f60e779590</t>
        </is>
      </c>
      <c r="BH65" s="24" t="inlineStr">
        <is>
          <t>2026-07-30T17:35:55.334191Z</t>
        </is>
      </c>
      <c r="BI65" s="24" t="inlineStr">
        <is>
          <t>["same_event","same_team_same_day","same_league_same_day"]</t>
        </is>
      </c>
      <c r="BJ65" s="25" t="n"/>
      <c r="BK65" s="26" t="n">
        <v>-163</v>
      </c>
      <c r="BL65" s="27" t="n">
        <v>1.613497</v>
      </c>
      <c r="BM65" s="28" t="n">
        <v>0.619772</v>
      </c>
      <c r="BN65" s="28" t="n"/>
      <c r="BO65" s="28" t="n"/>
      <c r="BP65" s="25" t="n"/>
      <c r="BQ65" s="27" t="n"/>
      <c r="BR65" s="28" t="n"/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</row>
    <row r="66" ht="36" customHeight="1">
      <c r="A66" s="24" t="inlineStr">
        <is>
          <t>3163b0526e8c4451</t>
        </is>
      </c>
      <c r="B66" s="24" t="inlineStr">
        <is>
          <t>2026-07-30T21:08:44.901049Z</t>
        </is>
      </c>
      <c r="C66" s="24" t="inlineStr">
        <is>
          <t>2026-07-31T00:00Z</t>
        </is>
      </c>
      <c r="D66" s="24" t="inlineStr">
        <is>
          <t>888-2026:179008</t>
        </is>
      </c>
      <c r="E66" s="24" t="inlineStr">
        <is>
          <t>TENNIS</t>
        </is>
      </c>
      <c r="F66" s="24" t="inlineStr">
        <is>
          <t>Elina Svitolina</t>
        </is>
      </c>
      <c r="G66" s="24" t="inlineStr">
        <is>
          <t>Polina Kudermetova</t>
        </is>
      </c>
      <c r="H66" s="24" t="inlineStr">
        <is>
          <t>moneyline</t>
        </is>
      </c>
      <c r="I66" s="24" t="inlineStr">
        <is>
          <t>away</t>
        </is>
      </c>
      <c r="J66" s="25" t="n"/>
      <c r="K66" s="24" t="inlineStr">
        <is>
          <t>polymarket_us</t>
        </is>
      </c>
      <c r="L66" s="26" t="n">
        <v>-488</v>
      </c>
      <c r="M66" s="27" t="n">
        <v>1.204918</v>
      </c>
      <c r="N66" s="28" t="n">
        <v>0.829932</v>
      </c>
      <c r="O66" s="28" t="n">
        <v>0.7868270000000001</v>
      </c>
      <c r="P66" s="28" t="n">
        <v>0.05</v>
      </c>
      <c r="Q66" s="28" t="n">
        <v>-0.043105</v>
      </c>
      <c r="R66" s="26" t="n">
        <v>0</v>
      </c>
      <c r="S66" s="29" t="n">
        <v>2</v>
      </c>
      <c r="T66" s="24" t="inlineStr">
        <is>
          <t>tennis-surface-elo-v1</t>
        </is>
      </c>
      <c r="U66" s="24" t="inlineStr">
        <is>
          <t>settled</t>
        </is>
      </c>
      <c r="V66" s="24" t="inlineStr">
        <is>
          <t>win</t>
        </is>
      </c>
      <c r="W66" s="26" t="n">
        <v>1</v>
      </c>
      <c r="X66" s="26" t="n">
        <v>0</v>
      </c>
      <c r="Y66" s="25" t="n"/>
      <c r="Z66" s="26" t="n"/>
      <c r="AA66" s="28" t="n"/>
      <c r="AB66" s="28" t="n"/>
      <c r="AC66" s="30" t="n">
        <v>0.4098</v>
      </c>
      <c r="AD66" s="24" t="inlineStr">
        <is>
          <t>2026-07-31T04:29:41.497334Z</t>
        </is>
      </c>
      <c r="AE66" s="31" t="inlineStr">
        <is>
          <t>Surface-blended Elo on Hard: Elina Svitolina p=0.787 vs Polina Kudermetova. Executable ask 0.8300 (aec-wta-polkud-elisvi-2026-07-29).</t>
        </is>
      </c>
      <c r="AF66" s="31" t="inlineStr">
        <is>
          <t>Research-only surface-blended Elo model; singles only, WTA-only market coverage, not yet locked-holdout qualified.</t>
        </is>
      </c>
      <c r="AG66" s="24" t="inlineStr">
        <is>
          <t>not_applicable</t>
        </is>
      </c>
      <c r="AH66" s="24" t="n"/>
      <c r="AI66" s="31" t="n"/>
      <c r="AJ66" s="31" t="n"/>
      <c r="AK66" s="24" t="inlineStr">
        <is>
          <t>research_observation</t>
        </is>
      </c>
      <c r="AL66" s="26" t="n">
        <v>3</v>
      </c>
      <c r="AM66" s="24" t="inlineStr">
        <is>
          <t>RESEARCH_OBSERVATION</t>
        </is>
      </c>
      <c r="AN66" s="24" t="inlineStr">
        <is>
          <t>NO_CALL</t>
        </is>
      </c>
      <c r="AO66" s="24" t="inlineStr">
        <is>
          <t>NO_CALL_MODEL_UNVALIDATED</t>
        </is>
      </c>
      <c r="AP66" s="24" t="inlineStr">
        <is>
          <t>Elina Svitolina</t>
        </is>
      </c>
      <c r="AQ66" s="24" t="inlineStr">
        <is>
          <t>Elina Svitolina</t>
        </is>
      </c>
      <c r="AR66" s="24" t="inlineStr">
        <is>
          <t>Elina Svitolina</t>
        </is>
      </c>
      <c r="AS66" s="24" t="inlineStr">
        <is>
          <t>Polina Kudermetova</t>
        </is>
      </c>
      <c r="AT66" s="24" t="inlineStr">
        <is>
          <t>Polina Kudermetova</t>
        </is>
      </c>
      <c r="AU66" s="24" t="inlineStr">
        <is>
          <t>Polina Kudermetova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research</t>
        </is>
      </c>
      <c r="BA66" s="24" t="inlineStr">
        <is>
          <t>73429bd71f12304106b9ffb751bd50617d5109d487f00de7ae2732f60e779590</t>
        </is>
      </c>
      <c r="BB66" s="24" t="inlineStr">
        <is>
          <t>surface_blended_elo</t>
        </is>
      </c>
      <c r="BC66" s="24" t="inlineStr">
        <is>
          <t>tennis-surface-elo-v1</t>
        </is>
      </c>
      <c r="BD66" s="24" t="inlineStr">
        <is>
          <t>73429bd71f12304106b9ffb751bd50617d5109d487f00de7ae2732f60e779590</t>
        </is>
      </c>
      <c r="BE66" s="24" t="inlineStr">
        <is>
          <t>tennis-surface-elo-v1</t>
        </is>
      </c>
      <c r="BF66" s="24" t="inlineStr">
        <is>
          <t>1</t>
        </is>
      </c>
      <c r="BG66" s="24" t="inlineStr">
        <is>
          <t>73429bd71f12304106b9ffb751bd50617d5109d487f00de7ae2732f60e779590</t>
        </is>
      </c>
      <c r="BH66" s="24" t="inlineStr">
        <is>
          <t>2026-07-30T21:07:30.038443Z</t>
        </is>
      </c>
      <c r="BI66" s="24" t="inlineStr">
        <is>
          <t>["same_event","same_team_same_day","same_league_same_day"]</t>
        </is>
      </c>
      <c r="BJ66" s="25" t="n"/>
      <c r="BK66" s="26" t="n">
        <v>-488</v>
      </c>
      <c r="BL66" s="27" t="n">
        <v>1.204918</v>
      </c>
      <c r="BM66" s="28" t="n">
        <v>0.829932</v>
      </c>
      <c r="BN66" s="28" t="n"/>
      <c r="BO66" s="28" t="n"/>
      <c r="BP66" s="25" t="n"/>
      <c r="BQ66" s="27" t="n"/>
      <c r="BR66" s="28" t="n"/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</row>
    <row r="67" ht="36" customHeight="1">
      <c r="A67" s="24" t="inlineStr">
        <is>
          <t>b4dca212b13d4b27</t>
        </is>
      </c>
      <c r="B67" s="24" t="inlineStr">
        <is>
          <t>2026-07-30T21:08:44.901049Z</t>
        </is>
      </c>
      <c r="C67" s="24" t="inlineStr">
        <is>
          <t>2026-07-30T23:00Z</t>
        </is>
      </c>
      <c r="D67" s="24" t="inlineStr">
        <is>
          <t>1067-2026:179463</t>
        </is>
      </c>
      <c r="E67" s="24" t="inlineStr">
        <is>
          <t>TENNIS</t>
        </is>
      </c>
      <c r="F67" s="24" t="inlineStr">
        <is>
          <t>Darja Vidmanova</t>
        </is>
      </c>
      <c r="G67" s="24" t="inlineStr">
        <is>
          <t>Sloane Stephens</t>
        </is>
      </c>
      <c r="H67" s="24" t="inlineStr">
        <is>
          <t>moneyline</t>
        </is>
      </c>
      <c r="I67" s="24" t="inlineStr">
        <is>
          <t>away</t>
        </is>
      </c>
      <c r="J67" s="25" t="n"/>
      <c r="K67" s="24" t="inlineStr">
        <is>
          <t>polymarket_us</t>
        </is>
      </c>
      <c r="L67" s="26" t="n">
        <v>-150</v>
      </c>
      <c r="M67" s="27" t="n">
        <v>1.666667</v>
      </c>
      <c r="N67" s="28" t="n">
        <v>0.6</v>
      </c>
      <c r="O67" s="28" t="n">
        <v>0.715942</v>
      </c>
      <c r="P67" s="28" t="n">
        <v>0.05</v>
      </c>
      <c r="Q67" s="28" t="n">
        <v>0.115942</v>
      </c>
      <c r="R67" s="26" t="n">
        <v>78</v>
      </c>
      <c r="S67" s="29" t="n">
        <v>2</v>
      </c>
      <c r="T67" s="24" t="inlineStr">
        <is>
          <t>tennis-surface-elo-v1</t>
        </is>
      </c>
      <c r="U67" s="24" t="inlineStr">
        <is>
          <t>settled</t>
        </is>
      </c>
      <c r="V67" s="24" t="inlineStr">
        <is>
          <t>win</t>
        </is>
      </c>
      <c r="W67" s="26" t="n">
        <v>1</v>
      </c>
      <c r="X67" s="26" t="n">
        <v>0</v>
      </c>
      <c r="Y67" s="25" t="n"/>
      <c r="Z67" s="26" t="n"/>
      <c r="AA67" s="28" t="n"/>
      <c r="AB67" s="28" t="n"/>
      <c r="AC67" s="30" t="n">
        <v>1.3333</v>
      </c>
      <c r="AD67" s="24" t="inlineStr">
        <is>
          <t>2026-07-31T00:55:25.605879Z</t>
        </is>
      </c>
      <c r="AE67" s="31" t="inlineStr">
        <is>
          <t>Surface-blended Elo on Hard: Darja Vidmanova p=0.716 vs Sloane Stephens. Executable ask 0.6000 (aec-wta-sloste-darvid-2026-07-30).</t>
        </is>
      </c>
      <c r="AF67" s="31" t="inlineStr">
        <is>
          <t>Research-only surface-blended Elo model; singles only, WTA-only market coverage, not yet locked-holdout qualified.</t>
        </is>
      </c>
      <c r="AG67" s="24" t="inlineStr">
        <is>
          <t>not_applicable</t>
        </is>
      </c>
      <c r="AH67" s="24" t="n"/>
      <c r="AI67" s="31" t="n"/>
      <c r="AJ67" s="31" t="n"/>
      <c r="AK67" s="24" t="inlineStr">
        <is>
          <t>research_observation</t>
        </is>
      </c>
      <c r="AL67" s="26" t="n">
        <v>3</v>
      </c>
      <c r="AM67" s="24" t="inlineStr">
        <is>
          <t>RESEARCH_OBSERVATION</t>
        </is>
      </c>
      <c r="AN67" s="24" t="inlineStr">
        <is>
          <t>NO_CALL</t>
        </is>
      </c>
      <c r="AO67" s="24" t="inlineStr">
        <is>
          <t>NO_CALL_MODEL_UNVALIDATED</t>
        </is>
      </c>
      <c r="AP67" s="24" t="inlineStr">
        <is>
          <t>Darja Vidmanova</t>
        </is>
      </c>
      <c r="AQ67" s="24" t="inlineStr">
        <is>
          <t>Darja Vidmanova</t>
        </is>
      </c>
      <c r="AR67" s="24" t="inlineStr">
        <is>
          <t>Darja Vidmanova</t>
        </is>
      </c>
      <c r="AS67" s="24" t="inlineStr">
        <is>
          <t>Sloane Stephens</t>
        </is>
      </c>
      <c r="AT67" s="24" t="inlineStr">
        <is>
          <t>Sloane Stephens</t>
        </is>
      </c>
      <c r="AU67" s="24" t="inlineStr">
        <is>
          <t>Sloane Stephens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research</t>
        </is>
      </c>
      <c r="BA67" s="24" t="inlineStr">
        <is>
          <t>73429bd71f12304106b9ffb751bd50617d5109d487f00de7ae2732f60e779590</t>
        </is>
      </c>
      <c r="BB67" s="24" t="inlineStr">
        <is>
          <t>surface_blended_elo</t>
        </is>
      </c>
      <c r="BC67" s="24" t="inlineStr">
        <is>
          <t>tennis-surface-elo-v1</t>
        </is>
      </c>
      <c r="BD67" s="24" t="inlineStr">
        <is>
          <t>73429bd71f12304106b9ffb751bd50617d5109d487f00de7ae2732f60e779590</t>
        </is>
      </c>
      <c r="BE67" s="24" t="inlineStr">
        <is>
          <t>tennis-surface-elo-v1</t>
        </is>
      </c>
      <c r="BF67" s="24" t="inlineStr">
        <is>
          <t>1</t>
        </is>
      </c>
      <c r="BG67" s="24" t="inlineStr">
        <is>
          <t>73429bd71f12304106b9ffb751bd50617d5109d487f00de7ae2732f60e779590</t>
        </is>
      </c>
      <c r="BH67" s="24" t="inlineStr">
        <is>
          <t>2026-07-30T21:07:28.830238Z</t>
        </is>
      </c>
      <c r="BI67" s="24" t="inlineStr">
        <is>
          <t>["same_event","same_team_same_day","same_league_same_day"]</t>
        </is>
      </c>
      <c r="BJ67" s="25" t="n"/>
      <c r="BK67" s="26" t="n">
        <v>-150</v>
      </c>
      <c r="BL67" s="27" t="n">
        <v>1.666667</v>
      </c>
      <c r="BM67" s="28" t="n">
        <v>0.6</v>
      </c>
      <c r="BN67" s="28" t="n"/>
      <c r="BO67" s="28" t="n"/>
      <c r="BP67" s="25" t="n"/>
      <c r="BQ67" s="27" t="n"/>
      <c r="BR67" s="28" t="n"/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</row>
    <row r="68" ht="36" customHeight="1">
      <c r="A68" s="24" t="inlineStr">
        <is>
          <t>7bb16946fcf94c7d</t>
        </is>
      </c>
      <c r="B68" s="24" t="inlineStr">
        <is>
          <t>2026-07-31T07:33:41.738469Z</t>
        </is>
      </c>
      <c r="C68" s="24" t="inlineStr">
        <is>
          <t>2026-07-31T09:00Z</t>
        </is>
      </c>
      <c r="D68" s="24" t="inlineStr">
        <is>
          <t>1073-2026:179596</t>
        </is>
      </c>
      <c r="E68" s="24" t="inlineStr">
        <is>
          <t>TENNIS</t>
        </is>
      </c>
      <c r="F68" s="24" t="inlineStr">
        <is>
          <t>Carole Monnet</t>
        </is>
      </c>
      <c r="G68" s="24" t="inlineStr">
        <is>
          <t>Kaitlin Quevedo</t>
        </is>
      </c>
      <c r="H68" s="24" t="inlineStr">
        <is>
          <t>moneyline</t>
        </is>
      </c>
      <c r="I68" s="24" t="inlineStr">
        <is>
          <t>home</t>
        </is>
      </c>
      <c r="J68" s="25" t="n"/>
      <c r="K68" s="24" t="inlineStr">
        <is>
          <t>polymarket_us</t>
        </is>
      </c>
      <c r="L68" s="26" t="n">
        <v>-335</v>
      </c>
      <c r="M68" s="27" t="n">
        <v>1.298507</v>
      </c>
      <c r="N68" s="28" t="n">
        <v>0.770115</v>
      </c>
      <c r="O68" s="28" t="n">
        <v>0.66466</v>
      </c>
      <c r="P68" s="28" t="n">
        <v>0.05</v>
      </c>
      <c r="Q68" s="28" t="n">
        <v>-0.105455</v>
      </c>
      <c r="R68" s="26" t="n">
        <v>0</v>
      </c>
      <c r="S68" s="29" t="n">
        <v>1.75</v>
      </c>
      <c r="T68" s="24" t="inlineStr">
        <is>
          <t>tennis-surface-elo-v1</t>
        </is>
      </c>
      <c r="U68" s="24" t="inlineStr">
        <is>
          <t>settled</t>
        </is>
      </c>
      <c r="V68" s="24" t="inlineStr">
        <is>
          <t>win</t>
        </is>
      </c>
      <c r="W68" s="26" t="n">
        <v>0</v>
      </c>
      <c r="X68" s="26" t="n">
        <v>1</v>
      </c>
      <c r="Y68" s="25" t="n"/>
      <c r="Z68" s="26" t="n">
        <v>-335</v>
      </c>
      <c r="AA68" s="28" t="n">
        <v>0.77</v>
      </c>
      <c r="AB68" s="28" t="n">
        <v>-0.000115</v>
      </c>
      <c r="AC68" s="30" t="n">
        <v>0.5224</v>
      </c>
      <c r="AD68" s="24" t="inlineStr">
        <is>
          <t>2026-07-31T11:12:20.264183Z</t>
        </is>
      </c>
      <c r="AE68" s="31" t="inlineStr">
        <is>
          <t>Surface-blended Elo on Hard: Carole Monnet p=0.335 vs Kaitlin Quevedo. Executable ask 0.7700 (aec-wta-kaique-carmon-2026-07-31).</t>
        </is>
      </c>
      <c r="AF68" s="31" t="inlineStr">
        <is>
          <t>Research-only surface-blended Elo model; singles only, WTA-only market coverage, not yet locked-holdout qualified.</t>
        </is>
      </c>
      <c r="AG68" s="24" t="inlineStr">
        <is>
          <t>not_applicable</t>
        </is>
      </c>
      <c r="AH68" s="24" t="n"/>
      <c r="AI68" s="31" t="n"/>
      <c r="AJ68" s="31" t="n"/>
      <c r="AK68" s="24" t="inlineStr">
        <is>
          <t>research_observation</t>
        </is>
      </c>
      <c r="AL68" s="26" t="n">
        <v>3</v>
      </c>
      <c r="AM68" s="24" t="inlineStr">
        <is>
          <t>RESEARCH_OBSERVATION</t>
        </is>
      </c>
      <c r="AN68" s="24" t="inlineStr">
        <is>
          <t>NO_CALL</t>
        </is>
      </c>
      <c r="AO68" s="24" t="inlineStr">
        <is>
          <t>NO_CALL_MODEL_UNVALIDATED</t>
        </is>
      </c>
      <c r="AP68" s="24" t="inlineStr">
        <is>
          <t>Carole Monnet</t>
        </is>
      </c>
      <c r="AQ68" s="24" t="inlineStr">
        <is>
          <t>Carole Monnet</t>
        </is>
      </c>
      <c r="AR68" s="24" t="inlineStr">
        <is>
          <t>Carole Monnet</t>
        </is>
      </c>
      <c r="AS68" s="24" t="inlineStr">
        <is>
          <t>Kaitlin Quevedo</t>
        </is>
      </c>
      <c r="AT68" s="24" t="inlineStr">
        <is>
          <t>Kaitlin Quevedo</t>
        </is>
      </c>
      <c r="AU68" s="24" t="inlineStr">
        <is>
          <t>Kaitlin Quevedo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research</t>
        </is>
      </c>
      <c r="BA68" s="24" t="inlineStr">
        <is>
          <t>73429bd71f12304106b9ffb751bd50617d5109d487f00de7ae2732f60e779590</t>
        </is>
      </c>
      <c r="BB68" s="24" t="inlineStr">
        <is>
          <t>surface_blended_elo</t>
        </is>
      </c>
      <c r="BC68" s="24" t="inlineStr">
        <is>
          <t>tennis-surface-elo-v1</t>
        </is>
      </c>
      <c r="BD68" s="24" t="inlineStr">
        <is>
          <t>73429bd71f12304106b9ffb751bd50617d5109d487f00de7ae2732f60e779590</t>
        </is>
      </c>
      <c r="BE68" s="24" t="inlineStr">
        <is>
          <t>tennis-surface-elo-v1</t>
        </is>
      </c>
      <c r="BF68" s="24" t="inlineStr">
        <is>
          <t>1</t>
        </is>
      </c>
      <c r="BG68" s="24" t="inlineStr">
        <is>
          <t>73429bd71f12304106b9ffb751bd50617d5109d487f00de7ae2732f60e779590</t>
        </is>
      </c>
      <c r="BH68" s="24" t="inlineStr">
        <is>
          <t>2026-07-31T07:30:42.946104Z</t>
        </is>
      </c>
      <c r="BI68" s="24" t="inlineStr">
        <is>
          <t>["same_event","same_team_same_day","same_league_same_day"]</t>
        </is>
      </c>
      <c r="BJ68" s="25" t="n"/>
      <c r="BK68" s="26" t="n">
        <v>-335</v>
      </c>
      <c r="BL68" s="27" t="n">
        <v>1.298507</v>
      </c>
      <c r="BM68" s="28" t="n">
        <v>0.770115</v>
      </c>
      <c r="BN68" s="28" t="n"/>
      <c r="BO68" s="28" t="n"/>
      <c r="BP68" s="25" t="n"/>
      <c r="BQ68" s="27" t="n">
        <v>1.298507</v>
      </c>
      <c r="BR68" s="28" t="n">
        <v>0.77</v>
      </c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</row>
    <row r="69" ht="36" customHeight="1">
      <c r="A69" s="24" t="inlineStr">
        <is>
          <t>6de838ef45f24790</t>
        </is>
      </c>
      <c r="B69" s="24" t="inlineStr">
        <is>
          <t>2026-07-31T07:33:41.738469Z</t>
        </is>
      </c>
      <c r="C69" s="24" t="inlineStr">
        <is>
          <t>2026-07-31T09:00Z</t>
        </is>
      </c>
      <c r="D69" s="24" t="inlineStr">
        <is>
          <t>1073-2026:179592</t>
        </is>
      </c>
      <c r="E69" s="24" t="inlineStr">
        <is>
          <t>TENNIS</t>
        </is>
      </c>
      <c r="F69" s="24" t="inlineStr">
        <is>
          <t>Mia Ristic</t>
        </is>
      </c>
      <c r="G69" s="24" t="inlineStr">
        <is>
          <t>Laura Samson</t>
        </is>
      </c>
      <c r="H69" s="24" t="inlineStr">
        <is>
          <t>moneyline</t>
        </is>
      </c>
      <c r="I69" s="24" t="inlineStr">
        <is>
          <t>home</t>
        </is>
      </c>
      <c r="J69" s="25" t="n"/>
      <c r="K69" s="24" t="inlineStr">
        <is>
          <t>polymarket_us</t>
        </is>
      </c>
      <c r="L69" s="26" t="n">
        <v>-127</v>
      </c>
      <c r="M69" s="27" t="n">
        <v>1.787402</v>
      </c>
      <c r="N69" s="28" t="n">
        <v>0.5594710000000001</v>
      </c>
      <c r="O69" s="28" t="n">
        <v>0.520483</v>
      </c>
      <c r="P69" s="28" t="n">
        <v>0.05</v>
      </c>
      <c r="Q69" s="28" t="n">
        <v>-0.038988</v>
      </c>
      <c r="R69" s="26" t="n">
        <v>1</v>
      </c>
      <c r="S69" s="29" t="n">
        <v>1</v>
      </c>
      <c r="T69" s="24" t="inlineStr">
        <is>
          <t>tennis-surface-elo-v1</t>
        </is>
      </c>
      <c r="U69" s="24" t="inlineStr">
        <is>
          <t>settled</t>
        </is>
      </c>
      <c r="V69" s="24" t="inlineStr">
        <is>
          <t>win</t>
        </is>
      </c>
      <c r="W69" s="26" t="n">
        <v>0</v>
      </c>
      <c r="X69" s="26" t="n">
        <v>1</v>
      </c>
      <c r="Y69" s="25" t="n"/>
      <c r="Z69" s="26" t="n">
        <v>-127</v>
      </c>
      <c r="AA69" s="28" t="n">
        <v>0.5600000000000001</v>
      </c>
      <c r="AB69" s="28" t="n">
        <v>0.000529</v>
      </c>
      <c r="AC69" s="30" t="n">
        <v>0.7874</v>
      </c>
      <c r="AD69" s="24" t="inlineStr">
        <is>
          <t>2026-07-31T13:38:57.047753Z</t>
        </is>
      </c>
      <c r="AE69" s="31" t="inlineStr">
        <is>
          <t>Surface-blended Elo on Hard: Mia Ristic p=0.480 vs Laura Samson. Executable ask 0.5600 (aec-wta-lausam-miaris-2026-07-31).</t>
        </is>
      </c>
      <c r="AF69" s="31" t="inlineStr">
        <is>
          <t>Research-only surface-blended Elo model; singles only, WTA-only market coverage, not yet locked-holdout qualified.</t>
        </is>
      </c>
      <c r="AG69" s="24" t="inlineStr">
        <is>
          <t>not_applicable</t>
        </is>
      </c>
      <c r="AH69" s="24" t="n"/>
      <c r="AI69" s="31" t="n"/>
      <c r="AJ69" s="31" t="n"/>
      <c r="AK69" s="24" t="inlineStr">
        <is>
          <t>research_observation</t>
        </is>
      </c>
      <c r="AL69" s="26" t="n">
        <v>3</v>
      </c>
      <c r="AM69" s="24" t="inlineStr">
        <is>
          <t>RESEARCH_OBSERVATION</t>
        </is>
      </c>
      <c r="AN69" s="24" t="inlineStr">
        <is>
          <t>NO_CALL</t>
        </is>
      </c>
      <c r="AO69" s="24" t="inlineStr">
        <is>
          <t>NO_CALL_MODEL_UNVALIDATED</t>
        </is>
      </c>
      <c r="AP69" s="24" t="inlineStr">
        <is>
          <t>Mia Ristic</t>
        </is>
      </c>
      <c r="AQ69" s="24" t="inlineStr">
        <is>
          <t>Mia Ristic</t>
        </is>
      </c>
      <c r="AR69" s="24" t="inlineStr">
        <is>
          <t>Mia Ristic</t>
        </is>
      </c>
      <c r="AS69" s="24" t="inlineStr">
        <is>
          <t>Laura Samson</t>
        </is>
      </c>
      <c r="AT69" s="24" t="inlineStr">
        <is>
          <t>Laura Samson</t>
        </is>
      </c>
      <c r="AU69" s="24" t="inlineStr">
        <is>
          <t>Laura Samson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research</t>
        </is>
      </c>
      <c r="BA69" s="24" t="inlineStr">
        <is>
          <t>73429bd71f12304106b9ffb751bd50617d5109d487f00de7ae2732f60e779590</t>
        </is>
      </c>
      <c r="BB69" s="24" t="inlineStr">
        <is>
          <t>surface_blended_elo</t>
        </is>
      </c>
      <c r="BC69" s="24" t="inlineStr">
        <is>
          <t>tennis-surface-elo-v1</t>
        </is>
      </c>
      <c r="BD69" s="24" t="inlineStr">
        <is>
          <t>73429bd71f12304106b9ffb751bd50617d5109d487f00de7ae2732f60e779590</t>
        </is>
      </c>
      <c r="BE69" s="24" t="inlineStr">
        <is>
          <t>tennis-surface-elo-v1</t>
        </is>
      </c>
      <c r="BF69" s="24" t="inlineStr">
        <is>
          <t>1</t>
        </is>
      </c>
      <c r="BG69" s="24" t="inlineStr">
        <is>
          <t>73429bd71f12304106b9ffb751bd50617d5109d487f00de7ae2732f60e779590</t>
        </is>
      </c>
      <c r="BH69" s="24" t="inlineStr">
        <is>
          <t>2026-07-31T07:30:42.939960Z</t>
        </is>
      </c>
      <c r="BI69" s="24" t="inlineStr">
        <is>
          <t>["same_event","same_team_same_day","same_league_same_day"]</t>
        </is>
      </c>
      <c r="BJ69" s="25" t="n"/>
      <c r="BK69" s="26" t="n">
        <v>-127</v>
      </c>
      <c r="BL69" s="27" t="n">
        <v>1.787402</v>
      </c>
      <c r="BM69" s="28" t="n">
        <v>0.5594710000000001</v>
      </c>
      <c r="BN69" s="28" t="n"/>
      <c r="BO69" s="28" t="n"/>
      <c r="BP69" s="25" t="n"/>
      <c r="BQ69" s="27" t="n">
        <v>1.787402</v>
      </c>
      <c r="BR69" s="28" t="n">
        <v>0.5600000000000001</v>
      </c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</row>
    <row r="70" ht="36" customHeight="1">
      <c r="A70" s="24" t="inlineStr">
        <is>
          <t>a006a9beeb6546ec</t>
        </is>
      </c>
      <c r="B70" s="24" t="inlineStr">
        <is>
          <t>2026-07-31T07:33:41.738469Z</t>
        </is>
      </c>
      <c r="C70" s="24" t="inlineStr">
        <is>
          <t>2026-07-31T10:30Z</t>
        </is>
      </c>
      <c r="D70" s="24" t="inlineStr">
        <is>
          <t>1073-2026:179595</t>
        </is>
      </c>
      <c r="E70" s="24" t="inlineStr">
        <is>
          <t>TENNIS</t>
        </is>
      </c>
      <c r="F70" s="24" t="inlineStr">
        <is>
          <t>Alice Rame</t>
        </is>
      </c>
      <c r="G70" s="24" t="inlineStr">
        <is>
          <t>Francesca Jones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-669</v>
      </c>
      <c r="M70" s="27" t="n">
        <v>1.149477</v>
      </c>
      <c r="N70" s="28" t="n">
        <v>0.869961</v>
      </c>
      <c r="O70" s="28" t="n">
        <v>0.771104</v>
      </c>
      <c r="P70" s="28" t="n">
        <v>0.05</v>
      </c>
      <c r="Q70" s="28" t="n">
        <v>-0.098857</v>
      </c>
      <c r="R70" s="26" t="n">
        <v>0</v>
      </c>
      <c r="S70" s="29" t="n">
        <v>2</v>
      </c>
      <c r="T70" s="24" t="inlineStr">
        <is>
          <t>tennis-surface-elo-v1</t>
        </is>
      </c>
      <c r="U70" s="24" t="inlineStr">
        <is>
          <t>settled</t>
        </is>
      </c>
      <c r="V70" s="24" t="inlineStr">
        <is>
          <t>win</t>
        </is>
      </c>
      <c r="W70" s="26" t="n">
        <v>0</v>
      </c>
      <c r="X70" s="26" t="n">
        <v>1</v>
      </c>
      <c r="Y70" s="25" t="n"/>
      <c r="Z70" s="26" t="n">
        <v>-669</v>
      </c>
      <c r="AA70" s="28" t="n">
        <v>0.87</v>
      </c>
      <c r="AB70" s="28" t="n">
        <v>3.9e-05</v>
      </c>
      <c r="AC70" s="30" t="n">
        <v>0.299</v>
      </c>
      <c r="AD70" s="24" t="inlineStr">
        <is>
          <t>2026-07-31T13:38:57.289362Z</t>
        </is>
      </c>
      <c r="AE70" s="31" t="inlineStr">
        <is>
          <t>Surface-blended Elo on Hard: Alice Rame p=0.229 vs Francesca Jones. Executable ask 0.8700 (aec-wta-frajon-aliram-2026-07-31).</t>
        </is>
      </c>
      <c r="AF70" s="31" t="inlineStr">
        <is>
          <t>Research-only surface-blended Elo model; singles only, WTA-only market coverage, not yet locked-holdout qualified.</t>
        </is>
      </c>
      <c r="AG70" s="24" t="inlineStr">
        <is>
          <t>not_applicable</t>
        </is>
      </c>
      <c r="AH70" s="24" t="n"/>
      <c r="AI70" s="31" t="n"/>
      <c r="AJ70" s="31" t="n"/>
      <c r="AK70" s="24" t="inlineStr">
        <is>
          <t>research_observation</t>
        </is>
      </c>
      <c r="AL70" s="26" t="n">
        <v>3</v>
      </c>
      <c r="AM70" s="24" t="inlineStr">
        <is>
          <t>RESEARCH_OBSERVATION</t>
        </is>
      </c>
      <c r="AN70" s="24" t="inlineStr">
        <is>
          <t>NO_CALL</t>
        </is>
      </c>
      <c r="AO70" s="24" t="inlineStr">
        <is>
          <t>NO_CALL_MODEL_UNVALIDATED</t>
        </is>
      </c>
      <c r="AP70" s="24" t="inlineStr">
        <is>
          <t>Alice Rame</t>
        </is>
      </c>
      <c r="AQ70" s="24" t="inlineStr">
        <is>
          <t>Alice Rame</t>
        </is>
      </c>
      <c r="AR70" s="24" t="inlineStr">
        <is>
          <t>Alice Rame</t>
        </is>
      </c>
      <c r="AS70" s="24" t="inlineStr">
        <is>
          <t>Francesca Jones</t>
        </is>
      </c>
      <c r="AT70" s="24" t="inlineStr">
        <is>
          <t>Francesca Jones</t>
        </is>
      </c>
      <c r="AU70" s="24" t="inlineStr">
        <is>
          <t>Francesca Jones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research</t>
        </is>
      </c>
      <c r="BA70" s="24" t="inlineStr">
        <is>
          <t>73429bd71f12304106b9ffb751bd50617d5109d487f00de7ae2732f60e779590</t>
        </is>
      </c>
      <c r="BB70" s="24" t="inlineStr">
        <is>
          <t>surface_blended_elo</t>
        </is>
      </c>
      <c r="BC70" s="24" t="inlineStr">
        <is>
          <t>tennis-surface-elo-v1</t>
        </is>
      </c>
      <c r="BD70" s="24" t="inlineStr">
        <is>
          <t>73429bd71f12304106b9ffb751bd50617d5109d487f00de7ae2732f60e779590</t>
        </is>
      </c>
      <c r="BE70" s="24" t="inlineStr">
        <is>
          <t>tennis-surface-elo-v1</t>
        </is>
      </c>
      <c r="BF70" s="24" t="inlineStr">
        <is>
          <t>1</t>
        </is>
      </c>
      <c r="BG70" s="24" t="inlineStr">
        <is>
          <t>73429bd71f12304106b9ffb751bd50617d5109d487f00de7ae2732f60e779590</t>
        </is>
      </c>
      <c r="BH70" s="24" t="inlineStr">
        <is>
          <t>2026-07-31T07:30:42.885586Z</t>
        </is>
      </c>
      <c r="BI70" s="24" t="inlineStr">
        <is>
          <t>["same_event","same_team_same_day","same_league_same_day"]</t>
        </is>
      </c>
      <c r="BJ70" s="25" t="n"/>
      <c r="BK70" s="26" t="n">
        <v>-669</v>
      </c>
      <c r="BL70" s="27" t="n">
        <v>1.149477</v>
      </c>
      <c r="BM70" s="28" t="n">
        <v>0.869961</v>
      </c>
      <c r="BN70" s="28" t="n"/>
      <c r="BO70" s="28" t="n"/>
      <c r="BP70" s="25" t="n"/>
      <c r="BQ70" s="27" t="n">
        <v>1.149477</v>
      </c>
      <c r="BR70" s="28" t="n">
        <v>0.87</v>
      </c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</row>
    <row r="71" ht="36" customHeight="1">
      <c r="A71" s="24" t="inlineStr">
        <is>
          <t>0a5265c9624b4e6d</t>
        </is>
      </c>
      <c r="B71" s="24" t="inlineStr">
        <is>
          <t>2026-07-31T13:42:17.041144Z</t>
        </is>
      </c>
      <c r="C71" s="24" t="inlineStr">
        <is>
          <t>2026-07-31T16:00Z</t>
        </is>
      </c>
      <c r="D71" s="24" t="inlineStr">
        <is>
          <t>888-2026:179006</t>
        </is>
      </c>
      <c r="E71" s="24" t="inlineStr">
        <is>
          <t>TENNIS</t>
        </is>
      </c>
      <c r="F71" s="24" t="inlineStr">
        <is>
          <t>Anna Kalinskaya</t>
        </is>
      </c>
      <c r="G71" s="24" t="inlineStr">
        <is>
          <t>Jessica Pegula</t>
        </is>
      </c>
      <c r="H71" s="24" t="inlineStr">
        <is>
          <t>moneyline</t>
        </is>
      </c>
      <c r="I71" s="24" t="inlineStr">
        <is>
          <t>home</t>
        </is>
      </c>
      <c r="J71" s="25" t="n"/>
      <c r="K71" s="24" t="inlineStr">
        <is>
          <t>polymarket_us</t>
        </is>
      </c>
      <c r="L71" s="26" t="n">
        <v>-270</v>
      </c>
      <c r="M71" s="27" t="n">
        <v>1.37037</v>
      </c>
      <c r="N71" s="28" t="n">
        <v>0.72973</v>
      </c>
      <c r="O71" s="28" t="n">
        <v>0.790175</v>
      </c>
      <c r="P71" s="28" t="n">
        <v>0.05</v>
      </c>
      <c r="Q71" s="28" t="n">
        <v>0.060445</v>
      </c>
      <c r="R71" s="26" t="n">
        <v>50</v>
      </c>
      <c r="S71" s="29" t="n">
        <v>2</v>
      </c>
      <c r="T71" s="24" t="inlineStr">
        <is>
          <t>tennis-surface-elo-v1</t>
        </is>
      </c>
      <c r="U71" s="24" t="inlineStr">
        <is>
          <t>settled</t>
        </is>
      </c>
      <c r="V71" s="24" t="inlineStr">
        <is>
          <t>win</t>
        </is>
      </c>
      <c r="W71" s="26" t="n">
        <v>0</v>
      </c>
      <c r="X71" s="26" t="n">
        <v>1</v>
      </c>
      <c r="Y71" s="25" t="n"/>
      <c r="Z71" s="26" t="n">
        <v>-270</v>
      </c>
      <c r="AA71" s="28" t="n">
        <v>0.73</v>
      </c>
      <c r="AB71" s="28" t="n">
        <v>0.00027</v>
      </c>
      <c r="AC71" s="30" t="n">
        <v>0.7407</v>
      </c>
      <c r="AD71" s="24" t="inlineStr">
        <is>
          <t>2026-07-31T19:51:19.971117Z</t>
        </is>
      </c>
      <c r="AE71" s="31" t="inlineStr">
        <is>
          <t>Surface-blended Elo on Hard: Anna Kalinskaya p=0.210 vs Jessica Pegula. Executable ask 0.7300 (aec-wta-jespeg-annkal-2026-07-31).</t>
        </is>
      </c>
      <c r="AF71" s="31" t="inlineStr">
        <is>
          <t>Research-only surface-blended Elo model; singles only, WTA-only market coverage, not yet locked-holdout qualified.</t>
        </is>
      </c>
      <c r="AG71" s="24" t="inlineStr">
        <is>
          <t>not_applicable</t>
        </is>
      </c>
      <c r="AH71" s="24" t="n"/>
      <c r="AI71" s="31" t="n"/>
      <c r="AJ71" s="31" t="n"/>
      <c r="AK71" s="24" t="inlineStr">
        <is>
          <t>research_observation</t>
        </is>
      </c>
      <c r="AL71" s="26" t="n">
        <v>3</v>
      </c>
      <c r="AM71" s="24" t="inlineStr">
        <is>
          <t>RESEARCH_OBSERVATION</t>
        </is>
      </c>
      <c r="AN71" s="24" t="inlineStr">
        <is>
          <t>NO_CALL</t>
        </is>
      </c>
      <c r="AO71" s="24" t="inlineStr">
        <is>
          <t>NO_CALL_MODEL_UNVALIDATED</t>
        </is>
      </c>
      <c r="AP71" s="24" t="inlineStr">
        <is>
          <t>Anna Kalinskaya</t>
        </is>
      </c>
      <c r="AQ71" s="24" t="inlineStr">
        <is>
          <t>Anna Kalinskaya</t>
        </is>
      </c>
      <c r="AR71" s="24" t="inlineStr">
        <is>
          <t>Anna Kalinskaya</t>
        </is>
      </c>
      <c r="AS71" s="24" t="inlineStr">
        <is>
          <t>Jessica Pegula</t>
        </is>
      </c>
      <c r="AT71" s="24" t="inlineStr">
        <is>
          <t>Jessica Pegula</t>
        </is>
      </c>
      <c r="AU71" s="24" t="inlineStr">
        <is>
          <t>Jessica Pegula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research</t>
        </is>
      </c>
      <c r="BA71" s="24" t="inlineStr">
        <is>
          <t>999faa03e2fa83bdf40e3760cb8645b4c314e4cc37c2050b8320d6582c4d8167</t>
        </is>
      </c>
      <c r="BB71" s="24" t="inlineStr">
        <is>
          <t>surface_blended_elo</t>
        </is>
      </c>
      <c r="BC71" s="24" t="inlineStr">
        <is>
          <t>tennis-surface-elo-v1</t>
        </is>
      </c>
      <c r="BD71" s="24" t="inlineStr">
        <is>
          <t>999faa03e2fa83bdf40e3760cb8645b4c314e4cc37c2050b8320d6582c4d8167</t>
        </is>
      </c>
      <c r="BE71" s="24" t="inlineStr">
        <is>
          <t>tennis-surface-elo-v1</t>
        </is>
      </c>
      <c r="BF71" s="24" t="inlineStr">
        <is>
          <t>1</t>
        </is>
      </c>
      <c r="BG71" s="24" t="inlineStr">
        <is>
          <t>999faa03e2fa83bdf40e3760cb8645b4c314e4cc37c2050b8320d6582c4d8167</t>
        </is>
      </c>
      <c r="BH71" s="24" t="inlineStr">
        <is>
          <t>2026-07-31T13:39:50.860788Z</t>
        </is>
      </c>
      <c r="BI71" s="24" t="inlineStr">
        <is>
          <t>["same_event","same_team_same_day","same_league_same_day"]</t>
        </is>
      </c>
      <c r="BJ71" s="25" t="n"/>
      <c r="BK71" s="26" t="n">
        <v>-270</v>
      </c>
      <c r="BL71" s="27" t="n">
        <v>1.37037</v>
      </c>
      <c r="BM71" s="28" t="n">
        <v>0.72973</v>
      </c>
      <c r="BN71" s="28" t="n"/>
      <c r="BO71" s="28" t="n"/>
      <c r="BP71" s="25" t="n"/>
      <c r="BQ71" s="27" t="n">
        <v>1.37037</v>
      </c>
      <c r="BR71" s="28" t="n">
        <v>0.73</v>
      </c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</row>
    <row r="72" ht="36" customHeight="1">
      <c r="A72" s="24" t="inlineStr">
        <is>
          <t>5ff33ec3de68414f</t>
        </is>
      </c>
      <c r="B72" s="24" t="inlineStr">
        <is>
          <t>2026-07-31T13:42:17.041144Z</t>
        </is>
      </c>
      <c r="C72" s="24" t="inlineStr">
        <is>
          <t>2026-07-31T14:00Z</t>
        </is>
      </c>
      <c r="D72" s="24" t="inlineStr">
        <is>
          <t>1073-2026:179594</t>
        </is>
      </c>
      <c r="E72" s="24" t="inlineStr">
        <is>
          <t>TENNIS</t>
        </is>
      </c>
      <c r="F72" s="24" t="inlineStr">
        <is>
          <t>Lucia Bronzetti</t>
        </is>
      </c>
      <c r="G72" s="24" t="inlineStr">
        <is>
          <t>Sara Sorribes Tormo</t>
        </is>
      </c>
      <c r="H72" s="24" t="inlineStr">
        <is>
          <t>moneyline</t>
        </is>
      </c>
      <c r="I72" s="24" t="inlineStr">
        <is>
          <t>away</t>
        </is>
      </c>
      <c r="J72" s="25" t="n"/>
      <c r="K72" s="24" t="inlineStr">
        <is>
          <t>polymarket_us</t>
        </is>
      </c>
      <c r="L72" s="26" t="n">
        <v>122</v>
      </c>
      <c r="M72" s="27" t="n">
        <v>2.22</v>
      </c>
      <c r="N72" s="28" t="n">
        <v>0.45045</v>
      </c>
      <c r="O72" s="28" t="n">
        <v>0.558996</v>
      </c>
      <c r="P72" s="28" t="n">
        <v>0.05</v>
      </c>
      <c r="Q72" s="28" t="n">
        <v>0.108546</v>
      </c>
      <c r="R72" s="26" t="n">
        <v>74</v>
      </c>
      <c r="S72" s="29" t="n">
        <v>1</v>
      </c>
      <c r="T72" s="24" t="inlineStr">
        <is>
          <t>tennis-surface-elo-v1</t>
        </is>
      </c>
      <c r="U72" s="24" t="inlineStr">
        <is>
          <t>settled</t>
        </is>
      </c>
      <c r="V72" s="24" t="inlineStr">
        <is>
          <t>win</t>
        </is>
      </c>
      <c r="W72" s="26" t="n">
        <v>1</v>
      </c>
      <c r="X72" s="26" t="n">
        <v>0</v>
      </c>
      <c r="Y72" s="25" t="n"/>
      <c r="Z72" s="26" t="n">
        <v>122</v>
      </c>
      <c r="AA72" s="28" t="n">
        <v>0.45</v>
      </c>
      <c r="AB72" s="28" t="n">
        <v>-0.00045</v>
      </c>
      <c r="AC72" s="30" t="n">
        <v>1.22</v>
      </c>
      <c r="AD72" s="24" t="inlineStr">
        <is>
          <t>2026-07-31T19:51:20.537475Z</t>
        </is>
      </c>
      <c r="AE72" s="31" t="inlineStr">
        <is>
          <t>Surface-blended Elo on Hard: Lucia Bronzetti p=0.559 vs Sara Sorribes Tormo. Executable ask 0.4500 (aec-wta-sartor-lucbro-2026-07-31).</t>
        </is>
      </c>
      <c r="AF72" s="31" t="inlineStr">
        <is>
          <t>Research-only surface-blended Elo model; singles only, WTA-only market coverage, not yet locked-holdout qualified.</t>
        </is>
      </c>
      <c r="AG72" s="24" t="inlineStr">
        <is>
          <t>not_applicable</t>
        </is>
      </c>
      <c r="AH72" s="24" t="n"/>
      <c r="AI72" s="31" t="n"/>
      <c r="AJ72" s="31" t="n"/>
      <c r="AK72" s="24" t="inlineStr">
        <is>
          <t>research_observation</t>
        </is>
      </c>
      <c r="AL72" s="26" t="n">
        <v>3</v>
      </c>
      <c r="AM72" s="24" t="inlineStr">
        <is>
          <t>RESEARCH_OBSERVATION</t>
        </is>
      </c>
      <c r="AN72" s="24" t="inlineStr">
        <is>
          <t>NO_CALL</t>
        </is>
      </c>
      <c r="AO72" s="24" t="inlineStr">
        <is>
          <t>NO_CALL_MODEL_UNVALIDATED</t>
        </is>
      </c>
      <c r="AP72" s="24" t="inlineStr">
        <is>
          <t>Lucia Bronzetti</t>
        </is>
      </c>
      <c r="AQ72" s="24" t="inlineStr">
        <is>
          <t>Lucia Bronzetti</t>
        </is>
      </c>
      <c r="AR72" s="24" t="inlineStr">
        <is>
          <t>Lucia Bronzetti</t>
        </is>
      </c>
      <c r="AS72" s="24" t="inlineStr">
        <is>
          <t>Sara Sorribes Tormo</t>
        </is>
      </c>
      <c r="AT72" s="24" t="inlineStr">
        <is>
          <t>Sara Sorribes Tormo</t>
        </is>
      </c>
      <c r="AU72" s="24" t="inlineStr">
        <is>
          <t>Sara Sorribes Tormo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research</t>
        </is>
      </c>
      <c r="BA72" s="24" t="inlineStr">
        <is>
          <t>999faa03e2fa83bdf40e3760cb8645b4c314e4cc37c2050b8320d6582c4d8167</t>
        </is>
      </c>
      <c r="BB72" s="24" t="inlineStr">
        <is>
          <t>surface_blended_elo</t>
        </is>
      </c>
      <c r="BC72" s="24" t="inlineStr">
        <is>
          <t>tennis-surface-elo-v1</t>
        </is>
      </c>
      <c r="BD72" s="24" t="inlineStr">
        <is>
          <t>999faa03e2fa83bdf40e3760cb8645b4c314e4cc37c2050b8320d6582c4d8167</t>
        </is>
      </c>
      <c r="BE72" s="24" t="inlineStr">
        <is>
          <t>tennis-surface-elo-v1</t>
        </is>
      </c>
      <c r="BF72" s="24" t="inlineStr">
        <is>
          <t>1</t>
        </is>
      </c>
      <c r="BG72" s="24" t="inlineStr">
        <is>
          <t>999faa03e2fa83bdf40e3760cb8645b4c314e4cc37c2050b8320d6582c4d8167</t>
        </is>
      </c>
      <c r="BH72" s="24" t="inlineStr">
        <is>
          <t>2026-07-31T13:39:49.361483Z</t>
        </is>
      </c>
      <c r="BI72" s="24" t="inlineStr">
        <is>
          <t>["same_event","same_team_same_day","same_league_same_day"]</t>
        </is>
      </c>
      <c r="BJ72" s="25" t="n"/>
      <c r="BK72" s="26" t="n">
        <v>122</v>
      </c>
      <c r="BL72" s="27" t="n">
        <v>2.22</v>
      </c>
      <c r="BM72" s="28" t="n">
        <v>0.45045</v>
      </c>
      <c r="BN72" s="28" t="n"/>
      <c r="BO72" s="28" t="n"/>
      <c r="BP72" s="25" t="n"/>
      <c r="BQ72" s="27" t="n">
        <v>2.22</v>
      </c>
      <c r="BR72" s="28" t="n">
        <v>0.45</v>
      </c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</row>
    <row r="73" ht="36" customHeight="1">
      <c r="A73" s="24" t="inlineStr">
        <is>
          <t>b111fbea73f8498b</t>
        </is>
      </c>
      <c r="B73" s="24" t="inlineStr">
        <is>
          <t>2026-07-31T16:48:15.741242Z</t>
        </is>
      </c>
      <c r="C73" s="24" t="inlineStr">
        <is>
          <t>2026-07-31T18:00Z</t>
        </is>
      </c>
      <c r="D73" s="24" t="inlineStr">
        <is>
          <t>875-2026:179555</t>
        </is>
      </c>
      <c r="E73" s="24" t="inlineStr">
        <is>
          <t>TENNIS</t>
        </is>
      </c>
      <c r="F73" s="24" t="inlineStr">
        <is>
          <t>Mai Hontama</t>
        </is>
      </c>
      <c r="G73" s="24" t="inlineStr">
        <is>
          <t>Maddison Inglis</t>
        </is>
      </c>
      <c r="H73" s="24" t="inlineStr">
        <is>
          <t>moneyline</t>
        </is>
      </c>
      <c r="I73" s="24" t="inlineStr">
        <is>
          <t>home</t>
        </is>
      </c>
      <c r="J73" s="25" t="n"/>
      <c r="K73" s="24" t="inlineStr">
        <is>
          <t>polymarket_us</t>
        </is>
      </c>
      <c r="L73" s="26" t="n">
        <v>113</v>
      </c>
      <c r="M73" s="27" t="n">
        <v>2.13</v>
      </c>
      <c r="N73" s="28" t="n">
        <v>0.469484</v>
      </c>
      <c r="O73" s="28" t="n">
        <v>0.568028</v>
      </c>
      <c r="P73" s="28" t="n">
        <v>0.05</v>
      </c>
      <c r="Q73" s="28" t="n">
        <v>0.09854400000000001</v>
      </c>
      <c r="R73" s="26" t="n">
        <v>69</v>
      </c>
      <c r="S73" s="29" t="n">
        <v>1</v>
      </c>
      <c r="T73" s="24" t="inlineStr">
        <is>
          <t>tennis-surface-elo-v1</t>
        </is>
      </c>
      <c r="U73" s="24" t="inlineStr">
        <is>
          <t>settled</t>
        </is>
      </c>
      <c r="V73" s="24" t="inlineStr">
        <is>
          <t>win</t>
        </is>
      </c>
      <c r="W73" s="26" t="n">
        <v>0</v>
      </c>
      <c r="X73" s="26" t="n">
        <v>1</v>
      </c>
      <c r="Y73" s="25" t="n"/>
      <c r="Z73" s="26" t="n">
        <v>113</v>
      </c>
      <c r="AA73" s="28" t="n">
        <v>0.47</v>
      </c>
      <c r="AB73" s="28" t="n">
        <v>0.000516</v>
      </c>
      <c r="AC73" s="30" t="n">
        <v>1.13</v>
      </c>
      <c r="AD73" s="24" t="inlineStr">
        <is>
          <t>2026-07-31T19:51:21.011383Z</t>
        </is>
      </c>
      <c r="AE73" s="31" t="inlineStr">
        <is>
          <t>Surface-blended Elo on Hard: Mai Hontama p=0.432 vs Maddison Inglis. Executable ask 0.4700 (aec-wta-mading-maihon-2026-07-31).</t>
        </is>
      </c>
      <c r="AF73" s="31" t="inlineStr">
        <is>
          <t>Research-only surface-blended Elo model; singles only, WTA-only market coverage, not yet locked-holdout qualified.</t>
        </is>
      </c>
      <c r="AG73" s="24" t="inlineStr">
        <is>
          <t>not_applicable</t>
        </is>
      </c>
      <c r="AH73" s="24" t="n"/>
      <c r="AI73" s="31" t="n"/>
      <c r="AJ73" s="31" t="n"/>
      <c r="AK73" s="24" t="inlineStr">
        <is>
          <t>research_observation</t>
        </is>
      </c>
      <c r="AL73" s="26" t="n">
        <v>3</v>
      </c>
      <c r="AM73" s="24" t="inlineStr">
        <is>
          <t>RESEARCH_OBSERVATION</t>
        </is>
      </c>
      <c r="AN73" s="24" t="inlineStr">
        <is>
          <t>NO_CALL</t>
        </is>
      </c>
      <c r="AO73" s="24" t="inlineStr">
        <is>
          <t>NO_CALL_MODEL_UNVALIDATED</t>
        </is>
      </c>
      <c r="AP73" s="24" t="inlineStr">
        <is>
          <t>Mai Hontama</t>
        </is>
      </c>
      <c r="AQ73" s="24" t="inlineStr">
        <is>
          <t>Mai Hontama</t>
        </is>
      </c>
      <c r="AR73" s="24" t="inlineStr">
        <is>
          <t>Mai Hontama</t>
        </is>
      </c>
      <c r="AS73" s="24" t="inlineStr">
        <is>
          <t>Maddison Inglis</t>
        </is>
      </c>
      <c r="AT73" s="24" t="inlineStr">
        <is>
          <t>Maddison Inglis</t>
        </is>
      </c>
      <c r="AU73" s="24" t="inlineStr">
        <is>
          <t>Maddison Inglis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research</t>
        </is>
      </c>
      <c r="BA73" s="24" t="inlineStr">
        <is>
          <t>999faa03e2fa83bdf40e3760cb8645b4c314e4cc37c2050b8320d6582c4d8167</t>
        </is>
      </c>
      <c r="BB73" s="24" t="inlineStr">
        <is>
          <t>surface_blended_elo</t>
        </is>
      </c>
      <c r="BC73" s="24" t="inlineStr">
        <is>
          <t>tennis-surface-elo-v1</t>
        </is>
      </c>
      <c r="BD73" s="24" t="inlineStr">
        <is>
          <t>999faa03e2fa83bdf40e3760cb8645b4c314e4cc37c2050b8320d6582c4d8167</t>
        </is>
      </c>
      <c r="BE73" s="24" t="inlineStr">
        <is>
          <t>tennis-surface-elo-v1</t>
        </is>
      </c>
      <c r="BF73" s="24" t="inlineStr">
        <is>
          <t>1</t>
        </is>
      </c>
      <c r="BG73" s="24" t="inlineStr">
        <is>
          <t>999faa03e2fa83bdf40e3760cb8645b4c314e4cc37c2050b8320d6582c4d8167</t>
        </is>
      </c>
      <c r="BH73" s="24" t="inlineStr">
        <is>
          <t>2026-07-31T16:46:01.946281Z</t>
        </is>
      </c>
      <c r="BI73" s="24" t="inlineStr">
        <is>
          <t>["same_event","same_team_same_day","same_league_same_day"]</t>
        </is>
      </c>
      <c r="BJ73" s="25" t="n"/>
      <c r="BK73" s="26" t="n">
        <v>113</v>
      </c>
      <c r="BL73" s="27" t="n">
        <v>2.13</v>
      </c>
      <c r="BM73" s="28" t="n">
        <v>0.469484</v>
      </c>
      <c r="BN73" s="28" t="n"/>
      <c r="BO73" s="28" t="n"/>
      <c r="BP73" s="25" t="n"/>
      <c r="BQ73" s="27" t="n">
        <v>2.13</v>
      </c>
      <c r="BR73" s="28" t="n">
        <v>0.47</v>
      </c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</row>
    <row r="74" ht="36" customHeight="1">
      <c r="A74" s="24" t="inlineStr">
        <is>
          <t>0c951108cbed46c5</t>
        </is>
      </c>
      <c r="B74" s="24" t="inlineStr">
        <is>
          <t>2026-07-31T16:48:15.741242Z</t>
        </is>
      </c>
      <c r="C74" s="24" t="inlineStr">
        <is>
          <t>2026-07-31T19:30Z</t>
        </is>
      </c>
      <c r="D74" s="24" t="inlineStr">
        <is>
          <t>875-2026:179554</t>
        </is>
      </c>
      <c r="E74" s="24" t="inlineStr">
        <is>
          <t>TENNIS</t>
        </is>
      </c>
      <c r="F74" s="24" t="inlineStr">
        <is>
          <t>Mananchaya Sawangkaew</t>
        </is>
      </c>
      <c r="G74" s="24" t="inlineStr">
        <is>
          <t>Taylah Preston</t>
        </is>
      </c>
      <c r="H74" s="24" t="inlineStr">
        <is>
          <t>moneyline</t>
        </is>
      </c>
      <c r="I74" s="24" t="inlineStr">
        <is>
          <t>away</t>
        </is>
      </c>
      <c r="J74" s="25" t="n"/>
      <c r="K74" s="24" t="inlineStr">
        <is>
          <t>polymarket_us</t>
        </is>
      </c>
      <c r="L74" s="26" t="n">
        <v>-178</v>
      </c>
      <c r="M74" s="27" t="n">
        <v>1.561798</v>
      </c>
      <c r="N74" s="28" t="n">
        <v>0.640288</v>
      </c>
      <c r="O74" s="28" t="n">
        <v>0.672366</v>
      </c>
      <c r="P74" s="28" t="n">
        <v>0.05</v>
      </c>
      <c r="Q74" s="28" t="n">
        <v>0.032078</v>
      </c>
      <c r="R74" s="26" t="n">
        <v>36</v>
      </c>
      <c r="S74" s="29" t="n">
        <v>1.75</v>
      </c>
      <c r="T74" s="24" t="inlineStr">
        <is>
          <t>tennis-surface-elo-v1</t>
        </is>
      </c>
      <c r="U74" s="24" t="inlineStr">
        <is>
          <t>settled</t>
        </is>
      </c>
      <c r="V74" s="24" t="inlineStr">
        <is>
          <t>loss</t>
        </is>
      </c>
      <c r="W74" s="26" t="n">
        <v>0</v>
      </c>
      <c r="X74" s="26" t="n">
        <v>1</v>
      </c>
      <c r="Y74" s="25" t="n"/>
      <c r="Z74" s="26" t="n">
        <v>-178</v>
      </c>
      <c r="AA74" s="28" t="n">
        <v>0.64</v>
      </c>
      <c r="AB74" s="28" t="n">
        <v>-0.000288</v>
      </c>
      <c r="AC74" s="30" t="n">
        <v>-1.75</v>
      </c>
      <c r="AD74" s="24" t="inlineStr">
        <is>
          <t>2026-07-31T23:28:43.967425Z</t>
        </is>
      </c>
      <c r="AE74" s="31" t="inlineStr">
        <is>
          <t>Surface-blended Elo on Hard: Mananchaya Sawangkaew p=0.672 vs Taylah Preston. Executable ask 0.6400 (aec-wta-taypre-mansaw-2026-07-31).</t>
        </is>
      </c>
      <c r="AF74" s="31" t="inlineStr">
        <is>
          <t>Research-only surface-blended Elo model; singles only, WTA-only market coverage, not yet locked-holdout qualified.</t>
        </is>
      </c>
      <c r="AG74" s="24" t="inlineStr">
        <is>
          <t>review_required</t>
        </is>
      </c>
      <c r="AH74" s="24" t="n"/>
      <c r="AI74" s="31" t="n"/>
      <c r="AJ74" s="31" t="n"/>
      <c r="AK74" s="24" t="inlineStr">
        <is>
          <t>research_observation</t>
        </is>
      </c>
      <c r="AL74" s="26" t="n">
        <v>3</v>
      </c>
      <c r="AM74" s="24" t="inlineStr">
        <is>
          <t>RESEARCH_OBSERVATION</t>
        </is>
      </c>
      <c r="AN74" s="24" t="inlineStr">
        <is>
          <t>NO_CALL</t>
        </is>
      </c>
      <c r="AO74" s="24" t="inlineStr">
        <is>
          <t>NO_CALL_MODEL_UNVALIDATED</t>
        </is>
      </c>
      <c r="AP74" s="24" t="inlineStr">
        <is>
          <t>Mananchaya Sawangkaew</t>
        </is>
      </c>
      <c r="AQ74" s="24" t="inlineStr">
        <is>
          <t>Mananchaya Sawangkaew</t>
        </is>
      </c>
      <c r="AR74" s="24" t="inlineStr">
        <is>
          <t>Mananchaya Sawangkaew</t>
        </is>
      </c>
      <c r="AS74" s="24" t="inlineStr">
        <is>
          <t>Taylah Preston</t>
        </is>
      </c>
      <c r="AT74" s="24" t="inlineStr">
        <is>
          <t>Taylah Preston</t>
        </is>
      </c>
      <c r="AU74" s="24" t="inlineStr">
        <is>
          <t>Taylah Preston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research</t>
        </is>
      </c>
      <c r="BA74" s="24" t="inlineStr">
        <is>
          <t>999faa03e2fa83bdf40e3760cb8645b4c314e4cc37c2050b8320d6582c4d8167</t>
        </is>
      </c>
      <c r="BB74" s="24" t="inlineStr">
        <is>
          <t>surface_blended_elo</t>
        </is>
      </c>
      <c r="BC74" s="24" t="inlineStr">
        <is>
          <t>tennis-surface-elo-v1</t>
        </is>
      </c>
      <c r="BD74" s="24" t="inlineStr">
        <is>
          <t>999faa03e2fa83bdf40e3760cb8645b4c314e4cc37c2050b8320d6582c4d8167</t>
        </is>
      </c>
      <c r="BE74" s="24" t="inlineStr">
        <is>
          <t>tennis-surface-elo-v1</t>
        </is>
      </c>
      <c r="BF74" s="24" t="inlineStr">
        <is>
          <t>1</t>
        </is>
      </c>
      <c r="BG74" s="24" t="inlineStr">
        <is>
          <t>999faa03e2fa83bdf40e3760cb8645b4c314e4cc37c2050b8320d6582c4d8167</t>
        </is>
      </c>
      <c r="BH74" s="24" t="inlineStr">
        <is>
          <t>2026-07-31T16:46:03.748498Z</t>
        </is>
      </c>
      <c r="BI74" s="24" t="inlineStr">
        <is>
          <t>["same_event","same_team_same_day","same_league_same_day"]</t>
        </is>
      </c>
      <c r="BJ74" s="25" t="n"/>
      <c r="BK74" s="26" t="n">
        <v>-178</v>
      </c>
      <c r="BL74" s="27" t="n">
        <v>1.561798</v>
      </c>
      <c r="BM74" s="28" t="n">
        <v>0.640288</v>
      </c>
      <c r="BN74" s="28" t="n"/>
      <c r="BO74" s="28" t="n"/>
      <c r="BP74" s="25" t="n"/>
      <c r="BQ74" s="27" t="n">
        <v>1.561798</v>
      </c>
      <c r="BR74" s="28" t="n">
        <v>0.64</v>
      </c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</row>
    <row r="75" ht="36" customHeight="1">
      <c r="A75" s="24" t="inlineStr">
        <is>
          <t>ae103e8c49014074</t>
        </is>
      </c>
      <c r="B75" s="24" t="inlineStr">
        <is>
          <t>2026-07-31T16:48:15.741242Z</t>
        </is>
      </c>
      <c r="C75" s="24" t="inlineStr">
        <is>
          <t>2026-07-31T18:00Z</t>
        </is>
      </c>
      <c r="D75" s="24" t="inlineStr">
        <is>
          <t>888-2026:179020</t>
        </is>
      </c>
      <c r="E75" s="24" t="inlineStr">
        <is>
          <t>TENNIS</t>
        </is>
      </c>
      <c r="F75" s="24" t="inlineStr">
        <is>
          <t>Naomi Osaka</t>
        </is>
      </c>
      <c r="G75" s="24" t="inlineStr">
        <is>
          <t>Elisabetta Cocciaretto</t>
        </is>
      </c>
      <c r="H75" s="24" t="inlineStr">
        <is>
          <t>moneyline</t>
        </is>
      </c>
      <c r="I75" s="24" t="inlineStr">
        <is>
          <t>away</t>
        </is>
      </c>
      <c r="J75" s="25" t="n"/>
      <c r="K75" s="24" t="inlineStr">
        <is>
          <t>polymarket_us</t>
        </is>
      </c>
      <c r="L75" s="26" t="n">
        <v>-567</v>
      </c>
      <c r="M75" s="27" t="n">
        <v>1.176367</v>
      </c>
      <c r="N75" s="28" t="n">
        <v>0.850075</v>
      </c>
      <c r="O75" s="28" t="n">
        <v>0.686106</v>
      </c>
      <c r="P75" s="28" t="n">
        <v>0.05</v>
      </c>
      <c r="Q75" s="28" t="n">
        <v>-0.163969</v>
      </c>
      <c r="R75" s="26" t="n">
        <v>0</v>
      </c>
      <c r="S75" s="29" t="n">
        <v>2</v>
      </c>
      <c r="T75" s="24" t="inlineStr">
        <is>
          <t>tennis-surface-elo-v1</t>
        </is>
      </c>
      <c r="U75" s="24" t="inlineStr">
        <is>
          <t>settled</t>
        </is>
      </c>
      <c r="V75" s="24" t="inlineStr">
        <is>
          <t>win</t>
        </is>
      </c>
      <c r="W75" s="26" t="n">
        <v>1</v>
      </c>
      <c r="X75" s="26" t="n">
        <v>0</v>
      </c>
      <c r="Y75" s="25" t="n"/>
      <c r="Z75" s="26" t="n">
        <v>-567</v>
      </c>
      <c r="AA75" s="28" t="n">
        <v>0.85</v>
      </c>
      <c r="AB75" s="28" t="n">
        <v>-7.499999999999999e-05</v>
      </c>
      <c r="AC75" s="30" t="n">
        <v>0.3527</v>
      </c>
      <c r="AD75" s="24" t="inlineStr">
        <is>
          <t>2026-07-31T21:03:37.637903Z</t>
        </is>
      </c>
      <c r="AE75" s="31" t="inlineStr">
        <is>
          <t>Surface-blended Elo on Hard: Naomi Osaka p=0.686 vs Elisabetta Cocciaretto. Executable ask 0.8500 (aec-wta-elicoc-naoosa-2026-07-31).</t>
        </is>
      </c>
      <c r="AF75" s="31" t="inlineStr">
        <is>
          <t>Research-only surface-blended Elo model; singles only, WTA-only market coverage, not yet locked-holdout qualified.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research_observation</t>
        </is>
      </c>
      <c r="AL75" s="26" t="n">
        <v>3</v>
      </c>
      <c r="AM75" s="24" t="inlineStr">
        <is>
          <t>RESEARCH_OBSERVATION</t>
        </is>
      </c>
      <c r="AN75" s="24" t="inlineStr">
        <is>
          <t>NO_CALL</t>
        </is>
      </c>
      <c r="AO75" s="24" t="inlineStr">
        <is>
          <t>NO_CALL_MODEL_UNVALIDATED</t>
        </is>
      </c>
      <c r="AP75" s="24" t="inlineStr">
        <is>
          <t>Naomi Osaka</t>
        </is>
      </c>
      <c r="AQ75" s="24" t="inlineStr">
        <is>
          <t>Naomi Osaka</t>
        </is>
      </c>
      <c r="AR75" s="24" t="inlineStr">
        <is>
          <t>Naomi Osaka</t>
        </is>
      </c>
      <c r="AS75" s="24" t="inlineStr">
        <is>
          <t>Elisabetta Cocciaretto</t>
        </is>
      </c>
      <c r="AT75" s="24" t="inlineStr">
        <is>
          <t>Elisabetta Cocciaretto</t>
        </is>
      </c>
      <c r="AU75" s="24" t="inlineStr">
        <is>
          <t>Elisabetta Cocciaretto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research</t>
        </is>
      </c>
      <c r="BA75" s="24" t="inlineStr">
        <is>
          <t>999faa03e2fa83bdf40e3760cb8645b4c314e4cc37c2050b8320d6582c4d8167</t>
        </is>
      </c>
      <c r="BB75" s="24" t="inlineStr">
        <is>
          <t>surface_blended_elo</t>
        </is>
      </c>
      <c r="BC75" s="24" t="inlineStr">
        <is>
          <t>tennis-surface-elo-v1</t>
        </is>
      </c>
      <c r="BD75" s="24" t="inlineStr">
        <is>
          <t>999faa03e2fa83bdf40e3760cb8645b4c314e4cc37c2050b8320d6582c4d8167</t>
        </is>
      </c>
      <c r="BE75" s="24" t="inlineStr">
        <is>
          <t>tennis-surface-elo-v1</t>
        </is>
      </c>
      <c r="BF75" s="24" t="inlineStr">
        <is>
          <t>1</t>
        </is>
      </c>
      <c r="BG75" s="24" t="inlineStr">
        <is>
          <t>999faa03e2fa83bdf40e3760cb8645b4c314e4cc37c2050b8320d6582c4d8167</t>
        </is>
      </c>
      <c r="BH75" s="24" t="inlineStr">
        <is>
          <t>2026-07-31T16:46:01.916062Z</t>
        </is>
      </c>
      <c r="BI75" s="24" t="inlineStr">
        <is>
          <t>["same_event","same_team_same_day","same_league_same_day"]</t>
        </is>
      </c>
      <c r="BJ75" s="25" t="n"/>
      <c r="BK75" s="26" t="n">
        <v>-567</v>
      </c>
      <c r="BL75" s="27" t="n">
        <v>1.176367</v>
      </c>
      <c r="BM75" s="28" t="n">
        <v>0.850075</v>
      </c>
      <c r="BN75" s="28" t="n"/>
      <c r="BO75" s="28" t="n"/>
      <c r="BP75" s="25" t="n"/>
      <c r="BQ75" s="27" t="n">
        <v>1.176367</v>
      </c>
      <c r="BR75" s="28" t="n">
        <v>0.85</v>
      </c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</row>
    <row r="76" ht="36" customHeight="1">
      <c r="A76" s="24" t="inlineStr">
        <is>
          <t>4a44c2c843454d56</t>
        </is>
      </c>
      <c r="B76" s="24" t="inlineStr">
        <is>
          <t>2026-07-31T16:48:15.741242Z</t>
        </is>
      </c>
      <c r="C76" s="24" t="inlineStr">
        <is>
          <t>2026-07-31T17:30Z</t>
        </is>
      </c>
      <c r="D76" s="24" t="inlineStr">
        <is>
          <t>1067-2026:179453</t>
        </is>
      </c>
      <c r="E76" s="24" t="inlineStr">
        <is>
          <t>TENNIS</t>
        </is>
      </c>
      <c r="F76" s="24" t="inlineStr">
        <is>
          <t>Peyton Stearns</t>
        </is>
      </c>
      <c r="G76" s="24" t="inlineStr">
        <is>
          <t>Elvina Kalieva</t>
        </is>
      </c>
      <c r="H76" s="24" t="inlineStr">
        <is>
          <t>moneyline</t>
        </is>
      </c>
      <c r="I76" s="24" t="inlineStr">
        <is>
          <t>away</t>
        </is>
      </c>
      <c r="J76" s="25" t="n"/>
      <c r="K76" s="24" t="inlineStr">
        <is>
          <t>polymarket_us</t>
        </is>
      </c>
      <c r="L76" s="26" t="n">
        <v>-270</v>
      </c>
      <c r="M76" s="27" t="n">
        <v>1.37037</v>
      </c>
      <c r="N76" s="28" t="n">
        <v>0.72973</v>
      </c>
      <c r="O76" s="28" t="n">
        <v>0.604555</v>
      </c>
      <c r="P76" s="28" t="n">
        <v>0.05</v>
      </c>
      <c r="Q76" s="28" t="n">
        <v>-0.125175</v>
      </c>
      <c r="R76" s="26" t="n">
        <v>0</v>
      </c>
      <c r="S76" s="29" t="n">
        <v>1.25</v>
      </c>
      <c r="T76" s="24" t="inlineStr">
        <is>
          <t>tennis-surface-elo-v1</t>
        </is>
      </c>
      <c r="U76" s="24" t="inlineStr">
        <is>
          <t>settled</t>
        </is>
      </c>
      <c r="V76" s="24" t="inlineStr">
        <is>
          <t>loss</t>
        </is>
      </c>
      <c r="W76" s="26" t="n">
        <v>0</v>
      </c>
      <c r="X76" s="26" t="n">
        <v>1</v>
      </c>
      <c r="Y76" s="25" t="n"/>
      <c r="Z76" s="26" t="n">
        <v>-270</v>
      </c>
      <c r="AA76" s="28" t="n">
        <v>0.73</v>
      </c>
      <c r="AB76" s="28" t="n">
        <v>0.00027</v>
      </c>
      <c r="AC76" s="30" t="n">
        <v>-1.25</v>
      </c>
      <c r="AD76" s="24" t="inlineStr">
        <is>
          <t>2026-07-31T23:28:44.202315Z</t>
        </is>
      </c>
      <c r="AE76" s="31" t="inlineStr">
        <is>
          <t>Surface-blended Elo on Hard: Peyton Stearns p=0.605 vs Elvina Kalieva. Executable ask 0.7300 (aec-wta-elvkal-peyste-2026-07-31).</t>
        </is>
      </c>
      <c r="AF76" s="31" t="inlineStr">
        <is>
          <t>Research-only surface-blended Elo model; singles only, WTA-only market coverage, not yet locked-holdout qualified.</t>
        </is>
      </c>
      <c r="AG76" s="24" t="inlineStr">
        <is>
          <t>review_required</t>
        </is>
      </c>
      <c r="AH76" s="24" t="n"/>
      <c r="AI76" s="31" t="n"/>
      <c r="AJ76" s="31" t="n"/>
      <c r="AK76" s="24" t="inlineStr">
        <is>
          <t>research_observation</t>
        </is>
      </c>
      <c r="AL76" s="26" t="n">
        <v>3</v>
      </c>
      <c r="AM76" s="24" t="inlineStr">
        <is>
          <t>RESEARCH_OBSERVATION</t>
        </is>
      </c>
      <c r="AN76" s="24" t="inlineStr">
        <is>
          <t>NO_CALL</t>
        </is>
      </c>
      <c r="AO76" s="24" t="inlineStr">
        <is>
          <t>NO_CALL_MODEL_UNVALIDATED</t>
        </is>
      </c>
      <c r="AP76" s="24" t="inlineStr">
        <is>
          <t>Peyton Stearns</t>
        </is>
      </c>
      <c r="AQ76" s="24" t="inlineStr">
        <is>
          <t>Peyton Stearns</t>
        </is>
      </c>
      <c r="AR76" s="24" t="inlineStr">
        <is>
          <t>Peyton Stearns</t>
        </is>
      </c>
      <c r="AS76" s="24" t="inlineStr">
        <is>
          <t>Elvina Kalieva</t>
        </is>
      </c>
      <c r="AT76" s="24" t="inlineStr">
        <is>
          <t>Elvina Kalieva</t>
        </is>
      </c>
      <c r="AU76" s="24" t="inlineStr">
        <is>
          <t>Elvina Kalieva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research</t>
        </is>
      </c>
      <c r="BA76" s="24" t="inlineStr">
        <is>
          <t>999faa03e2fa83bdf40e3760cb8645b4c314e4cc37c2050b8320d6582c4d8167</t>
        </is>
      </c>
      <c r="BB76" s="24" t="inlineStr">
        <is>
          <t>surface_blended_elo</t>
        </is>
      </c>
      <c r="BC76" s="24" t="inlineStr">
        <is>
          <t>tennis-surface-elo-v1</t>
        </is>
      </c>
      <c r="BD76" s="24" t="inlineStr">
        <is>
          <t>999faa03e2fa83bdf40e3760cb8645b4c314e4cc37c2050b8320d6582c4d8167</t>
        </is>
      </c>
      <c r="BE76" s="24" t="inlineStr">
        <is>
          <t>tennis-surface-elo-v1</t>
        </is>
      </c>
      <c r="BF76" s="24" t="inlineStr">
        <is>
          <t>1</t>
        </is>
      </c>
      <c r="BG76" s="24" t="inlineStr">
        <is>
          <t>999faa03e2fa83bdf40e3760cb8645b4c314e4cc37c2050b8320d6582c4d8167</t>
        </is>
      </c>
      <c r="BH76" s="24" t="inlineStr">
        <is>
          <t>2026-07-31T16:46:00.001887Z</t>
        </is>
      </c>
      <c r="BI76" s="24" t="inlineStr">
        <is>
          <t>["same_event","same_team_same_day","same_league_same_day"]</t>
        </is>
      </c>
      <c r="BJ76" s="25" t="n"/>
      <c r="BK76" s="26" t="n">
        <v>-270</v>
      </c>
      <c r="BL76" s="27" t="n">
        <v>1.37037</v>
      </c>
      <c r="BM76" s="28" t="n">
        <v>0.72973</v>
      </c>
      <c r="BN76" s="28" t="n"/>
      <c r="BO76" s="28" t="n"/>
      <c r="BP76" s="25" t="n"/>
      <c r="BQ76" s="27" t="n">
        <v>1.37037</v>
      </c>
      <c r="BR76" s="28" t="n">
        <v>0.73</v>
      </c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</row>
    <row r="77" ht="36" customHeight="1">
      <c r="A77" s="24" t="inlineStr">
        <is>
          <t>860a8c7addb04dc6</t>
        </is>
      </c>
      <c r="B77" s="24" t="inlineStr">
        <is>
          <t>2026-07-31T16:48:15.741242Z</t>
        </is>
      </c>
      <c r="C77" s="24" t="inlineStr">
        <is>
          <t>2026-07-31T19:00Z</t>
        </is>
      </c>
      <c r="D77" s="24" t="inlineStr">
        <is>
          <t>1067-2026:179446</t>
        </is>
      </c>
      <c r="E77" s="24" t="inlineStr">
        <is>
          <t>TENNIS</t>
        </is>
      </c>
      <c r="F77" s="24" t="inlineStr">
        <is>
          <t>Renata Zarazua</t>
        </is>
      </c>
      <c r="G77" s="24" t="inlineStr">
        <is>
          <t>Anastasia Zakharova</t>
        </is>
      </c>
      <c r="H77" s="24" t="inlineStr">
        <is>
          <t>moneyline</t>
        </is>
      </c>
      <c r="I77" s="24" t="inlineStr">
        <is>
          <t>home</t>
        </is>
      </c>
      <c r="J77" s="25" t="n"/>
      <c r="K77" s="24" t="inlineStr">
        <is>
          <t>polymarket_us</t>
        </is>
      </c>
      <c r="L77" s="26" t="n">
        <v>-144</v>
      </c>
      <c r="M77" s="27" t="n">
        <v>1.694444</v>
      </c>
      <c r="N77" s="28" t="n">
        <v>0.590164</v>
      </c>
      <c r="O77" s="28" t="n">
        <v>0.687737</v>
      </c>
      <c r="P77" s="28" t="n">
        <v>0.05</v>
      </c>
      <c r="Q77" s="28" t="n">
        <v>0.09757299999999999</v>
      </c>
      <c r="R77" s="26" t="n">
        <v>69</v>
      </c>
      <c r="S77" s="29" t="n">
        <v>2</v>
      </c>
      <c r="T77" s="24" t="inlineStr">
        <is>
          <t>tennis-surface-elo-v1</t>
        </is>
      </c>
      <c r="U77" s="24" t="inlineStr">
        <is>
          <t>settled</t>
        </is>
      </c>
      <c r="V77" s="24" t="inlineStr">
        <is>
          <t>loss</t>
        </is>
      </c>
      <c r="W77" s="26" t="n">
        <v>1</v>
      </c>
      <c r="X77" s="26" t="n">
        <v>0</v>
      </c>
      <c r="Y77" s="25" t="n"/>
      <c r="Z77" s="26" t="n">
        <v>-144</v>
      </c>
      <c r="AA77" s="28" t="n">
        <v>0.59</v>
      </c>
      <c r="AB77" s="28" t="n">
        <v>-0.000164</v>
      </c>
      <c r="AC77" s="30" t="n">
        <v>-2</v>
      </c>
      <c r="AD77" s="24" t="inlineStr">
        <is>
          <t>2026-08-01T03:00:16.522549Z</t>
        </is>
      </c>
      <c r="AE77" s="31" t="inlineStr">
        <is>
          <t>Surface-blended Elo on Hard: Renata Zarazua p=0.312 vs Anastasia Zakharova. Executable ask 0.5900 (aec-wta-anazak-renzar-2026-07-30).</t>
        </is>
      </c>
      <c r="AF77" s="31" t="inlineStr">
        <is>
          <t>Research-only surface-blended Elo model; singles only, WTA-only market coverage, not yet locked-holdout qualified.</t>
        </is>
      </c>
      <c r="AG77" s="24" t="inlineStr">
        <is>
          <t>review_required</t>
        </is>
      </c>
      <c r="AH77" s="24" t="n"/>
      <c r="AI77" s="31" t="n"/>
      <c r="AJ77" s="31" t="n"/>
      <c r="AK77" s="24" t="inlineStr">
        <is>
          <t>research_observation</t>
        </is>
      </c>
      <c r="AL77" s="26" t="n">
        <v>3</v>
      </c>
      <c r="AM77" s="24" t="inlineStr">
        <is>
          <t>RESEARCH_OBSERVATION</t>
        </is>
      </c>
      <c r="AN77" s="24" t="inlineStr">
        <is>
          <t>NO_CALL</t>
        </is>
      </c>
      <c r="AO77" s="24" t="inlineStr">
        <is>
          <t>NO_CALL_MODEL_UNVALIDATED</t>
        </is>
      </c>
      <c r="AP77" s="24" t="inlineStr">
        <is>
          <t>Renata Zarazua</t>
        </is>
      </c>
      <c r="AQ77" s="24" t="inlineStr">
        <is>
          <t>Renata Zarazua</t>
        </is>
      </c>
      <c r="AR77" s="24" t="inlineStr">
        <is>
          <t>Renata Zarazua</t>
        </is>
      </c>
      <c r="AS77" s="24" t="inlineStr">
        <is>
          <t>Anastasia Zakharova</t>
        </is>
      </c>
      <c r="AT77" s="24" t="inlineStr">
        <is>
          <t>Anastasia Zakharova</t>
        </is>
      </c>
      <c r="AU77" s="24" t="inlineStr">
        <is>
          <t>Anastasia Zakharova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research</t>
        </is>
      </c>
      <c r="BA77" s="24" t="inlineStr">
        <is>
          <t>999faa03e2fa83bdf40e3760cb8645b4c314e4cc37c2050b8320d6582c4d8167</t>
        </is>
      </c>
      <c r="BB77" s="24" t="inlineStr">
        <is>
          <t>surface_blended_elo</t>
        </is>
      </c>
      <c r="BC77" s="24" t="inlineStr">
        <is>
          <t>tennis-surface-elo-v1</t>
        </is>
      </c>
      <c r="BD77" s="24" t="inlineStr">
        <is>
          <t>999faa03e2fa83bdf40e3760cb8645b4c314e4cc37c2050b8320d6582c4d8167</t>
        </is>
      </c>
      <c r="BE77" s="24" t="inlineStr">
        <is>
          <t>tennis-surface-elo-v1</t>
        </is>
      </c>
      <c r="BF77" s="24" t="inlineStr">
        <is>
          <t>1</t>
        </is>
      </c>
      <c r="BG77" s="24" t="inlineStr">
        <is>
          <t>999faa03e2fa83bdf40e3760cb8645b4c314e4cc37c2050b8320d6582c4d8167</t>
        </is>
      </c>
      <c r="BH77" s="24" t="inlineStr">
        <is>
          <t>2026-07-31T16:46:02.750394Z</t>
        </is>
      </c>
      <c r="BI77" s="24" t="inlineStr">
        <is>
          <t>["same_event","same_team_same_day","same_league_same_day"]</t>
        </is>
      </c>
      <c r="BJ77" s="25" t="n"/>
      <c r="BK77" s="26" t="n">
        <v>-144</v>
      </c>
      <c r="BL77" s="27" t="n">
        <v>1.694444</v>
      </c>
      <c r="BM77" s="28" t="n">
        <v>0.590164</v>
      </c>
      <c r="BN77" s="28" t="n"/>
      <c r="BO77" s="28" t="n"/>
      <c r="BP77" s="25" t="n"/>
      <c r="BQ77" s="27" t="n">
        <v>1.694444</v>
      </c>
      <c r="BR77" s="28" t="n">
        <v>0.59</v>
      </c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</row>
    <row r="78" ht="36" customHeight="1">
      <c r="A78" s="24" t="inlineStr">
        <is>
          <t>1fc8e155851e45b3</t>
        </is>
      </c>
      <c r="B78" s="24" t="inlineStr">
        <is>
          <t>2026-07-31T19:55:18.326039Z</t>
        </is>
      </c>
      <c r="C78" s="24" t="inlineStr">
        <is>
          <t>2026-07-31T20:10Z</t>
        </is>
      </c>
      <c r="D78" s="24" t="inlineStr">
        <is>
          <t>888-2026:179004</t>
        </is>
      </c>
      <c r="E78" s="24" t="inlineStr">
        <is>
          <t>TENNIS</t>
        </is>
      </c>
      <c r="F78" s="24" t="inlineStr">
        <is>
          <t>Liudmila Samsonova</t>
        </is>
      </c>
      <c r="G78" s="24" t="inlineStr">
        <is>
          <t>Diana Shnaider</t>
        </is>
      </c>
      <c r="H78" s="24" t="inlineStr">
        <is>
          <t>moneyline</t>
        </is>
      </c>
      <c r="I78" s="24" t="inlineStr">
        <is>
          <t>home</t>
        </is>
      </c>
      <c r="J78" s="25" t="n"/>
      <c r="K78" s="24" t="inlineStr">
        <is>
          <t>polymarket_us</t>
        </is>
      </c>
      <c r="L78" s="26" t="n">
        <v>-113</v>
      </c>
      <c r="M78" s="27" t="n">
        <v>1.884956</v>
      </c>
      <c r="N78" s="28" t="n">
        <v>0.530516</v>
      </c>
      <c r="O78" s="28" t="n">
        <v>0.6818650000000001</v>
      </c>
      <c r="P78" s="28" t="n">
        <v>0.05</v>
      </c>
      <c r="Q78" s="28" t="n">
        <v>0.151349</v>
      </c>
      <c r="R78" s="26" t="n">
        <v>96</v>
      </c>
      <c r="S78" s="29" t="n">
        <v>2</v>
      </c>
      <c r="T78" s="24" t="inlineStr">
        <is>
          <t>tennis-surface-elo-v1</t>
        </is>
      </c>
      <c r="U78" s="24" t="inlineStr">
        <is>
          <t>settled</t>
        </is>
      </c>
      <c r="V78" s="24" t="inlineStr">
        <is>
          <t>win</t>
        </is>
      </c>
      <c r="W78" s="26" t="n">
        <v>0</v>
      </c>
      <c r="X78" s="26" t="n">
        <v>1</v>
      </c>
      <c r="Y78" s="25" t="n"/>
      <c r="Z78" s="26" t="n">
        <v>-113</v>
      </c>
      <c r="AA78" s="28" t="n">
        <v>0.53</v>
      </c>
      <c r="AB78" s="28" t="n">
        <v>-0.000516</v>
      </c>
      <c r="AC78" s="30" t="n">
        <v>1.7699</v>
      </c>
      <c r="AD78" s="24" t="inlineStr">
        <is>
          <t>2026-07-31T23:28:44.433663Z</t>
        </is>
      </c>
      <c r="AE78" s="31" t="inlineStr">
        <is>
          <t>Surface-blended Elo on Hard: Liudmila Samsonova p=0.318 vs Diana Shnaider. Executable ask 0.5300 (aec-wta-diashn-liusam-2026-07-31).</t>
        </is>
      </c>
      <c r="AF78" s="31" t="inlineStr">
        <is>
          <t>Research-only surface-blended Elo model; singles only, WTA-only market coverage, not yet locked-holdout qualified.</t>
        </is>
      </c>
      <c r="AG78" s="24" t="inlineStr">
        <is>
          <t>not_applicable</t>
        </is>
      </c>
      <c r="AH78" s="24" t="n"/>
      <c r="AI78" s="31" t="n"/>
      <c r="AJ78" s="31" t="n"/>
      <c r="AK78" s="24" t="inlineStr">
        <is>
          <t>research_observation</t>
        </is>
      </c>
      <c r="AL78" s="26" t="n">
        <v>3</v>
      </c>
      <c r="AM78" s="24" t="inlineStr">
        <is>
          <t>RESEARCH_OBSERVATION</t>
        </is>
      </c>
      <c r="AN78" s="24" t="inlineStr">
        <is>
          <t>NO_CALL</t>
        </is>
      </c>
      <c r="AO78" s="24" t="inlineStr">
        <is>
          <t>NO_CALL_MODEL_UNVALIDATED</t>
        </is>
      </c>
      <c r="AP78" s="24" t="inlineStr">
        <is>
          <t>Liudmila Samsonova</t>
        </is>
      </c>
      <c r="AQ78" s="24" t="inlineStr">
        <is>
          <t>Liudmila Samsonova</t>
        </is>
      </c>
      <c r="AR78" s="24" t="inlineStr">
        <is>
          <t>Liudmila Samsonova</t>
        </is>
      </c>
      <c r="AS78" s="24" t="inlineStr">
        <is>
          <t>Diana Shnaider</t>
        </is>
      </c>
      <c r="AT78" s="24" t="inlineStr">
        <is>
          <t>Diana Shnaider</t>
        </is>
      </c>
      <c r="AU78" s="24" t="inlineStr">
        <is>
          <t>Diana Shnaider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research</t>
        </is>
      </c>
      <c r="BA78" s="24" t="inlineStr">
        <is>
          <t>999faa03e2fa83bdf40e3760cb8645b4c314e4cc37c2050b8320d6582c4d8167</t>
        </is>
      </c>
      <c r="BB78" s="24" t="inlineStr">
        <is>
          <t>surface_blended_elo</t>
        </is>
      </c>
      <c r="BC78" s="24" t="inlineStr">
        <is>
          <t>tennis-surface-elo-v1</t>
        </is>
      </c>
      <c r="BD78" s="24" t="inlineStr">
        <is>
          <t>999faa03e2fa83bdf40e3760cb8645b4c314e4cc37c2050b8320d6582c4d8167</t>
        </is>
      </c>
      <c r="BE78" s="24" t="inlineStr">
        <is>
          <t>tennis-surface-elo-v1</t>
        </is>
      </c>
      <c r="BF78" s="24" t="inlineStr">
        <is>
          <t>1</t>
        </is>
      </c>
      <c r="BG78" s="24" t="inlineStr">
        <is>
          <t>999faa03e2fa83bdf40e3760cb8645b4c314e4cc37c2050b8320d6582c4d8167</t>
        </is>
      </c>
      <c r="BH78" s="24" t="inlineStr">
        <is>
          <t>2026-07-31T19:53:05.806055Z</t>
        </is>
      </c>
      <c r="BI78" s="24" t="inlineStr">
        <is>
          <t>["same_event","same_team_same_day","same_league_same_day"]</t>
        </is>
      </c>
      <c r="BJ78" s="25" t="n"/>
      <c r="BK78" s="26" t="n">
        <v>-113</v>
      </c>
      <c r="BL78" s="27" t="n">
        <v>1.884956</v>
      </c>
      <c r="BM78" s="28" t="n">
        <v>0.530516</v>
      </c>
      <c r="BN78" s="28" t="n"/>
      <c r="BO78" s="28" t="n"/>
      <c r="BP78" s="25" t="n"/>
      <c r="BQ78" s="27" t="n">
        <v>1.884956</v>
      </c>
      <c r="BR78" s="28" t="n">
        <v>0.53</v>
      </c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</row>
    <row r="79" ht="36" customHeight="1">
      <c r="A79" s="24" t="inlineStr">
        <is>
          <t>b1115c560fa34be6</t>
        </is>
      </c>
      <c r="B79" s="24" t="inlineStr">
        <is>
          <t>2026-07-31T21:07:23.884398Z</t>
        </is>
      </c>
      <c r="C79" s="24" t="inlineStr">
        <is>
          <t>2026-07-31T22:30Z</t>
        </is>
      </c>
      <c r="D79" s="24" t="inlineStr">
        <is>
          <t>888-2026:179019</t>
        </is>
      </c>
      <c r="E79" s="24" t="inlineStr">
        <is>
          <t>TENNIS</t>
        </is>
      </c>
      <c r="F79" s="24" t="inlineStr">
        <is>
          <t>Elina Svitolina</t>
        </is>
      </c>
      <c r="G79" s="24" t="inlineStr">
        <is>
          <t>Alexandra Eala</t>
        </is>
      </c>
      <c r="H79" s="24" t="inlineStr">
        <is>
          <t>moneyline</t>
        </is>
      </c>
      <c r="I79" s="24" t="inlineStr">
        <is>
          <t>away</t>
        </is>
      </c>
      <c r="J79" s="25" t="n"/>
      <c r="K79" s="24" t="inlineStr">
        <is>
          <t>polymarket_us</t>
        </is>
      </c>
      <c r="L79" s="26" t="n">
        <v>-144</v>
      </c>
      <c r="M79" s="27" t="n">
        <v>1.694444</v>
      </c>
      <c r="N79" s="28" t="n">
        <v>0.590164</v>
      </c>
      <c r="O79" s="28" t="n">
        <v>0.710107</v>
      </c>
      <c r="P79" s="28" t="n">
        <v>0.05</v>
      </c>
      <c r="Q79" s="28" t="n">
        <v>0.119943</v>
      </c>
      <c r="R79" s="26" t="n">
        <v>80</v>
      </c>
      <c r="S79" s="29" t="n">
        <v>2</v>
      </c>
      <c r="T79" s="24" t="inlineStr">
        <is>
          <t>tennis-surface-elo-v1</t>
        </is>
      </c>
      <c r="U79" s="24" t="inlineStr">
        <is>
          <t>settled</t>
        </is>
      </c>
      <c r="V79" s="24" t="inlineStr">
        <is>
          <t>loss</t>
        </is>
      </c>
      <c r="W79" s="26" t="n">
        <v>0</v>
      </c>
      <c r="X79" s="26" t="n">
        <v>1</v>
      </c>
      <c r="Y79" s="25" t="n"/>
      <c r="Z79" s="26" t="n">
        <v>-144</v>
      </c>
      <c r="AA79" s="28" t="n">
        <v>0.59</v>
      </c>
      <c r="AB79" s="28" t="n">
        <v>-0.000164</v>
      </c>
      <c r="AC79" s="30" t="n">
        <v>-2</v>
      </c>
      <c r="AD79" s="24" t="inlineStr">
        <is>
          <t>2026-08-01T03:00:16.760498Z</t>
        </is>
      </c>
      <c r="AE79" s="31" t="inlineStr">
        <is>
          <t>Surface-blended Elo on Hard: Elina Svitolina p=0.710 vs Alexandra Eala. Executable ask 0.5900 (aec-wta-aleeal-elisvi-2026-08-01).</t>
        </is>
      </c>
      <c r="AF79" s="31" t="inlineStr">
        <is>
          <t>Research-only surface-blended Elo model; singles only, WTA-only market coverage, not yet locked-holdout qualified.</t>
        </is>
      </c>
      <c r="AG79" s="24" t="inlineStr">
        <is>
          <t>review_required</t>
        </is>
      </c>
      <c r="AH79" s="24" t="n"/>
      <c r="AI79" s="31" t="n"/>
      <c r="AJ79" s="31" t="n"/>
      <c r="AK79" s="24" t="inlineStr">
        <is>
          <t>research_observation</t>
        </is>
      </c>
      <c r="AL79" s="26" t="n">
        <v>3</v>
      </c>
      <c r="AM79" s="24" t="inlineStr">
        <is>
          <t>RESEARCH_OBSERVATION</t>
        </is>
      </c>
      <c r="AN79" s="24" t="inlineStr">
        <is>
          <t>NO_CALL</t>
        </is>
      </c>
      <c r="AO79" s="24" t="inlineStr">
        <is>
          <t>NO_CALL_MODEL_UNVALIDATED</t>
        </is>
      </c>
      <c r="AP79" s="24" t="inlineStr">
        <is>
          <t>Elina Svitolina</t>
        </is>
      </c>
      <c r="AQ79" s="24" t="inlineStr">
        <is>
          <t>Elina Svitolina</t>
        </is>
      </c>
      <c r="AR79" s="24" t="inlineStr">
        <is>
          <t>Elina Svitolina</t>
        </is>
      </c>
      <c r="AS79" s="24" t="inlineStr">
        <is>
          <t>Alexandra Eala</t>
        </is>
      </c>
      <c r="AT79" s="24" t="inlineStr">
        <is>
          <t>Alexandra Eala</t>
        </is>
      </c>
      <c r="AU79" s="24" t="inlineStr">
        <is>
          <t>Alexandra Eala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research</t>
        </is>
      </c>
      <c r="BA79" s="24" t="inlineStr">
        <is>
          <t>999faa03e2fa83bdf40e3760cb8645b4c314e4cc37c2050b8320d6582c4d8167</t>
        </is>
      </c>
      <c r="BB79" s="24" t="inlineStr">
        <is>
          <t>surface_blended_elo</t>
        </is>
      </c>
      <c r="BC79" s="24" t="inlineStr">
        <is>
          <t>tennis-surface-elo-v1</t>
        </is>
      </c>
      <c r="BD79" s="24" t="inlineStr">
        <is>
          <t>999faa03e2fa83bdf40e3760cb8645b4c314e4cc37c2050b8320d6582c4d8167</t>
        </is>
      </c>
      <c r="BE79" s="24" t="inlineStr">
        <is>
          <t>tennis-surface-elo-v1</t>
        </is>
      </c>
      <c r="BF79" s="24" t="inlineStr">
        <is>
          <t>1</t>
        </is>
      </c>
      <c r="BG79" s="24" t="inlineStr">
        <is>
          <t>999faa03e2fa83bdf40e3760cb8645b4c314e4cc37c2050b8320d6582c4d8167</t>
        </is>
      </c>
      <c r="BH79" s="24" t="inlineStr">
        <is>
          <t>2026-07-31T21:05:12.590790Z</t>
        </is>
      </c>
      <c r="BI79" s="24" t="inlineStr">
        <is>
          <t>["same_event","same_team_same_day","same_league_same_day"]</t>
        </is>
      </c>
      <c r="BJ79" s="25" t="n"/>
      <c r="BK79" s="26" t="n">
        <v>-144</v>
      </c>
      <c r="BL79" s="27" t="n">
        <v>1.694444</v>
      </c>
      <c r="BM79" s="28" t="n">
        <v>0.590164</v>
      </c>
      <c r="BN79" s="28" t="n"/>
      <c r="BO79" s="28" t="n"/>
      <c r="BP79" s="25" t="n"/>
      <c r="BQ79" s="27" t="n">
        <v>1.694444</v>
      </c>
      <c r="BR79" s="28" t="n">
        <v>0.59</v>
      </c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</row>
    <row r="80" ht="36" customHeight="1">
      <c r="A80" s="24" t="inlineStr">
        <is>
          <t>10eed2ec1da54da9</t>
        </is>
      </c>
      <c r="B80" s="24" t="inlineStr">
        <is>
          <t>2026-07-31T21:07:23.884398Z</t>
        </is>
      </c>
      <c r="C80" s="24" t="inlineStr">
        <is>
          <t>2026-07-31T23:00Z</t>
        </is>
      </c>
      <c r="D80" s="24" t="inlineStr">
        <is>
          <t>1067-2026:179447</t>
        </is>
      </c>
      <c r="E80" s="24" t="inlineStr">
        <is>
          <t>TENNIS</t>
        </is>
      </c>
      <c r="F80" s="24" t="inlineStr">
        <is>
          <t>Katie Volynets</t>
        </is>
      </c>
      <c r="G80" s="24" t="inlineStr">
        <is>
          <t>Darja Vidmanova</t>
        </is>
      </c>
      <c r="H80" s="24" t="inlineStr">
        <is>
          <t>moneyline</t>
        </is>
      </c>
      <c r="I80" s="24" t="inlineStr">
        <is>
          <t>away</t>
        </is>
      </c>
      <c r="J80" s="25" t="n"/>
      <c r="K80" s="24" t="inlineStr">
        <is>
          <t>polymarket_us</t>
        </is>
      </c>
      <c r="L80" s="26" t="n">
        <v>-194</v>
      </c>
      <c r="M80" s="27" t="n">
        <v>1.515464</v>
      </c>
      <c r="N80" s="28" t="n">
        <v>0.659864</v>
      </c>
      <c r="O80" s="28" t="n">
        <v>0.58929</v>
      </c>
      <c r="P80" s="28" t="n">
        <v>0.05</v>
      </c>
      <c r="Q80" s="28" t="n">
        <v>-0.070574</v>
      </c>
      <c r="R80" s="26" t="n">
        <v>0</v>
      </c>
      <c r="S80" s="29" t="n">
        <v>1.25</v>
      </c>
      <c r="T80" s="24" t="inlineStr">
        <is>
          <t>tennis-surface-elo-v1</t>
        </is>
      </c>
      <c r="U80" s="24" t="inlineStr">
        <is>
          <t>settled</t>
        </is>
      </c>
      <c r="V80" s="24" t="inlineStr">
        <is>
          <t>loss</t>
        </is>
      </c>
      <c r="W80" s="26" t="n">
        <v>0</v>
      </c>
      <c r="X80" s="26" t="n">
        <v>1</v>
      </c>
      <c r="Y80" s="25" t="n"/>
      <c r="Z80" s="26" t="n">
        <v>-194</v>
      </c>
      <c r="AA80" s="28" t="n">
        <v>0.66</v>
      </c>
      <c r="AB80" s="28" t="n">
        <v>0.000136</v>
      </c>
      <c r="AC80" s="30" t="n">
        <v>-1.25</v>
      </c>
      <c r="AD80" s="24" t="inlineStr">
        <is>
          <t>2026-08-01T05:33:51.231172Z</t>
        </is>
      </c>
      <c r="AE80" s="31" t="inlineStr">
        <is>
          <t>Surface-blended Elo on Hard: Katie Volynets p=0.589 vs Darja Vidmanova. Executable ask 0.6600 (aec-wta-darvid-katvol-2026-07-31).</t>
        </is>
      </c>
      <c r="AF80" s="31" t="inlineStr">
        <is>
          <t>Research-only surface-blended Elo model; singles only, WTA-only market coverage, not yet locked-holdout qualified.</t>
        </is>
      </c>
      <c r="AG80" s="24" t="inlineStr">
        <is>
          <t>review_required</t>
        </is>
      </c>
      <c r="AH80" s="24" t="n"/>
      <c r="AI80" s="31" t="n"/>
      <c r="AJ80" s="31" t="n"/>
      <c r="AK80" s="24" t="inlineStr">
        <is>
          <t>research_observation</t>
        </is>
      </c>
      <c r="AL80" s="26" t="n">
        <v>3</v>
      </c>
      <c r="AM80" s="24" t="inlineStr">
        <is>
          <t>RESEARCH_OBSERVATION</t>
        </is>
      </c>
      <c r="AN80" s="24" t="inlineStr">
        <is>
          <t>NO_CALL</t>
        </is>
      </c>
      <c r="AO80" s="24" t="inlineStr">
        <is>
          <t>NO_CALL_MODEL_UNVALIDATED</t>
        </is>
      </c>
      <c r="AP80" s="24" t="inlineStr">
        <is>
          <t>Katie Volynets</t>
        </is>
      </c>
      <c r="AQ80" s="24" t="inlineStr">
        <is>
          <t>Katie Volynets</t>
        </is>
      </c>
      <c r="AR80" s="24" t="inlineStr">
        <is>
          <t>Katie Volynets</t>
        </is>
      </c>
      <c r="AS80" s="24" t="inlineStr">
        <is>
          <t>Darja Vidmanova</t>
        </is>
      </c>
      <c r="AT80" s="24" t="inlineStr">
        <is>
          <t>Darja Vidmanova</t>
        </is>
      </c>
      <c r="AU80" s="24" t="inlineStr">
        <is>
          <t>Darja Vidmanova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research</t>
        </is>
      </c>
      <c r="BA80" s="24" t="inlineStr">
        <is>
          <t>999faa03e2fa83bdf40e3760cb8645b4c314e4cc37c2050b8320d6582c4d8167</t>
        </is>
      </c>
      <c r="BB80" s="24" t="inlineStr">
        <is>
          <t>surface_blended_elo</t>
        </is>
      </c>
      <c r="BC80" s="24" t="inlineStr">
        <is>
          <t>tennis-surface-elo-v1</t>
        </is>
      </c>
      <c r="BD80" s="24" t="inlineStr">
        <is>
          <t>999faa03e2fa83bdf40e3760cb8645b4c314e4cc37c2050b8320d6582c4d8167</t>
        </is>
      </c>
      <c r="BE80" s="24" t="inlineStr">
        <is>
          <t>tennis-surface-elo-v1</t>
        </is>
      </c>
      <c r="BF80" s="24" t="inlineStr">
        <is>
          <t>1</t>
        </is>
      </c>
      <c r="BG80" s="24" t="inlineStr">
        <is>
          <t>999faa03e2fa83bdf40e3760cb8645b4c314e4cc37c2050b8320d6582c4d8167</t>
        </is>
      </c>
      <c r="BH80" s="24" t="inlineStr">
        <is>
          <t>2026-07-31T21:05:14.529918Z</t>
        </is>
      </c>
      <c r="BI80" s="24" t="inlineStr">
        <is>
          <t>["same_event","same_team_same_day","same_league_same_day"]</t>
        </is>
      </c>
      <c r="BJ80" s="25" t="n"/>
      <c r="BK80" s="26" t="n">
        <v>-194</v>
      </c>
      <c r="BL80" s="27" t="n">
        <v>1.515464</v>
      </c>
      <c r="BM80" s="28" t="n">
        <v>0.659864</v>
      </c>
      <c r="BN80" s="28" t="n"/>
      <c r="BO80" s="28" t="n"/>
      <c r="BP80" s="25" t="n"/>
      <c r="BQ80" s="27" t="n">
        <v>1.515464</v>
      </c>
      <c r="BR80" s="28" t="n">
        <v>0.66</v>
      </c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</row>
    <row r="81" ht="36" customHeight="1">
      <c r="A81" s="24" t="inlineStr">
        <is>
          <t>6b3978939cb34a8d</t>
        </is>
      </c>
      <c r="B81" s="24" t="inlineStr">
        <is>
          <t>2026-08-01T10:21:10.442597Z</t>
        </is>
      </c>
      <c r="C81" s="24" t="inlineStr">
        <is>
          <t>2026-08-01T13:00Z</t>
        </is>
      </c>
      <c r="D81" s="24" t="inlineStr">
        <is>
          <t>1073-2026:179590</t>
        </is>
      </c>
      <c r="E81" s="24" t="inlineStr">
        <is>
          <t>TENNIS</t>
        </is>
      </c>
      <c r="F81" s="24" t="inlineStr">
        <is>
          <t>Francesca Jones</t>
        </is>
      </c>
      <c r="G81" s="24" t="inlineStr">
        <is>
          <t>Kaitlin Quevedo</t>
        </is>
      </c>
      <c r="H81" s="24" t="inlineStr">
        <is>
          <t>moneyline</t>
        </is>
      </c>
      <c r="I81" s="24" t="inlineStr">
        <is>
          <t>away</t>
        </is>
      </c>
      <c r="J81" s="25" t="n"/>
      <c r="K81" s="24" t="inlineStr">
        <is>
          <t>polymarket_us</t>
        </is>
      </c>
      <c r="L81" s="26" t="n">
        <v>-113</v>
      </c>
      <c r="M81" s="27" t="n">
        <v>1.884956</v>
      </c>
      <c r="N81" s="28" t="n">
        <v>0.530516</v>
      </c>
      <c r="O81" s="28" t="n">
        <v>0.556019</v>
      </c>
      <c r="P81" s="28" t="n">
        <v>0.05</v>
      </c>
      <c r="Q81" s="28" t="n">
        <v>0.025503</v>
      </c>
      <c r="R81" s="26" t="n">
        <v>33</v>
      </c>
      <c r="S81" s="29" t="n">
        <v>1</v>
      </c>
      <c r="T81" s="24" t="inlineStr">
        <is>
          <t>tennis-surface-elo-v1</t>
        </is>
      </c>
      <c r="U81" s="24" t="inlineStr">
        <is>
          <t>settled</t>
        </is>
      </c>
      <c r="V81" s="24" t="inlineStr">
        <is>
          <t>loss</t>
        </is>
      </c>
      <c r="W81" s="26" t="n">
        <v>0</v>
      </c>
      <c r="X81" s="26" t="n">
        <v>1</v>
      </c>
      <c r="Y81" s="25" t="n"/>
      <c r="Z81" s="26" t="n">
        <v>-113</v>
      </c>
      <c r="AA81" s="28" t="n">
        <v>0.53</v>
      </c>
      <c r="AB81" s="28" t="n">
        <v>-0.000516</v>
      </c>
      <c r="AC81" s="30" t="n">
        <v>-1</v>
      </c>
      <c r="AD81" s="24" t="inlineStr">
        <is>
          <t>2026-08-01T16:48:15.887490Z</t>
        </is>
      </c>
      <c r="AE81" s="31" t="inlineStr">
        <is>
          <t>Surface-blended Elo on Hard: Francesca Jones p=0.556 vs Kaitlin Quevedo. Executable ask 0.5300 (aec-wta-kaique-frajon-2026-08-01).</t>
        </is>
      </c>
      <c r="AF81" s="31" t="inlineStr">
        <is>
          <t>Research-only surface-blended Elo model; singles only, WTA-only market coverage, not yet locked-holdout qualified.</t>
        </is>
      </c>
      <c r="AG81" s="24" t="inlineStr">
        <is>
          <t>review_required</t>
        </is>
      </c>
      <c r="AH81" s="24" t="n"/>
      <c r="AI81" s="31" t="n"/>
      <c r="AJ81" s="31" t="n"/>
      <c r="AK81" s="24" t="inlineStr">
        <is>
          <t>research_observation</t>
        </is>
      </c>
      <c r="AL81" s="26" t="n">
        <v>3</v>
      </c>
      <c r="AM81" s="24" t="inlineStr">
        <is>
          <t>RESEARCH_OBSERVATION</t>
        </is>
      </c>
      <c r="AN81" s="24" t="inlineStr">
        <is>
          <t>NO_CALL</t>
        </is>
      </c>
      <c r="AO81" s="24" t="inlineStr">
        <is>
          <t>NO_CALL_MODEL_UNVALIDATED</t>
        </is>
      </c>
      <c r="AP81" s="24" t="inlineStr">
        <is>
          <t>Francesca Jones</t>
        </is>
      </c>
      <c r="AQ81" s="24" t="inlineStr">
        <is>
          <t>Francesca Jones</t>
        </is>
      </c>
      <c r="AR81" s="24" t="inlineStr">
        <is>
          <t>Francesca Jones</t>
        </is>
      </c>
      <c r="AS81" s="24" t="inlineStr">
        <is>
          <t>Kaitlin Quevedo</t>
        </is>
      </c>
      <c r="AT81" s="24" t="inlineStr">
        <is>
          <t>Kaitlin Quevedo</t>
        </is>
      </c>
      <c r="AU81" s="24" t="inlineStr">
        <is>
          <t>Kaitlin Quevedo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research</t>
        </is>
      </c>
      <c r="BA81" s="24" t="inlineStr">
        <is>
          <t>999faa03e2fa83bdf40e3760cb8645b4c314e4cc37c2050b8320d6582c4d8167</t>
        </is>
      </c>
      <c r="BB81" s="24" t="inlineStr">
        <is>
          <t>surface_blended_elo</t>
        </is>
      </c>
      <c r="BC81" s="24" t="inlineStr">
        <is>
          <t>tennis-surface-elo-v1</t>
        </is>
      </c>
      <c r="BD81" s="24" t="inlineStr">
        <is>
          <t>999faa03e2fa83bdf40e3760cb8645b4c314e4cc37c2050b8320d6582c4d8167</t>
        </is>
      </c>
      <c r="BE81" s="24" t="inlineStr">
        <is>
          <t>tennis-surface-elo-v1</t>
        </is>
      </c>
      <c r="BF81" s="24" t="inlineStr">
        <is>
          <t>1</t>
        </is>
      </c>
      <c r="BG81" s="24" t="inlineStr">
        <is>
          <t>999faa03e2fa83bdf40e3760cb8645b4c314e4cc37c2050b8320d6582c4d8167</t>
        </is>
      </c>
      <c r="BH81" s="24" t="inlineStr">
        <is>
          <t>2026-08-01T10:17:33.819801Z</t>
        </is>
      </c>
      <c r="BI81" s="24" t="inlineStr">
        <is>
          <t>["same_event","same_team_same_day","same_league_same_day"]</t>
        </is>
      </c>
      <c r="BJ81" s="25" t="n"/>
      <c r="BK81" s="26" t="n">
        <v>-113</v>
      </c>
      <c r="BL81" s="27" t="n">
        <v>1.884956</v>
      </c>
      <c r="BM81" s="28" t="n">
        <v>0.530516</v>
      </c>
      <c r="BN81" s="28" t="n"/>
      <c r="BO81" s="28" t="n"/>
      <c r="BP81" s="25" t="n"/>
      <c r="BQ81" s="27" t="n">
        <v>1.884956</v>
      </c>
      <c r="BR81" s="28" t="n">
        <v>0.53</v>
      </c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</row>
    <row r="82" ht="36" customHeight="1">
      <c r="A82" s="24" t="inlineStr">
        <is>
          <t>32c3d88544104880</t>
        </is>
      </c>
      <c r="B82" s="24" t="inlineStr">
        <is>
          <t>2026-08-01T13:45:05.538322Z</t>
        </is>
      </c>
      <c r="C82" s="24" t="inlineStr">
        <is>
          <t>2026-08-01T15:00Z</t>
        </is>
      </c>
      <c r="D82" s="24" t="inlineStr">
        <is>
          <t>1073-2026:179588</t>
        </is>
      </c>
      <c r="E82" s="24" t="inlineStr">
        <is>
          <t>TENNIS</t>
        </is>
      </c>
      <c r="F82" s="24" t="inlineStr">
        <is>
          <t>Laura Samson</t>
        </is>
      </c>
      <c r="G82" s="24" t="inlineStr">
        <is>
          <t>Lucia Bronzetti</t>
        </is>
      </c>
      <c r="H82" s="24" t="inlineStr">
        <is>
          <t>moneyline</t>
        </is>
      </c>
      <c r="I82" s="24" t="inlineStr">
        <is>
          <t>home</t>
        </is>
      </c>
      <c r="J82" s="25" t="n"/>
      <c r="K82" s="24" t="inlineStr">
        <is>
          <t>polymarket_us</t>
        </is>
      </c>
      <c r="L82" s="26" t="n">
        <v>-122</v>
      </c>
      <c r="M82" s="27" t="n">
        <v>1.819672</v>
      </c>
      <c r="N82" s="28" t="n">
        <v>0.54955</v>
      </c>
      <c r="O82" s="28" t="n">
        <v>0.616613</v>
      </c>
      <c r="P82" s="28" t="n">
        <v>0.05</v>
      </c>
      <c r="Q82" s="28" t="n">
        <v>0.067063</v>
      </c>
      <c r="R82" s="26" t="n">
        <v>54</v>
      </c>
      <c r="S82" s="29" t="n">
        <v>1.5</v>
      </c>
      <c r="T82" s="24" t="inlineStr">
        <is>
          <t>tennis-surface-elo-v1</t>
        </is>
      </c>
      <c r="U82" s="24" t="inlineStr">
        <is>
          <t>settled</t>
        </is>
      </c>
      <c r="V82" s="24" t="inlineStr">
        <is>
          <t>loss</t>
        </is>
      </c>
      <c r="W82" s="26" t="n">
        <v>1</v>
      </c>
      <c r="X82" s="26" t="n">
        <v>0</v>
      </c>
      <c r="Y82" s="25" t="n"/>
      <c r="Z82" s="26" t="n">
        <v>-122</v>
      </c>
      <c r="AA82" s="28" t="n">
        <v>0.55</v>
      </c>
      <c r="AB82" s="28" t="n">
        <v>0.00045</v>
      </c>
      <c r="AC82" s="30" t="n">
        <v>-1.5</v>
      </c>
      <c r="AD82" s="24" t="inlineStr">
        <is>
          <t>2026-08-01T18:35:36.565262Z</t>
        </is>
      </c>
      <c r="AE82" s="31" t="inlineStr">
        <is>
          <t>Surface-blended Elo on Hard: Laura Samson p=0.383 vs Lucia Bronzetti. Executable ask 0.5500 (aec-wta-lucbro-lausam-2026-08-01).</t>
        </is>
      </c>
      <c r="AF82" s="31" t="inlineStr">
        <is>
          <t>Research-only surface-blended Elo model; singles only, WTA-only market coverage, not yet locked-holdout qualified.</t>
        </is>
      </c>
      <c r="AG82" s="24" t="inlineStr">
        <is>
          <t>review_required</t>
        </is>
      </c>
      <c r="AH82" s="24" t="n"/>
      <c r="AI82" s="31" t="n"/>
      <c r="AJ82" s="31" t="n"/>
      <c r="AK82" s="24" t="inlineStr">
        <is>
          <t>research_observation</t>
        </is>
      </c>
      <c r="AL82" s="26" t="n">
        <v>3</v>
      </c>
      <c r="AM82" s="24" t="inlineStr">
        <is>
          <t>RESEARCH_OBSERVATION</t>
        </is>
      </c>
      <c r="AN82" s="24" t="inlineStr">
        <is>
          <t>NO_CALL</t>
        </is>
      </c>
      <c r="AO82" s="24" t="inlineStr">
        <is>
          <t>NO_CALL_MODEL_UNVALIDATED</t>
        </is>
      </c>
      <c r="AP82" s="24" t="inlineStr">
        <is>
          <t>Laura Samson</t>
        </is>
      </c>
      <c r="AQ82" s="24" t="inlineStr">
        <is>
          <t>Laura Samson</t>
        </is>
      </c>
      <c r="AR82" s="24" t="inlineStr">
        <is>
          <t>Laura Samson</t>
        </is>
      </c>
      <c r="AS82" s="24" t="inlineStr">
        <is>
          <t>Lucia Bronzetti</t>
        </is>
      </c>
      <c r="AT82" s="24" t="inlineStr">
        <is>
          <t>Lucia Bronzetti</t>
        </is>
      </c>
      <c r="AU82" s="24" t="inlineStr">
        <is>
          <t>Lucia Bronzetti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research</t>
        </is>
      </c>
      <c r="BA82" s="24" t="inlineStr">
        <is>
          <t>999faa03e2fa83bdf40e3760cb8645b4c314e4cc37c2050b8320d6582c4d8167</t>
        </is>
      </c>
      <c r="BB82" s="24" t="inlineStr">
        <is>
          <t>surface_blended_elo</t>
        </is>
      </c>
      <c r="BC82" s="24" t="inlineStr">
        <is>
          <t>tennis-surface-elo-v1</t>
        </is>
      </c>
      <c r="BD82" s="24" t="inlineStr">
        <is>
          <t>999faa03e2fa83bdf40e3760cb8645b4c314e4cc37c2050b8320d6582c4d8167</t>
        </is>
      </c>
      <c r="BE82" s="24" t="inlineStr">
        <is>
          <t>tennis-surface-elo-v1</t>
        </is>
      </c>
      <c r="BF82" s="24" t="inlineStr">
        <is>
          <t>1</t>
        </is>
      </c>
      <c r="BG82" s="24" t="inlineStr">
        <is>
          <t>999faa03e2fa83bdf40e3760cb8645b4c314e4cc37c2050b8320d6582c4d8167</t>
        </is>
      </c>
      <c r="BH82" s="24" t="inlineStr">
        <is>
          <t>2026-08-01T13:42:52.016686Z</t>
        </is>
      </c>
      <c r="BI82" s="24" t="inlineStr">
        <is>
          <t>["same_event","same_team_same_day","same_league_same_day"]</t>
        </is>
      </c>
      <c r="BJ82" s="25" t="n"/>
      <c r="BK82" s="26" t="n">
        <v>-122</v>
      </c>
      <c r="BL82" s="27" t="n">
        <v>1.819672</v>
      </c>
      <c r="BM82" s="28" t="n">
        <v>0.54955</v>
      </c>
      <c r="BN82" s="28" t="n"/>
      <c r="BO82" s="28" t="n"/>
      <c r="BP82" s="25" t="n"/>
      <c r="BQ82" s="27" t="n">
        <v>1.819672</v>
      </c>
      <c r="BR82" s="28" t="n">
        <v>0.55</v>
      </c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</row>
    <row r="83" ht="36" customHeight="1">
      <c r="A83" s="24" t="inlineStr">
        <is>
          <t>aea1bbec2ad64cd6</t>
        </is>
      </c>
      <c r="B83" s="24" t="inlineStr">
        <is>
          <t>2026-08-01T13:45:05.538322Z</t>
        </is>
      </c>
      <c r="C83" s="24" t="inlineStr">
        <is>
          <t>2026-08-01T15:00Z</t>
        </is>
      </c>
      <c r="D83" s="24" t="inlineStr">
        <is>
          <t>421-2026:183321</t>
        </is>
      </c>
      <c r="E83" s="24" t="inlineStr">
        <is>
          <t>TENNIS</t>
        </is>
      </c>
      <c r="F83" s="24" t="inlineStr">
        <is>
          <t>Aoi Ito</t>
        </is>
      </c>
      <c r="G83" s="24" t="inlineStr">
        <is>
          <t>Oksana Selekhmeteva</t>
        </is>
      </c>
      <c r="H83" s="24" t="inlineStr">
        <is>
          <t>moneyline</t>
        </is>
      </c>
      <c r="I83" s="24" t="inlineStr">
        <is>
          <t>home</t>
        </is>
      </c>
      <c r="J83" s="25" t="n"/>
      <c r="K83" s="24" t="inlineStr">
        <is>
          <t>polymarket_us</t>
        </is>
      </c>
      <c r="L83" s="26" t="n">
        <v>-223</v>
      </c>
      <c r="M83" s="27" t="n">
        <v>1.44843</v>
      </c>
      <c r="N83" s="28" t="n">
        <v>0.690402</v>
      </c>
      <c r="O83" s="28" t="n">
        <v>0.5925859999999999</v>
      </c>
      <c r="P83" s="28" t="n">
        <v>0.05</v>
      </c>
      <c r="Q83" s="28" t="n">
        <v>-0.097816</v>
      </c>
      <c r="R83" s="26" t="n">
        <v>0</v>
      </c>
      <c r="S83" s="29" t="n">
        <v>1.25</v>
      </c>
      <c r="T83" s="24" t="inlineStr">
        <is>
          <t>tennis-surface-elo-v1</t>
        </is>
      </c>
      <c r="U83" s="24" t="inlineStr">
        <is>
          <t>settled</t>
        </is>
      </c>
      <c r="V83" s="24" t="inlineStr">
        <is>
          <t>loss</t>
        </is>
      </c>
      <c r="W83" s="26" t="n">
        <v>1</v>
      </c>
      <c r="X83" s="26" t="n">
        <v>0</v>
      </c>
      <c r="Y83" s="25" t="n"/>
      <c r="Z83" s="26" t="n">
        <v>-223</v>
      </c>
      <c r="AA83" s="28" t="n">
        <v>0.6899999999999999</v>
      </c>
      <c r="AB83" s="28" t="n">
        <v>-0.000402</v>
      </c>
      <c r="AC83" s="30" t="n">
        <v>-1.25</v>
      </c>
      <c r="AD83" s="24" t="inlineStr">
        <is>
          <t>2026-08-01T18:35:37.137505Z</t>
        </is>
      </c>
      <c r="AE83" s="31" t="inlineStr">
        <is>
          <t>Surface-blended Elo on Hard: Aoi Ito p=0.407 vs Oksana Selekhmeteva. Executable ask 0.6900 (aec-wta-okssel-aoiito-2026-08-01).</t>
        </is>
      </c>
      <c r="AF83" s="31" t="inlineStr">
        <is>
          <t>Research-only surface-blended Elo model; singles only, WTA-only market coverage, not yet locked-holdout qualified.</t>
        </is>
      </c>
      <c r="AG83" s="24" t="inlineStr">
        <is>
          <t>review_required</t>
        </is>
      </c>
      <c r="AH83" s="24" t="n"/>
      <c r="AI83" s="31" t="n"/>
      <c r="AJ83" s="31" t="n"/>
      <c r="AK83" s="24" t="inlineStr">
        <is>
          <t>research_observation</t>
        </is>
      </c>
      <c r="AL83" s="26" t="n">
        <v>3</v>
      </c>
      <c r="AM83" s="24" t="inlineStr">
        <is>
          <t>RESEARCH_OBSERVATION</t>
        </is>
      </c>
      <c r="AN83" s="24" t="inlineStr">
        <is>
          <t>NO_CALL</t>
        </is>
      </c>
      <c r="AO83" s="24" t="inlineStr">
        <is>
          <t>NO_CALL_MODEL_UNVALIDATED</t>
        </is>
      </c>
      <c r="AP83" s="24" t="inlineStr">
        <is>
          <t>Aoi Ito</t>
        </is>
      </c>
      <c r="AQ83" s="24" t="inlineStr">
        <is>
          <t>Aoi Ito</t>
        </is>
      </c>
      <c r="AR83" s="24" t="inlineStr">
        <is>
          <t>Aoi Ito</t>
        </is>
      </c>
      <c r="AS83" s="24" t="inlineStr">
        <is>
          <t>Oksana Selekhmeteva</t>
        </is>
      </c>
      <c r="AT83" s="24" t="inlineStr">
        <is>
          <t>Oksana Selekhmeteva</t>
        </is>
      </c>
      <c r="AU83" s="24" t="inlineStr">
        <is>
          <t>Oksana Selekhmeteva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research</t>
        </is>
      </c>
      <c r="BA83" s="24" t="inlineStr">
        <is>
          <t>999faa03e2fa83bdf40e3760cb8645b4c314e4cc37c2050b8320d6582c4d8167</t>
        </is>
      </c>
      <c r="BB83" s="24" t="inlineStr">
        <is>
          <t>surface_blended_elo</t>
        </is>
      </c>
      <c r="BC83" s="24" t="inlineStr">
        <is>
          <t>tennis-surface-elo-v1</t>
        </is>
      </c>
      <c r="BD83" s="24" t="inlineStr">
        <is>
          <t>999faa03e2fa83bdf40e3760cb8645b4c314e4cc37c2050b8320d6582c4d8167</t>
        </is>
      </c>
      <c r="BE83" s="24" t="inlineStr">
        <is>
          <t>tennis-surface-elo-v1</t>
        </is>
      </c>
      <c r="BF83" s="24" t="inlineStr">
        <is>
          <t>1</t>
        </is>
      </c>
      <c r="BG83" s="24" t="inlineStr">
        <is>
          <t>999faa03e2fa83bdf40e3760cb8645b4c314e4cc37c2050b8320d6582c4d8167</t>
        </is>
      </c>
      <c r="BH83" s="24" t="inlineStr">
        <is>
          <t>2026-08-01T13:42:48.416587Z</t>
        </is>
      </c>
      <c r="BI83" s="24" t="inlineStr">
        <is>
          <t>["same_event","same_team_same_day","same_league_same_day"]</t>
        </is>
      </c>
      <c r="BJ83" s="25" t="n"/>
      <c r="BK83" s="26" t="n">
        <v>-223</v>
      </c>
      <c r="BL83" s="27" t="n">
        <v>1.44843</v>
      </c>
      <c r="BM83" s="28" t="n">
        <v>0.690402</v>
      </c>
      <c r="BN83" s="28" t="n"/>
      <c r="BO83" s="28" t="n"/>
      <c r="BP83" s="25" t="n"/>
      <c r="BQ83" s="27" t="n">
        <v>1.44843</v>
      </c>
      <c r="BR83" s="28" t="n">
        <v>0.6899999999999999</v>
      </c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</row>
    <row r="84" ht="36" customHeight="1">
      <c r="A84" s="24" t="inlineStr">
        <is>
          <t>0ba68b6e97b34a6e</t>
        </is>
      </c>
      <c r="B84" s="24" t="inlineStr">
        <is>
          <t>2026-08-01T13:45:05.538322Z</t>
        </is>
      </c>
      <c r="C84" s="24" t="inlineStr">
        <is>
          <t>2026-08-01T15:00Z</t>
        </is>
      </c>
      <c r="D84" s="24" t="inlineStr">
        <is>
          <t>421-2026:183322</t>
        </is>
      </c>
      <c r="E84" s="24" t="inlineStr">
        <is>
          <t>TENNIS</t>
        </is>
      </c>
      <c r="F84" s="24" t="inlineStr">
        <is>
          <t>Lois Boisson</t>
        </is>
      </c>
      <c r="G84" s="24" t="inlineStr">
        <is>
          <t>Emiliana Arango</t>
        </is>
      </c>
      <c r="H84" s="24" t="inlineStr">
        <is>
          <t>moneyline</t>
        </is>
      </c>
      <c r="I84" s="24" t="inlineStr">
        <is>
          <t>away</t>
        </is>
      </c>
      <c r="J84" s="25" t="n"/>
      <c r="K84" s="24" t="inlineStr">
        <is>
          <t>polymarket_us</t>
        </is>
      </c>
      <c r="L84" s="26" t="n">
        <v>108</v>
      </c>
      <c r="M84" s="27" t="n">
        <v>2.08</v>
      </c>
      <c r="N84" s="28" t="n">
        <v>0.480769</v>
      </c>
      <c r="O84" s="28" t="n">
        <v>0.5789029999999999</v>
      </c>
      <c r="P84" s="28" t="n">
        <v>0.05</v>
      </c>
      <c r="Q84" s="28" t="n">
        <v>0.098134</v>
      </c>
      <c r="R84" s="26" t="n">
        <v>69</v>
      </c>
      <c r="S84" s="29" t="n">
        <v>1.25</v>
      </c>
      <c r="T84" s="24" t="inlineStr">
        <is>
          <t>tennis-surface-elo-v1</t>
        </is>
      </c>
      <c r="U84" s="24" t="inlineStr">
        <is>
          <t>settled</t>
        </is>
      </c>
      <c r="V84" s="24" t="inlineStr">
        <is>
          <t>win</t>
        </is>
      </c>
      <c r="W84" s="26" t="n">
        <v>1</v>
      </c>
      <c r="X84" s="26" t="n">
        <v>0</v>
      </c>
      <c r="Y84" s="25" t="n"/>
      <c r="Z84" s="26" t="n">
        <v>108</v>
      </c>
      <c r="AA84" s="28" t="n">
        <v>0.48</v>
      </c>
      <c r="AB84" s="28" t="n">
        <v>-0.000769</v>
      </c>
      <c r="AC84" s="30" t="n">
        <v>1.35</v>
      </c>
      <c r="AD84" s="24" t="inlineStr">
        <is>
          <t>2026-08-01T18:35:37.653283Z</t>
        </is>
      </c>
      <c r="AE84" s="31" t="inlineStr">
        <is>
          <t>Surface-blended Elo on Hard: Lois Boisson p=0.579 vs Emiliana Arango. Executable ask 0.4800 (aec-wta-emiara-loiboi-2026-08-01).</t>
        </is>
      </c>
      <c r="AF84" s="31" t="inlineStr">
        <is>
          <t>Research-only surface-blended Elo model; singles only, WTA-only market coverage, not yet locked-holdout qualified.</t>
        </is>
      </c>
      <c r="AG84" s="24" t="inlineStr">
        <is>
          <t>not_applicable</t>
        </is>
      </c>
      <c r="AH84" s="24" t="n"/>
      <c r="AI84" s="31" t="n"/>
      <c r="AJ84" s="31" t="n"/>
      <c r="AK84" s="24" t="inlineStr">
        <is>
          <t>research_observation</t>
        </is>
      </c>
      <c r="AL84" s="26" t="n">
        <v>3</v>
      </c>
      <c r="AM84" s="24" t="inlineStr">
        <is>
          <t>RESEARCH_OBSERVATION</t>
        </is>
      </c>
      <c r="AN84" s="24" t="inlineStr">
        <is>
          <t>NO_CALL</t>
        </is>
      </c>
      <c r="AO84" s="24" t="inlineStr">
        <is>
          <t>NO_CALL_MODEL_UNVALIDATED</t>
        </is>
      </c>
      <c r="AP84" s="24" t="inlineStr">
        <is>
          <t>Lois Boisson</t>
        </is>
      </c>
      <c r="AQ84" s="24" t="inlineStr">
        <is>
          <t>Lois Boisson</t>
        </is>
      </c>
      <c r="AR84" s="24" t="inlineStr">
        <is>
          <t>Lois Boisson</t>
        </is>
      </c>
      <c r="AS84" s="24" t="inlineStr">
        <is>
          <t>Emiliana Arango</t>
        </is>
      </c>
      <c r="AT84" s="24" t="inlineStr">
        <is>
          <t>Emiliana Arango</t>
        </is>
      </c>
      <c r="AU84" s="24" t="inlineStr">
        <is>
          <t>Emiliana Arango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research</t>
        </is>
      </c>
      <c r="BA84" s="24" t="inlineStr">
        <is>
          <t>999faa03e2fa83bdf40e3760cb8645b4c314e4cc37c2050b8320d6582c4d8167</t>
        </is>
      </c>
      <c r="BB84" s="24" t="inlineStr">
        <is>
          <t>surface_blended_elo</t>
        </is>
      </c>
      <c r="BC84" s="24" t="inlineStr">
        <is>
          <t>tennis-surface-elo-v1</t>
        </is>
      </c>
      <c r="BD84" s="24" t="inlineStr">
        <is>
          <t>999faa03e2fa83bdf40e3760cb8645b4c314e4cc37c2050b8320d6582c4d8167</t>
        </is>
      </c>
      <c r="BE84" s="24" t="inlineStr">
        <is>
          <t>tennis-surface-elo-v1</t>
        </is>
      </c>
      <c r="BF84" s="24" t="inlineStr">
        <is>
          <t>1</t>
        </is>
      </c>
      <c r="BG84" s="24" t="inlineStr">
        <is>
          <t>999faa03e2fa83bdf40e3760cb8645b4c314e4cc37c2050b8320d6582c4d8167</t>
        </is>
      </c>
      <c r="BH84" s="24" t="inlineStr">
        <is>
          <t>2026-08-01T13:42:47.170895Z</t>
        </is>
      </c>
      <c r="BI84" s="24" t="inlineStr">
        <is>
          <t>["same_event","same_team_same_day","same_league_same_day"]</t>
        </is>
      </c>
      <c r="BJ84" s="25" t="n"/>
      <c r="BK84" s="26" t="n">
        <v>108</v>
      </c>
      <c r="BL84" s="27" t="n">
        <v>2.08</v>
      </c>
      <c r="BM84" s="28" t="n">
        <v>0.480769</v>
      </c>
      <c r="BN84" s="28" t="n"/>
      <c r="BO84" s="28" t="n"/>
      <c r="BP84" s="25" t="n"/>
      <c r="BQ84" s="27" t="n">
        <v>2.08</v>
      </c>
      <c r="BR84" s="28" t="n">
        <v>0.48</v>
      </c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</row>
    <row r="85" ht="36" customHeight="1">
      <c r="A85" s="24" t="inlineStr">
        <is>
          <t>0929e2ef16d04d34</t>
        </is>
      </c>
      <c r="B85" s="24" t="inlineStr">
        <is>
          <t>2026-08-01T13:45:05.538322Z</t>
        </is>
      </c>
      <c r="C85" s="24" t="inlineStr">
        <is>
          <t>2026-08-01T15:00Z</t>
        </is>
      </c>
      <c r="D85" s="24" t="inlineStr">
        <is>
          <t>421-2026:183328</t>
        </is>
      </c>
      <c r="E85" s="24" t="inlineStr">
        <is>
          <t>TENNIS</t>
        </is>
      </c>
      <c r="F85" s="24" t="inlineStr">
        <is>
          <t>Zhu Lin</t>
        </is>
      </c>
      <c r="G85" s="24" t="inlineStr">
        <is>
          <t>Leolia Jeanjean</t>
        </is>
      </c>
      <c r="H85" s="24" t="inlineStr">
        <is>
          <t>moneyline</t>
        </is>
      </c>
      <c r="I85" s="24" t="inlineStr">
        <is>
          <t>home</t>
        </is>
      </c>
      <c r="J85" s="25" t="n"/>
      <c r="K85" s="24" t="inlineStr">
        <is>
          <t>polymarket_us</t>
        </is>
      </c>
      <c r="L85" s="26" t="n">
        <v>122</v>
      </c>
      <c r="M85" s="27" t="n">
        <v>2.22</v>
      </c>
      <c r="N85" s="28" t="n">
        <v>0.45045</v>
      </c>
      <c r="O85" s="28" t="n">
        <v>0.518244</v>
      </c>
      <c r="P85" s="28" t="n">
        <v>0.05</v>
      </c>
      <c r="Q85" s="28" t="n">
        <v>0.06779399999999999</v>
      </c>
      <c r="R85" s="26" t="n">
        <v>54</v>
      </c>
      <c r="S85" s="29" t="n">
        <v>1</v>
      </c>
      <c r="T85" s="24" t="inlineStr">
        <is>
          <t>tennis-surface-elo-v1</t>
        </is>
      </c>
      <c r="U85" s="24" t="inlineStr">
        <is>
          <t>settled</t>
        </is>
      </c>
      <c r="V85" s="24" t="inlineStr">
        <is>
          <t>win</t>
        </is>
      </c>
      <c r="W85" s="26" t="n">
        <v>0</v>
      </c>
      <c r="X85" s="26" t="n">
        <v>1</v>
      </c>
      <c r="Y85" s="25" t="n"/>
      <c r="Z85" s="26" t="n">
        <v>122</v>
      </c>
      <c r="AA85" s="28" t="n">
        <v>0.45</v>
      </c>
      <c r="AB85" s="28" t="n">
        <v>-0.00045</v>
      </c>
      <c r="AC85" s="30" t="n">
        <v>1.22</v>
      </c>
      <c r="AD85" s="24" t="inlineStr">
        <is>
          <t>2026-08-01T18:35:38.169808Z</t>
        </is>
      </c>
      <c r="AE85" s="31" t="inlineStr">
        <is>
          <t>Surface-blended Elo on Hard: Zhu Lin p=0.482 vs Leolia Jeanjean. Executable ask 0.4500 (aec-wta-leojea-linzhu-2026-08-01).</t>
        </is>
      </c>
      <c r="AF85" s="31" t="inlineStr">
        <is>
          <t>Research-only surface-blended Elo model; singles only, WTA-only market coverage, not yet locked-holdout qualified.</t>
        </is>
      </c>
      <c r="AG85" s="24" t="inlineStr">
        <is>
          <t>not_applicable</t>
        </is>
      </c>
      <c r="AH85" s="24" t="n"/>
      <c r="AI85" s="31" t="n"/>
      <c r="AJ85" s="31" t="n"/>
      <c r="AK85" s="24" t="inlineStr">
        <is>
          <t>research_observation</t>
        </is>
      </c>
      <c r="AL85" s="26" t="n">
        <v>3</v>
      </c>
      <c r="AM85" s="24" t="inlineStr">
        <is>
          <t>RESEARCH_OBSERVATION</t>
        </is>
      </c>
      <c r="AN85" s="24" t="inlineStr">
        <is>
          <t>NO_CALL</t>
        </is>
      </c>
      <c r="AO85" s="24" t="inlineStr">
        <is>
          <t>NO_CALL_MODEL_UNVALIDATED</t>
        </is>
      </c>
      <c r="AP85" s="24" t="inlineStr">
        <is>
          <t>Zhu Lin</t>
        </is>
      </c>
      <c r="AQ85" s="24" t="inlineStr">
        <is>
          <t>Zhu Lin</t>
        </is>
      </c>
      <c r="AR85" s="24" t="inlineStr">
        <is>
          <t>Zhu Lin</t>
        </is>
      </c>
      <c r="AS85" s="24" t="inlineStr">
        <is>
          <t>Leolia Jeanjean</t>
        </is>
      </c>
      <c r="AT85" s="24" t="inlineStr">
        <is>
          <t>Leolia Jeanjean</t>
        </is>
      </c>
      <c r="AU85" s="24" t="inlineStr">
        <is>
          <t>Leolia Jeanjean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research</t>
        </is>
      </c>
      <c r="BA85" s="24" t="inlineStr">
        <is>
          <t>999faa03e2fa83bdf40e3760cb8645b4c314e4cc37c2050b8320d6582c4d8167</t>
        </is>
      </c>
      <c r="BB85" s="24" t="inlineStr">
        <is>
          <t>surface_blended_elo</t>
        </is>
      </c>
      <c r="BC85" s="24" t="inlineStr">
        <is>
          <t>tennis-surface-elo-v1</t>
        </is>
      </c>
      <c r="BD85" s="24" t="inlineStr">
        <is>
          <t>999faa03e2fa83bdf40e3760cb8645b4c314e4cc37c2050b8320d6582c4d8167</t>
        </is>
      </c>
      <c r="BE85" s="24" t="inlineStr">
        <is>
          <t>tennis-surface-elo-v1</t>
        </is>
      </c>
      <c r="BF85" s="24" t="inlineStr">
        <is>
          <t>1</t>
        </is>
      </c>
      <c r="BG85" s="24" t="inlineStr">
        <is>
          <t>999faa03e2fa83bdf40e3760cb8645b4c314e4cc37c2050b8320d6582c4d8167</t>
        </is>
      </c>
      <c r="BH85" s="24" t="inlineStr">
        <is>
          <t>2026-08-01T13:42:50.700450Z</t>
        </is>
      </c>
      <c r="BI85" s="24" t="inlineStr">
        <is>
          <t>["same_event","same_team_same_day","same_league_same_day"]</t>
        </is>
      </c>
      <c r="BJ85" s="25" t="n"/>
      <c r="BK85" s="26" t="n">
        <v>122</v>
      </c>
      <c r="BL85" s="27" t="n">
        <v>2.22</v>
      </c>
      <c r="BM85" s="28" t="n">
        <v>0.45045</v>
      </c>
      <c r="BN85" s="28" t="n"/>
      <c r="BO85" s="28" t="n"/>
      <c r="BP85" s="25" t="n"/>
      <c r="BQ85" s="27" t="n">
        <v>2.22</v>
      </c>
      <c r="BR85" s="28" t="n">
        <v>0.45</v>
      </c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</row>
    <row r="86" ht="36" customHeight="1">
      <c r="A86" s="24" t="inlineStr">
        <is>
          <t>a9f79cf84e904ab3</t>
        </is>
      </c>
      <c r="B86" s="24" t="inlineStr">
        <is>
          <t>2026-08-01T13:45:05.538322Z</t>
        </is>
      </c>
      <c r="C86" s="24" t="inlineStr">
        <is>
          <t>2026-08-01T15:00Z</t>
        </is>
      </c>
      <c r="D86" s="24" t="inlineStr">
        <is>
          <t>421-2026:183329</t>
        </is>
      </c>
      <c r="E86" s="24" t="inlineStr">
        <is>
          <t>TENNIS</t>
        </is>
      </c>
      <c r="F86" s="24" t="inlineStr">
        <is>
          <t>Marina Bassols Ribera</t>
        </is>
      </c>
      <c r="G86" s="24" t="inlineStr">
        <is>
          <t>Victoria Jimenez Kasintseva</t>
        </is>
      </c>
      <c r="H86" s="24" t="inlineStr">
        <is>
          <t>moneyline</t>
        </is>
      </c>
      <c r="I86" s="24" t="inlineStr">
        <is>
          <t>away</t>
        </is>
      </c>
      <c r="J86" s="25" t="n"/>
      <c r="K86" s="24" t="inlineStr">
        <is>
          <t>polymarket_us</t>
        </is>
      </c>
      <c r="L86" s="26" t="n">
        <v>-170</v>
      </c>
      <c r="M86" s="27" t="n">
        <v>1.588235</v>
      </c>
      <c r="N86" s="28" t="n">
        <v>0.62963</v>
      </c>
      <c r="O86" s="28" t="n">
        <v>0.542961</v>
      </c>
      <c r="P86" s="28" t="n">
        <v>0.05</v>
      </c>
      <c r="Q86" s="28" t="n">
        <v>-0.086669</v>
      </c>
      <c r="R86" s="26" t="n">
        <v>0</v>
      </c>
      <c r="S86" s="29" t="n">
        <v>1</v>
      </c>
      <c r="T86" s="24" t="inlineStr">
        <is>
          <t>tennis-surface-elo-v1</t>
        </is>
      </c>
      <c r="U86" s="24" t="inlineStr">
        <is>
          <t>settled</t>
        </is>
      </c>
      <c r="V86" s="24" t="inlineStr">
        <is>
          <t>loss</t>
        </is>
      </c>
      <c r="W86" s="26" t="n">
        <v>0</v>
      </c>
      <c r="X86" s="26" t="n">
        <v>1</v>
      </c>
      <c r="Y86" s="25" t="n"/>
      <c r="Z86" s="26" t="n">
        <v>-170</v>
      </c>
      <c r="AA86" s="28" t="n">
        <v>0.63</v>
      </c>
      <c r="AB86" s="28" t="n">
        <v>0.00037</v>
      </c>
      <c r="AC86" s="30" t="n">
        <v>-1</v>
      </c>
      <c r="AD86" s="24" t="inlineStr">
        <is>
          <t>2026-08-01T18:35:38.685541Z</t>
        </is>
      </c>
      <c r="AE86" s="31" t="inlineStr">
        <is>
          <t>Surface-blended Elo on Hard: Marina Bassols Ribera p=0.543 vs Victoria Jimenez Kasintseva. Executable ask 0.6300 (aec-wta-vickas-marrib-2026-08-01).</t>
        </is>
      </c>
      <c r="AF86" s="31" t="inlineStr">
        <is>
          <t>Research-only surface-blended Elo model; singles only, WTA-only market coverage, not yet locked-holdout qualified.</t>
        </is>
      </c>
      <c r="AG86" s="24" t="inlineStr">
        <is>
          <t>review_required</t>
        </is>
      </c>
      <c r="AH86" s="24" t="n"/>
      <c r="AI86" s="31" t="n"/>
      <c r="AJ86" s="31" t="n"/>
      <c r="AK86" s="24" t="inlineStr">
        <is>
          <t>research_observation</t>
        </is>
      </c>
      <c r="AL86" s="26" t="n">
        <v>3</v>
      </c>
      <c r="AM86" s="24" t="inlineStr">
        <is>
          <t>RESEARCH_OBSERVATION</t>
        </is>
      </c>
      <c r="AN86" s="24" t="inlineStr">
        <is>
          <t>NO_CALL</t>
        </is>
      </c>
      <c r="AO86" s="24" t="inlineStr">
        <is>
          <t>NO_CALL_MODEL_UNVALIDATED</t>
        </is>
      </c>
      <c r="AP86" s="24" t="inlineStr">
        <is>
          <t>Marina Bassols Ribera</t>
        </is>
      </c>
      <c r="AQ86" s="24" t="inlineStr">
        <is>
          <t>Marina Bassols Ribera</t>
        </is>
      </c>
      <c r="AR86" s="24" t="inlineStr">
        <is>
          <t>Marina Bassols Ribera</t>
        </is>
      </c>
      <c r="AS86" s="24" t="inlineStr">
        <is>
          <t>Victoria Jimenez Kasintseva</t>
        </is>
      </c>
      <c r="AT86" s="24" t="inlineStr">
        <is>
          <t>Victoria Jimenez Kasintseva</t>
        </is>
      </c>
      <c r="AU86" s="24" t="inlineStr">
        <is>
          <t>Victoria Jimenez Kasintseva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research</t>
        </is>
      </c>
      <c r="BA86" s="24" t="inlineStr">
        <is>
          <t>999faa03e2fa83bdf40e3760cb8645b4c314e4cc37c2050b8320d6582c4d8167</t>
        </is>
      </c>
      <c r="BB86" s="24" t="inlineStr">
        <is>
          <t>surface_blended_elo</t>
        </is>
      </c>
      <c r="BC86" s="24" t="inlineStr">
        <is>
          <t>tennis-surface-elo-v1</t>
        </is>
      </c>
      <c r="BD86" s="24" t="inlineStr">
        <is>
          <t>999faa03e2fa83bdf40e3760cb8645b4c314e4cc37c2050b8320d6582c4d8167</t>
        </is>
      </c>
      <c r="BE86" s="24" t="inlineStr">
        <is>
          <t>tennis-surface-elo-v1</t>
        </is>
      </c>
      <c r="BF86" s="24" t="inlineStr">
        <is>
          <t>1</t>
        </is>
      </c>
      <c r="BG86" s="24" t="inlineStr">
        <is>
          <t>999faa03e2fa83bdf40e3760cb8645b4c314e4cc37c2050b8320d6582c4d8167</t>
        </is>
      </c>
      <c r="BH86" s="24" t="inlineStr">
        <is>
          <t>2026-08-01T13:42:45.658413Z</t>
        </is>
      </c>
      <c r="BI86" s="24" t="inlineStr">
        <is>
          <t>["same_event","same_team_same_day","same_league_same_day"]</t>
        </is>
      </c>
      <c r="BJ86" s="25" t="n"/>
      <c r="BK86" s="26" t="n">
        <v>-170</v>
      </c>
      <c r="BL86" s="27" t="n">
        <v>1.588235</v>
      </c>
      <c r="BM86" s="28" t="n">
        <v>0.62963</v>
      </c>
      <c r="BN86" s="28" t="n"/>
      <c r="BO86" s="28" t="n"/>
      <c r="BP86" s="25" t="n"/>
      <c r="BQ86" s="27" t="n">
        <v>1.588235</v>
      </c>
      <c r="BR86" s="28" t="n">
        <v>0.63</v>
      </c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</row>
    <row r="87" ht="36" customHeight="1">
      <c r="A87" s="24" t="inlineStr">
        <is>
          <t>276b20227dcf4a5b</t>
        </is>
      </c>
      <c r="B87" s="24" t="inlineStr">
        <is>
          <t>2026-08-01T13:45:05.538322Z</t>
        </is>
      </c>
      <c r="C87" s="24" t="inlineStr">
        <is>
          <t>2026-08-01T16:30Z</t>
        </is>
      </c>
      <c r="D87" s="24" t="inlineStr">
        <is>
          <t>421-2026:183314</t>
        </is>
      </c>
      <c r="E87" s="24" t="inlineStr">
        <is>
          <t>TENNIS</t>
        </is>
      </c>
      <c r="F87" s="24" t="inlineStr">
        <is>
          <t>Zheng Qinwen</t>
        </is>
      </c>
      <c r="G87" s="24" t="inlineStr">
        <is>
          <t>Lanlana Tararudee</t>
        </is>
      </c>
      <c r="H87" s="24" t="inlineStr">
        <is>
          <t>moneyline</t>
        </is>
      </c>
      <c r="I87" s="24" t="inlineStr">
        <is>
          <t>away</t>
        </is>
      </c>
      <c r="J87" s="25" t="n"/>
      <c r="K87" s="24" t="inlineStr">
        <is>
          <t>polymarket_us</t>
        </is>
      </c>
      <c r="L87" s="26" t="n">
        <v>-257</v>
      </c>
      <c r="M87" s="27" t="n">
        <v>1.389105</v>
      </c>
      <c r="N87" s="28" t="n">
        <v>0.719888</v>
      </c>
      <c r="O87" s="28" t="n">
        <v>0.522979</v>
      </c>
      <c r="P87" s="28" t="n">
        <v>0.05</v>
      </c>
      <c r="Q87" s="28" t="n">
        <v>-0.196909</v>
      </c>
      <c r="R87" s="26" t="n">
        <v>0</v>
      </c>
      <c r="S87" s="29" t="n">
        <v>1</v>
      </c>
      <c r="T87" s="24" t="inlineStr">
        <is>
          <t>tennis-surface-elo-v1</t>
        </is>
      </c>
      <c r="U87" s="24" t="inlineStr">
        <is>
          <t>settled</t>
        </is>
      </c>
      <c r="V87" s="24" t="inlineStr">
        <is>
          <t>loss</t>
        </is>
      </c>
      <c r="W87" s="26" t="n">
        <v>0</v>
      </c>
      <c r="X87" s="26" t="n">
        <v>1</v>
      </c>
      <c r="Y87" s="25" t="n"/>
      <c r="Z87" s="26" t="n"/>
      <c r="AA87" s="28" t="n"/>
      <c r="AB87" s="28" t="n"/>
      <c r="AC87" s="30" t="n">
        <v>-1</v>
      </c>
      <c r="AD87" s="24" t="inlineStr">
        <is>
          <t>2026-08-01T20:13:24.564563Z</t>
        </is>
      </c>
      <c r="AE87" s="31" t="inlineStr">
        <is>
          <t>Surface-blended Elo on Hard: Zheng Qinwen p=0.523 vs Lanlana Tararudee. Executable ask 0.7200 (aec-wta-lantar-qinzhe-2026-08-01).</t>
        </is>
      </c>
      <c r="AF87" s="31" t="inlineStr">
        <is>
          <t>Research-only surface-blended Elo model; singles only, WTA-only market coverage, not yet locked-holdout qualified.</t>
        </is>
      </c>
      <c r="AG87" s="24" t="inlineStr">
        <is>
          <t>review_required</t>
        </is>
      </c>
      <c r="AH87" s="24" t="n"/>
      <c r="AI87" s="31" t="n"/>
      <c r="AJ87" s="31" t="n"/>
      <c r="AK87" s="24" t="inlineStr">
        <is>
          <t>research_observation</t>
        </is>
      </c>
      <c r="AL87" s="26" t="n">
        <v>3</v>
      </c>
      <c r="AM87" s="24" t="inlineStr">
        <is>
          <t>RESEARCH_OBSERVATION</t>
        </is>
      </c>
      <c r="AN87" s="24" t="inlineStr">
        <is>
          <t>NO_CALL</t>
        </is>
      </c>
      <c r="AO87" s="24" t="inlineStr">
        <is>
          <t>NO_CALL_MODEL_UNVALIDATED</t>
        </is>
      </c>
      <c r="AP87" s="24" t="inlineStr">
        <is>
          <t>Zheng Qinwen</t>
        </is>
      </c>
      <c r="AQ87" s="24" t="inlineStr">
        <is>
          <t>Zheng Qinwen</t>
        </is>
      </c>
      <c r="AR87" s="24" t="inlineStr">
        <is>
          <t>Zheng Qinwen</t>
        </is>
      </c>
      <c r="AS87" s="24" t="inlineStr">
        <is>
          <t>Lanlana Tararudee</t>
        </is>
      </c>
      <c r="AT87" s="24" t="inlineStr">
        <is>
          <t>Lanlana Tararudee</t>
        </is>
      </c>
      <c r="AU87" s="24" t="inlineStr">
        <is>
          <t>Lanlana Tararudee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research</t>
        </is>
      </c>
      <c r="BA87" s="24" t="inlineStr">
        <is>
          <t>999faa03e2fa83bdf40e3760cb8645b4c314e4cc37c2050b8320d6582c4d8167</t>
        </is>
      </c>
      <c r="BB87" s="24" t="inlineStr">
        <is>
          <t>surface_blended_elo</t>
        </is>
      </c>
      <c r="BC87" s="24" t="inlineStr">
        <is>
          <t>tennis-surface-elo-v1</t>
        </is>
      </c>
      <c r="BD87" s="24" t="inlineStr">
        <is>
          <t>999faa03e2fa83bdf40e3760cb8645b4c314e4cc37c2050b8320d6582c4d8167</t>
        </is>
      </c>
      <c r="BE87" s="24" t="inlineStr">
        <is>
          <t>tennis-surface-elo-v1</t>
        </is>
      </c>
      <c r="BF87" s="24" t="inlineStr">
        <is>
          <t>1</t>
        </is>
      </c>
      <c r="BG87" s="24" t="inlineStr">
        <is>
          <t>999faa03e2fa83bdf40e3760cb8645b4c314e4cc37c2050b8320d6582c4d8167</t>
        </is>
      </c>
      <c r="BH87" s="24" t="inlineStr">
        <is>
          <t>2026-08-01T13:42:55.992533Z</t>
        </is>
      </c>
      <c r="BI87" s="24" t="inlineStr">
        <is>
          <t>["same_event","same_team_same_day","same_league_same_day"]</t>
        </is>
      </c>
      <c r="BJ87" s="25" t="n"/>
      <c r="BK87" s="26" t="n">
        <v>-257</v>
      </c>
      <c r="BL87" s="27" t="n">
        <v>1.389105</v>
      </c>
      <c r="BM87" s="28" t="n">
        <v>0.719888</v>
      </c>
      <c r="BN87" s="28" t="n"/>
      <c r="BO87" s="28" t="n"/>
      <c r="BP87" s="25" t="n"/>
      <c r="BQ87" s="27" t="n"/>
      <c r="BR87" s="28" t="n"/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</row>
    <row r="88" ht="36" customHeight="1">
      <c r="A88" s="24" t="inlineStr">
        <is>
          <t>42c0de5270074fbe</t>
        </is>
      </c>
      <c r="B88" s="24" t="inlineStr">
        <is>
          <t>2026-08-01T13:45:05.538322Z</t>
        </is>
      </c>
      <c r="C88" s="24" t="inlineStr">
        <is>
          <t>2026-08-01T16:30Z</t>
        </is>
      </c>
      <c r="D88" s="24" t="inlineStr">
        <is>
          <t>421-2026:183317</t>
        </is>
      </c>
      <c r="E88" s="24" t="inlineStr">
        <is>
          <t>TENNIS</t>
        </is>
      </c>
      <c r="F88" s="24" t="inlineStr">
        <is>
          <t>Mary Stoiana</t>
        </is>
      </c>
      <c r="G88" s="24" t="inlineStr">
        <is>
          <t>Alina Korneeva</t>
        </is>
      </c>
      <c r="H88" s="24" t="inlineStr">
        <is>
          <t>moneyline</t>
        </is>
      </c>
      <c r="I88" s="24" t="inlineStr">
        <is>
          <t>home</t>
        </is>
      </c>
      <c r="J88" s="25" t="n"/>
      <c r="K88" s="24" t="inlineStr">
        <is>
          <t>polymarket_us</t>
        </is>
      </c>
      <c r="L88" s="26" t="n">
        <v>-194</v>
      </c>
      <c r="M88" s="27" t="n">
        <v>1.515464</v>
      </c>
      <c r="N88" s="28" t="n">
        <v>0.659864</v>
      </c>
      <c r="O88" s="28" t="n">
        <v>0.532656</v>
      </c>
      <c r="P88" s="28" t="n">
        <v>0.05</v>
      </c>
      <c r="Q88" s="28" t="n">
        <v>-0.127208</v>
      </c>
      <c r="R88" s="26" t="n">
        <v>0</v>
      </c>
      <c r="S88" s="29" t="n">
        <v>1</v>
      </c>
      <c r="T88" s="24" t="inlineStr">
        <is>
          <t>tennis-surface-elo-v1</t>
        </is>
      </c>
      <c r="U88" s="24" t="inlineStr">
        <is>
          <t>settled</t>
        </is>
      </c>
      <c r="V88" s="24" t="inlineStr">
        <is>
          <t>win</t>
        </is>
      </c>
      <c r="W88" s="26" t="n">
        <v>0</v>
      </c>
      <c r="X88" s="26" t="n">
        <v>1</v>
      </c>
      <c r="Y88" s="25" t="n"/>
      <c r="Z88" s="26" t="n">
        <v>-194</v>
      </c>
      <c r="AA88" s="28" t="n">
        <v>0.66</v>
      </c>
      <c r="AB88" s="28" t="n">
        <v>0.000136</v>
      </c>
      <c r="AC88" s="30" t="n">
        <v>0.5155</v>
      </c>
      <c r="AD88" s="24" t="inlineStr">
        <is>
          <t>2026-08-01T20:13:25.102676Z</t>
        </is>
      </c>
      <c r="AE88" s="31" t="inlineStr">
        <is>
          <t>Surface-blended Elo on Hard: Mary Stoiana p=0.467 vs Alina Korneeva. Executable ask 0.6600 (aec-wta-alikor-marsto-2026-08-01).</t>
        </is>
      </c>
      <c r="AF88" s="31" t="inlineStr">
        <is>
          <t>Research-only surface-blended Elo model; singles only, WTA-only market coverage, not yet locked-holdout qualified.</t>
        </is>
      </c>
      <c r="AG88" s="24" t="inlineStr">
        <is>
          <t>not_applicable</t>
        </is>
      </c>
      <c r="AH88" s="24" t="n"/>
      <c r="AI88" s="31" t="n"/>
      <c r="AJ88" s="31" t="n"/>
      <c r="AK88" s="24" t="inlineStr">
        <is>
          <t>research_observation</t>
        </is>
      </c>
      <c r="AL88" s="26" t="n">
        <v>3</v>
      </c>
      <c r="AM88" s="24" t="inlineStr">
        <is>
          <t>RESEARCH_OBSERVATION</t>
        </is>
      </c>
      <c r="AN88" s="24" t="inlineStr">
        <is>
          <t>NO_CALL</t>
        </is>
      </c>
      <c r="AO88" s="24" t="inlineStr">
        <is>
          <t>NO_CALL_MODEL_UNVALIDATED</t>
        </is>
      </c>
      <c r="AP88" s="24" t="inlineStr">
        <is>
          <t>Mary Stoiana</t>
        </is>
      </c>
      <c r="AQ88" s="24" t="inlineStr">
        <is>
          <t>Mary Stoiana</t>
        </is>
      </c>
      <c r="AR88" s="24" t="inlineStr">
        <is>
          <t>Mary Stoiana</t>
        </is>
      </c>
      <c r="AS88" s="24" t="inlineStr">
        <is>
          <t>Alina Korneeva</t>
        </is>
      </c>
      <c r="AT88" s="24" t="inlineStr">
        <is>
          <t>Alina Korneeva</t>
        </is>
      </c>
      <c r="AU88" s="24" t="inlineStr">
        <is>
          <t>Alina Korneeva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research</t>
        </is>
      </c>
      <c r="BA88" s="24" t="inlineStr">
        <is>
          <t>999faa03e2fa83bdf40e3760cb8645b4c314e4cc37c2050b8320d6582c4d8167</t>
        </is>
      </c>
      <c r="BB88" s="24" t="inlineStr">
        <is>
          <t>surface_blended_elo</t>
        </is>
      </c>
      <c r="BC88" s="24" t="inlineStr">
        <is>
          <t>tennis-surface-elo-v1</t>
        </is>
      </c>
      <c r="BD88" s="24" t="inlineStr">
        <is>
          <t>999faa03e2fa83bdf40e3760cb8645b4c314e4cc37c2050b8320d6582c4d8167</t>
        </is>
      </c>
      <c r="BE88" s="24" t="inlineStr">
        <is>
          <t>tennis-surface-elo-v1</t>
        </is>
      </c>
      <c r="BF88" s="24" t="inlineStr">
        <is>
          <t>1</t>
        </is>
      </c>
      <c r="BG88" s="24" t="inlineStr">
        <is>
          <t>999faa03e2fa83bdf40e3760cb8645b4c314e4cc37c2050b8320d6582c4d8167</t>
        </is>
      </c>
      <c r="BH88" s="24" t="inlineStr">
        <is>
          <t>2026-08-01T13:42:52.164407Z</t>
        </is>
      </c>
      <c r="BI88" s="24" t="inlineStr">
        <is>
          <t>["same_event","same_team_same_day","same_league_same_day"]</t>
        </is>
      </c>
      <c r="BJ88" s="25" t="n"/>
      <c r="BK88" s="26" t="n">
        <v>-194</v>
      </c>
      <c r="BL88" s="27" t="n">
        <v>1.515464</v>
      </c>
      <c r="BM88" s="28" t="n">
        <v>0.659864</v>
      </c>
      <c r="BN88" s="28" t="n"/>
      <c r="BO88" s="28" t="n"/>
      <c r="BP88" s="25" t="n"/>
      <c r="BQ88" s="27" t="n">
        <v>1.515464</v>
      </c>
      <c r="BR88" s="28" t="n">
        <v>0.66</v>
      </c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</row>
    <row r="89" ht="36" customHeight="1">
      <c r="A89" s="24" t="inlineStr">
        <is>
          <t>1fe67e4c3bec4eee</t>
        </is>
      </c>
      <c r="B89" s="24" t="inlineStr">
        <is>
          <t>2026-08-01T13:45:05.538322Z</t>
        </is>
      </c>
      <c r="C89" s="24" t="inlineStr">
        <is>
          <t>2026-08-01T16:30Z</t>
        </is>
      </c>
      <c r="D89" s="24" t="inlineStr">
        <is>
          <t>421-2026:183318</t>
        </is>
      </c>
      <c r="E89" s="24" t="inlineStr">
        <is>
          <t>TENNIS</t>
        </is>
      </c>
      <c r="F89" s="24" t="inlineStr">
        <is>
          <t>Isabella Marton</t>
        </is>
      </c>
      <c r="G89" s="24" t="inlineStr">
        <is>
          <t>Tatjana Maria</t>
        </is>
      </c>
      <c r="H89" s="24" t="inlineStr">
        <is>
          <t>moneyline</t>
        </is>
      </c>
      <c r="I89" s="24" t="inlineStr">
        <is>
          <t>home</t>
        </is>
      </c>
      <c r="J89" s="25" t="n"/>
      <c r="K89" s="24" t="inlineStr">
        <is>
          <t>polymarket_us</t>
        </is>
      </c>
      <c r="L89" s="26" t="n">
        <v>-2400</v>
      </c>
      <c r="M89" s="27" t="n">
        <v>1.041667</v>
      </c>
      <c r="N89" s="28" t="n">
        <v>0.96</v>
      </c>
      <c r="O89" s="28" t="n">
        <v>0.718038</v>
      </c>
      <c r="P89" s="28" t="n">
        <v>0.2</v>
      </c>
      <c r="Q89" s="28" t="n">
        <v>-0.241962</v>
      </c>
      <c r="R89" s="26" t="n">
        <v>0</v>
      </c>
      <c r="S89" s="29" t="n">
        <v>1</v>
      </c>
      <c r="T89" s="24" t="inlineStr">
        <is>
          <t>tennis-surface-elo-v1</t>
        </is>
      </c>
      <c r="U89" s="24" t="inlineStr">
        <is>
          <t>settled</t>
        </is>
      </c>
      <c r="V89" s="24" t="inlineStr">
        <is>
          <t>win</t>
        </is>
      </c>
      <c r="W89" s="26" t="n">
        <v>0</v>
      </c>
      <c r="X89" s="26" t="n">
        <v>1</v>
      </c>
      <c r="Y89" s="25" t="n"/>
      <c r="Z89" s="26" t="n">
        <v>-2400</v>
      </c>
      <c r="AA89" s="28" t="n">
        <v>0.96</v>
      </c>
      <c r="AB89" s="28" t="n">
        <v>0</v>
      </c>
      <c r="AC89" s="30" t="n">
        <v>0.0417</v>
      </c>
      <c r="AD89" s="24" t="inlineStr">
        <is>
          <t>2026-08-01T20:13:25.632481Z</t>
        </is>
      </c>
      <c r="AE89" s="31" t="inlineStr">
        <is>
          <t>Surface-blended Elo on Hard: Isabella Marton p=0.282 vs Tatjana Maria. Executable ask 0.9600 (aec-wta-tatmar-isamar-2026-08-01).</t>
        </is>
      </c>
      <c r="AF89" s="31" t="inlineStr">
        <is>
          <t>Research-only surface-blended Elo model; singles only, WTA-only market coverage, not yet locked-holdout qualified.</t>
        </is>
      </c>
      <c r="AG89" s="24" t="inlineStr">
        <is>
          <t>not_applicable</t>
        </is>
      </c>
      <c r="AH89" s="24" t="n"/>
      <c r="AI89" s="31" t="n"/>
      <c r="AJ89" s="31" t="n"/>
      <c r="AK89" s="24" t="inlineStr">
        <is>
          <t>research_observation</t>
        </is>
      </c>
      <c r="AL89" s="26" t="n">
        <v>3</v>
      </c>
      <c r="AM89" s="24" t="inlineStr">
        <is>
          <t>RESEARCH_OBSERVATION</t>
        </is>
      </c>
      <c r="AN89" s="24" t="inlineStr">
        <is>
          <t>NO_CALL</t>
        </is>
      </c>
      <c r="AO89" s="24" t="inlineStr">
        <is>
          <t>NO_CALL_MODEL_UNVALIDATED</t>
        </is>
      </c>
      <c r="AP89" s="24" t="inlineStr">
        <is>
          <t>Isabella Marton</t>
        </is>
      </c>
      <c r="AQ89" s="24" t="inlineStr">
        <is>
          <t>Isabella Marton</t>
        </is>
      </c>
      <c r="AR89" s="24" t="inlineStr">
        <is>
          <t>Isabella Marton</t>
        </is>
      </c>
      <c r="AS89" s="24" t="inlineStr">
        <is>
          <t>Tatjana Maria</t>
        </is>
      </c>
      <c r="AT89" s="24" t="inlineStr">
        <is>
          <t>Tatjana Maria</t>
        </is>
      </c>
      <c r="AU89" s="24" t="inlineStr">
        <is>
          <t>Tatjana Maria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research</t>
        </is>
      </c>
      <c r="BA89" s="24" t="inlineStr">
        <is>
          <t>999faa03e2fa83bdf40e3760cb8645b4c314e4cc37c2050b8320d6582c4d8167</t>
        </is>
      </c>
      <c r="BB89" s="24" t="inlineStr">
        <is>
          <t>surface_blended_elo</t>
        </is>
      </c>
      <c r="BC89" s="24" t="inlineStr">
        <is>
          <t>tennis-surface-elo-v1</t>
        </is>
      </c>
      <c r="BD89" s="24" t="inlineStr">
        <is>
          <t>999faa03e2fa83bdf40e3760cb8645b4c314e4cc37c2050b8320d6582c4d8167</t>
        </is>
      </c>
      <c r="BE89" s="24" t="inlineStr">
        <is>
          <t>tennis-surface-elo-v1</t>
        </is>
      </c>
      <c r="BF89" s="24" t="inlineStr">
        <is>
          <t>1</t>
        </is>
      </c>
      <c r="BG89" s="24" t="inlineStr">
        <is>
          <t>999faa03e2fa83bdf40e3760cb8645b4c314e4cc37c2050b8320d6582c4d8167</t>
        </is>
      </c>
      <c r="BH89" s="24" t="inlineStr">
        <is>
          <t>2026-08-01T13:42:53.865852Z</t>
        </is>
      </c>
      <c r="BI89" s="24" t="inlineStr">
        <is>
          <t>["same_event","same_team_same_day","same_league_same_day"]</t>
        </is>
      </c>
      <c r="BJ89" s="25" t="n"/>
      <c r="BK89" s="26" t="n">
        <v>-2400</v>
      </c>
      <c r="BL89" s="27" t="n">
        <v>1.041667</v>
      </c>
      <c r="BM89" s="28" t="n">
        <v>0.96</v>
      </c>
      <c r="BN89" s="28" t="n"/>
      <c r="BO89" s="28" t="n"/>
      <c r="BP89" s="25" t="n"/>
      <c r="BQ89" s="27" t="n">
        <v>1.041667</v>
      </c>
      <c r="BR89" s="28" t="n">
        <v>0.96</v>
      </c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</row>
    <row r="90" ht="36" customHeight="1">
      <c r="A90" s="24" t="inlineStr">
        <is>
          <t>262a96a1a1c944ff</t>
        </is>
      </c>
      <c r="B90" s="24" t="inlineStr">
        <is>
          <t>2026-08-01T13:45:05.538322Z</t>
        </is>
      </c>
      <c r="C90" s="24" t="inlineStr">
        <is>
          <t>2026-08-01T16:30Z</t>
        </is>
      </c>
      <c r="D90" s="24" t="inlineStr">
        <is>
          <t>421-2026:183319</t>
        </is>
      </c>
      <c r="E90" s="24" t="inlineStr">
        <is>
          <t>TENNIS</t>
        </is>
      </c>
      <c r="F90" s="24" t="inlineStr">
        <is>
          <t>Himeno Sakatsume</t>
        </is>
      </c>
      <c r="G90" s="24" t="inlineStr">
        <is>
          <t>Moyuka Uchijima</t>
        </is>
      </c>
      <c r="H90" s="24" t="inlineStr">
        <is>
          <t>moneyline</t>
        </is>
      </c>
      <c r="I90" s="24" t="inlineStr">
        <is>
          <t>home</t>
        </is>
      </c>
      <c r="J90" s="25" t="n"/>
      <c r="K90" s="24" t="inlineStr">
        <is>
          <t>polymarket_us</t>
        </is>
      </c>
      <c r="L90" s="26" t="n">
        <v>-133</v>
      </c>
      <c r="M90" s="27" t="n">
        <v>1.75188</v>
      </c>
      <c r="N90" s="28" t="n">
        <v>0.570815</v>
      </c>
      <c r="O90" s="28" t="n">
        <v>0.558424</v>
      </c>
      <c r="P90" s="28" t="n">
        <v>0.05</v>
      </c>
      <c r="Q90" s="28" t="n">
        <v>-0.012391</v>
      </c>
      <c r="R90" s="26" t="n">
        <v>14</v>
      </c>
      <c r="S90" s="29" t="n">
        <v>1</v>
      </c>
      <c r="T90" s="24" t="inlineStr">
        <is>
          <t>tennis-surface-elo-v1</t>
        </is>
      </c>
      <c r="U90" s="24" t="inlineStr">
        <is>
          <t>settled</t>
        </is>
      </c>
      <c r="V90" s="24" t="inlineStr">
        <is>
          <t>win</t>
        </is>
      </c>
      <c r="W90" s="26" t="n">
        <v>0</v>
      </c>
      <c r="X90" s="26" t="n">
        <v>1</v>
      </c>
      <c r="Y90" s="25" t="n"/>
      <c r="Z90" s="26" t="n">
        <v>-133</v>
      </c>
      <c r="AA90" s="28" t="n">
        <v>0.57</v>
      </c>
      <c r="AB90" s="28" t="n">
        <v>-0.000815</v>
      </c>
      <c r="AC90" s="30" t="n">
        <v>0.7519</v>
      </c>
      <c r="AD90" s="24" t="inlineStr">
        <is>
          <t>2026-08-01T20:13:26.163894Z</t>
        </is>
      </c>
      <c r="AE90" s="31" t="inlineStr">
        <is>
          <t>Surface-blended Elo on Hard: Himeno Sakatsume p=0.442 vs Moyuka Uchijima. Executable ask 0.5700 (aec-wta-moyuch-himsak-2026-08-01).</t>
        </is>
      </c>
      <c r="AF90" s="31" t="inlineStr">
        <is>
          <t>Research-only surface-blended Elo model; singles only, WTA-only market coverage, not yet locked-holdout qualified.</t>
        </is>
      </c>
      <c r="AG90" s="24" t="inlineStr">
        <is>
          <t>not_applicable</t>
        </is>
      </c>
      <c r="AH90" s="24" t="n"/>
      <c r="AI90" s="31" t="n"/>
      <c r="AJ90" s="31" t="n"/>
      <c r="AK90" s="24" t="inlineStr">
        <is>
          <t>research_observation</t>
        </is>
      </c>
      <c r="AL90" s="26" t="n">
        <v>3</v>
      </c>
      <c r="AM90" s="24" t="inlineStr">
        <is>
          <t>RESEARCH_OBSERVATION</t>
        </is>
      </c>
      <c r="AN90" s="24" t="inlineStr">
        <is>
          <t>NO_CALL</t>
        </is>
      </c>
      <c r="AO90" s="24" t="inlineStr">
        <is>
          <t>NO_CALL_MODEL_UNVALIDATED</t>
        </is>
      </c>
      <c r="AP90" s="24" t="inlineStr">
        <is>
          <t>Himeno Sakatsume</t>
        </is>
      </c>
      <c r="AQ90" s="24" t="inlineStr">
        <is>
          <t>Himeno Sakatsume</t>
        </is>
      </c>
      <c r="AR90" s="24" t="inlineStr">
        <is>
          <t>Himeno Sakatsume</t>
        </is>
      </c>
      <c r="AS90" s="24" t="inlineStr">
        <is>
          <t>Moyuka Uchijima</t>
        </is>
      </c>
      <c r="AT90" s="24" t="inlineStr">
        <is>
          <t>Moyuka Uchijima</t>
        </is>
      </c>
      <c r="AU90" s="24" t="inlineStr">
        <is>
          <t>Moyuka Uchijima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research</t>
        </is>
      </c>
      <c r="BA90" s="24" t="inlineStr">
        <is>
          <t>999faa03e2fa83bdf40e3760cb8645b4c314e4cc37c2050b8320d6582c4d8167</t>
        </is>
      </c>
      <c r="BB90" s="24" t="inlineStr">
        <is>
          <t>surface_blended_elo</t>
        </is>
      </c>
      <c r="BC90" s="24" t="inlineStr">
        <is>
          <t>tennis-surface-elo-v1</t>
        </is>
      </c>
      <c r="BD90" s="24" t="inlineStr">
        <is>
          <t>999faa03e2fa83bdf40e3760cb8645b4c314e4cc37c2050b8320d6582c4d8167</t>
        </is>
      </c>
      <c r="BE90" s="24" t="inlineStr">
        <is>
          <t>tennis-surface-elo-v1</t>
        </is>
      </c>
      <c r="BF90" s="24" t="inlineStr">
        <is>
          <t>1</t>
        </is>
      </c>
      <c r="BG90" s="24" t="inlineStr">
        <is>
          <t>999faa03e2fa83bdf40e3760cb8645b4c314e4cc37c2050b8320d6582c4d8167</t>
        </is>
      </c>
      <c r="BH90" s="24" t="inlineStr">
        <is>
          <t>2026-08-01T13:42:56.804251Z</t>
        </is>
      </c>
      <c r="BI90" s="24" t="inlineStr">
        <is>
          <t>["same_event","same_team_same_day","same_league_same_day"]</t>
        </is>
      </c>
      <c r="BJ90" s="25" t="n"/>
      <c r="BK90" s="26" t="n">
        <v>-133</v>
      </c>
      <c r="BL90" s="27" t="n">
        <v>1.75188</v>
      </c>
      <c r="BM90" s="28" t="n">
        <v>0.570815</v>
      </c>
      <c r="BN90" s="28" t="n"/>
      <c r="BO90" s="28" t="n"/>
      <c r="BP90" s="25" t="n"/>
      <c r="BQ90" s="27" t="n">
        <v>1.75188</v>
      </c>
      <c r="BR90" s="28" t="n">
        <v>0.57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</row>
    <row r="91" ht="36" customHeight="1">
      <c r="A91" s="24" t="inlineStr">
        <is>
          <t>6e003df785904b47</t>
        </is>
      </c>
      <c r="B91" s="24" t="inlineStr">
        <is>
          <t>2026-08-01T16:52:34.743688Z</t>
        </is>
      </c>
      <c r="C91" s="24" t="inlineStr">
        <is>
          <t>2026-08-01T18:00Z</t>
        </is>
      </c>
      <c r="D91" s="24" t="inlineStr">
        <is>
          <t>888-2026:179018</t>
        </is>
      </c>
      <c r="E91" s="24" t="inlineStr">
        <is>
          <t>TENNIS</t>
        </is>
      </c>
      <c r="F91" s="24" t="inlineStr">
        <is>
          <t>Diana Shnaider</t>
        </is>
      </c>
      <c r="G91" s="24" t="inlineStr">
        <is>
          <t>Jessica Pegula</t>
        </is>
      </c>
      <c r="H91" s="24" t="inlineStr">
        <is>
          <t>moneyline</t>
        </is>
      </c>
      <c r="I91" s="24" t="inlineStr">
        <is>
          <t>home</t>
        </is>
      </c>
      <c r="J91" s="25" t="n"/>
      <c r="K91" s="24" t="inlineStr">
        <is>
          <t>polymarket_us</t>
        </is>
      </c>
      <c r="L91" s="26" t="n">
        <v>-355</v>
      </c>
      <c r="M91" s="27" t="n">
        <v>1.28169</v>
      </c>
      <c r="N91" s="28" t="n">
        <v>0.78022</v>
      </c>
      <c r="O91" s="28" t="n">
        <v>0.822583</v>
      </c>
      <c r="P91" s="28" t="n">
        <v>0.05</v>
      </c>
      <c r="Q91" s="28" t="n">
        <v>0.042363</v>
      </c>
      <c r="R91" s="26" t="n">
        <v>41</v>
      </c>
      <c r="S91" s="29" t="n">
        <v>2</v>
      </c>
      <c r="T91" s="24" t="inlineStr">
        <is>
          <t>tennis-surface-elo-v1</t>
        </is>
      </c>
      <c r="U91" s="24" t="inlineStr">
        <is>
          <t>settled</t>
        </is>
      </c>
      <c r="V91" s="24" t="inlineStr">
        <is>
          <t>win</t>
        </is>
      </c>
      <c r="W91" s="26" t="n">
        <v>0</v>
      </c>
      <c r="X91" s="26" t="n">
        <v>1</v>
      </c>
      <c r="Y91" s="25" t="n"/>
      <c r="Z91" s="26" t="n">
        <v>-355</v>
      </c>
      <c r="AA91" s="28" t="n">
        <v>0.78</v>
      </c>
      <c r="AB91" s="28" t="n">
        <v>-0.00022</v>
      </c>
      <c r="AC91" s="30" t="n">
        <v>0.5634</v>
      </c>
      <c r="AD91" s="24" t="inlineStr">
        <is>
          <t>2026-08-01T20:13:26.701752Z</t>
        </is>
      </c>
      <c r="AE91" s="31" t="inlineStr">
        <is>
          <t>Surface-blended Elo on Hard: Diana Shnaider p=0.177 vs Jessica Pegula. Executable ask 0.7800 (aec-wta-jespeg-diashn-2026-08-01).</t>
        </is>
      </c>
      <c r="AF91" s="31" t="inlineStr">
        <is>
          <t>Research-only surface-blended Elo model; singles only, WTA-only market coverage, not yet locked-holdout qualified.</t>
        </is>
      </c>
      <c r="AG91" s="24" t="inlineStr">
        <is>
          <t>not_applicable</t>
        </is>
      </c>
      <c r="AH91" s="24" t="n"/>
      <c r="AI91" s="31" t="n"/>
      <c r="AJ91" s="31" t="n"/>
      <c r="AK91" s="24" t="inlineStr">
        <is>
          <t>research_observation</t>
        </is>
      </c>
      <c r="AL91" s="26" t="n">
        <v>3</v>
      </c>
      <c r="AM91" s="24" t="inlineStr">
        <is>
          <t>RESEARCH_OBSERVATION</t>
        </is>
      </c>
      <c r="AN91" s="24" t="inlineStr">
        <is>
          <t>NO_CALL</t>
        </is>
      </c>
      <c r="AO91" s="24" t="inlineStr">
        <is>
          <t>NO_CALL_MODEL_UNVALIDATED</t>
        </is>
      </c>
      <c r="AP91" s="24" t="inlineStr">
        <is>
          <t>Diana Shnaider</t>
        </is>
      </c>
      <c r="AQ91" s="24" t="inlineStr">
        <is>
          <t>Diana Shnaider</t>
        </is>
      </c>
      <c r="AR91" s="24" t="inlineStr">
        <is>
          <t>Diana Shnaider</t>
        </is>
      </c>
      <c r="AS91" s="24" t="inlineStr">
        <is>
          <t>Jessica Pegula</t>
        </is>
      </c>
      <c r="AT91" s="24" t="inlineStr">
        <is>
          <t>Jessica Pegula</t>
        </is>
      </c>
      <c r="AU91" s="24" t="inlineStr">
        <is>
          <t>Jessica Pegula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research</t>
        </is>
      </c>
      <c r="BA91" s="24" t="inlineStr">
        <is>
          <t>999faa03e2fa83bdf40e3760cb8645b4c314e4cc37c2050b8320d6582c4d8167</t>
        </is>
      </c>
      <c r="BB91" s="24" t="inlineStr">
        <is>
          <t>surface_blended_elo</t>
        </is>
      </c>
      <c r="BC91" s="24" t="inlineStr">
        <is>
          <t>tennis-surface-elo-v1</t>
        </is>
      </c>
      <c r="BD91" s="24" t="inlineStr">
        <is>
          <t>999faa03e2fa83bdf40e3760cb8645b4c314e4cc37c2050b8320d6582c4d8167</t>
        </is>
      </c>
      <c r="BE91" s="24" t="inlineStr">
        <is>
          <t>tennis-surface-elo-v1</t>
        </is>
      </c>
      <c r="BF91" s="24" t="inlineStr">
        <is>
          <t>1</t>
        </is>
      </c>
      <c r="BG91" s="24" t="inlineStr">
        <is>
          <t>999faa03e2fa83bdf40e3760cb8645b4c314e4cc37c2050b8320d6582c4d8167</t>
        </is>
      </c>
      <c r="BH91" s="24" t="inlineStr">
        <is>
          <t>2026-08-01T16:49:52.619672Z</t>
        </is>
      </c>
      <c r="BI91" s="24" t="inlineStr">
        <is>
          <t>["same_event","same_team_same_day","same_league_same_day"]</t>
        </is>
      </c>
      <c r="BJ91" s="25" t="n"/>
      <c r="BK91" s="26" t="n">
        <v>-355</v>
      </c>
      <c r="BL91" s="27" t="n">
        <v>1.28169</v>
      </c>
      <c r="BM91" s="28" t="n">
        <v>0.78022</v>
      </c>
      <c r="BN91" s="28" t="n"/>
      <c r="BO91" s="28" t="n"/>
      <c r="BP91" s="25" t="n"/>
      <c r="BQ91" s="27" t="n">
        <v>1.28169</v>
      </c>
      <c r="BR91" s="28" t="n">
        <v>0.78</v>
      </c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</row>
    <row r="92" ht="36" customHeight="1">
      <c r="A92" s="24" t="inlineStr">
        <is>
          <t>85f67ba42ca94860</t>
        </is>
      </c>
      <c r="B92" s="24" t="inlineStr">
        <is>
          <t>2026-08-01T16:52:34.743688Z</t>
        </is>
      </c>
      <c r="C92" s="24" t="inlineStr">
        <is>
          <t>2026-08-01T18:00Z</t>
        </is>
      </c>
      <c r="D92" s="24" t="inlineStr">
        <is>
          <t>1067-2026:179445</t>
        </is>
      </c>
      <c r="E92" s="24" t="inlineStr">
        <is>
          <t>TENNIS</t>
        </is>
      </c>
      <c r="F92" s="24" t="inlineStr">
        <is>
          <t>Elvina Kalieva</t>
        </is>
      </c>
      <c r="G92" s="24" t="inlineStr">
        <is>
          <t>Kristina Liutova</t>
        </is>
      </c>
      <c r="H92" s="24" t="inlineStr">
        <is>
          <t>moneyline</t>
        </is>
      </c>
      <c r="I92" s="24" t="inlineStr">
        <is>
          <t>away</t>
        </is>
      </c>
      <c r="J92" s="25" t="n"/>
      <c r="K92" s="24" t="inlineStr">
        <is>
          <t>polymarket_us</t>
        </is>
      </c>
      <c r="L92" s="26" t="n">
        <v>133</v>
      </c>
      <c r="M92" s="27" t="n">
        <v>2.33</v>
      </c>
      <c r="N92" s="28" t="n">
        <v>0.429185</v>
      </c>
      <c r="O92" s="28" t="n">
        <v>0.546816</v>
      </c>
      <c r="P92" s="28" t="n">
        <v>0.05</v>
      </c>
      <c r="Q92" s="28" t="n">
        <v>0.117631</v>
      </c>
      <c r="R92" s="26" t="n">
        <v>79</v>
      </c>
      <c r="S92" s="29" t="n">
        <v>1</v>
      </c>
      <c r="T92" s="24" t="inlineStr">
        <is>
          <t>tennis-surface-elo-v1</t>
        </is>
      </c>
      <c r="U92" s="24" t="inlineStr">
        <is>
          <t>settled</t>
        </is>
      </c>
      <c r="V92" s="24" t="inlineStr">
        <is>
          <t>loss</t>
        </is>
      </c>
      <c r="W92" s="26" t="n">
        <v>0</v>
      </c>
      <c r="X92" s="26" t="n">
        <v>1</v>
      </c>
      <c r="Y92" s="25" t="n"/>
      <c r="Z92" s="26" t="n">
        <v>133</v>
      </c>
      <c r="AA92" s="28" t="n">
        <v>0.43</v>
      </c>
      <c r="AB92" s="28" t="n">
        <v>0.000815</v>
      </c>
      <c r="AC92" s="30" t="n">
        <v>-1</v>
      </c>
      <c r="AD92" s="24" t="inlineStr">
        <is>
          <t>2026-08-01T20:13:27.238832Z</t>
        </is>
      </c>
      <c r="AE92" s="31" t="inlineStr">
        <is>
          <t>Surface-blended Elo on Hard: Elvina Kalieva p=0.547 vs Kristina Liutova. Executable ask 0.4300 (aec-wta-kriliu-elvkal-2026-08-01).</t>
        </is>
      </c>
      <c r="AF92" s="31" t="inlineStr">
        <is>
          <t>Research-only surface-blended Elo model; singles only, WTA-only market coverage, not yet locked-holdout qualified.</t>
        </is>
      </c>
      <c r="AG92" s="24" t="inlineStr">
        <is>
          <t>review_required</t>
        </is>
      </c>
      <c r="AH92" s="24" t="n"/>
      <c r="AI92" s="31" t="n"/>
      <c r="AJ92" s="31" t="n"/>
      <c r="AK92" s="24" t="inlineStr">
        <is>
          <t>research_observation</t>
        </is>
      </c>
      <c r="AL92" s="26" t="n">
        <v>3</v>
      </c>
      <c r="AM92" s="24" t="inlineStr">
        <is>
          <t>RESEARCH_OBSERVATION</t>
        </is>
      </c>
      <c r="AN92" s="24" t="inlineStr">
        <is>
          <t>NO_CALL</t>
        </is>
      </c>
      <c r="AO92" s="24" t="inlineStr">
        <is>
          <t>NO_CALL_MODEL_UNVALIDATED</t>
        </is>
      </c>
      <c r="AP92" s="24" t="inlineStr">
        <is>
          <t>Elvina Kalieva</t>
        </is>
      </c>
      <c r="AQ92" s="24" t="inlineStr">
        <is>
          <t>Elvina Kalieva</t>
        </is>
      </c>
      <c r="AR92" s="24" t="inlineStr">
        <is>
          <t>Elvina Kalieva</t>
        </is>
      </c>
      <c r="AS92" s="24" t="inlineStr">
        <is>
          <t>Kristina Liutova</t>
        </is>
      </c>
      <c r="AT92" s="24" t="inlineStr">
        <is>
          <t>Kristina Liutova</t>
        </is>
      </c>
      <c r="AU92" s="24" t="inlineStr">
        <is>
          <t>Kristina Liutova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research</t>
        </is>
      </c>
      <c r="BA92" s="24" t="inlineStr">
        <is>
          <t>999faa03e2fa83bdf40e3760cb8645b4c314e4cc37c2050b8320d6582c4d8167</t>
        </is>
      </c>
      <c r="BB92" s="24" t="inlineStr">
        <is>
          <t>surface_blended_elo</t>
        </is>
      </c>
      <c r="BC92" s="24" t="inlineStr">
        <is>
          <t>tennis-surface-elo-v1</t>
        </is>
      </c>
      <c r="BD92" s="24" t="inlineStr">
        <is>
          <t>999faa03e2fa83bdf40e3760cb8645b4c314e4cc37c2050b8320d6582c4d8167</t>
        </is>
      </c>
      <c r="BE92" s="24" t="inlineStr">
        <is>
          <t>tennis-surface-elo-v1</t>
        </is>
      </c>
      <c r="BF92" s="24" t="inlineStr">
        <is>
          <t>1</t>
        </is>
      </c>
      <c r="BG92" s="24" t="inlineStr">
        <is>
          <t>999faa03e2fa83bdf40e3760cb8645b4c314e4cc37c2050b8320d6582c4d8167</t>
        </is>
      </c>
      <c r="BH92" s="24" t="inlineStr">
        <is>
          <t>2026-08-01T16:49:50.998496Z</t>
        </is>
      </c>
      <c r="BI92" s="24" t="inlineStr">
        <is>
          <t>["same_event","same_team_same_day","same_league_same_day"]</t>
        </is>
      </c>
      <c r="BJ92" s="25" t="n"/>
      <c r="BK92" s="26" t="n">
        <v>133</v>
      </c>
      <c r="BL92" s="27" t="n">
        <v>2.33</v>
      </c>
      <c r="BM92" s="28" t="n">
        <v>0.429185</v>
      </c>
      <c r="BN92" s="28" t="n"/>
      <c r="BO92" s="28" t="n"/>
      <c r="BP92" s="25" t="n"/>
      <c r="BQ92" s="27" t="n">
        <v>2.33</v>
      </c>
      <c r="BR92" s="28" t="n">
        <v>0.43</v>
      </c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</row>
    <row r="93" ht="36" customHeight="1">
      <c r="A93" s="24" t="inlineStr">
        <is>
          <t>a39df48ae9c84f8b</t>
        </is>
      </c>
      <c r="B93" s="24" t="inlineStr">
        <is>
          <t>2026-08-01T16:52:34.743688Z</t>
        </is>
      </c>
      <c r="C93" s="24" t="inlineStr">
        <is>
          <t>2026-08-01T18:00Z</t>
        </is>
      </c>
      <c r="D93" s="24" t="inlineStr">
        <is>
          <t>421-2026:183323</t>
        </is>
      </c>
      <c r="E93" s="24" t="inlineStr">
        <is>
          <t>TENNIS</t>
        </is>
      </c>
      <c r="F93" s="24" t="inlineStr">
        <is>
          <t>Lucrezia Stefanini</t>
        </is>
      </c>
      <c r="G93" s="24" t="inlineStr">
        <is>
          <t>Sofia Kenin</t>
        </is>
      </c>
      <c r="H93" s="24" t="inlineStr">
        <is>
          <t>moneyline</t>
        </is>
      </c>
      <c r="I93" s="24" t="inlineStr">
        <is>
          <t>home</t>
        </is>
      </c>
      <c r="J93" s="25" t="n"/>
      <c r="K93" s="24" t="inlineStr">
        <is>
          <t>polymarket_us</t>
        </is>
      </c>
      <c r="L93" s="26" t="n">
        <v>-122</v>
      </c>
      <c r="M93" s="27" t="n">
        <v>1.819672</v>
      </c>
      <c r="N93" s="28" t="n">
        <v>0.54955</v>
      </c>
      <c r="O93" s="28" t="n">
        <v>0.516532</v>
      </c>
      <c r="P93" s="28" t="n">
        <v>0.05</v>
      </c>
      <c r="Q93" s="28" t="n">
        <v>-0.033018</v>
      </c>
      <c r="R93" s="26" t="n">
        <v>3</v>
      </c>
      <c r="S93" s="29" t="n">
        <v>1</v>
      </c>
      <c r="T93" s="24" t="inlineStr">
        <is>
          <t>tennis-surface-elo-v1</t>
        </is>
      </c>
      <c r="U93" s="24" t="inlineStr">
        <is>
          <t>settled</t>
        </is>
      </c>
      <c r="V93" s="24" t="inlineStr">
        <is>
          <t>loss</t>
        </is>
      </c>
      <c r="W93" s="26" t="n">
        <v>1</v>
      </c>
      <c r="X93" s="26" t="n">
        <v>0</v>
      </c>
      <c r="Y93" s="25" t="n"/>
      <c r="Z93" s="26" t="n">
        <v>-122</v>
      </c>
      <c r="AA93" s="28" t="n">
        <v>0.55</v>
      </c>
      <c r="AB93" s="28" t="n">
        <v>0.00045</v>
      </c>
      <c r="AC93" s="30" t="n">
        <v>-1</v>
      </c>
      <c r="AD93" s="24" t="inlineStr">
        <is>
          <t>2026-08-01T21:40:59.983799Z</t>
        </is>
      </c>
      <c r="AE93" s="31" t="inlineStr">
        <is>
          <t>Surface-blended Elo on Hard: Lucrezia Stefanini p=0.483 vs Sofia Kenin. Executable ask 0.5500 (aec-wta-sofken-lucste-2026-08-01).</t>
        </is>
      </c>
      <c r="AF93" s="31" t="inlineStr">
        <is>
          <t>Research-only surface-blended Elo model; singles only, WTA-only market coverage, not yet locked-holdout qualified.</t>
        </is>
      </c>
      <c r="AG93" s="24" t="inlineStr">
        <is>
          <t>review_required</t>
        </is>
      </c>
      <c r="AH93" s="24" t="n"/>
      <c r="AI93" s="31" t="n"/>
      <c r="AJ93" s="31" t="n"/>
      <c r="AK93" s="24" t="inlineStr">
        <is>
          <t>research_observation</t>
        </is>
      </c>
      <c r="AL93" s="26" t="n">
        <v>3</v>
      </c>
      <c r="AM93" s="24" t="inlineStr">
        <is>
          <t>RESEARCH_OBSERVATION</t>
        </is>
      </c>
      <c r="AN93" s="24" t="inlineStr">
        <is>
          <t>NO_CALL</t>
        </is>
      </c>
      <c r="AO93" s="24" t="inlineStr">
        <is>
          <t>NO_CALL_MODEL_UNVALIDATED</t>
        </is>
      </c>
      <c r="AP93" s="24" t="inlineStr">
        <is>
          <t>Lucrezia Stefanini</t>
        </is>
      </c>
      <c r="AQ93" s="24" t="inlineStr">
        <is>
          <t>Lucrezia Stefanini</t>
        </is>
      </c>
      <c r="AR93" s="24" t="inlineStr">
        <is>
          <t>Lucrezia Stefanini</t>
        </is>
      </c>
      <c r="AS93" s="24" t="inlineStr">
        <is>
          <t>Sofia Kenin</t>
        </is>
      </c>
      <c r="AT93" s="24" t="inlineStr">
        <is>
          <t>Sofia Kenin</t>
        </is>
      </c>
      <c r="AU93" s="24" t="inlineStr">
        <is>
          <t>Sofia Kenin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research</t>
        </is>
      </c>
      <c r="BA93" s="24" t="inlineStr">
        <is>
          <t>999faa03e2fa83bdf40e3760cb8645b4c314e4cc37c2050b8320d6582c4d8167</t>
        </is>
      </c>
      <c r="BB93" s="24" t="inlineStr">
        <is>
          <t>surface_blended_elo</t>
        </is>
      </c>
      <c r="BC93" s="24" t="inlineStr">
        <is>
          <t>tennis-surface-elo-v1</t>
        </is>
      </c>
      <c r="BD93" s="24" t="inlineStr">
        <is>
          <t>999faa03e2fa83bdf40e3760cb8645b4c314e4cc37c2050b8320d6582c4d8167</t>
        </is>
      </c>
      <c r="BE93" s="24" t="inlineStr">
        <is>
          <t>tennis-surface-elo-v1</t>
        </is>
      </c>
      <c r="BF93" s="24" t="inlineStr">
        <is>
          <t>1</t>
        </is>
      </c>
      <c r="BG93" s="24" t="inlineStr">
        <is>
          <t>999faa03e2fa83bdf40e3760cb8645b4c314e4cc37c2050b8320d6582c4d8167</t>
        </is>
      </c>
      <c r="BH93" s="24" t="inlineStr">
        <is>
          <t>2026-08-01T16:49:54.591143Z</t>
        </is>
      </c>
      <c r="BI93" s="24" t="inlineStr">
        <is>
          <t>["same_event","same_team_same_day","same_league_same_day"]</t>
        </is>
      </c>
      <c r="BJ93" s="25" t="n"/>
      <c r="BK93" s="26" t="n">
        <v>-122</v>
      </c>
      <c r="BL93" s="27" t="n">
        <v>1.819672</v>
      </c>
      <c r="BM93" s="28" t="n">
        <v>0.54955</v>
      </c>
      <c r="BN93" s="28" t="n"/>
      <c r="BO93" s="28" t="n"/>
      <c r="BP93" s="25" t="n"/>
      <c r="BQ93" s="27" t="n">
        <v>1.819672</v>
      </c>
      <c r="BR93" s="28" t="n">
        <v>0.55</v>
      </c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</row>
    <row r="94" ht="36" customHeight="1">
      <c r="A94" s="24" t="inlineStr">
        <is>
          <t>9c00dca4cbed4271</t>
        </is>
      </c>
      <c r="B94" s="24" t="inlineStr">
        <is>
          <t>2026-08-01T16:52:34.743688Z</t>
        </is>
      </c>
      <c r="C94" s="24" t="inlineStr">
        <is>
          <t>2026-08-01T18:00Z</t>
        </is>
      </c>
      <c r="D94" s="24" t="inlineStr">
        <is>
          <t>421-2026:183326</t>
        </is>
      </c>
      <c r="E94" s="24" t="inlineStr">
        <is>
          <t>TENNIS</t>
        </is>
      </c>
      <c r="F94" s="24" t="inlineStr">
        <is>
          <t>Avery Alexander</t>
        </is>
      </c>
      <c r="G94" s="24" t="inlineStr">
        <is>
          <t>Polina Kudermetova</t>
        </is>
      </c>
      <c r="H94" s="24" t="inlineStr">
        <is>
          <t>moneyline</t>
        </is>
      </c>
      <c r="I94" s="24" t="inlineStr">
        <is>
          <t>home</t>
        </is>
      </c>
      <c r="J94" s="25" t="n"/>
      <c r="K94" s="24" t="inlineStr">
        <is>
          <t>polymarket_us</t>
        </is>
      </c>
      <c r="L94" s="26" t="n">
        <v>-3233</v>
      </c>
      <c r="M94" s="27" t="n">
        <v>1.030931</v>
      </c>
      <c r="N94" s="28" t="n">
        <v>0.969997</v>
      </c>
      <c r="O94" s="28" t="n">
        <v>0.664173</v>
      </c>
      <c r="P94" s="28" t="n">
        <v>0.05</v>
      </c>
      <c r="Q94" s="28" t="n">
        <v>-0.305824</v>
      </c>
      <c r="R94" s="26" t="n">
        <v>0</v>
      </c>
      <c r="S94" s="29" t="n">
        <v>1.75</v>
      </c>
      <c r="T94" s="24" t="inlineStr">
        <is>
          <t>tennis-surface-elo-v1</t>
        </is>
      </c>
      <c r="U94" s="24" t="inlineStr">
        <is>
          <t>settled</t>
        </is>
      </c>
      <c r="V94" s="24" t="inlineStr">
        <is>
          <t>win</t>
        </is>
      </c>
      <c r="W94" s="26" t="n">
        <v>0</v>
      </c>
      <c r="X94" s="26" t="n">
        <v>1</v>
      </c>
      <c r="Y94" s="25" t="n"/>
      <c r="Z94" s="26" t="n">
        <v>-3233</v>
      </c>
      <c r="AA94" s="28" t="n">
        <v>0.97</v>
      </c>
      <c r="AB94" s="28" t="n">
        <v>3e-06</v>
      </c>
      <c r="AC94" s="30" t="n">
        <v>0.0541</v>
      </c>
      <c r="AD94" s="24" t="inlineStr">
        <is>
          <t>2026-08-01T20:34:17.577016Z</t>
        </is>
      </c>
      <c r="AE94" s="31" t="inlineStr">
        <is>
          <t>Surface-blended Elo on Hard: Avery Alexander p=0.336 vs Polina Kudermetova. Executable ask 0.9700 (aec-wta-polkud-aveale-2026-08-01).</t>
        </is>
      </c>
      <c r="AF94" s="31" t="inlineStr">
        <is>
          <t>Research-only surface-blended Elo model; singles only, WTA-only market coverage, not yet locked-holdout qualified.</t>
        </is>
      </c>
      <c r="AG94" s="24" t="inlineStr">
        <is>
          <t>not_applicable</t>
        </is>
      </c>
      <c r="AH94" s="24" t="n"/>
      <c r="AI94" s="31" t="n"/>
      <c r="AJ94" s="31" t="n"/>
      <c r="AK94" s="24" t="inlineStr">
        <is>
          <t>research_observation</t>
        </is>
      </c>
      <c r="AL94" s="26" t="n">
        <v>3</v>
      </c>
      <c r="AM94" s="24" t="inlineStr">
        <is>
          <t>RESEARCH_OBSERVATION</t>
        </is>
      </c>
      <c r="AN94" s="24" t="inlineStr">
        <is>
          <t>NO_CALL</t>
        </is>
      </c>
      <c r="AO94" s="24" t="inlineStr">
        <is>
          <t>NO_CALL_MODEL_UNVALIDATED</t>
        </is>
      </c>
      <c r="AP94" s="24" t="inlineStr">
        <is>
          <t>Avery Alexander</t>
        </is>
      </c>
      <c r="AQ94" s="24" t="inlineStr">
        <is>
          <t>Avery Alexander</t>
        </is>
      </c>
      <c r="AR94" s="24" t="inlineStr">
        <is>
          <t>Avery Alexander</t>
        </is>
      </c>
      <c r="AS94" s="24" t="inlineStr">
        <is>
          <t>Polina Kudermetova</t>
        </is>
      </c>
      <c r="AT94" s="24" t="inlineStr">
        <is>
          <t>Polina Kudermetova</t>
        </is>
      </c>
      <c r="AU94" s="24" t="inlineStr">
        <is>
          <t>Polina Kudermetova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research</t>
        </is>
      </c>
      <c r="BA94" s="24" t="inlineStr">
        <is>
          <t>999faa03e2fa83bdf40e3760cb8645b4c314e4cc37c2050b8320d6582c4d8167</t>
        </is>
      </c>
      <c r="BB94" s="24" t="inlineStr">
        <is>
          <t>surface_blended_elo</t>
        </is>
      </c>
      <c r="BC94" s="24" t="inlineStr">
        <is>
          <t>tennis-surface-elo-v1</t>
        </is>
      </c>
      <c r="BD94" s="24" t="inlineStr">
        <is>
          <t>999faa03e2fa83bdf40e3760cb8645b4c314e4cc37c2050b8320d6582c4d8167</t>
        </is>
      </c>
      <c r="BE94" s="24" t="inlineStr">
        <is>
          <t>tennis-surface-elo-v1</t>
        </is>
      </c>
      <c r="BF94" s="24" t="inlineStr">
        <is>
          <t>1</t>
        </is>
      </c>
      <c r="BG94" s="24" t="inlineStr">
        <is>
          <t>999faa03e2fa83bdf40e3760cb8645b4c314e4cc37c2050b8320d6582c4d8167</t>
        </is>
      </c>
      <c r="BH94" s="24" t="inlineStr">
        <is>
          <t>2026-08-01T16:49:56.451294Z</t>
        </is>
      </c>
      <c r="BI94" s="24" t="inlineStr">
        <is>
          <t>["same_event","same_team_same_day","same_league_same_day"]</t>
        </is>
      </c>
      <c r="BJ94" s="25" t="n"/>
      <c r="BK94" s="26" t="n">
        <v>-3233</v>
      </c>
      <c r="BL94" s="27" t="n">
        <v>1.030931</v>
      </c>
      <c r="BM94" s="28" t="n">
        <v>0.969997</v>
      </c>
      <c r="BN94" s="28" t="n"/>
      <c r="BO94" s="28" t="n"/>
      <c r="BP94" s="25" t="n"/>
      <c r="BQ94" s="27" t="n">
        <v>1.030931</v>
      </c>
      <c r="BR94" s="28" t="n">
        <v>0.97</v>
      </c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</row>
    <row r="95" ht="36" customHeight="1">
      <c r="A95" s="24" t="inlineStr">
        <is>
          <t>a770fa9bd09c49df</t>
        </is>
      </c>
      <c r="B95" s="24" t="inlineStr">
        <is>
          <t>2026-08-01T18:40:28.047324Z</t>
        </is>
      </c>
      <c r="C95" s="24" t="inlineStr">
        <is>
          <t>2026-08-01T19:30Z</t>
        </is>
      </c>
      <c r="D95" s="24" t="inlineStr">
        <is>
          <t>888-2026:179016</t>
        </is>
      </c>
      <c r="E95" s="24" t="inlineStr">
        <is>
          <t>TENNIS</t>
        </is>
      </c>
      <c r="F95" s="24" t="inlineStr">
        <is>
          <t>Alexandra Eala</t>
        </is>
      </c>
      <c r="G95" s="24" t="inlineStr">
        <is>
          <t>Naomi Osaka</t>
        </is>
      </c>
      <c r="H95" s="24" t="inlineStr">
        <is>
          <t>moneyline</t>
        </is>
      </c>
      <c r="I95" s="24" t="inlineStr">
        <is>
          <t>home</t>
        </is>
      </c>
      <c r="J95" s="25" t="n"/>
      <c r="K95" s="24" t="inlineStr">
        <is>
          <t>polymarket_us</t>
        </is>
      </c>
      <c r="L95" s="26" t="n">
        <v>-150</v>
      </c>
      <c r="M95" s="27" t="n">
        <v>1.666667</v>
      </c>
      <c r="N95" s="28" t="n">
        <v>0.6</v>
      </c>
      <c r="O95" s="28" t="n">
        <v>0.6528929999999999</v>
      </c>
      <c r="P95" s="28" t="n">
        <v>0.05</v>
      </c>
      <c r="Q95" s="28" t="n">
        <v>0.052893</v>
      </c>
      <c r="R95" s="26" t="n">
        <v>46</v>
      </c>
      <c r="S95" s="29" t="n">
        <v>1.75</v>
      </c>
      <c r="T95" s="24" t="inlineStr">
        <is>
          <t>tennis-surface-elo-v1</t>
        </is>
      </c>
      <c r="U95" s="24" t="inlineStr">
        <is>
          <t>settled</t>
        </is>
      </c>
      <c r="V95" s="24" t="inlineStr">
        <is>
          <t>loss</t>
        </is>
      </c>
      <c r="W95" s="26" t="n">
        <v>1</v>
      </c>
      <c r="X95" s="26" t="n">
        <v>0</v>
      </c>
      <c r="Y95" s="25" t="n"/>
      <c r="Z95" s="26" t="n">
        <v>-150</v>
      </c>
      <c r="AA95" s="28" t="n">
        <v>0.6</v>
      </c>
      <c r="AB95" s="28" t="n">
        <v>0</v>
      </c>
      <c r="AC95" s="30" t="n">
        <v>-1.75</v>
      </c>
      <c r="AD95" s="24" t="inlineStr">
        <is>
          <t>2026-08-01T21:41:00.267945Z</t>
        </is>
      </c>
      <c r="AE95" s="31" t="inlineStr">
        <is>
          <t>Surface-blended Elo on Hard: Alexandra Eala p=0.347 vs Naomi Osaka. Executable ask 0.6000 (aec-wta-naoosa-aleeal-2026-08-01).</t>
        </is>
      </c>
      <c r="AF95" s="31" t="inlineStr">
        <is>
          <t>Research-only surface-blended Elo model; singles only, WTA-only market coverage, not yet locked-holdout qualified.</t>
        </is>
      </c>
      <c r="AG95" s="24" t="inlineStr">
        <is>
          <t>review_required</t>
        </is>
      </c>
      <c r="AH95" s="24" t="n"/>
      <c r="AI95" s="31" t="n"/>
      <c r="AJ95" s="31" t="n"/>
      <c r="AK95" s="24" t="inlineStr">
        <is>
          <t>research_observation</t>
        </is>
      </c>
      <c r="AL95" s="26" t="n">
        <v>3</v>
      </c>
      <c r="AM95" s="24" t="inlineStr">
        <is>
          <t>RESEARCH_OBSERVATION</t>
        </is>
      </c>
      <c r="AN95" s="24" t="inlineStr">
        <is>
          <t>NO_CALL</t>
        </is>
      </c>
      <c r="AO95" s="24" t="inlineStr">
        <is>
          <t>NO_CALL_MODEL_UNVALIDATED</t>
        </is>
      </c>
      <c r="AP95" s="24" t="inlineStr">
        <is>
          <t>Alexandra Eala</t>
        </is>
      </c>
      <c r="AQ95" s="24" t="inlineStr">
        <is>
          <t>Alexandra Eala</t>
        </is>
      </c>
      <c r="AR95" s="24" t="inlineStr">
        <is>
          <t>Alexandra Eala</t>
        </is>
      </c>
      <c r="AS95" s="24" t="inlineStr">
        <is>
          <t>Naomi Osaka</t>
        </is>
      </c>
      <c r="AT95" s="24" t="inlineStr">
        <is>
          <t>Naomi Osaka</t>
        </is>
      </c>
      <c r="AU95" s="24" t="inlineStr">
        <is>
          <t>Naomi Osaka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research</t>
        </is>
      </c>
      <c r="BA95" s="24" t="inlineStr">
        <is>
          <t>999faa03e2fa83bdf40e3760cb8645b4c314e4cc37c2050b8320d6582c4d8167</t>
        </is>
      </c>
      <c r="BB95" s="24" t="inlineStr">
        <is>
          <t>surface_blended_elo</t>
        </is>
      </c>
      <c r="BC95" s="24" t="inlineStr">
        <is>
          <t>tennis-surface-elo-v1</t>
        </is>
      </c>
      <c r="BD95" s="24" t="inlineStr">
        <is>
          <t>999faa03e2fa83bdf40e3760cb8645b4c314e4cc37c2050b8320d6582c4d8167</t>
        </is>
      </c>
      <c r="BE95" s="24" t="inlineStr">
        <is>
          <t>tennis-surface-elo-v1</t>
        </is>
      </c>
      <c r="BF95" s="24" t="inlineStr">
        <is>
          <t>1</t>
        </is>
      </c>
      <c r="BG95" s="24" t="inlineStr">
        <is>
          <t>999faa03e2fa83bdf40e3760cb8645b4c314e4cc37c2050b8320d6582c4d8167</t>
        </is>
      </c>
      <c r="BH95" s="24" t="inlineStr">
        <is>
          <t>2026-08-01T18:37:24.080218Z</t>
        </is>
      </c>
      <c r="BI95" s="24" t="inlineStr">
        <is>
          <t>["same_event","same_team_same_day","same_league_same_day"]</t>
        </is>
      </c>
      <c r="BJ95" s="25" t="n"/>
      <c r="BK95" s="26" t="n">
        <v>-150</v>
      </c>
      <c r="BL95" s="27" t="n">
        <v>1.666667</v>
      </c>
      <c r="BM95" s="28" t="n">
        <v>0.6</v>
      </c>
      <c r="BN95" s="28" t="n"/>
      <c r="BO95" s="28" t="n"/>
      <c r="BP95" s="25" t="n"/>
      <c r="BQ95" s="27" t="n">
        <v>1.666667</v>
      </c>
      <c r="BR95" s="28" t="n">
        <v>0.6</v>
      </c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</row>
    <row r="96" ht="36" customHeight="1">
      <c r="A96" s="24" t="inlineStr">
        <is>
          <t>ff4ba2a733344e3b</t>
        </is>
      </c>
      <c r="B96" s="24" t="inlineStr">
        <is>
          <t>2026-08-01T18:40:28.047324Z</t>
        </is>
      </c>
      <c r="C96" s="24" t="inlineStr">
        <is>
          <t>2026-08-01T20:00Z</t>
        </is>
      </c>
      <c r="D96" s="24" t="inlineStr">
        <is>
          <t>1067-2026:179444</t>
        </is>
      </c>
      <c r="E96" s="24" t="inlineStr">
        <is>
          <t>TENNIS</t>
        </is>
      </c>
      <c r="F96" s="24" t="inlineStr">
        <is>
          <t>Renata Zarazua</t>
        </is>
      </c>
      <c r="G96" s="24" t="inlineStr">
        <is>
          <t>Darja Vidmanova</t>
        </is>
      </c>
      <c r="H96" s="24" t="inlineStr">
        <is>
          <t>moneyline</t>
        </is>
      </c>
      <c r="I96" s="24" t="inlineStr">
        <is>
          <t>home</t>
        </is>
      </c>
      <c r="J96" s="25" t="n"/>
      <c r="K96" s="24" t="inlineStr">
        <is>
          <t>polymarket_us</t>
        </is>
      </c>
      <c r="L96" s="26" t="n">
        <v>-133</v>
      </c>
      <c r="M96" s="27" t="n">
        <v>1.75188</v>
      </c>
      <c r="N96" s="28" t="n">
        <v>0.570815</v>
      </c>
      <c r="O96" s="28" t="n">
        <v>0.643066</v>
      </c>
      <c r="P96" s="28" t="n">
        <v>0.05</v>
      </c>
      <c r="Q96" s="28" t="n">
        <v>0.072251</v>
      </c>
      <c r="R96" s="26" t="n">
        <v>56</v>
      </c>
      <c r="S96" s="29" t="n">
        <v>1.5</v>
      </c>
      <c r="T96" s="24" t="inlineStr">
        <is>
          <t>tennis-surface-elo-v1</t>
        </is>
      </c>
      <c r="U96" s="24" t="inlineStr">
        <is>
          <t>settled</t>
        </is>
      </c>
      <c r="V96" s="24" t="inlineStr">
        <is>
          <t>win</t>
        </is>
      </c>
      <c r="W96" s="26" t="n">
        <v>0</v>
      </c>
      <c r="X96" s="26" t="n">
        <v>1</v>
      </c>
      <c r="Y96" s="25" t="n"/>
      <c r="Z96" s="26" t="n">
        <v>-133</v>
      </c>
      <c r="AA96" s="28" t="n">
        <v>0.57</v>
      </c>
      <c r="AB96" s="28" t="n">
        <v>-0.000815</v>
      </c>
      <c r="AC96" s="30" t="n">
        <v>1.1278</v>
      </c>
      <c r="AD96" s="24" t="inlineStr">
        <is>
          <t>2026-08-01T23:51:12.440117Z</t>
        </is>
      </c>
      <c r="AE96" s="31" t="inlineStr">
        <is>
          <t>Surface-blended Elo on Hard: Renata Zarazua p=0.357 vs Darja Vidmanova. Executable ask 0.5700 (aec-wta-darvid-renzar-2026-08-01).</t>
        </is>
      </c>
      <c r="AF96" s="31" t="inlineStr">
        <is>
          <t>Research-only surface-blended Elo model; singles only, WTA-only market coverage, not yet locked-holdout qualified.</t>
        </is>
      </c>
      <c r="AG96" s="24" t="inlineStr">
        <is>
          <t>not_applicable</t>
        </is>
      </c>
      <c r="AH96" s="24" t="n"/>
      <c r="AI96" s="31" t="n"/>
      <c r="AJ96" s="31" t="n"/>
      <c r="AK96" s="24" t="inlineStr">
        <is>
          <t>research_observation</t>
        </is>
      </c>
      <c r="AL96" s="26" t="n">
        <v>3</v>
      </c>
      <c r="AM96" s="24" t="inlineStr">
        <is>
          <t>RESEARCH_OBSERVATION</t>
        </is>
      </c>
      <c r="AN96" s="24" t="inlineStr">
        <is>
          <t>NO_CALL</t>
        </is>
      </c>
      <c r="AO96" s="24" t="inlineStr">
        <is>
          <t>NO_CALL_MODEL_UNVALIDATED</t>
        </is>
      </c>
      <c r="AP96" s="24" t="inlineStr">
        <is>
          <t>Renata Zarazua</t>
        </is>
      </c>
      <c r="AQ96" s="24" t="inlineStr">
        <is>
          <t>Renata Zarazua</t>
        </is>
      </c>
      <c r="AR96" s="24" t="inlineStr">
        <is>
          <t>Renata Zarazua</t>
        </is>
      </c>
      <c r="AS96" s="24" t="inlineStr">
        <is>
          <t>Darja Vidmanova</t>
        </is>
      </c>
      <c r="AT96" s="24" t="inlineStr">
        <is>
          <t>Darja Vidmanova</t>
        </is>
      </c>
      <c r="AU96" s="24" t="inlineStr">
        <is>
          <t>Darja Vidmanova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research</t>
        </is>
      </c>
      <c r="BA96" s="24" t="inlineStr">
        <is>
          <t>999faa03e2fa83bdf40e3760cb8645b4c314e4cc37c2050b8320d6582c4d8167</t>
        </is>
      </c>
      <c r="BB96" s="24" t="inlineStr">
        <is>
          <t>surface_blended_elo</t>
        </is>
      </c>
      <c r="BC96" s="24" t="inlineStr">
        <is>
          <t>tennis-surface-elo-v1</t>
        </is>
      </c>
      <c r="BD96" s="24" t="inlineStr">
        <is>
          <t>999faa03e2fa83bdf40e3760cb8645b4c314e4cc37c2050b8320d6582c4d8167</t>
        </is>
      </c>
      <c r="BE96" s="24" t="inlineStr">
        <is>
          <t>tennis-surface-elo-v1</t>
        </is>
      </c>
      <c r="BF96" s="24" t="inlineStr">
        <is>
          <t>1</t>
        </is>
      </c>
      <c r="BG96" s="24" t="inlineStr">
        <is>
          <t>999faa03e2fa83bdf40e3760cb8645b4c314e4cc37c2050b8320d6582c4d8167</t>
        </is>
      </c>
      <c r="BH96" s="24" t="inlineStr">
        <is>
          <t>2026-08-01T18:37:25.688700Z</t>
        </is>
      </c>
      <c r="BI96" s="24" t="inlineStr">
        <is>
          <t>["same_event","same_team_same_day","same_league_same_day"]</t>
        </is>
      </c>
      <c r="BJ96" s="25" t="n"/>
      <c r="BK96" s="26" t="n">
        <v>-133</v>
      </c>
      <c r="BL96" s="27" t="n">
        <v>1.75188</v>
      </c>
      <c r="BM96" s="28" t="n">
        <v>0.570815</v>
      </c>
      <c r="BN96" s="28" t="n"/>
      <c r="BO96" s="28" t="n"/>
      <c r="BP96" s="25" t="n"/>
      <c r="BQ96" s="27" t="n">
        <v>1.75188</v>
      </c>
      <c r="BR96" s="28" t="n">
        <v>0.57</v>
      </c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</row>
    <row r="97" ht="36" customHeight="1">
      <c r="A97" s="24" t="inlineStr">
        <is>
          <t>77b321a956734986</t>
        </is>
      </c>
      <c r="B97" s="24" t="inlineStr">
        <is>
          <t>2026-08-01T18:40:28.047324Z</t>
        </is>
      </c>
      <c r="C97" s="24" t="inlineStr">
        <is>
          <t>2026-08-01T19:30Z</t>
        </is>
      </c>
      <c r="D97" s="24" t="inlineStr">
        <is>
          <t>421-2026:183316</t>
        </is>
      </c>
      <c r="E97" s="24" t="inlineStr">
        <is>
          <t>TENNIS</t>
        </is>
      </c>
      <c r="F97" s="24" t="inlineStr">
        <is>
          <t>Sloane Stephens</t>
        </is>
      </c>
      <c r="G97" s="24" t="inlineStr">
        <is>
          <t>Harriet Dart</t>
        </is>
      </c>
      <c r="H97" s="24" t="inlineStr">
        <is>
          <t>moneyline</t>
        </is>
      </c>
      <c r="I97" s="24" t="inlineStr">
        <is>
          <t>home</t>
        </is>
      </c>
      <c r="J97" s="25" t="n"/>
      <c r="K97" s="24" t="inlineStr">
        <is>
          <t>polymarket_us</t>
        </is>
      </c>
      <c r="L97" s="26" t="n">
        <v>-104</v>
      </c>
      <c r="M97" s="27" t="n">
        <v>1.961538</v>
      </c>
      <c r="N97" s="28" t="n">
        <v>0.509804</v>
      </c>
      <c r="O97" s="28" t="n">
        <v>0.5425990000000001</v>
      </c>
      <c r="P97" s="28" t="n">
        <v>0.05</v>
      </c>
      <c r="Q97" s="28" t="n">
        <v>0.032795</v>
      </c>
      <c r="R97" s="26" t="n">
        <v>36</v>
      </c>
      <c r="S97" s="29" t="n">
        <v>1</v>
      </c>
      <c r="T97" s="24" t="inlineStr">
        <is>
          <t>tennis-surface-elo-v1</t>
        </is>
      </c>
      <c r="U97" s="24" t="inlineStr">
        <is>
          <t>settled</t>
        </is>
      </c>
      <c r="V97" s="24" t="inlineStr">
        <is>
          <t>loss</t>
        </is>
      </c>
      <c r="W97" s="26" t="n">
        <v>1</v>
      </c>
      <c r="X97" s="26" t="n">
        <v>0</v>
      </c>
      <c r="Y97" s="25" t="n"/>
      <c r="Z97" s="26" t="n">
        <v>-104</v>
      </c>
      <c r="AA97" s="28" t="n">
        <v>0.51</v>
      </c>
      <c r="AB97" s="28" t="n">
        <v>0.000196</v>
      </c>
      <c r="AC97" s="30" t="n">
        <v>-1</v>
      </c>
      <c r="AD97" s="24" t="inlineStr">
        <is>
          <t>2026-08-01T23:51:12.837368Z</t>
        </is>
      </c>
      <c r="AE97" s="31" t="inlineStr">
        <is>
          <t>Surface-blended Elo on Hard: Sloane Stephens p=0.457 vs Harriet Dart. Executable ask 0.5100 (aec-wta-hardar-sloste-2026-08-01).</t>
        </is>
      </c>
      <c r="AF97" s="31" t="inlineStr">
        <is>
          <t>Research-only surface-blended Elo model; singles only, WTA-only market coverage, not yet locked-holdout qualified.</t>
        </is>
      </c>
      <c r="AG97" s="24" t="inlineStr">
        <is>
          <t>review_required</t>
        </is>
      </c>
      <c r="AH97" s="24" t="n"/>
      <c r="AI97" s="31" t="n"/>
      <c r="AJ97" s="31" t="n"/>
      <c r="AK97" s="24" t="inlineStr">
        <is>
          <t>research_observation</t>
        </is>
      </c>
      <c r="AL97" s="26" t="n">
        <v>3</v>
      </c>
      <c r="AM97" s="24" t="inlineStr">
        <is>
          <t>RESEARCH_OBSERVATION</t>
        </is>
      </c>
      <c r="AN97" s="24" t="inlineStr">
        <is>
          <t>NO_CALL</t>
        </is>
      </c>
      <c r="AO97" s="24" t="inlineStr">
        <is>
          <t>NO_CALL_MODEL_UNVALIDATED</t>
        </is>
      </c>
      <c r="AP97" s="24" t="inlineStr">
        <is>
          <t>Sloane Stephens</t>
        </is>
      </c>
      <c r="AQ97" s="24" t="inlineStr">
        <is>
          <t>Sloane Stephens</t>
        </is>
      </c>
      <c r="AR97" s="24" t="inlineStr">
        <is>
          <t>Sloane Stephens</t>
        </is>
      </c>
      <c r="AS97" s="24" t="inlineStr">
        <is>
          <t>Harriet Dart</t>
        </is>
      </c>
      <c r="AT97" s="24" t="inlineStr">
        <is>
          <t>Harriet Dart</t>
        </is>
      </c>
      <c r="AU97" s="24" t="inlineStr">
        <is>
          <t>Harriet Dart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research</t>
        </is>
      </c>
      <c r="BA97" s="24" t="inlineStr">
        <is>
          <t>999faa03e2fa83bdf40e3760cb8645b4c314e4cc37c2050b8320d6582c4d8167</t>
        </is>
      </c>
      <c r="BB97" s="24" t="inlineStr">
        <is>
          <t>surface_blended_elo</t>
        </is>
      </c>
      <c r="BC97" s="24" t="inlineStr">
        <is>
          <t>tennis-surface-elo-v1</t>
        </is>
      </c>
      <c r="BD97" s="24" t="inlineStr">
        <is>
          <t>999faa03e2fa83bdf40e3760cb8645b4c314e4cc37c2050b8320d6582c4d8167</t>
        </is>
      </c>
      <c r="BE97" s="24" t="inlineStr">
        <is>
          <t>tennis-surface-elo-v1</t>
        </is>
      </c>
      <c r="BF97" s="24" t="inlineStr">
        <is>
          <t>1</t>
        </is>
      </c>
      <c r="BG97" s="24" t="inlineStr">
        <is>
          <t>999faa03e2fa83bdf40e3760cb8645b4c314e4cc37c2050b8320d6582c4d8167</t>
        </is>
      </c>
      <c r="BH97" s="24" t="inlineStr">
        <is>
          <t>2026-08-01T18:37:23.024082Z</t>
        </is>
      </c>
      <c r="BI97" s="24" t="inlineStr">
        <is>
          <t>["same_event","same_team_same_day","same_league_same_day"]</t>
        </is>
      </c>
      <c r="BJ97" s="25" t="n"/>
      <c r="BK97" s="26" t="n">
        <v>-104</v>
      </c>
      <c r="BL97" s="27" t="n">
        <v>1.961538</v>
      </c>
      <c r="BM97" s="28" t="n">
        <v>0.509804</v>
      </c>
      <c r="BN97" s="28" t="n"/>
      <c r="BO97" s="28" t="n"/>
      <c r="BP97" s="25" t="n"/>
      <c r="BQ97" s="27" t="n">
        <v>1.961538</v>
      </c>
      <c r="BR97" s="28" t="n">
        <v>0.51</v>
      </c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</row>
    <row r="98" ht="36" customHeight="1">
      <c r="A98" s="24" t="inlineStr">
        <is>
          <t>68c34ae759b64dc2</t>
        </is>
      </c>
      <c r="B98" s="24" t="inlineStr">
        <is>
          <t>2026-08-01T20:17:17.078985Z</t>
        </is>
      </c>
      <c r="C98" s="24" t="inlineStr">
        <is>
          <t>2026-08-01T21:00Z</t>
        </is>
      </c>
      <c r="D98" s="24" t="inlineStr">
        <is>
          <t>421-2026:183325</t>
        </is>
      </c>
      <c r="E98" s="24" t="inlineStr">
        <is>
          <t>TENNIS</t>
        </is>
      </c>
      <c r="F98" s="24" t="inlineStr">
        <is>
          <t>Rebecca Sramkova</t>
        </is>
      </c>
      <c r="G98" s="24" t="inlineStr">
        <is>
          <t>Mananchaya Sawangkaew</t>
        </is>
      </c>
      <c r="H98" s="24" t="inlineStr">
        <is>
          <t>moneyline</t>
        </is>
      </c>
      <c r="I98" s="24" t="inlineStr">
        <is>
          <t>home</t>
        </is>
      </c>
      <c r="J98" s="25" t="n"/>
      <c r="K98" s="24" t="inlineStr">
        <is>
          <t>polymarket_us</t>
        </is>
      </c>
      <c r="L98" s="26" t="n">
        <v>-127</v>
      </c>
      <c r="M98" s="27" t="n">
        <v>1.787402</v>
      </c>
      <c r="N98" s="28" t="n">
        <v>0.5594710000000001</v>
      </c>
      <c r="O98" s="28" t="n">
        <v>0.590604</v>
      </c>
      <c r="P98" s="28" t="n">
        <v>0.05</v>
      </c>
      <c r="Q98" s="28" t="n">
        <v>0.031133</v>
      </c>
      <c r="R98" s="26" t="n">
        <v>36</v>
      </c>
      <c r="S98" s="29" t="n">
        <v>1.25</v>
      </c>
      <c r="T98" s="24" t="inlineStr">
        <is>
          <t>tennis-surface-elo-v1</t>
        </is>
      </c>
      <c r="U98" s="24" t="inlineStr">
        <is>
          <t>settled</t>
        </is>
      </c>
      <c r="V98" s="24" t="inlineStr">
        <is>
          <t>loss</t>
        </is>
      </c>
      <c r="W98" s="26" t="n">
        <v>1</v>
      </c>
      <c r="X98" s="26" t="n">
        <v>0</v>
      </c>
      <c r="Y98" s="25" t="n"/>
      <c r="Z98" s="26" t="n">
        <v>-127</v>
      </c>
      <c r="AA98" s="28" t="n">
        <v>0.5600000000000001</v>
      </c>
      <c r="AB98" s="28" t="n">
        <v>0.000529</v>
      </c>
      <c r="AC98" s="30" t="n">
        <v>-1.25</v>
      </c>
      <c r="AD98" s="24" t="inlineStr">
        <is>
          <t>2026-08-01T23:51:13.253347Z</t>
        </is>
      </c>
      <c r="AE98" s="31" t="inlineStr">
        <is>
          <t>Surface-blended Elo on Hard: Rebecca Sramkova p=0.409 vs Mananchaya Sawangkaew. Executable ask 0.5600 (aec-wta-mansaw-rebsra-2026-08-01).</t>
        </is>
      </c>
      <c r="AF98" s="31" t="inlineStr">
        <is>
          <t>Research-only surface-blended Elo model; singles only, WTA-only market coverage, not yet locked-holdout qualified.</t>
        </is>
      </c>
      <c r="AG98" s="24" t="inlineStr">
        <is>
          <t>review_required</t>
        </is>
      </c>
      <c r="AH98" s="24" t="n"/>
      <c r="AI98" s="31" t="n"/>
      <c r="AJ98" s="31" t="n"/>
      <c r="AK98" s="24" t="inlineStr">
        <is>
          <t>research_observation</t>
        </is>
      </c>
      <c r="AL98" s="26" t="n">
        <v>3</v>
      </c>
      <c r="AM98" s="24" t="inlineStr">
        <is>
          <t>RESEARCH_OBSERVATION</t>
        </is>
      </c>
      <c r="AN98" s="24" t="inlineStr">
        <is>
          <t>NO_CALL</t>
        </is>
      </c>
      <c r="AO98" s="24" t="inlineStr">
        <is>
          <t>NO_CALL_MODEL_UNVALIDATED</t>
        </is>
      </c>
      <c r="AP98" s="24" t="inlineStr">
        <is>
          <t>Rebecca Sramkova</t>
        </is>
      </c>
      <c r="AQ98" s="24" t="inlineStr">
        <is>
          <t>Rebecca Sramkova</t>
        </is>
      </c>
      <c r="AR98" s="24" t="inlineStr">
        <is>
          <t>Rebecca Sramkova</t>
        </is>
      </c>
      <c r="AS98" s="24" t="inlineStr">
        <is>
          <t>Mananchaya Sawangkaew</t>
        </is>
      </c>
      <c r="AT98" s="24" t="inlineStr">
        <is>
          <t>Mananchaya Sawangkaew</t>
        </is>
      </c>
      <c r="AU98" s="24" t="inlineStr">
        <is>
          <t>Mananchaya Sawangkaew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research</t>
        </is>
      </c>
      <c r="BA98" s="24" t="inlineStr">
        <is>
          <t>999faa03e2fa83bdf40e3760cb8645b4c314e4cc37c2050b8320d6582c4d8167</t>
        </is>
      </c>
      <c r="BB98" s="24" t="inlineStr">
        <is>
          <t>surface_blended_elo</t>
        </is>
      </c>
      <c r="BC98" s="24" t="inlineStr">
        <is>
          <t>tennis-surface-elo-v1</t>
        </is>
      </c>
      <c r="BD98" s="24" t="inlineStr">
        <is>
          <t>999faa03e2fa83bdf40e3760cb8645b4c314e4cc37c2050b8320d6582c4d8167</t>
        </is>
      </c>
      <c r="BE98" s="24" t="inlineStr">
        <is>
          <t>tennis-surface-elo-v1</t>
        </is>
      </c>
      <c r="BF98" s="24" t="inlineStr">
        <is>
          <t>1</t>
        </is>
      </c>
      <c r="BG98" s="24" t="inlineStr">
        <is>
          <t>999faa03e2fa83bdf40e3760cb8645b4c314e4cc37c2050b8320d6582c4d8167</t>
        </is>
      </c>
      <c r="BH98" s="24" t="inlineStr">
        <is>
          <t>2026-08-01T20:14:57.278891Z</t>
        </is>
      </c>
      <c r="BI98" s="24" t="inlineStr">
        <is>
          <t>["same_event","same_team_same_day","same_league_same_day"]</t>
        </is>
      </c>
      <c r="BJ98" s="25" t="n"/>
      <c r="BK98" s="26" t="n">
        <v>-127</v>
      </c>
      <c r="BL98" s="27" t="n">
        <v>1.787402</v>
      </c>
      <c r="BM98" s="28" t="n">
        <v>0.5594710000000001</v>
      </c>
      <c r="BN98" s="28" t="n"/>
      <c r="BO98" s="28" t="n"/>
      <c r="BP98" s="25" t="n"/>
      <c r="BQ98" s="27" t="n">
        <v>1.787402</v>
      </c>
      <c r="BR98" s="28" t="n">
        <v>0.5600000000000001</v>
      </c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</row>
    <row r="99" ht="36" customHeight="1">
      <c r="A99" s="24" t="inlineStr">
        <is>
          <t>db680842cfb54539</t>
        </is>
      </c>
      <c r="B99" s="24" t="inlineStr">
        <is>
          <t>2026-08-02T08:17:29.872422Z</t>
        </is>
      </c>
      <c r="C99" s="24" t="inlineStr">
        <is>
          <t>2026-08-02T16:00Z</t>
        </is>
      </c>
      <c r="D99" s="24" t="inlineStr">
        <is>
          <t>888-2026:179014</t>
        </is>
      </c>
      <c r="E99" s="24" t="inlineStr">
        <is>
          <t>TENNIS</t>
        </is>
      </c>
      <c r="F99" s="24" t="inlineStr">
        <is>
          <t>Alexandra Eala</t>
        </is>
      </c>
      <c r="G99" s="24" t="inlineStr">
        <is>
          <t>Jessica Pegula</t>
        </is>
      </c>
      <c r="H99" s="24" t="inlineStr">
        <is>
          <t>moneyline</t>
        </is>
      </c>
      <c r="I99" s="24" t="inlineStr">
        <is>
          <t>home</t>
        </is>
      </c>
      <c r="J99" s="25" t="n"/>
      <c r="K99" s="24" t="inlineStr">
        <is>
          <t>polymarket_us</t>
        </is>
      </c>
      <c r="L99" s="26" t="n">
        <v>-144</v>
      </c>
      <c r="M99" s="27" t="n">
        <v>1.694444</v>
      </c>
      <c r="N99" s="28" t="n">
        <v>0.590164</v>
      </c>
      <c r="O99" s="28" t="n">
        <v>0.821797</v>
      </c>
      <c r="P99" s="28" t="n">
        <v>0.05</v>
      </c>
      <c r="Q99" s="28" t="n">
        <v>0.231633</v>
      </c>
      <c r="R99" s="26" t="n">
        <v>100</v>
      </c>
      <c r="S99" s="29" t="n">
        <v>2</v>
      </c>
      <c r="T99" s="24" t="inlineStr">
        <is>
          <t>tennis-surface-elo-v1</t>
        </is>
      </c>
      <c r="U99" s="24" t="inlineStr">
        <is>
          <t>open</t>
        </is>
      </c>
      <c r="V99" s="24" t="n"/>
      <c r="W99" s="26" t="n"/>
      <c r="X99" s="26" t="n"/>
      <c r="Y99" s="25" t="n"/>
      <c r="Z99" s="26" t="n"/>
      <c r="AA99" s="28" t="n"/>
      <c r="AB99" s="28" t="n"/>
      <c r="AC99" s="30" t="n"/>
      <c r="AD99" s="24" t="n"/>
      <c r="AE99" s="31" t="inlineStr">
        <is>
          <t>Surface-blended Elo on Hard: Alexandra Eala p=0.178 vs Jessica Pegula. Executable ask 0.5900 (aec-wta-jespeg-aleeal-2026-08-02).</t>
        </is>
      </c>
      <c r="AF99" s="31" t="inlineStr">
        <is>
          <t>Research-only surface-blended Elo model; singles only, WTA-only market coverage, not yet locked-holdout qualified.</t>
        </is>
      </c>
      <c r="AG99" s="24" t="inlineStr">
        <is>
          <t>not_applicable</t>
        </is>
      </c>
      <c r="AH99" s="24" t="n"/>
      <c r="AI99" s="31" t="n"/>
      <c r="AJ99" s="31" t="n"/>
      <c r="AK99" s="24" t="inlineStr">
        <is>
          <t>research_observation</t>
        </is>
      </c>
      <c r="AL99" s="26" t="n">
        <v>3</v>
      </c>
      <c r="AM99" s="24" t="inlineStr">
        <is>
          <t>RESEARCH_OBSERVATION</t>
        </is>
      </c>
      <c r="AN99" s="24" t="inlineStr">
        <is>
          <t>NO_CALL</t>
        </is>
      </c>
      <c r="AO99" s="24" t="inlineStr">
        <is>
          <t>NO_CALL_MODEL_UNVALIDATED</t>
        </is>
      </c>
      <c r="AP99" s="24" t="inlineStr">
        <is>
          <t>Alexandra Eala</t>
        </is>
      </c>
      <c r="AQ99" s="24" t="inlineStr">
        <is>
          <t>Alexandra Eala</t>
        </is>
      </c>
      <c r="AR99" s="24" t="inlineStr">
        <is>
          <t>Alexandra Eala</t>
        </is>
      </c>
      <c r="AS99" s="24" t="inlineStr">
        <is>
          <t>Jessica Pegula</t>
        </is>
      </c>
      <c r="AT99" s="24" t="inlineStr">
        <is>
          <t>Jessica Pegula</t>
        </is>
      </c>
      <c r="AU99" s="24" t="inlineStr">
        <is>
          <t>Jessica Pegula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research</t>
        </is>
      </c>
      <c r="BA99" s="24" t="inlineStr">
        <is>
          <t>999faa03e2fa83bdf40e3760cb8645b4c314e4cc37c2050b8320d6582c4d8167</t>
        </is>
      </c>
      <c r="BB99" s="24" t="inlineStr">
        <is>
          <t>surface_blended_elo</t>
        </is>
      </c>
      <c r="BC99" s="24" t="inlineStr">
        <is>
          <t>tennis-surface-elo-v1</t>
        </is>
      </c>
      <c r="BD99" s="24" t="inlineStr">
        <is>
          <t>999faa03e2fa83bdf40e3760cb8645b4c314e4cc37c2050b8320d6582c4d8167</t>
        </is>
      </c>
      <c r="BE99" s="24" t="inlineStr">
        <is>
          <t>tennis-surface-elo-v1</t>
        </is>
      </c>
      <c r="BF99" s="24" t="inlineStr">
        <is>
          <t>1</t>
        </is>
      </c>
      <c r="BG99" s="24" t="inlineStr">
        <is>
          <t>999faa03e2fa83bdf40e3760cb8645b4c314e4cc37c2050b8320d6582c4d8167</t>
        </is>
      </c>
      <c r="BH99" s="24" t="inlineStr">
        <is>
          <t>2026-08-02T08:13:45.527180Z</t>
        </is>
      </c>
      <c r="BI99" s="24" t="inlineStr">
        <is>
          <t>["same_event","same_team_same_day","same_league_same_day"]</t>
        </is>
      </c>
      <c r="BJ99" s="25" t="n"/>
      <c r="BK99" s="26" t="n">
        <v>-144</v>
      </c>
      <c r="BL99" s="27" t="n">
        <v>1.694444</v>
      </c>
      <c r="BM99" s="28" t="n">
        <v>0.590164</v>
      </c>
      <c r="BN99" s="28" t="n"/>
      <c r="BO99" s="28" t="n"/>
      <c r="BP99" s="25" t="n"/>
      <c r="BQ99" s="27" t="n"/>
      <c r="BR99" s="28" t="n"/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</row>
    <row r="100" ht="36" customHeight="1">
      <c r="A100" s="24" t="inlineStr">
        <is>
          <t>cd72fa05b014431f</t>
        </is>
      </c>
      <c r="B100" s="24" t="inlineStr">
        <is>
          <t>2026-08-02T08:17:29.872422Z</t>
        </is>
      </c>
      <c r="C100" s="24" t="inlineStr">
        <is>
          <t>2026-08-02T17:30Z</t>
        </is>
      </c>
      <c r="D100" s="24" t="inlineStr">
        <is>
          <t>1067-2026:179469</t>
        </is>
      </c>
      <c r="E100" s="24" t="inlineStr">
        <is>
          <t>TENNIS</t>
        </is>
      </c>
      <c r="F100" s="24" t="inlineStr">
        <is>
          <t>Darja Vidmanova</t>
        </is>
      </c>
      <c r="G100" s="24" t="inlineStr">
        <is>
          <t>Kristina Liutova</t>
        </is>
      </c>
      <c r="H100" s="24" t="inlineStr">
        <is>
          <t>moneyline</t>
        </is>
      </c>
      <c r="I100" s="24" t="inlineStr">
        <is>
          <t>away</t>
        </is>
      </c>
      <c r="J100" s="25" t="n"/>
      <c r="K100" s="24" t="inlineStr">
        <is>
          <t>polymarket_us</t>
        </is>
      </c>
      <c r="L100" s="26" t="n">
        <v>-113</v>
      </c>
      <c r="M100" s="27" t="n">
        <v>1.884956</v>
      </c>
      <c r="N100" s="28" t="n">
        <v>0.530516</v>
      </c>
      <c r="O100" s="28" t="n">
        <v>0.639939</v>
      </c>
      <c r="P100" s="28" t="n">
        <v>0.05</v>
      </c>
      <c r="Q100" s="28" t="n">
        <v>0.109423</v>
      </c>
      <c r="R100" s="26" t="n">
        <v>75</v>
      </c>
      <c r="S100" s="29" t="n">
        <v>1.5</v>
      </c>
      <c r="T100" s="24" t="inlineStr">
        <is>
          <t>tennis-surface-elo-v1</t>
        </is>
      </c>
      <c r="U100" s="24" t="inlineStr">
        <is>
          <t>open</t>
        </is>
      </c>
      <c r="V100" s="24" t="n"/>
      <c r="W100" s="26" t="n"/>
      <c r="X100" s="26" t="n"/>
      <c r="Y100" s="25" t="n"/>
      <c r="Z100" s="26" t="n"/>
      <c r="AA100" s="28" t="n"/>
      <c r="AB100" s="28" t="n"/>
      <c r="AC100" s="30" t="n"/>
      <c r="AD100" s="24" t="n"/>
      <c r="AE100" s="31" t="inlineStr">
        <is>
          <t>Surface-blended Elo on Hard: Darja Vidmanova p=0.640 vs Kristina Liutova. Executable ask 0.5300 (aec-wta-kriliu-darvid-2026-08-02).</t>
        </is>
      </c>
      <c r="AF100" s="31" t="inlineStr">
        <is>
          <t>Research-only surface-blended Elo model; singles only, WTA-only market coverage, not yet locked-holdout qualified.</t>
        </is>
      </c>
      <c r="AG100" s="24" t="inlineStr">
        <is>
          <t>not_applicable</t>
        </is>
      </c>
      <c r="AH100" s="24" t="n"/>
      <c r="AI100" s="31" t="n"/>
      <c r="AJ100" s="31" t="n"/>
      <c r="AK100" s="24" t="inlineStr">
        <is>
          <t>research_observation</t>
        </is>
      </c>
      <c r="AL100" s="26" t="n">
        <v>3</v>
      </c>
      <c r="AM100" s="24" t="inlineStr">
        <is>
          <t>RESEARCH_OBSERVATION</t>
        </is>
      </c>
      <c r="AN100" s="24" t="inlineStr">
        <is>
          <t>NO_CALL</t>
        </is>
      </c>
      <c r="AO100" s="24" t="inlineStr">
        <is>
          <t>NO_CALL_MODEL_UNVALIDATED</t>
        </is>
      </c>
      <c r="AP100" s="24" t="inlineStr">
        <is>
          <t>Darja Vidmanova</t>
        </is>
      </c>
      <c r="AQ100" s="24" t="inlineStr">
        <is>
          <t>Darja Vidmanova</t>
        </is>
      </c>
      <c r="AR100" s="24" t="inlineStr">
        <is>
          <t>Darja Vidmanova</t>
        </is>
      </c>
      <c r="AS100" s="24" t="inlineStr">
        <is>
          <t>Kristina Liutova</t>
        </is>
      </c>
      <c r="AT100" s="24" t="inlineStr">
        <is>
          <t>Kristina Liutova</t>
        </is>
      </c>
      <c r="AU100" s="24" t="inlineStr">
        <is>
          <t>Kristina Liutova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research</t>
        </is>
      </c>
      <c r="BA100" s="24" t="inlineStr">
        <is>
          <t>999faa03e2fa83bdf40e3760cb8645b4c314e4cc37c2050b8320d6582c4d8167</t>
        </is>
      </c>
      <c r="BB100" s="24" t="inlineStr">
        <is>
          <t>surface_blended_elo</t>
        </is>
      </c>
      <c r="BC100" s="24" t="inlineStr">
        <is>
          <t>tennis-surface-elo-v1</t>
        </is>
      </c>
      <c r="BD100" s="24" t="inlineStr">
        <is>
          <t>999faa03e2fa83bdf40e3760cb8645b4c314e4cc37c2050b8320d6582c4d8167</t>
        </is>
      </c>
      <c r="BE100" s="24" t="inlineStr">
        <is>
          <t>tennis-surface-elo-v1</t>
        </is>
      </c>
      <c r="BF100" s="24" t="inlineStr">
        <is>
          <t>1</t>
        </is>
      </c>
      <c r="BG100" s="24" t="inlineStr">
        <is>
          <t>999faa03e2fa83bdf40e3760cb8645b4c314e4cc37c2050b8320d6582c4d8167</t>
        </is>
      </c>
      <c r="BH100" s="24" t="inlineStr">
        <is>
          <t>2026-08-02T08:13:36.597767Z</t>
        </is>
      </c>
      <c r="BI100" s="24" t="inlineStr">
        <is>
          <t>["same_event","same_team_same_day","same_league_same_day"]</t>
        </is>
      </c>
      <c r="BJ100" s="25" t="n"/>
      <c r="BK100" s="26" t="n">
        <v>-113</v>
      </c>
      <c r="BL100" s="27" t="n">
        <v>1.884956</v>
      </c>
      <c r="BM100" s="28" t="n">
        <v>0.530516</v>
      </c>
      <c r="BN100" s="28" t="n"/>
      <c r="BO100" s="28" t="n"/>
      <c r="BP100" s="25" t="n"/>
      <c r="BQ100" s="27" t="n"/>
      <c r="BR100" s="28" t="n"/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</row>
    <row r="101" ht="36" customHeight="1">
      <c r="A101" s="24" t="inlineStr">
        <is>
          <t>908eca11251b4f63</t>
        </is>
      </c>
      <c r="B101" s="24" t="inlineStr">
        <is>
          <t>2026-08-02T08:17:29.872422Z</t>
        </is>
      </c>
      <c r="C101" s="24" t="inlineStr">
        <is>
          <t>2026-08-02T13:00Z</t>
        </is>
      </c>
      <c r="D101" s="24" t="inlineStr">
        <is>
          <t>1073-2026:179603</t>
        </is>
      </c>
      <c r="E101" s="24" t="inlineStr">
        <is>
          <t>TENNIS</t>
        </is>
      </c>
      <c r="F101" s="24" t="inlineStr">
        <is>
          <t>Laura Samson</t>
        </is>
      </c>
      <c r="G101" s="24" t="inlineStr">
        <is>
          <t>Kaitlin Quevedo</t>
        </is>
      </c>
      <c r="H101" s="24" t="inlineStr">
        <is>
          <t>moneyline</t>
        </is>
      </c>
      <c r="I101" s="24" t="inlineStr">
        <is>
          <t>home</t>
        </is>
      </c>
      <c r="J101" s="25" t="n"/>
      <c r="K101" s="24" t="inlineStr">
        <is>
          <t>polymarket_us</t>
        </is>
      </c>
      <c r="L101" s="26" t="n">
        <v>-133</v>
      </c>
      <c r="M101" s="27" t="n">
        <v>1.75188</v>
      </c>
      <c r="N101" s="28" t="n">
        <v>0.570815</v>
      </c>
      <c r="O101" s="28" t="n">
        <v>0.608004</v>
      </c>
      <c r="P101" s="28" t="n">
        <v>0.05</v>
      </c>
      <c r="Q101" s="28" t="n">
        <v>0.037189</v>
      </c>
      <c r="R101" s="26" t="n">
        <v>39</v>
      </c>
      <c r="S101" s="29" t="n">
        <v>1.5</v>
      </c>
      <c r="T101" s="24" t="inlineStr">
        <is>
          <t>tennis-surface-elo-v1</t>
        </is>
      </c>
      <c r="U101" s="24" t="inlineStr">
        <is>
          <t>open</t>
        </is>
      </c>
      <c r="V101" s="24" t="n"/>
      <c r="W101" s="26" t="n"/>
      <c r="X101" s="26" t="n"/>
      <c r="Y101" s="25" t="n"/>
      <c r="Z101" s="26" t="n"/>
      <c r="AA101" s="28" t="n"/>
      <c r="AB101" s="28" t="n"/>
      <c r="AC101" s="30" t="n"/>
      <c r="AD101" s="24" t="n"/>
      <c r="AE101" s="31" t="inlineStr">
        <is>
          <t>Surface-blended Elo on Hard: Laura Samson p=0.392 vs Kaitlin Quevedo. Executable ask 0.5700 (aec-wta-kaique-lausam-2026-08-02).</t>
        </is>
      </c>
      <c r="AF101" s="31" t="inlineStr">
        <is>
          <t>Research-only surface-blended Elo model; singles only, WTA-only market coverage, not yet locked-holdout qualified.</t>
        </is>
      </c>
      <c r="AG101" s="24" t="inlineStr">
        <is>
          <t>not_applicable</t>
        </is>
      </c>
      <c r="AH101" s="24" t="n"/>
      <c r="AI101" s="31" t="n"/>
      <c r="AJ101" s="31" t="n"/>
      <c r="AK101" s="24" t="inlineStr">
        <is>
          <t>research_observation</t>
        </is>
      </c>
      <c r="AL101" s="26" t="n">
        <v>3</v>
      </c>
      <c r="AM101" s="24" t="inlineStr">
        <is>
          <t>RESEARCH_OBSERVATION</t>
        </is>
      </c>
      <c r="AN101" s="24" t="inlineStr">
        <is>
          <t>NO_CALL</t>
        </is>
      </c>
      <c r="AO101" s="24" t="inlineStr">
        <is>
          <t>NO_CALL_MODEL_UNVALIDATED</t>
        </is>
      </c>
      <c r="AP101" s="24" t="inlineStr">
        <is>
          <t>Laura Samson</t>
        </is>
      </c>
      <c r="AQ101" s="24" t="inlineStr">
        <is>
          <t>Laura Samson</t>
        </is>
      </c>
      <c r="AR101" s="24" t="inlineStr">
        <is>
          <t>Laura Samson</t>
        </is>
      </c>
      <c r="AS101" s="24" t="inlineStr">
        <is>
          <t>Kaitlin Quevedo</t>
        </is>
      </c>
      <c r="AT101" s="24" t="inlineStr">
        <is>
          <t>Kaitlin Quevedo</t>
        </is>
      </c>
      <c r="AU101" s="24" t="inlineStr">
        <is>
          <t>Kaitlin Quevedo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research</t>
        </is>
      </c>
      <c r="BA101" s="24" t="inlineStr">
        <is>
          <t>999faa03e2fa83bdf40e3760cb8645b4c314e4cc37c2050b8320d6582c4d8167</t>
        </is>
      </c>
      <c r="BB101" s="24" t="inlineStr">
        <is>
          <t>surface_blended_elo</t>
        </is>
      </c>
      <c r="BC101" s="24" t="inlineStr">
        <is>
          <t>tennis-surface-elo-v1</t>
        </is>
      </c>
      <c r="BD101" s="24" t="inlineStr">
        <is>
          <t>999faa03e2fa83bdf40e3760cb8645b4c314e4cc37c2050b8320d6582c4d8167</t>
        </is>
      </c>
      <c r="BE101" s="24" t="inlineStr">
        <is>
          <t>tennis-surface-elo-v1</t>
        </is>
      </c>
      <c r="BF101" s="24" t="inlineStr">
        <is>
          <t>1</t>
        </is>
      </c>
      <c r="BG101" s="24" t="inlineStr">
        <is>
          <t>999faa03e2fa83bdf40e3760cb8645b4c314e4cc37c2050b8320d6582c4d8167</t>
        </is>
      </c>
      <c r="BH101" s="24" t="inlineStr">
        <is>
          <t>2026-08-02T08:13:35.148255Z</t>
        </is>
      </c>
      <c r="BI101" s="24" t="inlineStr">
        <is>
          <t>["same_event","same_team_same_day","same_league_same_day"]</t>
        </is>
      </c>
      <c r="BJ101" s="25" t="n"/>
      <c r="BK101" s="26" t="n">
        <v>-133</v>
      </c>
      <c r="BL101" s="27" t="n">
        <v>1.75188</v>
      </c>
      <c r="BM101" s="28" t="n">
        <v>0.570815</v>
      </c>
      <c r="BN101" s="28" t="n"/>
      <c r="BO101" s="28" t="n"/>
      <c r="BP101" s="25" t="n"/>
      <c r="BQ101" s="27" t="n"/>
      <c r="BR101" s="28" t="n"/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</row>
    <row r="102" ht="36" customHeight="1">
      <c r="A102" s="24" t="inlineStr">
        <is>
          <t>957db24736fa4a29</t>
        </is>
      </c>
      <c r="B102" s="24" t="inlineStr">
        <is>
          <t>2026-08-02T08:17:29.872422Z</t>
        </is>
      </c>
      <c r="C102" s="24" t="inlineStr">
        <is>
          <t>2026-08-02T16:30Z</t>
        </is>
      </c>
      <c r="D102" s="24" t="inlineStr">
        <is>
          <t>421-2026:182259</t>
        </is>
      </c>
      <c r="E102" s="24" t="inlineStr">
        <is>
          <t>TENNIS</t>
        </is>
      </c>
      <c r="F102" s="24" t="inlineStr">
        <is>
          <t>Viktorija Golubic</t>
        </is>
      </c>
      <c r="G102" s="24" t="inlineStr">
        <is>
          <t>Kimberly Birrell</t>
        </is>
      </c>
      <c r="H102" s="24" t="inlineStr">
        <is>
          <t>moneyline</t>
        </is>
      </c>
      <c r="I102" s="24" t="inlineStr">
        <is>
          <t>home</t>
        </is>
      </c>
      <c r="J102" s="25" t="n"/>
      <c r="K102" s="24" t="inlineStr">
        <is>
          <t>polymarket_us</t>
        </is>
      </c>
      <c r="L102" s="26" t="n">
        <v>-104</v>
      </c>
      <c r="M102" s="27" t="n">
        <v>1.961538</v>
      </c>
      <c r="N102" s="28" t="n">
        <v>0.509804</v>
      </c>
      <c r="O102" s="28" t="n">
        <v>0.530496</v>
      </c>
      <c r="P102" s="28" t="n">
        <v>0.05</v>
      </c>
      <c r="Q102" s="28" t="n">
        <v>0.020692</v>
      </c>
      <c r="R102" s="26" t="n">
        <v>30</v>
      </c>
      <c r="S102" s="29" t="n">
        <v>1</v>
      </c>
      <c r="T102" s="24" t="inlineStr">
        <is>
          <t>tennis-surface-elo-v1</t>
        </is>
      </c>
      <c r="U102" s="24" t="inlineStr">
        <is>
          <t>open</t>
        </is>
      </c>
      <c r="V102" s="24" t="n"/>
      <c r="W102" s="26" t="n"/>
      <c r="X102" s="26" t="n"/>
      <c r="Y102" s="25" t="n"/>
      <c r="Z102" s="26" t="n"/>
      <c r="AA102" s="28" t="n"/>
      <c r="AB102" s="28" t="n"/>
      <c r="AC102" s="30" t="n"/>
      <c r="AD102" s="24" t="n"/>
      <c r="AE102" s="31" t="inlineStr">
        <is>
          <t>Surface-blended Elo on Hard: Viktorija Golubic p=0.470 vs Kimberly Birrell. Executable ask 0.5100 (aec-wta-kimbir-vikgol-2026-08-02).</t>
        </is>
      </c>
      <c r="AF102" s="31" t="inlineStr">
        <is>
          <t>Research-only surface-blended Elo model; singles only, WTA-only market coverage, not yet locked-holdout qualified.</t>
        </is>
      </c>
      <c r="AG102" s="24" t="inlineStr">
        <is>
          <t>not_applicable</t>
        </is>
      </c>
      <c r="AH102" s="24" t="n"/>
      <c r="AI102" s="31" t="n"/>
      <c r="AJ102" s="31" t="n"/>
      <c r="AK102" s="24" t="inlineStr">
        <is>
          <t>research_observation</t>
        </is>
      </c>
      <c r="AL102" s="26" t="n">
        <v>3</v>
      </c>
      <c r="AM102" s="24" t="inlineStr">
        <is>
          <t>RESEARCH_OBSERVATION</t>
        </is>
      </c>
      <c r="AN102" s="24" t="inlineStr">
        <is>
          <t>NO_CALL</t>
        </is>
      </c>
      <c r="AO102" s="24" t="inlineStr">
        <is>
          <t>NO_CALL_MODEL_UNVALIDATED</t>
        </is>
      </c>
      <c r="AP102" s="24" t="inlineStr">
        <is>
          <t>Viktorija Golubic</t>
        </is>
      </c>
      <c r="AQ102" s="24" t="inlineStr">
        <is>
          <t>Viktorija Golubic</t>
        </is>
      </c>
      <c r="AR102" s="24" t="inlineStr">
        <is>
          <t>Viktorija Golubic</t>
        </is>
      </c>
      <c r="AS102" s="24" t="inlineStr">
        <is>
          <t>Kimberly Birrell</t>
        </is>
      </c>
      <c r="AT102" s="24" t="inlineStr">
        <is>
          <t>Kimberly Birrell</t>
        </is>
      </c>
      <c r="AU102" s="24" t="inlineStr">
        <is>
          <t>Kimberly Birrell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research</t>
        </is>
      </c>
      <c r="BA102" s="24" t="inlineStr">
        <is>
          <t>999faa03e2fa83bdf40e3760cb8645b4c314e4cc37c2050b8320d6582c4d8167</t>
        </is>
      </c>
      <c r="BB102" s="24" t="inlineStr">
        <is>
          <t>surface_blended_elo</t>
        </is>
      </c>
      <c r="BC102" s="24" t="inlineStr">
        <is>
          <t>tennis-surface-elo-v1</t>
        </is>
      </c>
      <c r="BD102" s="24" t="inlineStr">
        <is>
          <t>999faa03e2fa83bdf40e3760cb8645b4c314e4cc37c2050b8320d6582c4d8167</t>
        </is>
      </c>
      <c r="BE102" s="24" t="inlineStr">
        <is>
          <t>tennis-surface-elo-v1</t>
        </is>
      </c>
      <c r="BF102" s="24" t="inlineStr">
        <is>
          <t>1</t>
        </is>
      </c>
      <c r="BG102" s="24" t="inlineStr">
        <is>
          <t>999faa03e2fa83bdf40e3760cb8645b4c314e4cc37c2050b8320d6582c4d8167</t>
        </is>
      </c>
      <c r="BH102" s="24" t="inlineStr">
        <is>
          <t>2026-08-02T08:13:36.108286Z</t>
        </is>
      </c>
      <c r="BI102" s="24" t="inlineStr">
        <is>
          <t>["same_event","same_team_same_day","same_league_same_day"]</t>
        </is>
      </c>
      <c r="BJ102" s="25" t="n"/>
      <c r="BK102" s="26" t="n">
        <v>-104</v>
      </c>
      <c r="BL102" s="27" t="n">
        <v>1.961538</v>
      </c>
      <c r="BM102" s="28" t="n">
        <v>0.509804</v>
      </c>
      <c r="BN102" s="28" t="n"/>
      <c r="BO102" s="28" t="n"/>
      <c r="BP102" s="25" t="n"/>
      <c r="BQ102" s="27" t="n"/>
      <c r="BR102" s="28" t="n"/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</row>
    <row r="103" ht="36" customHeight="1">
      <c r="A103" s="24" t="inlineStr">
        <is>
          <t>2611f34636684052</t>
        </is>
      </c>
      <c r="B103" s="24" t="inlineStr">
        <is>
          <t>2026-08-02T08:17:29.872422Z</t>
        </is>
      </c>
      <c r="C103" s="24" t="inlineStr">
        <is>
          <t>2026-08-02T16:30Z</t>
        </is>
      </c>
      <c r="D103" s="24" t="inlineStr">
        <is>
          <t>421-2026:182279</t>
        </is>
      </c>
      <c r="E103" s="24" t="inlineStr">
        <is>
          <t>TENNIS</t>
        </is>
      </c>
      <c r="F103" s="24" t="inlineStr">
        <is>
          <t>Cristina Bucsa</t>
        </is>
      </c>
      <c r="G103" s="24" t="inlineStr">
        <is>
          <t>Moyuka Uchijima</t>
        </is>
      </c>
      <c r="H103" s="24" t="inlineStr">
        <is>
          <t>moneyline</t>
        </is>
      </c>
      <c r="I103" s="24" t="inlineStr">
        <is>
          <t>away</t>
        </is>
      </c>
      <c r="J103" s="25" t="n"/>
      <c r="K103" s="24" t="inlineStr">
        <is>
          <t>polymarket_us</t>
        </is>
      </c>
      <c r="L103" s="26" t="n">
        <v>-150</v>
      </c>
      <c r="M103" s="27" t="n">
        <v>1.666667</v>
      </c>
      <c r="N103" s="28" t="n">
        <v>0.6</v>
      </c>
      <c r="O103" s="28" t="n">
        <v>0.548768</v>
      </c>
      <c r="P103" s="28" t="n">
        <v>0.05</v>
      </c>
      <c r="Q103" s="28" t="n">
        <v>-0.051232</v>
      </c>
      <c r="R103" s="26" t="n">
        <v>0</v>
      </c>
      <c r="S103" s="29" t="n">
        <v>1</v>
      </c>
      <c r="T103" s="24" t="inlineStr">
        <is>
          <t>tennis-surface-elo-v1</t>
        </is>
      </c>
      <c r="U103" s="24" t="inlineStr">
        <is>
          <t>open</t>
        </is>
      </c>
      <c r="V103" s="24" t="n"/>
      <c r="W103" s="26" t="n"/>
      <c r="X103" s="26" t="n"/>
      <c r="Y103" s="25" t="n"/>
      <c r="Z103" s="26" t="n"/>
      <c r="AA103" s="28" t="n"/>
      <c r="AB103" s="28" t="n"/>
      <c r="AC103" s="30" t="n"/>
      <c r="AD103" s="24" t="n"/>
      <c r="AE103" s="31" t="inlineStr">
        <is>
          <t>Surface-blended Elo on Hard: Cristina Bucsa p=0.549 vs Moyuka Uchijima. Executable ask 0.6000 (aec-wta-moyuch-cribuc-2026-08-02).</t>
        </is>
      </c>
      <c r="AF103" s="31" t="inlineStr">
        <is>
          <t>Research-only surface-blended Elo model; singles only, WTA-only market coverage, not yet locked-holdout qualified.</t>
        </is>
      </c>
      <c r="AG103" s="24" t="inlineStr">
        <is>
          <t>not_applicable</t>
        </is>
      </c>
      <c r="AH103" s="24" t="n"/>
      <c r="AI103" s="31" t="n"/>
      <c r="AJ103" s="31" t="n"/>
      <c r="AK103" s="24" t="inlineStr">
        <is>
          <t>research_observation</t>
        </is>
      </c>
      <c r="AL103" s="26" t="n">
        <v>3</v>
      </c>
      <c r="AM103" s="24" t="inlineStr">
        <is>
          <t>RESEARCH_OBSERVATION</t>
        </is>
      </c>
      <c r="AN103" s="24" t="inlineStr">
        <is>
          <t>NO_CALL</t>
        </is>
      </c>
      <c r="AO103" s="24" t="inlineStr">
        <is>
          <t>NO_CALL_MODEL_UNVALIDATED</t>
        </is>
      </c>
      <c r="AP103" s="24" t="inlineStr">
        <is>
          <t>Cristina Bucsa</t>
        </is>
      </c>
      <c r="AQ103" s="24" t="inlineStr">
        <is>
          <t>Cristina Bucsa</t>
        </is>
      </c>
      <c r="AR103" s="24" t="inlineStr">
        <is>
          <t>Cristina Bucsa</t>
        </is>
      </c>
      <c r="AS103" s="24" t="inlineStr">
        <is>
          <t>Moyuka Uchijima</t>
        </is>
      </c>
      <c r="AT103" s="24" t="inlineStr">
        <is>
          <t>Moyuka Uchijima</t>
        </is>
      </c>
      <c r="AU103" s="24" t="inlineStr">
        <is>
          <t>Moyuka Uchijima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research</t>
        </is>
      </c>
      <c r="BA103" s="24" t="inlineStr">
        <is>
          <t>999faa03e2fa83bdf40e3760cb8645b4c314e4cc37c2050b8320d6582c4d8167</t>
        </is>
      </c>
      <c r="BB103" s="24" t="inlineStr">
        <is>
          <t>surface_blended_elo</t>
        </is>
      </c>
      <c r="BC103" s="24" t="inlineStr">
        <is>
          <t>tennis-surface-elo-v1</t>
        </is>
      </c>
      <c r="BD103" s="24" t="inlineStr">
        <is>
          <t>999faa03e2fa83bdf40e3760cb8645b4c314e4cc37c2050b8320d6582c4d8167</t>
        </is>
      </c>
      <c r="BE103" s="24" t="inlineStr">
        <is>
          <t>tennis-surface-elo-v1</t>
        </is>
      </c>
      <c r="BF103" s="24" t="inlineStr">
        <is>
          <t>1</t>
        </is>
      </c>
      <c r="BG103" s="24" t="inlineStr">
        <is>
          <t>999faa03e2fa83bdf40e3760cb8645b4c314e4cc37c2050b8320d6582c4d8167</t>
        </is>
      </c>
      <c r="BH103" s="24" t="inlineStr">
        <is>
          <t>2026-08-02T08:13:35.093685Z</t>
        </is>
      </c>
      <c r="BI103" s="24" t="inlineStr">
        <is>
          <t>["same_event","same_team_same_day","same_league_same_day"]</t>
        </is>
      </c>
      <c r="BJ103" s="25" t="n"/>
      <c r="BK103" s="26" t="n">
        <v>-150</v>
      </c>
      <c r="BL103" s="27" t="n">
        <v>1.666667</v>
      </c>
      <c r="BM103" s="28" t="n">
        <v>0.6</v>
      </c>
      <c r="BN103" s="28" t="n"/>
      <c r="BO103" s="28" t="n"/>
      <c r="BP103" s="25" t="n"/>
      <c r="BQ103" s="27" t="n"/>
      <c r="BR103" s="28" t="n"/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</row>
    <row r="104" ht="36" customHeight="1">
      <c r="A104" s="24" t="inlineStr">
        <is>
          <t>a7f07d70258641a2</t>
        </is>
      </c>
      <c r="B104" s="24" t="inlineStr">
        <is>
          <t>2026-08-02T08:17:29.872422Z</t>
        </is>
      </c>
      <c r="C104" s="24" t="inlineStr">
        <is>
          <t>2026-08-02T16:30Z</t>
        </is>
      </c>
      <c r="D104" s="24" t="inlineStr">
        <is>
          <t>421-2026:182280</t>
        </is>
      </c>
      <c r="E104" s="24" t="inlineStr">
        <is>
          <t>TENNIS</t>
        </is>
      </c>
      <c r="F104" s="24" t="inlineStr">
        <is>
          <t>Sara Bejlek</t>
        </is>
      </c>
      <c r="G104" s="24" t="inlineStr">
        <is>
          <t>Wang Xiyu</t>
        </is>
      </c>
      <c r="H104" s="24" t="inlineStr">
        <is>
          <t>moneyline</t>
        </is>
      </c>
      <c r="I104" s="24" t="inlineStr">
        <is>
          <t>away</t>
        </is>
      </c>
      <c r="J104" s="25" t="n"/>
      <c r="K104" s="24" t="inlineStr">
        <is>
          <t>polymarket_us</t>
        </is>
      </c>
      <c r="L104" s="26" t="n">
        <v>-144</v>
      </c>
      <c r="M104" s="27" t="n">
        <v>1.694444</v>
      </c>
      <c r="N104" s="28" t="n">
        <v>0.590164</v>
      </c>
      <c r="O104" s="28" t="n">
        <v>0.597848</v>
      </c>
      <c r="P104" s="28" t="n">
        <v>0.05</v>
      </c>
      <c r="Q104" s="28" t="n">
        <v>0.007684</v>
      </c>
      <c r="R104" s="26" t="n">
        <v>24</v>
      </c>
      <c r="S104" s="29" t="n">
        <v>1.25</v>
      </c>
      <c r="T104" s="24" t="inlineStr">
        <is>
          <t>tennis-surface-elo-v1</t>
        </is>
      </c>
      <c r="U104" s="24" t="inlineStr">
        <is>
          <t>open</t>
        </is>
      </c>
      <c r="V104" s="24" t="n"/>
      <c r="W104" s="26" t="n"/>
      <c r="X104" s="26" t="n"/>
      <c r="Y104" s="25" t="n"/>
      <c r="Z104" s="26" t="n"/>
      <c r="AA104" s="28" t="n"/>
      <c r="AB104" s="28" t="n"/>
      <c r="AC104" s="30" t="n"/>
      <c r="AD104" s="24" t="n"/>
      <c r="AE104" s="31" t="inlineStr">
        <is>
          <t>Surface-blended Elo on Hard: Sara Bejlek p=0.598 vs Wang Xiyu. Executable ask 0.5900 (aec-wta-xiywan-sarbej-2026-08-02).</t>
        </is>
      </c>
      <c r="AF104" s="31" t="inlineStr">
        <is>
          <t>Research-only surface-blended Elo model; singles only, WTA-only market coverage, not yet locked-holdout qualified.</t>
        </is>
      </c>
      <c r="AG104" s="24" t="inlineStr">
        <is>
          <t>not_applicable</t>
        </is>
      </c>
      <c r="AH104" s="24" t="n"/>
      <c r="AI104" s="31" t="n"/>
      <c r="AJ104" s="31" t="n"/>
      <c r="AK104" s="24" t="inlineStr">
        <is>
          <t>research_observation</t>
        </is>
      </c>
      <c r="AL104" s="26" t="n">
        <v>3</v>
      </c>
      <c r="AM104" s="24" t="inlineStr">
        <is>
          <t>RESEARCH_OBSERVATION</t>
        </is>
      </c>
      <c r="AN104" s="24" t="inlineStr">
        <is>
          <t>NO_CALL</t>
        </is>
      </c>
      <c r="AO104" s="24" t="inlineStr">
        <is>
          <t>NO_CALL_MODEL_UNVALIDATED</t>
        </is>
      </c>
      <c r="AP104" s="24" t="inlineStr">
        <is>
          <t>Sara Bejlek</t>
        </is>
      </c>
      <c r="AQ104" s="24" t="inlineStr">
        <is>
          <t>Sara Bejlek</t>
        </is>
      </c>
      <c r="AR104" s="24" t="inlineStr">
        <is>
          <t>Sara Bejlek</t>
        </is>
      </c>
      <c r="AS104" s="24" t="inlineStr">
        <is>
          <t>Wang Xiyu</t>
        </is>
      </c>
      <c r="AT104" s="24" t="inlineStr">
        <is>
          <t>Wang Xiyu</t>
        </is>
      </c>
      <c r="AU104" s="24" t="inlineStr">
        <is>
          <t>Wang Xiyu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research</t>
        </is>
      </c>
      <c r="BA104" s="24" t="inlineStr">
        <is>
          <t>999faa03e2fa83bdf40e3760cb8645b4c314e4cc37c2050b8320d6582c4d8167</t>
        </is>
      </c>
      <c r="BB104" s="24" t="inlineStr">
        <is>
          <t>surface_blended_elo</t>
        </is>
      </c>
      <c r="BC104" s="24" t="inlineStr">
        <is>
          <t>tennis-surface-elo-v1</t>
        </is>
      </c>
      <c r="BD104" s="24" t="inlineStr">
        <is>
          <t>999faa03e2fa83bdf40e3760cb8645b4c314e4cc37c2050b8320d6582c4d8167</t>
        </is>
      </c>
      <c r="BE104" s="24" t="inlineStr">
        <is>
          <t>tennis-surface-elo-v1</t>
        </is>
      </c>
      <c r="BF104" s="24" t="inlineStr">
        <is>
          <t>1</t>
        </is>
      </c>
      <c r="BG104" s="24" t="inlineStr">
        <is>
          <t>999faa03e2fa83bdf40e3760cb8645b4c314e4cc37c2050b8320d6582c4d8167</t>
        </is>
      </c>
      <c r="BH104" s="24" t="inlineStr">
        <is>
          <t>2026-08-02T08:13:35.171707Z</t>
        </is>
      </c>
      <c r="BI104" s="24" t="inlineStr">
        <is>
          <t>["same_event","same_team_same_day","same_league_same_day"]</t>
        </is>
      </c>
      <c r="BJ104" s="25" t="n"/>
      <c r="BK104" s="26" t="n">
        <v>-144</v>
      </c>
      <c r="BL104" s="27" t="n">
        <v>1.694444</v>
      </c>
      <c r="BM104" s="28" t="n">
        <v>0.590164</v>
      </c>
      <c r="BN104" s="28" t="n"/>
      <c r="BO104" s="28" t="n"/>
      <c r="BP104" s="25" t="n"/>
      <c r="BQ104" s="27" t="n"/>
      <c r="BR104" s="28" t="n"/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</row>
    <row r="105" ht="36" customHeight="1">
      <c r="A105" s="24" t="inlineStr">
        <is>
          <t>1e5223eab24d4288</t>
        </is>
      </c>
      <c r="B105" s="24" t="inlineStr">
        <is>
          <t>2026-08-02T08:17:29.872422Z</t>
        </is>
      </c>
      <c r="C105" s="24" t="inlineStr">
        <is>
          <t>2026-08-02T18:00Z</t>
        </is>
      </c>
      <c r="D105" s="24" t="inlineStr">
        <is>
          <t>421-2026:182236</t>
        </is>
      </c>
      <c r="E105" s="24" t="inlineStr">
        <is>
          <t>TENNIS</t>
        </is>
      </c>
      <c r="F105" s="24" t="inlineStr">
        <is>
          <t>Leolia Jeanjean</t>
        </is>
      </c>
      <c r="G105" s="24" t="inlineStr">
        <is>
          <t>Magdalena Frech</t>
        </is>
      </c>
      <c r="H105" s="24" t="inlineStr">
        <is>
          <t>moneyline</t>
        </is>
      </c>
      <c r="I105" s="24" t="inlineStr">
        <is>
          <t>away</t>
        </is>
      </c>
      <c r="J105" s="25" t="n"/>
      <c r="K105" s="24" t="inlineStr">
        <is>
          <t>polymarket_us</t>
        </is>
      </c>
      <c r="L105" s="26" t="n">
        <v>150</v>
      </c>
      <c r="M105" s="27" t="n">
        <v>2.5</v>
      </c>
      <c r="N105" s="28" t="n">
        <v>0.4</v>
      </c>
      <c r="O105" s="28" t="n">
        <v>0.504343</v>
      </c>
      <c r="P105" s="28" t="n">
        <v>0.05</v>
      </c>
      <c r="Q105" s="28" t="n">
        <v>0.104343</v>
      </c>
      <c r="R105" s="26" t="n">
        <v>72</v>
      </c>
      <c r="S105" s="29" t="n">
        <v>1</v>
      </c>
      <c r="T105" s="24" t="inlineStr">
        <is>
          <t>tennis-surface-elo-v1</t>
        </is>
      </c>
      <c r="U105" s="24" t="inlineStr">
        <is>
          <t>open</t>
        </is>
      </c>
      <c r="V105" s="24" t="n"/>
      <c r="W105" s="26" t="n"/>
      <c r="X105" s="26" t="n"/>
      <c r="Y105" s="25" t="n"/>
      <c r="Z105" s="26" t="n"/>
      <c r="AA105" s="28" t="n"/>
      <c r="AB105" s="28" t="n"/>
      <c r="AC105" s="30" t="n"/>
      <c r="AD105" s="24" t="n"/>
      <c r="AE105" s="31" t="inlineStr">
        <is>
          <t>Surface-blended Elo on Hard: Leolia Jeanjean p=0.504 vs Magdalena Frech. Executable ask 0.4000 (aec-wta-magfre-leojea-2026-08-02).</t>
        </is>
      </c>
      <c r="AF105" s="31" t="inlineStr">
        <is>
          <t>Research-only surface-blended Elo model; singles only, WTA-only market coverage, not yet locked-holdout qualified.</t>
        </is>
      </c>
      <c r="AG105" s="24" t="inlineStr">
        <is>
          <t>not_applicable</t>
        </is>
      </c>
      <c r="AH105" s="24" t="n"/>
      <c r="AI105" s="31" t="n"/>
      <c r="AJ105" s="31" t="n"/>
      <c r="AK105" s="24" t="inlineStr">
        <is>
          <t>research_observation</t>
        </is>
      </c>
      <c r="AL105" s="26" t="n">
        <v>3</v>
      </c>
      <c r="AM105" s="24" t="inlineStr">
        <is>
          <t>RESEARCH_OBSERVATION</t>
        </is>
      </c>
      <c r="AN105" s="24" t="inlineStr">
        <is>
          <t>NO_CALL</t>
        </is>
      </c>
      <c r="AO105" s="24" t="inlineStr">
        <is>
          <t>NO_CALL_MODEL_UNVALIDATED</t>
        </is>
      </c>
      <c r="AP105" s="24" t="inlineStr">
        <is>
          <t>Leolia Jeanjean</t>
        </is>
      </c>
      <c r="AQ105" s="24" t="inlineStr">
        <is>
          <t>Leolia Jeanjean</t>
        </is>
      </c>
      <c r="AR105" s="24" t="inlineStr">
        <is>
          <t>Leolia Jeanjean</t>
        </is>
      </c>
      <c r="AS105" s="24" t="inlineStr">
        <is>
          <t>Magdalena Frech</t>
        </is>
      </c>
      <c r="AT105" s="24" t="inlineStr">
        <is>
          <t>Magdalena Frech</t>
        </is>
      </c>
      <c r="AU105" s="24" t="inlineStr">
        <is>
          <t>Magdalena Frech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research</t>
        </is>
      </c>
      <c r="BA105" s="24" t="inlineStr">
        <is>
          <t>999faa03e2fa83bdf40e3760cb8645b4c314e4cc37c2050b8320d6582c4d8167</t>
        </is>
      </c>
      <c r="BB105" s="24" t="inlineStr">
        <is>
          <t>surface_blended_elo</t>
        </is>
      </c>
      <c r="BC105" s="24" t="inlineStr">
        <is>
          <t>tennis-surface-elo-v1</t>
        </is>
      </c>
      <c r="BD105" s="24" t="inlineStr">
        <is>
          <t>999faa03e2fa83bdf40e3760cb8645b4c314e4cc37c2050b8320d6582c4d8167</t>
        </is>
      </c>
      <c r="BE105" s="24" t="inlineStr">
        <is>
          <t>tennis-surface-elo-v1</t>
        </is>
      </c>
      <c r="BF105" s="24" t="inlineStr">
        <is>
          <t>1</t>
        </is>
      </c>
      <c r="BG105" s="24" t="inlineStr">
        <is>
          <t>999faa03e2fa83bdf40e3760cb8645b4c314e4cc37c2050b8320d6582c4d8167</t>
        </is>
      </c>
      <c r="BH105" s="24" t="inlineStr">
        <is>
          <t>2026-08-02T08:13:38.726922Z</t>
        </is>
      </c>
      <c r="BI105" s="24" t="inlineStr">
        <is>
          <t>["same_event","same_team_same_day","same_league_same_day"]</t>
        </is>
      </c>
      <c r="BJ105" s="25" t="n"/>
      <c r="BK105" s="26" t="n">
        <v>150</v>
      </c>
      <c r="BL105" s="27" t="n">
        <v>2.5</v>
      </c>
      <c r="BM105" s="28" t="n">
        <v>0.4</v>
      </c>
      <c r="BN105" s="28" t="n"/>
      <c r="BO105" s="28" t="n"/>
      <c r="BP105" s="25" t="n"/>
      <c r="BQ105" s="27" t="n"/>
      <c r="BR105" s="28" t="n"/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</row>
    <row r="106" ht="36" customHeight="1">
      <c r="A106" s="24" t="inlineStr">
        <is>
          <t>8bdd181148754e7a</t>
        </is>
      </c>
      <c r="B106" s="24" t="inlineStr">
        <is>
          <t>2026-08-02T08:17:29.872422Z</t>
        </is>
      </c>
      <c r="C106" s="24" t="inlineStr">
        <is>
          <t>2026-08-02T18:00Z</t>
        </is>
      </c>
      <c r="D106" s="24" t="inlineStr">
        <is>
          <t>421-2026:182257</t>
        </is>
      </c>
      <c r="E106" s="24" t="inlineStr">
        <is>
          <t>TENNIS</t>
        </is>
      </c>
      <c r="F106" s="24" t="inlineStr">
        <is>
          <t>Antonia Ruzic</t>
        </is>
      </c>
      <c r="G106" s="24" t="inlineStr">
        <is>
          <t>Lois Boisson</t>
        </is>
      </c>
      <c r="H106" s="24" t="inlineStr">
        <is>
          <t>moneyline</t>
        </is>
      </c>
      <c r="I106" s="24" t="inlineStr">
        <is>
          <t>away</t>
        </is>
      </c>
      <c r="J106" s="25" t="n"/>
      <c r="K106" s="24" t="inlineStr">
        <is>
          <t>polymarket_us</t>
        </is>
      </c>
      <c r="L106" s="26" t="n">
        <v>-127</v>
      </c>
      <c r="M106" s="27" t="n">
        <v>1.787402</v>
      </c>
      <c r="N106" s="28" t="n">
        <v>0.5594710000000001</v>
      </c>
      <c r="O106" s="28" t="n">
        <v>0.549832</v>
      </c>
      <c r="P106" s="28" t="n">
        <v>0.05</v>
      </c>
      <c r="Q106" s="28" t="n">
        <v>-0.009639</v>
      </c>
      <c r="R106" s="26" t="n">
        <v>15</v>
      </c>
      <c r="S106" s="29" t="n">
        <v>1</v>
      </c>
      <c r="T106" s="24" t="inlineStr">
        <is>
          <t>tennis-surface-elo-v1</t>
        </is>
      </c>
      <c r="U106" s="24" t="inlineStr">
        <is>
          <t>open</t>
        </is>
      </c>
      <c r="V106" s="24" t="n"/>
      <c r="W106" s="26" t="n"/>
      <c r="X106" s="26" t="n"/>
      <c r="Y106" s="25" t="n"/>
      <c r="Z106" s="26" t="n"/>
      <c r="AA106" s="28" t="n"/>
      <c r="AB106" s="28" t="n"/>
      <c r="AC106" s="30" t="n"/>
      <c r="AD106" s="24" t="n"/>
      <c r="AE106" s="31" t="inlineStr">
        <is>
          <t>Surface-blended Elo on Hard: Antonia Ruzic p=0.550 vs Lois Boisson. Executable ask 0.5600 (aec-wta-loiboi-antruz-2026-08-02).</t>
        </is>
      </c>
      <c r="AF106" s="31" t="inlineStr">
        <is>
          <t>Research-only surface-blended Elo model; singles only, WTA-only market coverage, not yet locked-holdout qualified.</t>
        </is>
      </c>
      <c r="AG106" s="24" t="inlineStr">
        <is>
          <t>not_applicable</t>
        </is>
      </c>
      <c r="AH106" s="24" t="n"/>
      <c r="AI106" s="31" t="n"/>
      <c r="AJ106" s="31" t="n"/>
      <c r="AK106" s="24" t="inlineStr">
        <is>
          <t>research_observation</t>
        </is>
      </c>
      <c r="AL106" s="26" t="n">
        <v>3</v>
      </c>
      <c r="AM106" s="24" t="inlineStr">
        <is>
          <t>RESEARCH_OBSERVATION</t>
        </is>
      </c>
      <c r="AN106" s="24" t="inlineStr">
        <is>
          <t>NO_CALL</t>
        </is>
      </c>
      <c r="AO106" s="24" t="inlineStr">
        <is>
          <t>NO_CALL_MODEL_UNVALIDATED</t>
        </is>
      </c>
      <c r="AP106" s="24" t="inlineStr">
        <is>
          <t>Antonia Ruzic</t>
        </is>
      </c>
      <c r="AQ106" s="24" t="inlineStr">
        <is>
          <t>Antonia Ruzic</t>
        </is>
      </c>
      <c r="AR106" s="24" t="inlineStr">
        <is>
          <t>Antonia Ruzic</t>
        </is>
      </c>
      <c r="AS106" s="24" t="inlineStr">
        <is>
          <t>Lois Boisson</t>
        </is>
      </c>
      <c r="AT106" s="24" t="inlineStr">
        <is>
          <t>Lois Boisson</t>
        </is>
      </c>
      <c r="AU106" s="24" t="inlineStr">
        <is>
          <t>Lois Boisson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research</t>
        </is>
      </c>
      <c r="BA106" s="24" t="inlineStr">
        <is>
          <t>999faa03e2fa83bdf40e3760cb8645b4c314e4cc37c2050b8320d6582c4d8167</t>
        </is>
      </c>
      <c r="BB106" s="24" t="inlineStr">
        <is>
          <t>surface_blended_elo</t>
        </is>
      </c>
      <c r="BC106" s="24" t="inlineStr">
        <is>
          <t>tennis-surface-elo-v1</t>
        </is>
      </c>
      <c r="BD106" s="24" t="inlineStr">
        <is>
          <t>999faa03e2fa83bdf40e3760cb8645b4c314e4cc37c2050b8320d6582c4d8167</t>
        </is>
      </c>
      <c r="BE106" s="24" t="inlineStr">
        <is>
          <t>tennis-surface-elo-v1</t>
        </is>
      </c>
      <c r="BF106" s="24" t="inlineStr">
        <is>
          <t>1</t>
        </is>
      </c>
      <c r="BG106" s="24" t="inlineStr">
        <is>
          <t>999faa03e2fa83bdf40e3760cb8645b4c314e4cc37c2050b8320d6582c4d8167</t>
        </is>
      </c>
      <c r="BH106" s="24" t="inlineStr">
        <is>
          <t>2026-08-02T08:13:40.169422Z</t>
        </is>
      </c>
      <c r="BI106" s="24" t="inlineStr">
        <is>
          <t>["same_event","same_team_same_day","same_league_same_day"]</t>
        </is>
      </c>
      <c r="BJ106" s="25" t="n"/>
      <c r="BK106" s="26" t="n">
        <v>-127</v>
      </c>
      <c r="BL106" s="27" t="n">
        <v>1.787402</v>
      </c>
      <c r="BM106" s="28" t="n">
        <v>0.5594710000000001</v>
      </c>
      <c r="BN106" s="28" t="n"/>
      <c r="BO106" s="28" t="n"/>
      <c r="BP106" s="25" t="n"/>
      <c r="BQ106" s="27" t="n"/>
      <c r="BR106" s="28" t="n"/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</row>
    <row r="107" ht="36" customHeight="1">
      <c r="A107" s="24" t="inlineStr">
        <is>
          <t>c982ad904ec6402f</t>
        </is>
      </c>
      <c r="B107" s="24" t="inlineStr">
        <is>
          <t>2026-08-02T08:17:29.872422Z</t>
        </is>
      </c>
      <c r="C107" s="24" t="inlineStr">
        <is>
          <t>2026-08-02T18:00Z</t>
        </is>
      </c>
      <c r="D107" s="24" t="inlineStr">
        <is>
          <t>421-2026:182268</t>
        </is>
      </c>
      <c r="E107" s="24" t="inlineStr">
        <is>
          <t>TENNIS</t>
        </is>
      </c>
      <c r="F107" s="24" t="inlineStr">
        <is>
          <t>Katherine Sebov</t>
        </is>
      </c>
      <c r="G107" s="24" t="inlineStr">
        <is>
          <t>Aoi Ito</t>
        </is>
      </c>
      <c r="H107" s="24" t="inlineStr">
        <is>
          <t>moneyline</t>
        </is>
      </c>
      <c r="I107" s="24" t="inlineStr">
        <is>
          <t>home</t>
        </is>
      </c>
      <c r="J107" s="25" t="n"/>
      <c r="K107" s="24" t="inlineStr">
        <is>
          <t>polymarket_us</t>
        </is>
      </c>
      <c r="L107" s="26" t="n">
        <v>-150</v>
      </c>
      <c r="M107" s="27" t="n">
        <v>1.666667</v>
      </c>
      <c r="N107" s="28" t="n">
        <v>0.6</v>
      </c>
      <c r="O107" s="28" t="n">
        <v>0.52927</v>
      </c>
      <c r="P107" s="28" t="n">
        <v>0.05</v>
      </c>
      <c r="Q107" s="28" t="n">
        <v>-0.07073</v>
      </c>
      <c r="R107" s="26" t="n">
        <v>0</v>
      </c>
      <c r="S107" s="29" t="n">
        <v>1</v>
      </c>
      <c r="T107" s="24" t="inlineStr">
        <is>
          <t>tennis-surface-elo-v1</t>
        </is>
      </c>
      <c r="U107" s="24" t="inlineStr">
        <is>
          <t>open</t>
        </is>
      </c>
      <c r="V107" s="24" t="n"/>
      <c r="W107" s="26" t="n"/>
      <c r="X107" s="26" t="n"/>
      <c r="Y107" s="25" t="n"/>
      <c r="Z107" s="26" t="n"/>
      <c r="AA107" s="28" t="n"/>
      <c r="AB107" s="28" t="n"/>
      <c r="AC107" s="30" t="n"/>
      <c r="AD107" s="24" t="n"/>
      <c r="AE107" s="31" t="inlineStr">
        <is>
          <t>Surface-blended Elo on Hard: Katherine Sebov p=0.471 vs Aoi Ito. Executable ask 0.6000 (aec-wta-aoiito-katseb-2026-08-02).</t>
        </is>
      </c>
      <c r="AF107" s="31" t="inlineStr">
        <is>
          <t>Research-only surface-blended Elo model; singles only, WTA-only market coverage, not yet locked-holdout qualified.</t>
        </is>
      </c>
      <c r="AG107" s="24" t="inlineStr">
        <is>
          <t>not_applicable</t>
        </is>
      </c>
      <c r="AH107" s="24" t="n"/>
      <c r="AI107" s="31" t="n"/>
      <c r="AJ107" s="31" t="n"/>
      <c r="AK107" s="24" t="inlineStr">
        <is>
          <t>research_observation</t>
        </is>
      </c>
      <c r="AL107" s="26" t="n">
        <v>3</v>
      </c>
      <c r="AM107" s="24" t="inlineStr">
        <is>
          <t>RESEARCH_OBSERVATION</t>
        </is>
      </c>
      <c r="AN107" s="24" t="inlineStr">
        <is>
          <t>NO_CALL</t>
        </is>
      </c>
      <c r="AO107" s="24" t="inlineStr">
        <is>
          <t>NO_CALL_MODEL_UNVALIDATED</t>
        </is>
      </c>
      <c r="AP107" s="24" t="inlineStr">
        <is>
          <t>Katherine Sebov</t>
        </is>
      </c>
      <c r="AQ107" s="24" t="inlineStr">
        <is>
          <t>Katherine Sebov</t>
        </is>
      </c>
      <c r="AR107" s="24" t="inlineStr">
        <is>
          <t>Katherine Sebov</t>
        </is>
      </c>
      <c r="AS107" s="24" t="inlineStr">
        <is>
          <t>Aoi Ito</t>
        </is>
      </c>
      <c r="AT107" s="24" t="inlineStr">
        <is>
          <t>Aoi Ito</t>
        </is>
      </c>
      <c r="AU107" s="24" t="inlineStr">
        <is>
          <t>Aoi Ito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research</t>
        </is>
      </c>
      <c r="BA107" s="24" t="inlineStr">
        <is>
          <t>999faa03e2fa83bdf40e3760cb8645b4c314e4cc37c2050b8320d6582c4d8167</t>
        </is>
      </c>
      <c r="BB107" s="24" t="inlineStr">
        <is>
          <t>surface_blended_elo</t>
        </is>
      </c>
      <c r="BC107" s="24" t="inlineStr">
        <is>
          <t>tennis-surface-elo-v1</t>
        </is>
      </c>
      <c r="BD107" s="24" t="inlineStr">
        <is>
          <t>999faa03e2fa83bdf40e3760cb8645b4c314e4cc37c2050b8320d6582c4d8167</t>
        </is>
      </c>
      <c r="BE107" s="24" t="inlineStr">
        <is>
          <t>tennis-surface-elo-v1</t>
        </is>
      </c>
      <c r="BF107" s="24" t="inlineStr">
        <is>
          <t>1</t>
        </is>
      </c>
      <c r="BG107" s="24" t="inlineStr">
        <is>
          <t>999faa03e2fa83bdf40e3760cb8645b4c314e4cc37c2050b8320d6582c4d8167</t>
        </is>
      </c>
      <c r="BH107" s="24" t="inlineStr">
        <is>
          <t>2026-08-02T08:13:41.403395Z</t>
        </is>
      </c>
      <c r="BI107" s="24" t="inlineStr">
        <is>
          <t>["same_event","same_team_same_day","same_league_same_day"]</t>
        </is>
      </c>
      <c r="BJ107" s="25" t="n"/>
      <c r="BK107" s="26" t="n">
        <v>-150</v>
      </c>
      <c r="BL107" s="27" t="n">
        <v>1.666667</v>
      </c>
      <c r="BM107" s="28" t="n">
        <v>0.6</v>
      </c>
      <c r="BN107" s="28" t="n"/>
      <c r="BO107" s="28" t="n"/>
      <c r="BP107" s="25" t="n"/>
      <c r="BQ107" s="27" t="n"/>
      <c r="BR107" s="28" t="n"/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</row>
    <row r="108" ht="36" customHeight="1">
      <c r="A108" s="24" t="inlineStr">
        <is>
          <t>45fc2f47b40b4865</t>
        </is>
      </c>
      <c r="B108" s="24" t="inlineStr">
        <is>
          <t>2026-08-02T08:17:29.872422Z</t>
        </is>
      </c>
      <c r="C108" s="24" t="inlineStr">
        <is>
          <t>2026-08-02T18:00Z</t>
        </is>
      </c>
      <c r="D108" s="24" t="inlineStr">
        <is>
          <t>421-2026:182284</t>
        </is>
      </c>
      <c r="E108" s="24" t="inlineStr">
        <is>
          <t>TENNIS</t>
        </is>
      </c>
      <c r="F108" s="24" t="inlineStr">
        <is>
          <t>Camila Osorio</t>
        </is>
      </c>
      <c r="G108" s="24" t="inlineStr">
        <is>
          <t>Lucrezia Stefanini</t>
        </is>
      </c>
      <c r="H108" s="24" t="inlineStr">
        <is>
          <t>moneyline</t>
        </is>
      </c>
      <c r="I108" s="24" t="inlineStr">
        <is>
          <t>away</t>
        </is>
      </c>
      <c r="J108" s="25" t="n"/>
      <c r="K108" s="24" t="inlineStr">
        <is>
          <t>polymarket_us</t>
        </is>
      </c>
      <c r="L108" s="26" t="n">
        <v>-186</v>
      </c>
      <c r="M108" s="27" t="n">
        <v>1.537634</v>
      </c>
      <c r="N108" s="28" t="n">
        <v>0.65035</v>
      </c>
      <c r="O108" s="28" t="n">
        <v>0.736958</v>
      </c>
      <c r="P108" s="28" t="n">
        <v>0.05</v>
      </c>
      <c r="Q108" s="28" t="n">
        <v>0.086608</v>
      </c>
      <c r="R108" s="26" t="n">
        <v>63</v>
      </c>
      <c r="S108" s="29" t="n">
        <v>2</v>
      </c>
      <c r="T108" s="24" t="inlineStr">
        <is>
          <t>tennis-surface-elo-v1</t>
        </is>
      </c>
      <c r="U108" s="24" t="inlineStr">
        <is>
          <t>open</t>
        </is>
      </c>
      <c r="V108" s="24" t="n"/>
      <c r="W108" s="26" t="n"/>
      <c r="X108" s="26" t="n"/>
      <c r="Y108" s="25" t="n"/>
      <c r="Z108" s="26" t="n"/>
      <c r="AA108" s="28" t="n"/>
      <c r="AB108" s="28" t="n"/>
      <c r="AC108" s="30" t="n"/>
      <c r="AD108" s="24" t="n"/>
      <c r="AE108" s="31" t="inlineStr">
        <is>
          <t>Surface-blended Elo on Hard: Camila Osorio p=0.737 vs Lucrezia Stefanini. Executable ask 0.6500 (aec-wta-lucste-camoso-2026-08-02).</t>
        </is>
      </c>
      <c r="AF108" s="31" t="inlineStr">
        <is>
          <t>Research-only surface-blended Elo model; singles only, WTA-only market coverage, not yet locked-holdout qualified.</t>
        </is>
      </c>
      <c r="AG108" s="24" t="inlineStr">
        <is>
          <t>not_applicable</t>
        </is>
      </c>
      <c r="AH108" s="24" t="n"/>
      <c r="AI108" s="31" t="n"/>
      <c r="AJ108" s="31" t="n"/>
      <c r="AK108" s="24" t="inlineStr">
        <is>
          <t>research_observation</t>
        </is>
      </c>
      <c r="AL108" s="26" t="n">
        <v>3</v>
      </c>
      <c r="AM108" s="24" t="inlineStr">
        <is>
          <t>RESEARCH_OBSERVATION</t>
        </is>
      </c>
      <c r="AN108" s="24" t="inlineStr">
        <is>
          <t>NO_CALL</t>
        </is>
      </c>
      <c r="AO108" s="24" t="inlineStr">
        <is>
          <t>NO_CALL_MODEL_UNVALIDATED</t>
        </is>
      </c>
      <c r="AP108" s="24" t="inlineStr">
        <is>
          <t>Camila Osorio</t>
        </is>
      </c>
      <c r="AQ108" s="24" t="inlineStr">
        <is>
          <t>Camila Osorio</t>
        </is>
      </c>
      <c r="AR108" s="24" t="inlineStr">
        <is>
          <t>Camila Osorio</t>
        </is>
      </c>
      <c r="AS108" s="24" t="inlineStr">
        <is>
          <t>Lucrezia Stefanini</t>
        </is>
      </c>
      <c r="AT108" s="24" t="inlineStr">
        <is>
          <t>Lucrezia Stefanini</t>
        </is>
      </c>
      <c r="AU108" s="24" t="inlineStr">
        <is>
          <t>Lucrezia Stefanini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research</t>
        </is>
      </c>
      <c r="BA108" s="24" t="inlineStr">
        <is>
          <t>999faa03e2fa83bdf40e3760cb8645b4c314e4cc37c2050b8320d6582c4d8167</t>
        </is>
      </c>
      <c r="BB108" s="24" t="inlineStr">
        <is>
          <t>surface_blended_elo</t>
        </is>
      </c>
      <c r="BC108" s="24" t="inlineStr">
        <is>
          <t>tennis-surface-elo-v1</t>
        </is>
      </c>
      <c r="BD108" s="24" t="inlineStr">
        <is>
          <t>999faa03e2fa83bdf40e3760cb8645b4c314e4cc37c2050b8320d6582c4d8167</t>
        </is>
      </c>
      <c r="BE108" s="24" t="inlineStr">
        <is>
          <t>tennis-surface-elo-v1</t>
        </is>
      </c>
      <c r="BF108" s="24" t="inlineStr">
        <is>
          <t>1</t>
        </is>
      </c>
      <c r="BG108" s="24" t="inlineStr">
        <is>
          <t>999faa03e2fa83bdf40e3760cb8645b4c314e4cc37c2050b8320d6582c4d8167</t>
        </is>
      </c>
      <c r="BH108" s="24" t="inlineStr">
        <is>
          <t>2026-08-02T08:13:37.821288Z</t>
        </is>
      </c>
      <c r="BI108" s="24" t="inlineStr">
        <is>
          <t>["same_event","same_team_same_day","same_league_same_day"]</t>
        </is>
      </c>
      <c r="BJ108" s="25" t="n"/>
      <c r="BK108" s="26" t="n">
        <v>-186</v>
      </c>
      <c r="BL108" s="27" t="n">
        <v>1.537634</v>
      </c>
      <c r="BM108" s="28" t="n">
        <v>0.65035</v>
      </c>
      <c r="BN108" s="28" t="n"/>
      <c r="BO108" s="28" t="n"/>
      <c r="BP108" s="25" t="n"/>
      <c r="BQ108" s="27" t="n"/>
      <c r="BR108" s="28" t="n"/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</row>
    <row r="109" ht="36" customHeight="1">
      <c r="A109" s="24" t="inlineStr">
        <is>
          <t>7ee60621a71e475f</t>
        </is>
      </c>
      <c r="B109" s="24" t="inlineStr">
        <is>
          <t>2026-08-02T08:17:29.872422Z</t>
        </is>
      </c>
      <c r="C109" s="24" t="inlineStr">
        <is>
          <t>2026-08-02T19:30Z</t>
        </is>
      </c>
      <c r="D109" s="24" t="inlineStr">
        <is>
          <t>421-2026:182241</t>
        </is>
      </c>
      <c r="E109" s="24" t="inlineStr">
        <is>
          <t>TENNIS</t>
        </is>
      </c>
      <c r="F109" s="24" t="inlineStr">
        <is>
          <t>Anna Blinkova</t>
        </is>
      </c>
      <c r="G109" s="24" t="inlineStr">
        <is>
          <t>Rebecca Sramkova</t>
        </is>
      </c>
      <c r="H109" s="24" t="inlineStr">
        <is>
          <t>moneyline</t>
        </is>
      </c>
      <c r="I109" s="24" t="inlineStr">
        <is>
          <t>home</t>
        </is>
      </c>
      <c r="J109" s="25" t="n"/>
      <c r="K109" s="24" t="inlineStr">
        <is>
          <t>polymarket_us</t>
        </is>
      </c>
      <c r="L109" s="26" t="n">
        <v>-108</v>
      </c>
      <c r="M109" s="27" t="n">
        <v>1.925926</v>
      </c>
      <c r="N109" s="28" t="n">
        <v>0.519231</v>
      </c>
      <c r="O109" s="28" t="n">
        <v>0.53051</v>
      </c>
      <c r="P109" s="28" t="n">
        <v>0.05</v>
      </c>
      <c r="Q109" s="28" t="n">
        <v>0.011279</v>
      </c>
      <c r="R109" s="26" t="n">
        <v>26</v>
      </c>
      <c r="S109" s="29" t="n">
        <v>1</v>
      </c>
      <c r="T109" s="24" t="inlineStr">
        <is>
          <t>tennis-surface-elo-v1</t>
        </is>
      </c>
      <c r="U109" s="24" t="inlineStr">
        <is>
          <t>open</t>
        </is>
      </c>
      <c r="V109" s="24" t="n"/>
      <c r="W109" s="26" t="n"/>
      <c r="X109" s="26" t="n"/>
      <c r="Y109" s="25" t="n"/>
      <c r="Z109" s="26" t="n"/>
      <c r="AA109" s="28" t="n"/>
      <c r="AB109" s="28" t="n"/>
      <c r="AC109" s="30" t="n"/>
      <c r="AD109" s="24" t="n"/>
      <c r="AE109" s="31" t="inlineStr">
        <is>
          <t>Surface-blended Elo on Hard: Anna Blinkova p=0.469 vs Rebecca Sramkova. Executable ask 0.5200 (aec-wta-rebsra-annbli-2026-08-02).</t>
        </is>
      </c>
      <c r="AF109" s="31" t="inlineStr">
        <is>
          <t>Research-only surface-blended Elo model; singles only, WTA-only market coverage, not yet locked-holdout qualified.</t>
        </is>
      </c>
      <c r="AG109" s="24" t="inlineStr">
        <is>
          <t>not_applicable</t>
        </is>
      </c>
      <c r="AH109" s="24" t="n"/>
      <c r="AI109" s="31" t="n"/>
      <c r="AJ109" s="31" t="n"/>
      <c r="AK109" s="24" t="inlineStr">
        <is>
          <t>research_observation</t>
        </is>
      </c>
      <c r="AL109" s="26" t="n">
        <v>3</v>
      </c>
      <c r="AM109" s="24" t="inlineStr">
        <is>
          <t>RESEARCH_OBSERVATION</t>
        </is>
      </c>
      <c r="AN109" s="24" t="inlineStr">
        <is>
          <t>NO_CALL</t>
        </is>
      </c>
      <c r="AO109" s="24" t="inlineStr">
        <is>
          <t>NO_CALL_MODEL_UNVALIDATED</t>
        </is>
      </c>
      <c r="AP109" s="24" t="inlineStr">
        <is>
          <t>Anna Blinkova</t>
        </is>
      </c>
      <c r="AQ109" s="24" t="inlineStr">
        <is>
          <t>Anna Blinkova</t>
        </is>
      </c>
      <c r="AR109" s="24" t="inlineStr">
        <is>
          <t>Anna Blinkova</t>
        </is>
      </c>
      <c r="AS109" s="24" t="inlineStr">
        <is>
          <t>Rebecca Sramkova</t>
        </is>
      </c>
      <c r="AT109" s="24" t="inlineStr">
        <is>
          <t>Rebecca Sramkova</t>
        </is>
      </c>
      <c r="AU109" s="24" t="inlineStr">
        <is>
          <t>Rebecca Sramkova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research</t>
        </is>
      </c>
      <c r="BA109" s="24" t="inlineStr">
        <is>
          <t>999faa03e2fa83bdf40e3760cb8645b4c314e4cc37c2050b8320d6582c4d8167</t>
        </is>
      </c>
      <c r="BB109" s="24" t="inlineStr">
        <is>
          <t>surface_blended_elo</t>
        </is>
      </c>
      <c r="BC109" s="24" t="inlineStr">
        <is>
          <t>tennis-surface-elo-v1</t>
        </is>
      </c>
      <c r="BD109" s="24" t="inlineStr">
        <is>
          <t>999faa03e2fa83bdf40e3760cb8645b4c314e4cc37c2050b8320d6582c4d8167</t>
        </is>
      </c>
      <c r="BE109" s="24" t="inlineStr">
        <is>
          <t>tennis-surface-elo-v1</t>
        </is>
      </c>
      <c r="BF109" s="24" t="inlineStr">
        <is>
          <t>1</t>
        </is>
      </c>
      <c r="BG109" s="24" t="inlineStr">
        <is>
          <t>999faa03e2fa83bdf40e3760cb8645b4c314e4cc37c2050b8320d6582c4d8167</t>
        </is>
      </c>
      <c r="BH109" s="24" t="inlineStr">
        <is>
          <t>2026-08-02T08:13:42.785061Z</t>
        </is>
      </c>
      <c r="BI109" s="24" t="inlineStr">
        <is>
          <t>["same_event","same_team_same_day","same_league_same_day"]</t>
        </is>
      </c>
      <c r="BJ109" s="25" t="n"/>
      <c r="BK109" s="26" t="n">
        <v>-108</v>
      </c>
      <c r="BL109" s="27" t="n">
        <v>1.925926</v>
      </c>
      <c r="BM109" s="28" t="n">
        <v>0.519231</v>
      </c>
      <c r="BN109" s="28" t="n"/>
      <c r="BO109" s="28" t="n"/>
      <c r="BP109" s="25" t="n"/>
      <c r="BQ109" s="27" t="n"/>
      <c r="BR109" s="28" t="n"/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</row>
    <row r="110" ht="36" customHeight="1">
      <c r="A110" s="24" t="inlineStr">
        <is>
          <t>cd8e0bae7b284cbd</t>
        </is>
      </c>
      <c r="B110" s="24" t="inlineStr">
        <is>
          <t>2026-08-02T08:17:29.872422Z</t>
        </is>
      </c>
      <c r="C110" s="24" t="inlineStr">
        <is>
          <t>2026-08-02T20:00Z</t>
        </is>
      </c>
      <c r="D110" s="24" t="inlineStr">
        <is>
          <t>421-2026:182273</t>
        </is>
      </c>
      <c r="E110" s="24" t="inlineStr">
        <is>
          <t>TENNIS</t>
        </is>
      </c>
      <c r="F110" s="24" t="inlineStr">
        <is>
          <t>Lanlana Tararudee</t>
        </is>
      </c>
      <c r="G110" s="24" t="inlineStr">
        <is>
          <t>Emerson Jones</t>
        </is>
      </c>
      <c r="H110" s="24" t="inlineStr">
        <is>
          <t>moneyline</t>
        </is>
      </c>
      <c r="I110" s="24" t="inlineStr">
        <is>
          <t>away</t>
        </is>
      </c>
      <c r="J110" s="25" t="n"/>
      <c r="K110" s="24" t="inlineStr">
        <is>
          <t>polymarket_us</t>
        </is>
      </c>
      <c r="L110" s="26" t="n">
        <v>-156</v>
      </c>
      <c r="M110" s="27" t="n">
        <v>1.641026</v>
      </c>
      <c r="N110" s="28" t="n">
        <v>0.609375</v>
      </c>
      <c r="O110" s="28" t="n">
        <v>0.756798</v>
      </c>
      <c r="P110" s="28" t="n">
        <v>0.05</v>
      </c>
      <c r="Q110" s="28" t="n">
        <v>0.147423</v>
      </c>
      <c r="R110" s="26" t="n">
        <v>94</v>
      </c>
      <c r="S110" s="29" t="n">
        <v>2</v>
      </c>
      <c r="T110" s="24" t="inlineStr">
        <is>
          <t>tennis-surface-elo-v1</t>
        </is>
      </c>
      <c r="U110" s="24" t="inlineStr">
        <is>
          <t>open</t>
        </is>
      </c>
      <c r="V110" s="24" t="n"/>
      <c r="W110" s="26" t="n"/>
      <c r="X110" s="26" t="n"/>
      <c r="Y110" s="25" t="n"/>
      <c r="Z110" s="26" t="n"/>
      <c r="AA110" s="28" t="n"/>
      <c r="AB110" s="28" t="n"/>
      <c r="AC110" s="30" t="n"/>
      <c r="AD110" s="24" t="n"/>
      <c r="AE110" s="31" t="inlineStr">
        <is>
          <t>Surface-blended Elo on Hard: Lanlana Tararudee p=0.757 vs Emerson Jones. Executable ask 0.6100 (aec-wta-emejon-lantar-2026-08-02).</t>
        </is>
      </c>
      <c r="AF110" s="31" t="inlineStr">
        <is>
          <t>Research-only surface-blended Elo model; singles only, WTA-only market coverage, not yet locked-holdout qualified.</t>
        </is>
      </c>
      <c r="AG110" s="24" t="inlineStr">
        <is>
          <t>not_applicable</t>
        </is>
      </c>
      <c r="AH110" s="24" t="n"/>
      <c r="AI110" s="31" t="n"/>
      <c r="AJ110" s="31" t="n"/>
      <c r="AK110" s="24" t="inlineStr">
        <is>
          <t>research_observation</t>
        </is>
      </c>
      <c r="AL110" s="26" t="n">
        <v>3</v>
      </c>
      <c r="AM110" s="24" t="inlineStr">
        <is>
          <t>RESEARCH_OBSERVATION</t>
        </is>
      </c>
      <c r="AN110" s="24" t="inlineStr">
        <is>
          <t>NO_CALL</t>
        </is>
      </c>
      <c r="AO110" s="24" t="inlineStr">
        <is>
          <t>NO_CALL_MODEL_UNVALIDATED</t>
        </is>
      </c>
      <c r="AP110" s="24" t="inlineStr">
        <is>
          <t>Lanlana Tararudee</t>
        </is>
      </c>
      <c r="AQ110" s="24" t="inlineStr">
        <is>
          <t>Lanlana Tararudee</t>
        </is>
      </c>
      <c r="AR110" s="24" t="inlineStr">
        <is>
          <t>Lanlana Tararudee</t>
        </is>
      </c>
      <c r="AS110" s="24" t="inlineStr">
        <is>
          <t>Emerson Jones</t>
        </is>
      </c>
      <c r="AT110" s="24" t="inlineStr">
        <is>
          <t>Emerson Jones</t>
        </is>
      </c>
      <c r="AU110" s="24" t="inlineStr">
        <is>
          <t>Emerson Jones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research</t>
        </is>
      </c>
      <c r="BA110" s="24" t="inlineStr">
        <is>
          <t>999faa03e2fa83bdf40e3760cb8645b4c314e4cc37c2050b8320d6582c4d8167</t>
        </is>
      </c>
      <c r="BB110" s="24" t="inlineStr">
        <is>
          <t>surface_blended_elo</t>
        </is>
      </c>
      <c r="BC110" s="24" t="inlineStr">
        <is>
          <t>tennis-surface-elo-v1</t>
        </is>
      </c>
      <c r="BD110" s="24" t="inlineStr">
        <is>
          <t>999faa03e2fa83bdf40e3760cb8645b4c314e4cc37c2050b8320d6582c4d8167</t>
        </is>
      </c>
      <c r="BE110" s="24" t="inlineStr">
        <is>
          <t>tennis-surface-elo-v1</t>
        </is>
      </c>
      <c r="BF110" s="24" t="inlineStr">
        <is>
          <t>1</t>
        </is>
      </c>
      <c r="BG110" s="24" t="inlineStr">
        <is>
          <t>999faa03e2fa83bdf40e3760cb8645b4c314e4cc37c2050b8320d6582c4d8167</t>
        </is>
      </c>
      <c r="BH110" s="24" t="inlineStr">
        <is>
          <t>2026-08-02T08:13:43.671992Z</t>
        </is>
      </c>
      <c r="BI110" s="24" t="inlineStr">
        <is>
          <t>["same_event","same_team_same_day","same_league_same_day"]</t>
        </is>
      </c>
      <c r="BJ110" s="25" t="n"/>
      <c r="BK110" s="26" t="n">
        <v>-156</v>
      </c>
      <c r="BL110" s="27" t="n">
        <v>1.641026</v>
      </c>
      <c r="BM110" s="28" t="n">
        <v>0.609375</v>
      </c>
      <c r="BN110" s="28" t="n"/>
      <c r="BO110" s="28" t="n"/>
      <c r="BP110" s="25" t="n"/>
      <c r="BQ110" s="27" t="n"/>
      <c r="BR110" s="28" t="n"/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</row>
    <row r="111" ht="36" customHeight="1">
      <c r="A111" s="24" t="inlineStr">
        <is>
          <t>5fca9cf5fcc7440f</t>
        </is>
      </c>
      <c r="B111" s="24" t="inlineStr">
        <is>
          <t>2026-08-02T08:17:29.872422Z</t>
        </is>
      </c>
      <c r="C111" s="24" t="inlineStr">
        <is>
          <t>2026-08-02T21:00Z</t>
        </is>
      </c>
      <c r="D111" s="24" t="inlineStr">
        <is>
          <t>421-2026:182240</t>
        </is>
      </c>
      <c r="E111" s="24" t="inlineStr">
        <is>
          <t>TENNIS</t>
        </is>
      </c>
      <c r="F111" s="24" t="inlineStr">
        <is>
          <t>Cadence Brace</t>
        </is>
      </c>
      <c r="G111" s="24" t="inlineStr">
        <is>
          <t>McCartney Kessler</t>
        </is>
      </c>
      <c r="H111" s="24" t="inlineStr">
        <is>
          <t>moneyline</t>
        </is>
      </c>
      <c r="I111" s="24" t="inlineStr">
        <is>
          <t>home</t>
        </is>
      </c>
      <c r="J111" s="25" t="n"/>
      <c r="K111" s="24" t="inlineStr">
        <is>
          <t>polymarket_us</t>
        </is>
      </c>
      <c r="L111" s="26" t="n">
        <v>-733</v>
      </c>
      <c r="M111" s="27" t="n">
        <v>1.136426</v>
      </c>
      <c r="N111" s="28" t="n">
        <v>0.879952</v>
      </c>
      <c r="O111" s="28" t="n">
        <v>0.7637620000000001</v>
      </c>
      <c r="P111" s="28" t="n">
        <v>0.05</v>
      </c>
      <c r="Q111" s="28" t="n">
        <v>-0.11619</v>
      </c>
      <c r="R111" s="26" t="n">
        <v>0</v>
      </c>
      <c r="S111" s="29" t="n">
        <v>2</v>
      </c>
      <c r="T111" s="24" t="inlineStr">
        <is>
          <t>tennis-surface-elo-v1</t>
        </is>
      </c>
      <c r="U111" s="24" t="inlineStr">
        <is>
          <t>open</t>
        </is>
      </c>
      <c r="V111" s="24" t="n"/>
      <c r="W111" s="26" t="n"/>
      <c r="X111" s="26" t="n"/>
      <c r="Y111" s="25" t="n"/>
      <c r="Z111" s="26" t="n"/>
      <c r="AA111" s="28" t="n"/>
      <c r="AB111" s="28" t="n"/>
      <c r="AC111" s="30" t="n"/>
      <c r="AD111" s="24" t="n"/>
      <c r="AE111" s="31" t="inlineStr">
        <is>
          <t>Surface-blended Elo on Hard: Cadence Brace p=0.236 vs McCartney Kessler. Executable ask 0.8800 (aec-wta-mcckes-cadbra-2026-08-02).</t>
        </is>
      </c>
      <c r="AF111" s="31" t="inlineStr">
        <is>
          <t>Research-only surface-blended Elo model; singles only, WTA-only market coverage, not yet locked-holdout qualified.</t>
        </is>
      </c>
      <c r="AG111" s="24" t="inlineStr">
        <is>
          <t>not_applicable</t>
        </is>
      </c>
      <c r="AH111" s="24" t="n"/>
      <c r="AI111" s="31" t="n"/>
      <c r="AJ111" s="31" t="n"/>
      <c r="AK111" s="24" t="inlineStr">
        <is>
          <t>research_observation</t>
        </is>
      </c>
      <c r="AL111" s="26" t="n">
        <v>3</v>
      </c>
      <c r="AM111" s="24" t="inlineStr">
        <is>
          <t>RESEARCH_OBSERVATION</t>
        </is>
      </c>
      <c r="AN111" s="24" t="inlineStr">
        <is>
          <t>NO_CALL</t>
        </is>
      </c>
      <c r="AO111" s="24" t="inlineStr">
        <is>
          <t>NO_CALL_MODEL_UNVALIDATED</t>
        </is>
      </c>
      <c r="AP111" s="24" t="inlineStr">
        <is>
          <t>Cadence Brace</t>
        </is>
      </c>
      <c r="AQ111" s="24" t="inlineStr">
        <is>
          <t>Cadence Brace</t>
        </is>
      </c>
      <c r="AR111" s="24" t="inlineStr">
        <is>
          <t>Cadence Brace</t>
        </is>
      </c>
      <c r="AS111" s="24" t="inlineStr">
        <is>
          <t>McCartney Kessler</t>
        </is>
      </c>
      <c r="AT111" s="24" t="inlineStr">
        <is>
          <t>McCartney Kessler</t>
        </is>
      </c>
      <c r="AU111" s="24" t="inlineStr">
        <is>
          <t>McCartney Kessler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research</t>
        </is>
      </c>
      <c r="BA111" s="24" t="inlineStr">
        <is>
          <t>999faa03e2fa83bdf40e3760cb8645b4c314e4cc37c2050b8320d6582c4d8167</t>
        </is>
      </c>
      <c r="BB111" s="24" t="inlineStr">
        <is>
          <t>surface_blended_elo</t>
        </is>
      </c>
      <c r="BC111" s="24" t="inlineStr">
        <is>
          <t>tennis-surface-elo-v1</t>
        </is>
      </c>
      <c r="BD111" s="24" t="inlineStr">
        <is>
          <t>999faa03e2fa83bdf40e3760cb8645b4c314e4cc37c2050b8320d6582c4d8167</t>
        </is>
      </c>
      <c r="BE111" s="24" t="inlineStr">
        <is>
          <t>tennis-surface-elo-v1</t>
        </is>
      </c>
      <c r="BF111" s="24" t="inlineStr">
        <is>
          <t>1</t>
        </is>
      </c>
      <c r="BG111" s="24" t="inlineStr">
        <is>
          <t>999faa03e2fa83bdf40e3760cb8645b4c314e4cc37c2050b8320d6582c4d8167</t>
        </is>
      </c>
      <c r="BH111" s="24" t="inlineStr">
        <is>
          <t>2026-08-02T08:13:45.005805Z</t>
        </is>
      </c>
      <c r="BI111" s="24" t="inlineStr">
        <is>
          <t>["same_event","same_team_same_day","same_league_same_day"]</t>
        </is>
      </c>
      <c r="BJ111" s="25" t="n"/>
      <c r="BK111" s="26" t="n">
        <v>-733</v>
      </c>
      <c r="BL111" s="27" t="n">
        <v>1.136426</v>
      </c>
      <c r="BM111" s="28" t="n">
        <v>0.879952</v>
      </c>
      <c r="BN111" s="28" t="n"/>
      <c r="BO111" s="28" t="n"/>
      <c r="BP111" s="25" t="n"/>
      <c r="BQ111" s="27" t="n"/>
      <c r="BR111" s="28" t="n"/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</row>
    <row r="112" ht="36" customHeight="1">
      <c r="A112" s="24" t="inlineStr">
        <is>
          <t>fbea84407b0f4ba8</t>
        </is>
      </c>
      <c r="B112" s="24" t="inlineStr">
        <is>
          <t>2026-08-02T08:17:29.872422Z</t>
        </is>
      </c>
      <c r="C112" s="24" t="inlineStr">
        <is>
          <t>2026-08-02T21:30Z</t>
        </is>
      </c>
      <c r="D112" s="24" t="inlineStr">
        <is>
          <t>421-2026:182283</t>
        </is>
      </c>
      <c r="E112" s="24" t="inlineStr">
        <is>
          <t>TENNIS</t>
        </is>
      </c>
      <c r="F112" s="24" t="inlineStr">
        <is>
          <t>Elisabetta Cocciaretto</t>
        </is>
      </c>
      <c r="G112" s="24" t="inlineStr">
        <is>
          <t>Talia Gibson</t>
        </is>
      </c>
      <c r="H112" s="24" t="inlineStr">
        <is>
          <t>moneyline</t>
        </is>
      </c>
      <c r="I112" s="24" t="inlineStr">
        <is>
          <t>away</t>
        </is>
      </c>
      <c r="J112" s="25" t="n"/>
      <c r="K112" s="24" t="inlineStr">
        <is>
          <t>polymarket_us</t>
        </is>
      </c>
      <c r="L112" s="26" t="n">
        <v>-144</v>
      </c>
      <c r="M112" s="27" t="n">
        <v>1.694444</v>
      </c>
      <c r="N112" s="28" t="n">
        <v>0.590164</v>
      </c>
      <c r="O112" s="28" t="n">
        <v>0.578226</v>
      </c>
      <c r="P112" s="28" t="n">
        <v>0.05</v>
      </c>
      <c r="Q112" s="28" t="n">
        <v>-0.011938</v>
      </c>
      <c r="R112" s="26" t="n">
        <v>14</v>
      </c>
      <c r="S112" s="29" t="n">
        <v>1.25</v>
      </c>
      <c r="T112" s="24" t="inlineStr">
        <is>
          <t>tennis-surface-elo-v1</t>
        </is>
      </c>
      <c r="U112" s="24" t="inlineStr">
        <is>
          <t>open</t>
        </is>
      </c>
      <c r="V112" s="24" t="n"/>
      <c r="W112" s="26" t="n"/>
      <c r="X112" s="26" t="n"/>
      <c r="Y112" s="25" t="n"/>
      <c r="Z112" s="26" t="n"/>
      <c r="AA112" s="28" t="n"/>
      <c r="AB112" s="28" t="n"/>
      <c r="AC112" s="30" t="n"/>
      <c r="AD112" s="24" t="n"/>
      <c r="AE112" s="31" t="inlineStr">
        <is>
          <t>Surface-blended Elo on Hard: Elisabetta Cocciaretto p=0.578 vs Talia Gibson. Executable ask 0.5900 (aec-wta-talgib-elicoc-2026-08-02).</t>
        </is>
      </c>
      <c r="AF112" s="31" t="inlineStr">
        <is>
          <t>Research-only surface-blended Elo model; singles only, WTA-only market coverage, not yet locked-holdout qualified.</t>
        </is>
      </c>
      <c r="AG112" s="24" t="inlineStr">
        <is>
          <t>not_applicable</t>
        </is>
      </c>
      <c r="AH112" s="24" t="n"/>
      <c r="AI112" s="31" t="n"/>
      <c r="AJ112" s="31" t="n"/>
      <c r="AK112" s="24" t="inlineStr">
        <is>
          <t>research_observation</t>
        </is>
      </c>
      <c r="AL112" s="26" t="n">
        <v>3</v>
      </c>
      <c r="AM112" s="24" t="inlineStr">
        <is>
          <t>RESEARCH_OBSERVATION</t>
        </is>
      </c>
      <c r="AN112" s="24" t="inlineStr">
        <is>
          <t>NO_CALL</t>
        </is>
      </c>
      <c r="AO112" s="24" t="inlineStr">
        <is>
          <t>NO_CALL_MODEL_UNVALIDATED</t>
        </is>
      </c>
      <c r="AP112" s="24" t="inlineStr">
        <is>
          <t>Elisabetta Cocciaretto</t>
        </is>
      </c>
      <c r="AQ112" s="24" t="inlineStr">
        <is>
          <t>Elisabetta Cocciaretto</t>
        </is>
      </c>
      <c r="AR112" s="24" t="inlineStr">
        <is>
          <t>Elisabetta Cocciaretto</t>
        </is>
      </c>
      <c r="AS112" s="24" t="inlineStr">
        <is>
          <t>Talia Gibson</t>
        </is>
      </c>
      <c r="AT112" s="24" t="inlineStr">
        <is>
          <t>Talia Gibson</t>
        </is>
      </c>
      <c r="AU112" s="24" t="inlineStr">
        <is>
          <t>Talia Gibson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research</t>
        </is>
      </c>
      <c r="BA112" s="24" t="inlineStr">
        <is>
          <t>999faa03e2fa83bdf40e3760cb8645b4c314e4cc37c2050b8320d6582c4d8167</t>
        </is>
      </c>
      <c r="BB112" s="24" t="inlineStr">
        <is>
          <t>surface_blended_elo</t>
        </is>
      </c>
      <c r="BC112" s="24" t="inlineStr">
        <is>
          <t>tennis-surface-elo-v1</t>
        </is>
      </c>
      <c r="BD112" s="24" t="inlineStr">
        <is>
          <t>999faa03e2fa83bdf40e3760cb8645b4c314e4cc37c2050b8320d6582c4d8167</t>
        </is>
      </c>
      <c r="BE112" s="24" t="inlineStr">
        <is>
          <t>tennis-surface-elo-v1</t>
        </is>
      </c>
      <c r="BF112" s="24" t="inlineStr">
        <is>
          <t>1</t>
        </is>
      </c>
      <c r="BG112" s="24" t="inlineStr">
        <is>
          <t>999faa03e2fa83bdf40e3760cb8645b4c314e4cc37c2050b8320d6582c4d8167</t>
        </is>
      </c>
      <c r="BH112" s="24" t="inlineStr">
        <is>
          <t>2026-08-02T08:13:47.211871Z</t>
        </is>
      </c>
      <c r="BI112" s="24" t="inlineStr">
        <is>
          <t>["same_event","same_team_same_day","same_league_same_day"]</t>
        </is>
      </c>
      <c r="BJ112" s="25" t="n"/>
      <c r="BK112" s="26" t="n">
        <v>-144</v>
      </c>
      <c r="BL112" s="27" t="n">
        <v>1.694444</v>
      </c>
      <c r="BM112" s="28" t="n">
        <v>0.590164</v>
      </c>
      <c r="BN112" s="28" t="n"/>
      <c r="BO112" s="28" t="n"/>
      <c r="BP112" s="25" t="n"/>
      <c r="BQ112" s="27" t="n"/>
      <c r="BR112" s="28" t="n"/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</row>
    <row r="113" ht="36" customHeight="1">
      <c r="A113" s="24" t="inlineStr">
        <is>
          <t>27064a9cecbd4d36</t>
        </is>
      </c>
      <c r="B113" s="24" t="inlineStr">
        <is>
          <t>2026-08-02T08:17:29.872422Z</t>
        </is>
      </c>
      <c r="C113" s="24" t="inlineStr">
        <is>
          <t>2026-08-02T23:00Z</t>
        </is>
      </c>
      <c r="D113" s="24" t="inlineStr">
        <is>
          <t>421-2026:182274</t>
        </is>
      </c>
      <c r="E113" s="24" t="inlineStr">
        <is>
          <t>TENNIS</t>
        </is>
      </c>
      <c r="F113" s="24" t="inlineStr">
        <is>
          <t>Bianca Andreescu</t>
        </is>
      </c>
      <c r="G113" s="24" t="inlineStr">
        <is>
          <t>Nikola Bartunkova</t>
        </is>
      </c>
      <c r="H113" s="24" t="inlineStr">
        <is>
          <t>moneyline</t>
        </is>
      </c>
      <c r="I113" s="24" t="inlineStr">
        <is>
          <t>home</t>
        </is>
      </c>
      <c r="J113" s="25" t="n"/>
      <c r="K113" s="24" t="inlineStr">
        <is>
          <t>polymarket_us</t>
        </is>
      </c>
      <c r="L113" s="26" t="n">
        <v>-150</v>
      </c>
      <c r="M113" s="27" t="n">
        <v>1.666667</v>
      </c>
      <c r="N113" s="28" t="n">
        <v>0.6</v>
      </c>
      <c r="O113" s="28" t="n">
        <v>0.617346</v>
      </c>
      <c r="P113" s="28" t="n">
        <v>0.05</v>
      </c>
      <c r="Q113" s="28" t="n">
        <v>0.017346</v>
      </c>
      <c r="R113" s="26" t="n">
        <v>29</v>
      </c>
      <c r="S113" s="29" t="n">
        <v>1.5</v>
      </c>
      <c r="T113" s="24" t="inlineStr">
        <is>
          <t>tennis-surface-elo-v1</t>
        </is>
      </c>
      <c r="U113" s="24" t="inlineStr">
        <is>
          <t>open</t>
        </is>
      </c>
      <c r="V113" s="24" t="n"/>
      <c r="W113" s="26" t="n"/>
      <c r="X113" s="26" t="n"/>
      <c r="Y113" s="25" t="n"/>
      <c r="Z113" s="26" t="n"/>
      <c r="AA113" s="28" t="n"/>
      <c r="AB113" s="28" t="n"/>
      <c r="AC113" s="30" t="n"/>
      <c r="AD113" s="24" t="n"/>
      <c r="AE113" s="31" t="inlineStr">
        <is>
          <t>Surface-blended Elo on Hard: Bianca Andreescu p=0.383 vs Nikola Bartunkova. Executable ask 0.6000 (aec-wta-nikbar-biaand-2026-08-02).</t>
        </is>
      </c>
      <c r="AF113" s="31" t="inlineStr">
        <is>
          <t>Research-only surface-blended Elo model; singles only, WTA-only market coverage, not yet locked-holdout qualified.</t>
        </is>
      </c>
      <c r="AG113" s="24" t="inlineStr">
        <is>
          <t>not_applicable</t>
        </is>
      </c>
      <c r="AH113" s="24" t="n"/>
      <c r="AI113" s="31" t="n"/>
      <c r="AJ113" s="31" t="n"/>
      <c r="AK113" s="24" t="inlineStr">
        <is>
          <t>research_observation</t>
        </is>
      </c>
      <c r="AL113" s="26" t="n">
        <v>3</v>
      </c>
      <c r="AM113" s="24" t="inlineStr">
        <is>
          <t>RESEARCH_OBSERVATION</t>
        </is>
      </c>
      <c r="AN113" s="24" t="inlineStr">
        <is>
          <t>NO_CALL</t>
        </is>
      </c>
      <c r="AO113" s="24" t="inlineStr">
        <is>
          <t>NO_CALL_MODEL_UNVALIDATED</t>
        </is>
      </c>
      <c r="AP113" s="24" t="inlineStr">
        <is>
          <t>Bianca Andreescu</t>
        </is>
      </c>
      <c r="AQ113" s="24" t="inlineStr">
        <is>
          <t>Bianca Andreescu</t>
        </is>
      </c>
      <c r="AR113" s="24" t="inlineStr">
        <is>
          <t>Bianca Andreescu</t>
        </is>
      </c>
      <c r="AS113" s="24" t="inlineStr">
        <is>
          <t>Nikola Bartunkova</t>
        </is>
      </c>
      <c r="AT113" s="24" t="inlineStr">
        <is>
          <t>Nikola Bartunkova</t>
        </is>
      </c>
      <c r="AU113" s="24" t="inlineStr">
        <is>
          <t>Nikola Bartunkova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research</t>
        </is>
      </c>
      <c r="BA113" s="24" t="inlineStr">
        <is>
          <t>999faa03e2fa83bdf40e3760cb8645b4c314e4cc37c2050b8320d6582c4d8167</t>
        </is>
      </c>
      <c r="BB113" s="24" t="inlineStr">
        <is>
          <t>surface_blended_elo</t>
        </is>
      </c>
      <c r="BC113" s="24" t="inlineStr">
        <is>
          <t>tennis-surface-elo-v1</t>
        </is>
      </c>
      <c r="BD113" s="24" t="inlineStr">
        <is>
          <t>999faa03e2fa83bdf40e3760cb8645b4c314e4cc37c2050b8320d6582c4d8167</t>
        </is>
      </c>
      <c r="BE113" s="24" t="inlineStr">
        <is>
          <t>tennis-surface-elo-v1</t>
        </is>
      </c>
      <c r="BF113" s="24" t="inlineStr">
        <is>
          <t>1</t>
        </is>
      </c>
      <c r="BG113" s="24" t="inlineStr">
        <is>
          <t>999faa03e2fa83bdf40e3760cb8645b4c314e4cc37c2050b8320d6582c4d8167</t>
        </is>
      </c>
      <c r="BH113" s="24" t="inlineStr">
        <is>
          <t>2026-08-02T08:13:47.475586Z</t>
        </is>
      </c>
      <c r="BI113" s="24" t="inlineStr">
        <is>
          <t>["same_event","same_team_same_day","same_league_same_day"]</t>
        </is>
      </c>
      <c r="BJ113" s="25" t="n"/>
      <c r="BK113" s="26" t="n">
        <v>-150</v>
      </c>
      <c r="BL113" s="27" t="n">
        <v>1.666667</v>
      </c>
      <c r="BM113" s="28" t="n">
        <v>0.6</v>
      </c>
      <c r="BN113" s="28" t="n"/>
      <c r="BO113" s="28" t="n"/>
      <c r="BP113" s="25" t="n"/>
      <c r="BQ113" s="27" t="n"/>
      <c r="BR113" s="28" t="n"/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</row>
    <row r="114" ht="36" customHeight="1">
      <c r="A114" s="24" t="inlineStr">
        <is>
          <t>25e732f82f3244b8</t>
        </is>
      </c>
      <c r="B114" s="24" t="inlineStr">
        <is>
          <t>2026-08-02T08:17:29.872422Z</t>
        </is>
      </c>
      <c r="C114" s="24" t="inlineStr">
        <is>
          <t>2026-08-03T00:30Z</t>
        </is>
      </c>
      <c r="D114" s="24" t="inlineStr">
        <is>
          <t>421-2026:182281</t>
        </is>
      </c>
      <c r="E114" s="24" t="inlineStr">
        <is>
          <t>TENNIS</t>
        </is>
      </c>
      <c r="F114" s="24" t="inlineStr">
        <is>
          <t>Zhang Shuai</t>
        </is>
      </c>
      <c r="G114" s="24" t="inlineStr">
        <is>
          <t>Yulia Putintseva</t>
        </is>
      </c>
      <c r="H114" s="24" t="inlineStr">
        <is>
          <t>moneyline</t>
        </is>
      </c>
      <c r="I114" s="24" t="inlineStr">
        <is>
          <t>home</t>
        </is>
      </c>
      <c r="J114" s="25" t="n"/>
      <c r="K114" s="24" t="inlineStr">
        <is>
          <t>polymarket_us</t>
        </is>
      </c>
      <c r="L114" s="26" t="n">
        <v>-186</v>
      </c>
      <c r="M114" s="27" t="n">
        <v>1.537634</v>
      </c>
      <c r="N114" s="28" t="n">
        <v>0.65035</v>
      </c>
      <c r="O114" s="28" t="n">
        <v>0.630736</v>
      </c>
      <c r="P114" s="28" t="n">
        <v>0.05</v>
      </c>
      <c r="Q114" s="28" t="n">
        <v>-0.019614</v>
      </c>
      <c r="R114" s="26" t="n">
        <v>10</v>
      </c>
      <c r="S114" s="29" t="n">
        <v>1.5</v>
      </c>
      <c r="T114" s="24" t="inlineStr">
        <is>
          <t>tennis-surface-elo-v1</t>
        </is>
      </c>
      <c r="U114" s="24" t="inlineStr">
        <is>
          <t>open</t>
        </is>
      </c>
      <c r="V114" s="24" t="n"/>
      <c r="W114" s="26" t="n"/>
      <c r="X114" s="26" t="n"/>
      <c r="Y114" s="25" t="n"/>
      <c r="Z114" s="26" t="n"/>
      <c r="AA114" s="28" t="n"/>
      <c r="AB114" s="28" t="n"/>
      <c r="AC114" s="30" t="n"/>
      <c r="AD114" s="24" t="n"/>
      <c r="AE114" s="31" t="inlineStr">
        <is>
          <t>Surface-blended Elo on Hard: Zhang Shuai p=0.369 vs Yulia Putintseva. Executable ask 0.6500 (aec-wta-yulput-shuzha-2026-08-02).</t>
        </is>
      </c>
      <c r="AF114" s="31" t="inlineStr">
        <is>
          <t>Research-only surface-blended Elo model; singles only, WTA-only market coverage, not yet locked-holdout qualified.</t>
        </is>
      </c>
      <c r="AG114" s="24" t="inlineStr">
        <is>
          <t>not_applicable</t>
        </is>
      </c>
      <c r="AH114" s="24" t="n"/>
      <c r="AI114" s="31" t="n"/>
      <c r="AJ114" s="31" t="n"/>
      <c r="AK114" s="24" t="inlineStr">
        <is>
          <t>research_observation</t>
        </is>
      </c>
      <c r="AL114" s="26" t="n">
        <v>3</v>
      </c>
      <c r="AM114" s="24" t="inlineStr">
        <is>
          <t>RESEARCH_OBSERVATION</t>
        </is>
      </c>
      <c r="AN114" s="24" t="inlineStr">
        <is>
          <t>NO_CALL</t>
        </is>
      </c>
      <c r="AO114" s="24" t="inlineStr">
        <is>
          <t>NO_CALL_MODEL_UNVALIDATED</t>
        </is>
      </c>
      <c r="AP114" s="24" t="inlineStr">
        <is>
          <t>Zhang Shuai</t>
        </is>
      </c>
      <c r="AQ114" s="24" t="inlineStr">
        <is>
          <t>Zhang Shuai</t>
        </is>
      </c>
      <c r="AR114" s="24" t="inlineStr">
        <is>
          <t>Zhang Shuai</t>
        </is>
      </c>
      <c r="AS114" s="24" t="inlineStr">
        <is>
          <t>Yulia Putintseva</t>
        </is>
      </c>
      <c r="AT114" s="24" t="inlineStr">
        <is>
          <t>Yulia Putintseva</t>
        </is>
      </c>
      <c r="AU114" s="24" t="inlineStr">
        <is>
          <t>Yulia Putintseva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research</t>
        </is>
      </c>
      <c r="BA114" s="24" t="inlineStr">
        <is>
          <t>999faa03e2fa83bdf40e3760cb8645b4c314e4cc37c2050b8320d6582c4d8167</t>
        </is>
      </c>
      <c r="BB114" s="24" t="inlineStr">
        <is>
          <t>surface_blended_elo</t>
        </is>
      </c>
      <c r="BC114" s="24" t="inlineStr">
        <is>
          <t>tennis-surface-elo-v1</t>
        </is>
      </c>
      <c r="BD114" s="24" t="inlineStr">
        <is>
          <t>999faa03e2fa83bdf40e3760cb8645b4c314e4cc37c2050b8320d6582c4d8167</t>
        </is>
      </c>
      <c r="BE114" s="24" t="inlineStr">
        <is>
          <t>tennis-surface-elo-v1</t>
        </is>
      </c>
      <c r="BF114" s="24" t="inlineStr">
        <is>
          <t>1</t>
        </is>
      </c>
      <c r="BG114" s="24" t="inlineStr">
        <is>
          <t>999faa03e2fa83bdf40e3760cb8645b4c314e4cc37c2050b8320d6582c4d8167</t>
        </is>
      </c>
      <c r="BH114" s="24" t="inlineStr">
        <is>
          <t>2026-08-02T08:13:47.520549Z</t>
        </is>
      </c>
      <c r="BI114" s="24" t="inlineStr">
        <is>
          <t>["same_event","same_team_same_day","same_league_same_day"]</t>
        </is>
      </c>
      <c r="BJ114" s="25" t="n"/>
      <c r="BK114" s="26" t="n">
        <v>-186</v>
      </c>
      <c r="BL114" s="27" t="n">
        <v>1.537634</v>
      </c>
      <c r="BM114" s="28" t="n">
        <v>0.65035</v>
      </c>
      <c r="BN114" s="28" t="n"/>
      <c r="BO114" s="28" t="n"/>
      <c r="BP114" s="25" t="n"/>
      <c r="BQ114" s="27" t="n"/>
      <c r="BR114" s="28" t="n"/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2026-08-02T08:17:40Z</dcterms:created>
  <dcterms:modified xsi:type="dcterms:W3CDTF">2026-08-02T08:17:40Z</dcterms:modified>
</cp:coreProperties>
</file>