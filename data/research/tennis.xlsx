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17" headerRowCount="1">
  <autoFilter ref="A1:CQ11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COUNTA('Picks'!$A$2:$A$117)</f>
        <v/>
      </c>
      <c r="C4" s="6">
        <f>COUNTIF('Picks'!$U$2:$U$117,"open")</f>
        <v/>
      </c>
      <c r="E4" s="6">
        <f>COUNTIF('Picks'!$U$2:$U$117,"settled")</f>
        <v/>
      </c>
      <c r="G4" s="6">
        <f>IF(COUNTIFS('Picks'!$U$2:$U$117,"settled",'Picks'!$V$2:$V$117,"win")+COUNTIFS('Picks'!$U$2:$U$117,"settled",'Picks'!$V$2:$V$117,"loss")&gt;=$L$2,"Ready","Insufficient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COUNTIF('Picks'!$BX$2:$BX$117,"&gt;0")</f>
        <v/>
      </c>
      <c r="C7" s="6">
        <f>COUNTIFS('Picks'!$BX$2:$BX$117,"&gt;0",'Picks'!$V$2:$V$117,"win")&amp;"-"&amp;COUNTIFS('Picks'!$BX$2:$BX$117,"&gt;0",'Picks'!$V$2:$V$117,"loss")</f>
        <v/>
      </c>
      <c r="E7" s="7">
        <f>IFERROR(COUNTIFS('Picks'!$BX$2:$BX$117,"&gt;0",'Picks'!$V$2:$V$117,"win")/(COUNTIFS('Picks'!$BX$2:$BX$117,"&gt;0",'Picks'!$V$2:$V$117,"win")+COUNTIFS('Picks'!$BX$2:$BX$117,"&gt;0",'Picks'!$V$2:$V$117,"loss")),0)</f>
        <v/>
      </c>
      <c r="G7" s="7">
        <f>IFERROR(SUM('Picks'!$BY$2:$BY$117)/SUM('Picks'!$BX$2:$BX$117),0)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SUM('Picks'!$BY$2:$BY$117)</f>
        <v/>
      </c>
      <c r="C10" s="9">
        <f>IFERROR(AVERAGEIF('Picks'!$AB$2:$AB$117,"&lt;&gt;",'Picks'!$AB$2:$AB$117),0)</f>
        <v/>
      </c>
      <c r="E10" s="6">
        <f>COUNTIFS('Picks'!$AM$2:$AM$117,"QUALIFIED_SHADOW_CALL",'Picks'!$U$2:$U$117,"settled")</f>
        <v/>
      </c>
      <c r="G10" s="8">
        <f>SUMIFS('Picks'!$AC$2:$AC$117,'Picks'!$AM$2:$AM$117,"QUALIFIED_SHADOW_CALL")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COUNTIFS('Picks'!$H$2:$H$117,$A14,'Picks'!$U$2:$U$117,"settled")</f>
        <v/>
      </c>
      <c r="C14" s="13">
        <f>COUNTIFS('Picks'!$H$2:$H$117,$A14,'Picks'!$U$2:$U$117,"settled",'Picks'!$V$2:$V$117,"win")</f>
        <v/>
      </c>
      <c r="D14" s="13">
        <f>COUNTIFS('Picks'!$H$2:$H$117,$A14,'Picks'!$U$2:$U$117,"settled",'Picks'!$V$2:$V$117,"loss")</f>
        <v/>
      </c>
      <c r="E14" s="14">
        <f>IFERROR(C14/(C14+D14),0)</f>
        <v/>
      </c>
      <c r="F14" s="15">
        <f>SUMIFS('Picks'!$BY$2:$BY$117,'Picks'!$H$2:$H$117,$A14)</f>
        <v/>
      </c>
      <c r="G14" s="16">
        <f>IFERROR(AVERAGEIFS('Picks'!$AB$2:$AB$117,'Picks'!$H$2:$H$117,$A14,'Picks'!$U$2:$U$117,"settled"),0)</f>
        <v/>
      </c>
    </row>
    <row r="15">
      <c r="A15" s="17" t="inlineStr">
        <is>
          <t>spread</t>
        </is>
      </c>
      <c r="B15" s="18">
        <f>COUNTIFS('Picks'!$H$2:$H$117,$A15,'Picks'!$U$2:$U$117,"settled")</f>
        <v/>
      </c>
      <c r="C15" s="18">
        <f>COUNTIFS('Picks'!$H$2:$H$117,$A15,'Picks'!$U$2:$U$117,"settled",'Picks'!$V$2:$V$117,"win")</f>
        <v/>
      </c>
      <c r="D15" s="18">
        <f>COUNTIFS('Picks'!$H$2:$H$117,$A15,'Picks'!$U$2:$U$117,"settled",'Picks'!$V$2:$V$117,"loss")</f>
        <v/>
      </c>
      <c r="E15" s="19">
        <f>IFERROR(C15/(C15+D15),0)</f>
        <v/>
      </c>
      <c r="F15" s="20">
        <f>SUMIFS('Picks'!$BY$2:$BY$117,'Picks'!$H$2:$H$117,$A15)</f>
        <v/>
      </c>
      <c r="G15" s="21">
        <f>IFERROR(AVERAGEIFS('Picks'!$AB$2:$AB$117,'Picks'!$H$2:$H$117,$A15,'Picks'!$U$2:$U$117,"settled"),0)</f>
        <v/>
      </c>
    </row>
    <row r="16">
      <c r="A16" s="12" t="inlineStr">
        <is>
          <t>total</t>
        </is>
      </c>
      <c r="B16" s="13">
        <f>COUNTIFS('Picks'!$H$2:$H$117,$A16,'Picks'!$U$2:$U$117,"settled")</f>
        <v/>
      </c>
      <c r="C16" s="13">
        <f>COUNTIFS('Picks'!$H$2:$H$117,$A16,'Picks'!$U$2:$U$117,"settled",'Picks'!$V$2:$V$117,"win")</f>
        <v/>
      </c>
      <c r="D16" s="13">
        <f>COUNTIFS('Picks'!$H$2:$H$117,$A16,'Picks'!$U$2:$U$117,"settled",'Picks'!$V$2:$V$117,"loss")</f>
        <v/>
      </c>
      <c r="E16" s="14">
        <f>IFERROR(C16/(C16+D16),0)</f>
        <v/>
      </c>
      <c r="F16" s="15">
        <f>SUMIFS('Picks'!$BY$2:$BY$117,'Picks'!$H$2:$H$117,$A16)</f>
        <v/>
      </c>
      <c r="G16" s="16">
        <f>IFERROR(AVERAGEIFS('Picks'!$AB$2:$AB$117,'Picks'!$H$2:$H$117,$A16,'Picks'!$U$2:$U$117,"settled"),0)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inlineStr">
        <is>
          <t>True</t>
        </is>
      </c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inlineStr">
        <is>
          <t>True</t>
        </is>
      </c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inlineStr">
        <is>
          <t>True</t>
        </is>
      </c>
    </row>
    <row r="103" ht="36" customHeight="1">
      <c r="A103" s="24" t="inlineStr">
        <is>
          <t>d8110040e8f94cd5</t>
        </is>
      </c>
      <c r="B103" s="24" t="inlineStr">
        <is>
          <t>2026-08-02T16:51:36.214335Z</t>
        </is>
      </c>
      <c r="C103" s="24" t="inlineStr">
        <is>
          <t>2026-08-02T17:30Z</t>
        </is>
      </c>
      <c r="D103" s="24" t="inlineStr">
        <is>
          <t>1067-2026:179469</t>
        </is>
      </c>
      <c r="E103" s="24" t="inlineStr">
        <is>
          <t>TENNIS</t>
        </is>
      </c>
      <c r="F103" s="24" t="inlineStr">
        <is>
          <t>Darja Vidmanova</t>
        </is>
      </c>
      <c r="G103" s="24" t="inlineStr">
        <is>
          <t>Kristina Liutova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104</v>
      </c>
      <c r="M103" s="27" t="n">
        <v>2.04</v>
      </c>
      <c r="N103" s="28" t="n">
        <v>0.490196</v>
      </c>
      <c r="O103" s="28" t="n">
        <v>0.639939</v>
      </c>
      <c r="P103" s="28" t="n">
        <v>0.05</v>
      </c>
      <c r="Q103" s="28" t="n">
        <v>0.149743</v>
      </c>
      <c r="R103" s="26" t="n">
        <v>95</v>
      </c>
      <c r="S103" s="29" t="n">
        <v>1.5</v>
      </c>
      <c r="T103" s="24" t="inlineStr">
        <is>
          <t>tennis-surface-elo-v1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Surface-blended Elo on Hard: Darja Vidmanova p=0.640 vs Kristina Liutova. Executable ask 0.4900 (aec-wta-kriliu-darvid-2026-08-02).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Darja Vidmanova</t>
        </is>
      </c>
      <c r="AQ103" s="24" t="inlineStr">
        <is>
          <t>Darja Vidmanova</t>
        </is>
      </c>
      <c r="AR103" s="24" t="inlineStr">
        <is>
          <t>Darja Vidmanova</t>
        </is>
      </c>
      <c r="AS103" s="24" t="inlineStr">
        <is>
          <t>Kristina Liutova</t>
        </is>
      </c>
      <c r="AT103" s="24" t="inlineStr">
        <is>
          <t>Kristina Liutova</t>
        </is>
      </c>
      <c r="AU103" s="24" t="inlineStr">
        <is>
          <t>Kristina Liutova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2026-08-02T16:47:46.960029Z</t>
        </is>
      </c>
      <c r="BI103" s="24" t="inlineStr">
        <is>
          <t>["same_event","same_team_same_day","same_league_same_day"]</t>
        </is>
      </c>
      <c r="BJ103" s="25" t="n"/>
      <c r="BK103" s="26" t="n">
        <v>104</v>
      </c>
      <c r="BL103" s="27" t="n">
        <v>2.04</v>
      </c>
      <c r="BM103" s="28" t="n">
        <v>0.490196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inlineStr">
        <is>
          <t>True</t>
        </is>
      </c>
    </row>
    <row r="104" ht="36" customHeight="1">
      <c r="A104" s="24" t="inlineStr">
        <is>
          <t>f422054a8d494ec4</t>
        </is>
      </c>
      <c r="B104" s="24" t="inlineStr">
        <is>
          <t>2026-08-02T16:51:36.214335Z</t>
        </is>
      </c>
      <c r="C104" s="24" t="inlineStr">
        <is>
          <t>2026-08-02T18:00Z</t>
        </is>
      </c>
      <c r="D104" s="24" t="inlineStr">
        <is>
          <t>421-2026:182257</t>
        </is>
      </c>
      <c r="E104" s="24" t="inlineStr">
        <is>
          <t>TENNIS</t>
        </is>
      </c>
      <c r="F104" s="24" t="inlineStr">
        <is>
          <t>Antonia Ruzic</t>
        </is>
      </c>
      <c r="G104" s="24" t="inlineStr">
        <is>
          <t>Lois Boisson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-104</v>
      </c>
      <c r="M104" s="27" t="n">
        <v>1.961538</v>
      </c>
      <c r="N104" s="28" t="n">
        <v>0.509804</v>
      </c>
      <c r="O104" s="28" t="n">
        <v>0.549832</v>
      </c>
      <c r="P104" s="28" t="n">
        <v>0.05</v>
      </c>
      <c r="Q104" s="28" t="n">
        <v>0.040028</v>
      </c>
      <c r="R104" s="26" t="n">
        <v>40</v>
      </c>
      <c r="S104" s="29" t="n">
        <v>1</v>
      </c>
      <c r="T104" s="24" t="inlineStr">
        <is>
          <t>tennis-surface-elo-v1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Surface-blended Elo on Hard: Antonia Ruzic p=0.550 vs Lois Boisson. Executable ask 0.5100 (aec-wta-loiboi-antruz-2026-08-02).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Antonia Ruzic</t>
        </is>
      </c>
      <c r="AQ104" s="24" t="inlineStr">
        <is>
          <t>Antonia Ruzic</t>
        </is>
      </c>
      <c r="AR104" s="24" t="inlineStr">
        <is>
          <t>Antonia Ruzic</t>
        </is>
      </c>
      <c r="AS104" s="24" t="inlineStr">
        <is>
          <t>Lois Boisson</t>
        </is>
      </c>
      <c r="AT104" s="24" t="inlineStr">
        <is>
          <t>Lois Boisson</t>
        </is>
      </c>
      <c r="AU104" s="24" t="inlineStr">
        <is>
          <t>Lois Boisson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2026-08-02T16:47:51.852853Z</t>
        </is>
      </c>
      <c r="BI104" s="24" t="inlineStr">
        <is>
          <t>["same_event","same_team_same_day","same_league_same_day"]</t>
        </is>
      </c>
      <c r="BJ104" s="25" t="n"/>
      <c r="BK104" s="26" t="n">
        <v>-104</v>
      </c>
      <c r="BL104" s="27" t="n">
        <v>1.961538</v>
      </c>
      <c r="BM104" s="28" t="n">
        <v>0.509804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inlineStr">
        <is>
          <t>True</t>
        </is>
      </c>
    </row>
    <row r="105" ht="36" customHeight="1">
      <c r="A105" s="24" t="inlineStr">
        <is>
          <t>a9d164aa04424e7c</t>
        </is>
      </c>
      <c r="B105" s="24" t="inlineStr">
        <is>
          <t>2026-08-02T16:51:36.214335Z</t>
        </is>
      </c>
      <c r="C105" s="24" t="inlineStr">
        <is>
          <t>2026-08-02T18:00Z</t>
        </is>
      </c>
      <c r="D105" s="24" t="inlineStr">
        <is>
          <t>421-2026:182268</t>
        </is>
      </c>
      <c r="E105" s="24" t="inlineStr">
        <is>
          <t>TENNIS</t>
        </is>
      </c>
      <c r="F105" s="24" t="inlineStr">
        <is>
          <t>Katherine Sebov</t>
        </is>
      </c>
      <c r="G105" s="24" t="inlineStr">
        <is>
          <t>Aoi Ito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0.52927</v>
      </c>
      <c r="P105" s="28" t="n">
        <v>0.05</v>
      </c>
      <c r="Q105" s="28" t="n">
        <v>-0.07073</v>
      </c>
      <c r="R105" s="26" t="n">
        <v>0</v>
      </c>
      <c r="S105" s="29" t="n">
        <v>1</v>
      </c>
      <c r="T105" s="24" t="inlineStr">
        <is>
          <t>tennis-surface-elo-v1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Surface-blended Elo on Hard: Katherine Sebov p=0.471 vs Aoi Ito. Executable ask 0.6000 (aec-wta-aoiito-katseb-2026-08-02).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Katherine Sebov</t>
        </is>
      </c>
      <c r="AQ105" s="24" t="inlineStr">
        <is>
          <t>Katherine Sebov</t>
        </is>
      </c>
      <c r="AR105" s="24" t="inlineStr">
        <is>
          <t>Katherine Sebov</t>
        </is>
      </c>
      <c r="AS105" s="24" t="inlineStr">
        <is>
          <t>Aoi Ito</t>
        </is>
      </c>
      <c r="AT105" s="24" t="inlineStr">
        <is>
          <t>Aoi Ito</t>
        </is>
      </c>
      <c r="AU105" s="24" t="inlineStr">
        <is>
          <t>Aoi Ito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2026-08-02T16:47:48.148287Z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inlineStr">
        <is>
          <t>False</t>
        </is>
      </c>
    </row>
    <row r="106" ht="36" customHeight="1">
      <c r="A106" s="24" t="inlineStr">
        <is>
          <t>ee2dbd8025fa4b57</t>
        </is>
      </c>
      <c r="B106" s="24" t="inlineStr">
        <is>
          <t>2026-08-02T16:51:36.214335Z</t>
        </is>
      </c>
      <c r="C106" s="24" t="inlineStr">
        <is>
          <t>2026-08-02T20:00Z</t>
        </is>
      </c>
      <c r="D106" s="24" t="inlineStr">
        <is>
          <t>421-2026:182273</t>
        </is>
      </c>
      <c r="E106" s="24" t="inlineStr">
        <is>
          <t>TENNIS</t>
        </is>
      </c>
      <c r="F106" s="24" t="inlineStr">
        <is>
          <t>Lanlana Tararudee</t>
        </is>
      </c>
      <c r="G106" s="24" t="inlineStr">
        <is>
          <t>Emerson Jones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-186</v>
      </c>
      <c r="M106" s="27" t="n">
        <v>1.537634</v>
      </c>
      <c r="N106" s="28" t="n">
        <v>0.65035</v>
      </c>
      <c r="O106" s="28" t="n">
        <v>0.756798</v>
      </c>
      <c r="P106" s="28" t="n">
        <v>0.05</v>
      </c>
      <c r="Q106" s="28" t="n">
        <v>0.106448</v>
      </c>
      <c r="R106" s="26" t="n">
        <v>73</v>
      </c>
      <c r="S106" s="29" t="n">
        <v>2</v>
      </c>
      <c r="T106" s="24" t="inlineStr">
        <is>
          <t>tennis-surface-elo-v1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Surface-blended Elo on Hard: Lanlana Tararudee p=0.757 vs Emerson Jones. Executable ask 0.6500 (aec-wta-emejon-lantar-2026-08-02).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Lanlana Tararudee</t>
        </is>
      </c>
      <c r="AQ106" s="24" t="inlineStr">
        <is>
          <t>Lanlana Tararudee</t>
        </is>
      </c>
      <c r="AR106" s="24" t="inlineStr">
        <is>
          <t>Lanlana Tararudee</t>
        </is>
      </c>
      <c r="AS106" s="24" t="inlineStr">
        <is>
          <t>Emerson Jones</t>
        </is>
      </c>
      <c r="AT106" s="24" t="inlineStr">
        <is>
          <t>Emerson Jones</t>
        </is>
      </c>
      <c r="AU106" s="24" t="inlineStr">
        <is>
          <t>Emerson Jones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2026-08-02T16:47:57.265599Z</t>
        </is>
      </c>
      <c r="BI106" s="24" t="inlineStr">
        <is>
          <t>["same_event","same_team_same_day","same_league_same_day"]</t>
        </is>
      </c>
      <c r="BJ106" s="25" t="n"/>
      <c r="BK106" s="26" t="n">
        <v>-186</v>
      </c>
      <c r="BL106" s="27" t="n">
        <v>1.537634</v>
      </c>
      <c r="BM106" s="28" t="n">
        <v>0.65035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inlineStr">
        <is>
          <t>True</t>
        </is>
      </c>
    </row>
    <row r="107" ht="36" customHeight="1">
      <c r="A107" s="24" t="inlineStr">
        <is>
          <t>b40625d0c8854689</t>
        </is>
      </c>
      <c r="B107" s="24" t="inlineStr">
        <is>
          <t>2026-08-02T16:51:36.214335Z</t>
        </is>
      </c>
      <c r="C107" s="24" t="inlineStr">
        <is>
          <t>2026-08-02T21:00Z</t>
        </is>
      </c>
      <c r="D107" s="24" t="inlineStr">
        <is>
          <t>421-2026:182240</t>
        </is>
      </c>
      <c r="E107" s="24" t="inlineStr">
        <is>
          <t>TENNIS</t>
        </is>
      </c>
      <c r="F107" s="24" t="inlineStr">
        <is>
          <t>Cadence Brace</t>
        </is>
      </c>
      <c r="G107" s="24" t="inlineStr">
        <is>
          <t>McCartney Kessler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-614</v>
      </c>
      <c r="M107" s="27" t="n">
        <v>1.162866</v>
      </c>
      <c r="N107" s="28" t="n">
        <v>0.859944</v>
      </c>
      <c r="O107" s="28" t="n">
        <v>0.7637620000000001</v>
      </c>
      <c r="P107" s="28" t="n">
        <v>0.05</v>
      </c>
      <c r="Q107" s="28" t="n">
        <v>-0.096182</v>
      </c>
      <c r="R107" s="26" t="n">
        <v>0</v>
      </c>
      <c r="S107" s="29" t="n">
        <v>2</v>
      </c>
      <c r="T107" s="24" t="inlineStr">
        <is>
          <t>tennis-surface-elo-v1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Surface-blended Elo on Hard: Cadence Brace p=0.236 vs McCartney Kessler. Executable ask 0.8600 (aec-wta-mcckes-cadbra-2026-08-02).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Cadence Brace</t>
        </is>
      </c>
      <c r="AQ107" s="24" t="inlineStr">
        <is>
          <t>Cadence Brace</t>
        </is>
      </c>
      <c r="AR107" s="24" t="inlineStr">
        <is>
          <t>Cadence Brace</t>
        </is>
      </c>
      <c r="AS107" s="24" t="inlineStr">
        <is>
          <t>McCartney Kessler</t>
        </is>
      </c>
      <c r="AT107" s="24" t="inlineStr">
        <is>
          <t>McCartney Kessler</t>
        </is>
      </c>
      <c r="AU107" s="24" t="inlineStr">
        <is>
          <t>McCartney Kessler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2026-08-02T16:47:57.823493Z</t>
        </is>
      </c>
      <c r="BI107" s="24" t="inlineStr">
        <is>
          <t>["same_event","same_team_same_day","same_league_same_day"]</t>
        </is>
      </c>
      <c r="BJ107" s="25" t="n"/>
      <c r="BK107" s="26" t="n">
        <v>-614</v>
      </c>
      <c r="BL107" s="27" t="n">
        <v>1.162866</v>
      </c>
      <c r="BM107" s="28" t="n">
        <v>0.859944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inlineStr">
        <is>
          <t>False</t>
        </is>
      </c>
    </row>
    <row r="108" ht="36" customHeight="1">
      <c r="A108" s="24" t="inlineStr">
        <is>
          <t>59a7e978717c4bfa</t>
        </is>
      </c>
      <c r="B108" s="24" t="inlineStr">
        <is>
          <t>2026-08-02T16:51:36.214335Z</t>
        </is>
      </c>
      <c r="C108" s="24" t="inlineStr">
        <is>
          <t>2026-08-02T21:30Z</t>
        </is>
      </c>
      <c r="D108" s="24" t="inlineStr">
        <is>
          <t>421-2026:182283</t>
        </is>
      </c>
      <c r="E108" s="24" t="inlineStr">
        <is>
          <t>TENNIS</t>
        </is>
      </c>
      <c r="F108" s="24" t="inlineStr">
        <is>
          <t>Elisabetta Cocciaretto</t>
        </is>
      </c>
      <c r="G108" s="24" t="inlineStr">
        <is>
          <t>Talia Gibson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0.578226</v>
      </c>
      <c r="P108" s="28" t="n">
        <v>0.05</v>
      </c>
      <c r="Q108" s="28" t="n">
        <v>-0.011938</v>
      </c>
      <c r="R108" s="26" t="n">
        <v>14</v>
      </c>
      <c r="S108" s="29" t="n">
        <v>1.25</v>
      </c>
      <c r="T108" s="24" t="inlineStr">
        <is>
          <t>tennis-surface-elo-v1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Surface-blended Elo on Hard: Elisabetta Cocciaretto p=0.578 vs Talia Gibson. Executable ask 0.5900 (aec-wta-talgib-elicoc-2026-08-02).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Elisabetta Cocciaretto</t>
        </is>
      </c>
      <c r="AQ108" s="24" t="inlineStr">
        <is>
          <t>Elisabetta Cocciaretto</t>
        </is>
      </c>
      <c r="AR108" s="24" t="inlineStr">
        <is>
          <t>Elisabetta Cocciaretto</t>
        </is>
      </c>
      <c r="AS108" s="24" t="inlineStr">
        <is>
          <t>Talia Gibson</t>
        </is>
      </c>
      <c r="AT108" s="24" t="inlineStr">
        <is>
          <t>Talia Gibson</t>
        </is>
      </c>
      <c r="AU108" s="24" t="inlineStr">
        <is>
          <t>Talia Gibson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2026-08-02T16:48:00.384778Z</t>
        </is>
      </c>
      <c r="BI108" s="24" t="inlineStr">
        <is>
          <t>["same_event","same_team_same_day","same_league_same_day"]</t>
        </is>
      </c>
      <c r="BJ108" s="25" t="n"/>
      <c r="BK108" s="26" t="n">
        <v>-144</v>
      </c>
      <c r="BL108" s="27" t="n">
        <v>1.694444</v>
      </c>
      <c r="BM108" s="28" t="n">
        <v>0.590164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inlineStr">
        <is>
          <t>False</t>
        </is>
      </c>
    </row>
    <row r="109" ht="36" customHeight="1">
      <c r="A109" s="24" t="inlineStr">
        <is>
          <t>b824500fc56b4ba1</t>
        </is>
      </c>
      <c r="B109" s="24" t="inlineStr">
        <is>
          <t>2026-08-02T16:51:36.214335Z</t>
        </is>
      </c>
      <c r="C109" s="24" t="inlineStr">
        <is>
          <t>2026-08-02T23:00Z</t>
        </is>
      </c>
      <c r="D109" s="24" t="inlineStr">
        <is>
          <t>421-2026:182274</t>
        </is>
      </c>
      <c r="E109" s="24" t="inlineStr">
        <is>
          <t>TENNIS</t>
        </is>
      </c>
      <c r="F109" s="24" t="inlineStr">
        <is>
          <t>Bianca Andreescu</t>
        </is>
      </c>
      <c r="G109" s="24" t="inlineStr">
        <is>
          <t>Nikola Bartunkova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-150</v>
      </c>
      <c r="M109" s="27" t="n">
        <v>1.666667</v>
      </c>
      <c r="N109" s="28" t="n">
        <v>0.6</v>
      </c>
      <c r="O109" s="28" t="n">
        <v>0.617346</v>
      </c>
      <c r="P109" s="28" t="n">
        <v>0.05</v>
      </c>
      <c r="Q109" s="28" t="n">
        <v>0.017346</v>
      </c>
      <c r="R109" s="26" t="n">
        <v>29</v>
      </c>
      <c r="S109" s="29" t="n">
        <v>1.5</v>
      </c>
      <c r="T109" s="24" t="inlineStr">
        <is>
          <t>tennis-surface-elo-v1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Surface-blended Elo on Hard: Bianca Andreescu p=0.383 vs Nikola Bartunkova. Executable ask 0.6000 (aec-wta-nikbar-biaand-2026-08-02).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NO_CALL_LOW_EDGE</t>
        </is>
      </c>
      <c r="AP109" s="24" t="inlineStr">
        <is>
          <t>Bianca Andreescu</t>
        </is>
      </c>
      <c r="AQ109" s="24" t="inlineStr">
        <is>
          <t>Bianca Andreescu</t>
        </is>
      </c>
      <c r="AR109" s="24" t="inlineStr">
        <is>
          <t>Bianca Andreescu</t>
        </is>
      </c>
      <c r="AS109" s="24" t="inlineStr">
        <is>
          <t>Nikola Bartunkova</t>
        </is>
      </c>
      <c r="AT109" s="24" t="inlineStr">
        <is>
          <t>Nikola Bartunkova</t>
        </is>
      </c>
      <c r="AU109" s="24" t="inlineStr">
        <is>
          <t>Nikola Bartunkova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2026-08-02T16:48:00.569912Z</t>
        </is>
      </c>
      <c r="BI109" s="24" t="inlineStr">
        <is>
          <t>["same_event","same_team_same_day","same_league_same_day"]</t>
        </is>
      </c>
      <c r="BJ109" s="25" t="n"/>
      <c r="BK109" s="26" t="n">
        <v>-150</v>
      </c>
      <c r="BL109" s="27" t="n">
        <v>1.666667</v>
      </c>
      <c r="BM109" s="28" t="n">
        <v>0.6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inlineStr">
        <is>
          <t>True</t>
        </is>
      </c>
    </row>
    <row r="110" ht="36" customHeight="1">
      <c r="A110" s="24" t="inlineStr">
        <is>
          <t>d1e9bf80e02a44ee</t>
        </is>
      </c>
      <c r="B110" s="24" t="inlineStr">
        <is>
          <t>2026-08-02T16:51:36.214335Z</t>
        </is>
      </c>
      <c r="C110" s="24" t="inlineStr">
        <is>
          <t>2026-08-03T00:30Z</t>
        </is>
      </c>
      <c r="D110" s="24" t="inlineStr">
        <is>
          <t>421-2026:182281</t>
        </is>
      </c>
      <c r="E110" s="24" t="inlineStr">
        <is>
          <t>TENNIS</t>
        </is>
      </c>
      <c r="F110" s="24" t="inlineStr">
        <is>
          <t>Zhang Shuai</t>
        </is>
      </c>
      <c r="G110" s="24" t="inlineStr">
        <is>
          <t>Yulia Putintseva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-194</v>
      </c>
      <c r="M110" s="27" t="n">
        <v>1.515464</v>
      </c>
      <c r="N110" s="28" t="n">
        <v>0.659864</v>
      </c>
      <c r="O110" s="28" t="n">
        <v>0.630736</v>
      </c>
      <c r="P110" s="28" t="n">
        <v>0.05</v>
      </c>
      <c r="Q110" s="28" t="n">
        <v>-0.029128</v>
      </c>
      <c r="R110" s="26" t="n">
        <v>5</v>
      </c>
      <c r="S110" s="29" t="n">
        <v>1.5</v>
      </c>
      <c r="T110" s="24" t="inlineStr">
        <is>
          <t>tennis-surface-elo-v1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Surface-blended Elo on Hard: Zhang Shuai p=0.369 vs Yulia Putintseva. Executable ask 0.6600 (aec-wta-yulput-shuzha-2026-08-02).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NO_CALL_LOW_EDGE</t>
        </is>
      </c>
      <c r="AP110" s="24" t="inlineStr">
        <is>
          <t>Zhang Shuai</t>
        </is>
      </c>
      <c r="AQ110" s="24" t="inlineStr">
        <is>
          <t>Zhang Shuai</t>
        </is>
      </c>
      <c r="AR110" s="24" t="inlineStr">
        <is>
          <t>Zhang Shuai</t>
        </is>
      </c>
      <c r="AS110" s="24" t="inlineStr">
        <is>
          <t>Yulia Putintseva</t>
        </is>
      </c>
      <c r="AT110" s="24" t="inlineStr">
        <is>
          <t>Yulia Putintseva</t>
        </is>
      </c>
      <c r="AU110" s="24" t="inlineStr">
        <is>
          <t>Yulia Putintseva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2026-08-02T16:48:00.878431Z</t>
        </is>
      </c>
      <c r="BI110" s="24" t="inlineStr">
        <is>
          <t>["same_event","same_team_same_day","same_league_same_day"]</t>
        </is>
      </c>
      <c r="BJ110" s="25" t="n"/>
      <c r="BK110" s="26" t="n">
        <v>-194</v>
      </c>
      <c r="BL110" s="27" t="n">
        <v>1.515464</v>
      </c>
      <c r="BM110" s="28" t="n">
        <v>0.659864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inlineStr">
        <is>
          <t>False</t>
        </is>
      </c>
    </row>
    <row r="111" ht="36" customHeight="1">
      <c r="A111" s="24" t="inlineStr">
        <is>
          <t>9fcddb0134fb40d4</t>
        </is>
      </c>
      <c r="B111" s="24" t="inlineStr">
        <is>
          <t>2026-08-02T16:51:36.214335Z</t>
        </is>
      </c>
      <c r="C111" s="24" t="inlineStr">
        <is>
          <t>2026-08-02T18:30Z</t>
        </is>
      </c>
      <c r="D111" s="24" t="inlineStr">
        <is>
          <t>888-2026:178979</t>
        </is>
      </c>
      <c r="E111" s="24" t="inlineStr">
        <is>
          <t>TENNIS</t>
        </is>
      </c>
      <c r="F111" s="24" t="inlineStr">
        <is>
          <t>Rafael Jodar</t>
        </is>
      </c>
      <c r="G111" s="24" t="inlineStr">
        <is>
          <t>Taylor Fritz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-144</v>
      </c>
      <c r="M111" s="27" t="n">
        <v>1.694444</v>
      </c>
      <c r="N111" s="28" t="n">
        <v>0.590164</v>
      </c>
      <c r="O111" s="28" t="n">
        <v>0.592585</v>
      </c>
      <c r="P111" s="28" t="n">
        <v>0.05</v>
      </c>
      <c r="Q111" s="28" t="n">
        <v>0.002421</v>
      </c>
      <c r="R111" s="26" t="n">
        <v>21</v>
      </c>
      <c r="S111" s="29" t="n">
        <v>1.25</v>
      </c>
      <c r="T111" s="24" t="inlineStr">
        <is>
          <t>tennis-surface-elo-v1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Surface-blended Elo on Hard: Rafael Jodar p=0.407 vs Taylor Fritz. Executable ask 0.5900 (aec-atp-tayfri-rafjod-2026-08-02).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Rafael Jodar</t>
        </is>
      </c>
      <c r="AQ111" s="24" t="inlineStr">
        <is>
          <t>Rafael Jodar</t>
        </is>
      </c>
      <c r="AR111" s="24" t="inlineStr">
        <is>
          <t>Rafael Jodar</t>
        </is>
      </c>
      <c r="AS111" s="24" t="inlineStr">
        <is>
          <t>Taylor Fritz</t>
        </is>
      </c>
      <c r="AT111" s="24" t="inlineStr">
        <is>
          <t>Taylor Fritz</t>
        </is>
      </c>
      <c r="AU111" s="24" t="inlineStr">
        <is>
          <t>Taylor Fritz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2026-08-02T16:48:13.867147Z</t>
        </is>
      </c>
      <c r="BI111" s="24" t="inlineStr">
        <is>
          <t>["same_event","same_team_same_day","same_league_same_day"]</t>
        </is>
      </c>
      <c r="BJ111" s="25" t="n"/>
      <c r="BK111" s="26" t="n">
        <v>-144</v>
      </c>
      <c r="BL111" s="27" t="n">
        <v>1.694444</v>
      </c>
      <c r="BM111" s="28" t="n">
        <v>0.590164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inlineStr">
        <is>
          <t>True</t>
        </is>
      </c>
    </row>
    <row r="112" ht="36" customHeight="1">
      <c r="A112" s="24" t="inlineStr">
        <is>
          <t>00d2ef13176e466d</t>
        </is>
      </c>
      <c r="B112" s="24" t="inlineStr">
        <is>
          <t>2026-08-02T16:51:36.214335Z</t>
        </is>
      </c>
      <c r="C112" s="24" t="inlineStr">
        <is>
          <t>2026-08-02T18:00Z</t>
        </is>
      </c>
      <c r="D112" s="24" t="inlineStr">
        <is>
          <t>421-2026:181785</t>
        </is>
      </c>
      <c r="E112" s="24" t="inlineStr">
        <is>
          <t>TENNIS</t>
        </is>
      </c>
      <c r="F112" s="24" t="inlineStr">
        <is>
          <t>Titouan Droguet</t>
        </is>
      </c>
      <c r="G112" s="24" t="inlineStr">
        <is>
          <t>Luca Van Assche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104</v>
      </c>
      <c r="M112" s="27" t="n">
        <v>2.04</v>
      </c>
      <c r="N112" s="28" t="n">
        <v>0.490196</v>
      </c>
      <c r="O112" s="28" t="n">
        <v>0.561017</v>
      </c>
      <c r="P112" s="28" t="n">
        <v>0.05</v>
      </c>
      <c r="Q112" s="28" t="n">
        <v>0.070821</v>
      </c>
      <c r="R112" s="26" t="n">
        <v>55</v>
      </c>
      <c r="S112" s="29" t="n">
        <v>1</v>
      </c>
      <c r="T112" s="24" t="inlineStr">
        <is>
          <t>tennis-surface-elo-v1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Surface-blended Elo on Hard: Titouan Droguet p=0.561 vs Luca Van Assche. Executable ask 0.4900 (aec-atp-lucass-titdro-2026-08-02).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Titouan Droguet</t>
        </is>
      </c>
      <c r="AQ112" s="24" t="inlineStr">
        <is>
          <t>Titouan Droguet</t>
        </is>
      </c>
      <c r="AR112" s="24" t="inlineStr">
        <is>
          <t>Titouan Droguet</t>
        </is>
      </c>
      <c r="AS112" s="24" t="inlineStr">
        <is>
          <t>Luca Van Assche</t>
        </is>
      </c>
      <c r="AT112" s="24" t="inlineStr">
        <is>
          <t>Luca Van Assche</t>
        </is>
      </c>
      <c r="AU112" s="24" t="inlineStr">
        <is>
          <t>Luca Van Assche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2026-08-02T16:48:12.259620Z</t>
        </is>
      </c>
      <c r="BI112" s="24" t="inlineStr">
        <is>
          <t>["same_event","same_team_same_day","same_league_same_day"]</t>
        </is>
      </c>
      <c r="BJ112" s="25" t="n"/>
      <c r="BK112" s="26" t="n">
        <v>104</v>
      </c>
      <c r="BL112" s="27" t="n">
        <v>2.04</v>
      </c>
      <c r="BM112" s="28" t="n">
        <v>0.490196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inlineStr">
        <is>
          <t>True</t>
        </is>
      </c>
    </row>
    <row r="113" ht="36" customHeight="1">
      <c r="A113" s="24" t="inlineStr">
        <is>
          <t>f7536fc22bd84e98</t>
        </is>
      </c>
      <c r="B113" s="24" t="inlineStr">
        <is>
          <t>2026-08-02T16:51:36.214335Z</t>
        </is>
      </c>
      <c r="C113" s="24" t="inlineStr">
        <is>
          <t>2026-08-02T18:00Z</t>
        </is>
      </c>
      <c r="D113" s="24" t="inlineStr">
        <is>
          <t>421-2026:181836</t>
        </is>
      </c>
      <c r="E113" s="24" t="inlineStr">
        <is>
          <t>TENNIS</t>
        </is>
      </c>
      <c r="F113" s="24" t="inlineStr">
        <is>
          <t>Corentin Moutet</t>
        </is>
      </c>
      <c r="G113" s="24" t="inlineStr">
        <is>
          <t>Marton Fucsovics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104</v>
      </c>
      <c r="M113" s="27" t="n">
        <v>2.04</v>
      </c>
      <c r="N113" s="28" t="n">
        <v>0.490196</v>
      </c>
      <c r="O113" s="28" t="n">
        <v>0.567487</v>
      </c>
      <c r="P113" s="28" t="n">
        <v>0.05</v>
      </c>
      <c r="Q113" s="28" t="n">
        <v>0.077291</v>
      </c>
      <c r="R113" s="26" t="n">
        <v>59</v>
      </c>
      <c r="S113" s="29" t="n">
        <v>1</v>
      </c>
      <c r="T113" s="24" t="inlineStr">
        <is>
          <t>tennis-surface-elo-v1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Surface-blended Elo on Hard: Corentin Moutet p=0.433 vs Marton Fucsovics. Executable ask 0.4900 (aec-atp-marfuc-cormou-2026-08-03).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Corentin Moutet</t>
        </is>
      </c>
      <c r="AQ113" s="24" t="inlineStr">
        <is>
          <t>Corentin Moutet</t>
        </is>
      </c>
      <c r="AR113" s="24" t="inlineStr">
        <is>
          <t>Corentin Moutet</t>
        </is>
      </c>
      <c r="AS113" s="24" t="inlineStr">
        <is>
          <t>Marton Fucsovics</t>
        </is>
      </c>
      <c r="AT113" s="24" t="inlineStr">
        <is>
          <t>Marton Fucsovics</t>
        </is>
      </c>
      <c r="AU113" s="24" t="inlineStr">
        <is>
          <t>Marton Fucsovics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2026-08-02T16:48:10.755068Z</t>
        </is>
      </c>
      <c r="BI113" s="24" t="inlineStr">
        <is>
          <t>["same_event","same_team_same_day","same_league_same_day"]</t>
        </is>
      </c>
      <c r="BJ113" s="25" t="n"/>
      <c r="BK113" s="26" t="n">
        <v>104</v>
      </c>
      <c r="BL113" s="27" t="n">
        <v>2.04</v>
      </c>
      <c r="BM113" s="28" t="n">
        <v>0.490196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inlineStr">
        <is>
          <t>True</t>
        </is>
      </c>
    </row>
    <row r="114" ht="36" customHeight="1">
      <c r="A114" s="24" t="inlineStr">
        <is>
          <t>c3922612492b4870</t>
        </is>
      </c>
      <c r="B114" s="24" t="inlineStr">
        <is>
          <t>2026-08-02T16:51:36.214335Z</t>
        </is>
      </c>
      <c r="C114" s="24" t="inlineStr">
        <is>
          <t>2026-08-02T22:00Z</t>
        </is>
      </c>
      <c r="D114" s="24" t="inlineStr">
        <is>
          <t>421-2026:181781</t>
        </is>
      </c>
      <c r="E114" s="24" t="inlineStr">
        <is>
          <t>TENNIS</t>
        </is>
      </c>
      <c r="F114" s="24" t="inlineStr">
        <is>
          <t>Marin Cilic</t>
        </is>
      </c>
      <c r="G114" s="24" t="inlineStr">
        <is>
          <t>Sho Shimabukuro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-133</v>
      </c>
      <c r="M114" s="27" t="n">
        <v>1.75188</v>
      </c>
      <c r="N114" s="28" t="n">
        <v>0.570815</v>
      </c>
      <c r="O114" s="28" t="n">
        <v>0.529427</v>
      </c>
      <c r="P114" s="28" t="n">
        <v>0.05</v>
      </c>
      <c r="Q114" s="28" t="n">
        <v>-0.041388</v>
      </c>
      <c r="R114" s="26" t="n">
        <v>0</v>
      </c>
      <c r="S114" s="29" t="n">
        <v>1</v>
      </c>
      <c r="T114" s="24" t="inlineStr">
        <is>
          <t>tennis-surface-elo-v1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Surface-blended Elo on Hard: Marin Cilic p=0.529 vs Sho Shimabukuro. Executable ask 0.5700 (aec-atp-shoshi-marcil-2026-08-02).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Marin Cilic</t>
        </is>
      </c>
      <c r="AQ114" s="24" t="inlineStr">
        <is>
          <t>Marin Cilic</t>
        </is>
      </c>
      <c r="AR114" s="24" t="inlineStr">
        <is>
          <t>Marin Cilic</t>
        </is>
      </c>
      <c r="AS114" s="24" t="inlineStr">
        <is>
          <t>Sho Shimabukuro</t>
        </is>
      </c>
      <c r="AT114" s="24" t="inlineStr">
        <is>
          <t>Sho Shimabukuro</t>
        </is>
      </c>
      <c r="AU114" s="24" t="inlineStr">
        <is>
          <t>Sho Shimabukuro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2026-08-02T16:48:16.186106Z</t>
        </is>
      </c>
      <c r="BI114" s="24" t="inlineStr">
        <is>
          <t>["same_event","same_team_same_day","same_league_same_day"]</t>
        </is>
      </c>
      <c r="BJ114" s="25" t="n"/>
      <c r="BK114" s="26" t="n">
        <v>-133</v>
      </c>
      <c r="BL114" s="27" t="n">
        <v>1.75188</v>
      </c>
      <c r="BM114" s="28" t="n">
        <v>0.570815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inlineStr">
        <is>
          <t>False</t>
        </is>
      </c>
    </row>
    <row r="115" ht="36" customHeight="1">
      <c r="A115" s="24" t="inlineStr">
        <is>
          <t>b31b8f26e50748ca</t>
        </is>
      </c>
      <c r="B115" s="24" t="inlineStr">
        <is>
          <t>2026-08-02T16:51:36.214335Z</t>
        </is>
      </c>
      <c r="C115" s="24" t="inlineStr">
        <is>
          <t>2026-08-02T23:00Z</t>
        </is>
      </c>
      <c r="D115" s="24" t="inlineStr">
        <is>
          <t>421-2026:181801</t>
        </is>
      </c>
      <c r="E115" s="24" t="inlineStr">
        <is>
          <t>TENNIS</t>
        </is>
      </c>
      <c r="F115" s="24" t="inlineStr">
        <is>
          <t>Kyrian Jacquet</t>
        </is>
      </c>
      <c r="G115" s="24" t="inlineStr">
        <is>
          <t>Gabriel Diallo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0.5845590000000001</v>
      </c>
      <c r="P115" s="28" t="n">
        <v>0.05</v>
      </c>
      <c r="Q115" s="28" t="n">
        <v>0.045388</v>
      </c>
      <c r="R115" s="26" t="n">
        <v>43</v>
      </c>
      <c r="S115" s="29" t="n">
        <v>1.25</v>
      </c>
      <c r="T115" s="24" t="inlineStr">
        <is>
          <t>tennis-surface-elo-v1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Surface-blended Elo on Hard: Kyrian Jacquet p=0.415 vs Gabriel Diallo. Executable ask 0.5400 (aec-atp-gabdia-kyrjac-2026-08-02).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Kyrian Jacquet</t>
        </is>
      </c>
      <c r="AQ115" s="24" t="inlineStr">
        <is>
          <t>Kyrian Jacquet</t>
        </is>
      </c>
      <c r="AR115" s="24" t="inlineStr">
        <is>
          <t>Kyrian Jacquet</t>
        </is>
      </c>
      <c r="AS115" s="24" t="inlineStr">
        <is>
          <t>Gabriel Diallo</t>
        </is>
      </c>
      <c r="AT115" s="24" t="inlineStr">
        <is>
          <t>Gabriel Diallo</t>
        </is>
      </c>
      <c r="AU115" s="24" t="inlineStr">
        <is>
          <t>Gabriel Diallo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2026-08-02T16:48:17.140267Z</t>
        </is>
      </c>
      <c r="BI115" s="24" t="inlineStr">
        <is>
          <t>["same_event","same_team_same_day","same_league_same_day"]</t>
        </is>
      </c>
      <c r="BJ115" s="25" t="n"/>
      <c r="BK115" s="26" t="n">
        <v>-117</v>
      </c>
      <c r="BL115" s="27" t="n">
        <v>1.854701</v>
      </c>
      <c r="BM115" s="28" t="n">
        <v>0.539171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inlineStr">
        <is>
          <t>True</t>
        </is>
      </c>
    </row>
    <row r="116" ht="36" customHeight="1">
      <c r="A116" s="24" t="inlineStr">
        <is>
          <t>e83b19278e0a4a7b</t>
        </is>
      </c>
      <c r="B116" s="24" t="inlineStr">
        <is>
          <t>2026-08-02T16:51:36.214335Z</t>
        </is>
      </c>
      <c r="C116" s="24" t="inlineStr">
        <is>
          <t>2026-08-02T23:30Z</t>
        </is>
      </c>
      <c r="D116" s="24" t="inlineStr">
        <is>
          <t>421-2026:181798</t>
        </is>
      </c>
      <c r="E116" s="24" t="inlineStr">
        <is>
          <t>TENNIS</t>
        </is>
      </c>
      <c r="F116" s="24" t="inlineStr">
        <is>
          <t>Yannick Hanfmann</t>
        </is>
      </c>
      <c r="G116" s="24" t="inlineStr">
        <is>
          <t>Benjamin Bonzi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-113</v>
      </c>
      <c r="M116" s="27" t="n">
        <v>1.884956</v>
      </c>
      <c r="N116" s="28" t="n">
        <v>0.530516</v>
      </c>
      <c r="O116" s="28" t="n">
        <v>0.552246</v>
      </c>
      <c r="P116" s="28" t="n">
        <v>0.05</v>
      </c>
      <c r="Q116" s="28" t="n">
        <v>0.02173</v>
      </c>
      <c r="R116" s="26" t="n">
        <v>31</v>
      </c>
      <c r="S116" s="29" t="n">
        <v>1</v>
      </c>
      <c r="T116" s="24" t="inlineStr">
        <is>
          <t>tennis-surface-elo-v1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Surface-blended Elo on Hard: Yannick Hanfmann p=0.552 vs Benjamin Bonzi. Executable ask 0.5300 (aec-atp-benbon-yanhan-2026-08-02).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Yannick Hanfmann</t>
        </is>
      </c>
      <c r="AQ116" s="24" t="inlineStr">
        <is>
          <t>Yannick Hanfmann</t>
        </is>
      </c>
      <c r="AR116" s="24" t="inlineStr">
        <is>
          <t>Yannick Hanfmann</t>
        </is>
      </c>
      <c r="AS116" s="24" t="inlineStr">
        <is>
          <t>Benjamin Bonzi</t>
        </is>
      </c>
      <c r="AT116" s="24" t="inlineStr">
        <is>
          <t>Benjamin Bonzi</t>
        </is>
      </c>
      <c r="AU116" s="24" t="inlineStr">
        <is>
          <t>Benjamin Bonzi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2026-08-02T16:48:19.678581Z</t>
        </is>
      </c>
      <c r="BI116" s="24" t="inlineStr">
        <is>
          <t>["same_event","same_team_same_day","same_league_same_day"]</t>
        </is>
      </c>
      <c r="BJ116" s="25" t="n"/>
      <c r="BK116" s="26" t="n">
        <v>-113</v>
      </c>
      <c r="BL116" s="27" t="n">
        <v>1.884956</v>
      </c>
      <c r="BM116" s="28" t="n">
        <v>0.530516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inlineStr">
        <is>
          <t>True</t>
        </is>
      </c>
    </row>
    <row r="117" ht="36" customHeight="1">
      <c r="A117" s="24" t="inlineStr">
        <is>
          <t>aace33ecb9034207</t>
        </is>
      </c>
      <c r="B117" s="24" t="inlineStr">
        <is>
          <t>2026-08-02T16:51:36.214335Z</t>
        </is>
      </c>
      <c r="C117" s="24" t="inlineStr">
        <is>
          <t>2026-08-03T00:30Z</t>
        </is>
      </c>
      <c r="D117" s="24" t="inlineStr">
        <is>
          <t>421-2026:181839</t>
        </is>
      </c>
      <c r="E117" s="24" t="inlineStr">
        <is>
          <t>TENNIS</t>
        </is>
      </c>
      <c r="F117" s="24" t="inlineStr">
        <is>
          <t>Vit Kopriva</t>
        </is>
      </c>
      <c r="G117" s="24" t="inlineStr">
        <is>
          <t>Alexis Galarneau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104</v>
      </c>
      <c r="M117" s="27" t="n">
        <v>2.04</v>
      </c>
      <c r="N117" s="28" t="n">
        <v>0.490196</v>
      </c>
      <c r="O117" s="28" t="n">
        <v>0.57909</v>
      </c>
      <c r="P117" s="28" t="n">
        <v>0.05</v>
      </c>
      <c r="Q117" s="28" t="n">
        <v>0.088894</v>
      </c>
      <c r="R117" s="26" t="n">
        <v>64</v>
      </c>
      <c r="S117" s="29" t="n">
        <v>1.25</v>
      </c>
      <c r="T117" s="24" t="inlineStr">
        <is>
          <t>tennis-surface-elo-v1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Surface-blended Elo on Hard: Vit Kopriva p=0.579 vs Alexis Galarneau. Executable ask 0.4900 (aec-atp-alegal-vitkop-2026-08-03).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Vit Kopriva</t>
        </is>
      </c>
      <c r="AQ117" s="24" t="inlineStr">
        <is>
          <t>Vit Kopriva</t>
        </is>
      </c>
      <c r="AR117" s="24" t="inlineStr">
        <is>
          <t>Vit Kopriva</t>
        </is>
      </c>
      <c r="AS117" s="24" t="inlineStr">
        <is>
          <t>Alexis Galarneau</t>
        </is>
      </c>
      <c r="AT117" s="24" t="inlineStr">
        <is>
          <t>Alexis Galarneau</t>
        </is>
      </c>
      <c r="AU117" s="24" t="inlineStr">
        <is>
          <t>Alexis Galarneau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2026-08-02T16:48:20.160476Z</t>
        </is>
      </c>
      <c r="BI117" s="24" t="inlineStr">
        <is>
          <t>["same_event","same_team_same_day","same_league_same_day"]</t>
        </is>
      </c>
      <c r="BJ117" s="25" t="n"/>
      <c r="BK117" s="26" t="n">
        <v>104</v>
      </c>
      <c r="BL117" s="27" t="n">
        <v>2.04</v>
      </c>
      <c r="BM117" s="28" t="n">
        <v>0.490196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2026-08-02T16:51:56Z</dcterms:created>
  <dcterms:modified xsi:type="dcterms:W3CDTF">2026-08-02T16:51:56Z</dcterms:modified>
</cp:coreProperties>
</file>