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4" headerRowCount="1">
  <autoFilter ref="A1:CO1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COUNTA('Picks'!$A$2:$A$114)</f>
        <v/>
      </c>
      <c r="C4" s="6">
        <f>COUNTIF('Picks'!$U$2:$U$114,"open")</f>
        <v/>
      </c>
      <c r="E4" s="6">
        <f>COUNTIF('Picks'!$U$2:$U$114,"settled")</f>
        <v/>
      </c>
      <c r="G4" s="6">
        <f>IF(COUNTIFS('Picks'!$U$2:$U$114,"settled",'Picks'!$V$2:$V$114,"win")+COUNTIFS('Picks'!$U$2:$U$114,"settled",'Picks'!$V$2:$V$114,"loss")&gt;=$L$2,"Ready","Insufficient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COUNTIF('Picks'!$BX$2:$BX$114,"&gt;0")</f>
        <v/>
      </c>
      <c r="C7" s="6">
        <f>COUNTIFS('Picks'!$BX$2:$BX$114,"&gt;0",'Picks'!$V$2:$V$114,"win")&amp;"-"&amp;COUNTIFS('Picks'!$BX$2:$BX$114,"&gt;0",'Picks'!$V$2:$V$114,"loss")</f>
        <v/>
      </c>
      <c r="E7" s="7">
        <f>IFERROR(COUNTIFS('Picks'!$BX$2:$BX$114,"&gt;0",'Picks'!$V$2:$V$114,"win")/(COUNTIFS('Picks'!$BX$2:$BX$114,"&gt;0",'Picks'!$V$2:$V$114,"win")+COUNTIFS('Picks'!$BX$2:$BX$114,"&gt;0",'Picks'!$V$2:$V$114,"loss")),0)</f>
        <v/>
      </c>
      <c r="G7" s="7">
        <f>IFERROR(SUM('Picks'!$BY$2:$BY$114)/SUM('Picks'!$BX$2:$BX$114),0)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SUM('Picks'!$BY$2:$BY$114)</f>
        <v/>
      </c>
      <c r="C10" s="9">
        <f>IFERROR(AVERAGEIF('Picks'!$AB$2:$AB$114,"&lt;&gt;",'Picks'!$AB$2:$AB$114),0)</f>
        <v/>
      </c>
      <c r="E10" s="6">
        <f>COUNTIFS('Picks'!$AM$2:$AM$114,"QUALIFIED_SHADOW_CALL",'Picks'!$U$2:$U$114,"settled")</f>
        <v/>
      </c>
      <c r="G10" s="8">
        <f>SUMIFS('Picks'!$AC$2:$AC$114,'Picks'!$AM$2:$AM$114,"QUALIFIED_SHADOW_CALL")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COUNTIFS('Picks'!$H$2:$H$114,$A14,'Picks'!$U$2:$U$114,"settled")</f>
        <v/>
      </c>
      <c r="C14" s="13">
        <f>COUNTIFS('Picks'!$H$2:$H$114,$A14,'Picks'!$U$2:$U$114,"settled",'Picks'!$V$2:$V$114,"win")</f>
        <v/>
      </c>
      <c r="D14" s="13">
        <f>COUNTIFS('Picks'!$H$2:$H$114,$A14,'Picks'!$U$2:$U$114,"settled",'Picks'!$V$2:$V$114,"loss")</f>
        <v/>
      </c>
      <c r="E14" s="14">
        <f>IFERROR(C14/(C14+D14),0)</f>
        <v/>
      </c>
      <c r="F14" s="15">
        <f>SUMIFS('Picks'!$BY$2:$BY$114,'Picks'!$H$2:$H$114,$A14)</f>
        <v/>
      </c>
      <c r="G14" s="16">
        <f>IFERROR(AVERAGEIFS('Picks'!$AB$2:$AB$114,'Picks'!$H$2:$H$114,$A14,'Picks'!$U$2:$U$114,"settled"),0)</f>
        <v/>
      </c>
    </row>
    <row r="15">
      <c r="A15" s="17" t="inlineStr">
        <is>
          <t>spread</t>
        </is>
      </c>
      <c r="B15" s="18">
        <f>COUNTIFS('Picks'!$H$2:$H$114,$A15,'Picks'!$U$2:$U$114,"settled")</f>
        <v/>
      </c>
      <c r="C15" s="18">
        <f>COUNTIFS('Picks'!$H$2:$H$114,$A15,'Picks'!$U$2:$U$114,"settled",'Picks'!$V$2:$V$114,"win")</f>
        <v/>
      </c>
      <c r="D15" s="18">
        <f>COUNTIFS('Picks'!$H$2:$H$114,$A15,'Picks'!$U$2:$U$114,"settled",'Picks'!$V$2:$V$114,"loss")</f>
        <v/>
      </c>
      <c r="E15" s="19">
        <f>IFERROR(C15/(C15+D15),0)</f>
        <v/>
      </c>
      <c r="F15" s="20">
        <f>SUMIFS('Picks'!$BY$2:$BY$114,'Picks'!$H$2:$H$114,$A15)</f>
        <v/>
      </c>
      <c r="G15" s="21">
        <f>IFERROR(AVERAGEIFS('Picks'!$AB$2:$AB$114,'Picks'!$H$2:$H$114,$A15,'Picks'!$U$2:$U$114,"settled"),0)</f>
        <v/>
      </c>
    </row>
    <row r="16">
      <c r="A16" s="12" t="inlineStr">
        <is>
          <t>total</t>
        </is>
      </c>
      <c r="B16" s="13">
        <f>COUNTIFS('Picks'!$H$2:$H$114,$A16,'Picks'!$U$2:$U$114,"settled")</f>
        <v/>
      </c>
      <c r="C16" s="13">
        <f>COUNTIFS('Picks'!$H$2:$H$114,$A16,'Picks'!$U$2:$U$114,"settled",'Picks'!$V$2:$V$114,"win")</f>
        <v/>
      </c>
      <c r="D16" s="13">
        <f>COUNTIFS('Picks'!$H$2:$H$114,$A16,'Picks'!$U$2:$U$114,"settled",'Picks'!$V$2:$V$114,"loss")</f>
        <v/>
      </c>
      <c r="E16" s="14">
        <f>IFERROR(C16/(C16+D16),0)</f>
        <v/>
      </c>
      <c r="F16" s="15">
        <f>SUMIFS('Picks'!$BY$2:$BY$114,'Picks'!$H$2:$H$114,$A16)</f>
        <v/>
      </c>
      <c r="G16" s="16">
        <f>IFERROR(AVERAGEIFS('Picks'!$AB$2:$AB$114,'Picks'!$H$2:$H$114,$A16,'Picks'!$U$2:$U$114,"settled"),0)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c4929eec2cb843fd</t>
        </is>
      </c>
      <c r="B99" s="24" t="inlineStr">
        <is>
          <t>2026-08-02T07:14:33.942118Z</t>
        </is>
      </c>
      <c r="C99" s="24" t="inlineStr">
        <is>
          <t>2026-08-02T16:00Z</t>
        </is>
      </c>
      <c r="D99" s="24" t="inlineStr">
        <is>
          <t>888-2026:179014</t>
        </is>
      </c>
      <c r="E99" s="24" t="inlineStr">
        <is>
          <t>TENNIS</t>
        </is>
      </c>
      <c r="F99" s="24" t="inlineStr">
        <is>
          <t>Alexandra Eala</t>
        </is>
      </c>
      <c r="G99" s="24" t="inlineStr">
        <is>
          <t>Jessica Pegula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0.821797</v>
      </c>
      <c r="P99" s="28" t="n">
        <v>0.05</v>
      </c>
      <c r="Q99" s="28" t="n">
        <v>0.231633</v>
      </c>
      <c r="R99" s="26" t="n">
        <v>100</v>
      </c>
      <c r="S99" s="29" t="n">
        <v>2</v>
      </c>
      <c r="T99" s="24" t="inlineStr">
        <is>
          <t>tennis-surface-elo-v1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Surface-blended Elo on Hard: Alexandra Eala p=0.178 vs Jessica Pegula. Executable ask 0.5900 (aec-wta-jespeg-aleeal-2026-08-02).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Alexandra Eala</t>
        </is>
      </c>
      <c r="AQ99" s="24" t="inlineStr">
        <is>
          <t>Alexandra Eala</t>
        </is>
      </c>
      <c r="AR99" s="24" t="inlineStr">
        <is>
          <t>Alexandra Eala</t>
        </is>
      </c>
      <c r="AS99" s="24" t="inlineStr">
        <is>
          <t>Jessica Pegula</t>
        </is>
      </c>
      <c r="AT99" s="24" t="inlineStr">
        <is>
          <t>Jessica Pegula</t>
        </is>
      </c>
      <c r="AU99" s="24" t="inlineStr">
        <is>
          <t>Jessica Pegula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2026-08-02T07:11:40.150606Z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e5310e100d614eca</t>
        </is>
      </c>
      <c r="B100" s="24" t="inlineStr">
        <is>
          <t>2026-08-02T07:14:33.942118Z</t>
        </is>
      </c>
      <c r="C100" s="24" t="inlineStr">
        <is>
          <t>2026-08-02T17:30Z</t>
        </is>
      </c>
      <c r="D100" s="24" t="inlineStr">
        <is>
          <t>1067-2026:179469</t>
        </is>
      </c>
      <c r="E100" s="24" t="inlineStr">
        <is>
          <t>TENNIS</t>
        </is>
      </c>
      <c r="F100" s="24" t="inlineStr">
        <is>
          <t>Darja Vidmanova</t>
        </is>
      </c>
      <c r="G100" s="24" t="inlineStr">
        <is>
          <t>Kristina Liutova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-113</v>
      </c>
      <c r="M100" s="27" t="n">
        <v>1.884956</v>
      </c>
      <c r="N100" s="28" t="n">
        <v>0.530516</v>
      </c>
      <c r="O100" s="28" t="n">
        <v>0.639939</v>
      </c>
      <c r="P100" s="28" t="n">
        <v>0.05</v>
      </c>
      <c r="Q100" s="28" t="n">
        <v>0.109423</v>
      </c>
      <c r="R100" s="26" t="n">
        <v>75</v>
      </c>
      <c r="S100" s="29" t="n">
        <v>1.5</v>
      </c>
      <c r="T100" s="24" t="inlineStr">
        <is>
          <t>tennis-surface-elo-v1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Surface-blended Elo on Hard: Darja Vidmanova p=0.640 vs Kristina Liutova. Executable ask 0.5300 (aec-wta-kriliu-darvid-2026-08-02).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Darja Vidmanova</t>
        </is>
      </c>
      <c r="AQ100" s="24" t="inlineStr">
        <is>
          <t>Darja Vidmanova</t>
        </is>
      </c>
      <c r="AR100" s="24" t="inlineStr">
        <is>
          <t>Darja Vidmanova</t>
        </is>
      </c>
      <c r="AS100" s="24" t="inlineStr">
        <is>
          <t>Kristina Liutova</t>
        </is>
      </c>
      <c r="AT100" s="24" t="inlineStr">
        <is>
          <t>Kristina Liutova</t>
        </is>
      </c>
      <c r="AU100" s="24" t="inlineStr">
        <is>
          <t>Kristina Liutova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2026-08-02T07:11:33.217270Z</t>
        </is>
      </c>
      <c r="BI100" s="24" t="inlineStr">
        <is>
          <t>["same_event","same_team_same_day","same_league_same_day"]</t>
        </is>
      </c>
      <c r="BJ100" s="25" t="n"/>
      <c r="BK100" s="26" t="n">
        <v>-113</v>
      </c>
      <c r="BL100" s="27" t="n">
        <v>1.884956</v>
      </c>
      <c r="BM100" s="28" t="n">
        <v>0.530516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4154cdee02b44038</t>
        </is>
      </c>
      <c r="B101" s="24" t="inlineStr">
        <is>
          <t>2026-08-02T07:14:33.942118Z</t>
        </is>
      </c>
      <c r="C101" s="24" t="inlineStr">
        <is>
          <t>2026-08-02T13:00Z</t>
        </is>
      </c>
      <c r="D101" s="24" t="inlineStr">
        <is>
          <t>1073-2026:179603</t>
        </is>
      </c>
      <c r="E101" s="24" t="inlineStr">
        <is>
          <t>TENNIS</t>
        </is>
      </c>
      <c r="F101" s="24" t="inlineStr">
        <is>
          <t>Laura Samson</t>
        </is>
      </c>
      <c r="G101" s="24" t="inlineStr">
        <is>
          <t>Kaitlin Quevedo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-133</v>
      </c>
      <c r="M101" s="27" t="n">
        <v>1.75188</v>
      </c>
      <c r="N101" s="28" t="n">
        <v>0.570815</v>
      </c>
      <c r="O101" s="28" t="n">
        <v>0.608004</v>
      </c>
      <c r="P101" s="28" t="n">
        <v>0.05</v>
      </c>
      <c r="Q101" s="28" t="n">
        <v>0.037189</v>
      </c>
      <c r="R101" s="26" t="n">
        <v>39</v>
      </c>
      <c r="S101" s="29" t="n">
        <v>1.5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Laura Samson p=0.392 vs Kaitlin Quevedo. Executable ask 0.5700 (aec-wta-kaique-lausam-2026-08-02).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Laura Samson</t>
        </is>
      </c>
      <c r="AQ101" s="24" t="inlineStr">
        <is>
          <t>Laura Samson</t>
        </is>
      </c>
      <c r="AR101" s="24" t="inlineStr">
        <is>
          <t>Laura Samson</t>
        </is>
      </c>
      <c r="AS101" s="24" t="inlineStr">
        <is>
          <t>Kaitlin Quevedo</t>
        </is>
      </c>
      <c r="AT101" s="24" t="inlineStr">
        <is>
          <t>Kaitlin Quevedo</t>
        </is>
      </c>
      <c r="AU101" s="24" t="inlineStr">
        <is>
          <t>Kaitlin Quevedo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2026-08-02T07:11:31.826745Z</t>
        </is>
      </c>
      <c r="BI101" s="24" t="inlineStr">
        <is>
          <t>["same_event","same_team_same_day","same_league_same_day"]</t>
        </is>
      </c>
      <c r="BJ101" s="25" t="n"/>
      <c r="BK101" s="26" t="n">
        <v>-133</v>
      </c>
      <c r="BL101" s="27" t="n">
        <v>1.75188</v>
      </c>
      <c r="BM101" s="28" t="n">
        <v>0.570815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c81c82bfba664c2f</t>
        </is>
      </c>
      <c r="B102" s="24" t="inlineStr">
        <is>
          <t>2026-08-02T07:14:33.942118Z</t>
        </is>
      </c>
      <c r="C102" s="24" t="inlineStr">
        <is>
          <t>2026-08-02T16:30Z</t>
        </is>
      </c>
      <c r="D102" s="24" t="inlineStr">
        <is>
          <t>421-2026:182259</t>
        </is>
      </c>
      <c r="E102" s="24" t="inlineStr">
        <is>
          <t>TENNIS</t>
        </is>
      </c>
      <c r="F102" s="24" t="inlineStr">
        <is>
          <t>Viktorija Golubic</t>
        </is>
      </c>
      <c r="G102" s="24" t="inlineStr">
        <is>
          <t>Kimberly Birrell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0.530496</v>
      </c>
      <c r="P102" s="28" t="n">
        <v>0.05</v>
      </c>
      <c r="Q102" s="28" t="n">
        <v>0.020692</v>
      </c>
      <c r="R102" s="26" t="n">
        <v>30</v>
      </c>
      <c r="S102" s="29" t="n">
        <v>1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Viktorija Golubic p=0.470 vs Kimberly Birrell. Executable ask 0.5100 (aec-wta-kimbir-vikgol-2026-08-02).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Viktorija Golubic</t>
        </is>
      </c>
      <c r="AQ102" s="24" t="inlineStr">
        <is>
          <t>Viktorija Golubic</t>
        </is>
      </c>
      <c r="AR102" s="24" t="inlineStr">
        <is>
          <t>Viktorija Golubic</t>
        </is>
      </c>
      <c r="AS102" s="24" t="inlineStr">
        <is>
          <t>Kimberly Birrell</t>
        </is>
      </c>
      <c r="AT102" s="24" t="inlineStr">
        <is>
          <t>Kimberly Birrell</t>
        </is>
      </c>
      <c r="AU102" s="24" t="inlineStr">
        <is>
          <t>Kimberly Birrell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2026-08-02T07:11:32.750457Z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10d15853ccd14c44</t>
        </is>
      </c>
      <c r="B103" s="24" t="inlineStr">
        <is>
          <t>2026-08-02T07:14:33.942118Z</t>
        </is>
      </c>
      <c r="C103" s="24" t="inlineStr">
        <is>
          <t>2026-08-02T16:30Z</t>
        </is>
      </c>
      <c r="D103" s="24" t="inlineStr">
        <is>
          <t>421-2026:182279</t>
        </is>
      </c>
      <c r="E103" s="24" t="inlineStr">
        <is>
          <t>TENNIS</t>
        </is>
      </c>
      <c r="F103" s="24" t="inlineStr">
        <is>
          <t>Cristina Bucsa</t>
        </is>
      </c>
      <c r="G103" s="24" t="inlineStr">
        <is>
          <t>Moyuka Uchijima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-163</v>
      </c>
      <c r="M103" s="27" t="n">
        <v>1.613497</v>
      </c>
      <c r="N103" s="28" t="n">
        <v>0.619772</v>
      </c>
      <c r="O103" s="28" t="n">
        <v>0.548768</v>
      </c>
      <c r="P103" s="28" t="n">
        <v>0.05</v>
      </c>
      <c r="Q103" s="28" t="n">
        <v>-0.071004</v>
      </c>
      <c r="R103" s="26" t="n">
        <v>0</v>
      </c>
      <c r="S103" s="29" t="n">
        <v>1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Cristina Bucsa p=0.549 vs Moyuka Uchijima. Executable ask 0.6200 (aec-wta-moyuch-cribuc-2026-08-02).</t>
        </is>
      </c>
      <c r="AF103" s="31" t="inlineStr">
        <is>
          <t>Research-only surface-blended Elo model; singles only, WTA-only market coverage, not yet locked-holdout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Cristina Bucsa</t>
        </is>
      </c>
      <c r="AQ103" s="24" t="inlineStr">
        <is>
          <t>Cristina Bucsa</t>
        </is>
      </c>
      <c r="AR103" s="24" t="inlineStr">
        <is>
          <t>Cristina Bucsa</t>
        </is>
      </c>
      <c r="AS103" s="24" t="inlineStr">
        <is>
          <t>Moyuka Uchijima</t>
        </is>
      </c>
      <c r="AT103" s="24" t="inlineStr">
        <is>
          <t>Moyuka Uchijima</t>
        </is>
      </c>
      <c r="AU103" s="24" t="inlineStr">
        <is>
          <t>Moyuka Uchijima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999faa03e2fa83bdf40e3760cb8645b4c314e4cc37c2050b8320d6582c4d8167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999faa03e2fa83bdf40e3760cb8645b4c314e4cc37c2050b8320d6582c4d8167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999faa03e2fa83bdf40e3760cb8645b4c314e4cc37c2050b8320d6582c4d8167</t>
        </is>
      </c>
      <c r="BH103" s="24" t="inlineStr">
        <is>
          <t>2026-08-02T07:11:31.808862Z</t>
        </is>
      </c>
      <c r="BI103" s="24" t="inlineStr">
        <is>
          <t>["same_event","same_team_same_day","same_league_same_day"]</t>
        </is>
      </c>
      <c r="BJ103" s="25" t="n"/>
      <c r="BK103" s="26" t="n">
        <v>-163</v>
      </c>
      <c r="BL103" s="27" t="n">
        <v>1.613497</v>
      </c>
      <c r="BM103" s="28" t="n">
        <v>0.619772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aadb962e8e0249ca</t>
        </is>
      </c>
      <c r="B104" s="24" t="inlineStr">
        <is>
          <t>2026-08-02T07:14:33.942118Z</t>
        </is>
      </c>
      <c r="C104" s="24" t="inlineStr">
        <is>
          <t>2026-08-02T16:30Z</t>
        </is>
      </c>
      <c r="D104" s="24" t="inlineStr">
        <is>
          <t>421-2026:182280</t>
        </is>
      </c>
      <c r="E104" s="24" t="inlineStr">
        <is>
          <t>TENNIS</t>
        </is>
      </c>
      <c r="F104" s="24" t="inlineStr">
        <is>
          <t>Sara Bejlek</t>
        </is>
      </c>
      <c r="G104" s="24" t="inlineStr">
        <is>
          <t>Wang Xiyu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0.597848</v>
      </c>
      <c r="P104" s="28" t="n">
        <v>0.05</v>
      </c>
      <c r="Q104" s="28" t="n">
        <v>-0.002152</v>
      </c>
      <c r="R104" s="26" t="n">
        <v>19</v>
      </c>
      <c r="S104" s="29" t="n">
        <v>1.25</v>
      </c>
      <c r="T104" s="24" t="inlineStr">
        <is>
          <t>tennis-surface-elo-v1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Surface-blended Elo on Hard: Sara Bejlek p=0.598 vs Wang Xiyu. Executable ask 0.6000 (aec-wta-xiywan-sarbej-2026-08-02).</t>
        </is>
      </c>
      <c r="AF104" s="31" t="inlineStr">
        <is>
          <t>Research-only surface-blended Elo model; singles only, WTA-only market coverage,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Sara Bejlek</t>
        </is>
      </c>
      <c r="AQ104" s="24" t="inlineStr">
        <is>
          <t>Sara Bejlek</t>
        </is>
      </c>
      <c r="AR104" s="24" t="inlineStr">
        <is>
          <t>Sara Bejlek</t>
        </is>
      </c>
      <c r="AS104" s="24" t="inlineStr">
        <is>
          <t>Wang Xiyu</t>
        </is>
      </c>
      <c r="AT104" s="24" t="inlineStr">
        <is>
          <t>Wang Xiyu</t>
        </is>
      </c>
      <c r="AU104" s="24" t="inlineStr">
        <is>
          <t>Wang Xiyu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999faa03e2fa83bdf40e3760cb8645b4c314e4cc37c2050b8320d6582c4d8167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999faa03e2fa83bdf40e3760cb8645b4c314e4cc37c2050b8320d6582c4d8167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999faa03e2fa83bdf40e3760cb8645b4c314e4cc37c2050b8320d6582c4d8167</t>
        </is>
      </c>
      <c r="BH104" s="24" t="inlineStr">
        <is>
          <t>2026-08-02T07:11:31.845281Z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f5c1adcfc0d34ca0</t>
        </is>
      </c>
      <c r="B105" s="24" t="inlineStr">
        <is>
          <t>2026-08-02T07:14:33.942118Z</t>
        </is>
      </c>
      <c r="C105" s="24" t="inlineStr">
        <is>
          <t>2026-08-02T18:00Z</t>
        </is>
      </c>
      <c r="D105" s="24" t="inlineStr">
        <is>
          <t>421-2026:182236</t>
        </is>
      </c>
      <c r="E105" s="24" t="inlineStr">
        <is>
          <t>TENNIS</t>
        </is>
      </c>
      <c r="F105" s="24" t="inlineStr">
        <is>
          <t>Leolia Jeanjean</t>
        </is>
      </c>
      <c r="G105" s="24" t="inlineStr">
        <is>
          <t>Magdalena Frech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150</v>
      </c>
      <c r="M105" s="27" t="n">
        <v>2.5</v>
      </c>
      <c r="N105" s="28" t="n">
        <v>0.4</v>
      </c>
      <c r="O105" s="28" t="n">
        <v>0.504343</v>
      </c>
      <c r="P105" s="28" t="n">
        <v>0.05</v>
      </c>
      <c r="Q105" s="28" t="n">
        <v>0.104343</v>
      </c>
      <c r="R105" s="26" t="n">
        <v>72</v>
      </c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Surface-blended Elo on Hard: Leolia Jeanjean p=0.504 vs Magdalena Frech. Executable ask 0.4000 (aec-wta-magfre-leojea-2026-08-02).</t>
        </is>
      </c>
      <c r="AF105" s="31" t="inlineStr">
        <is>
          <t>Research-only surface-blended Elo model; singles only, WTA-only market coverage, not yet locked-holdout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Leolia Jeanjean</t>
        </is>
      </c>
      <c r="AQ105" s="24" t="inlineStr">
        <is>
          <t>Leolia Jeanjean</t>
        </is>
      </c>
      <c r="AR105" s="24" t="inlineStr">
        <is>
          <t>Leolia Jeanjean</t>
        </is>
      </c>
      <c r="AS105" s="24" t="inlineStr">
        <is>
          <t>Magdalena Frech</t>
        </is>
      </c>
      <c r="AT105" s="24" t="inlineStr">
        <is>
          <t>Magdalena Frech</t>
        </is>
      </c>
      <c r="AU105" s="24" t="inlineStr">
        <is>
          <t>Magdalena Frech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999faa03e2fa83bdf40e3760cb8645b4c314e4cc37c2050b8320d6582c4d8167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999faa03e2fa83bdf40e3760cb8645b4c314e4cc37c2050b8320d6582c4d8167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999faa03e2fa83bdf40e3760cb8645b4c314e4cc37c2050b8320d6582c4d8167</t>
        </is>
      </c>
      <c r="BH105" s="24" t="inlineStr">
        <is>
          <t>2026-08-02T07:11:35.341815Z</t>
        </is>
      </c>
      <c r="BI105" s="24" t="inlineStr">
        <is>
          <t>["same_event","same_team_same_day","same_league_same_day"]</t>
        </is>
      </c>
      <c r="BJ105" s="25" t="n"/>
      <c r="BK105" s="26" t="n">
        <v>150</v>
      </c>
      <c r="BL105" s="27" t="n">
        <v>2.5</v>
      </c>
      <c r="BM105" s="28" t="n">
        <v>0.4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84d2748d860a452d</t>
        </is>
      </c>
      <c r="B106" s="24" t="inlineStr">
        <is>
          <t>2026-08-02T07:14:33.942118Z</t>
        </is>
      </c>
      <c r="C106" s="24" t="inlineStr">
        <is>
          <t>2026-08-02T18:00Z</t>
        </is>
      </c>
      <c r="D106" s="24" t="inlineStr">
        <is>
          <t>421-2026:182257</t>
        </is>
      </c>
      <c r="E106" s="24" t="inlineStr">
        <is>
          <t>TENNIS</t>
        </is>
      </c>
      <c r="F106" s="24" t="inlineStr">
        <is>
          <t>Antonia Ruzic</t>
        </is>
      </c>
      <c r="G106" s="24" t="inlineStr">
        <is>
          <t>Lois Boisson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-127</v>
      </c>
      <c r="M106" s="27" t="n">
        <v>1.787402</v>
      </c>
      <c r="N106" s="28" t="n">
        <v>0.5594710000000001</v>
      </c>
      <c r="O106" s="28" t="n">
        <v>0.549832</v>
      </c>
      <c r="P106" s="28" t="n">
        <v>0.05</v>
      </c>
      <c r="Q106" s="28" t="n">
        <v>-0.009639</v>
      </c>
      <c r="R106" s="26" t="n">
        <v>15</v>
      </c>
      <c r="S106" s="29" t="n">
        <v>1</v>
      </c>
      <c r="T106" s="24" t="inlineStr">
        <is>
          <t>tennis-surface-elo-v1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Surface-blended Elo on Hard: Antonia Ruzic p=0.550 vs Lois Boisson. Executable ask 0.5600 (aec-wta-loiboi-antruz-2026-08-02).</t>
        </is>
      </c>
      <c r="AF106" s="31" t="inlineStr">
        <is>
          <t>Research-only surface-blended Elo model; singles only, WTA-only market coverage, not yet locked-holdout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Antonia Ruzic</t>
        </is>
      </c>
      <c r="AQ106" s="24" t="inlineStr">
        <is>
          <t>Antonia Ruzic</t>
        </is>
      </c>
      <c r="AR106" s="24" t="inlineStr">
        <is>
          <t>Antonia Ruzic</t>
        </is>
      </c>
      <c r="AS106" s="24" t="inlineStr">
        <is>
          <t>Lois Boisson</t>
        </is>
      </c>
      <c r="AT106" s="24" t="inlineStr">
        <is>
          <t>Lois Boisson</t>
        </is>
      </c>
      <c r="AU106" s="24" t="inlineStr">
        <is>
          <t>Lois Boisson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999faa03e2fa83bdf40e3760cb8645b4c314e4cc37c2050b8320d6582c4d8167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999faa03e2fa83bdf40e3760cb8645b4c314e4cc37c2050b8320d6582c4d8167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999faa03e2fa83bdf40e3760cb8645b4c314e4cc37c2050b8320d6582c4d8167</t>
        </is>
      </c>
      <c r="BH106" s="24" t="inlineStr">
        <is>
          <t>2026-08-02T07:11:35.998974Z</t>
        </is>
      </c>
      <c r="BI106" s="24" t="inlineStr">
        <is>
          <t>["same_event","same_team_same_day","same_league_same_day"]</t>
        </is>
      </c>
      <c r="BJ106" s="25" t="n"/>
      <c r="BK106" s="26" t="n">
        <v>-127</v>
      </c>
      <c r="BL106" s="27" t="n">
        <v>1.787402</v>
      </c>
      <c r="BM106" s="28" t="n">
        <v>0.5594710000000001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64ef379ab18349f7</t>
        </is>
      </c>
      <c r="B107" s="24" t="inlineStr">
        <is>
          <t>2026-08-02T07:14:33.942118Z</t>
        </is>
      </c>
      <c r="C107" s="24" t="inlineStr">
        <is>
          <t>2026-08-02T18:00Z</t>
        </is>
      </c>
      <c r="D107" s="24" t="inlineStr">
        <is>
          <t>421-2026:182268</t>
        </is>
      </c>
      <c r="E107" s="24" t="inlineStr">
        <is>
          <t>TENNIS</t>
        </is>
      </c>
      <c r="F107" s="24" t="inlineStr">
        <is>
          <t>Katherine Sebov</t>
        </is>
      </c>
      <c r="G107" s="24" t="inlineStr">
        <is>
          <t>Aoi Ito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-150</v>
      </c>
      <c r="M107" s="27" t="n">
        <v>1.666667</v>
      </c>
      <c r="N107" s="28" t="n">
        <v>0.6</v>
      </c>
      <c r="O107" s="28" t="n">
        <v>0.52927</v>
      </c>
      <c r="P107" s="28" t="n">
        <v>0.05</v>
      </c>
      <c r="Q107" s="28" t="n">
        <v>-0.07073</v>
      </c>
      <c r="R107" s="26" t="n">
        <v>0</v>
      </c>
      <c r="S107" s="29" t="n">
        <v>1</v>
      </c>
      <c r="T107" s="24" t="inlineStr">
        <is>
          <t>tennis-surface-elo-v1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Surface-blended Elo on Hard: Katherine Sebov p=0.471 vs Aoi Ito. Executable ask 0.6000 (aec-wta-aoiito-katseb-2026-08-02).</t>
        </is>
      </c>
      <c r="AF107" s="31" t="inlineStr">
        <is>
          <t>Research-only surface-blended Elo model; singles only, WTA-only market coverage,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Katherine Sebov</t>
        </is>
      </c>
      <c r="AQ107" s="24" t="inlineStr">
        <is>
          <t>Katherine Sebov</t>
        </is>
      </c>
      <c r="AR107" s="24" t="inlineStr">
        <is>
          <t>Katherine Sebov</t>
        </is>
      </c>
      <c r="AS107" s="24" t="inlineStr">
        <is>
          <t>Aoi Ito</t>
        </is>
      </c>
      <c r="AT107" s="24" t="inlineStr">
        <is>
          <t>Aoi Ito</t>
        </is>
      </c>
      <c r="AU107" s="24" t="inlineStr">
        <is>
          <t>Aoi Ito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999faa03e2fa83bdf40e3760cb8645b4c314e4cc37c2050b8320d6582c4d8167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999faa03e2fa83bdf40e3760cb8645b4c314e4cc37c2050b8320d6582c4d8167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999faa03e2fa83bdf40e3760cb8645b4c314e4cc37c2050b8320d6582c4d8167</t>
        </is>
      </c>
      <c r="BH107" s="24" t="inlineStr">
        <is>
          <t>2026-08-02T07:11:37.008588Z</t>
        </is>
      </c>
      <c r="BI107" s="24" t="inlineStr">
        <is>
          <t>["same_event","same_team_same_day","same_league_same_day"]</t>
        </is>
      </c>
      <c r="BJ107" s="25" t="n"/>
      <c r="BK107" s="26" t="n">
        <v>-150</v>
      </c>
      <c r="BL107" s="27" t="n">
        <v>1.666667</v>
      </c>
      <c r="BM107" s="28" t="n">
        <v>0.6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99be0b0015e5439d</t>
        </is>
      </c>
      <c r="B108" s="24" t="inlineStr">
        <is>
          <t>2026-08-02T07:14:33.942118Z</t>
        </is>
      </c>
      <c r="C108" s="24" t="inlineStr">
        <is>
          <t>2026-08-02T18:00Z</t>
        </is>
      </c>
      <c r="D108" s="24" t="inlineStr">
        <is>
          <t>421-2026:182284</t>
        </is>
      </c>
      <c r="E108" s="24" t="inlineStr">
        <is>
          <t>TENNIS</t>
        </is>
      </c>
      <c r="F108" s="24" t="inlineStr">
        <is>
          <t>Camila Osorio</t>
        </is>
      </c>
      <c r="G108" s="24" t="inlineStr">
        <is>
          <t>Lucrezia Stefanini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0.736958</v>
      </c>
      <c r="P108" s="28" t="n">
        <v>0.05</v>
      </c>
      <c r="Q108" s="28" t="n">
        <v>0.086608</v>
      </c>
      <c r="R108" s="26" t="n">
        <v>63</v>
      </c>
      <c r="S108" s="29" t="n">
        <v>2</v>
      </c>
      <c r="T108" s="24" t="inlineStr">
        <is>
          <t>tennis-surface-elo-v1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Surface-blended Elo on Hard: Camila Osorio p=0.737 vs Lucrezia Stefanini. Executable ask 0.6500 (aec-wta-lucste-camoso-2026-08-02).</t>
        </is>
      </c>
      <c r="AF108" s="31" t="inlineStr">
        <is>
          <t>Research-only surface-blended Elo model; singles only, WTA-only market coverage,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Camila Osorio</t>
        </is>
      </c>
      <c r="AQ108" s="24" t="inlineStr">
        <is>
          <t>Camila Osorio</t>
        </is>
      </c>
      <c r="AR108" s="24" t="inlineStr">
        <is>
          <t>Camila Osorio</t>
        </is>
      </c>
      <c r="AS108" s="24" t="inlineStr">
        <is>
          <t>Lucrezia Stefanini</t>
        </is>
      </c>
      <c r="AT108" s="24" t="inlineStr">
        <is>
          <t>Lucrezia Stefanini</t>
        </is>
      </c>
      <c r="AU108" s="24" t="inlineStr">
        <is>
          <t>Lucrezia Stefanini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999faa03e2fa83bdf40e3760cb8645b4c314e4cc37c2050b8320d6582c4d8167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999faa03e2fa83bdf40e3760cb8645b4c314e4cc37c2050b8320d6582c4d8167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999faa03e2fa83bdf40e3760cb8645b4c314e4cc37c2050b8320d6582c4d8167</t>
        </is>
      </c>
      <c r="BH108" s="24" t="inlineStr">
        <is>
          <t>2026-08-02T07:11:34.504805Z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e7256f4701794fd3</t>
        </is>
      </c>
      <c r="B109" s="24" t="inlineStr">
        <is>
          <t>2026-08-02T07:14:33.942118Z</t>
        </is>
      </c>
      <c r="C109" s="24" t="inlineStr">
        <is>
          <t>2026-08-02T19:30Z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-108</v>
      </c>
      <c r="M109" s="27" t="n">
        <v>1.925926</v>
      </c>
      <c r="N109" s="28" t="n">
        <v>0.519231</v>
      </c>
      <c r="O109" s="28" t="n">
        <v>0.53051</v>
      </c>
      <c r="P109" s="28" t="n">
        <v>0.05</v>
      </c>
      <c r="Q109" s="28" t="n">
        <v>0.011279</v>
      </c>
      <c r="R109" s="26" t="n">
        <v>26</v>
      </c>
      <c r="S109" s="29" t="n">
        <v>1</v>
      </c>
      <c r="T109" s="24" t="inlineStr">
        <is>
          <t>tennis-surface-elo-v1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Surface-blended Elo on Hard: Anna Blinkova p=0.469 vs Rebecca Sramkova. Executable ask 0.5200 (aec-wta-rebsra-annbli-2026-08-02).</t>
        </is>
      </c>
      <c r="AF109" s="31" t="inlineStr">
        <is>
          <t>Research-only surface-blended Elo model; singles only, WTA-only market coverage,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999faa03e2fa83bdf40e3760cb8645b4c314e4cc37c2050b8320d6582c4d8167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999faa03e2fa83bdf40e3760cb8645b4c314e4cc37c2050b8320d6582c4d8167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999faa03e2fa83bdf40e3760cb8645b4c314e4cc37c2050b8320d6582c4d8167</t>
        </is>
      </c>
      <c r="BH109" s="24" t="inlineStr">
        <is>
          <t>2026-08-02T07:11:37.841935Z</t>
        </is>
      </c>
      <c r="BI109" s="24" t="inlineStr">
        <is>
          <t>["same_event","same_team_same_day","same_league_same_day"]</t>
        </is>
      </c>
      <c r="BJ109" s="25" t="n"/>
      <c r="BK109" s="26" t="n">
        <v>-108</v>
      </c>
      <c r="BL109" s="27" t="n">
        <v>1.925926</v>
      </c>
      <c r="BM109" s="28" t="n">
        <v>0.519231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1a8764981c564053</t>
        </is>
      </c>
      <c r="B110" s="24" t="inlineStr">
        <is>
          <t>2026-08-02T07:14:33.942118Z</t>
        </is>
      </c>
      <c r="C110" s="24" t="inlineStr">
        <is>
          <t>2026-08-02T20:00Z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-156</v>
      </c>
      <c r="M110" s="27" t="n">
        <v>1.641026</v>
      </c>
      <c r="N110" s="28" t="n">
        <v>0.609375</v>
      </c>
      <c r="O110" s="28" t="n">
        <v>0.756798</v>
      </c>
      <c r="P110" s="28" t="n">
        <v>0.05</v>
      </c>
      <c r="Q110" s="28" t="n">
        <v>0.147423</v>
      </c>
      <c r="R110" s="26" t="n">
        <v>94</v>
      </c>
      <c r="S110" s="29" t="n">
        <v>2</v>
      </c>
      <c r="T110" s="24" t="inlineStr">
        <is>
          <t>tennis-surface-elo-v1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Surface-blended Elo on Hard: Lanlana Tararudee p=0.757 vs Emerson Jones. Executable ask 0.6100 (aec-wta-emejon-lantar-2026-08-02).</t>
        </is>
      </c>
      <c r="AF110" s="31" t="inlineStr">
        <is>
          <t>Research-only surface-blended Elo model; singles only, WTA-only market coverage,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999faa03e2fa83bdf40e3760cb8645b4c314e4cc37c2050b8320d6582c4d8167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999faa03e2fa83bdf40e3760cb8645b4c314e4cc37c2050b8320d6582c4d8167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999faa03e2fa83bdf40e3760cb8645b4c314e4cc37c2050b8320d6582c4d8167</t>
        </is>
      </c>
      <c r="BH110" s="24" t="inlineStr">
        <is>
          <t>2026-08-02T07:11:38.720666Z</t>
        </is>
      </c>
      <c r="BI110" s="24" t="inlineStr">
        <is>
          <t>["same_event","same_team_same_day","same_league_same_day"]</t>
        </is>
      </c>
      <c r="BJ110" s="25" t="n"/>
      <c r="BK110" s="26" t="n">
        <v>-156</v>
      </c>
      <c r="BL110" s="27" t="n">
        <v>1.641026</v>
      </c>
      <c r="BM110" s="28" t="n">
        <v>0.609375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93efa735c8214ad7</t>
        </is>
      </c>
      <c r="B111" s="24" t="inlineStr">
        <is>
          <t>2026-08-02T07:14:33.942118Z</t>
        </is>
      </c>
      <c r="C111" s="24" t="inlineStr">
        <is>
          <t>2026-08-02T21:00Z</t>
        </is>
      </c>
      <c r="D111" s="24" t="inlineStr">
        <is>
          <t>421-2026:182240</t>
        </is>
      </c>
      <c r="E111" s="24" t="inlineStr">
        <is>
          <t>TENNIS</t>
        </is>
      </c>
      <c r="F111" s="24" t="inlineStr">
        <is>
          <t>Cadence Brace</t>
        </is>
      </c>
      <c r="G111" s="24" t="inlineStr">
        <is>
          <t>McCartney Kessler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-733</v>
      </c>
      <c r="M111" s="27" t="n">
        <v>1.136426</v>
      </c>
      <c r="N111" s="28" t="n">
        <v>0.879952</v>
      </c>
      <c r="O111" s="28" t="n">
        <v>0.7637620000000001</v>
      </c>
      <c r="P111" s="28" t="n">
        <v>0.05</v>
      </c>
      <c r="Q111" s="28" t="n">
        <v>-0.11619</v>
      </c>
      <c r="R111" s="26" t="n">
        <v>0</v>
      </c>
      <c r="S111" s="29" t="n">
        <v>2</v>
      </c>
      <c r="T111" s="24" t="inlineStr">
        <is>
          <t>tennis-surface-elo-v1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Surface-blended Elo on Hard: Cadence Brace p=0.236 vs McCartney Kessler. Executable ask 0.8800 (aec-wta-mcckes-cadbra-2026-08-02).</t>
        </is>
      </c>
      <c r="AF111" s="31" t="inlineStr">
        <is>
          <t>Research-only surface-blended Elo model; singles only, WTA-only market coverage,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Cadence Brace</t>
        </is>
      </c>
      <c r="AQ111" s="24" t="inlineStr">
        <is>
          <t>Cadence Brace</t>
        </is>
      </c>
      <c r="AR111" s="24" t="inlineStr">
        <is>
          <t>Cadence Brace</t>
        </is>
      </c>
      <c r="AS111" s="24" t="inlineStr">
        <is>
          <t>McCartney Kessler</t>
        </is>
      </c>
      <c r="AT111" s="24" t="inlineStr">
        <is>
          <t>McCartney Kessler</t>
        </is>
      </c>
      <c r="AU111" s="24" t="inlineStr">
        <is>
          <t>McCartney Kessler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999faa03e2fa83bdf40e3760cb8645b4c314e4cc37c2050b8320d6582c4d8167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999faa03e2fa83bdf40e3760cb8645b4c314e4cc37c2050b8320d6582c4d8167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999faa03e2fa83bdf40e3760cb8645b4c314e4cc37c2050b8320d6582c4d8167</t>
        </is>
      </c>
      <c r="BH111" s="24" t="inlineStr">
        <is>
          <t>2026-08-02T07:11:39.630632Z</t>
        </is>
      </c>
      <c r="BI111" s="24" t="inlineStr">
        <is>
          <t>["same_event","same_team_same_day","same_league_same_day"]</t>
        </is>
      </c>
      <c r="BJ111" s="25" t="n"/>
      <c r="BK111" s="26" t="n">
        <v>-733</v>
      </c>
      <c r="BL111" s="27" t="n">
        <v>1.136426</v>
      </c>
      <c r="BM111" s="28" t="n">
        <v>0.879952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b3faa8afac844eba</t>
        </is>
      </c>
      <c r="B112" s="24" t="inlineStr">
        <is>
          <t>2026-08-02T07:14:33.942118Z</t>
        </is>
      </c>
      <c r="C112" s="24" t="inlineStr">
        <is>
          <t>2026-08-02T21:30Z</t>
        </is>
      </c>
      <c r="D112" s="24" t="inlineStr">
        <is>
          <t>421-2026:182283</t>
        </is>
      </c>
      <c r="E112" s="24" t="inlineStr">
        <is>
          <t>TENNIS</t>
        </is>
      </c>
      <c r="F112" s="24" t="inlineStr">
        <is>
          <t>Elisabetta Cocciaretto</t>
        </is>
      </c>
      <c r="G112" s="24" t="inlineStr">
        <is>
          <t>Talia Gibson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-144</v>
      </c>
      <c r="M112" s="27" t="n">
        <v>1.694444</v>
      </c>
      <c r="N112" s="28" t="n">
        <v>0.590164</v>
      </c>
      <c r="O112" s="28" t="n">
        <v>0.578226</v>
      </c>
      <c r="P112" s="28" t="n">
        <v>0.05</v>
      </c>
      <c r="Q112" s="28" t="n">
        <v>-0.011938</v>
      </c>
      <c r="R112" s="26" t="n">
        <v>14</v>
      </c>
      <c r="S112" s="29" t="n">
        <v>1.25</v>
      </c>
      <c r="T112" s="24" t="inlineStr">
        <is>
          <t>tennis-surface-elo-v1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Surface-blended Elo on Hard: Elisabetta Cocciaretto p=0.578 vs Talia Gibson. Executable ask 0.5900 (aec-wta-talgib-elicoc-2026-08-02).</t>
        </is>
      </c>
      <c r="AF112" s="31" t="inlineStr">
        <is>
          <t>Research-only surface-blended Elo model; singles only, WTA-only market coverage,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Elisabetta Cocciaretto</t>
        </is>
      </c>
      <c r="AQ112" s="24" t="inlineStr">
        <is>
          <t>Elisabetta Cocciaretto</t>
        </is>
      </c>
      <c r="AR112" s="24" t="inlineStr">
        <is>
          <t>Elisabetta Cocciaretto</t>
        </is>
      </c>
      <c r="AS112" s="24" t="inlineStr">
        <is>
          <t>Talia Gibson</t>
        </is>
      </c>
      <c r="AT112" s="24" t="inlineStr">
        <is>
          <t>Talia Gibson</t>
        </is>
      </c>
      <c r="AU112" s="24" t="inlineStr">
        <is>
          <t>Talia Gibson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999faa03e2fa83bdf40e3760cb8645b4c314e4cc37c2050b8320d6582c4d8167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999faa03e2fa83bdf40e3760cb8645b4c314e4cc37c2050b8320d6582c4d8167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999faa03e2fa83bdf40e3760cb8645b4c314e4cc37c2050b8320d6582c4d8167</t>
        </is>
      </c>
      <c r="BH112" s="24" t="inlineStr">
        <is>
          <t>2026-08-02T07:11:41.712269Z</t>
        </is>
      </c>
      <c r="BI112" s="24" t="inlineStr">
        <is>
          <t>["same_event","same_team_same_day","same_league_same_day"]</t>
        </is>
      </c>
      <c r="BJ112" s="25" t="n"/>
      <c r="BK112" s="26" t="n">
        <v>-144</v>
      </c>
      <c r="BL112" s="27" t="n">
        <v>1.694444</v>
      </c>
      <c r="BM112" s="28" t="n">
        <v>0.590164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aa38aa54aad441df</t>
        </is>
      </c>
      <c r="B113" s="24" t="inlineStr">
        <is>
          <t>2026-08-02T07:14:33.942118Z</t>
        </is>
      </c>
      <c r="C113" s="24" t="inlineStr">
        <is>
          <t>2026-08-02T23:00Z</t>
        </is>
      </c>
      <c r="D113" s="24" t="inlineStr">
        <is>
          <t>421-2026:182274</t>
        </is>
      </c>
      <c r="E113" s="24" t="inlineStr">
        <is>
          <t>TENNIS</t>
        </is>
      </c>
      <c r="F113" s="24" t="inlineStr">
        <is>
          <t>Bianca Andreescu</t>
        </is>
      </c>
      <c r="G113" s="24" t="inlineStr">
        <is>
          <t>Nikola Bartunkova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0.617346</v>
      </c>
      <c r="P113" s="28" t="n">
        <v>0.05</v>
      </c>
      <c r="Q113" s="28" t="n">
        <v>0.017346</v>
      </c>
      <c r="R113" s="26" t="n">
        <v>29</v>
      </c>
      <c r="S113" s="29" t="n">
        <v>1.5</v>
      </c>
      <c r="T113" s="24" t="inlineStr">
        <is>
          <t>tennis-surface-elo-v1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Surface-blended Elo on Hard: Bianca Andreescu p=0.383 vs Nikola Bartunkova. Executable ask 0.6000 (aec-wta-nikbar-biaand-2026-08-02).</t>
        </is>
      </c>
      <c r="AF113" s="31" t="inlineStr">
        <is>
          <t>Research-only surface-blended Elo model; singles only, WTA-only market coverage, not yet locked-holdout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Bianca Andreescu</t>
        </is>
      </c>
      <c r="AQ113" s="24" t="inlineStr">
        <is>
          <t>Bianca Andreescu</t>
        </is>
      </c>
      <c r="AR113" s="24" t="inlineStr">
        <is>
          <t>Bianca Andreescu</t>
        </is>
      </c>
      <c r="AS113" s="24" t="inlineStr">
        <is>
          <t>Nikola Bartunkova</t>
        </is>
      </c>
      <c r="AT113" s="24" t="inlineStr">
        <is>
          <t>Nikola Bartunkova</t>
        </is>
      </c>
      <c r="AU113" s="24" t="inlineStr">
        <is>
          <t>Nikola Bartunkova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999faa03e2fa83bdf40e3760cb8645b4c314e4cc37c2050b8320d6582c4d8167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999faa03e2fa83bdf40e3760cb8645b4c314e4cc37c2050b8320d6582c4d8167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999faa03e2fa83bdf40e3760cb8645b4c314e4cc37c2050b8320d6582c4d8167</t>
        </is>
      </c>
      <c r="BH113" s="24" t="inlineStr">
        <is>
          <t>2026-08-02T07:11:41.762741Z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6ff28fd485c748f5</t>
        </is>
      </c>
      <c r="B114" s="24" t="inlineStr">
        <is>
          <t>2026-08-02T07:14:33.942118Z</t>
        </is>
      </c>
      <c r="C114" s="24" t="inlineStr">
        <is>
          <t>2026-08-03T00:30Z</t>
        </is>
      </c>
      <c r="D114" s="24" t="inlineStr">
        <is>
          <t>421-2026:182281</t>
        </is>
      </c>
      <c r="E114" s="24" t="inlineStr">
        <is>
          <t>TENNIS</t>
        </is>
      </c>
      <c r="F114" s="24" t="inlineStr">
        <is>
          <t>Zhang Shuai</t>
        </is>
      </c>
      <c r="G114" s="24" t="inlineStr">
        <is>
          <t>Yulia Putintseva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0.630736</v>
      </c>
      <c r="P114" s="28" t="n">
        <v>0.05</v>
      </c>
      <c r="Q114" s="28" t="n">
        <v>-0.019614</v>
      </c>
      <c r="R114" s="26" t="n">
        <v>10</v>
      </c>
      <c r="S114" s="29" t="n">
        <v>1.5</v>
      </c>
      <c r="T114" s="24" t="inlineStr">
        <is>
          <t>tennis-surface-elo-v1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Surface-blended Elo on Hard: Zhang Shuai p=0.369 vs Yulia Putintseva. Executable ask 0.6500 (aec-wta-yulput-shuzha-2026-08-02).</t>
        </is>
      </c>
      <c r="AF114" s="31" t="inlineStr">
        <is>
          <t>Research-only surface-blended Elo model; singles only, WTA-only market coverage, not yet locked-holdout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Zhang Shuai</t>
        </is>
      </c>
      <c r="AQ114" s="24" t="inlineStr">
        <is>
          <t>Zhang Shuai</t>
        </is>
      </c>
      <c r="AR114" s="24" t="inlineStr">
        <is>
          <t>Zhang Shuai</t>
        </is>
      </c>
      <c r="AS114" s="24" t="inlineStr">
        <is>
          <t>Yulia Putintseva</t>
        </is>
      </c>
      <c r="AT114" s="24" t="inlineStr">
        <is>
          <t>Yulia Putintseva</t>
        </is>
      </c>
      <c r="AU114" s="24" t="inlineStr">
        <is>
          <t>Yulia Putintseva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999faa03e2fa83bdf40e3760cb8645b4c314e4cc37c2050b8320d6582c4d8167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999faa03e2fa83bdf40e3760cb8645b4c314e4cc37c2050b8320d6582c4d8167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999faa03e2fa83bdf40e3760cb8645b4c314e4cc37c2050b8320d6582c4d8167</t>
        </is>
      </c>
      <c r="BH114" s="24" t="inlineStr">
        <is>
          <t>2026-08-02T07:11:41.780045Z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2026-08-02T07:14:39Z</dcterms:created>
  <dcterms:modified xsi:type="dcterms:W3CDTF">2026-08-02T07:14:39Z</dcterms:modified>
</cp:coreProperties>
</file>