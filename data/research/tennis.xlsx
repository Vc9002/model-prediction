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14" headerRowCount="1">
  <autoFilter ref="A1:CP114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COUNTA('Picks'!$A$2:$A$114)</f>
        <v/>
      </c>
      <c r="C4" s="6">
        <f>COUNTIF('Picks'!$U$2:$U$114,"open")</f>
        <v/>
      </c>
      <c r="E4" s="6">
        <f>COUNTIF('Picks'!$U$2:$U$114,"settled")</f>
        <v/>
      </c>
      <c r="G4" s="6">
        <f>IF(COUNTIFS('Picks'!$U$2:$U$114,"settled",'Picks'!$V$2:$V$114,"win")+COUNTIFS('Picks'!$U$2:$U$114,"settled",'Picks'!$V$2:$V$114,"loss")&gt;=$L$2,"Ready","Insufficient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COUNTIF('Picks'!$BX$2:$BX$114,"&gt;0")</f>
        <v/>
      </c>
      <c r="C7" s="6">
        <f>COUNTIFS('Picks'!$BX$2:$BX$114,"&gt;0",'Picks'!$V$2:$V$114,"win")&amp;"-"&amp;COUNTIFS('Picks'!$BX$2:$BX$114,"&gt;0",'Picks'!$V$2:$V$114,"loss")</f>
        <v/>
      </c>
      <c r="E7" s="7">
        <f>IFERROR(COUNTIFS('Picks'!$BX$2:$BX$114,"&gt;0",'Picks'!$V$2:$V$114,"win")/(COUNTIFS('Picks'!$BX$2:$BX$114,"&gt;0",'Picks'!$V$2:$V$114,"win")+COUNTIFS('Picks'!$BX$2:$BX$114,"&gt;0",'Picks'!$V$2:$V$114,"loss")),0)</f>
        <v/>
      </c>
      <c r="G7" s="7">
        <f>IFERROR(SUM('Picks'!$BY$2:$BY$114)/SUM('Picks'!$BX$2:$BX$114),0)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SUM('Picks'!$BY$2:$BY$114)</f>
        <v/>
      </c>
      <c r="C10" s="9">
        <f>IFERROR(AVERAGEIF('Picks'!$AB$2:$AB$114,"&lt;&gt;",'Picks'!$AB$2:$AB$114),0)</f>
        <v/>
      </c>
      <c r="E10" s="6">
        <f>COUNTIFS('Picks'!$AM$2:$AM$114,"QUALIFIED_SHADOW_CALL",'Picks'!$U$2:$U$114,"settled")</f>
        <v/>
      </c>
      <c r="G10" s="8">
        <f>SUMIFS('Picks'!$AC$2:$AC$114,'Picks'!$AM$2:$AM$114,"QUALIFIED_SHADOW_CALL")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COUNTIFS('Picks'!$H$2:$H$114,$A14,'Picks'!$U$2:$U$114,"settled")</f>
        <v/>
      </c>
      <c r="C14" s="13">
        <f>COUNTIFS('Picks'!$H$2:$H$114,$A14,'Picks'!$U$2:$U$114,"settled",'Picks'!$V$2:$V$114,"win")</f>
        <v/>
      </c>
      <c r="D14" s="13">
        <f>COUNTIFS('Picks'!$H$2:$H$114,$A14,'Picks'!$U$2:$U$114,"settled",'Picks'!$V$2:$V$114,"loss")</f>
        <v/>
      </c>
      <c r="E14" s="14">
        <f>IFERROR(C14/(C14+D14),0)</f>
        <v/>
      </c>
      <c r="F14" s="15">
        <f>SUMIFS('Picks'!$BY$2:$BY$114,'Picks'!$H$2:$H$114,$A14)</f>
        <v/>
      </c>
      <c r="G14" s="16">
        <f>IFERROR(AVERAGEIFS('Picks'!$AB$2:$AB$114,'Picks'!$H$2:$H$114,$A14,'Picks'!$U$2:$U$114,"settled"),0)</f>
        <v/>
      </c>
    </row>
    <row r="15">
      <c r="A15" s="17" t="inlineStr">
        <is>
          <t>spread</t>
        </is>
      </c>
      <c r="B15" s="18">
        <f>COUNTIFS('Picks'!$H$2:$H$114,$A15,'Picks'!$U$2:$U$114,"settled")</f>
        <v/>
      </c>
      <c r="C15" s="18">
        <f>COUNTIFS('Picks'!$H$2:$H$114,$A15,'Picks'!$U$2:$U$114,"settled",'Picks'!$V$2:$V$114,"win")</f>
        <v/>
      </c>
      <c r="D15" s="18">
        <f>COUNTIFS('Picks'!$H$2:$H$114,$A15,'Picks'!$U$2:$U$114,"settled",'Picks'!$V$2:$V$114,"loss")</f>
        <v/>
      </c>
      <c r="E15" s="19">
        <f>IFERROR(C15/(C15+D15),0)</f>
        <v/>
      </c>
      <c r="F15" s="20">
        <f>SUMIFS('Picks'!$BY$2:$BY$114,'Picks'!$H$2:$H$114,$A15)</f>
        <v/>
      </c>
      <c r="G15" s="21">
        <f>IFERROR(AVERAGEIFS('Picks'!$AB$2:$AB$114,'Picks'!$H$2:$H$114,$A15,'Picks'!$U$2:$U$114,"settled"),0)</f>
        <v/>
      </c>
    </row>
    <row r="16">
      <c r="A16" s="12" t="inlineStr">
        <is>
          <t>total</t>
        </is>
      </c>
      <c r="B16" s="13">
        <f>COUNTIFS('Picks'!$H$2:$H$114,$A16,'Picks'!$U$2:$U$114,"settled")</f>
        <v/>
      </c>
      <c r="C16" s="13">
        <f>COUNTIFS('Picks'!$H$2:$H$114,$A16,'Picks'!$U$2:$U$114,"settled",'Picks'!$V$2:$V$114,"win")</f>
        <v/>
      </c>
      <c r="D16" s="13">
        <f>COUNTIFS('Picks'!$H$2:$H$114,$A16,'Picks'!$U$2:$U$114,"settled",'Picks'!$V$2:$V$114,"loss")</f>
        <v/>
      </c>
      <c r="E16" s="14">
        <f>IFERROR(C16/(C16+D16),0)</f>
        <v/>
      </c>
      <c r="F16" s="15">
        <f>SUMIFS('Picks'!$BY$2:$BY$114,'Picks'!$H$2:$H$114,$A16)</f>
        <v/>
      </c>
      <c r="G16" s="16">
        <f>IFERROR(AVERAGEIFS('Picks'!$AB$2:$AB$114,'Picks'!$H$2:$H$114,$A16,'Picks'!$U$2:$U$114,"settled"),0)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</row>
    <row r="100" ht="36" customHeight="1">
      <c r="A100" s="24" t="inlineStr">
        <is>
          <t>55bbf085e03f44e4</t>
        </is>
      </c>
      <c r="B100" s="24" t="inlineStr">
        <is>
          <t>2026-08-02T13:06:07.951791Z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-150</v>
      </c>
      <c r="M100" s="27" t="n">
        <v>1.666667</v>
      </c>
      <c r="N100" s="28" t="n">
        <v>0.6</v>
      </c>
      <c r="O100" s="28" t="n">
        <v>0.821797</v>
      </c>
      <c r="P100" s="28" t="n">
        <v>0.05</v>
      </c>
      <c r="Q100" s="28" t="n">
        <v>0.221797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Surface-blended Elo on Hard: Alexandra Eala p=0.178 vs Jessica Pegula. Executable ask 0.6000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2026-08-02T13:03:06.520346Z</t>
        </is>
      </c>
      <c r="BI100" s="24" t="inlineStr">
        <is>
          <t>["same_event","same_team_same_day","same_league_same_day"]</t>
        </is>
      </c>
      <c r="BJ100" s="25" t="n"/>
      <c r="BK100" s="26" t="n">
        <v>-150</v>
      </c>
      <c r="BL100" s="27" t="n">
        <v>1.666667</v>
      </c>
      <c r="BM100" s="28" t="n">
        <v>0.6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</row>
    <row r="101" ht="36" customHeight="1">
      <c r="A101" s="24" t="inlineStr">
        <is>
          <t>7d464ad36d7c4d6c</t>
        </is>
      </c>
      <c r="B101" s="24" t="inlineStr">
        <is>
          <t>2026-08-02T13:06:07.951791Z</t>
        </is>
      </c>
      <c r="C101" s="24" t="inlineStr">
        <is>
          <t>2026-08-02T17:30Z</t>
        </is>
      </c>
      <c r="D101" s="24" t="inlineStr">
        <is>
          <t>1067-2026:179469</t>
        </is>
      </c>
      <c r="E101" s="24" t="inlineStr">
        <is>
          <t>TENNIS</t>
        </is>
      </c>
      <c r="F101" s="24" t="inlineStr">
        <is>
          <t>Darja Vidmanova</t>
        </is>
      </c>
      <c r="G101" s="24" t="inlineStr">
        <is>
          <t>Kristina Liutova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0.639939</v>
      </c>
      <c r="P101" s="28" t="n">
        <v>0.05</v>
      </c>
      <c r="Q101" s="28" t="n">
        <v>0.120708</v>
      </c>
      <c r="R101" s="26" t="n">
        <v>80</v>
      </c>
      <c r="S101" s="29" t="n">
        <v>1.5</v>
      </c>
      <c r="T101" s="24" t="inlineStr">
        <is>
          <t>tennis-surface-elo-v1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Surface-blended Elo on Hard: Darja Vidmanova p=0.640 vs Kristina Liutova. Executable ask 0.5200 (aec-wta-kriliu-darvid-2026-08-02).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Darja Vidmanova</t>
        </is>
      </c>
      <c r="AQ101" s="24" t="inlineStr">
        <is>
          <t>Darja Vidmanova</t>
        </is>
      </c>
      <c r="AR101" s="24" t="inlineStr">
        <is>
          <t>Darja Vidmanova</t>
        </is>
      </c>
      <c r="AS101" s="24" t="inlineStr">
        <is>
          <t>Kristina Liutova</t>
        </is>
      </c>
      <c r="AT101" s="24" t="inlineStr">
        <is>
          <t>Kristina Liutova</t>
        </is>
      </c>
      <c r="AU101" s="24" t="inlineStr">
        <is>
          <t>Kristina Liutova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2026-08-02T13:02:54.201124Z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</row>
    <row r="102" ht="36" customHeight="1">
      <c r="A102" s="24" t="inlineStr">
        <is>
          <t>29e6aff4398b4d37</t>
        </is>
      </c>
      <c r="B102" s="24" t="inlineStr">
        <is>
          <t>2026-08-02T13:06:07.951791Z</t>
        </is>
      </c>
      <c r="C102" s="24" t="inlineStr">
        <is>
          <t>2026-08-02T16:30Z</t>
        </is>
      </c>
      <c r="D102" s="24" t="inlineStr">
        <is>
          <t>421-2026:182259</t>
        </is>
      </c>
      <c r="E102" s="24" t="inlineStr">
        <is>
          <t>TENNIS</t>
        </is>
      </c>
      <c r="F102" s="24" t="inlineStr">
        <is>
          <t>Viktorija Golubic</t>
        </is>
      </c>
      <c r="G102" s="24" t="inlineStr">
        <is>
          <t>Kimberly Birrell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0.530496</v>
      </c>
      <c r="P102" s="28" t="n">
        <v>0.05</v>
      </c>
      <c r="Q102" s="28" t="n">
        <v>0.020692</v>
      </c>
      <c r="R102" s="26" t="n">
        <v>30</v>
      </c>
      <c r="S102" s="29" t="n">
        <v>1</v>
      </c>
      <c r="T102" s="24" t="inlineStr">
        <is>
          <t>tennis-surface-elo-v1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Surface-blended Elo on Hard: Viktorija Golubic p=0.470 vs Kimberly Birrell. Executable ask 0.5100 (aec-wta-kimbir-vikgol-2026-08-02).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Viktorija Golubic</t>
        </is>
      </c>
      <c r="AQ102" s="24" t="inlineStr">
        <is>
          <t>Viktorija Golubic</t>
        </is>
      </c>
      <c r="AR102" s="24" t="inlineStr">
        <is>
          <t>Viktorija Golubic</t>
        </is>
      </c>
      <c r="AS102" s="24" t="inlineStr">
        <is>
          <t>Kimberly Birrell</t>
        </is>
      </c>
      <c r="AT102" s="24" t="inlineStr">
        <is>
          <t>Kimberly Birrell</t>
        </is>
      </c>
      <c r="AU102" s="24" t="inlineStr">
        <is>
          <t>Kimberly Birrell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2026-08-02T13:02:54.035256Z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</row>
    <row r="103" ht="36" customHeight="1">
      <c r="A103" s="24" t="inlineStr">
        <is>
          <t>d7f806886b994cbd</t>
        </is>
      </c>
      <c r="B103" s="24" t="inlineStr">
        <is>
          <t>2026-08-02T13:06:07.951791Z</t>
        </is>
      </c>
      <c r="C103" s="24" t="inlineStr">
        <is>
          <t>2026-08-02T16:30Z</t>
        </is>
      </c>
      <c r="D103" s="24" t="inlineStr">
        <is>
          <t>421-2026:182279</t>
        </is>
      </c>
      <c r="E103" s="24" t="inlineStr">
        <is>
          <t>TENNIS</t>
        </is>
      </c>
      <c r="F103" s="24" t="inlineStr">
        <is>
          <t>Cristina Bucsa</t>
        </is>
      </c>
      <c r="G103" s="24" t="inlineStr">
        <is>
          <t>Moyuka Uchijima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-127</v>
      </c>
      <c r="M103" s="27" t="n">
        <v>1.787402</v>
      </c>
      <c r="N103" s="28" t="n">
        <v>0.5594710000000001</v>
      </c>
      <c r="O103" s="28" t="n">
        <v>0.548768</v>
      </c>
      <c r="P103" s="28" t="n">
        <v>0.05</v>
      </c>
      <c r="Q103" s="28" t="n">
        <v>-0.010703</v>
      </c>
      <c r="R103" s="26" t="n">
        <v>15</v>
      </c>
      <c r="S103" s="29" t="n">
        <v>1</v>
      </c>
      <c r="T103" s="24" t="inlineStr">
        <is>
          <t>tennis-surface-elo-v1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Surface-blended Elo on Hard: Cristina Bucsa p=0.549 vs Moyuka Uchijima. Executable ask 0.5600 (aec-wta-moyuch-cribuc-2026-08-02).</t>
        </is>
      </c>
      <c r="AF103" s="31" t="inlineStr">
        <is>
          <t>Research-only surface-blended Elo model; singles only, WTA-only market coverage, not yet locked-holdout qualified.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Cristina Bucsa</t>
        </is>
      </c>
      <c r="AQ103" s="24" t="inlineStr">
        <is>
          <t>Cristina Bucsa</t>
        </is>
      </c>
      <c r="AR103" s="24" t="inlineStr">
        <is>
          <t>Cristina Bucsa</t>
        </is>
      </c>
      <c r="AS103" s="24" t="inlineStr">
        <is>
          <t>Moyuka Uchijima</t>
        </is>
      </c>
      <c r="AT103" s="24" t="inlineStr">
        <is>
          <t>Moyuka Uchijima</t>
        </is>
      </c>
      <c r="AU103" s="24" t="inlineStr">
        <is>
          <t>Moyuka Uchijima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999faa03e2fa83bdf40e3760cb8645b4c314e4cc37c2050b8320d6582c4d8167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999faa03e2fa83bdf40e3760cb8645b4c314e4cc37c2050b8320d6582c4d8167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999faa03e2fa83bdf40e3760cb8645b4c314e4cc37c2050b8320d6582c4d8167</t>
        </is>
      </c>
      <c r="BH103" s="24" t="inlineStr">
        <is>
          <t>2026-08-02T13:02:52.534967Z</t>
        </is>
      </c>
      <c r="BI103" s="24" t="inlineStr">
        <is>
          <t>["same_event","same_team_same_day","same_league_same_day"]</t>
        </is>
      </c>
      <c r="BJ103" s="25" t="n"/>
      <c r="BK103" s="26" t="n">
        <v>-127</v>
      </c>
      <c r="BL103" s="27" t="n">
        <v>1.787402</v>
      </c>
      <c r="BM103" s="28" t="n">
        <v>0.5594710000000001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</row>
    <row r="104" ht="36" customHeight="1">
      <c r="A104" s="24" t="inlineStr">
        <is>
          <t>1e896c6181374872</t>
        </is>
      </c>
      <c r="B104" s="24" t="inlineStr">
        <is>
          <t>2026-08-02T13:06:07.951791Z</t>
        </is>
      </c>
      <c r="C104" s="24" t="inlineStr">
        <is>
          <t>2026-08-02T16:30Z</t>
        </is>
      </c>
      <c r="D104" s="24" t="inlineStr">
        <is>
          <t>421-2026:182280</t>
        </is>
      </c>
      <c r="E104" s="24" t="inlineStr">
        <is>
          <t>TENNIS</t>
        </is>
      </c>
      <c r="F104" s="24" t="inlineStr">
        <is>
          <t>Sara Bejlek</t>
        </is>
      </c>
      <c r="G104" s="24" t="inlineStr">
        <is>
          <t>Wang Xiyu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0.597848</v>
      </c>
      <c r="P104" s="28" t="n">
        <v>0.05</v>
      </c>
      <c r="Q104" s="28" t="n">
        <v>0.018016</v>
      </c>
      <c r="R104" s="26" t="n">
        <v>29</v>
      </c>
      <c r="S104" s="29" t="n">
        <v>1.25</v>
      </c>
      <c r="T104" s="24" t="inlineStr">
        <is>
          <t>tennis-surface-elo-v1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Surface-blended Elo on Hard: Sara Bejlek p=0.598 vs Wang Xiyu. Executable ask 0.5800 (aec-wta-xiywan-sarbej-2026-08-02).</t>
        </is>
      </c>
      <c r="AF104" s="31" t="inlineStr">
        <is>
          <t>Research-only surface-blended Elo model; singles only, WTA-only market coverage, not yet locked-holdout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Sara Bejlek</t>
        </is>
      </c>
      <c r="AQ104" s="24" t="inlineStr">
        <is>
          <t>Sara Bejlek</t>
        </is>
      </c>
      <c r="AR104" s="24" t="inlineStr">
        <is>
          <t>Sara Bejlek</t>
        </is>
      </c>
      <c r="AS104" s="24" t="inlineStr">
        <is>
          <t>Wang Xiyu</t>
        </is>
      </c>
      <c r="AT104" s="24" t="inlineStr">
        <is>
          <t>Wang Xiyu</t>
        </is>
      </c>
      <c r="AU104" s="24" t="inlineStr">
        <is>
          <t>Wang Xiyu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999faa03e2fa83bdf40e3760cb8645b4c314e4cc37c2050b8320d6582c4d8167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999faa03e2fa83bdf40e3760cb8645b4c314e4cc37c2050b8320d6582c4d8167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999faa03e2fa83bdf40e3760cb8645b4c314e4cc37c2050b8320d6582c4d8167</t>
        </is>
      </c>
      <c r="BH104" s="24" t="inlineStr">
        <is>
          <t>2026-08-02T13:02:52.010592Z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</row>
    <row r="105" ht="36" customHeight="1">
      <c r="A105" s="24" t="inlineStr">
        <is>
          <t>8e7ed969290f4b2b</t>
        </is>
      </c>
      <c r="B105" s="24" t="inlineStr">
        <is>
          <t>2026-08-02T13:06:07.951791Z</t>
        </is>
      </c>
      <c r="C105" s="24" t="inlineStr">
        <is>
          <t>2026-08-02T18:00Z</t>
        </is>
      </c>
      <c r="D105" s="24" t="inlineStr">
        <is>
          <t>421-2026:182236</t>
        </is>
      </c>
      <c r="E105" s="24" t="inlineStr">
        <is>
          <t>TENNIS</t>
        </is>
      </c>
      <c r="F105" s="24" t="inlineStr">
        <is>
          <t>Leolia Jeanjean</t>
        </is>
      </c>
      <c r="G105" s="24" t="inlineStr">
        <is>
          <t>Magdalena Frech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150</v>
      </c>
      <c r="M105" s="27" t="n">
        <v>2.5</v>
      </c>
      <c r="N105" s="28" t="n">
        <v>0.4</v>
      </c>
      <c r="O105" s="28" t="n">
        <v>0.504343</v>
      </c>
      <c r="P105" s="28" t="n">
        <v>0.05</v>
      </c>
      <c r="Q105" s="28" t="n">
        <v>0.104343</v>
      </c>
      <c r="R105" s="26" t="n">
        <v>72</v>
      </c>
      <c r="S105" s="29" t="n">
        <v>1</v>
      </c>
      <c r="T105" s="24" t="inlineStr">
        <is>
          <t>tennis-surface-elo-v1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Surface-blended Elo on Hard: Leolia Jeanjean p=0.504 vs Magdalena Frech. Executable ask 0.4000 (aec-wta-magfre-leojea-2026-08-02).</t>
        </is>
      </c>
      <c r="AF105" s="31" t="inlineStr">
        <is>
          <t>Research-only surface-blended Elo model; singles only, WTA-only market coverage, not yet locked-holdout qualified.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Leolia Jeanjean</t>
        </is>
      </c>
      <c r="AQ105" s="24" t="inlineStr">
        <is>
          <t>Leolia Jeanjean</t>
        </is>
      </c>
      <c r="AR105" s="24" t="inlineStr">
        <is>
          <t>Leolia Jeanjean</t>
        </is>
      </c>
      <c r="AS105" s="24" t="inlineStr">
        <is>
          <t>Magdalena Frech</t>
        </is>
      </c>
      <c r="AT105" s="24" t="inlineStr">
        <is>
          <t>Magdalena Frech</t>
        </is>
      </c>
      <c r="AU105" s="24" t="inlineStr">
        <is>
          <t>Magdalena Frech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999faa03e2fa83bdf40e3760cb8645b4c314e4cc37c2050b8320d6582c4d8167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999faa03e2fa83bdf40e3760cb8645b4c314e4cc37c2050b8320d6582c4d8167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999faa03e2fa83bdf40e3760cb8645b4c314e4cc37c2050b8320d6582c4d8167</t>
        </is>
      </c>
      <c r="BH105" s="24" t="inlineStr">
        <is>
          <t>2026-08-02T13:02:57.273126Z</t>
        </is>
      </c>
      <c r="BI105" s="24" t="inlineStr">
        <is>
          <t>["same_event","same_team_same_day","same_league_same_day"]</t>
        </is>
      </c>
      <c r="BJ105" s="25" t="n"/>
      <c r="BK105" s="26" t="n">
        <v>150</v>
      </c>
      <c r="BL105" s="27" t="n">
        <v>2.5</v>
      </c>
      <c r="BM105" s="28" t="n">
        <v>0.4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</row>
    <row r="106" ht="36" customHeight="1">
      <c r="A106" s="24" t="inlineStr">
        <is>
          <t>c38d58a0356a465c</t>
        </is>
      </c>
      <c r="B106" s="24" t="inlineStr">
        <is>
          <t>2026-08-02T13:06:07.951791Z</t>
        </is>
      </c>
      <c r="C106" s="24" t="inlineStr">
        <is>
          <t>2026-08-02T18:00Z</t>
        </is>
      </c>
      <c r="D106" s="24" t="inlineStr">
        <is>
          <t>421-2026:182257</t>
        </is>
      </c>
      <c r="E106" s="24" t="inlineStr">
        <is>
          <t>TENNIS</t>
        </is>
      </c>
      <c r="F106" s="24" t="inlineStr">
        <is>
          <t>Antonia Ruzic</t>
        </is>
      </c>
      <c r="G106" s="24" t="inlineStr">
        <is>
          <t>Lois Boisson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0.549832</v>
      </c>
      <c r="P106" s="28" t="n">
        <v>0.05</v>
      </c>
      <c r="Q106" s="28" t="n">
        <v>0.030601</v>
      </c>
      <c r="R106" s="26" t="n">
        <v>35</v>
      </c>
      <c r="S106" s="29" t="n">
        <v>1</v>
      </c>
      <c r="T106" s="24" t="inlineStr">
        <is>
          <t>tennis-surface-elo-v1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Surface-blended Elo on Hard: Antonia Ruzic p=0.550 vs Lois Boisson. Executable ask 0.5200 (aec-wta-loiboi-antruz-2026-08-02).</t>
        </is>
      </c>
      <c r="AF106" s="31" t="inlineStr">
        <is>
          <t>Research-only surface-blended Elo model; singles only, WTA-only market coverage, not yet locked-holdout qualified.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Antonia Ruzic</t>
        </is>
      </c>
      <c r="AQ106" s="24" t="inlineStr">
        <is>
          <t>Antonia Ruzic</t>
        </is>
      </c>
      <c r="AR106" s="24" t="inlineStr">
        <is>
          <t>Antonia Ruzic</t>
        </is>
      </c>
      <c r="AS106" s="24" t="inlineStr">
        <is>
          <t>Lois Boisson</t>
        </is>
      </c>
      <c r="AT106" s="24" t="inlineStr">
        <is>
          <t>Lois Boisson</t>
        </is>
      </c>
      <c r="AU106" s="24" t="inlineStr">
        <is>
          <t>Lois Boisson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999faa03e2fa83bdf40e3760cb8645b4c314e4cc37c2050b8320d6582c4d8167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999faa03e2fa83bdf40e3760cb8645b4c314e4cc37c2050b8320d6582c4d8167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999faa03e2fa83bdf40e3760cb8645b4c314e4cc37c2050b8320d6582c4d8167</t>
        </is>
      </c>
      <c r="BH106" s="24" t="inlineStr">
        <is>
          <t>2026-08-02T13:02:59.101567Z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</row>
    <row r="107" ht="36" customHeight="1">
      <c r="A107" s="24" t="inlineStr">
        <is>
          <t>ba8d1777216147f7</t>
        </is>
      </c>
      <c r="B107" s="24" t="inlineStr">
        <is>
          <t>2026-08-02T13:06:07.951791Z</t>
        </is>
      </c>
      <c r="C107" s="24" t="inlineStr">
        <is>
          <t>2026-08-02T18:00Z</t>
        </is>
      </c>
      <c r="D107" s="24" t="inlineStr">
        <is>
          <t>421-2026:182268</t>
        </is>
      </c>
      <c r="E107" s="24" t="inlineStr">
        <is>
          <t>TENNIS</t>
        </is>
      </c>
      <c r="F107" s="24" t="inlineStr">
        <is>
          <t>Katherine Sebov</t>
        </is>
      </c>
      <c r="G107" s="24" t="inlineStr">
        <is>
          <t>Aoi Ito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-144</v>
      </c>
      <c r="M107" s="27" t="n">
        <v>1.694444</v>
      </c>
      <c r="N107" s="28" t="n">
        <v>0.590164</v>
      </c>
      <c r="O107" s="28" t="n">
        <v>0.52927</v>
      </c>
      <c r="P107" s="28" t="n">
        <v>0.05</v>
      </c>
      <c r="Q107" s="28" t="n">
        <v>-0.060894</v>
      </c>
      <c r="R107" s="26" t="n">
        <v>0</v>
      </c>
      <c r="S107" s="29" t="n">
        <v>1</v>
      </c>
      <c r="T107" s="24" t="inlineStr">
        <is>
          <t>tennis-surface-elo-v1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Surface-blended Elo on Hard: Katherine Sebov p=0.471 vs Aoi Ito. Executable ask 0.5900 (aec-wta-aoiito-katseb-2026-08-02).</t>
        </is>
      </c>
      <c r="AF107" s="31" t="inlineStr">
        <is>
          <t>Research-only surface-blended Elo model; singles only, WTA-only market coverage, not yet locked-holdout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Katherine Sebov</t>
        </is>
      </c>
      <c r="AQ107" s="24" t="inlineStr">
        <is>
          <t>Katherine Sebov</t>
        </is>
      </c>
      <c r="AR107" s="24" t="inlineStr">
        <is>
          <t>Katherine Sebov</t>
        </is>
      </c>
      <c r="AS107" s="24" t="inlineStr">
        <is>
          <t>Aoi Ito</t>
        </is>
      </c>
      <c r="AT107" s="24" t="inlineStr">
        <is>
          <t>Aoi Ito</t>
        </is>
      </c>
      <c r="AU107" s="24" t="inlineStr">
        <is>
          <t>Aoi Ito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999faa03e2fa83bdf40e3760cb8645b4c314e4cc37c2050b8320d6582c4d8167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999faa03e2fa83bdf40e3760cb8645b4c314e4cc37c2050b8320d6582c4d8167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999faa03e2fa83bdf40e3760cb8645b4c314e4cc37c2050b8320d6582c4d8167</t>
        </is>
      </c>
      <c r="BH107" s="24" t="inlineStr">
        <is>
          <t>2026-08-02T13:03:00.691051Z</t>
        </is>
      </c>
      <c r="BI107" s="24" t="inlineStr">
        <is>
          <t>["same_event","same_team_same_day","same_league_same_day"]</t>
        </is>
      </c>
      <c r="BJ107" s="25" t="n"/>
      <c r="BK107" s="26" t="n">
        <v>-144</v>
      </c>
      <c r="BL107" s="27" t="n">
        <v>1.694444</v>
      </c>
      <c r="BM107" s="28" t="n">
        <v>0.590164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</row>
    <row r="108" ht="36" customHeight="1">
      <c r="A108" s="24" t="inlineStr">
        <is>
          <t>8b27c3e5857049f5</t>
        </is>
      </c>
      <c r="B108" s="24" t="inlineStr">
        <is>
          <t>2026-08-02T13:06:07.951791Z</t>
        </is>
      </c>
      <c r="C108" s="24" t="inlineStr">
        <is>
          <t>2026-08-02T18:00Z</t>
        </is>
      </c>
      <c r="D108" s="24" t="inlineStr">
        <is>
          <t>421-2026:182284</t>
        </is>
      </c>
      <c r="E108" s="24" t="inlineStr">
        <is>
          <t>TENNIS</t>
        </is>
      </c>
      <c r="F108" s="24" t="inlineStr">
        <is>
          <t>Camila Osorio</t>
        </is>
      </c>
      <c r="G108" s="24" t="inlineStr">
        <is>
          <t>Lucrezia Stefanini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-213</v>
      </c>
      <c r="M108" s="27" t="n">
        <v>1.469484</v>
      </c>
      <c r="N108" s="28" t="n">
        <v>0.680511</v>
      </c>
      <c r="O108" s="28" t="n">
        <v>0.736958</v>
      </c>
      <c r="P108" s="28" t="n">
        <v>0.05</v>
      </c>
      <c r="Q108" s="28" t="n">
        <v>0.056447</v>
      </c>
      <c r="R108" s="26" t="n">
        <v>48</v>
      </c>
      <c r="S108" s="29" t="n">
        <v>2</v>
      </c>
      <c r="T108" s="24" t="inlineStr">
        <is>
          <t>tennis-surface-elo-v1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Surface-blended Elo on Hard: Camila Osorio p=0.737 vs Lucrezia Stefanini. Executable ask 0.6800 (aec-wta-lucste-camoso-2026-08-02).</t>
        </is>
      </c>
      <c r="AF108" s="31" t="inlineStr">
        <is>
          <t>Research-only surface-blended Elo model; singles only, WTA-only market coverage, not yet locked-holdout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Camila Osorio</t>
        </is>
      </c>
      <c r="AQ108" s="24" t="inlineStr">
        <is>
          <t>Camila Osorio</t>
        </is>
      </c>
      <c r="AR108" s="24" t="inlineStr">
        <is>
          <t>Camila Osorio</t>
        </is>
      </c>
      <c r="AS108" s="24" t="inlineStr">
        <is>
          <t>Lucrezia Stefanini</t>
        </is>
      </c>
      <c r="AT108" s="24" t="inlineStr">
        <is>
          <t>Lucrezia Stefanini</t>
        </is>
      </c>
      <c r="AU108" s="24" t="inlineStr">
        <is>
          <t>Lucrezia Stefanini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999faa03e2fa83bdf40e3760cb8645b4c314e4cc37c2050b8320d6582c4d8167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999faa03e2fa83bdf40e3760cb8645b4c314e4cc37c2050b8320d6582c4d8167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999faa03e2fa83bdf40e3760cb8645b4c314e4cc37c2050b8320d6582c4d8167</t>
        </is>
      </c>
      <c r="BH108" s="24" t="inlineStr">
        <is>
          <t>2026-08-02T13:02:56.120241Z</t>
        </is>
      </c>
      <c r="BI108" s="24" t="inlineStr">
        <is>
          <t>["same_event","same_team_same_day","same_league_same_day"]</t>
        </is>
      </c>
      <c r="BJ108" s="25" t="n"/>
      <c r="BK108" s="26" t="n">
        <v>-213</v>
      </c>
      <c r="BL108" s="27" t="n">
        <v>1.469484</v>
      </c>
      <c r="BM108" s="28" t="n">
        <v>0.680511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</row>
    <row r="109" ht="36" customHeight="1">
      <c r="A109" s="24" t="inlineStr">
        <is>
          <t>da00bccb495b4f35</t>
        </is>
      </c>
      <c r="B109" s="24" t="inlineStr">
        <is>
          <t>2026-08-02T13:06:07.951791Z</t>
        </is>
      </c>
      <c r="C109" s="24" t="inlineStr">
        <is>
          <t>2026-08-02T19:30Z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117</v>
      </c>
      <c r="M109" s="27" t="n">
        <v>2.17</v>
      </c>
      <c r="N109" s="28" t="n">
        <v>0.460829</v>
      </c>
      <c r="O109" s="28" t="n">
        <v>0.53051</v>
      </c>
      <c r="P109" s="28" t="n">
        <v>0.05</v>
      </c>
      <c r="Q109" s="28" t="n">
        <v>0.06968100000000001</v>
      </c>
      <c r="R109" s="26" t="n">
        <v>55</v>
      </c>
      <c r="S109" s="29" t="n">
        <v>1</v>
      </c>
      <c r="T109" s="24" t="inlineStr">
        <is>
          <t>tennis-surface-elo-v1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Surface-blended Elo on Hard: Anna Blinkova p=0.469 vs Rebecca Sramkova. Executable ask 0.4600 (aec-wta-rebsra-annbli-2026-08-02).</t>
        </is>
      </c>
      <c r="AF109" s="31" t="inlineStr">
        <is>
          <t>Research-only surface-blended Elo model; singles only, WTA-only market coverage, not yet locked-holdout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999faa03e2fa83bdf40e3760cb8645b4c314e4cc37c2050b8320d6582c4d8167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999faa03e2fa83bdf40e3760cb8645b4c314e4cc37c2050b8320d6582c4d8167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999faa03e2fa83bdf40e3760cb8645b4c314e4cc37c2050b8320d6582c4d8167</t>
        </is>
      </c>
      <c r="BH109" s="24" t="inlineStr">
        <is>
          <t>2026-08-02T13:03:02.249448Z</t>
        </is>
      </c>
      <c r="BI109" s="24" t="inlineStr">
        <is>
          <t>["same_event","same_team_same_day","same_league_same_day"]</t>
        </is>
      </c>
      <c r="BJ109" s="25" t="n"/>
      <c r="BK109" s="26" t="n">
        <v>117</v>
      </c>
      <c r="BL109" s="27" t="n">
        <v>2.17</v>
      </c>
      <c r="BM109" s="28" t="n">
        <v>0.460829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</row>
    <row r="110" ht="36" customHeight="1">
      <c r="A110" s="24" t="inlineStr">
        <is>
          <t>1753b525b0f44db0</t>
        </is>
      </c>
      <c r="B110" s="24" t="inlineStr">
        <is>
          <t>2026-08-02T13:06:07.951791Z</t>
        </is>
      </c>
      <c r="C110" s="24" t="inlineStr">
        <is>
          <t>2026-08-02T20:00Z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-186</v>
      </c>
      <c r="M110" s="27" t="n">
        <v>1.537634</v>
      </c>
      <c r="N110" s="28" t="n">
        <v>0.65035</v>
      </c>
      <c r="O110" s="28" t="n">
        <v>0.756798</v>
      </c>
      <c r="P110" s="28" t="n">
        <v>0.05</v>
      </c>
      <c r="Q110" s="28" t="n">
        <v>0.106448</v>
      </c>
      <c r="R110" s="26" t="n">
        <v>73</v>
      </c>
      <c r="S110" s="29" t="n">
        <v>2</v>
      </c>
      <c r="T110" s="24" t="inlineStr">
        <is>
          <t>tennis-surface-elo-v1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Surface-blended Elo on Hard: Lanlana Tararudee p=0.757 vs Emerson Jones. Executable ask 0.6500 (aec-wta-emejon-lantar-2026-08-02).</t>
        </is>
      </c>
      <c r="AF110" s="31" t="inlineStr">
        <is>
          <t>Research-only surface-blended Elo model; singles only, WTA-only market coverage, not yet locked-holdout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999faa03e2fa83bdf40e3760cb8645b4c314e4cc37c2050b8320d6582c4d8167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999faa03e2fa83bdf40e3760cb8645b4c314e4cc37c2050b8320d6582c4d8167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999faa03e2fa83bdf40e3760cb8645b4c314e4cc37c2050b8320d6582c4d8167</t>
        </is>
      </c>
      <c r="BH110" s="24" t="inlineStr">
        <is>
          <t>2026-08-02T13:03:03.966317Z</t>
        </is>
      </c>
      <c r="BI110" s="24" t="inlineStr">
        <is>
          <t>["same_event","same_team_same_day","same_league_same_day"]</t>
        </is>
      </c>
      <c r="BJ110" s="25" t="n"/>
      <c r="BK110" s="26" t="n">
        <v>-186</v>
      </c>
      <c r="BL110" s="27" t="n">
        <v>1.537634</v>
      </c>
      <c r="BM110" s="28" t="n">
        <v>0.65035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</row>
    <row r="111" ht="36" customHeight="1">
      <c r="A111" s="24" t="inlineStr">
        <is>
          <t>4d7224f9b9324e14</t>
        </is>
      </c>
      <c r="B111" s="24" t="inlineStr">
        <is>
          <t>2026-08-02T13:06:07.951791Z</t>
        </is>
      </c>
      <c r="C111" s="24" t="inlineStr">
        <is>
          <t>2026-08-02T21:00Z</t>
        </is>
      </c>
      <c r="D111" s="24" t="inlineStr">
        <is>
          <t>421-2026:182240</t>
        </is>
      </c>
      <c r="E111" s="24" t="inlineStr">
        <is>
          <t>TENNIS</t>
        </is>
      </c>
      <c r="F111" s="24" t="inlineStr">
        <is>
          <t>Cadence Brace</t>
        </is>
      </c>
      <c r="G111" s="24" t="inlineStr">
        <is>
          <t>McCartney Kessler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-669</v>
      </c>
      <c r="M111" s="27" t="n">
        <v>1.149477</v>
      </c>
      <c r="N111" s="28" t="n">
        <v>0.869961</v>
      </c>
      <c r="O111" s="28" t="n">
        <v>0.7637620000000001</v>
      </c>
      <c r="P111" s="28" t="n">
        <v>0.05</v>
      </c>
      <c r="Q111" s="28" t="n">
        <v>-0.106199</v>
      </c>
      <c r="R111" s="26" t="n">
        <v>0</v>
      </c>
      <c r="S111" s="29" t="n">
        <v>2</v>
      </c>
      <c r="T111" s="24" t="inlineStr">
        <is>
          <t>tennis-surface-elo-v1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Surface-blended Elo on Hard: Cadence Brace p=0.236 vs McCartney Kessler. Executable ask 0.8700 (aec-wta-mcckes-cadbra-2026-08-02).</t>
        </is>
      </c>
      <c r="AF111" s="31" t="inlineStr">
        <is>
          <t>Research-only surface-blended Elo model; singles only, WTA-only market coverage, not yet locked-holdout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Cadence Brace</t>
        </is>
      </c>
      <c r="AQ111" s="24" t="inlineStr">
        <is>
          <t>Cadence Brace</t>
        </is>
      </c>
      <c r="AR111" s="24" t="inlineStr">
        <is>
          <t>Cadence Brace</t>
        </is>
      </c>
      <c r="AS111" s="24" t="inlineStr">
        <is>
          <t>McCartney Kessler</t>
        </is>
      </c>
      <c r="AT111" s="24" t="inlineStr">
        <is>
          <t>McCartney Kessler</t>
        </is>
      </c>
      <c r="AU111" s="24" t="inlineStr">
        <is>
          <t>McCartney Kessler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999faa03e2fa83bdf40e3760cb8645b4c314e4cc37c2050b8320d6582c4d8167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999faa03e2fa83bdf40e3760cb8645b4c314e4cc37c2050b8320d6582c4d8167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999faa03e2fa83bdf40e3760cb8645b4c314e4cc37c2050b8320d6582c4d8167</t>
        </is>
      </c>
      <c r="BH111" s="24" t="inlineStr">
        <is>
          <t>2026-08-02T13:03:05.518836Z</t>
        </is>
      </c>
      <c r="BI111" s="24" t="inlineStr">
        <is>
          <t>["same_event","same_team_same_day","same_league_same_day"]</t>
        </is>
      </c>
      <c r="BJ111" s="25" t="n"/>
      <c r="BK111" s="26" t="n">
        <v>-669</v>
      </c>
      <c r="BL111" s="27" t="n">
        <v>1.149477</v>
      </c>
      <c r="BM111" s="28" t="n">
        <v>0.869961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</row>
    <row r="112" ht="36" customHeight="1">
      <c r="A112" s="24" t="inlineStr">
        <is>
          <t>9051b14886ef491b</t>
        </is>
      </c>
      <c r="B112" s="24" t="inlineStr">
        <is>
          <t>2026-08-02T13:06:07.951791Z</t>
        </is>
      </c>
      <c r="C112" s="24" t="inlineStr">
        <is>
          <t>2026-08-02T21:30Z</t>
        </is>
      </c>
      <c r="D112" s="24" t="inlineStr">
        <is>
          <t>421-2026:182283</t>
        </is>
      </c>
      <c r="E112" s="24" t="inlineStr">
        <is>
          <t>TENNIS</t>
        </is>
      </c>
      <c r="F112" s="24" t="inlineStr">
        <is>
          <t>Elisabetta Cocciaretto</t>
        </is>
      </c>
      <c r="G112" s="24" t="inlineStr">
        <is>
          <t>Talia Gibson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-144</v>
      </c>
      <c r="M112" s="27" t="n">
        <v>1.694444</v>
      </c>
      <c r="N112" s="28" t="n">
        <v>0.590164</v>
      </c>
      <c r="O112" s="28" t="n">
        <v>0.578226</v>
      </c>
      <c r="P112" s="28" t="n">
        <v>0.05</v>
      </c>
      <c r="Q112" s="28" t="n">
        <v>-0.011938</v>
      </c>
      <c r="R112" s="26" t="n">
        <v>14</v>
      </c>
      <c r="S112" s="29" t="n">
        <v>1.25</v>
      </c>
      <c r="T112" s="24" t="inlineStr">
        <is>
          <t>tennis-surface-elo-v1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Surface-blended Elo on Hard: Elisabetta Cocciaretto p=0.578 vs Talia Gibson. Executable ask 0.5900 (aec-wta-talgib-elicoc-2026-08-02).</t>
        </is>
      </c>
      <c r="AF112" s="31" t="inlineStr">
        <is>
          <t>Research-only surface-blended Elo model; singles only, WTA-only market coverage,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Elisabetta Cocciaretto</t>
        </is>
      </c>
      <c r="AQ112" s="24" t="inlineStr">
        <is>
          <t>Elisabetta Cocciaretto</t>
        </is>
      </c>
      <c r="AR112" s="24" t="inlineStr">
        <is>
          <t>Elisabetta Cocciaretto</t>
        </is>
      </c>
      <c r="AS112" s="24" t="inlineStr">
        <is>
          <t>Talia Gibson</t>
        </is>
      </c>
      <c r="AT112" s="24" t="inlineStr">
        <is>
          <t>Talia Gibson</t>
        </is>
      </c>
      <c r="AU112" s="24" t="inlineStr">
        <is>
          <t>Talia Gibson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999faa03e2fa83bdf40e3760cb8645b4c314e4cc37c2050b8320d6582c4d8167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999faa03e2fa83bdf40e3760cb8645b4c314e4cc37c2050b8320d6582c4d8167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999faa03e2fa83bdf40e3760cb8645b4c314e4cc37c2050b8320d6582c4d8167</t>
        </is>
      </c>
      <c r="BH112" s="24" t="inlineStr">
        <is>
          <t>2026-08-02T13:03:08.039049Z</t>
        </is>
      </c>
      <c r="BI112" s="24" t="inlineStr">
        <is>
          <t>["same_event","same_team_same_day","same_league_same_day"]</t>
        </is>
      </c>
      <c r="BJ112" s="25" t="n"/>
      <c r="BK112" s="26" t="n">
        <v>-144</v>
      </c>
      <c r="BL112" s="27" t="n">
        <v>1.694444</v>
      </c>
      <c r="BM112" s="28" t="n">
        <v>0.590164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</row>
    <row r="113" ht="36" customHeight="1">
      <c r="A113" s="24" t="inlineStr">
        <is>
          <t>052104783b3b428d</t>
        </is>
      </c>
      <c r="B113" s="24" t="inlineStr">
        <is>
          <t>2026-08-02T13:06:07.951791Z</t>
        </is>
      </c>
      <c r="C113" s="24" t="inlineStr">
        <is>
          <t>2026-08-02T23:00Z</t>
        </is>
      </c>
      <c r="D113" s="24" t="inlineStr">
        <is>
          <t>421-2026:182274</t>
        </is>
      </c>
      <c r="E113" s="24" t="inlineStr">
        <is>
          <t>TENNIS</t>
        </is>
      </c>
      <c r="F113" s="24" t="inlineStr">
        <is>
          <t>Bianca Andreescu</t>
        </is>
      </c>
      <c r="G113" s="24" t="inlineStr">
        <is>
          <t>Nikola Bartunkova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-150</v>
      </c>
      <c r="M113" s="27" t="n">
        <v>1.666667</v>
      </c>
      <c r="N113" s="28" t="n">
        <v>0.6</v>
      </c>
      <c r="O113" s="28" t="n">
        <v>0.617346</v>
      </c>
      <c r="P113" s="28" t="n">
        <v>0.05</v>
      </c>
      <c r="Q113" s="28" t="n">
        <v>0.017346</v>
      </c>
      <c r="R113" s="26" t="n">
        <v>29</v>
      </c>
      <c r="S113" s="29" t="n">
        <v>1.5</v>
      </c>
      <c r="T113" s="24" t="inlineStr">
        <is>
          <t>tennis-surface-elo-v1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Surface-blended Elo on Hard: Bianca Andreescu p=0.383 vs Nikola Bartunkova. Executable ask 0.6000 (aec-wta-nikbar-biaand-2026-08-02).</t>
        </is>
      </c>
      <c r="AF113" s="31" t="inlineStr">
        <is>
          <t>Research-only surface-blended Elo model; singles only, WTA-only market coverage, not yet locked-holdout qualified.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Bianca Andreescu</t>
        </is>
      </c>
      <c r="AQ113" s="24" t="inlineStr">
        <is>
          <t>Bianca Andreescu</t>
        </is>
      </c>
      <c r="AR113" s="24" t="inlineStr">
        <is>
          <t>Bianca Andreescu</t>
        </is>
      </c>
      <c r="AS113" s="24" t="inlineStr">
        <is>
          <t>Nikola Bartunkova</t>
        </is>
      </c>
      <c r="AT113" s="24" t="inlineStr">
        <is>
          <t>Nikola Bartunkova</t>
        </is>
      </c>
      <c r="AU113" s="24" t="inlineStr">
        <is>
          <t>Nikola Bartunkova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999faa03e2fa83bdf40e3760cb8645b4c314e4cc37c2050b8320d6582c4d8167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999faa03e2fa83bdf40e3760cb8645b4c314e4cc37c2050b8320d6582c4d8167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999faa03e2fa83bdf40e3760cb8645b4c314e4cc37c2050b8320d6582c4d8167</t>
        </is>
      </c>
      <c r="BH113" s="24" t="inlineStr">
        <is>
          <t>2026-08-02T13:03:08.272891Z</t>
        </is>
      </c>
      <c r="BI113" s="24" t="inlineStr">
        <is>
          <t>["same_event","same_team_same_day","same_league_same_day"]</t>
        </is>
      </c>
      <c r="BJ113" s="25" t="n"/>
      <c r="BK113" s="26" t="n">
        <v>-150</v>
      </c>
      <c r="BL113" s="27" t="n">
        <v>1.666667</v>
      </c>
      <c r="BM113" s="28" t="n">
        <v>0.6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</row>
    <row r="114" ht="36" customHeight="1">
      <c r="A114" s="24" t="inlineStr">
        <is>
          <t>cedaf60a1a1b4b62</t>
        </is>
      </c>
      <c r="B114" s="24" t="inlineStr">
        <is>
          <t>2026-08-02T13:06:07.951791Z</t>
        </is>
      </c>
      <c r="C114" s="24" t="inlineStr">
        <is>
          <t>2026-08-03T00:30Z</t>
        </is>
      </c>
      <c r="D114" s="24" t="inlineStr">
        <is>
          <t>421-2026:182281</t>
        </is>
      </c>
      <c r="E114" s="24" t="inlineStr">
        <is>
          <t>TENNIS</t>
        </is>
      </c>
      <c r="F114" s="24" t="inlineStr">
        <is>
          <t>Zhang Shuai</t>
        </is>
      </c>
      <c r="G114" s="24" t="inlineStr">
        <is>
          <t>Yulia Putintseva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0.630736</v>
      </c>
      <c r="P114" s="28" t="n">
        <v>0.05</v>
      </c>
      <c r="Q114" s="28" t="n">
        <v>-0.019614</v>
      </c>
      <c r="R114" s="26" t="n">
        <v>10</v>
      </c>
      <c r="S114" s="29" t="n">
        <v>1.5</v>
      </c>
      <c r="T114" s="24" t="inlineStr">
        <is>
          <t>tennis-surface-elo-v1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Surface-blended Elo on Hard: Zhang Shuai p=0.369 vs Yulia Putintseva. Executable ask 0.6500 (aec-wta-yulput-shuzha-2026-08-02).</t>
        </is>
      </c>
      <c r="AF114" s="31" t="inlineStr">
        <is>
          <t>Research-only surface-blended Elo model; singles only, WTA-only market coverage, not yet locked-holdout qualified.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Zhang Shuai</t>
        </is>
      </c>
      <c r="AQ114" s="24" t="inlineStr">
        <is>
          <t>Zhang Shuai</t>
        </is>
      </c>
      <c r="AR114" s="24" t="inlineStr">
        <is>
          <t>Zhang Shuai</t>
        </is>
      </c>
      <c r="AS114" s="24" t="inlineStr">
        <is>
          <t>Yulia Putintseva</t>
        </is>
      </c>
      <c r="AT114" s="24" t="inlineStr">
        <is>
          <t>Yulia Putintseva</t>
        </is>
      </c>
      <c r="AU114" s="24" t="inlineStr">
        <is>
          <t>Yulia Putintseva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999faa03e2fa83bdf40e3760cb8645b4c314e4cc37c2050b8320d6582c4d8167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999faa03e2fa83bdf40e3760cb8645b4c314e4cc37c2050b8320d6582c4d8167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999faa03e2fa83bdf40e3760cb8645b4c314e4cc37c2050b8320d6582c4d8167</t>
        </is>
      </c>
      <c r="BH114" s="24" t="inlineStr">
        <is>
          <t>2026-08-02T13:03:08.587763Z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2026-08-02T13:06:13Z</dcterms:created>
  <dcterms:modified xsi:type="dcterms:W3CDTF">2026-08-02T13:06:13Z</dcterms:modified>
</cp:coreProperties>
</file>