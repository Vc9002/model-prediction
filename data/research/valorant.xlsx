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7" headerRowCount="1">
  <autoFilter ref="A1:CS37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COUNTA('Picks'!$A$2:$A$37)</f>
        <v/>
      </c>
      <c r="C4" s="6">
        <f>COUNTIF('Picks'!$U$2:$U$37,"open")</f>
        <v/>
      </c>
      <c r="E4" s="6">
        <f>COUNTIF('Picks'!$U$2:$U$37,"settled")</f>
        <v/>
      </c>
      <c r="G4" s="6">
        <f>IF(COUNTIFS('Picks'!$U$2:$U$37,"settled",'Picks'!$V$2:$V$37,"win")+COUNTIFS('Picks'!$U$2:$U$37,"settled",'Picks'!$V$2:$V$37,"loss")&gt;=$L$2,"Ready","Insufficient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COUNTIF('Picks'!$BX$2:$BX$37,"&gt;0")</f>
        <v/>
      </c>
      <c r="C7" s="6">
        <f>COUNTIFS('Picks'!$BX$2:$BX$37,"&gt;0",'Picks'!$V$2:$V$37,"win")&amp;"-"&amp;COUNTIFS('Picks'!$BX$2:$BX$37,"&gt;0",'Picks'!$V$2:$V$37,"loss")</f>
        <v/>
      </c>
      <c r="E7" s="7">
        <f>IFERROR(COUNTIFS('Picks'!$BX$2:$BX$37,"&gt;0",'Picks'!$V$2:$V$37,"win")/(COUNTIFS('Picks'!$BX$2:$BX$37,"&gt;0",'Picks'!$V$2:$V$37,"win")+COUNTIFS('Picks'!$BX$2:$BX$37,"&gt;0",'Picks'!$V$2:$V$37,"loss")),0)</f>
        <v/>
      </c>
      <c r="G7" s="7">
        <f>IFERROR(SUM('Picks'!$BY$2:$BY$37)/SUM('Picks'!$BX$2:$BX$37),0)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SUM('Picks'!$BY$2:$BY$37)</f>
        <v/>
      </c>
      <c r="C10" s="9">
        <f>IFERROR(AVERAGEIF('Picks'!$AB$2:$AB$37,"&lt;&gt;",'Picks'!$AB$2:$AB$37),0)</f>
        <v/>
      </c>
      <c r="E10" s="6">
        <f>COUNTIFS('Picks'!$AM$2:$AM$37,"QUALIFIED_SHADOW_CALL",'Picks'!$U$2:$U$37,"settled")</f>
        <v/>
      </c>
      <c r="G10" s="8">
        <f>SUMIFS('Picks'!$AC$2:$AC$37,'Picks'!$AM$2:$AM$37,"QUALIFIED_SHADOW_CALL")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COUNTIFS('Picks'!$H$2:$H$37,$A14,'Picks'!$U$2:$U$37,"settled")</f>
        <v/>
      </c>
      <c r="C14" s="13">
        <f>COUNTIFS('Picks'!$H$2:$H$37,$A14,'Picks'!$U$2:$U$37,"settled",'Picks'!$V$2:$V$37,"win")</f>
        <v/>
      </c>
      <c r="D14" s="13">
        <f>COUNTIFS('Picks'!$H$2:$H$37,$A14,'Picks'!$U$2:$U$37,"settled",'Picks'!$V$2:$V$37,"loss")</f>
        <v/>
      </c>
      <c r="E14" s="14">
        <f>IFERROR(C14/(C14+D14),0)</f>
        <v/>
      </c>
      <c r="F14" s="15">
        <f>SUMIFS('Picks'!$BY$2:$BY$37,'Picks'!$H$2:$H$37,$A14)</f>
        <v/>
      </c>
      <c r="G14" s="16">
        <f>IFERROR(AVERAGEIFS('Picks'!$AB$2:$AB$37,'Picks'!$H$2:$H$37,$A14,'Picks'!$U$2:$U$37,"settled"),0)</f>
        <v/>
      </c>
    </row>
    <row r="15">
      <c r="A15" s="17" t="inlineStr">
        <is>
          <t>spread</t>
        </is>
      </c>
      <c r="B15" s="18">
        <f>COUNTIFS('Picks'!$H$2:$H$37,$A15,'Picks'!$U$2:$U$37,"settled")</f>
        <v/>
      </c>
      <c r="C15" s="18">
        <f>COUNTIFS('Picks'!$H$2:$H$37,$A15,'Picks'!$U$2:$U$37,"settled",'Picks'!$V$2:$V$37,"win")</f>
        <v/>
      </c>
      <c r="D15" s="18">
        <f>COUNTIFS('Picks'!$H$2:$H$37,$A15,'Picks'!$U$2:$U$37,"settled",'Picks'!$V$2:$V$37,"loss")</f>
        <v/>
      </c>
      <c r="E15" s="19">
        <f>IFERROR(C15/(C15+D15),0)</f>
        <v/>
      </c>
      <c r="F15" s="20">
        <f>SUMIFS('Picks'!$BY$2:$BY$37,'Picks'!$H$2:$H$37,$A15)</f>
        <v/>
      </c>
      <c r="G15" s="21">
        <f>IFERROR(AVERAGEIFS('Picks'!$AB$2:$AB$37,'Picks'!$H$2:$H$37,$A15,'Picks'!$U$2:$U$37,"settled"),0)</f>
        <v/>
      </c>
    </row>
    <row r="16">
      <c r="A16" s="12" t="inlineStr">
        <is>
          <t>total</t>
        </is>
      </c>
      <c r="B16" s="13">
        <f>COUNTIFS('Picks'!$H$2:$H$37,$A16,'Picks'!$U$2:$U$37,"settled")</f>
        <v/>
      </c>
      <c r="C16" s="13">
        <f>COUNTIFS('Picks'!$H$2:$H$37,$A16,'Picks'!$U$2:$U$37,"settled",'Picks'!$V$2:$V$37,"win")</f>
        <v/>
      </c>
      <c r="D16" s="13">
        <f>COUNTIFS('Picks'!$H$2:$H$37,$A16,'Picks'!$U$2:$U$37,"settled",'Picks'!$V$2:$V$37,"loss")</f>
        <v/>
      </c>
      <c r="E16" s="14">
        <f>IFERROR(C16/(C16+D16),0)</f>
        <v/>
      </c>
      <c r="F16" s="15">
        <f>SUMIFS('Picks'!$BY$2:$BY$37,'Picks'!$H$2:$H$37,$A16)</f>
        <v/>
      </c>
      <c r="G16" s="16">
        <f>IFERROR(AVERAGEIFS('Picks'!$AB$2:$AB$37,'Picks'!$H$2:$H$37,$A16,'Picks'!$U$2:$U$37,"settled"),0)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-150</v>
      </c>
      <c r="AA9" s="28" t="n">
        <v>0.6</v>
      </c>
      <c r="AB9" s="28" t="n">
        <v>0</v>
      </c>
      <c r="AC9" s="30" t="n">
        <v>-1.75</v>
      </c>
      <c r="AD9" s="24" t="inlineStr">
        <is>
          <t>2026-08-02T11:45:29.283046Z</t>
        </is>
      </c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>
        <v>1.666667</v>
      </c>
      <c r="BR9" s="28" t="n">
        <v>0.6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94ceb126079549cb</t>
        </is>
      </c>
      <c r="B10" s="24" t="inlineStr">
        <is>
          <t>2026-08-02T17:48:56.490286Z</t>
        </is>
      </c>
      <c r="C10" s="24" t="inlineStr">
        <is>
          <t>2026-08-02T18:00:00Z</t>
        </is>
      </c>
      <c r="D10" s="24" t="inlineStr">
        <is>
          <t>66957</t>
        </is>
      </c>
      <c r="E10" s="24" t="inlineStr">
        <is>
          <t>VALORANT</t>
        </is>
      </c>
      <c r="F10" s="24" t="inlineStr">
        <is>
          <t>Team Heretics</t>
        </is>
      </c>
      <c r="G10" s="24" t="inlineStr">
        <is>
          <t>Fnatic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0.537865</v>
      </c>
      <c r="P10" s="28" t="n"/>
      <c r="Q10" s="28" t="n">
        <v>-0.021606</v>
      </c>
      <c r="R10" s="26" t="n">
        <v>9</v>
      </c>
      <c r="S10" s="29" t="n">
        <v>1</v>
      </c>
      <c r="T10" s="24" t="inlineStr">
        <is>
          <t>valorant-tiered-elo-v5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0.7874</v>
      </c>
      <c r="AD10" s="24" t="inlineStr">
        <is>
          <t>2026-08-02T23:13:22.740323Z</t>
        </is>
      </c>
      <c r="AE10" s="31" t="inlineStr">
        <is>
          <t>Neutral Elo baseline; executable ask 0.5600 (market_slug=aec-valorant-fnc-th-2026-08-02).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Team Heretics</t>
        </is>
      </c>
      <c r="AQ10" s="24" t="inlineStr">
        <is>
          <t>Team Heretics</t>
        </is>
      </c>
      <c r="AR10" s="24" t="inlineStr">
        <is>
          <t>Team Heretics</t>
        </is>
      </c>
      <c r="AS10" s="24" t="inlineStr">
        <is>
          <t>Fnatic</t>
        </is>
      </c>
      <c r="AT10" s="24" t="inlineStr">
        <is>
          <t>Fnatic</t>
        </is>
      </c>
      <c r="AU10" s="24" t="inlineStr">
        <is>
          <t>Fnatic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58e5b3721cf8906aae10d08de8cbb41fd662d66dfb5fe49c8d3ab04bb0741ed6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58e5b3721cf8906aae10d08de8cbb41fd662d66dfb5fe49c8d3ab04bb0741ed6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2026-08-02T17:48:49.680825Z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  <row r="11" ht="36" customHeight="1">
      <c r="A11" s="24" t="inlineStr">
        <is>
          <t>97e1abd6e51442d7</t>
        </is>
      </c>
      <c r="B11" s="24" t="inlineStr">
        <is>
          <t>2026-08-02T19:32:17.298754Z</t>
        </is>
      </c>
      <c r="C11" s="24" t="inlineStr">
        <is>
          <t>2026-08-02T21:00:00Z</t>
        </is>
      </c>
      <c r="D11" s="24" t="inlineStr">
        <is>
          <t>67311</t>
        </is>
      </c>
      <c r="E11" s="24" t="inlineStr">
        <is>
          <t>VALORANT</t>
        </is>
      </c>
      <c r="F11" s="24" t="inlineStr">
        <is>
          <t>KRÜ Esports</t>
        </is>
      </c>
      <c r="G11" s="24" t="inlineStr">
        <is>
          <t>Cloud9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0.518775</v>
      </c>
      <c r="P11" s="28" t="n"/>
      <c r="Q11" s="28" t="n">
        <v>0.108939</v>
      </c>
      <c r="R11" s="26" t="n">
        <v>74</v>
      </c>
      <c r="S11" s="29" t="n">
        <v>1</v>
      </c>
      <c r="T11" s="24" t="inlineStr">
        <is>
          <t>valorant-tiered-elo-v5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>
        <v>144</v>
      </c>
      <c r="AA11" s="28" t="n">
        <v>0.41</v>
      </c>
      <c r="AB11" s="28" t="n">
        <v>0.000164</v>
      </c>
      <c r="AC11" s="30" t="n">
        <v>1.44</v>
      </c>
      <c r="AD11" s="24" t="inlineStr">
        <is>
          <t>2026-08-02T23:13:23.977752Z</t>
        </is>
      </c>
      <c r="AE11" s="31" t="inlineStr">
        <is>
          <t>Neutral Elo baseline; executable ask 0.4100 (market_slug=aec-valorant-c9-kr-2026-08-02).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KRÜ Esports</t>
        </is>
      </c>
      <c r="AQ11" s="24" t="inlineStr">
        <is>
          <t>KRÜ Esports</t>
        </is>
      </c>
      <c r="AR11" s="24" t="inlineStr">
        <is>
          <t>KRÜ Esports</t>
        </is>
      </c>
      <c r="AS11" s="24" t="inlineStr">
        <is>
          <t>Cloud9</t>
        </is>
      </c>
      <c r="AT11" s="24" t="inlineStr">
        <is>
          <t>Cloud9</t>
        </is>
      </c>
      <c r="AU11" s="24" t="inlineStr">
        <is>
          <t>Cloud9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c4c53479d60e7fd116280c4ec0788bb856af372afb2da0dd70796fd41ac0b643</t>
        </is>
      </c>
      <c r="BB11" s="24" t="inlineStr">
        <is>
          <t>neutral_elo</t>
        </is>
      </c>
      <c r="BC11" s="24" t="inlineStr">
        <is>
          <t>valorant-tiered-elo-v5</t>
        </is>
      </c>
      <c r="BD11" s="24" t="inlineStr">
        <is>
          <t>c4c53479d60e7fd116280c4ec0788bb856af372afb2da0dd70796fd41ac0b643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valorant-tiered-elo-v5</t>
        </is>
      </c>
      <c r="BH11" s="24" t="inlineStr">
        <is>
          <t>2026-08-02T19:32:11.428763Z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>
        <v>2.44</v>
      </c>
      <c r="BR11" s="28" t="n">
        <v>0.41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f523171e5677438d</t>
        </is>
      </c>
      <c r="B12" s="24" t="inlineStr">
        <is>
          <t>2026-08-02T23:17:28.942888Z</t>
        </is>
      </c>
      <c r="C12" s="24" t="inlineStr">
        <is>
          <t>2026-08-03T00:00:00Z</t>
        </is>
      </c>
      <c r="D12" s="24" t="inlineStr">
        <is>
          <t>67386</t>
        </is>
      </c>
      <c r="E12" s="24" t="inlineStr">
        <is>
          <t>VALORANT</t>
        </is>
      </c>
      <c r="F12" s="24" t="inlineStr">
        <is>
          <t>Sentinels</t>
        </is>
      </c>
      <c r="G12" s="24" t="inlineStr">
        <is>
          <t>G2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-170</v>
      </c>
      <c r="M12" s="27" t="n">
        <v>1.588235</v>
      </c>
      <c r="N12" s="28" t="n">
        <v>0.62963</v>
      </c>
      <c r="O12" s="28" t="n">
        <v>0.626789</v>
      </c>
      <c r="P12" s="28" t="n"/>
      <c r="Q12" s="28" t="n">
        <v>-0.002841</v>
      </c>
      <c r="R12" s="26" t="n">
        <v>19</v>
      </c>
      <c r="S12" s="29" t="n">
        <v>1.5</v>
      </c>
      <c r="T12" s="24" t="inlineStr">
        <is>
          <t>valorant-tiered-elo-v5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-223</v>
      </c>
      <c r="AA12" s="28" t="n">
        <v>0.6899999999999999</v>
      </c>
      <c r="AB12" s="28" t="n">
        <v>0.06037</v>
      </c>
      <c r="AC12" s="30" t="n">
        <v>0.8824</v>
      </c>
      <c r="AD12" s="24" t="inlineStr">
        <is>
          <t>2026-08-03T02:34:46.902850Z</t>
        </is>
      </c>
      <c r="AE12" s="31" t="inlineStr">
        <is>
          <t>Neutral Elo baseline; executable ask 0.6300 (market_slug=aec-valorant-g2-sen-2026-08-03).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Sentinels</t>
        </is>
      </c>
      <c r="AQ12" s="24" t="inlineStr">
        <is>
          <t>Sentinels</t>
        </is>
      </c>
      <c r="AR12" s="24" t="inlineStr">
        <is>
          <t>Sentinels</t>
        </is>
      </c>
      <c r="AS12" s="24" t="inlineStr">
        <is>
          <t>G2 Esports</t>
        </is>
      </c>
      <c r="AT12" s="24" t="inlineStr">
        <is>
          <t>G2 Esports</t>
        </is>
      </c>
      <c r="AU12" s="24" t="inlineStr">
        <is>
          <t>G2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b8ad95e67a1d231f7c1456f640a0121faebeb1a345256cde26610e3b0d16a846</t>
        </is>
      </c>
      <c r="BB12" s="24" t="inlineStr">
        <is>
          <t>neutral_elo</t>
        </is>
      </c>
      <c r="BC12" s="24" t="inlineStr">
        <is>
          <t>valorant-tiered-elo-v5</t>
        </is>
      </c>
      <c r="BD12" s="24" t="inlineStr">
        <is>
          <t>b8ad95e67a1d231f7c1456f640a0121faebeb1a345256cde26610e3b0d16a846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valorant-tiered-elo-v5</t>
        </is>
      </c>
      <c r="BH12" s="24" t="inlineStr">
        <is>
          <t>2026-08-02T23:17:23.058724Z</t>
        </is>
      </c>
      <c r="BI12" s="24" t="inlineStr">
        <is>
          <t>["same_event","same_team_same_day","same_league_same_day"]</t>
        </is>
      </c>
      <c r="BJ12" s="25" t="n"/>
      <c r="BK12" s="26" t="n">
        <v>-170</v>
      </c>
      <c r="BL12" s="27" t="n">
        <v>1.588235</v>
      </c>
      <c r="BM12" s="28" t="n">
        <v>0.62963</v>
      </c>
      <c r="BN12" s="28" t="n"/>
      <c r="BO12" s="28" t="n"/>
      <c r="BP12" s="25" t="n"/>
      <c r="BQ12" s="27" t="n">
        <v>1.44843</v>
      </c>
      <c r="BR12" s="28" t="n">
        <v>0.6899999999999999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</row>
    <row r="13" ht="36" customHeight="1">
      <c r="A13" s="24" t="inlineStr">
        <is>
          <t>e166706ca9c144b5</t>
        </is>
      </c>
      <c r="B13" s="24" t="inlineStr">
        <is>
          <t>2026-08-03T13:30:41.417037Z</t>
        </is>
      </c>
      <c r="C13" s="24" t="inlineStr">
        <is>
          <t>2026-08-03T15:00:00Z</t>
        </is>
      </c>
      <c r="D13" s="24" t="inlineStr">
        <is>
          <t>67569</t>
        </is>
      </c>
      <c r="E13" s="24" t="inlineStr">
        <is>
          <t>VALORANT</t>
        </is>
      </c>
      <c r="F13" s="24" t="inlineStr">
        <is>
          <t>FOKUS Sakura</t>
        </is>
      </c>
      <c r="G13" s="24" t="inlineStr">
        <is>
          <t>SK Nebula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-163</v>
      </c>
      <c r="M13" s="27" t="n">
        <v>1.613497</v>
      </c>
      <c r="N13" s="28" t="n">
        <v>0.619772</v>
      </c>
      <c r="O13" s="28" t="n">
        <v>0.765423</v>
      </c>
      <c r="P13" s="28" t="n"/>
      <c r="Q13" s="28" t="n">
        <v>0.145651</v>
      </c>
      <c r="R13" s="26" t="n">
        <v>93</v>
      </c>
      <c r="S13" s="29" t="n">
        <v>2</v>
      </c>
      <c r="T13" s="24" t="inlineStr">
        <is>
          <t>valorant-tiered-elo-v5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-163</v>
      </c>
      <c r="AA13" s="28" t="n">
        <v>0.62</v>
      </c>
      <c r="AB13" s="28" t="n">
        <v>0.000228</v>
      </c>
      <c r="AC13" s="30" t="n">
        <v>-2</v>
      </c>
      <c r="AD13" s="24" t="inlineStr">
        <is>
          <t>2026-08-03T17:06:03.000740Z</t>
        </is>
      </c>
      <c r="AE13" s="31" t="inlineStr">
        <is>
          <t>Neutral Elo baseline; executable ask 0.6200 (market_slug=aec-valorant-skn-fso-2026-08-03).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FOKUS Sakura</t>
        </is>
      </c>
      <c r="AQ13" s="24" t="inlineStr">
        <is>
          <t>FOKUS Sakura</t>
        </is>
      </c>
      <c r="AR13" s="24" t="inlineStr">
        <is>
          <t>FOKUS Sakura</t>
        </is>
      </c>
      <c r="AS13" s="24" t="inlineStr">
        <is>
          <t>SK Nebula</t>
        </is>
      </c>
      <c r="AT13" s="24" t="inlineStr">
        <is>
          <t>SK Nebula</t>
        </is>
      </c>
      <c r="AU13" s="24" t="inlineStr">
        <is>
          <t>SK Nebula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afe2fffd3c666e0d8f9040dcc6dedae587629fd14dee7043c87557d9d9d9e6e5</t>
        </is>
      </c>
      <c r="BB13" s="24" t="inlineStr">
        <is>
          <t>neutral_elo</t>
        </is>
      </c>
      <c r="BC13" s="24" t="inlineStr">
        <is>
          <t>valorant-tiered-elo-v5</t>
        </is>
      </c>
      <c r="BD13" s="24" t="inlineStr">
        <is>
          <t>afe2fffd3c666e0d8f9040dcc6dedae587629fd14dee7043c87557d9d9d9e6e5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valorant-tiered-elo-v5</t>
        </is>
      </c>
      <c r="BH13" s="24" t="inlineStr">
        <is>
          <t>2026-08-03T13:30:33.637118Z</t>
        </is>
      </c>
      <c r="BI13" s="24" t="inlineStr">
        <is>
          <t>["same_event","same_team_same_day","same_league_same_day"]</t>
        </is>
      </c>
      <c r="BJ13" s="25" t="n"/>
      <c r="BK13" s="26" t="n">
        <v>-163</v>
      </c>
      <c r="BL13" s="27" t="n">
        <v>1.613497</v>
      </c>
      <c r="BM13" s="28" t="n">
        <v>0.619772</v>
      </c>
      <c r="BN13" s="28" t="n"/>
      <c r="BO13" s="28" t="n"/>
      <c r="BP13" s="25" t="n"/>
      <c r="BQ13" s="27" t="n">
        <v>1.613497</v>
      </c>
      <c r="BR13" s="28" t="n">
        <v>0.62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b89e1f0fd9dc49c5</t>
        </is>
      </c>
      <c r="B14" s="24" t="inlineStr">
        <is>
          <t>2026-08-03T17:08:47.849402Z</t>
        </is>
      </c>
      <c r="C14" s="24" t="inlineStr">
        <is>
          <t>2026-08-03T18:00:00Z</t>
        </is>
      </c>
      <c r="D14" s="24" t="inlineStr">
        <is>
          <t>67658</t>
        </is>
      </c>
      <c r="E14" s="24" t="inlineStr">
        <is>
          <t>VALORANT</t>
        </is>
      </c>
      <c r="F14" s="24" t="inlineStr">
        <is>
          <t>Barça eSports GC</t>
        </is>
      </c>
      <c r="G14" s="24" t="inlineStr">
        <is>
          <t>Twisted Minds Orchid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-223</v>
      </c>
      <c r="M14" s="27" t="n">
        <v>1.44843</v>
      </c>
      <c r="N14" s="28" t="n">
        <v>0.690402</v>
      </c>
      <c r="O14" s="28" t="n">
        <v>0.6925519999999999</v>
      </c>
      <c r="P14" s="28" t="n"/>
      <c r="Q14" s="28" t="n">
        <v>0.00215</v>
      </c>
      <c r="R14" s="26" t="n">
        <v>21</v>
      </c>
      <c r="S14" s="29" t="n">
        <v>2</v>
      </c>
      <c r="T14" s="24" t="inlineStr">
        <is>
          <t>valorant-tiered-elo-v5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-223</v>
      </c>
      <c r="AA14" s="28" t="n">
        <v>0.6899999999999999</v>
      </c>
      <c r="AB14" s="28" t="n">
        <v>-0.000402</v>
      </c>
      <c r="AC14" s="30" t="n">
        <v>0.8969</v>
      </c>
      <c r="AD14" s="24" t="inlineStr">
        <is>
          <t>2026-08-03T19:52:13.667573Z</t>
        </is>
      </c>
      <c r="AE14" s="31" t="inlineStr">
        <is>
          <t>Neutral Elo baseline; executable ask 0.6900 (market_slug=aec-valorant-tmo-beg-2026-08-03).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Barça eSports GC</t>
        </is>
      </c>
      <c r="AQ14" s="24" t="inlineStr">
        <is>
          <t>Barça eSports GC</t>
        </is>
      </c>
      <c r="AR14" s="24" t="inlineStr">
        <is>
          <t>Barça eSports GC</t>
        </is>
      </c>
      <c r="AS14" s="24" t="inlineStr">
        <is>
          <t>Twisted Minds Orchid</t>
        </is>
      </c>
      <c r="AT14" s="24" t="inlineStr">
        <is>
          <t>Twisted Minds Orchid</t>
        </is>
      </c>
      <c r="AU14" s="24" t="inlineStr">
        <is>
          <t>Twisted Minds Orchid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6f1a88c65511fda132cb3c464f9d3012c11a7503cf913396060b5b8c9adc5f1b</t>
        </is>
      </c>
      <c r="BB14" s="24" t="inlineStr">
        <is>
          <t>neutral_elo</t>
        </is>
      </c>
      <c r="BC14" s="24" t="inlineStr">
        <is>
          <t>valorant-tiered-elo-v5</t>
        </is>
      </c>
      <c r="BD14" s="24" t="inlineStr">
        <is>
          <t>6f1a88c65511fda132cb3c464f9d3012c11a7503cf913396060b5b8c9adc5f1b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valorant-tiered-elo-v5</t>
        </is>
      </c>
      <c r="BH14" s="24" t="inlineStr">
        <is>
          <t>2026-08-03T17:08:42.423289Z</t>
        </is>
      </c>
      <c r="BI14" s="24" t="inlineStr">
        <is>
          <t>["same_event","same_team_same_day","same_league_same_day"]</t>
        </is>
      </c>
      <c r="BJ14" s="25" t="n"/>
      <c r="BK14" s="26" t="n">
        <v>-223</v>
      </c>
      <c r="BL14" s="27" t="n">
        <v>1.44843</v>
      </c>
      <c r="BM14" s="28" t="n">
        <v>0.690402</v>
      </c>
      <c r="BN14" s="28" t="n"/>
      <c r="BO14" s="28" t="n"/>
      <c r="BP14" s="25" t="n"/>
      <c r="BQ14" s="27" t="n">
        <v>1.44843</v>
      </c>
      <c r="BR14" s="28" t="n">
        <v>0.6899999999999999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fb160713f7af45d2</t>
        </is>
      </c>
      <c r="B15" s="24" t="inlineStr">
        <is>
          <t>2026-08-03T19:54:50.877637Z</t>
        </is>
      </c>
      <c r="C15" s="24" t="inlineStr">
        <is>
          <t>2026-08-03T21:00:00Z</t>
        </is>
      </c>
      <c r="D15" s="24" t="inlineStr">
        <is>
          <t>67987</t>
        </is>
      </c>
      <c r="E15" s="24" t="inlineStr">
        <is>
          <t>VALORANT</t>
        </is>
      </c>
      <c r="F15" s="24" t="inlineStr">
        <is>
          <t>The Spiders</t>
        </is>
      </c>
      <c r="G15" s="24" t="inlineStr">
        <is>
          <t>HIMMERS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108</v>
      </c>
      <c r="M15" s="27" t="n">
        <v>2.08</v>
      </c>
      <c r="N15" s="28" t="n">
        <v>0.480769</v>
      </c>
      <c r="O15" s="28" t="n">
        <v>0.521748</v>
      </c>
      <c r="P15" s="28" t="n"/>
      <c r="Q15" s="28" t="n">
        <v>0.040979</v>
      </c>
      <c r="R15" s="26" t="n">
        <v>40</v>
      </c>
      <c r="S15" s="29" t="n">
        <v>1</v>
      </c>
      <c r="T15" s="24" t="inlineStr">
        <is>
          <t>valorant-tiered-elo-v5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108</v>
      </c>
      <c r="AA15" s="28" t="n">
        <v>0.48</v>
      </c>
      <c r="AB15" s="28" t="n">
        <v>-0.000769</v>
      </c>
      <c r="AC15" s="30" t="n">
        <v>1.08</v>
      </c>
      <c r="AD15" s="24" t="inlineStr">
        <is>
          <t>2026-08-04T01:58:53.450701Z</t>
        </is>
      </c>
      <c r="AE15" s="31" t="inlineStr">
        <is>
          <t>Neutral Elo baseline; executable ask 0.4800 (market_slug=aec-valorant-him-spi-2026-08-03).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The Spiders</t>
        </is>
      </c>
      <c r="AQ15" s="24" t="inlineStr">
        <is>
          <t>The Spiders</t>
        </is>
      </c>
      <c r="AR15" s="24" t="inlineStr">
        <is>
          <t>The Spiders</t>
        </is>
      </c>
      <c r="AS15" s="24" t="inlineStr">
        <is>
          <t>HIMMERS</t>
        </is>
      </c>
      <c r="AT15" s="24" t="inlineStr">
        <is>
          <t>HIMMERS</t>
        </is>
      </c>
      <c r="AU15" s="24" t="inlineStr">
        <is>
          <t>HIMMERS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b86d10213574fcb4e774a613f40c4fb8692dc4e3a085fafa8fe32b85c8b1f80d</t>
        </is>
      </c>
      <c r="BB15" s="24" t="inlineStr">
        <is>
          <t>neutral_elo</t>
        </is>
      </c>
      <c r="BC15" s="24" t="inlineStr">
        <is>
          <t>valorant-tiered-elo-v5</t>
        </is>
      </c>
      <c r="BD15" s="24" t="inlineStr">
        <is>
          <t>b86d10213574fcb4e774a613f40c4fb8692dc4e3a085fafa8fe32b85c8b1f80d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valorant-tiered-elo-v5</t>
        </is>
      </c>
      <c r="BH15" s="24" t="inlineStr">
        <is>
          <t>2026-08-03T19:54:45.430222Z</t>
        </is>
      </c>
      <c r="BI15" s="24" t="inlineStr">
        <is>
          <t>["same_event","same_team_same_day","same_league_same_day"]</t>
        </is>
      </c>
      <c r="BJ15" s="25" t="n"/>
      <c r="BK15" s="26" t="n">
        <v>108</v>
      </c>
      <c r="BL15" s="27" t="n">
        <v>2.08</v>
      </c>
      <c r="BM15" s="28" t="n">
        <v>0.480769</v>
      </c>
      <c r="BN15" s="28" t="n"/>
      <c r="BO15" s="28" t="n"/>
      <c r="BP15" s="25" t="n"/>
      <c r="BQ15" s="27" t="n">
        <v>2.08</v>
      </c>
      <c r="BR15" s="28" t="n">
        <v>0.48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159e11ed91d64bf9</t>
        </is>
      </c>
      <c r="B16" s="24" t="inlineStr">
        <is>
          <t>2026-08-03T22:57:52.421939Z</t>
        </is>
      </c>
      <c r="C16" s="24" t="inlineStr">
        <is>
          <t>2026-08-03T23:30:00Z</t>
        </is>
      </c>
      <c r="D16" s="24" t="inlineStr">
        <is>
          <t>68094</t>
        </is>
      </c>
      <c r="E16" s="24" t="inlineStr">
        <is>
          <t>VALORANT</t>
        </is>
      </c>
      <c r="F16" s="24" t="inlineStr">
        <is>
          <t>SaD GC</t>
        </is>
      </c>
      <c r="G16" s="24" t="inlineStr">
        <is>
          <t>Los Chudeles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104</v>
      </c>
      <c r="M16" s="27" t="n">
        <v>2.04</v>
      </c>
      <c r="N16" s="28" t="n">
        <v>0.490196</v>
      </c>
      <c r="O16" s="28" t="n">
        <v>0.504194</v>
      </c>
      <c r="P16" s="28" t="n"/>
      <c r="Q16" s="28" t="n">
        <v>0.013998</v>
      </c>
      <c r="R16" s="26" t="n">
        <v>27</v>
      </c>
      <c r="S16" s="29" t="n">
        <v>1</v>
      </c>
      <c r="T16" s="24" t="inlineStr">
        <is>
          <t>valorant-tiered-elo-v5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104</v>
      </c>
      <c r="AA16" s="28" t="n">
        <v>0.49</v>
      </c>
      <c r="AB16" s="28" t="n">
        <v>-0.000196</v>
      </c>
      <c r="AC16" s="30" t="n">
        <v>-1</v>
      </c>
      <c r="AD16" s="24" t="inlineStr">
        <is>
          <t>2026-08-04T03:58:20.298471Z</t>
        </is>
      </c>
      <c r="AE16" s="31" t="inlineStr">
        <is>
          <t>Neutral Elo baseline; executable ask 0.4900 (market_slug=aec-valorant-lcd-sga-2026-08-03).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SaD GC</t>
        </is>
      </c>
      <c r="AQ16" s="24" t="inlineStr">
        <is>
          <t>SaD GC</t>
        </is>
      </c>
      <c r="AR16" s="24" t="inlineStr">
        <is>
          <t>SaD GC</t>
        </is>
      </c>
      <c r="AS16" s="24" t="inlineStr">
        <is>
          <t>Los Chudeles</t>
        </is>
      </c>
      <c r="AT16" s="24" t="inlineStr">
        <is>
          <t>Los Chudeles</t>
        </is>
      </c>
      <c r="AU16" s="24" t="inlineStr">
        <is>
          <t>Los Chudeles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fd8b674cd95f5267545eeaa19ed09838dffe6e7f1115e6ac52a5152ecb6ed1bc</t>
        </is>
      </c>
      <c r="BB16" s="24" t="inlineStr">
        <is>
          <t>neutral_elo</t>
        </is>
      </c>
      <c r="BC16" s="24" t="inlineStr">
        <is>
          <t>valorant-tiered-elo-v5</t>
        </is>
      </c>
      <c r="BD16" s="24" t="inlineStr">
        <is>
          <t>fd8b674cd95f5267545eeaa19ed09838dffe6e7f1115e6ac52a5152ecb6ed1bc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valorant-tiered-elo-v5</t>
        </is>
      </c>
      <c r="BH16" s="24" t="inlineStr">
        <is>
          <t>2026-08-03T22:57:48.462085Z</t>
        </is>
      </c>
      <c r="BI16" s="24" t="inlineStr">
        <is>
          <t>["same_event","same_team_same_day","same_league_same_day"]</t>
        </is>
      </c>
      <c r="BJ16" s="25" t="n"/>
      <c r="BK16" s="26" t="n">
        <v>104</v>
      </c>
      <c r="BL16" s="27" t="n">
        <v>2.04</v>
      </c>
      <c r="BM16" s="28" t="n">
        <v>0.490196</v>
      </c>
      <c r="BN16" s="28" t="n"/>
      <c r="BO16" s="28" t="n"/>
      <c r="BP16" s="25" t="n"/>
      <c r="BQ16" s="27" t="n">
        <v>2.04</v>
      </c>
      <c r="BR16" s="28" t="n">
        <v>0.49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676ecadd2637400b</t>
        </is>
      </c>
      <c r="B17" s="24" t="inlineStr">
        <is>
          <t>2026-08-03T22:57:52.421939Z</t>
        </is>
      </c>
      <c r="C17" s="24" t="inlineStr">
        <is>
          <t>2026-08-03T23:30:00Z</t>
        </is>
      </c>
      <c r="D17" s="24" t="inlineStr">
        <is>
          <t>68095</t>
        </is>
      </c>
      <c r="E17" s="24" t="inlineStr">
        <is>
          <t>VALORANT</t>
        </is>
      </c>
      <c r="F17" s="24" t="inlineStr">
        <is>
          <t>MVSK Secret</t>
        </is>
      </c>
      <c r="G17" s="24" t="inlineStr">
        <is>
          <t>ROSO GC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163</v>
      </c>
      <c r="M17" s="27" t="n">
        <v>2.63</v>
      </c>
      <c r="N17" s="28" t="n">
        <v>0.380228</v>
      </c>
      <c r="O17" s="28" t="n">
        <v>0.521277</v>
      </c>
      <c r="P17" s="28" t="n"/>
      <c r="Q17" s="28" t="n">
        <v>0.141049</v>
      </c>
      <c r="R17" s="26" t="n">
        <v>91</v>
      </c>
      <c r="S17" s="29" t="n">
        <v>1</v>
      </c>
      <c r="T17" s="24" t="inlineStr">
        <is>
          <t>valorant-tiered-elo-v5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163</v>
      </c>
      <c r="AA17" s="28" t="n">
        <v>0.38</v>
      </c>
      <c r="AB17" s="28" t="n">
        <v>-0.000228</v>
      </c>
      <c r="AC17" s="30" t="n">
        <v>-1</v>
      </c>
      <c r="AD17" s="24" t="inlineStr">
        <is>
          <t>2026-08-04T01:58:55.904940Z</t>
        </is>
      </c>
      <c r="AE17" s="31" t="inlineStr">
        <is>
          <t>Neutral Elo baseline; executable ask 0.3800 (market_slug=aec-valorant-roso-mvs-2026-08-03).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MVSK Secret</t>
        </is>
      </c>
      <c r="AQ17" s="24" t="inlineStr">
        <is>
          <t>MVSK Secret</t>
        </is>
      </c>
      <c r="AR17" s="24" t="inlineStr">
        <is>
          <t>MVSK Secret</t>
        </is>
      </c>
      <c r="AS17" s="24" t="inlineStr">
        <is>
          <t>ROSO GC</t>
        </is>
      </c>
      <c r="AT17" s="24" t="inlineStr">
        <is>
          <t>ROSO GC</t>
        </is>
      </c>
      <c r="AU17" s="24" t="inlineStr">
        <is>
          <t>ROSO GC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fd8b674cd95f5267545eeaa19ed09838dffe6e7f1115e6ac52a5152ecb6ed1bc</t>
        </is>
      </c>
      <c r="BB17" s="24" t="inlineStr">
        <is>
          <t>neutral_elo</t>
        </is>
      </c>
      <c r="BC17" s="24" t="inlineStr">
        <is>
          <t>valorant-tiered-elo-v5</t>
        </is>
      </c>
      <c r="BD17" s="24" t="inlineStr">
        <is>
          <t>fd8b674cd95f5267545eeaa19ed09838dffe6e7f1115e6ac52a5152ecb6ed1bc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valorant-tiered-elo-v5</t>
        </is>
      </c>
      <c r="BH17" s="24" t="inlineStr">
        <is>
          <t>2026-08-03T22:57:49.075256Z</t>
        </is>
      </c>
      <c r="BI17" s="24" t="inlineStr">
        <is>
          <t>["same_event","same_team_same_day","same_league_same_day"]</t>
        </is>
      </c>
      <c r="BJ17" s="25" t="n"/>
      <c r="BK17" s="26" t="n">
        <v>163</v>
      </c>
      <c r="BL17" s="27" t="n">
        <v>2.63</v>
      </c>
      <c r="BM17" s="28" t="n">
        <v>0.380228</v>
      </c>
      <c r="BN17" s="28" t="n"/>
      <c r="BO17" s="28" t="n"/>
      <c r="BP17" s="25" t="n"/>
      <c r="BQ17" s="27" t="n">
        <v>2.63</v>
      </c>
      <c r="BR17" s="28" t="n">
        <v>0.38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746b3eb463074b2d</t>
        </is>
      </c>
      <c r="B18" s="24" t="inlineStr">
        <is>
          <t>2026-08-03T22:57:52.421939Z</t>
        </is>
      </c>
      <c r="C18" s="24" t="inlineStr">
        <is>
          <t>2026-08-03T23:30:00Z</t>
        </is>
      </c>
      <c r="D18" s="24" t="inlineStr">
        <is>
          <t>68096</t>
        </is>
      </c>
      <c r="E18" s="24" t="inlineStr">
        <is>
          <t>VALORANT</t>
        </is>
      </c>
      <c r="F18" s="24" t="inlineStr">
        <is>
          <t>:3</t>
        </is>
      </c>
      <c r="G18" s="24" t="inlineStr">
        <is>
          <t>Cloud9 GC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-223</v>
      </c>
      <c r="M18" s="27" t="n">
        <v>1.44843</v>
      </c>
      <c r="N18" s="28" t="n">
        <v>0.690402</v>
      </c>
      <c r="O18" s="28" t="n">
        <v>0.527317</v>
      </c>
      <c r="P18" s="28" t="n"/>
      <c r="Q18" s="28" t="n">
        <v>-0.163085</v>
      </c>
      <c r="R18" s="26" t="n">
        <v>0</v>
      </c>
      <c r="S18" s="29" t="n">
        <v>1</v>
      </c>
      <c r="T18" s="24" t="inlineStr">
        <is>
          <t>valorant-tiered-elo-v5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-223</v>
      </c>
      <c r="AA18" s="28" t="n">
        <v>0.6899999999999999</v>
      </c>
      <c r="AB18" s="28" t="n">
        <v>-0.000402</v>
      </c>
      <c r="AC18" s="30" t="n">
        <v>-1</v>
      </c>
      <c r="AD18" s="24" t="inlineStr">
        <is>
          <t>2026-08-04T01:58:57.182367Z</t>
        </is>
      </c>
      <c r="AE18" s="31" t="inlineStr">
        <is>
          <t>Neutral Elo baseline; executable ask 0.6900 (market_slug=aec-valorant-c9gc-meow-2026-08-03).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:3</t>
        </is>
      </c>
      <c r="AQ18" s="24" t="inlineStr">
        <is>
          <t>:3</t>
        </is>
      </c>
      <c r="AR18" s="24" t="inlineStr">
        <is>
          <t>:3</t>
        </is>
      </c>
      <c r="AS18" s="24" t="inlineStr">
        <is>
          <t>Cloud9 GC</t>
        </is>
      </c>
      <c r="AT18" s="24" t="inlineStr">
        <is>
          <t>Cloud9 GC</t>
        </is>
      </c>
      <c r="AU18" s="24" t="inlineStr">
        <is>
          <t>Cloud9 GC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fd8b674cd95f5267545eeaa19ed09838dffe6e7f1115e6ac52a5152ecb6ed1bc</t>
        </is>
      </c>
      <c r="BB18" s="24" t="inlineStr">
        <is>
          <t>neutral_elo</t>
        </is>
      </c>
      <c r="BC18" s="24" t="inlineStr">
        <is>
          <t>valorant-tiered-elo-v5</t>
        </is>
      </c>
      <c r="BD18" s="24" t="inlineStr">
        <is>
          <t>fd8b674cd95f5267545eeaa19ed09838dffe6e7f1115e6ac52a5152ecb6ed1bc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valorant-tiered-elo-v5</t>
        </is>
      </c>
      <c r="BH18" s="24" t="inlineStr">
        <is>
          <t>2026-08-03T22:57:49.589365Z</t>
        </is>
      </c>
      <c r="BI18" s="24" t="inlineStr">
        <is>
          <t>["same_event","same_team_same_day","same_league_same_day"]</t>
        </is>
      </c>
      <c r="BJ18" s="25" t="n"/>
      <c r="BK18" s="26" t="n">
        <v>-223</v>
      </c>
      <c r="BL18" s="27" t="n">
        <v>1.44843</v>
      </c>
      <c r="BM18" s="28" t="n">
        <v>0.690402</v>
      </c>
      <c r="BN18" s="28" t="n"/>
      <c r="BO18" s="28" t="n"/>
      <c r="BP18" s="25" t="n"/>
      <c r="BQ18" s="27" t="n">
        <v>1.44843</v>
      </c>
      <c r="BR18" s="28" t="n">
        <v>0.6899999999999999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1879dec1a9044fcf</t>
        </is>
      </c>
      <c r="B19" s="24" t="inlineStr">
        <is>
          <t>2026-08-03T22:57:52.421939Z</t>
        </is>
      </c>
      <c r="C19" s="24" t="inlineStr">
        <is>
          <t>2026-08-03T23:30:00Z</t>
        </is>
      </c>
      <c r="D19" s="24" t="inlineStr">
        <is>
          <t>68097</t>
        </is>
      </c>
      <c r="E19" s="24" t="inlineStr">
        <is>
          <t>VALORANT</t>
        </is>
      </c>
      <c r="F19" s="24" t="inlineStr">
        <is>
          <t>Revitalize GC</t>
        </is>
      </c>
      <c r="G19" s="24" t="inlineStr">
        <is>
          <t>Eternal Focus Amethyst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-150</v>
      </c>
      <c r="M19" s="27" t="n">
        <v>1.666667</v>
      </c>
      <c r="N19" s="28" t="n">
        <v>0.6</v>
      </c>
      <c r="O19" s="28" t="n">
        <v>0.5614749999999999</v>
      </c>
      <c r="P19" s="28" t="n"/>
      <c r="Q19" s="28" t="n">
        <v>-0.038525</v>
      </c>
      <c r="R19" s="26" t="n">
        <v>1</v>
      </c>
      <c r="S19" s="29" t="n">
        <v>1</v>
      </c>
      <c r="T19" s="24" t="inlineStr">
        <is>
          <t>valorant-tiered-elo-v5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-150</v>
      </c>
      <c r="AA19" s="28" t="n">
        <v>0.6</v>
      </c>
      <c r="AB19" s="28" t="n">
        <v>0</v>
      </c>
      <c r="AC19" s="30" t="n">
        <v>0.6667</v>
      </c>
      <c r="AD19" s="24" t="inlineStr">
        <is>
          <t>2026-08-04T01:58:58.496591Z</t>
        </is>
      </c>
      <c r="AE19" s="31" t="inlineStr">
        <is>
          <t>Neutral Elo baseline; executable ask 0.6000 (market_slug=aec-valorant-efa-rev-2026-08-03).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Revitalize GC</t>
        </is>
      </c>
      <c r="AQ19" s="24" t="inlineStr">
        <is>
          <t>Revitalize GC</t>
        </is>
      </c>
      <c r="AR19" s="24" t="inlineStr">
        <is>
          <t>Revitalize GC</t>
        </is>
      </c>
      <c r="AS19" s="24" t="inlineStr">
        <is>
          <t>Eternal Focus Amethyst</t>
        </is>
      </c>
      <c r="AT19" s="24" t="inlineStr">
        <is>
          <t>Eternal Focus Amethyst</t>
        </is>
      </c>
      <c r="AU19" s="24" t="inlineStr">
        <is>
          <t>Eternal Focus Amethyst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fd8b674cd95f5267545eeaa19ed09838dffe6e7f1115e6ac52a5152ecb6ed1bc</t>
        </is>
      </c>
      <c r="BB19" s="24" t="inlineStr">
        <is>
          <t>neutral_elo</t>
        </is>
      </c>
      <c r="BC19" s="24" t="inlineStr">
        <is>
          <t>valorant-tiered-elo-v5</t>
        </is>
      </c>
      <c r="BD19" s="24" t="inlineStr">
        <is>
          <t>fd8b674cd95f5267545eeaa19ed09838dffe6e7f1115e6ac52a5152ecb6ed1bc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valorant-tiered-elo-v5</t>
        </is>
      </c>
      <c r="BH19" s="24" t="inlineStr">
        <is>
          <t>2026-08-03T22:57:50.125387Z</t>
        </is>
      </c>
      <c r="BI19" s="24" t="inlineStr">
        <is>
          <t>["same_event","same_team_same_day","same_league_same_day"]</t>
        </is>
      </c>
      <c r="BJ19" s="25" t="n"/>
      <c r="BK19" s="26" t="n">
        <v>-150</v>
      </c>
      <c r="BL19" s="27" t="n">
        <v>1.666667</v>
      </c>
      <c r="BM19" s="28" t="n">
        <v>0.6</v>
      </c>
      <c r="BN19" s="28" t="n"/>
      <c r="BO19" s="28" t="n"/>
      <c r="BP19" s="25" t="n"/>
      <c r="BQ19" s="27" t="n">
        <v>1.666667</v>
      </c>
      <c r="BR19" s="28" t="n">
        <v>0.6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</row>
    <row r="20" ht="36" customHeight="1">
      <c r="A20" s="24" t="inlineStr">
        <is>
          <t>2672734d84af40ec</t>
        </is>
      </c>
      <c r="B20" s="24" t="inlineStr">
        <is>
          <t>2026-08-04T14:26:45.561526Z</t>
        </is>
      </c>
      <c r="C20" s="24" t="inlineStr">
        <is>
          <t>2026-08-04T15:00:00Z</t>
        </is>
      </c>
      <c r="D20" s="24" t="inlineStr">
        <is>
          <t>68481</t>
        </is>
      </c>
      <c r="E20" s="24" t="inlineStr">
        <is>
          <t>VALORANT</t>
        </is>
      </c>
      <c r="F20" s="24" t="inlineStr">
        <is>
          <t>FOKUS Sakura</t>
        </is>
      </c>
      <c r="G20" s="24" t="inlineStr">
        <is>
          <t>Karmine Corp GC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0.528265</v>
      </c>
      <c r="P20" s="28" t="n"/>
      <c r="Q20" s="28" t="n">
        <v>0.178615</v>
      </c>
      <c r="R20" s="26" t="n">
        <v>100</v>
      </c>
      <c r="S20" s="29" t="n">
        <v>1</v>
      </c>
      <c r="T20" s="24" t="inlineStr">
        <is>
          <t>valorant-tiered-elo-v5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186</v>
      </c>
      <c r="AA20" s="28" t="n">
        <v>0.35</v>
      </c>
      <c r="AB20" s="28" t="n">
        <v>0.00035</v>
      </c>
      <c r="AC20" s="30" t="n">
        <v>-1</v>
      </c>
      <c r="AD20" s="24" t="inlineStr">
        <is>
          <t>2026-08-04T18:04:46.006926Z</t>
        </is>
      </c>
      <c r="AE20" s="31" t="inlineStr">
        <is>
          <t>Neutral Elo baseline; executable ask 0.3500 (market_slug=aec-valorant-kcg-fso-2026-08-04).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FOKUS Sakura</t>
        </is>
      </c>
      <c r="AQ20" s="24" t="inlineStr">
        <is>
          <t>FOKUS Sakura</t>
        </is>
      </c>
      <c r="AR20" s="24" t="inlineStr">
        <is>
          <t>FOKUS Sakura</t>
        </is>
      </c>
      <c r="AS20" s="24" t="inlineStr">
        <is>
          <t>Karmine Corp GC</t>
        </is>
      </c>
      <c r="AT20" s="24" t="inlineStr">
        <is>
          <t>Karmine Corp GC</t>
        </is>
      </c>
      <c r="AU20" s="24" t="inlineStr">
        <is>
          <t>Karmine Corp GC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c8143bea9617c85b46e357e7a1261b7a10902182c05435f79ef9726aa3473977</t>
        </is>
      </c>
      <c r="BB20" s="24" t="inlineStr">
        <is>
          <t>neutral_elo</t>
        </is>
      </c>
      <c r="BC20" s="24" t="inlineStr">
        <is>
          <t>valorant-tiered-elo-v5</t>
        </is>
      </c>
      <c r="BD20" s="24" t="inlineStr">
        <is>
          <t>c8143bea9617c85b46e357e7a1261b7a10902182c05435f79ef9726aa3473977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valorant-tiered-elo-v5</t>
        </is>
      </c>
      <c r="BH20" s="24" t="inlineStr">
        <is>
          <t>2026-08-04T14:26:40.372782Z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2.86</v>
      </c>
      <c r="BR20" s="28" t="n">
        <v>0.35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4d7c5dd938d94f4c</t>
        </is>
      </c>
      <c r="B21" s="24" t="inlineStr">
        <is>
          <t>2026-08-04T16:54:18.134287Z</t>
        </is>
      </c>
      <c r="C21" s="24" t="inlineStr">
        <is>
          <t>2026-08-04T18:00:00Z</t>
        </is>
      </c>
      <c r="D21" s="24" t="inlineStr">
        <is>
          <t>68698</t>
        </is>
      </c>
      <c r="E21" s="24" t="inlineStr">
        <is>
          <t>VALORANT</t>
        </is>
      </c>
      <c r="F21" s="24" t="inlineStr">
        <is>
          <t>Twisted Minds Orchid</t>
        </is>
      </c>
      <c r="G21" s="24" t="inlineStr">
        <is>
          <t>SK Nebula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-163</v>
      </c>
      <c r="M21" s="27" t="n">
        <v>1.613497</v>
      </c>
      <c r="N21" s="28" t="n">
        <v>0.619772</v>
      </c>
      <c r="O21" s="28" t="n">
        <v>0.64657</v>
      </c>
      <c r="P21" s="28" t="n"/>
      <c r="Q21" s="28" t="n">
        <v>0.026798</v>
      </c>
      <c r="R21" s="26" t="n">
        <v>33</v>
      </c>
      <c r="S21" s="29" t="n">
        <v>1.75</v>
      </c>
      <c r="T21" s="24" t="inlineStr">
        <is>
          <t>valorant-tiered-elo-v6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>
        <v>-170</v>
      </c>
      <c r="AA21" s="28" t="n">
        <v>0.63</v>
      </c>
      <c r="AB21" s="28" t="n">
        <v>0.010228</v>
      </c>
      <c r="AC21" s="30" t="n">
        <v>-1.75</v>
      </c>
      <c r="AD21" s="24" t="inlineStr">
        <is>
          <t>2026-08-04T21:59:59.083380Z</t>
        </is>
      </c>
      <c r="AE21" s="31" t="inlineStr">
        <is>
          <t>Neutral Elo baseline; executable ask 0.6200 (market_slug=aec-valorant-skn-tmo-2026-08-04).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Twisted Minds Orchid</t>
        </is>
      </c>
      <c r="AQ21" s="24" t="inlineStr">
        <is>
          <t>Twisted Minds Orchid</t>
        </is>
      </c>
      <c r="AR21" s="24" t="inlineStr">
        <is>
          <t>Twisted Minds Orchid</t>
        </is>
      </c>
      <c r="AS21" s="24" t="inlineStr">
        <is>
          <t>SK Nebula</t>
        </is>
      </c>
      <c r="AT21" s="24" t="inlineStr">
        <is>
          <t>SK Nebula</t>
        </is>
      </c>
      <c r="AU21" s="24" t="inlineStr">
        <is>
          <t>SK Nebula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2a3a3c0d919df15db76d78df508a996bd8f684ec881c5b644b1e53da56868427</t>
        </is>
      </c>
      <c r="BB21" s="24" t="inlineStr">
        <is>
          <t>neutral_elo</t>
        </is>
      </c>
      <c r="BC21" s="24" t="inlineStr">
        <is>
          <t>valorant-tiered-elo-v6</t>
        </is>
      </c>
      <c r="BD21" s="24" t="inlineStr">
        <is>
          <t>2a3a3c0d919df15db76d78df508a996bd8f684ec881c5b644b1e53da56868427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valorant-tiered-elo-v6</t>
        </is>
      </c>
      <c r="BH21" s="24" t="inlineStr">
        <is>
          <t>2026-08-04T16:54:14.515679Z</t>
        </is>
      </c>
      <c r="BI21" s="24" t="inlineStr">
        <is>
          <t>["same_event","same_team_same_day","same_league_same_day"]</t>
        </is>
      </c>
      <c r="BJ21" s="25" t="n"/>
      <c r="BK21" s="26" t="n">
        <v>-163</v>
      </c>
      <c r="BL21" s="27" t="n">
        <v>1.613497</v>
      </c>
      <c r="BM21" s="28" t="n">
        <v>0.619772</v>
      </c>
      <c r="BN21" s="28" t="n"/>
      <c r="BO21" s="28" t="n"/>
      <c r="BP21" s="25" t="n"/>
      <c r="BQ21" s="27" t="n">
        <v>1.588235</v>
      </c>
      <c r="BR21" s="28" t="n">
        <v>0.63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d2e458490c0d44e1</t>
        </is>
      </c>
      <c r="B22" s="24" t="inlineStr">
        <is>
          <t>2026-08-05T04:38:20.842798Z</t>
        </is>
      </c>
      <c r="C22" s="24" t="inlineStr">
        <is>
          <t>2026-08-05T10:00:00Z</t>
        </is>
      </c>
      <c r="D22" s="24" t="inlineStr">
        <is>
          <t>69540</t>
        </is>
      </c>
      <c r="E22" s="24" t="inlineStr">
        <is>
          <t>VALORANT</t>
        </is>
      </c>
      <c r="F22" s="24" t="inlineStr">
        <is>
          <t>KeepBest Gaming</t>
        </is>
      </c>
      <c r="G22" s="24" t="inlineStr">
        <is>
          <t>TEC Esports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122</v>
      </c>
      <c r="M22" s="27" t="n">
        <v>2.22</v>
      </c>
      <c r="N22" s="28" t="n">
        <v>0.45045</v>
      </c>
      <c r="O22" s="28" t="n">
        <v>0.575198</v>
      </c>
      <c r="P22" s="28" t="n"/>
      <c r="Q22" s="28" t="n">
        <v>0.124748</v>
      </c>
      <c r="R22" s="26" t="n">
        <v>82</v>
      </c>
      <c r="S22" s="29" t="n">
        <v>1.25</v>
      </c>
      <c r="T22" s="24" t="inlineStr">
        <is>
          <t>valorant-tiered-elo-v6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122</v>
      </c>
      <c r="AA22" s="28" t="n">
        <v>0.45</v>
      </c>
      <c r="AB22" s="28" t="n">
        <v>-0.00045</v>
      </c>
      <c r="AC22" s="30" t="n">
        <v>-1.25</v>
      </c>
      <c r="AD22" s="24" t="inlineStr">
        <is>
          <t>2026-08-05T13:51:50.006749Z</t>
        </is>
      </c>
      <c r="AE22" s="31" t="inlineStr">
        <is>
          <t>Neutral Elo baseline; executable ask 0.4500 (market_slug=aec-valorant-tec-kbg-2026-08-05).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KeepBest Gaming</t>
        </is>
      </c>
      <c r="AQ22" s="24" t="inlineStr">
        <is>
          <t>KeepBest Gaming</t>
        </is>
      </c>
      <c r="AR22" s="24" t="inlineStr">
        <is>
          <t>KeepBest Gaming</t>
        </is>
      </c>
      <c r="AS22" s="24" t="inlineStr">
        <is>
          <t>TEC Esports</t>
        </is>
      </c>
      <c r="AT22" s="24" t="inlineStr">
        <is>
          <t>TEC Esports</t>
        </is>
      </c>
      <c r="AU22" s="24" t="inlineStr">
        <is>
          <t>TEC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186664e065cb2f3876c035d1fafb20f41e71ec1c33421a9590b0fc42032b5796</t>
        </is>
      </c>
      <c r="BB22" s="24" t="inlineStr">
        <is>
          <t>neutral_elo</t>
        </is>
      </c>
      <c r="BC22" s="24" t="inlineStr">
        <is>
          <t>valorant-tiered-elo-v6</t>
        </is>
      </c>
      <c r="BD22" s="24" t="inlineStr">
        <is>
          <t>186664e065cb2f3876c035d1fafb20f41e71ec1c33421a9590b0fc42032b5796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valorant-tiered-elo-v6</t>
        </is>
      </c>
      <c r="BH22" s="24" t="inlineStr">
        <is>
          <t>2026-08-05T04:38:10.028876Z</t>
        </is>
      </c>
      <c r="BI22" s="24" t="inlineStr">
        <is>
          <t>["same_event","same_team_same_day","same_league_same_day"]</t>
        </is>
      </c>
      <c r="BJ22" s="25" t="n"/>
      <c r="BK22" s="26" t="n">
        <v>122</v>
      </c>
      <c r="BL22" s="27" t="n">
        <v>2.22</v>
      </c>
      <c r="BM22" s="28" t="n">
        <v>0.45045</v>
      </c>
      <c r="BN22" s="28" t="n"/>
      <c r="BO22" s="28" t="n"/>
      <c r="BP22" s="25" t="n"/>
      <c r="BQ22" s="27" t="n">
        <v>2.22</v>
      </c>
      <c r="BR22" s="28" t="n">
        <v>0.45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cdf578cf7d98458f</t>
        </is>
      </c>
      <c r="B23" s="24" t="inlineStr">
        <is>
          <t>2026-08-05T17:04:46.344950Z</t>
        </is>
      </c>
      <c r="C23" s="24" t="inlineStr">
        <is>
          <t>2026-08-05T18:00:00Z</t>
        </is>
      </c>
      <c r="D23" s="24" t="inlineStr">
        <is>
          <t>69955</t>
        </is>
      </c>
      <c r="E23" s="24" t="inlineStr">
        <is>
          <t>VALORANT</t>
        </is>
      </c>
      <c r="F23" s="24" t="inlineStr">
        <is>
          <t>Twisted Minds Orchid</t>
        </is>
      </c>
      <c r="G23" s="24" t="inlineStr">
        <is>
          <t>Gentle Mates GC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-194</v>
      </c>
      <c r="M23" s="27" t="n">
        <v>1.515464</v>
      </c>
      <c r="N23" s="28" t="n">
        <v>0.659864</v>
      </c>
      <c r="O23" s="28" t="n">
        <v>0.6890849999999999</v>
      </c>
      <c r="P23" s="28" t="n"/>
      <c r="Q23" s="28" t="n">
        <v>0.029221</v>
      </c>
      <c r="R23" s="26" t="n">
        <v>35</v>
      </c>
      <c r="S23" s="29" t="n">
        <v>0</v>
      </c>
      <c r="T23" s="24" t="inlineStr">
        <is>
          <t>valorant-tiered-elo-v6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-186</v>
      </c>
      <c r="AA23" s="28" t="n">
        <v>0.65</v>
      </c>
      <c r="AB23" s="28" t="n">
        <v>-0.009864</v>
      </c>
      <c r="AC23" s="30" t="n">
        <v>0</v>
      </c>
      <c r="AD23" s="24" t="inlineStr">
        <is>
          <t>2026-08-05T21:00:20.306504Z</t>
        </is>
      </c>
      <c r="AE23" s="31" t="inlineStr">
        <is>
          <t>Neutral Elo baseline; executable ask 0.6600 (market_slug=aec-valorant-m8gc-tmo-2026-08-05).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NO_CALL_WINNER_OVERVALUED</t>
        </is>
      </c>
      <c r="AP23" s="24" t="inlineStr">
        <is>
          <t>Twisted Minds Orchid</t>
        </is>
      </c>
      <c r="AQ23" s="24" t="inlineStr">
        <is>
          <t>Twisted Minds Orchid</t>
        </is>
      </c>
      <c r="AR23" s="24" t="inlineStr">
        <is>
          <t>Twisted Minds Orchid</t>
        </is>
      </c>
      <c r="AS23" s="24" t="inlineStr">
        <is>
          <t>Gentle Mates GC</t>
        </is>
      </c>
      <c r="AT23" s="24" t="inlineStr">
        <is>
          <t>Gentle Mates GC</t>
        </is>
      </c>
      <c r="AU23" s="24" t="inlineStr">
        <is>
          <t>Gentle Mates GC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99605999cbefc3e4318aa2d50dc2b92c9ca2bafd08c79807b93ccfd4969eebcd</t>
        </is>
      </c>
      <c r="BB23" s="24" t="inlineStr">
        <is>
          <t>neutral_elo</t>
        </is>
      </c>
      <c r="BC23" s="24" t="inlineStr">
        <is>
          <t>valorant-tiered-elo-v6</t>
        </is>
      </c>
      <c r="BD23" s="24" t="inlineStr">
        <is>
          <t>99605999cbefc3e4318aa2d50dc2b92c9ca2bafd08c79807b93ccfd4969eebcd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valorant-tiered-elo-v6</t>
        </is>
      </c>
      <c r="BH23" s="24" t="inlineStr">
        <is>
          <t>2026-08-05T17:04:41.254236Z</t>
        </is>
      </c>
      <c r="BI23" s="24" t="inlineStr">
        <is>
          <t>["same_event","same_team_same_day","same_league_same_day"]</t>
        </is>
      </c>
      <c r="BJ23" s="25" t="n"/>
      <c r="BK23" s="26" t="n">
        <v>-194</v>
      </c>
      <c r="BL23" s="27" t="n">
        <v>1.515464</v>
      </c>
      <c r="BM23" s="28" t="n">
        <v>0.659864</v>
      </c>
      <c r="BN23" s="28" t="n"/>
      <c r="BO23" s="28" t="n"/>
      <c r="BP23" s="25" t="n"/>
      <c r="BQ23" s="27" t="n">
        <v>1.537634</v>
      </c>
      <c r="BR23" s="28" t="n">
        <v>0.65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cb803518ea764ed5</t>
        </is>
      </c>
      <c r="B24" s="24" t="inlineStr">
        <is>
          <t>2026-08-06T00:24:39.463638Z</t>
        </is>
      </c>
      <c r="C24" s="24" t="inlineStr">
        <is>
          <t>2026-08-06T08:00:00Z</t>
        </is>
      </c>
      <c r="D24" s="24" t="inlineStr">
        <is>
          <t>70564</t>
        </is>
      </c>
      <c r="E24" s="24" t="inlineStr">
        <is>
          <t>VALORANT</t>
        </is>
      </c>
      <c r="F24" s="24" t="inlineStr">
        <is>
          <t>JD Gaming</t>
        </is>
      </c>
      <c r="G24" s="24" t="inlineStr">
        <is>
          <t>FunPlus Phoenix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-170</v>
      </c>
      <c r="M24" s="27" t="n">
        <v>1.588235</v>
      </c>
      <c r="N24" s="28" t="n">
        <v>0.62963</v>
      </c>
      <c r="O24" s="28" t="n">
        <v>0.6551090000000001</v>
      </c>
      <c r="P24" s="28" t="n"/>
      <c r="Q24" s="28" t="n">
        <v>0.025479</v>
      </c>
      <c r="R24" s="26" t="n">
        <v>33</v>
      </c>
      <c r="S24" s="29" t="n">
        <v>0</v>
      </c>
      <c r="T24" s="24" t="inlineStr">
        <is>
          <t>valorant-tiered-elo-v6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/>
      <c r="AA24" s="28" t="n"/>
      <c r="AB24" s="28" t="n"/>
      <c r="AC24" s="30" t="n">
        <v>0</v>
      </c>
      <c r="AD24" s="24" t="inlineStr">
        <is>
          <t>2026-08-06T18:56:45.581929Z</t>
        </is>
      </c>
      <c r="AE24" s="31" t="inlineStr">
        <is>
          <t>Neutral Elo baseline; executable ask 0.6300 (market_slug=aec-valorant-fpx-jdg-2026-08-06).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NO_CALL_WINNER_OVERVALUED</t>
        </is>
      </c>
      <c r="AP24" s="24" t="inlineStr">
        <is>
          <t>JD Gaming</t>
        </is>
      </c>
      <c r="AQ24" s="24" t="inlineStr">
        <is>
          <t>JD Gaming</t>
        </is>
      </c>
      <c r="AR24" s="24" t="inlineStr">
        <is>
          <t>JD Gaming</t>
        </is>
      </c>
      <c r="AS24" s="24" t="inlineStr">
        <is>
          <t>FunPlus Phoenix</t>
        </is>
      </c>
      <c r="AT24" s="24" t="inlineStr">
        <is>
          <t>FunPlus Phoenix</t>
        </is>
      </c>
      <c r="AU24" s="24" t="inlineStr">
        <is>
          <t>FunPlus Phoenix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4df5f295a2b28e76007c7dffc3ff6e8d7c876b7734ec9c379c78b6dce8cd27b3</t>
        </is>
      </c>
      <c r="BB24" s="24" t="inlineStr">
        <is>
          <t>neutral_elo</t>
        </is>
      </c>
      <c r="BC24" s="24" t="inlineStr">
        <is>
          <t>valorant-tiered-elo-v6</t>
        </is>
      </c>
      <c r="BD24" s="24" t="inlineStr">
        <is>
          <t>4df5f295a2b28e76007c7dffc3ff6e8d7c876b7734ec9c379c78b6dce8cd27b3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valorant-tiered-elo-v6</t>
        </is>
      </c>
      <c r="BH24" s="24" t="inlineStr">
        <is>
          <t>2026-08-06T00:24:35.545519Z</t>
        </is>
      </c>
      <c r="BI24" s="24" t="inlineStr">
        <is>
          <t>["same_event","same_team_same_day","same_league_same_day"]</t>
        </is>
      </c>
      <c r="BJ24" s="25" t="n"/>
      <c r="BK24" s="26" t="n">
        <v>-170</v>
      </c>
      <c r="BL24" s="27" t="n">
        <v>1.588235</v>
      </c>
      <c r="BM24" s="28" t="n">
        <v>0.62963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59e51fb17d924b64</t>
        </is>
      </c>
      <c r="B25" s="24" t="inlineStr">
        <is>
          <t>2026-08-06T00:24:39.463638Z</t>
        </is>
      </c>
      <c r="C25" s="24" t="inlineStr">
        <is>
          <t>2026-08-06T10:00:00Z</t>
        </is>
      </c>
      <c r="D25" s="24" t="inlineStr">
        <is>
          <t>70595</t>
        </is>
      </c>
      <c r="E25" s="24" t="inlineStr">
        <is>
          <t>VALORANT</t>
        </is>
      </c>
      <c r="F25" s="24" t="inlineStr">
        <is>
          <t>Dragon Ranger Gaming</t>
        </is>
      </c>
      <c r="G25" s="24" t="inlineStr">
        <is>
          <t>Wolves Esports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-170</v>
      </c>
      <c r="M25" s="27" t="n">
        <v>1.588235</v>
      </c>
      <c r="N25" s="28" t="n">
        <v>0.62963</v>
      </c>
      <c r="O25" s="28" t="n">
        <v>0.619297</v>
      </c>
      <c r="P25" s="28" t="n"/>
      <c r="Q25" s="28" t="n">
        <v>-0.010333</v>
      </c>
      <c r="R25" s="26" t="n">
        <v>15</v>
      </c>
      <c r="S25" s="29" t="n">
        <v>0</v>
      </c>
      <c r="T25" s="24" t="inlineStr">
        <is>
          <t>valorant-tiered-elo-v6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/>
      <c r="AA25" s="28" t="n"/>
      <c r="AB25" s="28" t="n"/>
      <c r="AC25" s="30" t="n">
        <v>0</v>
      </c>
      <c r="AD25" s="24" t="inlineStr">
        <is>
          <t>2026-08-06T18:56:47.269533Z</t>
        </is>
      </c>
      <c r="AE25" s="31" t="inlineStr">
        <is>
          <t>Neutral Elo baseline; executable ask 0.6300 (market_slug=aec-valorant-wol-drg-2026-08-06).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NO_CALL_WINNER_OVERVALUED</t>
        </is>
      </c>
      <c r="AP25" s="24" t="inlineStr">
        <is>
          <t>Dragon Ranger Gaming</t>
        </is>
      </c>
      <c r="AQ25" s="24" t="inlineStr">
        <is>
          <t>Dragon Ranger Gaming</t>
        </is>
      </c>
      <c r="AR25" s="24" t="inlineStr">
        <is>
          <t>Dragon Ranger Gaming</t>
        </is>
      </c>
      <c r="AS25" s="24" t="inlineStr">
        <is>
          <t>Wolves Esports</t>
        </is>
      </c>
      <c r="AT25" s="24" t="inlineStr">
        <is>
          <t>Wolves Esports</t>
        </is>
      </c>
      <c r="AU25" s="24" t="inlineStr">
        <is>
          <t>Wolves Esports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4df5f295a2b28e76007c7dffc3ff6e8d7c876b7734ec9c379c78b6dce8cd27b3</t>
        </is>
      </c>
      <c r="BB25" s="24" t="inlineStr">
        <is>
          <t>neutral_elo</t>
        </is>
      </c>
      <c r="BC25" s="24" t="inlineStr">
        <is>
          <t>valorant-tiered-elo-v6</t>
        </is>
      </c>
      <c r="BD25" s="24" t="inlineStr">
        <is>
          <t>4df5f295a2b28e76007c7dffc3ff6e8d7c876b7734ec9c379c78b6dce8cd27b3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valorant-tiered-elo-v6</t>
        </is>
      </c>
      <c r="BH25" s="24" t="inlineStr">
        <is>
          <t>2026-08-06T00:24:36.130397Z</t>
        </is>
      </c>
      <c r="BI25" s="24" t="inlineStr">
        <is>
          <t>["same_event","same_team_same_day","same_league_same_day"]</t>
        </is>
      </c>
      <c r="BJ25" s="25" t="n"/>
      <c r="BK25" s="26" t="n">
        <v>-170</v>
      </c>
      <c r="BL25" s="27" t="n">
        <v>1.588235</v>
      </c>
      <c r="BM25" s="28" t="n">
        <v>0.62963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</row>
    <row r="26" ht="36" customHeight="1">
      <c r="A26" s="24" t="inlineStr">
        <is>
          <t>c79618f0ece446a0</t>
        </is>
      </c>
      <c r="B26" s="24" t="inlineStr">
        <is>
          <t>2026-08-06T00:24:39.463638Z</t>
        </is>
      </c>
      <c r="C26" s="24" t="inlineStr">
        <is>
          <t>2026-08-06T15:00:00Z</t>
        </is>
      </c>
      <c r="D26" s="24" t="inlineStr">
        <is>
          <t>70725</t>
        </is>
      </c>
      <c r="E26" s="24" t="inlineStr">
        <is>
          <t>VALORANT</t>
        </is>
      </c>
      <c r="F26" s="24" t="inlineStr">
        <is>
          <t>Karmine Corp GC</t>
        </is>
      </c>
      <c r="G26" s="24" t="inlineStr">
        <is>
          <t>GIANTX GC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-108</v>
      </c>
      <c r="M26" s="27" t="n">
        <v>1.925926</v>
      </c>
      <c r="N26" s="28" t="n">
        <v>0.519231</v>
      </c>
      <c r="O26" s="28" t="n">
        <v>0.55231</v>
      </c>
      <c r="P26" s="28" t="n"/>
      <c r="Q26" s="28" t="n">
        <v>0.033079</v>
      </c>
      <c r="R26" s="26" t="n">
        <v>37</v>
      </c>
      <c r="S26" s="29" t="n">
        <v>0</v>
      </c>
      <c r="T26" s="24" t="inlineStr">
        <is>
          <t>valorant-tiered-elo-v6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0</v>
      </c>
      <c r="AD26" s="24" t="inlineStr">
        <is>
          <t>2026-08-06T18:56:48.944178Z</t>
        </is>
      </c>
      <c r="AE26" s="31" t="inlineStr">
        <is>
          <t>Neutral Elo baseline; executable ask 0.5200 (market_slug=aec-valorant-gxgc-kcg-2026-08-06).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NO_CALL_WINNER_OVERVALUED</t>
        </is>
      </c>
      <c r="AP26" s="24" t="inlineStr">
        <is>
          <t>Karmine Corp GC</t>
        </is>
      </c>
      <c r="AQ26" s="24" t="inlineStr">
        <is>
          <t>Karmine Corp GC</t>
        </is>
      </c>
      <c r="AR26" s="24" t="inlineStr">
        <is>
          <t>Karmine Corp GC</t>
        </is>
      </c>
      <c r="AS26" s="24" t="inlineStr">
        <is>
          <t>GIANTX GC</t>
        </is>
      </c>
      <c r="AT26" s="24" t="inlineStr">
        <is>
          <t>GIANTX GC</t>
        </is>
      </c>
      <c r="AU26" s="24" t="inlineStr">
        <is>
          <t>GIANTX GC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4df5f295a2b28e76007c7dffc3ff6e8d7c876b7734ec9c379c78b6dce8cd27b3</t>
        </is>
      </c>
      <c r="BB26" s="24" t="inlineStr">
        <is>
          <t>neutral_elo</t>
        </is>
      </c>
      <c r="BC26" s="24" t="inlineStr">
        <is>
          <t>valorant-tiered-elo-v6</t>
        </is>
      </c>
      <c r="BD26" s="24" t="inlineStr">
        <is>
          <t>4df5f295a2b28e76007c7dffc3ff6e8d7c876b7734ec9c379c78b6dce8cd27b3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valorant-tiered-elo-v6</t>
        </is>
      </c>
      <c r="BH26" s="24" t="inlineStr">
        <is>
          <t>2026-08-06T00:24:36.602756Z</t>
        </is>
      </c>
      <c r="BI26" s="24" t="inlineStr">
        <is>
          <t>["same_event","same_team_same_day","same_league_same_day"]</t>
        </is>
      </c>
      <c r="BJ26" s="25" t="n"/>
      <c r="BK26" s="26" t="n">
        <v>-108</v>
      </c>
      <c r="BL26" s="27" t="n">
        <v>1.925926</v>
      </c>
      <c r="BM26" s="28" t="n">
        <v>0.519231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19496ab933704b9f</t>
        </is>
      </c>
      <c r="B27" s="24" t="inlineStr">
        <is>
          <t>2026-08-06T00:24:39.463638Z</t>
        </is>
      </c>
      <c r="C27" s="24" t="inlineStr">
        <is>
          <t>2026-08-06T15:00:00Z</t>
        </is>
      </c>
      <c r="D27" s="24" t="inlineStr">
        <is>
          <t>70727</t>
        </is>
      </c>
      <c r="E27" s="24" t="inlineStr">
        <is>
          <t>VALORANT</t>
        </is>
      </c>
      <c r="F27" s="24" t="inlineStr">
        <is>
          <t>Habos Babos</t>
        </is>
      </c>
      <c r="G27" s="24" t="inlineStr">
        <is>
          <t>FOKUS Sakura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0.537492</v>
      </c>
      <c r="P27" s="28" t="n"/>
      <c r="Q27" s="28" t="n">
        <v>-0.092138</v>
      </c>
      <c r="R27" s="26" t="n">
        <v>0</v>
      </c>
      <c r="S27" s="29" t="n">
        <v>0</v>
      </c>
      <c r="T27" s="24" t="inlineStr">
        <is>
          <t>valorant-tiered-elo-v6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/>
      <c r="AA27" s="28" t="n"/>
      <c r="AB27" s="28" t="n"/>
      <c r="AC27" s="30" t="n">
        <v>0</v>
      </c>
      <c r="AD27" s="24" t="inlineStr">
        <is>
          <t>2026-08-06T18:56:50.514524Z</t>
        </is>
      </c>
      <c r="AE27" s="31" t="inlineStr">
        <is>
          <t>Neutral Elo baseline; executable ask 0.6300 (market_slug=aec-valorant-fso-hbs-2026-08-06).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NO_CALL_WINNER_OVERVALUED</t>
        </is>
      </c>
      <c r="AP27" s="24" t="inlineStr">
        <is>
          <t>Habos Babos</t>
        </is>
      </c>
      <c r="AQ27" s="24" t="inlineStr">
        <is>
          <t>Habos Babos</t>
        </is>
      </c>
      <c r="AR27" s="24" t="inlineStr">
        <is>
          <t>Habos Babos</t>
        </is>
      </c>
      <c r="AS27" s="24" t="inlineStr">
        <is>
          <t>FOKUS Sakura</t>
        </is>
      </c>
      <c r="AT27" s="24" t="inlineStr">
        <is>
          <t>FOKUS Sakura</t>
        </is>
      </c>
      <c r="AU27" s="24" t="inlineStr">
        <is>
          <t>FOKUS Sakura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4df5f295a2b28e76007c7dffc3ff6e8d7c876b7734ec9c379c78b6dce8cd27b3</t>
        </is>
      </c>
      <c r="BB27" s="24" t="inlineStr">
        <is>
          <t>neutral_elo</t>
        </is>
      </c>
      <c r="BC27" s="24" t="inlineStr">
        <is>
          <t>valorant-tiered-elo-v6</t>
        </is>
      </c>
      <c r="BD27" s="24" t="inlineStr">
        <is>
          <t>4df5f295a2b28e76007c7dffc3ff6e8d7c876b7734ec9c379c78b6dce8cd27b3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valorant-tiered-elo-v6</t>
        </is>
      </c>
      <c r="BH27" s="24" t="inlineStr">
        <is>
          <t>2026-08-06T00:24:37.090341Z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</row>
    <row r="28" ht="36" customHeight="1">
      <c r="A28" s="24" t="inlineStr">
        <is>
          <t>95d8804e9f6742de</t>
        </is>
      </c>
      <c r="B28" s="24" t="inlineStr">
        <is>
          <t>2026-08-06T00:24:39.463638Z</t>
        </is>
      </c>
      <c r="C28" s="24" t="inlineStr">
        <is>
          <t>2026-08-06T15:00:00Z</t>
        </is>
      </c>
      <c r="D28" s="24" t="inlineStr">
        <is>
          <t>70724</t>
        </is>
      </c>
      <c r="E28" s="24" t="inlineStr">
        <is>
          <t>VALORANT</t>
        </is>
      </c>
      <c r="F28" s="24" t="inlineStr">
        <is>
          <t>Eintracht Frankfurt</t>
        </is>
      </c>
      <c r="G28" s="24" t="inlineStr">
        <is>
          <t>GIANTX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138</v>
      </c>
      <c r="M28" s="27" t="n">
        <v>2.38</v>
      </c>
      <c r="N28" s="28" t="n">
        <v>0.420168</v>
      </c>
      <c r="O28" s="28" t="n">
        <v>0.695761</v>
      </c>
      <c r="P28" s="28" t="n"/>
      <c r="Q28" s="28" t="n">
        <v>0.275593</v>
      </c>
      <c r="R28" s="26" t="n">
        <v>100</v>
      </c>
      <c r="S28" s="29" t="n">
        <v>2</v>
      </c>
      <c r="T28" s="24" t="inlineStr">
        <is>
          <t>valorant-tiered-elo-v6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0</v>
      </c>
      <c r="X28" s="26" t="n">
        <v>1</v>
      </c>
      <c r="Y28" s="25" t="n"/>
      <c r="Z28" s="26" t="n"/>
      <c r="AA28" s="28" t="n"/>
      <c r="AB28" s="28" t="n"/>
      <c r="AC28" s="30" t="n">
        <v>-2</v>
      </c>
      <c r="AD28" s="24" t="inlineStr">
        <is>
          <t>2026-08-06T18:56:52.207320Z</t>
        </is>
      </c>
      <c r="AE28" s="31" t="inlineStr">
        <is>
          <t>Neutral Elo baseline; executable ask 0.4200 (market_slug=aec-valorant-gx-sge-2026-08-06).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Eintracht Frankfurt</t>
        </is>
      </c>
      <c r="AQ28" s="24" t="inlineStr">
        <is>
          <t>Eintracht Frankfurt</t>
        </is>
      </c>
      <c r="AR28" s="24" t="inlineStr">
        <is>
          <t>Eintracht Frankfurt</t>
        </is>
      </c>
      <c r="AS28" s="24" t="inlineStr">
        <is>
          <t>GIANTX</t>
        </is>
      </c>
      <c r="AT28" s="24" t="inlineStr">
        <is>
          <t>GIANTX</t>
        </is>
      </c>
      <c r="AU28" s="24" t="inlineStr">
        <is>
          <t>GIANTX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4df5f295a2b28e76007c7dffc3ff6e8d7c876b7734ec9c379c78b6dce8cd27b3</t>
        </is>
      </c>
      <c r="BB28" s="24" t="inlineStr">
        <is>
          <t>neutral_elo</t>
        </is>
      </c>
      <c r="BC28" s="24" t="inlineStr">
        <is>
          <t>valorant-tiered-elo-v6</t>
        </is>
      </c>
      <c r="BD28" s="24" t="inlineStr">
        <is>
          <t>4df5f295a2b28e76007c7dffc3ff6e8d7c876b7734ec9c379c78b6dce8cd27b3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valorant-tiered-elo-v6</t>
        </is>
      </c>
      <c r="BH28" s="24" t="inlineStr">
        <is>
          <t>2026-08-06T00:24:37.569959Z</t>
        </is>
      </c>
      <c r="BI28" s="24" t="inlineStr">
        <is>
          <t>["same_event","same_team_same_day","same_league_same_day"]</t>
        </is>
      </c>
      <c r="BJ28" s="25" t="n"/>
      <c r="BK28" s="26" t="n">
        <v>138</v>
      </c>
      <c r="BL28" s="27" t="n">
        <v>2.38</v>
      </c>
      <c r="BM28" s="28" t="n">
        <v>0.420168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192f6189a99f40b2</t>
        </is>
      </c>
      <c r="B29" s="24" t="inlineStr">
        <is>
          <t>2026-08-06T00:24:39.463638Z</t>
        </is>
      </c>
      <c r="C29" s="24" t="inlineStr">
        <is>
          <t>2026-08-06T18:00:00Z</t>
        </is>
      </c>
      <c r="D29" s="24" t="inlineStr">
        <is>
          <t>70912</t>
        </is>
      </c>
      <c r="E29" s="24" t="inlineStr">
        <is>
          <t>VALORANT</t>
        </is>
      </c>
      <c r="F29" s="24" t="inlineStr">
        <is>
          <t>Joblife</t>
        </is>
      </c>
      <c r="G29" s="24" t="inlineStr">
        <is>
          <t>Natus Vincere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178</v>
      </c>
      <c r="M29" s="27" t="n">
        <v>2.78</v>
      </c>
      <c r="N29" s="28" t="n">
        <v>0.359712</v>
      </c>
      <c r="O29" s="28" t="n">
        <v>0.563029</v>
      </c>
      <c r="P29" s="28" t="n"/>
      <c r="Q29" s="28" t="n">
        <v>0.203317</v>
      </c>
      <c r="R29" s="26" t="n">
        <v>100</v>
      </c>
      <c r="S29" s="29" t="n">
        <v>1</v>
      </c>
      <c r="T29" s="24" t="inlineStr">
        <is>
          <t>valorant-tiered-elo-v6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1.78</v>
      </c>
      <c r="AD29" s="24" t="inlineStr">
        <is>
          <t>2026-08-07T06:01:46.955979Z</t>
        </is>
      </c>
      <c r="AE29" s="31" t="inlineStr">
        <is>
          <t>Neutral Elo baseline; executable ask 0.3600 (market_slug=aec-valorant-navi-jl-2026-08-06).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Joblife</t>
        </is>
      </c>
      <c r="AQ29" s="24" t="inlineStr">
        <is>
          <t>Joblife</t>
        </is>
      </c>
      <c r="AR29" s="24" t="inlineStr">
        <is>
          <t>Joblife</t>
        </is>
      </c>
      <c r="AS29" s="24" t="inlineStr">
        <is>
          <t>Natus Vincere</t>
        </is>
      </c>
      <c r="AT29" s="24" t="inlineStr">
        <is>
          <t>Natus Vincere</t>
        </is>
      </c>
      <c r="AU29" s="24" t="inlineStr">
        <is>
          <t>Natus Vincere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4df5f295a2b28e76007c7dffc3ff6e8d7c876b7734ec9c379c78b6dce8cd27b3</t>
        </is>
      </c>
      <c r="BB29" s="24" t="inlineStr">
        <is>
          <t>neutral_elo</t>
        </is>
      </c>
      <c r="BC29" s="24" t="inlineStr">
        <is>
          <t>valorant-tiered-elo-v6</t>
        </is>
      </c>
      <c r="BD29" s="24" t="inlineStr">
        <is>
          <t>4df5f295a2b28e76007c7dffc3ff6e8d7c876b7734ec9c379c78b6dce8cd27b3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valorant-tiered-elo-v6</t>
        </is>
      </c>
      <c r="BH29" s="24" t="inlineStr">
        <is>
          <t>2026-08-06T00:24:38.040365Z</t>
        </is>
      </c>
      <c r="BI29" s="24" t="inlineStr">
        <is>
          <t>["same_event","same_team_same_day","same_league_same_day"]</t>
        </is>
      </c>
      <c r="BJ29" s="25" t="n"/>
      <c r="BK29" s="26" t="n">
        <v>178</v>
      </c>
      <c r="BL29" s="27" t="n">
        <v>2.78</v>
      </c>
      <c r="BM29" s="28" t="n">
        <v>0.359712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29f26cb8522341d1</t>
        </is>
      </c>
      <c r="B30" s="24" t="inlineStr">
        <is>
          <t>2026-08-06T19:00:18.001858Z</t>
        </is>
      </c>
      <c r="C30" s="24" t="inlineStr">
        <is>
          <t>2026-08-06T21:00:00Z</t>
        </is>
      </c>
      <c r="D30" s="24" t="inlineStr">
        <is>
          <t>71315</t>
        </is>
      </c>
      <c r="E30" s="24" t="inlineStr">
        <is>
          <t>VALORANT</t>
        </is>
      </c>
      <c r="F30" s="24" t="inlineStr">
        <is>
          <t>FURIA Esports</t>
        </is>
      </c>
      <c r="G30" s="24" t="inlineStr">
        <is>
          <t>Evil Geniuses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117</v>
      </c>
      <c r="M30" s="27" t="n">
        <v>2.17</v>
      </c>
      <c r="N30" s="28" t="n">
        <v>0.460829</v>
      </c>
      <c r="O30" s="28" t="n">
        <v>0.615411</v>
      </c>
      <c r="P30" s="28" t="n"/>
      <c r="Q30" s="28" t="n">
        <v>0.154582</v>
      </c>
      <c r="R30" s="26" t="n">
        <v>97</v>
      </c>
      <c r="S30" s="29" t="n">
        <v>1.5</v>
      </c>
      <c r="T30" s="24" t="inlineStr">
        <is>
          <t>valorant-tiered-elo-v6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>
        <v>117</v>
      </c>
      <c r="AA30" s="28" t="n">
        <v>0.46</v>
      </c>
      <c r="AB30" s="28" t="n">
        <v>-0.000829</v>
      </c>
      <c r="AC30" s="30" t="n">
        <v>1.755</v>
      </c>
      <c r="AD30" s="24" t="inlineStr">
        <is>
          <t>2026-08-07T06:01:48.504320Z</t>
        </is>
      </c>
      <c r="AE30" s="31" t="inlineStr">
        <is>
          <t>Neutral Elo baseline; executable ask 0.4600 (market_slug=aec-valorant-eg-fur-2026-08-06).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FURIA Esports</t>
        </is>
      </c>
      <c r="AQ30" s="24" t="inlineStr">
        <is>
          <t>FURIA Esports</t>
        </is>
      </c>
      <c r="AR30" s="24" t="inlineStr">
        <is>
          <t>FURIA Esports</t>
        </is>
      </c>
      <c r="AS30" s="24" t="inlineStr">
        <is>
          <t>Evil Geniuses</t>
        </is>
      </c>
      <c r="AT30" s="24" t="inlineStr">
        <is>
          <t>Evil Geniuses</t>
        </is>
      </c>
      <c r="AU30" s="24" t="inlineStr">
        <is>
          <t>Evil Geniuses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b32c21f8580cb36d2689c3449e18565f3db3f1690f09f65a3c552f717e24b35d</t>
        </is>
      </c>
      <c r="BB30" s="24" t="inlineStr">
        <is>
          <t>neutral_elo</t>
        </is>
      </c>
      <c r="BC30" s="24" t="inlineStr">
        <is>
          <t>valorant-tiered-elo-v6</t>
        </is>
      </c>
      <c r="BD30" s="24" t="inlineStr">
        <is>
          <t>b32c21f8580cb36d2689c3449e18565f3db3f1690f09f65a3c552f717e24b35d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valorant-tiered-elo-v6</t>
        </is>
      </c>
      <c r="BH30" s="24" t="inlineStr">
        <is>
          <t>2026-08-06T19:00:13.149018Z</t>
        </is>
      </c>
      <c r="BI30" s="24" t="inlineStr">
        <is>
          <t>["same_event","same_team_same_day","same_league_same_day"]</t>
        </is>
      </c>
      <c r="BJ30" s="25" t="n"/>
      <c r="BK30" s="26" t="n">
        <v>117</v>
      </c>
      <c r="BL30" s="27" t="n">
        <v>2.17</v>
      </c>
      <c r="BM30" s="28" t="n">
        <v>0.460829</v>
      </c>
      <c r="BN30" s="28" t="n"/>
      <c r="BO30" s="28" t="n"/>
      <c r="BP30" s="25" t="n"/>
      <c r="BQ30" s="27" t="n">
        <v>2.17</v>
      </c>
      <c r="BR30" s="28" t="n">
        <v>0.46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d7b622e9018b43c2</t>
        </is>
      </c>
      <c r="B31" s="24" t="inlineStr">
        <is>
          <t>2026-08-07T06:05:11.884581Z</t>
        </is>
      </c>
      <c r="C31" s="24" t="inlineStr">
        <is>
          <t>2026-08-07T08:00:00Z</t>
        </is>
      </c>
      <c r="D31" s="24" t="inlineStr">
        <is>
          <t>71675</t>
        </is>
      </c>
      <c r="E31" s="24" t="inlineStr">
        <is>
          <t>VALORANT</t>
        </is>
      </c>
      <c r="F31" s="24" t="inlineStr">
        <is>
          <t>DetonatioN FocusMe</t>
        </is>
      </c>
      <c r="G31" s="24" t="inlineStr">
        <is>
          <t>Team Secret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-186</v>
      </c>
      <c r="M31" s="27" t="n">
        <v>1.537634</v>
      </c>
      <c r="N31" s="28" t="n">
        <v>0.65035</v>
      </c>
      <c r="O31" s="28" t="n">
        <v>0.653762</v>
      </c>
      <c r="P31" s="28" t="n"/>
      <c r="Q31" s="28" t="n">
        <v>0.003412</v>
      </c>
      <c r="R31" s="26" t="n">
        <v>22</v>
      </c>
      <c r="S31" s="29" t="n">
        <v>0</v>
      </c>
      <c r="T31" s="24" t="inlineStr">
        <is>
          <t>valorant-tiered-elo-v6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-186</v>
      </c>
      <c r="AA31" s="28" t="n">
        <v>0.65</v>
      </c>
      <c r="AB31" s="28" t="n">
        <v>-0.00035</v>
      </c>
      <c r="AC31" s="30" t="n">
        <v>0</v>
      </c>
      <c r="AD31" s="24" t="inlineStr">
        <is>
          <t>2026-08-07T12:14:17.233910Z</t>
        </is>
      </c>
      <c r="AE31" s="31" t="inlineStr">
        <is>
          <t>Neutral Elo baseline; executable ask 0.6500 (market_slug=aec-valorant-ts-dfm-2026-08-07).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NO_CALL_WINNER_OVERVALUED</t>
        </is>
      </c>
      <c r="AP31" s="24" t="inlineStr">
        <is>
          <t>DetonatioN FocusMe</t>
        </is>
      </c>
      <c r="AQ31" s="24" t="inlineStr">
        <is>
          <t>DetonatioN FocusMe</t>
        </is>
      </c>
      <c r="AR31" s="24" t="inlineStr">
        <is>
          <t>DetonatioN FocusMe</t>
        </is>
      </c>
      <c r="AS31" s="24" t="inlineStr">
        <is>
          <t>Team Secret</t>
        </is>
      </c>
      <c r="AT31" s="24" t="inlineStr">
        <is>
          <t>Team Secret</t>
        </is>
      </c>
      <c r="AU31" s="24" t="inlineStr">
        <is>
          <t>Team Secret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b73645bf1ecd543fdd6eef3fb18bf1f86790dae2d994242a68d3628f34298e3b</t>
        </is>
      </c>
      <c r="BB31" s="24" t="inlineStr">
        <is>
          <t>neutral_elo</t>
        </is>
      </c>
      <c r="BC31" s="24" t="inlineStr">
        <is>
          <t>valorant-tiered-elo-v6</t>
        </is>
      </c>
      <c r="BD31" s="24" t="inlineStr">
        <is>
          <t>b73645bf1ecd543fdd6eef3fb18bf1f86790dae2d994242a68d3628f34298e3b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valorant-tiered-elo-v6</t>
        </is>
      </c>
      <c r="BH31" s="24" t="inlineStr">
        <is>
          <t>2026-08-07T06:04:59.654949Z</t>
        </is>
      </c>
      <c r="BI31" s="24" t="inlineStr">
        <is>
          <t>["same_event","same_team_same_day","same_league_same_day"]</t>
        </is>
      </c>
      <c r="BJ31" s="25" t="n"/>
      <c r="BK31" s="26" t="n">
        <v>-186</v>
      </c>
      <c r="BL31" s="27" t="n">
        <v>1.537634</v>
      </c>
      <c r="BM31" s="28" t="n">
        <v>0.65035</v>
      </c>
      <c r="BN31" s="28" t="n"/>
      <c r="BO31" s="28" t="n"/>
      <c r="BP31" s="25" t="n"/>
      <c r="BQ31" s="27" t="n">
        <v>1.537634</v>
      </c>
      <c r="BR31" s="28" t="n">
        <v>0.65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f9a9f444e7804efc</t>
        </is>
      </c>
      <c r="B32" s="24" t="inlineStr">
        <is>
          <t>2026-08-07T09:11:28.912966Z</t>
        </is>
      </c>
      <c r="C32" s="24" t="inlineStr">
        <is>
          <t>2026-08-07T11:00:00Z</t>
        </is>
      </c>
      <c r="D32" s="24" t="inlineStr">
        <is>
          <t>71752</t>
        </is>
      </c>
      <c r="E32" s="24" t="inlineStr">
        <is>
          <t>VALORANT</t>
        </is>
      </c>
      <c r="F32" s="24" t="inlineStr">
        <is>
          <t>FULL SENSE</t>
        </is>
      </c>
      <c r="G32" s="24" t="inlineStr">
        <is>
          <t>Gen.G Esports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-156</v>
      </c>
      <c r="M32" s="27" t="n">
        <v>1.641026</v>
      </c>
      <c r="N32" s="28" t="n">
        <v>0.609375</v>
      </c>
      <c r="O32" s="28" t="n">
        <v>0.781485</v>
      </c>
      <c r="P32" s="28" t="n"/>
      <c r="Q32" s="28" t="n">
        <v>0.17211</v>
      </c>
      <c r="R32" s="26" t="n">
        <v>100</v>
      </c>
      <c r="S32" s="29" t="n">
        <v>2</v>
      </c>
      <c r="T32" s="24" t="inlineStr">
        <is>
          <t>valorant-tiered-elo-v6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-156</v>
      </c>
      <c r="AA32" s="28" t="n">
        <v>0.61</v>
      </c>
      <c r="AB32" s="28" t="n">
        <v>0.000625</v>
      </c>
      <c r="AC32" s="30" t="n">
        <v>1.2821</v>
      </c>
      <c r="AD32" s="24" t="inlineStr">
        <is>
          <t>2026-08-07T15:20:01.811967Z</t>
        </is>
      </c>
      <c r="AE32" s="31" t="inlineStr">
        <is>
          <t>Neutral Elo baseline; executable ask 0.6100 (market_slug=aec-valorant-geng-fs-2026-08-07).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FULL SENSE</t>
        </is>
      </c>
      <c r="AQ32" s="24" t="inlineStr">
        <is>
          <t>FULL SENSE</t>
        </is>
      </c>
      <c r="AR32" s="24" t="inlineStr">
        <is>
          <t>FULL SENSE</t>
        </is>
      </c>
      <c r="AS32" s="24" t="inlineStr">
        <is>
          <t>Gen.G Esports</t>
        </is>
      </c>
      <c r="AT32" s="24" t="inlineStr">
        <is>
          <t>Gen.G Esports</t>
        </is>
      </c>
      <c r="AU32" s="24" t="inlineStr">
        <is>
          <t>Gen.G Esports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42b19475ad40d4c6f417c5f7897f490415fd91fcca876fa2415c941da1fd3bc7</t>
        </is>
      </c>
      <c r="BB32" s="24" t="inlineStr">
        <is>
          <t>neutral_elo</t>
        </is>
      </c>
      <c r="BC32" s="24" t="inlineStr">
        <is>
          <t>valorant-tiered-elo-v6</t>
        </is>
      </c>
      <c r="BD32" s="24" t="inlineStr">
        <is>
          <t>42b19475ad40d4c6f417c5f7897f490415fd91fcca876fa2415c941da1fd3bc7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valorant-tiered-elo-v6</t>
        </is>
      </c>
      <c r="BH32" s="24" t="inlineStr">
        <is>
          <t>2026-08-07T09:11:21.351080Z</t>
        </is>
      </c>
      <c r="BI32" s="24" t="inlineStr">
        <is>
          <t>["same_event","same_team_same_day","same_league_same_day"]</t>
        </is>
      </c>
      <c r="BJ32" s="25" t="n"/>
      <c r="BK32" s="26" t="n">
        <v>-156</v>
      </c>
      <c r="BL32" s="27" t="n">
        <v>1.641026</v>
      </c>
      <c r="BM32" s="28" t="n">
        <v>0.609375</v>
      </c>
      <c r="BN32" s="28" t="n"/>
      <c r="BO32" s="28" t="n"/>
      <c r="BP32" s="25" t="n"/>
      <c r="BQ32" s="27" t="n">
        <v>1.641026</v>
      </c>
      <c r="BR32" s="28" t="n">
        <v>0.61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9f013dd7475f4195</t>
        </is>
      </c>
      <c r="B33" s="24" t="inlineStr">
        <is>
          <t>2026-08-07T15:24:00.757019Z</t>
        </is>
      </c>
      <c r="C33" s="24" t="inlineStr">
        <is>
          <t>2026-08-07T18:00:00Z</t>
        </is>
      </c>
      <c r="D33" s="24" t="inlineStr">
        <is>
          <t>72078</t>
        </is>
      </c>
      <c r="E33" s="24" t="inlineStr">
        <is>
          <t>VALORANT</t>
        </is>
      </c>
      <c r="F33" s="24" t="inlineStr">
        <is>
          <t>Enterprise Esports</t>
        </is>
      </c>
      <c r="G33" s="24" t="inlineStr">
        <is>
          <t>Fnatic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178</v>
      </c>
      <c r="M33" s="27" t="n">
        <v>2.78</v>
      </c>
      <c r="N33" s="28" t="n">
        <v>0.359712</v>
      </c>
      <c r="O33" s="28" t="n">
        <v>0.743264</v>
      </c>
      <c r="P33" s="28" t="n"/>
      <c r="Q33" s="28" t="n">
        <v>0.383552</v>
      </c>
      <c r="R33" s="26" t="n">
        <v>100</v>
      </c>
      <c r="S33" s="29" t="n">
        <v>2</v>
      </c>
      <c r="T33" s="24" t="inlineStr">
        <is>
          <t>valorant-tiered-elo-v6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0.3600 (market_slug=aec-valorant-fnc-ep-2026-08-07).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Enterprise Esports</t>
        </is>
      </c>
      <c r="AQ33" s="24" t="inlineStr">
        <is>
          <t>Enterprise Esports</t>
        </is>
      </c>
      <c r="AR33" s="24" t="inlineStr">
        <is>
          <t>Enterprise Esports</t>
        </is>
      </c>
      <c r="AS33" s="24" t="inlineStr">
        <is>
          <t>Fnatic</t>
        </is>
      </c>
      <c r="AT33" s="24" t="inlineStr">
        <is>
          <t>Fnatic</t>
        </is>
      </c>
      <c r="AU33" s="24" t="inlineStr">
        <is>
          <t>Fnatic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81f6739aa819ab85b1d04cc8b0c18852e0f247d6e491c0f3ef1b501fc8699698</t>
        </is>
      </c>
      <c r="BB33" s="24" t="inlineStr">
        <is>
          <t>neutral_elo</t>
        </is>
      </c>
      <c r="BC33" s="24" t="inlineStr">
        <is>
          <t>valorant-tiered-elo-v6</t>
        </is>
      </c>
      <c r="BD33" s="24" t="inlineStr">
        <is>
          <t>81f6739aa819ab85b1d04cc8b0c18852e0f247d6e491c0f3ef1b501fc8699698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valorant-tiered-elo-v6</t>
        </is>
      </c>
      <c r="BH33" s="24" t="inlineStr">
        <is>
          <t>2026-08-07T15:23:54.113763Z</t>
        </is>
      </c>
      <c r="BI33" s="24" t="inlineStr">
        <is>
          <t>["same_event","same_team_same_day","same_league_same_day"]</t>
        </is>
      </c>
      <c r="BJ33" s="25" t="n"/>
      <c r="BK33" s="26" t="n">
        <v>178</v>
      </c>
      <c r="BL33" s="27" t="n">
        <v>2.78</v>
      </c>
      <c r="BM33" s="28" t="n">
        <v>0.359712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a929831281674ed7</t>
        </is>
      </c>
      <c r="B34" s="24" t="inlineStr">
        <is>
          <t>2026-08-07T15:24:00.757019Z</t>
        </is>
      </c>
      <c r="C34" s="24" t="inlineStr">
        <is>
          <t>2026-08-08T08:00:00Z</t>
        </is>
      </c>
      <c r="D34" s="24" t="inlineStr">
        <is>
          <t>72723</t>
        </is>
      </c>
      <c r="E34" s="24" t="inlineStr">
        <is>
          <t>VALORANT</t>
        </is>
      </c>
      <c r="F34" s="24" t="inlineStr">
        <is>
          <t>T1</t>
        </is>
      </c>
      <c r="G34" s="24" t="inlineStr">
        <is>
          <t>Kiwoom DRX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-178</v>
      </c>
      <c r="M34" s="27" t="n">
        <v>1.561798</v>
      </c>
      <c r="N34" s="28" t="n">
        <v>0.640288</v>
      </c>
      <c r="O34" s="28" t="n">
        <v>0.577178</v>
      </c>
      <c r="P34" s="28" t="n"/>
      <c r="Q34" s="28" t="n">
        <v>-0.06311</v>
      </c>
      <c r="R34" s="26" t="n">
        <v>0</v>
      </c>
      <c r="S34" s="29" t="n">
        <v>0</v>
      </c>
      <c r="T34" s="24" t="inlineStr">
        <is>
          <t>valorant-tiered-elo-v6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0.6400 (market_slug=aec-valorant-krx-t1-2026-08-08).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NO_CALL_WINNER_OVERVALUED</t>
        </is>
      </c>
      <c r="AP34" s="24" t="inlineStr">
        <is>
          <t>T1</t>
        </is>
      </c>
      <c r="AQ34" s="24" t="inlineStr">
        <is>
          <t>T1</t>
        </is>
      </c>
      <c r="AR34" s="24" t="inlineStr">
        <is>
          <t>T1</t>
        </is>
      </c>
      <c r="AS34" s="24" t="inlineStr">
        <is>
          <t>Kiwoom DRX</t>
        </is>
      </c>
      <c r="AT34" s="24" t="inlineStr">
        <is>
          <t>Kiwoom DRX</t>
        </is>
      </c>
      <c r="AU34" s="24" t="inlineStr">
        <is>
          <t>Kiwoom DRX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81f6739aa819ab85b1d04cc8b0c18852e0f247d6e491c0f3ef1b501fc8699698</t>
        </is>
      </c>
      <c r="BB34" s="24" t="inlineStr">
        <is>
          <t>neutral_elo</t>
        </is>
      </c>
      <c r="BC34" s="24" t="inlineStr">
        <is>
          <t>valorant-tiered-elo-v6</t>
        </is>
      </c>
      <c r="BD34" s="24" t="inlineStr">
        <is>
          <t>81f6739aa819ab85b1d04cc8b0c18852e0f247d6e491c0f3ef1b501fc8699698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valorant-tiered-elo-v6</t>
        </is>
      </c>
      <c r="BH34" s="24" t="inlineStr">
        <is>
          <t>2026-08-07T15:23:56.286884Z</t>
        </is>
      </c>
      <c r="BI34" s="24" t="inlineStr">
        <is>
          <t>["same_event","same_team_same_day","same_league_same_day"]</t>
        </is>
      </c>
      <c r="BJ34" s="25" t="n"/>
      <c r="BK34" s="26" t="n">
        <v>-178</v>
      </c>
      <c r="BL34" s="27" t="n">
        <v>1.561798</v>
      </c>
      <c r="BM34" s="28" t="n">
        <v>0.640288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</row>
    <row r="35" ht="36" customHeight="1">
      <c r="A35" s="24" t="inlineStr">
        <is>
          <t>eaa69166713b49cb</t>
        </is>
      </c>
      <c r="B35" s="24" t="inlineStr">
        <is>
          <t>2026-08-07T15:24:00.757019Z</t>
        </is>
      </c>
      <c r="C35" s="24" t="inlineStr">
        <is>
          <t>2026-08-08T10:00:00Z</t>
        </is>
      </c>
      <c r="D35" s="24" t="inlineStr">
        <is>
          <t>73684</t>
        </is>
      </c>
      <c r="E35" s="24" t="inlineStr">
        <is>
          <t>VALORANT</t>
        </is>
      </c>
      <c r="F35" s="24" t="inlineStr">
        <is>
          <t>FunPlus Phoenix</t>
        </is>
      </c>
      <c r="G35" s="24" t="inlineStr">
        <is>
          <t>KeepBest Gaming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-233</v>
      </c>
      <c r="M35" s="27" t="n">
        <v>1.429185</v>
      </c>
      <c r="N35" s="28" t="n">
        <v>0.6997</v>
      </c>
      <c r="O35" s="28" t="n">
        <v>0.542519</v>
      </c>
      <c r="P35" s="28" t="n"/>
      <c r="Q35" s="28" t="n">
        <v>-0.157181</v>
      </c>
      <c r="R35" s="26" t="n">
        <v>0</v>
      </c>
      <c r="S35" s="29" t="n">
        <v>0</v>
      </c>
      <c r="T35" s="24" t="inlineStr">
        <is>
          <t>valorant-tiered-elo-v6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0.7000 (market_slug=aec-valorant-kbg-fpx-2026-08-08).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NO_CALL_WINNER_OVERVALUED</t>
        </is>
      </c>
      <c r="AP35" s="24" t="inlineStr">
        <is>
          <t>FunPlus Phoenix</t>
        </is>
      </c>
      <c r="AQ35" s="24" t="inlineStr">
        <is>
          <t>FunPlus Phoenix</t>
        </is>
      </c>
      <c r="AR35" s="24" t="inlineStr">
        <is>
          <t>FunPlus Phoenix</t>
        </is>
      </c>
      <c r="AS35" s="24" t="inlineStr">
        <is>
          <t>KeepBest Gaming</t>
        </is>
      </c>
      <c r="AT35" s="24" t="inlineStr">
        <is>
          <t>KeepBest Gaming</t>
        </is>
      </c>
      <c r="AU35" s="24" t="inlineStr">
        <is>
          <t>KeepBest Gaming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81f6739aa819ab85b1d04cc8b0c18852e0f247d6e491c0f3ef1b501fc8699698</t>
        </is>
      </c>
      <c r="BB35" s="24" t="inlineStr">
        <is>
          <t>neutral_elo</t>
        </is>
      </c>
      <c r="BC35" s="24" t="inlineStr">
        <is>
          <t>valorant-tiered-elo-v6</t>
        </is>
      </c>
      <c r="BD35" s="24" t="inlineStr">
        <is>
          <t>81f6739aa819ab85b1d04cc8b0c18852e0f247d6e491c0f3ef1b501fc8699698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valorant-tiered-elo-v6</t>
        </is>
      </c>
      <c r="BH35" s="24" t="inlineStr">
        <is>
          <t>2026-08-07T15:23:56.818736Z</t>
        </is>
      </c>
      <c r="BI35" s="24" t="inlineStr">
        <is>
          <t>["same_event","same_team_same_day","same_league_same_day"]</t>
        </is>
      </c>
      <c r="BJ35" s="25" t="n"/>
      <c r="BK35" s="26" t="n">
        <v>-233</v>
      </c>
      <c r="BL35" s="27" t="n">
        <v>1.429185</v>
      </c>
      <c r="BM35" s="28" t="n">
        <v>0.6997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</row>
    <row r="36" ht="36" customHeight="1">
      <c r="A36" s="24" t="inlineStr">
        <is>
          <t>f835edf7b815480f</t>
        </is>
      </c>
      <c r="B36" s="24" t="inlineStr">
        <is>
          <t>2026-08-07T15:24:00.757019Z</t>
        </is>
      </c>
      <c r="C36" s="24" t="inlineStr">
        <is>
          <t>2026-08-08T18:00:00Z</t>
        </is>
      </c>
      <c r="D36" s="24" t="inlineStr">
        <is>
          <t>74165</t>
        </is>
      </c>
      <c r="E36" s="24" t="inlineStr">
        <is>
          <t>VALORANT</t>
        </is>
      </c>
      <c r="F36" s="24" t="inlineStr">
        <is>
          <t>Joblife</t>
        </is>
      </c>
      <c r="G36" s="24" t="inlineStr">
        <is>
          <t>Eternal Fire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163</v>
      </c>
      <c r="M36" s="27" t="n">
        <v>2.63</v>
      </c>
      <c r="N36" s="28" t="n">
        <v>0.380228</v>
      </c>
      <c r="O36" s="28" t="n">
        <v>0.699272</v>
      </c>
      <c r="P36" s="28" t="n"/>
      <c r="Q36" s="28" t="n">
        <v>0.319044</v>
      </c>
      <c r="R36" s="26" t="n">
        <v>100</v>
      </c>
      <c r="S36" s="29" t="n">
        <v>2</v>
      </c>
      <c r="T36" s="24" t="inlineStr">
        <is>
          <t>valorant-tiered-elo-v6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0.3800 (market_slug=aec-valorant-ef-jl-2026-08-08).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Joblife</t>
        </is>
      </c>
      <c r="AQ36" s="24" t="inlineStr">
        <is>
          <t>Joblife</t>
        </is>
      </c>
      <c r="AR36" s="24" t="inlineStr">
        <is>
          <t>Joblife</t>
        </is>
      </c>
      <c r="AS36" s="24" t="inlineStr">
        <is>
          <t>Eternal Fire</t>
        </is>
      </c>
      <c r="AT36" s="24" t="inlineStr">
        <is>
          <t>Eternal Fire</t>
        </is>
      </c>
      <c r="AU36" s="24" t="inlineStr">
        <is>
          <t>Eternal Fire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81f6739aa819ab85b1d04cc8b0c18852e0f247d6e491c0f3ef1b501fc8699698</t>
        </is>
      </c>
      <c r="BB36" s="24" t="inlineStr">
        <is>
          <t>neutral_elo</t>
        </is>
      </c>
      <c r="BC36" s="24" t="inlineStr">
        <is>
          <t>valorant-tiered-elo-v6</t>
        </is>
      </c>
      <c r="BD36" s="24" t="inlineStr">
        <is>
          <t>81f6739aa819ab85b1d04cc8b0c18852e0f247d6e491c0f3ef1b501fc8699698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valorant-tiered-elo-v6</t>
        </is>
      </c>
      <c r="BH36" s="24" t="inlineStr">
        <is>
          <t>2026-08-07T15:23:59.578708Z</t>
        </is>
      </c>
      <c r="BI36" s="24" t="inlineStr">
        <is>
          <t>["same_event","same_team_same_day","same_league_same_day"]</t>
        </is>
      </c>
      <c r="BJ36" s="25" t="n"/>
      <c r="BK36" s="26" t="n">
        <v>163</v>
      </c>
      <c r="BL36" s="27" t="n">
        <v>2.63</v>
      </c>
      <c r="BM36" s="28" t="n">
        <v>0.380228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</row>
    <row r="37" ht="36" customHeight="1">
      <c r="A37" s="24" t="inlineStr">
        <is>
          <t>f92bfe3dd5f9459b</t>
        </is>
      </c>
      <c r="B37" s="24" t="inlineStr">
        <is>
          <t>2026-08-07T15:24:00.757019Z</t>
        </is>
      </c>
      <c r="C37" s="24" t="inlineStr">
        <is>
          <t>2026-08-09T00:00:00Z</t>
        </is>
      </c>
      <c r="D37" s="24" t="inlineStr">
        <is>
          <t>73525</t>
        </is>
      </c>
      <c r="E37" s="24" t="inlineStr">
        <is>
          <t>VALORANT</t>
        </is>
      </c>
      <c r="F37" s="24" t="inlineStr">
        <is>
          <t>MIBR</t>
        </is>
      </c>
      <c r="G37" s="24" t="inlineStr">
        <is>
          <t>Leviatán Esports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-150</v>
      </c>
      <c r="M37" s="27" t="n">
        <v>1.666667</v>
      </c>
      <c r="N37" s="28" t="n">
        <v>0.6</v>
      </c>
      <c r="O37" s="28" t="n">
        <v>0.700273</v>
      </c>
      <c r="P37" s="28" t="n"/>
      <c r="Q37" s="28" t="n">
        <v>0.100273</v>
      </c>
      <c r="R37" s="26" t="n">
        <v>70</v>
      </c>
      <c r="S37" s="29" t="n">
        <v>2</v>
      </c>
      <c r="T37" s="24" t="inlineStr">
        <is>
          <t>valorant-tiered-elo-v6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0.6000 (market_slug=aec-valorant-lev-mibr-2026-08-09).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MIBR</t>
        </is>
      </c>
      <c r="AQ37" s="24" t="inlineStr">
        <is>
          <t>MIBR</t>
        </is>
      </c>
      <c r="AR37" s="24" t="inlineStr">
        <is>
          <t>MIBR</t>
        </is>
      </c>
      <c r="AS37" s="24" t="inlineStr">
        <is>
          <t>Leviatán Esports</t>
        </is>
      </c>
      <c r="AT37" s="24" t="inlineStr">
        <is>
          <t>Leviatán Esports</t>
        </is>
      </c>
      <c r="AU37" s="24" t="inlineStr">
        <is>
          <t>Leviatán Esports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81f6739aa819ab85b1d04cc8b0c18852e0f247d6e491c0f3ef1b501fc8699698</t>
        </is>
      </c>
      <c r="BB37" s="24" t="inlineStr">
        <is>
          <t>neutral_elo</t>
        </is>
      </c>
      <c r="BC37" s="24" t="inlineStr">
        <is>
          <t>valorant-tiered-elo-v6</t>
        </is>
      </c>
      <c r="BD37" s="24" t="inlineStr">
        <is>
          <t>81f6739aa819ab85b1d04cc8b0c18852e0f247d6e491c0f3ef1b501fc8699698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valorant-tiered-elo-v6</t>
        </is>
      </c>
      <c r="BH37" s="24" t="inlineStr">
        <is>
          <t>2026-08-07T15:24:00.754763Z</t>
        </is>
      </c>
      <c r="BI37" s="24" t="inlineStr">
        <is>
          <t>["same_event","same_team_same_day","same_league_same_day"]</t>
        </is>
      </c>
      <c r="BJ37" s="25" t="n"/>
      <c r="BK37" s="26" t="n">
        <v>-150</v>
      </c>
      <c r="BL37" s="27" t="n">
        <v>1.666667</v>
      </c>
      <c r="BM37" s="28" t="n">
        <v>0.6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2026-08-07T15:24:03Z</dcterms:created>
  <dcterms:modified xmlns:dcterms="http://purl.org/dc/terms/" xmlns:xsi="http://www.w3.org/2001/XMLSchema-instance" xsi:type="dcterms:W3CDTF">2026-08-07T15:24:03Z</dcterms:modified>
</cp:coreProperties>
</file>