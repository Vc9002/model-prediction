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7" headerRowCount="1">
  <autoFilter ref="A1:CQ17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COUNTA('Picks'!$A$2:$A$17)</f>
        <v/>
      </c>
      <c r="C4" s="6">
        <f>COUNTIF('Picks'!$U$2:$U$17,"open")</f>
        <v/>
      </c>
      <c r="E4" s="6">
        <f>COUNTIF('Picks'!$U$2:$U$17,"settled")</f>
        <v/>
      </c>
      <c r="G4" s="6">
        <f>IF(COUNTIFS('Picks'!$U$2:$U$17,"settled",'Picks'!$V$2:$V$17,"win")+COUNTIFS('Picks'!$U$2:$U$17,"settled",'Picks'!$V$2:$V$17,"loss")&gt;=$L$2,"Ready","Insufficient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COUNTIF('Picks'!$BX$2:$BX$17,"&gt;0")</f>
        <v/>
      </c>
      <c r="C7" s="6">
        <f>COUNTIFS('Picks'!$BX$2:$BX$17,"&gt;0",'Picks'!$V$2:$V$17,"win")&amp;"-"&amp;COUNTIFS('Picks'!$BX$2:$BX$17,"&gt;0",'Picks'!$V$2:$V$17,"loss")</f>
        <v/>
      </c>
      <c r="E7" s="7">
        <f>IFERROR(COUNTIFS('Picks'!$BX$2:$BX$17,"&gt;0",'Picks'!$V$2:$V$17,"win")/(COUNTIFS('Picks'!$BX$2:$BX$17,"&gt;0",'Picks'!$V$2:$V$17,"win")+COUNTIFS('Picks'!$BX$2:$BX$17,"&gt;0",'Picks'!$V$2:$V$17,"loss")),0)</f>
        <v/>
      </c>
      <c r="G7" s="7">
        <f>IFERROR(SUM('Picks'!$BY$2:$BY$17)/SUM('Picks'!$BX$2:$BX$17),0)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SUM('Picks'!$BY$2:$BY$17)</f>
        <v/>
      </c>
      <c r="C10" s="9">
        <f>IFERROR(AVERAGEIF('Picks'!$AB$2:$AB$17,"&lt;&gt;",'Picks'!$AB$2:$AB$17),0)</f>
        <v/>
      </c>
      <c r="E10" s="6">
        <f>COUNTIFS('Picks'!$AM$2:$AM$17,"QUALIFIED_SHADOW_CALL",'Picks'!$U$2:$U$17,"settled")</f>
        <v/>
      </c>
      <c r="G10" s="8">
        <f>SUMIFS('Picks'!$AC$2:$AC$17,'Picks'!$AM$2:$AM$17,"QUALIFIED_SHADOW_CALL")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COUNTIFS('Picks'!$H$2:$H$17,$A14,'Picks'!$U$2:$U$17,"settled")</f>
        <v/>
      </c>
      <c r="C14" s="13">
        <f>COUNTIFS('Picks'!$H$2:$H$17,$A14,'Picks'!$U$2:$U$17,"settled",'Picks'!$V$2:$V$17,"win")</f>
        <v/>
      </c>
      <c r="D14" s="13">
        <f>COUNTIFS('Picks'!$H$2:$H$17,$A14,'Picks'!$U$2:$U$17,"settled",'Picks'!$V$2:$V$17,"loss")</f>
        <v/>
      </c>
      <c r="E14" s="14">
        <f>IFERROR(C14/(C14+D14),0)</f>
        <v/>
      </c>
      <c r="F14" s="15">
        <f>SUMIFS('Picks'!$BY$2:$BY$17,'Picks'!$H$2:$H$17,$A14)</f>
        <v/>
      </c>
      <c r="G14" s="16">
        <f>IFERROR(AVERAGEIFS('Picks'!$AB$2:$AB$17,'Picks'!$H$2:$H$17,$A14,'Picks'!$U$2:$U$17,"settled"),0)</f>
        <v/>
      </c>
    </row>
    <row r="15">
      <c r="A15" s="17" t="inlineStr">
        <is>
          <t>spread</t>
        </is>
      </c>
      <c r="B15" s="18">
        <f>COUNTIFS('Picks'!$H$2:$H$17,$A15,'Picks'!$U$2:$U$17,"settled")</f>
        <v/>
      </c>
      <c r="C15" s="18">
        <f>COUNTIFS('Picks'!$H$2:$H$17,$A15,'Picks'!$U$2:$U$17,"settled",'Picks'!$V$2:$V$17,"win")</f>
        <v/>
      </c>
      <c r="D15" s="18">
        <f>COUNTIFS('Picks'!$H$2:$H$17,$A15,'Picks'!$U$2:$U$17,"settled",'Picks'!$V$2:$V$17,"loss")</f>
        <v/>
      </c>
      <c r="E15" s="19">
        <f>IFERROR(C15/(C15+D15),0)</f>
        <v/>
      </c>
      <c r="F15" s="20">
        <f>SUMIFS('Picks'!$BY$2:$BY$17,'Picks'!$H$2:$H$17,$A15)</f>
        <v/>
      </c>
      <c r="G15" s="21">
        <f>IFERROR(AVERAGEIFS('Picks'!$AB$2:$AB$17,'Picks'!$H$2:$H$17,$A15,'Picks'!$U$2:$U$17,"settled"),0)</f>
        <v/>
      </c>
    </row>
    <row r="16">
      <c r="A16" s="12" t="inlineStr">
        <is>
          <t>total</t>
        </is>
      </c>
      <c r="B16" s="13">
        <f>COUNTIFS('Picks'!$H$2:$H$17,$A16,'Picks'!$U$2:$U$17,"settled")</f>
        <v/>
      </c>
      <c r="C16" s="13">
        <f>COUNTIFS('Picks'!$H$2:$H$17,$A16,'Picks'!$U$2:$U$17,"settled",'Picks'!$V$2:$V$17,"win")</f>
        <v/>
      </c>
      <c r="D16" s="13">
        <f>COUNTIFS('Picks'!$H$2:$H$17,$A16,'Picks'!$U$2:$U$17,"settled",'Picks'!$V$2:$V$17,"loss")</f>
        <v/>
      </c>
      <c r="E16" s="14">
        <f>IFERROR(C16/(C16+D16),0)</f>
        <v/>
      </c>
      <c r="F16" s="15">
        <f>SUMIFS('Picks'!$BY$2:$BY$17,'Picks'!$H$2:$H$17,$A16)</f>
        <v/>
      </c>
      <c r="G16" s="16">
        <f>IFERROR(AVERAGEIFS('Picks'!$AB$2:$AB$17,'Picks'!$H$2:$H$17,$A16,'Picks'!$U$2:$U$17,"settled"),0)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0c9b461f54a54b67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2026-07-31T13:38:58.560220Z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0e9f1583a76a4fd2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2026-07-31T19:51:22.532394Z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992f00d317164d2a</t>
        </is>
      </c>
      <c r="B4" s="24" t="inlineStr">
        <is>
          <t>2026-07-31T19:57:00.316597Z</t>
        </is>
      </c>
      <c r="C4" s="24" t="inlineStr">
        <is>
          <t>2026-07-31T21:00:00Z</t>
        </is>
      </c>
      <c r="D4" s="24" t="inlineStr">
        <is>
          <t>65506</t>
        </is>
      </c>
      <c r="E4" s="24" t="inlineStr">
        <is>
          <t>VALORANT</t>
        </is>
      </c>
      <c r="F4" s="24" t="inlineStr">
        <is>
          <t>LOUD</t>
        </is>
      </c>
      <c r="G4" s="24" t="inlineStr">
        <is>
          <t>Cloud9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-122</v>
      </c>
      <c r="M4" s="27" t="n">
        <v>1.819672</v>
      </c>
      <c r="N4" s="28" t="n">
        <v>0.54955</v>
      </c>
      <c r="O4" s="28" t="n">
        <v>0.558389</v>
      </c>
      <c r="P4" s="28" t="n"/>
      <c r="Q4" s="28" t="n">
        <v>0.008839</v>
      </c>
      <c r="R4" s="26" t="n">
        <v>24</v>
      </c>
      <c r="S4" s="29" t="n">
        <v>1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0</v>
      </c>
      <c r="Y4" s="25" t="n"/>
      <c r="Z4" s="26" t="n">
        <v>-122</v>
      </c>
      <c r="AA4" s="28" t="n">
        <v>0.55</v>
      </c>
      <c r="AB4" s="28" t="n">
        <v>0.00045</v>
      </c>
      <c r="AC4" s="30" t="n">
        <v>0.8197</v>
      </c>
      <c r="AD4" s="24" t="inlineStr">
        <is>
          <t>2026-08-01T03:00:18.104800Z</t>
        </is>
      </c>
      <c r="AE4" s="31" t="inlineStr">
        <is>
          <t>Neutral Elo baseline; executable ask 0.5500 (market_slug=aec-valorant-c9-loud-2026-07-31).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LOUD</t>
        </is>
      </c>
      <c r="AQ4" s="24" t="inlineStr">
        <is>
          <t>LOUD</t>
        </is>
      </c>
      <c r="AR4" s="24" t="inlineStr">
        <is>
          <t>LOUD</t>
        </is>
      </c>
      <c r="AS4" s="24" t="inlineStr">
        <is>
          <t>Cloud9</t>
        </is>
      </c>
      <c r="AT4" s="24" t="inlineStr">
        <is>
          <t>Cloud9</t>
        </is>
      </c>
      <c r="AU4" s="24" t="inlineStr">
        <is>
          <t>Cloud9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c495285eb3dce15d5f7b197559c746544440f7a87fe5550e2c24625e309d8dd6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c495285eb3dce15d5f7b197559c746544440f7a87fe5550e2c24625e309d8dd6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2026-07-31T19:56:56.353476Z</t>
        </is>
      </c>
      <c r="BI4" s="24" t="inlineStr">
        <is>
          <t>["same_event","same_team_same_day","same_league_same_day"]</t>
        </is>
      </c>
      <c r="BJ4" s="25" t="n"/>
      <c r="BK4" s="26" t="n">
        <v>-122</v>
      </c>
      <c r="BL4" s="27" t="n">
        <v>1.819672</v>
      </c>
      <c r="BM4" s="28" t="n">
        <v>0.54955</v>
      </c>
      <c r="BN4" s="28" t="n"/>
      <c r="BO4" s="28" t="n"/>
      <c r="BP4" s="25" t="n"/>
      <c r="BQ4" s="27" t="n">
        <v>1.819672</v>
      </c>
      <c r="BR4" s="28" t="n">
        <v>0.55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3e99dffb22ef4292</t>
        </is>
      </c>
      <c r="B5" s="24" t="inlineStr">
        <is>
          <t>2026-08-01T10:23:18.378580Z</t>
        </is>
      </c>
      <c r="C5" s="24" t="inlineStr">
        <is>
          <t>2026-08-01T11:00:00Z</t>
        </is>
      </c>
      <c r="D5" s="24" t="inlineStr">
        <is>
          <t>65894</t>
        </is>
      </c>
      <c r="E5" s="24" t="inlineStr">
        <is>
          <t>VALORANT</t>
        </is>
      </c>
      <c r="F5" s="24" t="inlineStr">
        <is>
          <t>Rex Regum Qeon</t>
        </is>
      </c>
      <c r="G5" s="24" t="inlineStr">
        <is>
          <t>FULL SENSE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0.552961</v>
      </c>
      <c r="P5" s="28" t="n"/>
      <c r="Q5" s="28" t="n">
        <v>-0.047039</v>
      </c>
      <c r="R5" s="26" t="n">
        <v>0</v>
      </c>
      <c r="S5" s="29" t="n">
        <v>1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-150</v>
      </c>
      <c r="AA5" s="28" t="n">
        <v>0.6</v>
      </c>
      <c r="AB5" s="28" t="n">
        <v>0</v>
      </c>
      <c r="AC5" s="30" t="n">
        <v>-1</v>
      </c>
      <c r="AD5" s="24" t="inlineStr">
        <is>
          <t>2026-08-01T16:48:17.244830Z</t>
        </is>
      </c>
      <c r="AE5" s="31" t="inlineStr">
        <is>
          <t>Neutral Elo baseline; executable ask 0.6000 (market_slug=aec-valorant-fs-rrq-2026-08-01).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Rex Regum Qeon</t>
        </is>
      </c>
      <c r="AQ5" s="24" t="inlineStr">
        <is>
          <t>Rex Regum Qeon</t>
        </is>
      </c>
      <c r="AR5" s="24" t="inlineStr">
        <is>
          <t>Rex Regum Qeon</t>
        </is>
      </c>
      <c r="AS5" s="24" t="inlineStr">
        <is>
          <t>FULL SENSE</t>
        </is>
      </c>
      <c r="AT5" s="24" t="inlineStr">
        <is>
          <t>FULL SENSE</t>
        </is>
      </c>
      <c r="AU5" s="24" t="inlineStr">
        <is>
          <t>FULL SENSE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8b020a3d72d15d0d6b9a3580f54f87b4bba53a58d9087c0149f9da2085413676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8b020a3d72d15d0d6b9a3580f54f87b4bba53a58d9087c0149f9da2085413676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2026-08-01T10:23:13.032551Z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67352456a8884132</t>
        </is>
      </c>
      <c r="B6" s="24" t="inlineStr">
        <is>
          <t>2026-08-01T13:46:54.819019Z</t>
        </is>
      </c>
      <c r="C6" s="24" t="inlineStr">
        <is>
          <t>2026-08-01T15:00:00Z</t>
        </is>
      </c>
      <c r="D6" s="24" t="inlineStr">
        <is>
          <t>65953</t>
        </is>
      </c>
      <c r="E6" s="24" t="inlineStr">
        <is>
          <t>VALORANT</t>
        </is>
      </c>
      <c r="F6" s="24" t="inlineStr">
        <is>
          <t>Team Vitality</t>
        </is>
      </c>
      <c r="G6" s="24" t="inlineStr">
        <is>
          <t>FUT Esports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-194</v>
      </c>
      <c r="M6" s="27" t="n">
        <v>1.515464</v>
      </c>
      <c r="N6" s="28" t="n">
        <v>0.659864</v>
      </c>
      <c r="O6" s="28" t="n">
        <v>0.566738</v>
      </c>
      <c r="P6" s="28" t="n"/>
      <c r="Q6" s="28" t="n">
        <v>-0.093126</v>
      </c>
      <c r="R6" s="26" t="n">
        <v>0</v>
      </c>
      <c r="S6" s="29" t="n">
        <v>1</v>
      </c>
      <c r="T6" s="24" t="inlineStr">
        <is>
          <t>valorant-tiered-elo-v5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-194</v>
      </c>
      <c r="AA6" s="28" t="n">
        <v>0.66</v>
      </c>
      <c r="AB6" s="28" t="n">
        <v>0.000136</v>
      </c>
      <c r="AC6" s="30" t="n">
        <v>0.5155</v>
      </c>
      <c r="AD6" s="24" t="inlineStr">
        <is>
          <t>2026-08-01T18:35:40.219599Z</t>
        </is>
      </c>
      <c r="AE6" s="31" t="inlineStr">
        <is>
          <t>Neutral Elo baseline; executable ask 0.6600 (market_slug=aec-valorant-fut-vit-2026-08-01).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Team Vitality</t>
        </is>
      </c>
      <c r="AQ6" s="24" t="inlineStr">
        <is>
          <t>Team Vitality</t>
        </is>
      </c>
      <c r="AR6" s="24" t="inlineStr">
        <is>
          <t>Team Vitality</t>
        </is>
      </c>
      <c r="AS6" s="24" t="inlineStr">
        <is>
          <t>FUT Esports</t>
        </is>
      </c>
      <c r="AT6" s="24" t="inlineStr">
        <is>
          <t>FUT Esports</t>
        </is>
      </c>
      <c r="AU6" s="24" t="inlineStr">
        <is>
          <t>FUT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5f7adb9e3af3e4b9370360107475e66be29da0c570d1ec14af5f7846257b6ab8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5f7adb9e3af3e4b9370360107475e66be29da0c570d1ec14af5f7846257b6ab8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2026-08-01T13:46:50.499962Z</t>
        </is>
      </c>
      <c r="BI6" s="24" t="inlineStr">
        <is>
          <t>["same_event","same_team_same_day","same_league_same_day"]</t>
        </is>
      </c>
      <c r="BJ6" s="25" t="n"/>
      <c r="BK6" s="26" t="n">
        <v>-194</v>
      </c>
      <c r="BL6" s="27" t="n">
        <v>1.515464</v>
      </c>
      <c r="BM6" s="28" t="n">
        <v>0.659864</v>
      </c>
      <c r="BN6" s="28" t="n"/>
      <c r="BO6" s="28" t="n"/>
      <c r="BP6" s="25" t="n"/>
      <c r="BQ6" s="27" t="n">
        <v>1.515464</v>
      </c>
      <c r="BR6" s="28" t="n">
        <v>0.66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49d2571015064442</t>
        </is>
      </c>
      <c r="B7" s="24" t="inlineStr">
        <is>
          <t>2026-08-01T16:54:19.279565Z</t>
        </is>
      </c>
      <c r="C7" s="24" t="inlineStr">
        <is>
          <t>2026-08-01T18:00:00Z</t>
        </is>
      </c>
      <c r="D7" s="24" t="inlineStr">
        <is>
          <t>66138</t>
        </is>
      </c>
      <c r="E7" s="24" t="inlineStr">
        <is>
          <t>VALORANT</t>
        </is>
      </c>
      <c r="F7" s="24" t="inlineStr">
        <is>
          <t>Team Liquid</t>
        </is>
      </c>
      <c r="G7" s="24" t="inlineStr">
        <is>
          <t>Karmine Corp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-113</v>
      </c>
      <c r="M7" s="27" t="n">
        <v>1.884956</v>
      </c>
      <c r="N7" s="28" t="n">
        <v>0.530516</v>
      </c>
      <c r="O7" s="28" t="n">
        <v>0.500941</v>
      </c>
      <c r="P7" s="28" t="n"/>
      <c r="Q7" s="28" t="n">
        <v>-0.029575</v>
      </c>
      <c r="R7" s="26" t="n">
        <v>5</v>
      </c>
      <c r="S7" s="29" t="n">
        <v>1</v>
      </c>
      <c r="T7" s="24" t="inlineStr">
        <is>
          <t>valorant-tiered-elo-v5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-113</v>
      </c>
      <c r="AA7" s="28" t="n">
        <v>0.53</v>
      </c>
      <c r="AB7" s="28" t="n">
        <v>-0.000516</v>
      </c>
      <c r="AC7" s="30" t="n">
        <v>-1</v>
      </c>
      <c r="AD7" s="24" t="inlineStr">
        <is>
          <t>2026-08-01T21:41:01.737935Z</t>
        </is>
      </c>
      <c r="AE7" s="31" t="inlineStr">
        <is>
          <t>Neutral Elo baseline; executable ask 0.5300 (market_slug=aec-valorant-kc-tl-2026-08-01).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Team Liquid</t>
        </is>
      </c>
      <c r="AQ7" s="24" t="inlineStr">
        <is>
          <t>Team Liquid</t>
        </is>
      </c>
      <c r="AR7" s="24" t="inlineStr">
        <is>
          <t>Team Liquid</t>
        </is>
      </c>
      <c r="AS7" s="24" t="inlineStr">
        <is>
          <t>Karmine Corp</t>
        </is>
      </c>
      <c r="AT7" s="24" t="inlineStr">
        <is>
          <t>Karmine Corp</t>
        </is>
      </c>
      <c r="AU7" s="24" t="inlineStr">
        <is>
          <t>Karmine Corp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de211ba59b87f7f994811cc2b95e7fa0909c8c2bfb3ba4be0f9ef98b999ead5f</t>
        </is>
      </c>
      <c r="BB7" s="24" t="inlineStr">
        <is>
          <t>neutral_elo</t>
        </is>
      </c>
      <c r="BC7" s="24" t="inlineStr">
        <is>
          <t>valorant-tiered-elo-v5</t>
        </is>
      </c>
      <c r="BD7" s="24" t="inlineStr">
        <is>
          <t>de211ba59b87f7f994811cc2b95e7fa0909c8c2bfb3ba4be0f9ef98b999ead5f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valorant-tiered-elo-v5</t>
        </is>
      </c>
      <c r="BH7" s="24" t="inlineStr">
        <is>
          <t>2026-08-01T16:54:15.399177Z</t>
        </is>
      </c>
      <c r="BI7" s="24" t="inlineStr">
        <is>
          <t>["same_event","same_team_same_day","same_league_same_day"]</t>
        </is>
      </c>
      <c r="BJ7" s="25" t="n"/>
      <c r="BK7" s="26" t="n">
        <v>-113</v>
      </c>
      <c r="BL7" s="27" t="n">
        <v>1.884956</v>
      </c>
      <c r="BM7" s="28" t="n">
        <v>0.530516</v>
      </c>
      <c r="BN7" s="28" t="n"/>
      <c r="BO7" s="28" t="n"/>
      <c r="BP7" s="25" t="n"/>
      <c r="BQ7" s="27" t="n">
        <v>1.884956</v>
      </c>
      <c r="BR7" s="28" t="n">
        <v>0.53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f24cec6b572d41e6</t>
        </is>
      </c>
      <c r="B8" s="24" t="inlineStr">
        <is>
          <t>2026-08-01T23:55:04.278999Z</t>
        </is>
      </c>
      <c r="C8" s="24" t="inlineStr">
        <is>
          <t>2026-08-02T00:00:00Z</t>
        </is>
      </c>
      <c r="D8" s="24" t="inlineStr">
        <is>
          <t>66659</t>
        </is>
      </c>
      <c r="E8" s="24" t="inlineStr">
        <is>
          <t>VALORANT</t>
        </is>
      </c>
      <c r="F8" s="24" t="inlineStr">
        <is>
          <t>NRG</t>
        </is>
      </c>
      <c r="G8" s="24" t="inlineStr">
        <is>
          <t>Leviatán Esports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-138</v>
      </c>
      <c r="M8" s="27" t="n">
        <v>1.724638</v>
      </c>
      <c r="N8" s="28" t="n">
        <v>0.579832</v>
      </c>
      <c r="O8" s="28" t="n">
        <v>0.608104</v>
      </c>
      <c r="P8" s="28" t="n"/>
      <c r="Q8" s="28" t="n">
        <v>0.028272</v>
      </c>
      <c r="R8" s="26" t="n">
        <v>34</v>
      </c>
      <c r="S8" s="29" t="n">
        <v>1.5</v>
      </c>
      <c r="T8" s="24" t="inlineStr">
        <is>
          <t>valorant-tiered-elo-v5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-138</v>
      </c>
      <c r="AA8" s="28" t="n">
        <v>0.58</v>
      </c>
      <c r="AB8" s="28" t="n">
        <v>0.000168</v>
      </c>
      <c r="AC8" s="30" t="n">
        <v>-1.5</v>
      </c>
      <c r="AD8" s="24" t="inlineStr">
        <is>
          <t>2026-08-02T04:26:23.368285Z</t>
        </is>
      </c>
      <c r="AE8" s="31" t="inlineStr">
        <is>
          <t>Neutral Elo baseline; executable ask 0.5800 (market_slug=aec-valorant-lev-nrg-2026-08-02).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NRG</t>
        </is>
      </c>
      <c r="AQ8" s="24" t="inlineStr">
        <is>
          <t>NRG</t>
        </is>
      </c>
      <c r="AR8" s="24" t="inlineStr">
        <is>
          <t>NRG</t>
        </is>
      </c>
      <c r="AS8" s="24" t="inlineStr">
        <is>
          <t>Leviatán Esports</t>
        </is>
      </c>
      <c r="AT8" s="24" t="inlineStr">
        <is>
          <t>Leviatán Esports</t>
        </is>
      </c>
      <c r="AU8" s="24" t="inlineStr">
        <is>
          <t>Leviatán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4e9833fa3108f9876de728871233bbb749924096e4b6984ae7ee11ff9d8be0d1</t>
        </is>
      </c>
      <c r="BB8" s="24" t="inlineStr">
        <is>
          <t>neutral_elo</t>
        </is>
      </c>
      <c r="BC8" s="24" t="inlineStr">
        <is>
          <t>valorant-tiered-elo-v5</t>
        </is>
      </c>
      <c r="BD8" s="24" t="inlineStr">
        <is>
          <t>4e9833fa3108f9876de728871233bbb749924096e4b6984ae7ee11ff9d8be0d1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valorant-tiered-elo-v5</t>
        </is>
      </c>
      <c r="BH8" s="24" t="inlineStr">
        <is>
          <t>2026-08-01T23:55:01.262855Z</t>
        </is>
      </c>
      <c r="BI8" s="24" t="inlineStr">
        <is>
          <t>["same_event","same_team_same_day","same_league_same_day"]</t>
        </is>
      </c>
      <c r="BJ8" s="25" t="n"/>
      <c r="BK8" s="26" t="n">
        <v>-138</v>
      </c>
      <c r="BL8" s="27" t="n">
        <v>1.724638</v>
      </c>
      <c r="BM8" s="28" t="n">
        <v>0.579832</v>
      </c>
      <c r="BN8" s="28" t="n"/>
      <c r="BO8" s="28" t="n"/>
      <c r="BP8" s="25" t="n"/>
      <c r="BQ8" s="27" t="n">
        <v>1.724638</v>
      </c>
      <c r="BR8" s="28" t="n">
        <v>0.58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f5ae220015ea4850</t>
        </is>
      </c>
      <c r="B9" s="24" t="inlineStr">
        <is>
          <t>2026-08-02T07:16:42.752833Z</t>
        </is>
      </c>
      <c r="C9" s="24" t="inlineStr">
        <is>
          <t>2026-08-02T08:00:00Z</t>
        </is>
      </c>
      <c r="D9" s="24" t="inlineStr">
        <is>
          <t>66788</t>
        </is>
      </c>
      <c r="E9" s="24" t="inlineStr">
        <is>
          <t>VALORANT</t>
        </is>
      </c>
      <c r="F9" s="24" t="inlineStr">
        <is>
          <t>Kiwoom DRX</t>
        </is>
      </c>
      <c r="G9" s="24" t="inlineStr">
        <is>
          <t>VARREL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-150</v>
      </c>
      <c r="M9" s="27" t="n">
        <v>1.666667</v>
      </c>
      <c r="N9" s="28" t="n">
        <v>0.6</v>
      </c>
      <c r="O9" s="28" t="n">
        <v>0.676998</v>
      </c>
      <c r="P9" s="28" t="n"/>
      <c r="Q9" s="28" t="n">
        <v>0.076998</v>
      </c>
      <c r="R9" s="26" t="n">
        <v>58</v>
      </c>
      <c r="S9" s="29" t="n">
        <v>1.75</v>
      </c>
      <c r="T9" s="24" t="inlineStr">
        <is>
          <t>valorant-tiered-elo-v5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-150</v>
      </c>
      <c r="AA9" s="28" t="n">
        <v>0.6</v>
      </c>
      <c r="AB9" s="28" t="n">
        <v>0</v>
      </c>
      <c r="AC9" s="30" t="n">
        <v>-1.75</v>
      </c>
      <c r="AD9" s="24" t="inlineStr">
        <is>
          <t>2026-08-02T11:45:29.283046Z</t>
        </is>
      </c>
      <c r="AE9" s="31" t="inlineStr">
        <is>
          <t>Neutral Elo baseline; executable ask 0.6000 (market_slug=aec-valorant-var-krx-2026-08-02).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Kiwoom DRX</t>
        </is>
      </c>
      <c r="AQ9" s="24" t="inlineStr">
        <is>
          <t>Kiwoom DRX</t>
        </is>
      </c>
      <c r="AR9" s="24" t="inlineStr">
        <is>
          <t>Kiwoom DRX</t>
        </is>
      </c>
      <c r="AS9" s="24" t="inlineStr">
        <is>
          <t>VARREL</t>
        </is>
      </c>
      <c r="AT9" s="24" t="inlineStr">
        <is>
          <t>VARREL</t>
        </is>
      </c>
      <c r="AU9" s="24" t="inlineStr">
        <is>
          <t>VARREL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f7ffe38e2a3b5170b3b9b10a398835b3cdb1a4df5cfd051a3ffa836bf9de2c76</t>
        </is>
      </c>
      <c r="BB9" s="24" t="inlineStr">
        <is>
          <t>neutral_elo</t>
        </is>
      </c>
      <c r="BC9" s="24" t="inlineStr">
        <is>
          <t>valorant-tiered-elo-v5</t>
        </is>
      </c>
      <c r="BD9" s="24" t="inlineStr">
        <is>
          <t>f7ffe38e2a3b5170b3b9b10a398835b3cdb1a4df5cfd051a3ffa836bf9de2c76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valorant-tiered-elo-v5</t>
        </is>
      </c>
      <c r="BH9" s="24" t="inlineStr">
        <is>
          <t>2026-08-02T07:16:34.729300Z</t>
        </is>
      </c>
      <c r="BI9" s="24" t="inlineStr">
        <is>
          <t>["same_event","same_team_same_day","same_league_same_day"]</t>
        </is>
      </c>
      <c r="BJ9" s="25" t="n"/>
      <c r="BK9" s="26" t="n">
        <v>-150</v>
      </c>
      <c r="BL9" s="27" t="n">
        <v>1.666667</v>
      </c>
      <c r="BM9" s="28" t="n">
        <v>0.6</v>
      </c>
      <c r="BN9" s="28" t="n"/>
      <c r="BO9" s="28" t="n"/>
      <c r="BP9" s="25" t="n"/>
      <c r="BQ9" s="27" t="n">
        <v>1.666667</v>
      </c>
      <c r="BR9" s="28" t="n">
        <v>0.6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e14e2a0725b94c94</t>
        </is>
      </c>
      <c r="B10" s="24" t="inlineStr">
        <is>
          <t>2026-08-02T16:15:29.850559Z</t>
        </is>
      </c>
      <c r="C10" s="24" t="inlineStr">
        <is>
          <t>2026-08-02T18:00:00Z</t>
        </is>
      </c>
      <c r="D10" s="24" t="inlineStr">
        <is>
          <t>66957</t>
        </is>
      </c>
      <c r="E10" s="24" t="inlineStr">
        <is>
          <t>VALORANT</t>
        </is>
      </c>
      <c r="F10" s="24" t="inlineStr">
        <is>
          <t>Team Heretics</t>
        </is>
      </c>
      <c r="G10" s="24" t="inlineStr">
        <is>
          <t>Fnatic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0.537865</v>
      </c>
      <c r="P10" s="28" t="n"/>
      <c r="Q10" s="28" t="n">
        <v>-0.021606</v>
      </c>
      <c r="R10" s="26" t="n">
        <v>9</v>
      </c>
      <c r="S10" s="29" t="n">
        <v>1</v>
      </c>
      <c r="T10" s="24" t="inlineStr">
        <is>
          <t>valorant-tiered-elo-v5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0.5600 (market_slug=aec-valorant-fnc-th-2026-08-02).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Team Heretics</t>
        </is>
      </c>
      <c r="AQ10" s="24" t="inlineStr">
        <is>
          <t>Team Heretics</t>
        </is>
      </c>
      <c r="AR10" s="24" t="inlineStr">
        <is>
          <t>Team Heretics</t>
        </is>
      </c>
      <c r="AS10" s="24" t="inlineStr">
        <is>
          <t>Fnatic</t>
        </is>
      </c>
      <c r="AT10" s="24" t="inlineStr">
        <is>
          <t>Fnatic</t>
        </is>
      </c>
      <c r="AU10" s="24" t="inlineStr">
        <is>
          <t>Fnatic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b4c26750ab388326010d538858d6e6c8ba3b09468bc7a6123cb5ecb526fbe63f</t>
        </is>
      </c>
      <c r="BB10" s="24" t="inlineStr">
        <is>
          <t>neutral_elo</t>
        </is>
      </c>
      <c r="BC10" s="24" t="inlineStr">
        <is>
          <t>valorant-tiered-elo-v5</t>
        </is>
      </c>
      <c r="BD10" s="24" t="inlineStr">
        <is>
          <t>b4c26750ab388326010d538858d6e6c8ba3b09468bc7a6123cb5ecb526fbe63f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valorant-tiered-elo-v5</t>
        </is>
      </c>
      <c r="BH10" s="24" t="inlineStr">
        <is>
          <t>2026-08-02T16:15:22.804516Z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inlineStr">
        <is>
          <t>False</t>
        </is>
      </c>
    </row>
    <row r="11" ht="36" customHeight="1">
      <c r="A11" s="24" t="inlineStr">
        <is>
          <t>d47072ec02654714</t>
        </is>
      </c>
      <c r="B11" s="24" t="inlineStr">
        <is>
          <t>2026-08-02T16:15:29.850559Z</t>
        </is>
      </c>
      <c r="C11" s="24" t="inlineStr">
        <is>
          <t>2026-08-02T21:00:00Z</t>
        </is>
      </c>
      <c r="D11" s="24" t="inlineStr">
        <is>
          <t>67311</t>
        </is>
      </c>
      <c r="E11" s="24" t="inlineStr">
        <is>
          <t>VALORANT</t>
        </is>
      </c>
      <c r="F11" s="24" t="inlineStr">
        <is>
          <t>KRÜ Esports</t>
        </is>
      </c>
      <c r="G11" s="24" t="inlineStr">
        <is>
          <t>Cloud9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138</v>
      </c>
      <c r="M11" s="27" t="n">
        <v>2.38</v>
      </c>
      <c r="N11" s="28" t="n">
        <v>0.420168</v>
      </c>
      <c r="O11" s="28" t="n">
        <v>0.518772</v>
      </c>
      <c r="P11" s="28" t="n"/>
      <c r="Q11" s="28" t="n">
        <v>0.098604</v>
      </c>
      <c r="R11" s="26" t="n">
        <v>69</v>
      </c>
      <c r="S11" s="29" t="n">
        <v>1</v>
      </c>
      <c r="T11" s="24" t="inlineStr">
        <is>
          <t>valorant-tiered-elo-v5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0.4200 (market_slug=aec-valorant-c9-kr-2026-08-02).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KRÜ Esports</t>
        </is>
      </c>
      <c r="AQ11" s="24" t="inlineStr">
        <is>
          <t>KRÜ Esports</t>
        </is>
      </c>
      <c r="AR11" s="24" t="inlineStr">
        <is>
          <t>KRÜ Esports</t>
        </is>
      </c>
      <c r="AS11" s="24" t="inlineStr">
        <is>
          <t>Cloud9</t>
        </is>
      </c>
      <c r="AT11" s="24" t="inlineStr">
        <is>
          <t>Cloud9</t>
        </is>
      </c>
      <c r="AU11" s="24" t="inlineStr">
        <is>
          <t>Cloud9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b4c26750ab388326010d538858d6e6c8ba3b09468bc7a6123cb5ecb526fbe63f</t>
        </is>
      </c>
      <c r="BB11" s="24" t="inlineStr">
        <is>
          <t>neutral_elo</t>
        </is>
      </c>
      <c r="BC11" s="24" t="inlineStr">
        <is>
          <t>valorant-tiered-elo-v5</t>
        </is>
      </c>
      <c r="BD11" s="24" t="inlineStr">
        <is>
          <t>b4c26750ab388326010d538858d6e6c8ba3b09468bc7a6123cb5ecb526fbe63f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valorant-tiered-elo-v5</t>
        </is>
      </c>
      <c r="BH11" s="24" t="inlineStr">
        <is>
          <t>2026-08-02T16:15:23.359845Z</t>
        </is>
      </c>
      <c r="BI11" s="24" t="inlineStr">
        <is>
          <t>["same_event","same_team_same_day","same_league_same_day"]</t>
        </is>
      </c>
      <c r="BJ11" s="25" t="n"/>
      <c r="BK11" s="26" t="n">
        <v>138</v>
      </c>
      <c r="BL11" s="27" t="n">
        <v>2.38</v>
      </c>
      <c r="BM11" s="28" t="n">
        <v>0.420168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inlineStr">
        <is>
          <t>True</t>
        </is>
      </c>
    </row>
    <row r="12" ht="36" customHeight="1">
      <c r="A12" s="24" t="inlineStr">
        <is>
          <t>e9050da802eb4df3</t>
        </is>
      </c>
      <c r="B12" s="24" t="inlineStr">
        <is>
          <t>2026-08-02T16:15:29.850559Z</t>
        </is>
      </c>
      <c r="C12" s="24" t="inlineStr">
        <is>
          <t>2026-08-03T00:00:00Z</t>
        </is>
      </c>
      <c r="D12" s="24" t="inlineStr">
        <is>
          <t>67386</t>
        </is>
      </c>
      <c r="E12" s="24" t="inlineStr">
        <is>
          <t>VALORANT</t>
        </is>
      </c>
      <c r="F12" s="24" t="inlineStr">
        <is>
          <t>Sentinels</t>
        </is>
      </c>
      <c r="G12" s="24" t="inlineStr">
        <is>
          <t>G2 Esports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-178</v>
      </c>
      <c r="M12" s="27" t="n">
        <v>1.561798</v>
      </c>
      <c r="N12" s="28" t="n">
        <v>0.640288</v>
      </c>
      <c r="O12" s="28" t="n">
        <v>0.626584</v>
      </c>
      <c r="P12" s="28" t="n"/>
      <c r="Q12" s="28" t="n">
        <v>-0.013704</v>
      </c>
      <c r="R12" s="26" t="n">
        <v>13</v>
      </c>
      <c r="S12" s="29" t="n">
        <v>1.5</v>
      </c>
      <c r="T12" s="24" t="inlineStr">
        <is>
          <t>valorant-tiered-elo-v5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0.6400 (market_slug=aec-valorant-g2-sen-2026-08-03).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Sentinels</t>
        </is>
      </c>
      <c r="AQ12" s="24" t="inlineStr">
        <is>
          <t>Sentinels</t>
        </is>
      </c>
      <c r="AR12" s="24" t="inlineStr">
        <is>
          <t>Sentinels</t>
        </is>
      </c>
      <c r="AS12" s="24" t="inlineStr">
        <is>
          <t>G2 Esports</t>
        </is>
      </c>
      <c r="AT12" s="24" t="inlineStr">
        <is>
          <t>G2 Esports</t>
        </is>
      </c>
      <c r="AU12" s="24" t="inlineStr">
        <is>
          <t>G2 Esports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b4c26750ab388326010d538858d6e6c8ba3b09468bc7a6123cb5ecb526fbe63f</t>
        </is>
      </c>
      <c r="BB12" s="24" t="inlineStr">
        <is>
          <t>neutral_elo</t>
        </is>
      </c>
      <c r="BC12" s="24" t="inlineStr">
        <is>
          <t>valorant-tiered-elo-v5</t>
        </is>
      </c>
      <c r="BD12" s="24" t="inlineStr">
        <is>
          <t>b4c26750ab388326010d538858d6e6c8ba3b09468bc7a6123cb5ecb526fbe63f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valorant-tiered-elo-v5</t>
        </is>
      </c>
      <c r="BH12" s="24" t="inlineStr">
        <is>
          <t>2026-08-02T16:15:23.904156Z</t>
        </is>
      </c>
      <c r="BI12" s="24" t="inlineStr">
        <is>
          <t>["same_event","same_team_same_day","same_league_same_day"]</t>
        </is>
      </c>
      <c r="BJ12" s="25" t="n"/>
      <c r="BK12" s="26" t="n">
        <v>-178</v>
      </c>
      <c r="BL12" s="27" t="n">
        <v>1.561798</v>
      </c>
      <c r="BM12" s="28" t="n">
        <v>0.640288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inlineStr">
        <is>
          <t>False</t>
        </is>
      </c>
    </row>
    <row r="13" ht="36" customHeight="1">
      <c r="A13" s="24" t="inlineStr">
        <is>
          <t>efd2e32974e4400a</t>
        </is>
      </c>
      <c r="B13" s="24" t="inlineStr">
        <is>
          <t>2026-08-02T16:15:29.850559Z</t>
        </is>
      </c>
      <c r="C13" s="24" t="inlineStr">
        <is>
          <t>2026-08-03T15:00:00Z</t>
        </is>
      </c>
      <c r="D13" s="24" t="inlineStr">
        <is>
          <t>67569</t>
        </is>
      </c>
      <c r="E13" s="24" t="inlineStr">
        <is>
          <t>VALORANT</t>
        </is>
      </c>
      <c r="F13" s="24" t="inlineStr">
        <is>
          <t>FOKUS Sakura</t>
        </is>
      </c>
      <c r="G13" s="24" t="inlineStr">
        <is>
          <t>SK Nebula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-213</v>
      </c>
      <c r="M13" s="27" t="n">
        <v>1.469484</v>
      </c>
      <c r="N13" s="28" t="n">
        <v>0.680511</v>
      </c>
      <c r="O13" s="28" t="n">
        <v>0.765185</v>
      </c>
      <c r="P13" s="28" t="n"/>
      <c r="Q13" s="28" t="n">
        <v>0.084674</v>
      </c>
      <c r="R13" s="26" t="n">
        <v>62</v>
      </c>
      <c r="S13" s="29" t="n">
        <v>2</v>
      </c>
      <c r="T13" s="24" t="inlineStr">
        <is>
          <t>valorant-tiered-elo-v5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0.6800 (market_slug=aec-valorant-skn-fso-2026-08-03).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FOKUS Sakura</t>
        </is>
      </c>
      <c r="AQ13" s="24" t="inlineStr">
        <is>
          <t>FOKUS Sakura</t>
        </is>
      </c>
      <c r="AR13" s="24" t="inlineStr">
        <is>
          <t>FOKUS Sakura</t>
        </is>
      </c>
      <c r="AS13" s="24" t="inlineStr">
        <is>
          <t>SK Nebula</t>
        </is>
      </c>
      <c r="AT13" s="24" t="inlineStr">
        <is>
          <t>SK Nebula</t>
        </is>
      </c>
      <c r="AU13" s="24" t="inlineStr">
        <is>
          <t>SK Nebula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b4c26750ab388326010d538858d6e6c8ba3b09468bc7a6123cb5ecb526fbe63f</t>
        </is>
      </c>
      <c r="BB13" s="24" t="inlineStr">
        <is>
          <t>neutral_elo</t>
        </is>
      </c>
      <c r="BC13" s="24" t="inlineStr">
        <is>
          <t>valorant-tiered-elo-v5</t>
        </is>
      </c>
      <c r="BD13" s="24" t="inlineStr">
        <is>
          <t>b4c26750ab388326010d538858d6e6c8ba3b09468bc7a6123cb5ecb526fbe63f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valorant-tiered-elo-v5</t>
        </is>
      </c>
      <c r="BH13" s="24" t="inlineStr">
        <is>
          <t>2026-08-02T16:15:24.994619Z</t>
        </is>
      </c>
      <c r="BI13" s="24" t="inlineStr">
        <is>
          <t>["same_event","same_team_same_day","same_league_same_day"]</t>
        </is>
      </c>
      <c r="BJ13" s="25" t="n"/>
      <c r="BK13" s="26" t="n">
        <v>-213</v>
      </c>
      <c r="BL13" s="27" t="n">
        <v>1.469484</v>
      </c>
      <c r="BM13" s="28" t="n">
        <v>0.680511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inlineStr">
        <is>
          <t>True</t>
        </is>
      </c>
    </row>
    <row r="14" ht="36" customHeight="1">
      <c r="A14" s="24" t="inlineStr">
        <is>
          <t>c5637dcb44404186</t>
        </is>
      </c>
      <c r="B14" s="24" t="inlineStr">
        <is>
          <t>2026-08-02T16:15:29.850559Z</t>
        </is>
      </c>
      <c r="C14" s="24" t="inlineStr">
        <is>
          <t>2026-08-03T18:00:00Z</t>
        </is>
      </c>
      <c r="D14" s="24" t="inlineStr">
        <is>
          <t>67658</t>
        </is>
      </c>
      <c r="E14" s="24" t="inlineStr">
        <is>
          <t>VALORANT</t>
        </is>
      </c>
      <c r="F14" s="24" t="inlineStr">
        <is>
          <t>Barça eSports GC</t>
        </is>
      </c>
      <c r="G14" s="24" t="inlineStr">
        <is>
          <t>Twisted Minds Orchid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-233</v>
      </c>
      <c r="M14" s="27" t="n">
        <v>1.429185</v>
      </c>
      <c r="N14" s="28" t="n">
        <v>0.6997</v>
      </c>
      <c r="O14" s="28" t="n">
        <v>0.692093</v>
      </c>
      <c r="P14" s="28" t="n"/>
      <c r="Q14" s="28" t="n">
        <v>-0.007607</v>
      </c>
      <c r="R14" s="26" t="n">
        <v>16</v>
      </c>
      <c r="S14" s="29" t="n">
        <v>2</v>
      </c>
      <c r="T14" s="24" t="inlineStr">
        <is>
          <t>valorant-tiered-elo-v5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0.7000 (market_slug=aec-valorant-tmo-beg-2026-08-03).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Barça eSports GC</t>
        </is>
      </c>
      <c r="AQ14" s="24" t="inlineStr">
        <is>
          <t>Barça eSports GC</t>
        </is>
      </c>
      <c r="AR14" s="24" t="inlineStr">
        <is>
          <t>Barça eSports GC</t>
        </is>
      </c>
      <c r="AS14" s="24" t="inlineStr">
        <is>
          <t>Twisted Minds Orchid</t>
        </is>
      </c>
      <c r="AT14" s="24" t="inlineStr">
        <is>
          <t>Twisted Minds Orchid</t>
        </is>
      </c>
      <c r="AU14" s="24" t="inlineStr">
        <is>
          <t>Twisted Minds Orchid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b4c26750ab388326010d538858d6e6c8ba3b09468bc7a6123cb5ecb526fbe63f</t>
        </is>
      </c>
      <c r="BB14" s="24" t="inlineStr">
        <is>
          <t>neutral_elo</t>
        </is>
      </c>
      <c r="BC14" s="24" t="inlineStr">
        <is>
          <t>valorant-tiered-elo-v5</t>
        </is>
      </c>
      <c r="BD14" s="24" t="inlineStr">
        <is>
          <t>b4c26750ab388326010d538858d6e6c8ba3b09468bc7a6123cb5ecb526fbe63f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valorant-tiered-elo-v5</t>
        </is>
      </c>
      <c r="BH14" s="24" t="inlineStr">
        <is>
          <t>2026-08-02T16:15:26.008727Z</t>
        </is>
      </c>
      <c r="BI14" s="24" t="inlineStr">
        <is>
          <t>["same_event","same_team_same_day","same_league_same_day"]</t>
        </is>
      </c>
      <c r="BJ14" s="25" t="n"/>
      <c r="BK14" s="26" t="n">
        <v>-233</v>
      </c>
      <c r="BL14" s="27" t="n">
        <v>1.429185</v>
      </c>
      <c r="BM14" s="28" t="n">
        <v>0.6997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inlineStr">
        <is>
          <t>False</t>
        </is>
      </c>
    </row>
    <row r="15" ht="36" customHeight="1">
      <c r="A15" s="24" t="inlineStr">
        <is>
          <t>9057970a424b46aa</t>
        </is>
      </c>
      <c r="B15" s="24" t="inlineStr">
        <is>
          <t>2026-08-02T16:15:29.850559Z</t>
        </is>
      </c>
      <c r="C15" s="24" t="inlineStr">
        <is>
          <t>2026-08-03T21:00:00Z</t>
        </is>
      </c>
      <c r="D15" s="24" t="inlineStr">
        <is>
          <t>67987</t>
        </is>
      </c>
      <c r="E15" s="24" t="inlineStr">
        <is>
          <t>VALORANT</t>
        </is>
      </c>
      <c r="F15" s="24" t="inlineStr">
        <is>
          <t>The Spiders</t>
        </is>
      </c>
      <c r="G15" s="24" t="inlineStr">
        <is>
          <t>HIMMERS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113</v>
      </c>
      <c r="M15" s="27" t="n">
        <v>2.13</v>
      </c>
      <c r="N15" s="28" t="n">
        <v>0.469484</v>
      </c>
      <c r="O15" s="28" t="n">
        <v>0.520495</v>
      </c>
      <c r="P15" s="28" t="n"/>
      <c r="Q15" s="28" t="n">
        <v>0.051011</v>
      </c>
      <c r="R15" s="26" t="n">
        <v>46</v>
      </c>
      <c r="S15" s="29" t="n">
        <v>1</v>
      </c>
      <c r="T15" s="24" t="inlineStr">
        <is>
          <t>valorant-tiered-elo-v5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Neutral Elo baseline; executable ask 0.4700 (market_slug=aec-valorant-him-spi-2026-08-03).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NO_CALL_LOW_EDGE</t>
        </is>
      </c>
      <c r="AP15" s="24" t="inlineStr">
        <is>
          <t>The Spiders</t>
        </is>
      </c>
      <c r="AQ15" s="24" t="inlineStr">
        <is>
          <t>The Spiders</t>
        </is>
      </c>
      <c r="AR15" s="24" t="inlineStr">
        <is>
          <t>The Spiders</t>
        </is>
      </c>
      <c r="AS15" s="24" t="inlineStr">
        <is>
          <t>HIMMERS</t>
        </is>
      </c>
      <c r="AT15" s="24" t="inlineStr">
        <is>
          <t>HIMMERS</t>
        </is>
      </c>
      <c r="AU15" s="24" t="inlineStr">
        <is>
          <t>HIMMERS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b4c26750ab388326010d538858d6e6c8ba3b09468bc7a6123cb5ecb526fbe63f</t>
        </is>
      </c>
      <c r="BB15" s="24" t="inlineStr">
        <is>
          <t>neutral_elo</t>
        </is>
      </c>
      <c r="BC15" s="24" t="inlineStr">
        <is>
          <t>valorant-tiered-elo-v5</t>
        </is>
      </c>
      <c r="BD15" s="24" t="inlineStr">
        <is>
          <t>b4c26750ab388326010d538858d6e6c8ba3b09468bc7a6123cb5ecb526fbe63f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valorant-tiered-elo-v5</t>
        </is>
      </c>
      <c r="BH15" s="24" t="inlineStr">
        <is>
          <t>2026-08-02T16:15:26.573553Z</t>
        </is>
      </c>
      <c r="BI15" s="24" t="inlineStr">
        <is>
          <t>["same_event","same_team_same_day","same_league_same_day"]</t>
        </is>
      </c>
      <c r="BJ15" s="25" t="n"/>
      <c r="BK15" s="26" t="n">
        <v>113</v>
      </c>
      <c r="BL15" s="27" t="n">
        <v>2.13</v>
      </c>
      <c r="BM15" s="28" t="n">
        <v>0.469484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inlineStr">
        <is>
          <t>True</t>
        </is>
      </c>
    </row>
    <row r="16" ht="36" customHeight="1">
      <c r="A16" s="24" t="inlineStr">
        <is>
          <t>7239ae726f2c4cc7</t>
        </is>
      </c>
      <c r="B16" s="24" t="inlineStr">
        <is>
          <t>2026-08-02T16:15:29.850559Z</t>
        </is>
      </c>
      <c r="C16" s="24" t="inlineStr">
        <is>
          <t>2026-08-03T21:00:00Z</t>
        </is>
      </c>
      <c r="D16" s="24" t="inlineStr">
        <is>
          <t>67989</t>
        </is>
      </c>
      <c r="E16" s="24" t="inlineStr">
        <is>
          <t>VALORANT</t>
        </is>
      </c>
      <c r="F16" s="24" t="inlineStr">
        <is>
          <t>SwimTrek Blue</t>
        </is>
      </c>
      <c r="G16" s="24" t="inlineStr">
        <is>
          <t>FlyQuest RED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-194</v>
      </c>
      <c r="M16" s="27" t="n">
        <v>1.515464</v>
      </c>
      <c r="N16" s="28" t="n">
        <v>0.659864</v>
      </c>
      <c r="O16" s="28" t="n">
        <v>0.569339</v>
      </c>
      <c r="P16" s="28" t="n"/>
      <c r="Q16" s="28" t="n">
        <v>-0.09052499999999999</v>
      </c>
      <c r="R16" s="26" t="n">
        <v>0</v>
      </c>
      <c r="S16" s="29" t="n">
        <v>1.25</v>
      </c>
      <c r="T16" s="24" t="inlineStr">
        <is>
          <t>valorant-tiered-elo-v5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0.6600 (market_slug=aec-valorant-flyr-swim-2026-08-03).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SwimTrek Blue</t>
        </is>
      </c>
      <c r="AQ16" s="24" t="inlineStr">
        <is>
          <t>SwimTrek Blue</t>
        </is>
      </c>
      <c r="AR16" s="24" t="inlineStr">
        <is>
          <t>SwimTrek Blue</t>
        </is>
      </c>
      <c r="AS16" s="24" t="inlineStr">
        <is>
          <t>FlyQuest RED</t>
        </is>
      </c>
      <c r="AT16" s="24" t="inlineStr">
        <is>
          <t>FlyQuest RED</t>
        </is>
      </c>
      <c r="AU16" s="24" t="inlineStr">
        <is>
          <t>FlyQuest RED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b4c26750ab388326010d538858d6e6c8ba3b09468bc7a6123cb5ecb526fbe63f</t>
        </is>
      </c>
      <c r="BB16" s="24" t="inlineStr">
        <is>
          <t>neutral_elo</t>
        </is>
      </c>
      <c r="BC16" s="24" t="inlineStr">
        <is>
          <t>valorant-tiered-elo-v5</t>
        </is>
      </c>
      <c r="BD16" s="24" t="inlineStr">
        <is>
          <t>b4c26750ab388326010d538858d6e6c8ba3b09468bc7a6123cb5ecb526fbe63f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valorant-tiered-elo-v5</t>
        </is>
      </c>
      <c r="BH16" s="24" t="inlineStr">
        <is>
          <t>2026-08-02T16:15:27.625205Z</t>
        </is>
      </c>
      <c r="BI16" s="24" t="inlineStr">
        <is>
          <t>["same_event","same_team_same_day","same_league_same_day"]</t>
        </is>
      </c>
      <c r="BJ16" s="25" t="n"/>
      <c r="BK16" s="26" t="n">
        <v>-194</v>
      </c>
      <c r="BL16" s="27" t="n">
        <v>1.515464</v>
      </c>
      <c r="BM16" s="28" t="n">
        <v>0.659864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inlineStr">
        <is>
          <t>False</t>
        </is>
      </c>
    </row>
    <row r="17" ht="36" customHeight="1">
      <c r="A17" s="24" t="inlineStr">
        <is>
          <t>3f41b263d837419e</t>
        </is>
      </c>
      <c r="B17" s="24" t="inlineStr">
        <is>
          <t>2026-08-02T16:15:29.850559Z</t>
        </is>
      </c>
      <c r="C17" s="24" t="inlineStr">
        <is>
          <t>2026-08-03T23:30:00Z</t>
        </is>
      </c>
      <c r="D17" s="24" t="inlineStr">
        <is>
          <t>68097</t>
        </is>
      </c>
      <c r="E17" s="24" t="inlineStr">
        <is>
          <t>VALORANT</t>
        </is>
      </c>
      <c r="F17" s="24" t="inlineStr">
        <is>
          <t>Revitalize GC</t>
        </is>
      </c>
      <c r="G17" s="24" t="inlineStr">
        <is>
          <t>Eternal Focus Amethyst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-150</v>
      </c>
      <c r="M17" s="27" t="n">
        <v>1.666667</v>
      </c>
      <c r="N17" s="28" t="n">
        <v>0.6</v>
      </c>
      <c r="O17" s="28" t="n">
        <v>0.563407</v>
      </c>
      <c r="P17" s="28" t="n"/>
      <c r="Q17" s="28" t="n">
        <v>-0.036593</v>
      </c>
      <c r="R17" s="26" t="n">
        <v>2</v>
      </c>
      <c r="S17" s="29" t="n">
        <v>1</v>
      </c>
      <c r="T17" s="24" t="inlineStr">
        <is>
          <t>valorant-tiered-elo-v5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0.6000 (market_slug=aec-valorant-efa-rev-2026-08-03).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Revitalize GC</t>
        </is>
      </c>
      <c r="AQ17" s="24" t="inlineStr">
        <is>
          <t>Revitalize GC</t>
        </is>
      </c>
      <c r="AR17" s="24" t="inlineStr">
        <is>
          <t>Revitalize GC</t>
        </is>
      </c>
      <c r="AS17" s="24" t="inlineStr">
        <is>
          <t>Eternal Focus Amethyst</t>
        </is>
      </c>
      <c r="AT17" s="24" t="inlineStr">
        <is>
          <t>Eternal Focus Amethyst</t>
        </is>
      </c>
      <c r="AU17" s="24" t="inlineStr">
        <is>
          <t>Eternal Focus Amethyst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b4c26750ab388326010d538858d6e6c8ba3b09468bc7a6123cb5ecb526fbe63f</t>
        </is>
      </c>
      <c r="BB17" s="24" t="inlineStr">
        <is>
          <t>neutral_elo</t>
        </is>
      </c>
      <c r="BC17" s="24" t="inlineStr">
        <is>
          <t>valorant-tiered-elo-v5</t>
        </is>
      </c>
      <c r="BD17" s="24" t="inlineStr">
        <is>
          <t>b4c26750ab388326010d538858d6e6c8ba3b09468bc7a6123cb5ecb526fbe63f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valorant-tiered-elo-v5</t>
        </is>
      </c>
      <c r="BH17" s="24" t="inlineStr">
        <is>
          <t>2026-08-02T16:15:29.848917Z</t>
        </is>
      </c>
      <c r="BI17" s="24" t="inlineStr">
        <is>
          <t>["same_event","same_team_same_day","same_league_same_day"]</t>
        </is>
      </c>
      <c r="BJ17" s="25" t="n"/>
      <c r="BK17" s="26" t="n">
        <v>-150</v>
      </c>
      <c r="BL17" s="27" t="n">
        <v>1.666667</v>
      </c>
      <c r="BM17" s="28" t="n">
        <v>0.6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2026-08-02T16:20:04Z</dcterms:created>
  <dcterms:modified xsi:type="dcterms:W3CDTF">2026-08-02T16:20:04Z</dcterms:modified>
</cp:coreProperties>
</file>