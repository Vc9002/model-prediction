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14" headerRowCount="1">
  <autoFilter ref="A1:CP14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COUNTA('Picks'!$A$2:$A$14)</f>
        <v/>
      </c>
      <c r="C4" s="6">
        <f>COUNTIF('Picks'!$U$2:$U$14,"open")</f>
        <v/>
      </c>
      <c r="E4" s="6">
        <f>COUNTIF('Picks'!$U$2:$U$14,"settled")</f>
        <v/>
      </c>
      <c r="G4" s="6">
        <f>IF(COUNTIFS('Picks'!$U$2:$U$14,"settled",'Picks'!$V$2:$V$14,"win")+COUNTIFS('Picks'!$U$2:$U$14,"settled",'Picks'!$V$2:$V$14,"loss")&gt;=$L$2,"Ready","Insufficient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COUNTIF('Picks'!$BX$2:$BX$14,"&gt;0")</f>
        <v/>
      </c>
      <c r="C7" s="6">
        <f>COUNTIFS('Picks'!$BX$2:$BX$14,"&gt;0",'Picks'!$V$2:$V$14,"win")&amp;"-"&amp;COUNTIFS('Picks'!$BX$2:$BX$14,"&gt;0",'Picks'!$V$2:$V$14,"loss")</f>
        <v/>
      </c>
      <c r="E7" s="7">
        <f>IFERROR(COUNTIFS('Picks'!$BX$2:$BX$14,"&gt;0",'Picks'!$V$2:$V$14,"win")/(COUNTIFS('Picks'!$BX$2:$BX$14,"&gt;0",'Picks'!$V$2:$V$14,"win")+COUNTIFS('Picks'!$BX$2:$BX$14,"&gt;0",'Picks'!$V$2:$V$14,"loss")),0)</f>
        <v/>
      </c>
      <c r="G7" s="7">
        <f>IFERROR(SUM('Picks'!$BY$2:$BY$14)/SUM('Picks'!$BX$2:$BX$14),0)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SUM('Picks'!$BY$2:$BY$14)</f>
        <v/>
      </c>
      <c r="C10" s="9">
        <f>IFERROR(AVERAGEIF('Picks'!$AB$2:$AB$14,"&lt;&gt;",'Picks'!$AB$2:$AB$14),0)</f>
        <v/>
      </c>
      <c r="E10" s="6">
        <f>COUNTIFS('Picks'!$AM$2:$AM$14,"QUALIFIED_SHADOW_CALL",'Picks'!$U$2:$U$14,"settled")</f>
        <v/>
      </c>
      <c r="G10" s="8">
        <f>SUMIFS('Picks'!$AC$2:$AC$14,'Picks'!$AM$2:$AM$14,"QUALIFIED_SHADOW_CALL")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COUNTIFS('Picks'!$H$2:$H$14,$A14,'Picks'!$U$2:$U$14,"settled")</f>
        <v/>
      </c>
      <c r="C14" s="13">
        <f>COUNTIFS('Picks'!$H$2:$H$14,$A14,'Picks'!$U$2:$U$14,"settled",'Picks'!$V$2:$V$14,"win")</f>
        <v/>
      </c>
      <c r="D14" s="13">
        <f>COUNTIFS('Picks'!$H$2:$H$14,$A14,'Picks'!$U$2:$U$14,"settled",'Picks'!$V$2:$V$14,"loss")</f>
        <v/>
      </c>
      <c r="E14" s="14">
        <f>IFERROR(C14/(C14+D14),0)</f>
        <v/>
      </c>
      <c r="F14" s="15">
        <f>SUMIFS('Picks'!$BY$2:$BY$14,'Picks'!$H$2:$H$14,$A14)</f>
        <v/>
      </c>
      <c r="G14" s="16">
        <f>IFERROR(AVERAGEIFS('Picks'!$AB$2:$AB$14,'Picks'!$H$2:$H$14,$A14,'Picks'!$U$2:$U$14,"settled"),0)</f>
        <v/>
      </c>
    </row>
    <row r="15">
      <c r="A15" s="17" t="inlineStr">
        <is>
          <t>spread</t>
        </is>
      </c>
      <c r="B15" s="18">
        <f>COUNTIFS('Picks'!$H$2:$H$14,$A15,'Picks'!$U$2:$U$14,"settled")</f>
        <v/>
      </c>
      <c r="C15" s="18">
        <f>COUNTIFS('Picks'!$H$2:$H$14,$A15,'Picks'!$U$2:$U$14,"settled",'Picks'!$V$2:$V$14,"win")</f>
        <v/>
      </c>
      <c r="D15" s="18">
        <f>COUNTIFS('Picks'!$H$2:$H$14,$A15,'Picks'!$U$2:$U$14,"settled",'Picks'!$V$2:$V$14,"loss")</f>
        <v/>
      </c>
      <c r="E15" s="19">
        <f>IFERROR(C15/(C15+D15),0)</f>
        <v/>
      </c>
      <c r="F15" s="20">
        <f>SUMIFS('Picks'!$BY$2:$BY$14,'Picks'!$H$2:$H$14,$A15)</f>
        <v/>
      </c>
      <c r="G15" s="21">
        <f>IFERROR(AVERAGEIFS('Picks'!$AB$2:$AB$14,'Picks'!$H$2:$H$14,$A15,'Picks'!$U$2:$U$14,"settled"),0)</f>
        <v/>
      </c>
    </row>
    <row r="16">
      <c r="A16" s="12" t="inlineStr">
        <is>
          <t>total</t>
        </is>
      </c>
      <c r="B16" s="13">
        <f>COUNTIFS('Picks'!$H$2:$H$14,$A16,'Picks'!$U$2:$U$14,"settled")</f>
        <v/>
      </c>
      <c r="C16" s="13">
        <f>COUNTIFS('Picks'!$H$2:$H$14,$A16,'Picks'!$U$2:$U$14,"settled",'Picks'!$V$2:$V$14,"win")</f>
        <v/>
      </c>
      <c r="D16" s="13">
        <f>COUNTIFS('Picks'!$H$2:$H$14,$A16,'Picks'!$U$2:$U$14,"settled",'Picks'!$V$2:$V$14,"loss")</f>
        <v/>
      </c>
      <c r="E16" s="14">
        <f>IFERROR(C16/(C16+D16),0)</f>
        <v/>
      </c>
      <c r="F16" s="15">
        <f>SUMIFS('Picks'!$BY$2:$BY$14,'Picks'!$H$2:$H$14,$A16)</f>
        <v/>
      </c>
      <c r="G16" s="16">
        <f>IFERROR(AVERAGEIFS('Picks'!$AB$2:$AB$14,'Picks'!$H$2:$H$14,$A16,'Picks'!$U$2:$U$14,"settled"),0)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9529a1118eb4488c</t>
        </is>
      </c>
      <c r="B10" s="24" t="inlineStr">
        <is>
          <t>2026-08-02T13:08:03.938703Z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0.537404</v>
      </c>
      <c r="P10" s="28" t="n"/>
      <c r="Q10" s="28" t="n">
        <v>-0.022067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b98a29b6577e189dd00895de0601ed56ba7ae3a1b60ec17c3cf7e5f5e915c817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b98a29b6577e189dd00895de0601ed56ba7ae3a1b60ec17c3cf7e5f5e915c817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2026-08-02T13:07:57.633865Z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d3c73e55fb4f4bee</t>
        </is>
      </c>
      <c r="B11" s="24" t="inlineStr">
        <is>
          <t>2026-08-02T13:08:03.938703Z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133</v>
      </c>
      <c r="M11" s="27" t="n">
        <v>2.33</v>
      </c>
      <c r="N11" s="28" t="n">
        <v>0.429185</v>
      </c>
      <c r="O11" s="28" t="n">
        <v>0.519193</v>
      </c>
      <c r="P11" s="28" t="n"/>
      <c r="Q11" s="28" t="n">
        <v>0.090008</v>
      </c>
      <c r="R11" s="26" t="n">
        <v>65</v>
      </c>
      <c r="S11" s="29" t="n">
        <v>1</v>
      </c>
      <c r="T11" s="24" t="inlineStr">
        <is>
          <t>valorant-tiered-elo-v5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0.4300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b98a29b6577e189dd00895de0601ed56ba7ae3a1b60ec17c3cf7e5f5e915c817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b98a29b6577e189dd00895de0601ed56ba7ae3a1b60ec17c3cf7e5f5e915c817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2026-08-02T13:07:58.097458Z</t>
        </is>
      </c>
      <c r="BI11" s="24" t="inlineStr">
        <is>
          <t>["same_event","same_team_same_day","same_league_same_day"]</t>
        </is>
      </c>
      <c r="BJ11" s="25" t="n"/>
      <c r="BK11" s="26" t="n">
        <v>133</v>
      </c>
      <c r="BL11" s="27" t="n">
        <v>2.33</v>
      </c>
      <c r="BM11" s="28" t="n">
        <v>0.429185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9100e5c0808744ff</t>
        </is>
      </c>
      <c r="B12" s="24" t="inlineStr">
        <is>
          <t>2026-08-02T13:08:03.938703Z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-163</v>
      </c>
      <c r="M12" s="27" t="n">
        <v>1.613497</v>
      </c>
      <c r="N12" s="28" t="n">
        <v>0.619772</v>
      </c>
      <c r="O12" s="28" t="n">
        <v>0.626902</v>
      </c>
      <c r="P12" s="28" t="n"/>
      <c r="Q12" s="28" t="n">
        <v>0.00713</v>
      </c>
      <c r="R12" s="26" t="n">
        <v>24</v>
      </c>
      <c r="S12" s="29" t="n">
        <v>1.5</v>
      </c>
      <c r="T12" s="24" t="inlineStr">
        <is>
          <t>valorant-tiered-elo-v5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0.6200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b98a29b6577e189dd00895de0601ed56ba7ae3a1b60ec17c3cf7e5f5e915c817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b98a29b6577e189dd00895de0601ed56ba7ae3a1b60ec17c3cf7e5f5e915c817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2026-08-02T13:07:58.631245Z</t>
        </is>
      </c>
      <c r="BI12" s="24" t="inlineStr">
        <is>
          <t>["same_event","same_team_same_day","same_league_same_day"]</t>
        </is>
      </c>
      <c r="BJ12" s="25" t="n"/>
      <c r="BK12" s="26" t="n">
        <v>-163</v>
      </c>
      <c r="BL12" s="27" t="n">
        <v>1.613497</v>
      </c>
      <c r="BM12" s="28" t="n">
        <v>0.619772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1b11e4a18f9a4d05</t>
        </is>
      </c>
      <c r="B13" s="24" t="inlineStr">
        <is>
          <t>2026-08-02T13:08:03.938703Z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-213</v>
      </c>
      <c r="M13" s="27" t="n">
        <v>1.469484</v>
      </c>
      <c r="N13" s="28" t="n">
        <v>0.680511</v>
      </c>
      <c r="O13" s="28" t="n">
        <v>0.765342</v>
      </c>
      <c r="P13" s="28" t="n"/>
      <c r="Q13" s="28" t="n">
        <v>0.084831</v>
      </c>
      <c r="R13" s="26" t="n">
        <v>62</v>
      </c>
      <c r="S13" s="29" t="n">
        <v>2</v>
      </c>
      <c r="T13" s="24" t="inlineStr">
        <is>
          <t>valorant-tiered-elo-v5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0.6800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b98a29b6577e189dd00895de0601ed56ba7ae3a1b60ec17c3cf7e5f5e915c817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b98a29b6577e189dd00895de0601ed56ba7ae3a1b60ec17c3cf7e5f5e915c817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2026-08-02T13:07:59.600687Z</t>
        </is>
      </c>
      <c r="BI13" s="24" t="inlineStr">
        <is>
          <t>["same_event","same_team_same_day","same_league_same_day"]</t>
        </is>
      </c>
      <c r="BJ13" s="25" t="n"/>
      <c r="BK13" s="26" t="n">
        <v>-213</v>
      </c>
      <c r="BL13" s="27" t="n">
        <v>1.469484</v>
      </c>
      <c r="BM13" s="28" t="n">
        <v>0.680511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67a26dad0d0a4b98</t>
        </is>
      </c>
      <c r="B14" s="24" t="inlineStr">
        <is>
          <t>2026-08-02T13:08:03.938703Z</t>
        </is>
      </c>
      <c r="C14" s="24" t="inlineStr">
        <is>
          <t>2026-08-03T21:00:00Z</t>
        </is>
      </c>
      <c r="D14" s="24" t="inlineStr">
        <is>
          <t>67989</t>
        </is>
      </c>
      <c r="E14" s="24" t="inlineStr">
        <is>
          <t>VALORANT</t>
        </is>
      </c>
      <c r="F14" s="24" t="inlineStr">
        <is>
          <t>SwimTrek Blue</t>
        </is>
      </c>
      <c r="G14" s="24" t="inlineStr">
        <is>
          <t>FlyQuest RED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-213</v>
      </c>
      <c r="M14" s="27" t="n">
        <v>1.469484</v>
      </c>
      <c r="N14" s="28" t="n">
        <v>0.680511</v>
      </c>
      <c r="O14" s="28" t="n">
        <v>0.568858</v>
      </c>
      <c r="P14" s="28" t="n"/>
      <c r="Q14" s="28" t="n">
        <v>-0.111653</v>
      </c>
      <c r="R14" s="26" t="n">
        <v>0</v>
      </c>
      <c r="S14" s="29" t="n">
        <v>1.25</v>
      </c>
      <c r="T14" s="24" t="inlineStr">
        <is>
          <t>valorant-tiered-elo-v5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0.6800 (market_slug=aec-valorant-flyr-swim-2026-08-03).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SwimTrek Blue</t>
        </is>
      </c>
      <c r="AQ14" s="24" t="inlineStr">
        <is>
          <t>SwimTrek Blue</t>
        </is>
      </c>
      <c r="AR14" s="24" t="inlineStr">
        <is>
          <t>SwimTrek Blue</t>
        </is>
      </c>
      <c r="AS14" s="24" t="inlineStr">
        <is>
          <t>FlyQuest RED</t>
        </is>
      </c>
      <c r="AT14" s="24" t="inlineStr">
        <is>
          <t>FlyQuest RED</t>
        </is>
      </c>
      <c r="AU14" s="24" t="inlineStr">
        <is>
          <t>FlyQuest RED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b98a29b6577e189dd00895de0601ed56ba7ae3a1b60ec17c3cf7e5f5e915c817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b98a29b6577e189dd00895de0601ed56ba7ae3a1b60ec17c3cf7e5f5e915c817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2026-08-02T13:08:01.936766Z</t>
        </is>
      </c>
      <c r="BI14" s="24" t="inlineStr">
        <is>
          <t>["same_event","same_team_same_day","same_league_same_day"]</t>
        </is>
      </c>
      <c r="BJ14" s="25" t="n"/>
      <c r="BK14" s="26" t="n">
        <v>-213</v>
      </c>
      <c r="BL14" s="27" t="n">
        <v>1.469484</v>
      </c>
      <c r="BM14" s="28" t="n">
        <v>0.680511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2026-08-02T13:08:04Z</dcterms:created>
  <dcterms:modified xsi:type="dcterms:W3CDTF">2026-08-02T13:08:04Z</dcterms:modified>
</cp:coreProperties>
</file>