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20" headerRowCount="1">
  <autoFilter ref="A1:CO20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COUNTA('Picks'!$A$2:$A$20)</f>
        <v/>
      </c>
      <c r="C4" s="6">
        <f>COUNTIF('Picks'!$U$2:$U$20,"open")</f>
        <v/>
      </c>
      <c r="E4" s="6">
        <f>COUNTIF('Picks'!$U$2:$U$20,"settled")</f>
        <v/>
      </c>
      <c r="G4" s="6">
        <f>IF(COUNTIFS('Picks'!$U$2:$U$20,"settled",'Picks'!$V$2:$V$20,"win")+COUNTIFS('Picks'!$U$2:$U$20,"settled",'Picks'!$V$2:$V$20,"loss")&gt;=$L$2,"Ready","Insufficient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COUNTIF('Picks'!$BX$2:$BX$20,"&gt;0")</f>
        <v/>
      </c>
      <c r="C7" s="6">
        <f>COUNTIFS('Picks'!$BX$2:$BX$20,"&gt;0",'Picks'!$V$2:$V$20,"win")&amp;"-"&amp;COUNTIFS('Picks'!$BX$2:$BX$20,"&gt;0",'Picks'!$V$2:$V$20,"loss")</f>
        <v/>
      </c>
      <c r="E7" s="7">
        <f>IFERROR(COUNTIFS('Picks'!$BX$2:$BX$20,"&gt;0",'Picks'!$V$2:$V$20,"win")/(COUNTIFS('Picks'!$BX$2:$BX$20,"&gt;0",'Picks'!$V$2:$V$20,"win")+COUNTIFS('Picks'!$BX$2:$BX$20,"&gt;0",'Picks'!$V$2:$V$20,"loss")),0)</f>
        <v/>
      </c>
      <c r="G7" s="7">
        <f>IFERROR(SUM('Picks'!$BY$2:$BY$20)/SUM('Picks'!$BX$2:$BX$20),0)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SUM('Picks'!$BY$2:$BY$20)</f>
        <v/>
      </c>
      <c r="C10" s="9">
        <f>IFERROR(AVERAGEIF('Picks'!$AB$2:$AB$20,"&lt;&gt;",'Picks'!$AB$2:$AB$20),0)</f>
        <v/>
      </c>
      <c r="E10" s="6">
        <f>COUNTIFS('Picks'!$AM$2:$AM$20,"QUALIFIED_SHADOW_CALL",'Picks'!$U$2:$U$20,"settled")</f>
        <v/>
      </c>
      <c r="G10" s="8">
        <f>SUMIFS('Picks'!$AC$2:$AC$20,'Picks'!$AM$2:$AM$20,"QUALIFIED_SHADOW_CALL")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COUNTIFS('Picks'!$H$2:$H$20,$A14,'Picks'!$U$2:$U$20,"settled")</f>
        <v/>
      </c>
      <c r="C14" s="13">
        <f>COUNTIFS('Picks'!$H$2:$H$20,$A14,'Picks'!$U$2:$U$20,"settled",'Picks'!$V$2:$V$20,"win")</f>
        <v/>
      </c>
      <c r="D14" s="13">
        <f>COUNTIFS('Picks'!$H$2:$H$20,$A14,'Picks'!$U$2:$U$20,"settled",'Picks'!$V$2:$V$20,"loss")</f>
        <v/>
      </c>
      <c r="E14" s="14">
        <f>IFERROR(C14/(C14+D14),0)</f>
        <v/>
      </c>
      <c r="F14" s="15">
        <f>SUMIFS('Picks'!$BY$2:$BY$20,'Picks'!$H$2:$H$20,$A14)</f>
        <v/>
      </c>
      <c r="G14" s="16">
        <f>IFERROR(AVERAGEIFS('Picks'!$AB$2:$AB$20,'Picks'!$H$2:$H$20,$A14,'Picks'!$U$2:$U$20,"settled"),0)</f>
        <v/>
      </c>
    </row>
    <row r="15">
      <c r="A15" s="17" t="inlineStr">
        <is>
          <t>spread</t>
        </is>
      </c>
      <c r="B15" s="18">
        <f>COUNTIFS('Picks'!$H$2:$H$20,$A15,'Picks'!$U$2:$U$20,"settled")</f>
        <v/>
      </c>
      <c r="C15" s="18">
        <f>COUNTIFS('Picks'!$H$2:$H$20,$A15,'Picks'!$U$2:$U$20,"settled",'Picks'!$V$2:$V$20,"win")</f>
        <v/>
      </c>
      <c r="D15" s="18">
        <f>COUNTIFS('Picks'!$H$2:$H$20,$A15,'Picks'!$U$2:$U$20,"settled",'Picks'!$V$2:$V$20,"loss")</f>
        <v/>
      </c>
      <c r="E15" s="19">
        <f>IFERROR(C15/(C15+D15),0)</f>
        <v/>
      </c>
      <c r="F15" s="20">
        <f>SUMIFS('Picks'!$BY$2:$BY$20,'Picks'!$H$2:$H$20,$A15)</f>
        <v/>
      </c>
      <c r="G15" s="21">
        <f>IFERROR(AVERAGEIFS('Picks'!$AB$2:$AB$20,'Picks'!$H$2:$H$20,$A15,'Picks'!$U$2:$U$20,"settled"),0)</f>
        <v/>
      </c>
    </row>
    <row r="16">
      <c r="A16" s="12" t="inlineStr">
        <is>
          <t>total</t>
        </is>
      </c>
      <c r="B16" s="13">
        <f>COUNTIFS('Picks'!$H$2:$H$20,$A16,'Picks'!$U$2:$U$20,"settled")</f>
        <v/>
      </c>
      <c r="C16" s="13">
        <f>COUNTIFS('Picks'!$H$2:$H$20,$A16,'Picks'!$U$2:$U$20,"settled",'Picks'!$V$2:$V$20,"win")</f>
        <v/>
      </c>
      <c r="D16" s="13">
        <f>COUNTIFS('Picks'!$H$2:$H$20,$A16,'Picks'!$U$2:$U$20,"settled",'Picks'!$V$2:$V$20,"loss")</f>
        <v/>
      </c>
      <c r="E16" s="14">
        <f>IFERROR(C16/(C16+D16),0)</f>
        <v/>
      </c>
      <c r="F16" s="15">
        <f>SUMIFS('Picks'!$BY$2:$BY$20,'Picks'!$H$2:$H$20,$A16)</f>
        <v/>
      </c>
      <c r="G16" s="16">
        <f>IFERROR(AVERAGEIFS('Picks'!$AB$2:$AB$20,'Picks'!$H$2:$H$20,$A16,'Picks'!$U$2:$U$20,"settled"),0)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5410b19790cb4158</t>
        </is>
      </c>
      <c r="B2" s="24" t="inlineStr">
        <is>
          <t>2026-07-27T13:32:13.323625Z</t>
        </is>
      </c>
      <c r="C2" s="24" t="inlineStr">
        <is>
          <t>2026-07-27T15:00:00Z</t>
        </is>
      </c>
      <c r="D2" s="24" t="inlineStr">
        <is>
          <t>60760</t>
        </is>
      </c>
      <c r="E2" s="24" t="inlineStr">
        <is>
          <t>VALORANT</t>
        </is>
      </c>
      <c r="F2" s="24" t="inlineStr">
        <is>
          <t>Habos Babos</t>
        </is>
      </c>
      <c r="G2" s="24" t="inlineStr">
        <is>
          <t>Barça eSports GC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144</v>
      </c>
      <c r="M2" s="27" t="n">
        <v>2.44</v>
      </c>
      <c r="N2" s="28" t="n">
        <v>0.409836</v>
      </c>
      <c r="O2" s="28" t="n">
        <v>0.519337</v>
      </c>
      <c r="P2" s="28" t="n"/>
      <c r="Q2" s="28" t="n">
        <v>0.109501</v>
      </c>
      <c r="R2" s="26" t="n">
        <v>75</v>
      </c>
      <c r="S2" s="29" t="n">
        <v>0</v>
      </c>
      <c r="T2" s="24" t="inlineStr">
        <is>
          <t>valorant-tiered-elo-v4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2026-07-27T17:03:46.656501Z</t>
        </is>
      </c>
      <c r="AE2" s="31" t="inlineStr">
        <is>
          <t>Neutral Elo baseline; executable ask 0.4100 (market_slug=aec-valorant-beg-hbs-2026-07-27).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Habos Babos</t>
        </is>
      </c>
      <c r="AQ2" s="24" t="inlineStr">
        <is>
          <t>Habos Babos</t>
        </is>
      </c>
      <c r="AR2" s="24" t="inlineStr">
        <is>
          <t>Habos Babos</t>
        </is>
      </c>
      <c r="AS2" s="24" t="inlineStr">
        <is>
          <t>Barça eSports GC</t>
        </is>
      </c>
      <c r="AT2" s="24" t="inlineStr">
        <is>
          <t>Barça eSports GC</t>
        </is>
      </c>
      <c r="AU2" s="24" t="inlineStr">
        <is>
          <t>Barça eSports GC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6cce51743bf5606a4094683b8f88c468e312b6e0f3a4d11913a9997a273d6b86</t>
        </is>
      </c>
      <c r="BB2" s="24" t="inlineStr">
        <is>
          <t>neutral_elo</t>
        </is>
      </c>
      <c r="BC2" s="24" t="inlineStr">
        <is>
          <t>valorant-tiered-elo-v4</t>
        </is>
      </c>
      <c r="BD2" s="24" t="inlineStr">
        <is>
          <t>6cce51743bf5606a4094683b8f88c468e312b6e0f3a4d11913a9997a273d6b86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valorant-tiered-elo-v4</t>
        </is>
      </c>
      <c r="BH2" s="24" t="inlineStr">
        <is>
          <t>2026-07-27T13:32:04.945513Z</t>
        </is>
      </c>
      <c r="BI2" s="24" t="inlineStr">
        <is>
          <t>["same_event","same_team_same_day","same_league_same_day"]</t>
        </is>
      </c>
      <c r="BJ2" s="25" t="n"/>
      <c r="BK2" s="26" t="n">
        <v>144</v>
      </c>
      <c r="BL2" s="27" t="n">
        <v>2.44</v>
      </c>
      <c r="BM2" s="28" t="n">
        <v>0.409836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0aa2021b65f14a53</t>
        </is>
      </c>
      <c r="B3" s="24" t="inlineStr">
        <is>
          <t>2026-07-27T19:51:39.691788Z</t>
        </is>
      </c>
      <c r="C3" s="24" t="inlineStr">
        <is>
          <t>2026-07-27T21:00:00Z</t>
        </is>
      </c>
      <c r="D3" s="24" t="inlineStr">
        <is>
          <t>61045</t>
        </is>
      </c>
      <c r="E3" s="24" t="inlineStr">
        <is>
          <t>VALORANT</t>
        </is>
      </c>
      <c r="F3" s="24" t="inlineStr">
        <is>
          <t>SaD GC</t>
        </is>
      </c>
      <c r="G3" s="24" t="inlineStr">
        <is>
          <t>ORA Temper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203</v>
      </c>
      <c r="M3" s="27" t="n">
        <v>3.03</v>
      </c>
      <c r="N3" s="28" t="n">
        <v>0.330033</v>
      </c>
      <c r="O3" s="28" t="n">
        <v>0.5057199999999999</v>
      </c>
      <c r="P3" s="28" t="n"/>
      <c r="Q3" s="28" t="n">
        <v>0.175687</v>
      </c>
      <c r="R3" s="26" t="n">
        <v>100</v>
      </c>
      <c r="S3" s="29" t="n">
        <v>0.5</v>
      </c>
      <c r="T3" s="24" t="inlineStr">
        <is>
          <t>valorant-tiered-elo-v4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1.015</v>
      </c>
      <c r="AD3" s="24" t="inlineStr">
        <is>
          <t>2026-07-27T22:52:00.762411Z</t>
        </is>
      </c>
      <c r="AE3" s="31" t="inlineStr">
        <is>
          <t>Neutral Elo baseline; executable ask 0.3300 (market_slug=aec-valorant-orat-sga-2026-07-27).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SaD GC</t>
        </is>
      </c>
      <c r="AQ3" s="24" t="inlineStr">
        <is>
          <t>SaD GC</t>
        </is>
      </c>
      <c r="AR3" s="24" t="inlineStr">
        <is>
          <t>SaD GC</t>
        </is>
      </c>
      <c r="AS3" s="24" t="inlineStr">
        <is>
          <t>ORA Temper</t>
        </is>
      </c>
      <c r="AT3" s="24" t="inlineStr">
        <is>
          <t>ORA Temper</t>
        </is>
      </c>
      <c r="AU3" s="24" t="inlineStr">
        <is>
          <t>ORA Temper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781631928725bfbadab6eb37728b264ebd9b45792fc91e595051fe0740ec1b11</t>
        </is>
      </c>
      <c r="BB3" s="24" t="inlineStr">
        <is>
          <t>neutral_elo</t>
        </is>
      </c>
      <c r="BC3" s="24" t="inlineStr">
        <is>
          <t>valorant-tiered-elo-v4</t>
        </is>
      </c>
      <c r="BD3" s="24" t="inlineStr">
        <is>
          <t>781631928725bfbadab6eb37728b264ebd9b45792fc91e595051fe0740ec1b11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valorant-tiered-elo-v4</t>
        </is>
      </c>
      <c r="BH3" s="24" t="inlineStr">
        <is>
          <t>2026-07-27T19:51:33.586186Z</t>
        </is>
      </c>
      <c r="BI3" s="24" t="inlineStr">
        <is>
          <t>["same_event","same_team_same_day","same_league_same_day"]</t>
        </is>
      </c>
      <c r="BJ3" s="25" t="n"/>
      <c r="BK3" s="26" t="n">
        <v>203</v>
      </c>
      <c r="BL3" s="27" t="n">
        <v>3.03</v>
      </c>
      <c r="BM3" s="28" t="n">
        <v>0.330033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54c2f7d359844b66</t>
        </is>
      </c>
      <c r="B4" s="24" t="inlineStr">
        <is>
          <t>2026-07-27T19:51:39.691788Z</t>
        </is>
      </c>
      <c r="C4" s="24" t="inlineStr">
        <is>
          <t>2026-07-27T21:00:00Z</t>
        </is>
      </c>
      <c r="D4" s="24" t="inlineStr">
        <is>
          <t>61046</t>
        </is>
      </c>
      <c r="E4" s="24" t="inlineStr">
        <is>
          <t>VALORANT</t>
        </is>
      </c>
      <c r="F4" s="24" t="inlineStr">
        <is>
          <t>The Spiders</t>
        </is>
      </c>
      <c r="G4" s="24" t="inlineStr">
        <is>
          <t>Cloud9 GC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100</v>
      </c>
      <c r="M4" s="27" t="n">
        <v>2</v>
      </c>
      <c r="N4" s="28" t="n">
        <v>0.5</v>
      </c>
      <c r="O4" s="28" t="n">
        <v>0.53613</v>
      </c>
      <c r="P4" s="28" t="n"/>
      <c r="Q4" s="28" t="n">
        <v>0.03613</v>
      </c>
      <c r="R4" s="26" t="n">
        <v>38</v>
      </c>
      <c r="S4" s="29" t="n">
        <v>0.75</v>
      </c>
      <c r="T4" s="24" t="inlineStr">
        <is>
          <t>valorant-tiered-elo-v4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-0.75</v>
      </c>
      <c r="AD4" s="24" t="inlineStr">
        <is>
          <t>2026-07-28T01:57:14.441712Z</t>
        </is>
      </c>
      <c r="AE4" s="31" t="inlineStr">
        <is>
          <t>Neutral Elo baseline; executable ask 0.5000 (market_slug=aec-valorant-c9gc-spi-2026-07-27).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The Spiders</t>
        </is>
      </c>
      <c r="AQ4" s="24" t="inlineStr">
        <is>
          <t>The Spiders</t>
        </is>
      </c>
      <c r="AR4" s="24" t="inlineStr">
        <is>
          <t>The Spiders</t>
        </is>
      </c>
      <c r="AS4" s="24" t="inlineStr">
        <is>
          <t>Cloud9 GC</t>
        </is>
      </c>
      <c r="AT4" s="24" t="inlineStr">
        <is>
          <t>Cloud9 GC</t>
        </is>
      </c>
      <c r="AU4" s="24" t="inlineStr">
        <is>
          <t>Cloud9 GC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781631928725bfbadab6eb37728b264ebd9b45792fc91e595051fe0740ec1b11</t>
        </is>
      </c>
      <c r="BB4" s="24" t="inlineStr">
        <is>
          <t>neutral_elo</t>
        </is>
      </c>
      <c r="BC4" s="24" t="inlineStr">
        <is>
          <t>valorant-tiered-elo-v4</t>
        </is>
      </c>
      <c r="BD4" s="24" t="inlineStr">
        <is>
          <t>781631928725bfbadab6eb37728b264ebd9b45792fc91e595051fe0740ec1b11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valorant-tiered-elo-v4</t>
        </is>
      </c>
      <c r="BH4" s="24" t="inlineStr">
        <is>
          <t>2026-07-27T19:51:34.129373Z</t>
        </is>
      </c>
      <c r="BI4" s="24" t="inlineStr">
        <is>
          <t>["same_event","same_team_same_day","same_league_same_day"]</t>
        </is>
      </c>
      <c r="BJ4" s="25" t="n"/>
      <c r="BK4" s="26" t="n">
        <v>100</v>
      </c>
      <c r="BL4" s="27" t="n">
        <v>2</v>
      </c>
      <c r="BM4" s="28" t="n">
        <v>0.5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2262d180fb3749f8</t>
        </is>
      </c>
      <c r="B5" s="24" t="inlineStr">
        <is>
          <t>2026-07-27T19:51:39.691788Z</t>
        </is>
      </c>
      <c r="C5" s="24" t="inlineStr">
        <is>
          <t>2026-07-27T21:00:00Z</t>
        </is>
      </c>
      <c r="D5" s="24" t="inlineStr">
        <is>
          <t>61048</t>
        </is>
      </c>
      <c r="E5" s="24" t="inlineStr">
        <is>
          <t>VALORANT</t>
        </is>
      </c>
      <c r="F5" s="24" t="inlineStr">
        <is>
          <t>SwimTrek Blue</t>
        </is>
      </c>
      <c r="G5" s="24" t="inlineStr">
        <is>
          <t>Shopify Rebellion Gold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100</v>
      </c>
      <c r="M5" s="27" t="n">
        <v>2</v>
      </c>
      <c r="N5" s="28" t="n">
        <v>0.5</v>
      </c>
      <c r="O5" s="28" t="n">
        <v>0.541059</v>
      </c>
      <c r="P5" s="28" t="n"/>
      <c r="Q5" s="28" t="n">
        <v>0.041059</v>
      </c>
      <c r="R5" s="26" t="n">
        <v>41</v>
      </c>
      <c r="S5" s="29" t="n">
        <v>1</v>
      </c>
      <c r="T5" s="24" t="inlineStr">
        <is>
          <t>valorant-tiered-elo-v4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2026-07-28T01:57:15.596098Z</t>
        </is>
      </c>
      <c r="AE5" s="31" t="inlineStr">
        <is>
          <t>Neutral Elo baseline; executable ask 0.5000 (market_slug=aec-valorant-srg-swim-2026-07-27).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SwimTrek Blue</t>
        </is>
      </c>
      <c r="AQ5" s="24" t="inlineStr">
        <is>
          <t>SwimTrek Blue</t>
        </is>
      </c>
      <c r="AR5" s="24" t="inlineStr">
        <is>
          <t>SwimTrek Blue</t>
        </is>
      </c>
      <c r="AS5" s="24" t="inlineStr">
        <is>
          <t>Shopify Rebellion Gold</t>
        </is>
      </c>
      <c r="AT5" s="24" t="inlineStr">
        <is>
          <t>Shopify Rebellion Gold</t>
        </is>
      </c>
      <c r="AU5" s="24" t="inlineStr">
        <is>
          <t>Shopify Rebellion Gold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781631928725bfbadab6eb37728b264ebd9b45792fc91e595051fe0740ec1b11</t>
        </is>
      </c>
      <c r="BB5" s="24" t="inlineStr">
        <is>
          <t>neutral_elo</t>
        </is>
      </c>
      <c r="BC5" s="24" t="inlineStr">
        <is>
          <t>valorant-tiered-elo-v4</t>
        </is>
      </c>
      <c r="BD5" s="24" t="inlineStr">
        <is>
          <t>781631928725bfbadab6eb37728b264ebd9b45792fc91e595051fe0740ec1b11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valorant-tiered-elo-v4</t>
        </is>
      </c>
      <c r="BH5" s="24" t="inlineStr">
        <is>
          <t>2026-07-27T19:51:34.644041Z</t>
        </is>
      </c>
      <c r="BI5" s="24" t="inlineStr">
        <is>
          <t>["same_event","same_team_same_day","same_league_same_day"]</t>
        </is>
      </c>
      <c r="BJ5" s="25" t="n"/>
      <c r="BK5" s="26" t="n">
        <v>100</v>
      </c>
      <c r="BL5" s="27" t="n">
        <v>2</v>
      </c>
      <c r="BM5" s="28" t="n">
        <v>0.5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54aad50fb6e84432</t>
        </is>
      </c>
      <c r="B6" s="24" t="inlineStr">
        <is>
          <t>2026-07-27T22:56:56.096115Z</t>
        </is>
      </c>
      <c r="C6" s="24" t="inlineStr">
        <is>
          <t>2026-07-27T23:30:00Z</t>
        </is>
      </c>
      <c r="D6" s="24" t="inlineStr">
        <is>
          <t>61239</t>
        </is>
      </c>
      <c r="E6" s="24" t="inlineStr">
        <is>
          <t>VALORANT</t>
        </is>
      </c>
      <c r="F6" s="24" t="inlineStr">
        <is>
          <t>Los Chudeles</t>
        </is>
      </c>
      <c r="G6" s="24" t="inlineStr">
        <is>
          <t>Eternal Focus Amethyst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223</v>
      </c>
      <c r="M6" s="27" t="n">
        <v>3.23</v>
      </c>
      <c r="N6" s="28" t="n">
        <v>0.309598</v>
      </c>
      <c r="O6" s="28" t="n">
        <v>0.557051</v>
      </c>
      <c r="P6" s="28" t="n"/>
      <c r="Q6" s="28" t="n">
        <v>0.247453</v>
      </c>
      <c r="R6" s="26" t="n">
        <v>100</v>
      </c>
      <c r="S6" s="29" t="n">
        <v>1</v>
      </c>
      <c r="T6" s="24" t="inlineStr">
        <is>
          <t>valorant-tiered-elo-v4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-1</v>
      </c>
      <c r="AD6" s="24" t="inlineStr">
        <is>
          <t>2026-07-28T01:57:16.746309Z</t>
        </is>
      </c>
      <c r="AE6" s="31" t="inlineStr">
        <is>
          <t>Neutral Elo baseline; executable ask 0.3100 (market_slug=aec-valorant-efa-lcd-2026-07-27).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Los Chudeles</t>
        </is>
      </c>
      <c r="AQ6" s="24" t="inlineStr">
        <is>
          <t>Los Chudeles</t>
        </is>
      </c>
      <c r="AR6" s="24" t="inlineStr">
        <is>
          <t>Los Chudeles</t>
        </is>
      </c>
      <c r="AS6" s="24" t="inlineStr">
        <is>
          <t>Eternal Focus Amethyst</t>
        </is>
      </c>
      <c r="AT6" s="24" t="inlineStr">
        <is>
          <t>Eternal Focus Amethyst</t>
        </is>
      </c>
      <c r="AU6" s="24" t="inlineStr">
        <is>
          <t>Eternal Focus Amethyst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e1ac23d99e831b81cddfe7dc2c7cc5dd4b57a35e88319d1f7162fbb6350e11bd</t>
        </is>
      </c>
      <c r="BB6" s="24" t="inlineStr">
        <is>
          <t>neutral_elo</t>
        </is>
      </c>
      <c r="BC6" s="24" t="inlineStr">
        <is>
          <t>valorant-tiered-elo-v4</t>
        </is>
      </c>
      <c r="BD6" s="24" t="inlineStr">
        <is>
          <t>e1ac23d99e831b81cddfe7dc2c7cc5dd4b57a35e88319d1f7162fbb6350e11bd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valorant-tiered-elo-v4</t>
        </is>
      </c>
      <c r="BH6" s="24" t="inlineStr">
        <is>
          <t>2026-07-27T22:56:51.769330Z</t>
        </is>
      </c>
      <c r="BI6" s="24" t="inlineStr">
        <is>
          <t>["same_event","same_team_same_day","same_league_same_day"]</t>
        </is>
      </c>
      <c r="BJ6" s="25" t="n"/>
      <c r="BK6" s="26" t="n">
        <v>223</v>
      </c>
      <c r="BL6" s="27" t="n">
        <v>3.23</v>
      </c>
      <c r="BM6" s="28" t="n">
        <v>0.309598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c69d9de93d5448d5</t>
        </is>
      </c>
      <c r="B7" s="24" t="inlineStr">
        <is>
          <t>2026-07-27T22:56:56.096115Z</t>
        </is>
      </c>
      <c r="C7" s="24" t="inlineStr">
        <is>
          <t>2026-07-27T23:30:00Z</t>
        </is>
      </c>
      <c r="D7" s="24" t="inlineStr">
        <is>
          <t>61240</t>
        </is>
      </c>
      <c r="E7" s="24" t="inlineStr">
        <is>
          <t>VALORANT</t>
        </is>
      </c>
      <c r="F7" s="24" t="inlineStr">
        <is>
          <t>Revenge</t>
        </is>
      </c>
      <c r="G7" s="24" t="inlineStr">
        <is>
          <t>:3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0.500347</v>
      </c>
      <c r="P7" s="28" t="n"/>
      <c r="Q7" s="28" t="n">
        <v>0.190749</v>
      </c>
      <c r="R7" s="26" t="n">
        <v>100</v>
      </c>
      <c r="S7" s="29" t="n">
        <v>0.5</v>
      </c>
      <c r="T7" s="24" t="inlineStr">
        <is>
          <t>valorant-tiered-elo-v4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-0.5</v>
      </c>
      <c r="AD7" s="24" t="inlineStr">
        <is>
          <t>2026-07-28T01:57:17.963688Z</t>
        </is>
      </c>
      <c r="AE7" s="31" t="inlineStr">
        <is>
          <t>Neutral Elo baseline; executable ask 0.3100 (market_slug=aec-valorant-meow-rvn-2026-07-27).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Revenge</t>
        </is>
      </c>
      <c r="AQ7" s="24" t="inlineStr">
        <is>
          <t>Revenge</t>
        </is>
      </c>
      <c r="AR7" s="24" t="inlineStr">
        <is>
          <t>Revenge</t>
        </is>
      </c>
      <c r="AS7" s="24" t="inlineStr">
        <is>
          <t>:3</t>
        </is>
      </c>
      <c r="AT7" s="24" t="inlineStr">
        <is>
          <t>:3</t>
        </is>
      </c>
      <c r="AU7" s="24" t="inlineStr">
        <is>
          <t>:3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e1ac23d99e831b81cddfe7dc2c7cc5dd4b57a35e88319d1f7162fbb6350e11bd</t>
        </is>
      </c>
      <c r="BB7" s="24" t="inlineStr">
        <is>
          <t>neutral_elo</t>
        </is>
      </c>
      <c r="BC7" s="24" t="inlineStr">
        <is>
          <t>valorant-tiered-elo-v4</t>
        </is>
      </c>
      <c r="BD7" s="24" t="inlineStr">
        <is>
          <t>e1ac23d99e831b81cddfe7dc2c7cc5dd4b57a35e88319d1f7162fbb6350e11bd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valorant-tiered-elo-v4</t>
        </is>
      </c>
      <c r="BH7" s="24" t="inlineStr">
        <is>
          <t>2026-07-27T22:56:52.318174Z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740596cc872a4bbe</t>
        </is>
      </c>
      <c r="B8" s="24" t="inlineStr">
        <is>
          <t>2026-07-28T14:24:30.873029Z</t>
        </is>
      </c>
      <c r="C8" s="24" t="inlineStr">
        <is>
          <t>2026-07-28T15:00:00Z</t>
        </is>
      </c>
      <c r="D8" s="24" t="inlineStr">
        <is>
          <t>61529</t>
        </is>
      </c>
      <c r="E8" s="24" t="inlineStr">
        <is>
          <t>VALORANT</t>
        </is>
      </c>
      <c r="F8" s="24" t="inlineStr">
        <is>
          <t>Karmine Corp GC</t>
        </is>
      </c>
      <c r="G8" s="24" t="inlineStr">
        <is>
          <t>Barça eSports GC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138</v>
      </c>
      <c r="M8" s="27" t="n">
        <v>2.38</v>
      </c>
      <c r="N8" s="28" t="n">
        <v>0.420168</v>
      </c>
      <c r="O8" s="28" t="n">
        <v>0.528676</v>
      </c>
      <c r="P8" s="28" t="n"/>
      <c r="Q8" s="28" t="n">
        <v>0.108508</v>
      </c>
      <c r="R8" s="26" t="n">
        <v>74</v>
      </c>
      <c r="S8" s="29" t="n">
        <v>0.75</v>
      </c>
      <c r="T8" s="24" t="inlineStr">
        <is>
          <t>valorant-tiered-elo-v4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-0.75</v>
      </c>
      <c r="AD8" s="24" t="inlineStr">
        <is>
          <t>2026-07-28T20:31:22.023631Z</t>
        </is>
      </c>
      <c r="AE8" s="31" t="inlineStr">
        <is>
          <t>Neutral Elo baseline; executable ask 0.4200 (market_slug=aec-valorant-beg-kcg-2026-07-28).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Karmine Corp GC</t>
        </is>
      </c>
      <c r="AQ8" s="24" t="inlineStr">
        <is>
          <t>Karmine Corp GC</t>
        </is>
      </c>
      <c r="AR8" s="24" t="inlineStr">
        <is>
          <t>Karmine Corp GC</t>
        </is>
      </c>
      <c r="AS8" s="24" t="inlineStr">
        <is>
          <t>Barça eSports GC</t>
        </is>
      </c>
      <c r="AT8" s="24" t="inlineStr">
        <is>
          <t>Barça eSports GC</t>
        </is>
      </c>
      <c r="AU8" s="24" t="inlineStr">
        <is>
          <t>Barça eSports GC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cee841572684572d854c56b6d6e919489ee19e082da259a5e2f60f76864ab64f</t>
        </is>
      </c>
      <c r="BB8" s="24" t="inlineStr">
        <is>
          <t>neutral_elo</t>
        </is>
      </c>
      <c r="BC8" s="24" t="inlineStr">
        <is>
          <t>valorant-tiered-elo-v4</t>
        </is>
      </c>
      <c r="BD8" s="24" t="inlineStr">
        <is>
          <t>cee841572684572d854c56b6d6e919489ee19e082da259a5e2f60f76864ab64f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valorant-tiered-elo-v4</t>
        </is>
      </c>
      <c r="BH8" s="24" t="inlineStr">
        <is>
          <t>2026-07-28T14:24:24.591584Z</t>
        </is>
      </c>
      <c r="BI8" s="24" t="inlineStr">
        <is>
          <t>["same_event","same_team_same_day","same_league_same_day"]</t>
        </is>
      </c>
      <c r="BJ8" s="25" t="n"/>
      <c r="BK8" s="26" t="n">
        <v>138</v>
      </c>
      <c r="BL8" s="27" t="n">
        <v>2.38</v>
      </c>
      <c r="BM8" s="28" t="n">
        <v>0.420168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6982ed63989a409f</t>
        </is>
      </c>
      <c r="B9" s="24" t="inlineStr">
        <is>
          <t>2026-07-28T17:30:31.285539Z</t>
        </is>
      </c>
      <c r="C9" s="24" t="inlineStr">
        <is>
          <t>2026-07-28T18:00:00Z</t>
        </is>
      </c>
      <c r="D9" s="24" t="inlineStr">
        <is>
          <t>61735</t>
        </is>
      </c>
      <c r="E9" s="24" t="inlineStr">
        <is>
          <t>VALORANT</t>
        </is>
      </c>
      <c r="F9" s="24" t="inlineStr">
        <is>
          <t>Habos Babos</t>
        </is>
      </c>
      <c r="G9" s="24" t="inlineStr">
        <is>
          <t>Twisted Minds Orchid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-233</v>
      </c>
      <c r="M9" s="27" t="n">
        <v>1.429185</v>
      </c>
      <c r="N9" s="28" t="n">
        <v>0.6997</v>
      </c>
      <c r="O9" s="28" t="n">
        <v>0.619374</v>
      </c>
      <c r="P9" s="28" t="n"/>
      <c r="Q9" s="28" t="n">
        <v>-0.08032599999999999</v>
      </c>
      <c r="R9" s="26" t="n">
        <v>0</v>
      </c>
      <c r="S9" s="29" t="n">
        <v>0</v>
      </c>
      <c r="T9" s="24" t="inlineStr">
        <is>
          <t>valorant-tiered-elo-v4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0</v>
      </c>
      <c r="AD9" s="24" t="inlineStr">
        <is>
          <t>2026-07-28T20:31:23.104642Z</t>
        </is>
      </c>
      <c r="AE9" s="31" t="inlineStr">
        <is>
          <t>Neutral Elo baseline; executable ask 0.7000 (market_slug=aec-valorant-tmo-hbs-2026-07-28).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Habos Babos</t>
        </is>
      </c>
      <c r="AQ9" s="24" t="inlineStr">
        <is>
          <t>Habos Babos</t>
        </is>
      </c>
      <c r="AR9" s="24" t="inlineStr">
        <is>
          <t>Habos Babos</t>
        </is>
      </c>
      <c r="AS9" s="24" t="inlineStr">
        <is>
          <t>Twisted Minds Orchid</t>
        </is>
      </c>
      <c r="AT9" s="24" t="inlineStr">
        <is>
          <t>Twisted Minds Orchid</t>
        </is>
      </c>
      <c r="AU9" s="24" t="inlineStr">
        <is>
          <t>Twisted Minds Orchid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8c22ec58fb547190beefa169a52f11eae99a49cdfc2b416003beb11aad6b9129</t>
        </is>
      </c>
      <c r="BB9" s="24" t="inlineStr">
        <is>
          <t>neutral_elo</t>
        </is>
      </c>
      <c r="BC9" s="24" t="inlineStr">
        <is>
          <t>valorant-tiered-elo-v4</t>
        </is>
      </c>
      <c r="BD9" s="24" t="inlineStr">
        <is>
          <t>8c22ec58fb547190beefa169a52f11eae99a49cdfc2b416003beb11aad6b9129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valorant-tiered-elo-v4</t>
        </is>
      </c>
      <c r="BH9" s="24" t="inlineStr">
        <is>
          <t>2026-07-28T17:30:26.042854Z</t>
        </is>
      </c>
      <c r="BI9" s="24" t="inlineStr">
        <is>
          <t>["same_event","same_team_same_day","same_league_same_day"]</t>
        </is>
      </c>
      <c r="BJ9" s="25" t="n"/>
      <c r="BK9" s="26" t="n">
        <v>-233</v>
      </c>
      <c r="BL9" s="27" t="n">
        <v>1.429185</v>
      </c>
      <c r="BM9" s="28" t="n">
        <v>0.6997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c4c4b0a1d20f4a80</t>
        </is>
      </c>
      <c r="B10" s="24" t="inlineStr">
        <is>
          <t>2026-07-28T17:30:31.285539Z</t>
        </is>
      </c>
      <c r="C10" s="24" t="inlineStr">
        <is>
          <t>2026-07-28T19:00:00Z</t>
        </is>
      </c>
      <c r="D10" s="24" t="inlineStr">
        <is>
          <t>61860</t>
        </is>
      </c>
      <c r="E10" s="24" t="inlineStr">
        <is>
          <t>VALORANT</t>
        </is>
      </c>
      <c r="F10" s="24" t="inlineStr">
        <is>
          <t>Shopify Rebellion Black</t>
        </is>
      </c>
      <c r="G10" s="24" t="inlineStr">
        <is>
          <t>2GAME Esports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0.522953</v>
      </c>
      <c r="P10" s="28" t="n"/>
      <c r="Q10" s="28" t="n">
        <v>-0.167449</v>
      </c>
      <c r="R10" s="26" t="n">
        <v>0</v>
      </c>
      <c r="S10" s="29" t="n">
        <v>0</v>
      </c>
      <c r="T10" s="24" t="inlineStr">
        <is>
          <t>valorant-tiered-elo-v4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</v>
      </c>
      <c r="AD10" s="24" t="inlineStr">
        <is>
          <t>2026-07-28T23:37:10.553380Z</t>
        </is>
      </c>
      <c r="AE10" s="31" t="inlineStr">
        <is>
          <t>Neutral Elo baseline; executable ask 0.6900 (market_slug=aec-valorant-2game-srb-2026-07-28).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Shopify Rebellion Black</t>
        </is>
      </c>
      <c r="AQ10" s="24" t="inlineStr">
        <is>
          <t>Shopify Rebellion Black</t>
        </is>
      </c>
      <c r="AR10" s="24" t="inlineStr">
        <is>
          <t>Shopify Rebellion Black</t>
        </is>
      </c>
      <c r="AS10" s="24" t="inlineStr">
        <is>
          <t>2GAME Esports</t>
        </is>
      </c>
      <c r="AT10" s="24" t="inlineStr">
        <is>
          <t>2GAME Esports</t>
        </is>
      </c>
      <c r="AU10" s="24" t="inlineStr">
        <is>
          <t>2GAME Esports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8c22ec58fb547190beefa169a52f11eae99a49cdfc2b416003beb11aad6b9129</t>
        </is>
      </c>
      <c r="BB10" s="24" t="inlineStr">
        <is>
          <t>neutral_elo</t>
        </is>
      </c>
      <c r="BC10" s="24" t="inlineStr">
        <is>
          <t>valorant-tiered-elo-v4</t>
        </is>
      </c>
      <c r="BD10" s="24" t="inlineStr">
        <is>
          <t>8c22ec58fb547190beefa169a52f11eae99a49cdfc2b416003beb11aad6b9129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valorant-tiered-elo-v4</t>
        </is>
      </c>
      <c r="BH10" s="24" t="inlineStr">
        <is>
          <t>2026-07-28T17:30:26.970466Z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398e854789b541a8</t>
        </is>
      </c>
      <c r="B11" s="24" t="inlineStr">
        <is>
          <t>2026-07-29T12:04:22.575418Z</t>
        </is>
      </c>
      <c r="C11" s="24" t="inlineStr">
        <is>
          <t>2026-07-29T15:00:00Z</t>
        </is>
      </c>
      <c r="D11" s="24" t="inlineStr">
        <is>
          <t>62689</t>
        </is>
      </c>
      <c r="E11" s="24" t="inlineStr">
        <is>
          <t>VALORANT</t>
        </is>
      </c>
      <c r="F11" s="24" t="inlineStr">
        <is>
          <t>G2 Gozen</t>
        </is>
      </c>
      <c r="G11" s="24" t="inlineStr">
        <is>
          <t>SK Nebula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108</v>
      </c>
      <c r="M11" s="27" t="n">
        <v>2.08</v>
      </c>
      <c r="N11" s="28" t="n">
        <v>0.480769</v>
      </c>
      <c r="O11" s="28" t="n">
        <v>0.714884</v>
      </c>
      <c r="P11" s="28" t="n"/>
      <c r="Q11" s="28" t="n">
        <v>0.234115</v>
      </c>
      <c r="R11" s="26" t="n">
        <v>100</v>
      </c>
      <c r="S11" s="29" t="n">
        <v>2</v>
      </c>
      <c r="T11" s="24" t="inlineStr">
        <is>
          <t>valorant-tiered-elo-v4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-2</v>
      </c>
      <c r="AD11" s="24" t="inlineStr">
        <is>
          <t>2026-07-29T17:34:38.982032Z</t>
        </is>
      </c>
      <c r="AE11" s="31" t="inlineStr">
        <is>
          <t>Neutral Elo baseline; executable ask 0.4800 (market_slug=aec-valorant-skn-ggo-2026-07-29).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G2 Gozen</t>
        </is>
      </c>
      <c r="AQ11" s="24" t="inlineStr">
        <is>
          <t>G2 Gozen</t>
        </is>
      </c>
      <c r="AR11" s="24" t="inlineStr">
        <is>
          <t>G2 Gozen</t>
        </is>
      </c>
      <c r="AS11" s="24" t="inlineStr">
        <is>
          <t>SK Nebula</t>
        </is>
      </c>
      <c r="AT11" s="24" t="inlineStr">
        <is>
          <t>SK Nebula</t>
        </is>
      </c>
      <c r="AU11" s="24" t="inlineStr">
        <is>
          <t>SK Nebula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e33860310416f9b2d86e5c1e14a7bffcebc7a1e4c8af04b416cd37235fd4b6cf</t>
        </is>
      </c>
      <c r="BB11" s="24" t="inlineStr">
        <is>
          <t>neutral_elo</t>
        </is>
      </c>
      <c r="BC11" s="24" t="inlineStr">
        <is>
          <t>valorant-tiered-elo-v4</t>
        </is>
      </c>
      <c r="BD11" s="24" t="inlineStr">
        <is>
          <t>e33860310416f9b2d86e5c1e14a7bffcebc7a1e4c8af04b416cd37235fd4b6cf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valorant-tiered-elo-v4</t>
        </is>
      </c>
      <c r="BH11" s="24" t="inlineStr">
        <is>
          <t>2026-07-29T12:04:15.273824Z</t>
        </is>
      </c>
      <c r="BI11" s="24" t="inlineStr">
        <is>
          <t>["same_event","same_team_same_day","same_league_same_day"]</t>
        </is>
      </c>
      <c r="BJ11" s="25" t="n"/>
      <c r="BK11" s="26" t="n">
        <v>108</v>
      </c>
      <c r="BL11" s="27" t="n">
        <v>2.08</v>
      </c>
      <c r="BM11" s="28" t="n">
        <v>0.480769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e4d0445522234209</t>
        </is>
      </c>
      <c r="B12" s="24" t="inlineStr">
        <is>
          <t>2026-07-29T17:48:33.149264Z</t>
        </is>
      </c>
      <c r="C12" s="24" t="inlineStr">
        <is>
          <t>2026-07-29T18:00:00Z</t>
        </is>
      </c>
      <c r="D12" s="24" t="inlineStr">
        <is>
          <t>62925</t>
        </is>
      </c>
      <c r="E12" s="24" t="inlineStr">
        <is>
          <t>VALORANT</t>
        </is>
      </c>
      <c r="F12" s="24" t="inlineStr">
        <is>
          <t>Habos Babos</t>
        </is>
      </c>
      <c r="G12" s="24" t="inlineStr">
        <is>
          <t>GIANTX GC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-163</v>
      </c>
      <c r="M12" s="27" t="n">
        <v>1.613497</v>
      </c>
      <c r="N12" s="28" t="n">
        <v>0.619772</v>
      </c>
      <c r="O12" s="28" t="n">
        <v>0.570358</v>
      </c>
      <c r="P12" s="28" t="n"/>
      <c r="Q12" s="28" t="n">
        <v>-0.049414</v>
      </c>
      <c r="R12" s="26" t="n">
        <v>0</v>
      </c>
      <c r="S12" s="29" t="n">
        <v>0</v>
      </c>
      <c r="T12" s="24" t="inlineStr">
        <is>
          <t>valorant-tiered-elo-v4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0</v>
      </c>
      <c r="Y12" s="25" t="n"/>
      <c r="Z12" s="26" t="n"/>
      <c r="AA12" s="28" t="n"/>
      <c r="AB12" s="28" t="n"/>
      <c r="AC12" s="30" t="n">
        <v>0</v>
      </c>
      <c r="AD12" s="24" t="inlineStr">
        <is>
          <t>2026-07-30T04:12:59.884655Z</t>
        </is>
      </c>
      <c r="AE12" s="31" t="inlineStr">
        <is>
          <t>Neutral Elo baseline; executable ask 0.6200 (market_slug=aec-valorant-gxgc-hbs-2026-07-29).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Habos Babos</t>
        </is>
      </c>
      <c r="AQ12" s="24" t="inlineStr">
        <is>
          <t>Habos Babos</t>
        </is>
      </c>
      <c r="AR12" s="24" t="inlineStr">
        <is>
          <t>Habos Babos</t>
        </is>
      </c>
      <c r="AS12" s="24" t="inlineStr">
        <is>
          <t>GIANTX GC</t>
        </is>
      </c>
      <c r="AT12" s="24" t="inlineStr">
        <is>
          <t>GIANTX GC</t>
        </is>
      </c>
      <c r="AU12" s="24" t="inlineStr">
        <is>
          <t>GIANTX GC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71696e637dd05bc7933e2bdcf627a39cf9f10c85a7ad852765447d083e849a9e</t>
        </is>
      </c>
      <c r="BB12" s="24" t="inlineStr">
        <is>
          <t>neutral_elo</t>
        </is>
      </c>
      <c r="BC12" s="24" t="inlineStr">
        <is>
          <t>valorant-tiered-elo-v4</t>
        </is>
      </c>
      <c r="BD12" s="24" t="inlineStr">
        <is>
          <t>71696e637dd05bc7933e2bdcf627a39cf9f10c85a7ad852765447d083e849a9e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valorant-tiered-elo-v4</t>
        </is>
      </c>
      <c r="BH12" s="24" t="inlineStr">
        <is>
          <t>2026-07-29T17:48:26.246789Z</t>
        </is>
      </c>
      <c r="BI12" s="24" t="inlineStr">
        <is>
          <t>["same_event","same_team_same_day","same_league_same_day"]</t>
        </is>
      </c>
      <c r="BJ12" s="25" t="n"/>
      <c r="BK12" s="26" t="n">
        <v>-163</v>
      </c>
      <c r="BL12" s="27" t="n">
        <v>1.613497</v>
      </c>
      <c r="BM12" s="28" t="n">
        <v>0.619772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6bc0a09d5f1d41d8</t>
        </is>
      </c>
      <c r="B13" s="24" t="inlineStr">
        <is>
          <t>2026-07-29T17:48:33.149264Z</t>
        </is>
      </c>
      <c r="C13" s="24" t="inlineStr">
        <is>
          <t>2026-07-31T00:00:00Z</t>
        </is>
      </c>
      <c r="D13" s="24" t="inlineStr">
        <is>
          <t>64563</t>
        </is>
      </c>
      <c r="E13" s="24" t="inlineStr">
        <is>
          <t>VALORANT</t>
        </is>
      </c>
      <c r="F13" s="24" t="inlineStr">
        <is>
          <t>Sentinels</t>
        </is>
      </c>
      <c r="G13" s="24" t="inlineStr">
        <is>
          <t>100 Thieves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0.827349</v>
      </c>
      <c r="P13" s="28" t="n"/>
      <c r="Q13" s="28" t="n">
        <v>0.127649</v>
      </c>
      <c r="R13" s="26" t="n">
        <v>84</v>
      </c>
      <c r="S13" s="29" t="n">
        <v>2</v>
      </c>
      <c r="T13" s="24" t="inlineStr">
        <is>
          <t>valorant-tiered-elo-v4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0.7000 (market_slug=aec-valorant-100t-sen-2026-07-31).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Sentinels</t>
        </is>
      </c>
      <c r="AQ13" s="24" t="inlineStr">
        <is>
          <t>Sentinels</t>
        </is>
      </c>
      <c r="AR13" s="24" t="inlineStr">
        <is>
          <t>Sentinels</t>
        </is>
      </c>
      <c r="AS13" s="24" t="inlineStr">
        <is>
          <t>100 Thieves</t>
        </is>
      </c>
      <c r="AT13" s="24" t="inlineStr">
        <is>
          <t>100 Thieves</t>
        </is>
      </c>
      <c r="AU13" s="24" t="inlineStr">
        <is>
          <t>100 Thieves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71696e637dd05bc7933e2bdcf627a39cf9f10c85a7ad852765447d083e849a9e</t>
        </is>
      </c>
      <c r="BB13" s="24" t="inlineStr">
        <is>
          <t>neutral_elo</t>
        </is>
      </c>
      <c r="BC13" s="24" t="inlineStr">
        <is>
          <t>valorant-tiered-elo-v4</t>
        </is>
      </c>
      <c r="BD13" s="24" t="inlineStr">
        <is>
          <t>71696e637dd05bc7933e2bdcf627a39cf9f10c85a7ad852765447d083e849a9e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valorant-tiered-elo-v4</t>
        </is>
      </c>
      <c r="BH13" s="24" t="inlineStr">
        <is>
          <t>2026-07-29T17:48:33.146517Z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8b7dbdba26114d37</t>
        </is>
      </c>
      <c r="B14" s="24" t="inlineStr">
        <is>
          <t>2026-07-30T07:24:48.854145Z</t>
        </is>
      </c>
      <c r="C14" s="24" t="inlineStr">
        <is>
          <t>2026-07-30T08:00:00Z</t>
        </is>
      </c>
      <c r="D14" s="24" t="inlineStr">
        <is>
          <t>63626</t>
        </is>
      </c>
      <c r="E14" s="24" t="inlineStr">
        <is>
          <t>VALORANT</t>
        </is>
      </c>
      <c r="F14" s="24" t="inlineStr">
        <is>
          <t>DetonatioN FocusMe</t>
        </is>
      </c>
      <c r="G14" s="24" t="inlineStr">
        <is>
          <t>VARREL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-138</v>
      </c>
      <c r="M14" s="27" t="n">
        <v>1.724638</v>
      </c>
      <c r="N14" s="28" t="n">
        <v>0.579832</v>
      </c>
      <c r="O14" s="28" t="n">
        <v>0.604202</v>
      </c>
      <c r="P14" s="28" t="n"/>
      <c r="Q14" s="28" t="n">
        <v>0.02437</v>
      </c>
      <c r="R14" s="26" t="n">
        <v>32</v>
      </c>
      <c r="S14" s="29" t="n">
        <v>1.5</v>
      </c>
      <c r="T14" s="24" t="inlineStr">
        <is>
          <t>valorant-tiered-elo-v4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-1.5</v>
      </c>
      <c r="AD14" s="24" t="inlineStr">
        <is>
          <t>2026-07-30T13:30:56.650021Z</t>
        </is>
      </c>
      <c r="AE14" s="31" t="inlineStr">
        <is>
          <t>Neutral Elo baseline; executable ask 0.5800 (market_slug=aec-valorant-var-dfm-2026-07-30).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DetonatioN FocusMe</t>
        </is>
      </c>
      <c r="AQ14" s="24" t="inlineStr">
        <is>
          <t>DetonatioN FocusMe</t>
        </is>
      </c>
      <c r="AR14" s="24" t="inlineStr">
        <is>
          <t>DetonatioN FocusMe</t>
        </is>
      </c>
      <c r="AS14" s="24" t="inlineStr">
        <is>
          <t>VARREL</t>
        </is>
      </c>
      <c r="AT14" s="24" t="inlineStr">
        <is>
          <t>VARREL</t>
        </is>
      </c>
      <c r="AU14" s="24" t="inlineStr">
        <is>
          <t>VARREL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065060c5427d777daf1c2c539c66a4917e7e7a09bf311e9c39e713455cc3d93a</t>
        </is>
      </c>
      <c r="BB14" s="24" t="inlineStr">
        <is>
          <t>neutral_elo</t>
        </is>
      </c>
      <c r="BC14" s="24" t="inlineStr">
        <is>
          <t>valorant-tiered-elo-v4</t>
        </is>
      </c>
      <c r="BD14" s="24" t="inlineStr">
        <is>
          <t>065060c5427d777daf1c2c539c66a4917e7e7a09bf311e9c39e713455cc3d93a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valorant-tiered-elo-v4</t>
        </is>
      </c>
      <c r="BH14" s="24" t="inlineStr">
        <is>
          <t>2026-07-30T07:24:41.203557Z</t>
        </is>
      </c>
      <c r="BI14" s="24" t="inlineStr">
        <is>
          <t>["same_event","same_team_same_day","same_league_same_day"]</t>
        </is>
      </c>
      <c r="BJ14" s="25" t="n"/>
      <c r="BK14" s="26" t="n">
        <v>-138</v>
      </c>
      <c r="BL14" s="27" t="n">
        <v>1.724638</v>
      </c>
      <c r="BM14" s="28" t="n">
        <v>0.579832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97f817da629d4166</t>
        </is>
      </c>
      <c r="B15" s="24" t="inlineStr">
        <is>
          <t>2026-07-30T13:36:25.155439Z</t>
        </is>
      </c>
      <c r="C15" s="24" t="inlineStr">
        <is>
          <t>2026-07-30T15:00:00Z</t>
        </is>
      </c>
      <c r="D15" s="24" t="inlineStr">
        <is>
          <t>63802</t>
        </is>
      </c>
      <c r="E15" s="24" t="inlineStr">
        <is>
          <t>VALORANT</t>
        </is>
      </c>
      <c r="F15" s="24" t="inlineStr">
        <is>
          <t>Habos Babos</t>
        </is>
      </c>
      <c r="G15" s="24" t="inlineStr">
        <is>
          <t>SK Nebula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-203</v>
      </c>
      <c r="M15" s="27" t="n">
        <v>1.492611</v>
      </c>
      <c r="N15" s="28" t="n">
        <v>0.669967</v>
      </c>
      <c r="O15" s="28" t="n">
        <v>0.617757</v>
      </c>
      <c r="P15" s="28" t="n"/>
      <c r="Q15" s="28" t="n">
        <v>-0.05221</v>
      </c>
      <c r="R15" s="26" t="n">
        <v>0</v>
      </c>
      <c r="S15" s="29" t="n">
        <v>0</v>
      </c>
      <c r="T15" s="24" t="inlineStr">
        <is>
          <t>valorant-tiered-elo-v4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0.6700 (market_slug=aec-valorant-skn-hbs-2026-07-30).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Habos Babos</t>
        </is>
      </c>
      <c r="AQ15" s="24" t="inlineStr">
        <is>
          <t>Habos Babos</t>
        </is>
      </c>
      <c r="AR15" s="24" t="inlineStr">
        <is>
          <t>Habos Babos</t>
        </is>
      </c>
      <c r="AS15" s="24" t="inlineStr">
        <is>
          <t>SK Nebula</t>
        </is>
      </c>
      <c r="AT15" s="24" t="inlineStr">
        <is>
          <t>SK Nebula</t>
        </is>
      </c>
      <c r="AU15" s="24" t="inlineStr">
        <is>
          <t>SK Nebula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19b7365606ae48f9e7f41f552cee9b921f9088cc133ddb61af3a4f42a2a76e52</t>
        </is>
      </c>
      <c r="BB15" s="24" t="inlineStr">
        <is>
          <t>neutral_elo</t>
        </is>
      </c>
      <c r="BC15" s="24" t="inlineStr">
        <is>
          <t>valorant-tiered-elo-v4</t>
        </is>
      </c>
      <c r="BD15" s="24" t="inlineStr">
        <is>
          <t>19b7365606ae48f9e7f41f552cee9b921f9088cc133ddb61af3a4f42a2a76e52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valorant-tiered-elo-v4</t>
        </is>
      </c>
      <c r="BH15" s="24" t="inlineStr">
        <is>
          <t>2026-07-30T13:36:18.680042Z</t>
        </is>
      </c>
      <c r="BI15" s="24" t="inlineStr">
        <is>
          <t>["same_event","same_team_same_day","same_league_same_day"]</t>
        </is>
      </c>
      <c r="BJ15" s="25" t="n"/>
      <c r="BK15" s="26" t="n">
        <v>-203</v>
      </c>
      <c r="BL15" s="27" t="n">
        <v>1.492611</v>
      </c>
      <c r="BM15" s="28" t="n">
        <v>0.669967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484ca41ac49a4ac6</t>
        </is>
      </c>
      <c r="B16" s="24" t="inlineStr">
        <is>
          <t>2026-07-30T16:56:19.984320Z</t>
        </is>
      </c>
      <c r="C16" s="24" t="inlineStr">
        <is>
          <t>2026-07-30T18:00:00Z</t>
        </is>
      </c>
      <c r="D16" s="24" t="inlineStr">
        <is>
          <t>64030</t>
        </is>
      </c>
      <c r="E16" s="24" t="inlineStr">
        <is>
          <t>VALORANT</t>
        </is>
      </c>
      <c r="F16" s="24" t="inlineStr">
        <is>
          <t>ALTERNATE aTTaX Ruby</t>
        </is>
      </c>
      <c r="G16" s="24" t="inlineStr">
        <is>
          <t>GIANTX GC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-170</v>
      </c>
      <c r="M16" s="27" t="n">
        <v>1.588235</v>
      </c>
      <c r="N16" s="28" t="n">
        <v>0.62963</v>
      </c>
      <c r="O16" s="28" t="n">
        <v>0.609158</v>
      </c>
      <c r="P16" s="28" t="n"/>
      <c r="Q16" s="28" t="n">
        <v>-0.020472</v>
      </c>
      <c r="R16" s="26" t="n">
        <v>10</v>
      </c>
      <c r="S16" s="29" t="n">
        <v>0</v>
      </c>
      <c r="T16" s="24" t="inlineStr">
        <is>
          <t>valorant-tiered-elo-v4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0.6300 (market_slug=aec-valorant-gxgc-aar-2026-07-30).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ALTERNATE aTTaX Ruby</t>
        </is>
      </c>
      <c r="AQ16" s="24" t="inlineStr">
        <is>
          <t>ALTERNATE aTTaX Ruby</t>
        </is>
      </c>
      <c r="AR16" s="24" t="inlineStr">
        <is>
          <t>ALTERNATE aTTaX Ruby</t>
        </is>
      </c>
      <c r="AS16" s="24" t="inlineStr">
        <is>
          <t>GIANTX GC</t>
        </is>
      </c>
      <c r="AT16" s="24" t="inlineStr">
        <is>
          <t>GIANTX GC</t>
        </is>
      </c>
      <c r="AU16" s="24" t="inlineStr">
        <is>
          <t>GIANTX GC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35b04a5bb7c454d67f676c74c39ff026dc1de3ca4c28121046d47414d56b3caf</t>
        </is>
      </c>
      <c r="BB16" s="24" t="inlineStr">
        <is>
          <t>neutral_elo</t>
        </is>
      </c>
      <c r="BC16" s="24" t="inlineStr">
        <is>
          <t>valorant-tiered-elo-v4</t>
        </is>
      </c>
      <c r="BD16" s="24" t="inlineStr">
        <is>
          <t>35b04a5bb7c454d67f676c74c39ff026dc1de3ca4c28121046d47414d56b3caf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valorant-tiered-elo-v4</t>
        </is>
      </c>
      <c r="BH16" s="24" t="inlineStr">
        <is>
          <t>2026-07-30T16:56:14.958060Z</t>
        </is>
      </c>
      <c r="BI16" s="24" t="inlineStr">
        <is>
          <t>["same_event","same_team_same_day","same_league_same_day"]</t>
        </is>
      </c>
      <c r="BJ16" s="25" t="n"/>
      <c r="BK16" s="26" t="n">
        <v>-170</v>
      </c>
      <c r="BL16" s="27" t="n">
        <v>1.588235</v>
      </c>
      <c r="BM16" s="28" t="n">
        <v>0.62963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908c342fe2bc4f74</t>
        </is>
      </c>
      <c r="B17" s="24" t="inlineStr">
        <is>
          <t>2026-07-30T16:56:19.984320Z</t>
        </is>
      </c>
      <c r="C17" s="24" t="inlineStr">
        <is>
          <t>2026-07-30T18:00:00Z</t>
        </is>
      </c>
      <c r="D17" s="24" t="inlineStr">
        <is>
          <t>64031</t>
        </is>
      </c>
      <c r="E17" s="24" t="inlineStr">
        <is>
          <t>VALORANT</t>
        </is>
      </c>
      <c r="F17" s="24" t="inlineStr">
        <is>
          <t>Fnatic</t>
        </is>
      </c>
      <c r="G17" s="24" t="inlineStr">
        <is>
          <t>Eternal Fire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-223</v>
      </c>
      <c r="M17" s="27" t="n">
        <v>1.44843</v>
      </c>
      <c r="N17" s="28" t="n">
        <v>0.690402</v>
      </c>
      <c r="O17" s="28" t="n">
        <v>0.645767</v>
      </c>
      <c r="P17" s="28" t="n"/>
      <c r="Q17" s="28" t="n">
        <v>-0.044635</v>
      </c>
      <c r="R17" s="26" t="n">
        <v>0</v>
      </c>
      <c r="S17" s="29" t="n">
        <v>0</v>
      </c>
      <c r="T17" s="24" t="inlineStr">
        <is>
          <t>valorant-tiered-elo-v4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0.6900 (market_slug=aec-valorant-ef-fnc-2026-07-30).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Fnatic</t>
        </is>
      </c>
      <c r="AQ17" s="24" t="inlineStr">
        <is>
          <t>Fnatic</t>
        </is>
      </c>
      <c r="AR17" s="24" t="inlineStr">
        <is>
          <t>Fnatic</t>
        </is>
      </c>
      <c r="AS17" s="24" t="inlineStr">
        <is>
          <t>Eternal Fire</t>
        </is>
      </c>
      <c r="AT17" s="24" t="inlineStr">
        <is>
          <t>Eternal Fire</t>
        </is>
      </c>
      <c r="AU17" s="24" t="inlineStr">
        <is>
          <t>Eternal Fire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35b04a5bb7c454d67f676c74c39ff026dc1de3ca4c28121046d47414d56b3caf</t>
        </is>
      </c>
      <c r="BB17" s="24" t="inlineStr">
        <is>
          <t>neutral_elo</t>
        </is>
      </c>
      <c r="BC17" s="24" t="inlineStr">
        <is>
          <t>valorant-tiered-elo-v4</t>
        </is>
      </c>
      <c r="BD17" s="24" t="inlineStr">
        <is>
          <t>35b04a5bb7c454d67f676c74c39ff026dc1de3ca4c28121046d47414d56b3caf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valorant-tiered-elo-v4</t>
        </is>
      </c>
      <c r="BH17" s="24" t="inlineStr">
        <is>
          <t>2026-07-30T16:56:15.464790Z</t>
        </is>
      </c>
      <c r="BI17" s="24" t="inlineStr">
        <is>
          <t>["same_event","same_team_same_day","same_league_same_day"]</t>
        </is>
      </c>
      <c r="BJ17" s="25" t="n"/>
      <c r="BK17" s="26" t="n">
        <v>-223</v>
      </c>
      <c r="BL17" s="27" t="n">
        <v>1.44843</v>
      </c>
      <c r="BM17" s="28" t="n">
        <v>0.690402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3a87da19646040bf</t>
        </is>
      </c>
      <c r="B18" s="24" t="inlineStr">
        <is>
          <t>2026-07-30T16:56:19.984320Z</t>
        </is>
      </c>
      <c r="C18" s="24" t="inlineStr">
        <is>
          <t>2026-07-31T11:00:00Z</t>
        </is>
      </c>
      <c r="D18" s="24" t="inlineStr">
        <is>
          <t>64807</t>
        </is>
      </c>
      <c r="E18" s="24" t="inlineStr">
        <is>
          <t>VALORANT</t>
        </is>
      </c>
      <c r="F18" s="24" t="inlineStr">
        <is>
          <t>Gen.G Esports</t>
        </is>
      </c>
      <c r="G18" s="24" t="inlineStr">
        <is>
          <t>Global Esports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-108</v>
      </c>
      <c r="M18" s="27" t="n">
        <v>1.925926</v>
      </c>
      <c r="N18" s="28" t="n">
        <v>0.519231</v>
      </c>
      <c r="O18" s="28" t="n">
        <v>0.581239</v>
      </c>
      <c r="P18" s="28" t="n"/>
      <c r="Q18" s="28" t="n">
        <v>0.062008</v>
      </c>
      <c r="R18" s="26" t="n">
        <v>51</v>
      </c>
      <c r="S18" s="29" t="n">
        <v>1.25</v>
      </c>
      <c r="T18" s="24" t="inlineStr">
        <is>
          <t>valorant-tiered-elo-v4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0.5200 (market_slug=aec-valorant-ge-geng-2026-07-31).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Gen.G Esports</t>
        </is>
      </c>
      <c r="AQ18" s="24" t="inlineStr">
        <is>
          <t>Gen.G Esports</t>
        </is>
      </c>
      <c r="AR18" s="24" t="inlineStr">
        <is>
          <t>Gen.G Esports</t>
        </is>
      </c>
      <c r="AS18" s="24" t="inlineStr">
        <is>
          <t>Global Esports</t>
        </is>
      </c>
      <c r="AT18" s="24" t="inlineStr">
        <is>
          <t>Global Esports</t>
        </is>
      </c>
      <c r="AU18" s="24" t="inlineStr">
        <is>
          <t>Global Esports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35b04a5bb7c454d67f676c74c39ff026dc1de3ca4c28121046d47414d56b3caf</t>
        </is>
      </c>
      <c r="BB18" s="24" t="inlineStr">
        <is>
          <t>neutral_elo</t>
        </is>
      </c>
      <c r="BC18" s="24" t="inlineStr">
        <is>
          <t>valorant-tiered-elo-v4</t>
        </is>
      </c>
      <c r="BD18" s="24" t="inlineStr">
        <is>
          <t>35b04a5bb7c454d67f676c74c39ff026dc1de3ca4c28121046d47414d56b3caf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valorant-tiered-elo-v4</t>
        </is>
      </c>
      <c r="BH18" s="24" t="inlineStr">
        <is>
          <t>2026-07-30T16:56:17.979503Z</t>
        </is>
      </c>
      <c r="BI18" s="24" t="inlineStr">
        <is>
          <t>["same_event","same_team_same_day","same_league_same_day"]</t>
        </is>
      </c>
      <c r="BJ18" s="25" t="n"/>
      <c r="BK18" s="26" t="n">
        <v>-108</v>
      </c>
      <c r="BL18" s="27" t="n">
        <v>1.925926</v>
      </c>
      <c r="BM18" s="28" t="n">
        <v>0.519231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b63e4b0f3a044d57</t>
        </is>
      </c>
      <c r="B19" s="24" t="inlineStr">
        <is>
          <t>2026-07-30T16:56:19.984320Z</t>
        </is>
      </c>
      <c r="C19" s="24" t="inlineStr">
        <is>
          <t>2026-07-31T15:00:00Z</t>
        </is>
      </c>
      <c r="D19" s="24" t="inlineStr">
        <is>
          <t>64940</t>
        </is>
      </c>
      <c r="E19" s="24" t="inlineStr">
        <is>
          <t>VALORANT</t>
        </is>
      </c>
      <c r="F19" s="24" t="inlineStr">
        <is>
          <t>Gentle Mates</t>
        </is>
      </c>
      <c r="G19" s="24" t="inlineStr">
        <is>
          <t>BBL Esports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-127</v>
      </c>
      <c r="M19" s="27" t="n">
        <v>1.787402</v>
      </c>
      <c r="N19" s="28" t="n">
        <v>0.5594710000000001</v>
      </c>
      <c r="O19" s="28" t="n">
        <v>0.603976</v>
      </c>
      <c r="P19" s="28" t="n"/>
      <c r="Q19" s="28" t="n">
        <v>0.044505</v>
      </c>
      <c r="R19" s="26" t="n">
        <v>42</v>
      </c>
      <c r="S19" s="29" t="n">
        <v>1.5</v>
      </c>
      <c r="T19" s="24" t="inlineStr">
        <is>
          <t>valorant-tiered-elo-v4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0.5600 (market_slug=aec-valorant-bbl-gm-2026-07-31).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Gentle Mates</t>
        </is>
      </c>
      <c r="AQ19" s="24" t="inlineStr">
        <is>
          <t>Gentle Mates</t>
        </is>
      </c>
      <c r="AR19" s="24" t="inlineStr">
        <is>
          <t>Gentle Mates</t>
        </is>
      </c>
      <c r="AS19" s="24" t="inlineStr">
        <is>
          <t>BBL Esports</t>
        </is>
      </c>
      <c r="AT19" s="24" t="inlineStr">
        <is>
          <t>BBL Esports</t>
        </is>
      </c>
      <c r="AU19" s="24" t="inlineStr">
        <is>
          <t>BBL Esports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35b04a5bb7c454d67f676c74c39ff026dc1de3ca4c28121046d47414d56b3caf</t>
        </is>
      </c>
      <c r="BB19" s="24" t="inlineStr">
        <is>
          <t>neutral_elo</t>
        </is>
      </c>
      <c r="BC19" s="24" t="inlineStr">
        <is>
          <t>valorant-tiered-elo-v4</t>
        </is>
      </c>
      <c r="BD19" s="24" t="inlineStr">
        <is>
          <t>35b04a5bb7c454d67f676c74c39ff026dc1de3ca4c28121046d47414d56b3caf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valorant-tiered-elo-v4</t>
        </is>
      </c>
      <c r="BH19" s="24" t="inlineStr">
        <is>
          <t>2026-07-30T16:56:18.461860Z</t>
        </is>
      </c>
      <c r="BI19" s="24" t="inlineStr">
        <is>
          <t>["same_event","same_team_same_day","same_league_same_day"]</t>
        </is>
      </c>
      <c r="BJ19" s="25" t="n"/>
      <c r="BK19" s="26" t="n">
        <v>-127</v>
      </c>
      <c r="BL19" s="27" t="n">
        <v>1.787402</v>
      </c>
      <c r="BM19" s="28" t="n">
        <v>0.5594710000000001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2bd4a13560814372</t>
        </is>
      </c>
      <c r="B20" s="24" t="inlineStr">
        <is>
          <t>2026-07-30T16:56:19.984320Z</t>
        </is>
      </c>
      <c r="C20" s="24" t="inlineStr">
        <is>
          <t>2026-07-31T21:00:00Z</t>
        </is>
      </c>
      <c r="D20" s="24" t="inlineStr">
        <is>
          <t>65506</t>
        </is>
      </c>
      <c r="E20" s="24" t="inlineStr">
        <is>
          <t>VALORANT</t>
        </is>
      </c>
      <c r="F20" s="24" t="inlineStr">
        <is>
          <t>LOUD</t>
        </is>
      </c>
      <c r="G20" s="24" t="inlineStr">
        <is>
          <t>Cloud9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-117</v>
      </c>
      <c r="M20" s="27" t="n">
        <v>1.854701</v>
      </c>
      <c r="N20" s="28" t="n">
        <v>0.539171</v>
      </c>
      <c r="O20" s="28" t="n">
        <v>0.648906</v>
      </c>
      <c r="P20" s="28" t="n"/>
      <c r="Q20" s="28" t="n">
        <v>0.109735</v>
      </c>
      <c r="R20" s="26" t="n">
        <v>75</v>
      </c>
      <c r="S20" s="29" t="n">
        <v>2</v>
      </c>
      <c r="T20" s="24" t="inlineStr">
        <is>
          <t>valorant-tiered-elo-v4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0.5400 (market_slug=aec-valorant-c9-loud-2026-07-31).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LOUD</t>
        </is>
      </c>
      <c r="AQ20" s="24" t="inlineStr">
        <is>
          <t>LOUD</t>
        </is>
      </c>
      <c r="AR20" s="24" t="inlineStr">
        <is>
          <t>LOUD</t>
        </is>
      </c>
      <c r="AS20" s="24" t="inlineStr">
        <is>
          <t>Cloud9</t>
        </is>
      </c>
      <c r="AT20" s="24" t="inlineStr">
        <is>
          <t>Cloud9</t>
        </is>
      </c>
      <c r="AU20" s="24" t="inlineStr">
        <is>
          <t>Cloud9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35b04a5bb7c454d67f676c74c39ff026dc1de3ca4c28121046d47414d56b3caf</t>
        </is>
      </c>
      <c r="BB20" s="24" t="inlineStr">
        <is>
          <t>neutral_elo</t>
        </is>
      </c>
      <c r="BC20" s="24" t="inlineStr">
        <is>
          <t>valorant-tiered-elo-v4</t>
        </is>
      </c>
      <c r="BD20" s="24" t="inlineStr">
        <is>
          <t>35b04a5bb7c454d67f676c74c39ff026dc1de3ca4c28121046d47414d56b3caf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valorant-tiered-elo-v4</t>
        </is>
      </c>
      <c r="BH20" s="24" t="inlineStr">
        <is>
          <t>2026-07-30T16:56:19.463536Z</t>
        </is>
      </c>
      <c r="BI20" s="24" t="inlineStr">
        <is>
          <t>["same_event","same_team_same_day","same_league_same_day"]</t>
        </is>
      </c>
      <c r="BJ20" s="25" t="n"/>
      <c r="BK20" s="26" t="n">
        <v>-117</v>
      </c>
      <c r="BL20" s="27" t="n">
        <v>1.854701</v>
      </c>
      <c r="BM20" s="28" t="n">
        <v>0.539171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2026-07-30T16:56:20Z</dcterms:created>
  <dcterms:modified xsi:type="dcterms:W3CDTF">2026-07-30T16:56:21Z</dcterms:modified>
</cp:coreProperties>
</file>