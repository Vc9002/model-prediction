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0" headerRowCount="1">
  <autoFilter ref="A1:CO10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COUNTA('Picks'!$A$2:$A$10)</f>
        <v/>
      </c>
      <c r="C4" s="6">
        <f>COUNTIF('Picks'!$U$2:$U$10,"open")</f>
        <v/>
      </c>
      <c r="E4" s="6">
        <f>COUNTIF('Picks'!$U$2:$U$10,"settled")</f>
        <v/>
      </c>
      <c r="G4" s="6">
        <f>IF(COUNTIFS('Picks'!$U$2:$U$10,"settled",'Picks'!$V$2:$V$10,"win")+COUNTIFS('Picks'!$U$2:$U$10,"settled",'Picks'!$V$2:$V$10,"loss")&gt;=$L$2,"Ready","Insufficient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COUNTIF('Picks'!$BX$2:$BX$10,"&gt;0")</f>
        <v/>
      </c>
      <c r="C7" s="6">
        <f>COUNTIFS('Picks'!$BX$2:$BX$10,"&gt;0",'Picks'!$V$2:$V$10,"win")&amp;"-"&amp;COUNTIFS('Picks'!$BX$2:$BX$10,"&gt;0",'Picks'!$V$2:$V$10,"loss")</f>
        <v/>
      </c>
      <c r="E7" s="7">
        <f>IFERROR(COUNTIFS('Picks'!$BX$2:$BX$10,"&gt;0",'Picks'!$V$2:$V$10,"win")/(COUNTIFS('Picks'!$BX$2:$BX$10,"&gt;0",'Picks'!$V$2:$V$10,"win")+COUNTIFS('Picks'!$BX$2:$BX$10,"&gt;0",'Picks'!$V$2:$V$10,"loss")),0)</f>
        <v/>
      </c>
      <c r="G7" s="7">
        <f>IFERROR(SUM('Picks'!$BY$2:$BY$10)/SUM('Picks'!$BX$2:$BX$10),0)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SUM('Picks'!$BY$2:$BY$10)</f>
        <v/>
      </c>
      <c r="C10" s="9">
        <f>IFERROR(AVERAGEIF('Picks'!$AB$2:$AB$10,"&lt;&gt;",'Picks'!$AB$2:$AB$10),0)</f>
        <v/>
      </c>
      <c r="E10" s="6">
        <f>COUNTIFS('Picks'!$AM$2:$AM$10,"QUALIFIED_SHADOW_CALL",'Picks'!$U$2:$U$10,"settled")</f>
        <v/>
      </c>
      <c r="G10" s="8">
        <f>SUMIFS('Picks'!$AC$2:$AC$10,'Picks'!$AM$2:$AM$10,"QUALIFIED_SHADOW_CALL")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COUNTIFS('Picks'!$H$2:$H$10,$A14,'Picks'!$U$2:$U$10,"settled")</f>
        <v/>
      </c>
      <c r="C14" s="13">
        <f>COUNTIFS('Picks'!$H$2:$H$10,$A14,'Picks'!$U$2:$U$10,"settled",'Picks'!$V$2:$V$10,"win")</f>
        <v/>
      </c>
      <c r="D14" s="13">
        <f>COUNTIFS('Picks'!$H$2:$H$10,$A14,'Picks'!$U$2:$U$10,"settled",'Picks'!$V$2:$V$10,"loss")</f>
        <v/>
      </c>
      <c r="E14" s="14">
        <f>IFERROR(C14/(C14+D14),0)</f>
        <v/>
      </c>
      <c r="F14" s="15">
        <f>SUMIFS('Picks'!$BY$2:$BY$10,'Picks'!$H$2:$H$10,$A14)</f>
        <v/>
      </c>
      <c r="G14" s="16">
        <f>IFERROR(AVERAGEIFS('Picks'!$AB$2:$AB$10,'Picks'!$H$2:$H$10,$A14,'Picks'!$U$2:$U$10,"settled"),0)</f>
        <v/>
      </c>
    </row>
    <row r="15">
      <c r="A15" s="17" t="inlineStr">
        <is>
          <t>spread</t>
        </is>
      </c>
      <c r="B15" s="18">
        <f>COUNTIFS('Picks'!$H$2:$H$10,$A15,'Picks'!$U$2:$U$10,"settled")</f>
        <v/>
      </c>
      <c r="C15" s="18">
        <f>COUNTIFS('Picks'!$H$2:$H$10,$A15,'Picks'!$U$2:$U$10,"settled",'Picks'!$V$2:$V$10,"win")</f>
        <v/>
      </c>
      <c r="D15" s="18">
        <f>COUNTIFS('Picks'!$H$2:$H$10,$A15,'Picks'!$U$2:$U$10,"settled",'Picks'!$V$2:$V$10,"loss")</f>
        <v/>
      </c>
      <c r="E15" s="19">
        <f>IFERROR(C15/(C15+D15),0)</f>
        <v/>
      </c>
      <c r="F15" s="20">
        <f>SUMIFS('Picks'!$BY$2:$BY$10,'Picks'!$H$2:$H$10,$A15)</f>
        <v/>
      </c>
      <c r="G15" s="21">
        <f>IFERROR(AVERAGEIFS('Picks'!$AB$2:$AB$10,'Picks'!$H$2:$H$10,$A15,'Picks'!$U$2:$U$10,"settled"),0)</f>
        <v/>
      </c>
    </row>
    <row r="16">
      <c r="A16" s="12" t="inlineStr">
        <is>
          <t>total</t>
        </is>
      </c>
      <c r="B16" s="13">
        <f>COUNTIFS('Picks'!$H$2:$H$10,$A16,'Picks'!$U$2:$U$10,"settled")</f>
        <v/>
      </c>
      <c r="C16" s="13">
        <f>COUNTIFS('Picks'!$H$2:$H$10,$A16,'Picks'!$U$2:$U$10,"settled",'Picks'!$V$2:$V$10,"win")</f>
        <v/>
      </c>
      <c r="D16" s="13">
        <f>COUNTIFS('Picks'!$H$2:$H$10,$A16,'Picks'!$U$2:$U$10,"settled",'Picks'!$V$2:$V$10,"loss")</f>
        <v/>
      </c>
      <c r="E16" s="14">
        <f>IFERROR(C16/(C16+D16),0)</f>
        <v/>
      </c>
      <c r="F16" s="15">
        <f>SUMIFS('Picks'!$BY$2:$BY$10,'Picks'!$H$2:$H$10,$A16)</f>
        <v/>
      </c>
      <c r="G16" s="16">
        <f>IFERROR(AVERAGEIFS('Picks'!$AB$2:$AB$10,'Picks'!$H$2:$H$10,$A16,'Picks'!$U$2:$U$10,"settled"),0)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5410b19790cb4158</t>
        </is>
      </c>
      <c r="B2" s="24" t="inlineStr">
        <is>
          <t>2026-07-27T13:32:13.323625Z</t>
        </is>
      </c>
      <c r="C2" s="24" t="inlineStr">
        <is>
          <t>2026-07-27T15:00:00Z</t>
        </is>
      </c>
      <c r="D2" s="24" t="inlineStr">
        <is>
          <t>60760</t>
        </is>
      </c>
      <c r="E2" s="24" t="inlineStr">
        <is>
          <t>VALORANT</t>
        </is>
      </c>
      <c r="F2" s="24" t="inlineStr">
        <is>
          <t>Habos Babos</t>
        </is>
      </c>
      <c r="G2" s="24" t="inlineStr">
        <is>
          <t>Barça eSports GC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144</v>
      </c>
      <c r="M2" s="27" t="n">
        <v>2.44</v>
      </c>
      <c r="N2" s="28" t="n">
        <v>0.409836</v>
      </c>
      <c r="O2" s="28" t="n">
        <v>0.519337</v>
      </c>
      <c r="P2" s="28" t="n"/>
      <c r="Q2" s="28" t="n">
        <v>0.109501</v>
      </c>
      <c r="R2" s="26" t="n">
        <v>75</v>
      </c>
      <c r="S2" s="29" t="n">
        <v>0</v>
      </c>
      <c r="T2" s="24" t="inlineStr">
        <is>
          <t>valorant-tiered-elo-v4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2026-07-27T17:03:46.656501Z</t>
        </is>
      </c>
      <c r="AE2" s="31" t="inlineStr">
        <is>
          <t>Neutral Elo baseline; executable ask 0.4100 (market_slug=aec-valorant-beg-hbs-2026-07-27).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Habos Babos</t>
        </is>
      </c>
      <c r="AQ2" s="24" t="inlineStr">
        <is>
          <t>Habos Babos</t>
        </is>
      </c>
      <c r="AR2" s="24" t="inlineStr">
        <is>
          <t>Habos Babos</t>
        </is>
      </c>
      <c r="AS2" s="24" t="inlineStr">
        <is>
          <t>Barça eSports GC</t>
        </is>
      </c>
      <c r="AT2" s="24" t="inlineStr">
        <is>
          <t>Barça eSports GC</t>
        </is>
      </c>
      <c r="AU2" s="24" t="inlineStr">
        <is>
          <t>Barça eSports GC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6cce51743bf5606a4094683b8f88c468e312b6e0f3a4d11913a9997a273d6b86</t>
        </is>
      </c>
      <c r="BB2" s="24" t="inlineStr">
        <is>
          <t>neutral_elo</t>
        </is>
      </c>
      <c r="BC2" s="24" t="inlineStr">
        <is>
          <t>valorant-tiered-elo-v4</t>
        </is>
      </c>
      <c r="BD2" s="24" t="inlineStr">
        <is>
          <t>6cce51743bf5606a4094683b8f88c468e312b6e0f3a4d11913a9997a273d6b86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valorant-tiered-elo-v4</t>
        </is>
      </c>
      <c r="BH2" s="24" t="inlineStr">
        <is>
          <t>2026-07-27T13:32:04.945513Z</t>
        </is>
      </c>
      <c r="BI2" s="24" t="inlineStr">
        <is>
          <t>["same_event","same_team_same_day","same_league_same_day"]</t>
        </is>
      </c>
      <c r="BJ2" s="25" t="n"/>
      <c r="BK2" s="26" t="n">
        <v>144</v>
      </c>
      <c r="BL2" s="27" t="n">
        <v>2.44</v>
      </c>
      <c r="BM2" s="28" t="n">
        <v>0.409836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0aa2021b65f14a53</t>
        </is>
      </c>
      <c r="B3" s="24" t="inlineStr">
        <is>
          <t>2026-07-27T19:51:39.691788Z</t>
        </is>
      </c>
      <c r="C3" s="24" t="inlineStr">
        <is>
          <t>2026-07-27T21:00:00Z</t>
        </is>
      </c>
      <c r="D3" s="24" t="inlineStr">
        <is>
          <t>61045</t>
        </is>
      </c>
      <c r="E3" s="24" t="inlineStr">
        <is>
          <t>VALORANT</t>
        </is>
      </c>
      <c r="F3" s="24" t="inlineStr">
        <is>
          <t>SaD GC</t>
        </is>
      </c>
      <c r="G3" s="24" t="inlineStr">
        <is>
          <t>ORA Temper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203</v>
      </c>
      <c r="M3" s="27" t="n">
        <v>3.03</v>
      </c>
      <c r="N3" s="28" t="n">
        <v>0.330033</v>
      </c>
      <c r="O3" s="28" t="n">
        <v>0.5057199999999999</v>
      </c>
      <c r="P3" s="28" t="n"/>
      <c r="Q3" s="28" t="n">
        <v>0.175687</v>
      </c>
      <c r="R3" s="26" t="n">
        <v>100</v>
      </c>
      <c r="S3" s="29" t="n">
        <v>0.5</v>
      </c>
      <c r="T3" s="24" t="inlineStr">
        <is>
          <t>valorant-tiered-elo-v4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1.015</v>
      </c>
      <c r="AD3" s="24" t="inlineStr">
        <is>
          <t>2026-07-27T22:52:00.762411Z</t>
        </is>
      </c>
      <c r="AE3" s="31" t="inlineStr">
        <is>
          <t>Neutral Elo baseline; executable ask 0.3300 (market_slug=aec-valorant-orat-sga-2026-07-27).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SaD GC</t>
        </is>
      </c>
      <c r="AQ3" s="24" t="inlineStr">
        <is>
          <t>SaD GC</t>
        </is>
      </c>
      <c r="AR3" s="24" t="inlineStr">
        <is>
          <t>SaD GC</t>
        </is>
      </c>
      <c r="AS3" s="24" t="inlineStr">
        <is>
          <t>ORA Temper</t>
        </is>
      </c>
      <c r="AT3" s="24" t="inlineStr">
        <is>
          <t>ORA Temper</t>
        </is>
      </c>
      <c r="AU3" s="24" t="inlineStr">
        <is>
          <t>ORA Temper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781631928725bfbadab6eb37728b264ebd9b45792fc91e595051fe0740ec1b11</t>
        </is>
      </c>
      <c r="BB3" s="24" t="inlineStr">
        <is>
          <t>neutral_elo</t>
        </is>
      </c>
      <c r="BC3" s="24" t="inlineStr">
        <is>
          <t>valorant-tiered-elo-v4</t>
        </is>
      </c>
      <c r="BD3" s="24" t="inlineStr">
        <is>
          <t>781631928725bfbadab6eb37728b264ebd9b45792fc91e595051fe0740ec1b11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valorant-tiered-elo-v4</t>
        </is>
      </c>
      <c r="BH3" s="24" t="inlineStr">
        <is>
          <t>2026-07-27T19:51:33.586186Z</t>
        </is>
      </c>
      <c r="BI3" s="24" t="inlineStr">
        <is>
          <t>["same_event","same_team_same_day","same_league_same_day"]</t>
        </is>
      </c>
      <c r="BJ3" s="25" t="n"/>
      <c r="BK3" s="26" t="n">
        <v>203</v>
      </c>
      <c r="BL3" s="27" t="n">
        <v>3.03</v>
      </c>
      <c r="BM3" s="28" t="n">
        <v>0.330033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54c2f7d359844b66</t>
        </is>
      </c>
      <c r="B4" s="24" t="inlineStr">
        <is>
          <t>2026-07-27T19:51:39.691788Z</t>
        </is>
      </c>
      <c r="C4" s="24" t="inlineStr">
        <is>
          <t>2026-07-27T21:00:00Z</t>
        </is>
      </c>
      <c r="D4" s="24" t="inlineStr">
        <is>
          <t>61046</t>
        </is>
      </c>
      <c r="E4" s="24" t="inlineStr">
        <is>
          <t>VALORANT</t>
        </is>
      </c>
      <c r="F4" s="24" t="inlineStr">
        <is>
          <t>The Spiders</t>
        </is>
      </c>
      <c r="G4" s="24" t="inlineStr">
        <is>
          <t>Cloud9 GC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100</v>
      </c>
      <c r="M4" s="27" t="n">
        <v>2</v>
      </c>
      <c r="N4" s="28" t="n">
        <v>0.5</v>
      </c>
      <c r="O4" s="28" t="n">
        <v>0.53613</v>
      </c>
      <c r="P4" s="28" t="n"/>
      <c r="Q4" s="28" t="n">
        <v>0.03613</v>
      </c>
      <c r="R4" s="26" t="n">
        <v>38</v>
      </c>
      <c r="S4" s="29" t="n">
        <v>0.75</v>
      </c>
      <c r="T4" s="24" t="inlineStr">
        <is>
          <t>valorant-tiered-elo-v4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-0.75</v>
      </c>
      <c r="AD4" s="24" t="inlineStr">
        <is>
          <t>2026-07-28T01:57:14.441712Z</t>
        </is>
      </c>
      <c r="AE4" s="31" t="inlineStr">
        <is>
          <t>Neutral Elo baseline; executable ask 0.5000 (market_slug=aec-valorant-c9gc-spi-2026-07-27).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The Spiders</t>
        </is>
      </c>
      <c r="AQ4" s="24" t="inlineStr">
        <is>
          <t>The Spiders</t>
        </is>
      </c>
      <c r="AR4" s="24" t="inlineStr">
        <is>
          <t>The Spiders</t>
        </is>
      </c>
      <c r="AS4" s="24" t="inlineStr">
        <is>
          <t>Cloud9 GC</t>
        </is>
      </c>
      <c r="AT4" s="24" t="inlineStr">
        <is>
          <t>Cloud9 GC</t>
        </is>
      </c>
      <c r="AU4" s="24" t="inlineStr">
        <is>
          <t>Cloud9 GC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781631928725bfbadab6eb37728b264ebd9b45792fc91e595051fe0740ec1b11</t>
        </is>
      </c>
      <c r="BB4" s="24" t="inlineStr">
        <is>
          <t>neutral_elo</t>
        </is>
      </c>
      <c r="BC4" s="24" t="inlineStr">
        <is>
          <t>valorant-tiered-elo-v4</t>
        </is>
      </c>
      <c r="BD4" s="24" t="inlineStr">
        <is>
          <t>781631928725bfbadab6eb37728b264ebd9b45792fc91e595051fe0740ec1b11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valorant-tiered-elo-v4</t>
        </is>
      </c>
      <c r="BH4" s="24" t="inlineStr">
        <is>
          <t>2026-07-27T19:51:34.129373Z</t>
        </is>
      </c>
      <c r="BI4" s="24" t="inlineStr">
        <is>
          <t>["same_event","same_team_same_day","same_league_same_day"]</t>
        </is>
      </c>
      <c r="BJ4" s="25" t="n"/>
      <c r="BK4" s="26" t="n">
        <v>100</v>
      </c>
      <c r="BL4" s="27" t="n">
        <v>2</v>
      </c>
      <c r="BM4" s="28" t="n">
        <v>0.5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2262d180fb3749f8</t>
        </is>
      </c>
      <c r="B5" s="24" t="inlineStr">
        <is>
          <t>2026-07-27T19:51:39.691788Z</t>
        </is>
      </c>
      <c r="C5" s="24" t="inlineStr">
        <is>
          <t>2026-07-27T21:00:00Z</t>
        </is>
      </c>
      <c r="D5" s="24" t="inlineStr">
        <is>
          <t>61048</t>
        </is>
      </c>
      <c r="E5" s="24" t="inlineStr">
        <is>
          <t>VALORANT</t>
        </is>
      </c>
      <c r="F5" s="24" t="inlineStr">
        <is>
          <t>SwimTrek Blue</t>
        </is>
      </c>
      <c r="G5" s="24" t="inlineStr">
        <is>
          <t>Shopify Rebellion Gold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100</v>
      </c>
      <c r="M5" s="27" t="n">
        <v>2</v>
      </c>
      <c r="N5" s="28" t="n">
        <v>0.5</v>
      </c>
      <c r="O5" s="28" t="n">
        <v>0.541059</v>
      </c>
      <c r="P5" s="28" t="n"/>
      <c r="Q5" s="28" t="n">
        <v>0.041059</v>
      </c>
      <c r="R5" s="26" t="n">
        <v>41</v>
      </c>
      <c r="S5" s="29" t="n">
        <v>1</v>
      </c>
      <c r="T5" s="24" t="inlineStr">
        <is>
          <t>valorant-tiered-elo-v4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2026-07-28T01:57:15.596098Z</t>
        </is>
      </c>
      <c r="AE5" s="31" t="inlineStr">
        <is>
          <t>Neutral Elo baseline; executable ask 0.5000 (market_slug=aec-valorant-srg-swim-2026-07-27).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SwimTrek Blue</t>
        </is>
      </c>
      <c r="AQ5" s="24" t="inlineStr">
        <is>
          <t>SwimTrek Blue</t>
        </is>
      </c>
      <c r="AR5" s="24" t="inlineStr">
        <is>
          <t>SwimTrek Blue</t>
        </is>
      </c>
      <c r="AS5" s="24" t="inlineStr">
        <is>
          <t>Shopify Rebellion Gold</t>
        </is>
      </c>
      <c r="AT5" s="24" t="inlineStr">
        <is>
          <t>Shopify Rebellion Gold</t>
        </is>
      </c>
      <c r="AU5" s="24" t="inlineStr">
        <is>
          <t>Shopify Rebellion Gold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781631928725bfbadab6eb37728b264ebd9b45792fc91e595051fe0740ec1b11</t>
        </is>
      </c>
      <c r="BB5" s="24" t="inlineStr">
        <is>
          <t>neutral_elo</t>
        </is>
      </c>
      <c r="BC5" s="24" t="inlineStr">
        <is>
          <t>valorant-tiered-elo-v4</t>
        </is>
      </c>
      <c r="BD5" s="24" t="inlineStr">
        <is>
          <t>781631928725bfbadab6eb37728b264ebd9b45792fc91e595051fe0740ec1b11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valorant-tiered-elo-v4</t>
        </is>
      </c>
      <c r="BH5" s="24" t="inlineStr">
        <is>
          <t>2026-07-27T19:51:34.644041Z</t>
        </is>
      </c>
      <c r="BI5" s="24" t="inlineStr">
        <is>
          <t>["same_event","same_team_same_day","same_league_same_day"]</t>
        </is>
      </c>
      <c r="BJ5" s="25" t="n"/>
      <c r="BK5" s="26" t="n">
        <v>100</v>
      </c>
      <c r="BL5" s="27" t="n">
        <v>2</v>
      </c>
      <c r="BM5" s="28" t="n">
        <v>0.5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54aad50fb6e84432</t>
        </is>
      </c>
      <c r="B6" s="24" t="inlineStr">
        <is>
          <t>2026-07-27T22:56:56.096115Z</t>
        </is>
      </c>
      <c r="C6" s="24" t="inlineStr">
        <is>
          <t>2026-07-27T23:30:00Z</t>
        </is>
      </c>
      <c r="D6" s="24" t="inlineStr">
        <is>
          <t>61239</t>
        </is>
      </c>
      <c r="E6" s="24" t="inlineStr">
        <is>
          <t>VALORANT</t>
        </is>
      </c>
      <c r="F6" s="24" t="inlineStr">
        <is>
          <t>Los Chudeles</t>
        </is>
      </c>
      <c r="G6" s="24" t="inlineStr">
        <is>
          <t>Eternal Focus Amethyst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223</v>
      </c>
      <c r="M6" s="27" t="n">
        <v>3.23</v>
      </c>
      <c r="N6" s="28" t="n">
        <v>0.309598</v>
      </c>
      <c r="O6" s="28" t="n">
        <v>0.557051</v>
      </c>
      <c r="P6" s="28" t="n"/>
      <c r="Q6" s="28" t="n">
        <v>0.247453</v>
      </c>
      <c r="R6" s="26" t="n">
        <v>100</v>
      </c>
      <c r="S6" s="29" t="n">
        <v>1</v>
      </c>
      <c r="T6" s="24" t="inlineStr">
        <is>
          <t>valorant-tiered-elo-v4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-1</v>
      </c>
      <c r="AD6" s="24" t="inlineStr">
        <is>
          <t>2026-07-28T01:57:16.746309Z</t>
        </is>
      </c>
      <c r="AE6" s="31" t="inlineStr">
        <is>
          <t>Neutral Elo baseline; executable ask 0.3100 (market_slug=aec-valorant-efa-lcd-2026-07-27).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Los Chudeles</t>
        </is>
      </c>
      <c r="AQ6" s="24" t="inlineStr">
        <is>
          <t>Los Chudeles</t>
        </is>
      </c>
      <c r="AR6" s="24" t="inlineStr">
        <is>
          <t>Los Chudeles</t>
        </is>
      </c>
      <c r="AS6" s="24" t="inlineStr">
        <is>
          <t>Eternal Focus Amethyst</t>
        </is>
      </c>
      <c r="AT6" s="24" t="inlineStr">
        <is>
          <t>Eternal Focus Amethyst</t>
        </is>
      </c>
      <c r="AU6" s="24" t="inlineStr">
        <is>
          <t>Eternal Focus Amethyst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e1ac23d99e831b81cddfe7dc2c7cc5dd4b57a35e88319d1f7162fbb6350e11bd</t>
        </is>
      </c>
      <c r="BB6" s="24" t="inlineStr">
        <is>
          <t>neutral_elo</t>
        </is>
      </c>
      <c r="BC6" s="24" t="inlineStr">
        <is>
          <t>valorant-tiered-elo-v4</t>
        </is>
      </c>
      <c r="BD6" s="24" t="inlineStr">
        <is>
          <t>e1ac23d99e831b81cddfe7dc2c7cc5dd4b57a35e88319d1f7162fbb6350e11bd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valorant-tiered-elo-v4</t>
        </is>
      </c>
      <c r="BH6" s="24" t="inlineStr">
        <is>
          <t>2026-07-27T22:56:51.769330Z</t>
        </is>
      </c>
      <c r="BI6" s="24" t="inlineStr">
        <is>
          <t>["same_event","same_team_same_day","same_league_same_day"]</t>
        </is>
      </c>
      <c r="BJ6" s="25" t="n"/>
      <c r="BK6" s="26" t="n">
        <v>223</v>
      </c>
      <c r="BL6" s="27" t="n">
        <v>3.23</v>
      </c>
      <c r="BM6" s="28" t="n">
        <v>0.309598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c69d9de93d5448d5</t>
        </is>
      </c>
      <c r="B7" s="24" t="inlineStr">
        <is>
          <t>2026-07-27T22:56:56.096115Z</t>
        </is>
      </c>
      <c r="C7" s="24" t="inlineStr">
        <is>
          <t>2026-07-27T23:30:00Z</t>
        </is>
      </c>
      <c r="D7" s="24" t="inlineStr">
        <is>
          <t>61240</t>
        </is>
      </c>
      <c r="E7" s="24" t="inlineStr">
        <is>
          <t>VALORANT</t>
        </is>
      </c>
      <c r="F7" s="24" t="inlineStr">
        <is>
          <t>Revenge</t>
        </is>
      </c>
      <c r="G7" s="24" t="inlineStr">
        <is>
          <t>:3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0.500347</v>
      </c>
      <c r="P7" s="28" t="n"/>
      <c r="Q7" s="28" t="n">
        <v>0.190749</v>
      </c>
      <c r="R7" s="26" t="n">
        <v>100</v>
      </c>
      <c r="S7" s="29" t="n">
        <v>0.5</v>
      </c>
      <c r="T7" s="24" t="inlineStr">
        <is>
          <t>valorant-tiered-elo-v4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-0.5</v>
      </c>
      <c r="AD7" s="24" t="inlineStr">
        <is>
          <t>2026-07-28T01:57:17.963688Z</t>
        </is>
      </c>
      <c r="AE7" s="31" t="inlineStr">
        <is>
          <t>Neutral Elo baseline; executable ask 0.3100 (market_slug=aec-valorant-meow-rvn-2026-07-27).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Revenge</t>
        </is>
      </c>
      <c r="AQ7" s="24" t="inlineStr">
        <is>
          <t>Revenge</t>
        </is>
      </c>
      <c r="AR7" s="24" t="inlineStr">
        <is>
          <t>Revenge</t>
        </is>
      </c>
      <c r="AS7" s="24" t="inlineStr">
        <is>
          <t>:3</t>
        </is>
      </c>
      <c r="AT7" s="24" t="inlineStr">
        <is>
          <t>:3</t>
        </is>
      </c>
      <c r="AU7" s="24" t="inlineStr">
        <is>
          <t>:3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e1ac23d99e831b81cddfe7dc2c7cc5dd4b57a35e88319d1f7162fbb6350e11bd</t>
        </is>
      </c>
      <c r="BB7" s="24" t="inlineStr">
        <is>
          <t>neutral_elo</t>
        </is>
      </c>
      <c r="BC7" s="24" t="inlineStr">
        <is>
          <t>valorant-tiered-elo-v4</t>
        </is>
      </c>
      <c r="BD7" s="24" t="inlineStr">
        <is>
          <t>e1ac23d99e831b81cddfe7dc2c7cc5dd4b57a35e88319d1f7162fbb6350e11bd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valorant-tiered-elo-v4</t>
        </is>
      </c>
      <c r="BH7" s="24" t="inlineStr">
        <is>
          <t>2026-07-27T22:56:52.318174Z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c936ad2e5bdc4053</t>
        </is>
      </c>
      <c r="B8" s="24" t="inlineStr">
        <is>
          <t>2026-07-28T02:00:16.375053Z</t>
        </is>
      </c>
      <c r="C8" s="24" t="inlineStr">
        <is>
          <t>2026-07-28T15:00:00Z</t>
        </is>
      </c>
      <c r="D8" s="24" t="inlineStr">
        <is>
          <t>61529</t>
        </is>
      </c>
      <c r="E8" s="24" t="inlineStr">
        <is>
          <t>VALORANT</t>
        </is>
      </c>
      <c r="F8" s="24" t="inlineStr">
        <is>
          <t>Karmine Corp GC</t>
        </is>
      </c>
      <c r="G8" s="24" t="inlineStr">
        <is>
          <t>Barça eSports GC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117</v>
      </c>
      <c r="M8" s="27" t="n">
        <v>2.17</v>
      </c>
      <c r="N8" s="28" t="n">
        <v>0.460829</v>
      </c>
      <c r="O8" s="28" t="n">
        <v>0.528676</v>
      </c>
      <c r="P8" s="28" t="n"/>
      <c r="Q8" s="28" t="n">
        <v>0.067847</v>
      </c>
      <c r="R8" s="26" t="n">
        <v>54</v>
      </c>
      <c r="S8" s="29" t="n">
        <v>0.75</v>
      </c>
      <c r="T8" s="24" t="inlineStr">
        <is>
          <t>valorant-tiered-elo-v4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0.4600 (market_slug=aec-valorant-beg-kcg-2026-07-28).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Karmine Corp GC</t>
        </is>
      </c>
      <c r="AQ8" s="24" t="inlineStr">
        <is>
          <t>Karmine Corp GC</t>
        </is>
      </c>
      <c r="AR8" s="24" t="inlineStr">
        <is>
          <t>Karmine Corp GC</t>
        </is>
      </c>
      <c r="AS8" s="24" t="inlineStr">
        <is>
          <t>Barça eSports GC</t>
        </is>
      </c>
      <c r="AT8" s="24" t="inlineStr">
        <is>
          <t>Barça eSports GC</t>
        </is>
      </c>
      <c r="AU8" s="24" t="inlineStr">
        <is>
          <t>Barça eSports GC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ba99965c8114221fba78930616e91bad6782222f73e86a28a2f2985fae341dcb</t>
        </is>
      </c>
      <c r="BB8" s="24" t="inlineStr">
        <is>
          <t>neutral_elo</t>
        </is>
      </c>
      <c r="BC8" s="24" t="inlineStr">
        <is>
          <t>valorant-tiered-elo-v4</t>
        </is>
      </c>
      <c r="BD8" s="24" t="inlineStr">
        <is>
          <t>ba99965c8114221fba78930616e91bad6782222f73e86a28a2f2985fae341dcb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valorant-tiered-elo-v4</t>
        </is>
      </c>
      <c r="BH8" s="24" t="inlineStr">
        <is>
          <t>2026-07-28T02:00:13.741488Z</t>
        </is>
      </c>
      <c r="BI8" s="24" t="inlineStr">
        <is>
          <t>["same_event","same_team_same_day","same_league_same_day"]</t>
        </is>
      </c>
      <c r="BJ8" s="25" t="n"/>
      <c r="BK8" s="26" t="n">
        <v>117</v>
      </c>
      <c r="BL8" s="27" t="n">
        <v>2.17</v>
      </c>
      <c r="BM8" s="28" t="n">
        <v>0.460829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5331cd947b664e7a</t>
        </is>
      </c>
      <c r="B9" s="24" t="inlineStr">
        <is>
          <t>2026-07-28T02:00:16.375053Z</t>
        </is>
      </c>
      <c r="C9" s="24" t="inlineStr">
        <is>
          <t>2026-07-28T18:00:00Z</t>
        </is>
      </c>
      <c r="D9" s="24" t="inlineStr">
        <is>
          <t>61735</t>
        </is>
      </c>
      <c r="E9" s="24" t="inlineStr">
        <is>
          <t>VALORANT</t>
        </is>
      </c>
      <c r="F9" s="24" t="inlineStr">
        <is>
          <t>Habos Babos</t>
        </is>
      </c>
      <c r="G9" s="24" t="inlineStr">
        <is>
          <t>Twisted Minds Orchid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-144</v>
      </c>
      <c r="M9" s="27" t="n">
        <v>1.694444</v>
      </c>
      <c r="N9" s="28" t="n">
        <v>0.590164</v>
      </c>
      <c r="O9" s="28" t="n">
        <v>0.619109</v>
      </c>
      <c r="P9" s="28" t="n"/>
      <c r="Q9" s="28" t="n">
        <v>0.028945</v>
      </c>
      <c r="R9" s="26" t="n">
        <v>34</v>
      </c>
      <c r="S9" s="29" t="n">
        <v>1.75</v>
      </c>
      <c r="T9" s="24" t="inlineStr">
        <is>
          <t>valorant-tiered-elo-v4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0.5900 (market_slug=aec-valorant-tmo-hbs-2026-07-28).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Habos Babos</t>
        </is>
      </c>
      <c r="AQ9" s="24" t="inlineStr">
        <is>
          <t>Habos Babos</t>
        </is>
      </c>
      <c r="AR9" s="24" t="inlineStr">
        <is>
          <t>Habos Babos</t>
        </is>
      </c>
      <c r="AS9" s="24" t="inlineStr">
        <is>
          <t>Twisted Minds Orchid</t>
        </is>
      </c>
      <c r="AT9" s="24" t="inlineStr">
        <is>
          <t>Twisted Minds Orchid</t>
        </is>
      </c>
      <c r="AU9" s="24" t="inlineStr">
        <is>
          <t>Twisted Minds Orchid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ba99965c8114221fba78930616e91bad6782222f73e86a28a2f2985fae341dcb</t>
        </is>
      </c>
      <c r="BB9" s="24" t="inlineStr">
        <is>
          <t>neutral_elo</t>
        </is>
      </c>
      <c r="BC9" s="24" t="inlineStr">
        <is>
          <t>valorant-tiered-elo-v4</t>
        </is>
      </c>
      <c r="BD9" s="24" t="inlineStr">
        <is>
          <t>ba99965c8114221fba78930616e91bad6782222f73e86a28a2f2985fae341dcb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valorant-tiered-elo-v4</t>
        </is>
      </c>
      <c r="BH9" s="24" t="inlineStr">
        <is>
          <t>2026-07-28T02:00:15.790363Z</t>
        </is>
      </c>
      <c r="BI9" s="24" t="inlineStr">
        <is>
          <t>["same_event","same_team_same_day","same_league_same_day"]</t>
        </is>
      </c>
      <c r="BJ9" s="25" t="n"/>
      <c r="BK9" s="26" t="n">
        <v>-144</v>
      </c>
      <c r="BL9" s="27" t="n">
        <v>1.694444</v>
      </c>
      <c r="BM9" s="28" t="n">
        <v>0.590164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b21f7223d7a847cc</t>
        </is>
      </c>
      <c r="B10" s="24" t="inlineStr">
        <is>
          <t>2026-07-28T02:00:16.375053Z</t>
        </is>
      </c>
      <c r="C10" s="24" t="inlineStr">
        <is>
          <t>2026-07-28T19:00:00Z</t>
        </is>
      </c>
      <c r="D10" s="24" t="inlineStr">
        <is>
          <t>61860</t>
        </is>
      </c>
      <c r="E10" s="24" t="inlineStr">
        <is>
          <t>VALORANT</t>
        </is>
      </c>
      <c r="F10" s="24" t="inlineStr">
        <is>
          <t>Shopify Rebellion Black</t>
        </is>
      </c>
      <c r="G10" s="24" t="inlineStr">
        <is>
          <t>2GAME Esports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0.523043</v>
      </c>
      <c r="P10" s="28" t="n"/>
      <c r="Q10" s="28" t="n">
        <v>-0.167359</v>
      </c>
      <c r="R10" s="26" t="n">
        <v>0</v>
      </c>
      <c r="S10" s="29" t="n">
        <v>0</v>
      </c>
      <c r="T10" s="24" t="inlineStr">
        <is>
          <t>valorant-tiered-elo-v4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0.6900 (market_slug=aec-valorant-2game-srb-2026-07-28).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Shopify Rebellion Black</t>
        </is>
      </c>
      <c r="AQ10" s="24" t="inlineStr">
        <is>
          <t>Shopify Rebellion Black</t>
        </is>
      </c>
      <c r="AR10" s="24" t="inlineStr">
        <is>
          <t>Shopify Rebellion Black</t>
        </is>
      </c>
      <c r="AS10" s="24" t="inlineStr">
        <is>
          <t>2GAME Esports</t>
        </is>
      </c>
      <c r="AT10" s="24" t="inlineStr">
        <is>
          <t>2GAME Esports</t>
        </is>
      </c>
      <c r="AU10" s="24" t="inlineStr">
        <is>
          <t>2GAME Esports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ba99965c8114221fba78930616e91bad6782222f73e86a28a2f2985fae341dcb</t>
        </is>
      </c>
      <c r="BB10" s="24" t="inlineStr">
        <is>
          <t>neutral_elo</t>
        </is>
      </c>
      <c r="BC10" s="24" t="inlineStr">
        <is>
          <t>valorant-tiered-elo-v4</t>
        </is>
      </c>
      <c r="BD10" s="24" t="inlineStr">
        <is>
          <t>ba99965c8114221fba78930616e91bad6782222f73e86a28a2f2985fae341dcb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valorant-tiered-elo-v4</t>
        </is>
      </c>
      <c r="BH10" s="24" t="inlineStr">
        <is>
          <t>2026-07-28T02:00:16.372842Z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2026-07-28T02:00:16Z</dcterms:created>
  <dcterms:modified xsi:type="dcterms:W3CDTF">2026-07-28T02:00:16Z</dcterms:modified>
</cp:coreProperties>
</file>