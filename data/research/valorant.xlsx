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Q10" headerRowCount="1">
  <autoFilter ref="A1:CQ10"/>
  <tableColumns count="95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  <tableColumn id="94" name="market_residual_probability"/>
    <tableColumn id="95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COUNTA('Picks'!$A$2:$A$10)</f>
        <v/>
      </c>
      <c r="C4" s="6">
        <f>COUNTIF('Picks'!$U$2:$U$10,"open")</f>
        <v/>
      </c>
      <c r="E4" s="6">
        <f>COUNTIF('Picks'!$U$2:$U$10,"settled")</f>
        <v/>
      </c>
      <c r="G4" s="6">
        <f>IF(COUNTIFS('Picks'!$U$2:$U$10,"settled",'Picks'!$V$2:$V$10,"win")+COUNTIFS('Picks'!$U$2:$U$10,"settled",'Picks'!$V$2:$V$10,"loss")&gt;=$L$2,"Ready","Insufficient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COUNTIF('Picks'!$BX$2:$BX$10,"&gt;0")</f>
        <v/>
      </c>
      <c r="C7" s="6">
        <f>COUNTIFS('Picks'!$BX$2:$BX$10,"&gt;0",'Picks'!$V$2:$V$10,"win")&amp;"-"&amp;COUNTIFS('Picks'!$BX$2:$BX$10,"&gt;0",'Picks'!$V$2:$V$10,"loss")</f>
        <v/>
      </c>
      <c r="E7" s="7">
        <f>IFERROR(COUNTIFS('Picks'!$BX$2:$BX$10,"&gt;0",'Picks'!$V$2:$V$10,"win")/(COUNTIFS('Picks'!$BX$2:$BX$10,"&gt;0",'Picks'!$V$2:$V$10,"win")+COUNTIFS('Picks'!$BX$2:$BX$10,"&gt;0",'Picks'!$V$2:$V$10,"loss")),0)</f>
        <v/>
      </c>
      <c r="G7" s="7">
        <f>IFERROR(SUM('Picks'!$BY$2:$BY$10)/SUM('Picks'!$BX$2:$BX$10),0)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SUM('Picks'!$BY$2:$BY$10)</f>
        <v/>
      </c>
      <c r="C10" s="9">
        <f>IFERROR(AVERAGEIF('Picks'!$AB$2:$AB$10,"&lt;&gt;",'Picks'!$AB$2:$AB$10),0)</f>
        <v/>
      </c>
      <c r="E10" s="6">
        <f>COUNTIFS('Picks'!$AM$2:$AM$10,"QUALIFIED_SHADOW_CALL",'Picks'!$U$2:$U$10,"settled")</f>
        <v/>
      </c>
      <c r="G10" s="8">
        <f>SUMIFS('Picks'!$AC$2:$AC$10,'Picks'!$AM$2:$AM$10,"QUALIFIED_SHADOW_CALL")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COUNTIFS('Picks'!$H$2:$H$10,$A14,'Picks'!$U$2:$U$10,"settled")</f>
        <v/>
      </c>
      <c r="C14" s="13">
        <f>COUNTIFS('Picks'!$H$2:$H$10,$A14,'Picks'!$U$2:$U$10,"settled",'Picks'!$V$2:$V$10,"win")</f>
        <v/>
      </c>
      <c r="D14" s="13">
        <f>COUNTIFS('Picks'!$H$2:$H$10,$A14,'Picks'!$U$2:$U$10,"settled",'Picks'!$V$2:$V$10,"loss")</f>
        <v/>
      </c>
      <c r="E14" s="14">
        <f>IFERROR(C14/(C14+D14),0)</f>
        <v/>
      </c>
      <c r="F14" s="15">
        <f>SUMIFS('Picks'!$BY$2:$BY$10,'Picks'!$H$2:$H$10,$A14)</f>
        <v/>
      </c>
      <c r="G14" s="16">
        <f>IFERROR(AVERAGEIFS('Picks'!$AB$2:$AB$10,'Picks'!$H$2:$H$10,$A14,'Picks'!$U$2:$U$10,"settled"),0)</f>
        <v/>
      </c>
    </row>
    <row r="15">
      <c r="A15" s="17" t="inlineStr">
        <is>
          <t>spread</t>
        </is>
      </c>
      <c r="B15" s="18">
        <f>COUNTIFS('Picks'!$H$2:$H$10,$A15,'Picks'!$U$2:$U$10,"settled")</f>
        <v/>
      </c>
      <c r="C15" s="18">
        <f>COUNTIFS('Picks'!$H$2:$H$10,$A15,'Picks'!$U$2:$U$10,"settled",'Picks'!$V$2:$V$10,"win")</f>
        <v/>
      </c>
      <c r="D15" s="18">
        <f>COUNTIFS('Picks'!$H$2:$H$10,$A15,'Picks'!$U$2:$U$10,"settled",'Picks'!$V$2:$V$10,"loss")</f>
        <v/>
      </c>
      <c r="E15" s="19">
        <f>IFERROR(C15/(C15+D15),0)</f>
        <v/>
      </c>
      <c r="F15" s="20">
        <f>SUMIFS('Picks'!$BY$2:$BY$10,'Picks'!$H$2:$H$10,$A15)</f>
        <v/>
      </c>
      <c r="G15" s="21">
        <f>IFERROR(AVERAGEIFS('Picks'!$AB$2:$AB$10,'Picks'!$H$2:$H$10,$A15,'Picks'!$U$2:$U$10,"settled"),0)</f>
        <v/>
      </c>
    </row>
    <row r="16">
      <c r="A16" s="12" t="inlineStr">
        <is>
          <t>total</t>
        </is>
      </c>
      <c r="B16" s="13">
        <f>COUNTIFS('Picks'!$H$2:$H$10,$A16,'Picks'!$U$2:$U$10,"settled")</f>
        <v/>
      </c>
      <c r="C16" s="13">
        <f>COUNTIFS('Picks'!$H$2:$H$10,$A16,'Picks'!$U$2:$U$10,"settled",'Picks'!$V$2:$V$10,"win")</f>
        <v/>
      </c>
      <c r="D16" s="13">
        <f>COUNTIFS('Picks'!$H$2:$H$10,$A16,'Picks'!$U$2:$U$10,"settled",'Picks'!$V$2:$V$10,"loss")</f>
        <v/>
      </c>
      <c r="E16" s="14">
        <f>IFERROR(C16/(C16+D16),0)</f>
        <v/>
      </c>
      <c r="F16" s="15">
        <f>SUMIFS('Picks'!$BY$2:$BY$10,'Picks'!$H$2:$H$10,$A16)</f>
        <v/>
      </c>
      <c r="G16" s="16">
        <f>IFERROR(AVERAGEIFS('Picks'!$AB$2:$AB$10,'Picks'!$H$2:$H$10,$A16,'Picks'!$U$2:$U$10,"settled"),0)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Q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  <col width="22" customWidth="1" min="94" max="94"/>
    <col width="17" customWidth="1" min="95" max="95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  <c r="CP1" s="23" t="inlineStr">
        <is>
          <t>market_residual_probability</t>
        </is>
      </c>
      <c r="CQ1" s="23" t="inlineStr">
        <is>
          <t>trade_candidate</t>
        </is>
      </c>
    </row>
    <row r="2" ht="36" customHeight="1">
      <c r="A2" s="24" t="inlineStr">
        <is>
          <t>0c9b461f54a54b67</t>
        </is>
      </c>
      <c r="B2" s="24" t="inlineStr">
        <is>
          <t>2026-07-31T10:46:58.818420Z</t>
        </is>
      </c>
      <c r="C2" s="24" t="inlineStr">
        <is>
          <t>2026-07-31T11:00:00Z</t>
        </is>
      </c>
      <c r="D2" s="24" t="inlineStr">
        <is>
          <t>64807</t>
        </is>
      </c>
      <c r="E2" s="24" t="inlineStr">
        <is>
          <t>VALORANT</t>
        </is>
      </c>
      <c r="F2" s="24" t="inlineStr">
        <is>
          <t>Gen.G Esports</t>
        </is>
      </c>
      <c r="G2" s="24" t="inlineStr">
        <is>
          <t>Global Esports</t>
        </is>
      </c>
      <c r="H2" s="24" t="inlineStr">
        <is>
          <t>moneyline</t>
        </is>
      </c>
      <c r="I2" s="24" t="inlineStr">
        <is>
          <t>away</t>
        </is>
      </c>
      <c r="J2" s="25" t="n"/>
      <c r="K2" s="24" t="inlineStr">
        <is>
          <t>polymarket_us</t>
        </is>
      </c>
      <c r="L2" s="26" t="n">
        <v>203</v>
      </c>
      <c r="M2" s="27" t="n">
        <v>3.03</v>
      </c>
      <c r="N2" s="28" t="n">
        <v>0.330033</v>
      </c>
      <c r="O2" s="28" t="n">
        <v>0.574963</v>
      </c>
      <c r="P2" s="28" t="n"/>
      <c r="Q2" s="28" t="n">
        <v>0.24493</v>
      </c>
      <c r="R2" s="26" t="n">
        <v>100</v>
      </c>
      <c r="S2" s="29" t="n">
        <v>1.25</v>
      </c>
      <c r="T2" s="24" t="inlineStr">
        <is>
          <t>valorant-tiered-elo-v5</t>
        </is>
      </c>
      <c r="U2" s="24" t="inlineStr">
        <is>
          <t>settled</t>
        </is>
      </c>
      <c r="V2" s="24" t="inlineStr">
        <is>
          <t>win</t>
        </is>
      </c>
      <c r="W2" s="26" t="n">
        <v>1</v>
      </c>
      <c r="X2" s="26" t="n">
        <v>0</v>
      </c>
      <c r="Y2" s="25" t="n"/>
      <c r="Z2" s="26" t="n">
        <v>194</v>
      </c>
      <c r="AA2" s="28" t="n">
        <v>0.34</v>
      </c>
      <c r="AB2" s="28" t="n">
        <v>0.009967</v>
      </c>
      <c r="AC2" s="30" t="n">
        <v>2.5375</v>
      </c>
      <c r="AD2" s="24" t="inlineStr">
        <is>
          <t>2026-07-31T13:38:58.560220Z</t>
        </is>
      </c>
      <c r="AE2" s="31" t="inlineStr">
        <is>
          <t>Neutral Elo baseline; executable ask 0.3300 (market_slug=aec-valorant-ge-geng-2026-07-31).</t>
        </is>
      </c>
      <c r="AF2" s="31" t="inlineStr">
        <is>
          <t>Config-promoted esports baseline; gates enforced at log time.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Gen.G Esports</t>
        </is>
      </c>
      <c r="AQ2" s="24" t="inlineStr">
        <is>
          <t>Gen.G Esports</t>
        </is>
      </c>
      <c r="AR2" s="24" t="inlineStr">
        <is>
          <t>Gen.G Esports</t>
        </is>
      </c>
      <c r="AS2" s="24" t="inlineStr">
        <is>
          <t>Global Esports</t>
        </is>
      </c>
      <c r="AT2" s="24" t="inlineStr">
        <is>
          <t>Global Esports</t>
        </is>
      </c>
      <c r="AU2" s="24" t="inlineStr">
        <is>
          <t>Global Esports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316f14757ba7b67513d2e43f0e5432e02d1d1af04a03ed2b8a0b070efbf6c94e</t>
        </is>
      </c>
      <c r="BB2" s="24" t="inlineStr">
        <is>
          <t>neutral_elo</t>
        </is>
      </c>
      <c r="BC2" s="24" t="inlineStr">
        <is>
          <t>valorant-tiered-elo-v5</t>
        </is>
      </c>
      <c r="BD2" s="24" t="inlineStr">
        <is>
          <t>316f14757ba7b67513d2e43f0e5432e02d1d1af04a03ed2b8a0b070efbf6c94e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valorant-tiered-elo-v5</t>
        </is>
      </c>
      <c r="BH2" s="24" t="inlineStr">
        <is>
          <t>2026-07-31T10:46:53.940374Z</t>
        </is>
      </c>
      <c r="BI2" s="24" t="inlineStr">
        <is>
          <t>["same_event","same_team_same_day","same_league_same_day"]</t>
        </is>
      </c>
      <c r="BJ2" s="25" t="n"/>
      <c r="BK2" s="26" t="n">
        <v>203</v>
      </c>
      <c r="BL2" s="27" t="n">
        <v>3.03</v>
      </c>
      <c r="BM2" s="28" t="n">
        <v>0.330033</v>
      </c>
      <c r="BN2" s="28" t="n"/>
      <c r="BO2" s="28" t="n"/>
      <c r="BP2" s="25" t="n"/>
      <c r="BQ2" s="27" t="n">
        <v>2.94</v>
      </c>
      <c r="BR2" s="28" t="n">
        <v>0.34</v>
      </c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</row>
    <row r="3" ht="36" customHeight="1">
      <c r="A3" s="24" t="inlineStr">
        <is>
          <t>0e9f1583a76a4fd2</t>
        </is>
      </c>
      <c r="B3" s="24" t="inlineStr">
        <is>
          <t>2026-07-31T13:44:08.052962Z</t>
        </is>
      </c>
      <c r="C3" s="24" t="inlineStr">
        <is>
          <t>2026-07-31T15:00:00Z</t>
        </is>
      </c>
      <c r="D3" s="24" t="inlineStr">
        <is>
          <t>64940</t>
        </is>
      </c>
      <c r="E3" s="24" t="inlineStr">
        <is>
          <t>VALORANT</t>
        </is>
      </c>
      <c r="F3" s="24" t="inlineStr">
        <is>
          <t>Gentle Mates</t>
        </is>
      </c>
      <c r="G3" s="24" t="inlineStr">
        <is>
          <t>BBL Esports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-127</v>
      </c>
      <c r="M3" s="27" t="n">
        <v>1.787402</v>
      </c>
      <c r="N3" s="28" t="n">
        <v>0.5594710000000001</v>
      </c>
      <c r="O3" s="28" t="n">
        <v>0.589785</v>
      </c>
      <c r="P3" s="28" t="n"/>
      <c r="Q3" s="28" t="n">
        <v>0.030314</v>
      </c>
      <c r="R3" s="26" t="n">
        <v>35</v>
      </c>
      <c r="S3" s="29" t="n">
        <v>1.25</v>
      </c>
      <c r="T3" s="24" t="inlineStr">
        <is>
          <t>valorant-tiered-elo-v5</t>
        </is>
      </c>
      <c r="U3" s="24" t="inlineStr">
        <is>
          <t>settled</t>
        </is>
      </c>
      <c r="V3" s="24" t="inlineStr">
        <is>
          <t>win</t>
        </is>
      </c>
      <c r="W3" s="26" t="n">
        <v>0</v>
      </c>
      <c r="X3" s="26" t="n">
        <v>1</v>
      </c>
      <c r="Y3" s="25" t="n"/>
      <c r="Z3" s="26" t="n">
        <v>-127</v>
      </c>
      <c r="AA3" s="28" t="n">
        <v>0.5600000000000001</v>
      </c>
      <c r="AB3" s="28" t="n">
        <v>0.000529</v>
      </c>
      <c r="AC3" s="30" t="n">
        <v>0.9843</v>
      </c>
      <c r="AD3" s="24" t="inlineStr">
        <is>
          <t>2026-07-31T19:51:22.532394Z</t>
        </is>
      </c>
      <c r="AE3" s="31" t="inlineStr">
        <is>
          <t>Neutral Elo baseline; executable ask 0.5600 (market_slug=aec-valorant-bbl-gm-2026-07-31).</t>
        </is>
      </c>
      <c r="AF3" s="31" t="inlineStr">
        <is>
          <t>Config-promoted esports baseline; gates enforced at log time.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Gentle Mates</t>
        </is>
      </c>
      <c r="AQ3" s="24" t="inlineStr">
        <is>
          <t>Gentle Mates</t>
        </is>
      </c>
      <c r="AR3" s="24" t="inlineStr">
        <is>
          <t>Gentle Mates</t>
        </is>
      </c>
      <c r="AS3" s="24" t="inlineStr">
        <is>
          <t>BBL Esports</t>
        </is>
      </c>
      <c r="AT3" s="24" t="inlineStr">
        <is>
          <t>BBL Esports</t>
        </is>
      </c>
      <c r="AU3" s="24" t="inlineStr">
        <is>
          <t>BBL Esports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139f8fd81efcd2fb54fc3e158052d3e9c04fc7442a0b372b18e645e84996b74c</t>
        </is>
      </c>
      <c r="BB3" s="24" t="inlineStr">
        <is>
          <t>neutral_elo</t>
        </is>
      </c>
      <c r="BC3" s="24" t="inlineStr">
        <is>
          <t>valorant-tiered-elo-v5</t>
        </is>
      </c>
      <c r="BD3" s="24" t="inlineStr">
        <is>
          <t>139f8fd81efcd2fb54fc3e158052d3e9c04fc7442a0b372b18e645e84996b74c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valorant-tiered-elo-v5</t>
        </is>
      </c>
      <c r="BH3" s="24" t="inlineStr">
        <is>
          <t>2026-07-31T13:44:03.465992Z</t>
        </is>
      </c>
      <c r="BI3" s="24" t="inlineStr">
        <is>
          <t>["same_event","same_team_same_day","same_league_same_day"]</t>
        </is>
      </c>
      <c r="BJ3" s="25" t="n"/>
      <c r="BK3" s="26" t="n">
        <v>-127</v>
      </c>
      <c r="BL3" s="27" t="n">
        <v>1.787402</v>
      </c>
      <c r="BM3" s="28" t="n">
        <v>0.5594710000000001</v>
      </c>
      <c r="BN3" s="28" t="n"/>
      <c r="BO3" s="28" t="n"/>
      <c r="BP3" s="25" t="n"/>
      <c r="BQ3" s="27" t="n">
        <v>1.787402</v>
      </c>
      <c r="BR3" s="28" t="n">
        <v>0.5600000000000001</v>
      </c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</row>
    <row r="4" ht="36" customHeight="1">
      <c r="A4" s="24" t="inlineStr">
        <is>
          <t>992f00d317164d2a</t>
        </is>
      </c>
      <c r="B4" s="24" t="inlineStr">
        <is>
          <t>2026-07-31T19:57:00.316597Z</t>
        </is>
      </c>
      <c r="C4" s="24" t="inlineStr">
        <is>
          <t>2026-07-31T21:00:00Z</t>
        </is>
      </c>
      <c r="D4" s="24" t="inlineStr">
        <is>
          <t>65506</t>
        </is>
      </c>
      <c r="E4" s="24" t="inlineStr">
        <is>
          <t>VALORANT</t>
        </is>
      </c>
      <c r="F4" s="24" t="inlineStr">
        <is>
          <t>LOUD</t>
        </is>
      </c>
      <c r="G4" s="24" t="inlineStr">
        <is>
          <t>Cloud9</t>
        </is>
      </c>
      <c r="H4" s="24" t="inlineStr">
        <is>
          <t>moneyline</t>
        </is>
      </c>
      <c r="I4" s="24" t="inlineStr">
        <is>
          <t>away</t>
        </is>
      </c>
      <c r="J4" s="25" t="n"/>
      <c r="K4" s="24" t="inlineStr">
        <is>
          <t>polymarket_us</t>
        </is>
      </c>
      <c r="L4" s="26" t="n">
        <v>-122</v>
      </c>
      <c r="M4" s="27" t="n">
        <v>1.819672</v>
      </c>
      <c r="N4" s="28" t="n">
        <v>0.54955</v>
      </c>
      <c r="O4" s="28" t="n">
        <v>0.558389</v>
      </c>
      <c r="P4" s="28" t="n"/>
      <c r="Q4" s="28" t="n">
        <v>0.008839</v>
      </c>
      <c r="R4" s="26" t="n">
        <v>24</v>
      </c>
      <c r="S4" s="29" t="n">
        <v>1</v>
      </c>
      <c r="T4" s="24" t="inlineStr">
        <is>
          <t>valorant-tiered-elo-v5</t>
        </is>
      </c>
      <c r="U4" s="24" t="inlineStr">
        <is>
          <t>settled</t>
        </is>
      </c>
      <c r="V4" s="24" t="inlineStr">
        <is>
          <t>win</t>
        </is>
      </c>
      <c r="W4" s="26" t="n">
        <v>1</v>
      </c>
      <c r="X4" s="26" t="n">
        <v>0</v>
      </c>
      <c r="Y4" s="25" t="n"/>
      <c r="Z4" s="26" t="n">
        <v>-122</v>
      </c>
      <c r="AA4" s="28" t="n">
        <v>0.55</v>
      </c>
      <c r="AB4" s="28" t="n">
        <v>0.00045</v>
      </c>
      <c r="AC4" s="30" t="n">
        <v>0.8197</v>
      </c>
      <c r="AD4" s="24" t="inlineStr">
        <is>
          <t>2026-08-01T03:00:18.104800Z</t>
        </is>
      </c>
      <c r="AE4" s="31" t="inlineStr">
        <is>
          <t>Neutral Elo baseline; executable ask 0.5500 (market_slug=aec-valorant-c9-loud-2026-07-31).</t>
        </is>
      </c>
      <c r="AF4" s="31" t="inlineStr">
        <is>
          <t>Config-promoted esports baseline; gates enforced at log time.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research_observation</t>
        </is>
      </c>
      <c r="AL4" s="26" t="n">
        <v>3</v>
      </c>
      <c r="AM4" s="24" t="inlineStr">
        <is>
          <t>RESEARCH_OBSERVATION</t>
        </is>
      </c>
      <c r="AN4" s="24" t="inlineStr">
        <is>
          <t>NO_CALL</t>
        </is>
      </c>
      <c r="AO4" s="24" t="inlineStr">
        <is>
          <t>NO_CALL_LOW_EDGE</t>
        </is>
      </c>
      <c r="AP4" s="24" t="inlineStr">
        <is>
          <t>LOUD</t>
        </is>
      </c>
      <c r="AQ4" s="24" t="inlineStr">
        <is>
          <t>LOUD</t>
        </is>
      </c>
      <c r="AR4" s="24" t="inlineStr">
        <is>
          <t>LOUD</t>
        </is>
      </c>
      <c r="AS4" s="24" t="inlineStr">
        <is>
          <t>Cloud9</t>
        </is>
      </c>
      <c r="AT4" s="24" t="inlineStr">
        <is>
          <t>Cloud9</t>
        </is>
      </c>
      <c r="AU4" s="24" t="inlineStr">
        <is>
          <t>Cloud9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c495285eb3dce15d5f7b197559c746544440f7a87fe5550e2c24625e309d8dd6</t>
        </is>
      </c>
      <c r="BB4" s="24" t="inlineStr">
        <is>
          <t>neutral_elo</t>
        </is>
      </c>
      <c r="BC4" s="24" t="inlineStr">
        <is>
          <t>valorant-tiered-elo-v5</t>
        </is>
      </c>
      <c r="BD4" s="24" t="inlineStr">
        <is>
          <t>c495285eb3dce15d5f7b197559c746544440f7a87fe5550e2c24625e309d8dd6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valorant-tiered-elo-v5</t>
        </is>
      </c>
      <c r="BH4" s="24" t="inlineStr">
        <is>
          <t>2026-07-31T19:56:56.353476Z</t>
        </is>
      </c>
      <c r="BI4" s="24" t="inlineStr">
        <is>
          <t>["same_event","same_team_same_day","same_league_same_day"]</t>
        </is>
      </c>
      <c r="BJ4" s="25" t="n"/>
      <c r="BK4" s="26" t="n">
        <v>-122</v>
      </c>
      <c r="BL4" s="27" t="n">
        <v>1.819672</v>
      </c>
      <c r="BM4" s="28" t="n">
        <v>0.54955</v>
      </c>
      <c r="BN4" s="28" t="n"/>
      <c r="BO4" s="28" t="n"/>
      <c r="BP4" s="25" t="n"/>
      <c r="BQ4" s="27" t="n">
        <v>1.819672</v>
      </c>
      <c r="BR4" s="28" t="n">
        <v>0.55</v>
      </c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</row>
    <row r="5" ht="36" customHeight="1">
      <c r="A5" s="24" t="inlineStr">
        <is>
          <t>3e99dffb22ef4292</t>
        </is>
      </c>
      <c r="B5" s="24" t="inlineStr">
        <is>
          <t>2026-08-01T10:23:18.378580Z</t>
        </is>
      </c>
      <c r="C5" s="24" t="inlineStr">
        <is>
          <t>2026-08-01T11:00:00Z</t>
        </is>
      </c>
      <c r="D5" s="24" t="inlineStr">
        <is>
          <t>65894</t>
        </is>
      </c>
      <c r="E5" s="24" t="inlineStr">
        <is>
          <t>VALORANT</t>
        </is>
      </c>
      <c r="F5" s="24" t="inlineStr">
        <is>
          <t>Rex Regum Qeon</t>
        </is>
      </c>
      <c r="G5" s="24" t="inlineStr">
        <is>
          <t>FULL SENSE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-150</v>
      </c>
      <c r="M5" s="27" t="n">
        <v>1.666667</v>
      </c>
      <c r="N5" s="28" t="n">
        <v>0.6</v>
      </c>
      <c r="O5" s="28" t="n">
        <v>0.552961</v>
      </c>
      <c r="P5" s="28" t="n"/>
      <c r="Q5" s="28" t="n">
        <v>-0.047039</v>
      </c>
      <c r="R5" s="26" t="n">
        <v>0</v>
      </c>
      <c r="S5" s="29" t="n">
        <v>1</v>
      </c>
      <c r="T5" s="24" t="inlineStr">
        <is>
          <t>valorant-tiered-elo-v5</t>
        </is>
      </c>
      <c r="U5" s="24" t="inlineStr">
        <is>
          <t>settled</t>
        </is>
      </c>
      <c r="V5" s="24" t="inlineStr">
        <is>
          <t>loss</t>
        </is>
      </c>
      <c r="W5" s="26" t="n">
        <v>1</v>
      </c>
      <c r="X5" s="26" t="n">
        <v>0</v>
      </c>
      <c r="Y5" s="25" t="n"/>
      <c r="Z5" s="26" t="n">
        <v>-150</v>
      </c>
      <c r="AA5" s="28" t="n">
        <v>0.6</v>
      </c>
      <c r="AB5" s="28" t="n">
        <v>0</v>
      </c>
      <c r="AC5" s="30" t="n">
        <v>-1</v>
      </c>
      <c r="AD5" s="24" t="inlineStr">
        <is>
          <t>2026-08-01T16:48:17.244830Z</t>
        </is>
      </c>
      <c r="AE5" s="31" t="inlineStr">
        <is>
          <t>Neutral Elo baseline; executable ask 0.6000 (market_slug=aec-valorant-fs-rrq-2026-08-01).</t>
        </is>
      </c>
      <c r="AF5" s="31" t="inlineStr">
        <is>
          <t>Config-promoted esports baseline; gates enforced at log time.</t>
        </is>
      </c>
      <c r="AG5" s="24" t="inlineStr">
        <is>
          <t>review_required</t>
        </is>
      </c>
      <c r="AH5" s="24" t="n"/>
      <c r="AI5" s="31" t="n"/>
      <c r="AJ5" s="31" t="n"/>
      <c r="AK5" s="24" t="inlineStr">
        <is>
          <t>research_observation</t>
        </is>
      </c>
      <c r="AL5" s="26" t="n">
        <v>3</v>
      </c>
      <c r="AM5" s="24" t="inlineStr">
        <is>
          <t>RESEARCH_OBSERVATION</t>
        </is>
      </c>
      <c r="AN5" s="24" t="inlineStr">
        <is>
          <t>NO_CALL</t>
        </is>
      </c>
      <c r="AO5" s="24" t="inlineStr">
        <is>
          <t>NO_CALL_LOW_EDGE</t>
        </is>
      </c>
      <c r="AP5" s="24" t="inlineStr">
        <is>
          <t>Rex Regum Qeon</t>
        </is>
      </c>
      <c r="AQ5" s="24" t="inlineStr">
        <is>
          <t>Rex Regum Qeon</t>
        </is>
      </c>
      <c r="AR5" s="24" t="inlineStr">
        <is>
          <t>Rex Regum Qeon</t>
        </is>
      </c>
      <c r="AS5" s="24" t="inlineStr">
        <is>
          <t>FULL SENSE</t>
        </is>
      </c>
      <c r="AT5" s="24" t="inlineStr">
        <is>
          <t>FULL SENSE</t>
        </is>
      </c>
      <c r="AU5" s="24" t="inlineStr">
        <is>
          <t>FULL SENSE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8b020a3d72d15d0d6b9a3580f54f87b4bba53a58d9087c0149f9da2085413676</t>
        </is>
      </c>
      <c r="BB5" s="24" t="inlineStr">
        <is>
          <t>neutral_elo</t>
        </is>
      </c>
      <c r="BC5" s="24" t="inlineStr">
        <is>
          <t>valorant-tiered-elo-v5</t>
        </is>
      </c>
      <c r="BD5" s="24" t="inlineStr">
        <is>
          <t>8b020a3d72d15d0d6b9a3580f54f87b4bba53a58d9087c0149f9da2085413676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valorant-tiered-elo-v5</t>
        </is>
      </c>
      <c r="BH5" s="24" t="inlineStr">
        <is>
          <t>2026-08-01T10:23:13.032551Z</t>
        </is>
      </c>
      <c r="BI5" s="24" t="inlineStr">
        <is>
          <t>["same_event","same_team_same_day","same_league_same_day"]</t>
        </is>
      </c>
      <c r="BJ5" s="25" t="n"/>
      <c r="BK5" s="26" t="n">
        <v>-150</v>
      </c>
      <c r="BL5" s="27" t="n">
        <v>1.666667</v>
      </c>
      <c r="BM5" s="28" t="n">
        <v>0.6</v>
      </c>
      <c r="BN5" s="28" t="n"/>
      <c r="BO5" s="28" t="n"/>
      <c r="BP5" s="25" t="n"/>
      <c r="BQ5" s="27" t="n">
        <v>1.666667</v>
      </c>
      <c r="BR5" s="28" t="n">
        <v>0.6</v>
      </c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</row>
    <row r="6" ht="36" customHeight="1">
      <c r="A6" s="24" t="inlineStr">
        <is>
          <t>67352456a8884132</t>
        </is>
      </c>
      <c r="B6" s="24" t="inlineStr">
        <is>
          <t>2026-08-01T13:46:54.819019Z</t>
        </is>
      </c>
      <c r="C6" s="24" t="inlineStr">
        <is>
          <t>2026-08-01T15:00:00Z</t>
        </is>
      </c>
      <c r="D6" s="24" t="inlineStr">
        <is>
          <t>65953</t>
        </is>
      </c>
      <c r="E6" s="24" t="inlineStr">
        <is>
          <t>VALORANT</t>
        </is>
      </c>
      <c r="F6" s="24" t="inlineStr">
        <is>
          <t>Team Vitality</t>
        </is>
      </c>
      <c r="G6" s="24" t="inlineStr">
        <is>
          <t>FUT Esports</t>
        </is>
      </c>
      <c r="H6" s="24" t="inlineStr">
        <is>
          <t>moneyline</t>
        </is>
      </c>
      <c r="I6" s="24" t="inlineStr">
        <is>
          <t>away</t>
        </is>
      </c>
      <c r="J6" s="25" t="n"/>
      <c r="K6" s="24" t="inlineStr">
        <is>
          <t>polymarket_us</t>
        </is>
      </c>
      <c r="L6" s="26" t="n">
        <v>-194</v>
      </c>
      <c r="M6" s="27" t="n">
        <v>1.515464</v>
      </c>
      <c r="N6" s="28" t="n">
        <v>0.659864</v>
      </c>
      <c r="O6" s="28" t="n">
        <v>0.566738</v>
      </c>
      <c r="P6" s="28" t="n"/>
      <c r="Q6" s="28" t="n">
        <v>-0.093126</v>
      </c>
      <c r="R6" s="26" t="n">
        <v>0</v>
      </c>
      <c r="S6" s="29" t="n">
        <v>1</v>
      </c>
      <c r="T6" s="24" t="inlineStr">
        <is>
          <t>valorant-tiered-elo-v5</t>
        </is>
      </c>
      <c r="U6" s="24" t="inlineStr">
        <is>
          <t>settled</t>
        </is>
      </c>
      <c r="V6" s="24" t="inlineStr">
        <is>
          <t>win</t>
        </is>
      </c>
      <c r="W6" s="26" t="n">
        <v>1</v>
      </c>
      <c r="X6" s="26" t="n">
        <v>0</v>
      </c>
      <c r="Y6" s="25" t="n"/>
      <c r="Z6" s="26" t="n">
        <v>-194</v>
      </c>
      <c r="AA6" s="28" t="n">
        <v>0.66</v>
      </c>
      <c r="AB6" s="28" t="n">
        <v>0.000136</v>
      </c>
      <c r="AC6" s="30" t="n">
        <v>0.5155</v>
      </c>
      <c r="AD6" s="24" t="inlineStr">
        <is>
          <t>2026-08-01T18:35:40.219599Z</t>
        </is>
      </c>
      <c r="AE6" s="31" t="inlineStr">
        <is>
          <t>Neutral Elo baseline; executable ask 0.6600 (market_slug=aec-valorant-fut-vit-2026-08-01).</t>
        </is>
      </c>
      <c r="AF6" s="31" t="inlineStr">
        <is>
          <t>Config-promoted esports baseline; gates enforced at log time.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research_observation</t>
        </is>
      </c>
      <c r="AL6" s="26" t="n">
        <v>3</v>
      </c>
      <c r="AM6" s="24" t="inlineStr">
        <is>
          <t>RESEARCH_OBSERVATION</t>
        </is>
      </c>
      <c r="AN6" s="24" t="inlineStr">
        <is>
          <t>NO_CALL</t>
        </is>
      </c>
      <c r="AO6" s="24" t="inlineStr">
        <is>
          <t>NO_CALL_LOW_EDGE</t>
        </is>
      </c>
      <c r="AP6" s="24" t="inlineStr">
        <is>
          <t>Team Vitality</t>
        </is>
      </c>
      <c r="AQ6" s="24" t="inlineStr">
        <is>
          <t>Team Vitality</t>
        </is>
      </c>
      <c r="AR6" s="24" t="inlineStr">
        <is>
          <t>Team Vitality</t>
        </is>
      </c>
      <c r="AS6" s="24" t="inlineStr">
        <is>
          <t>FUT Esports</t>
        </is>
      </c>
      <c r="AT6" s="24" t="inlineStr">
        <is>
          <t>FUT Esports</t>
        </is>
      </c>
      <c r="AU6" s="24" t="inlineStr">
        <is>
          <t>FUT Esports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5f7adb9e3af3e4b9370360107475e66be29da0c570d1ec14af5f7846257b6ab8</t>
        </is>
      </c>
      <c r="BB6" s="24" t="inlineStr">
        <is>
          <t>neutral_elo</t>
        </is>
      </c>
      <c r="BC6" s="24" t="inlineStr">
        <is>
          <t>valorant-tiered-elo-v5</t>
        </is>
      </c>
      <c r="BD6" s="24" t="inlineStr">
        <is>
          <t>5f7adb9e3af3e4b9370360107475e66be29da0c570d1ec14af5f7846257b6ab8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valorant-tiered-elo-v5</t>
        </is>
      </c>
      <c r="BH6" s="24" t="inlineStr">
        <is>
          <t>2026-08-01T13:46:50.499962Z</t>
        </is>
      </c>
      <c r="BI6" s="24" t="inlineStr">
        <is>
          <t>["same_event","same_team_same_day","same_league_same_day"]</t>
        </is>
      </c>
      <c r="BJ6" s="25" t="n"/>
      <c r="BK6" s="26" t="n">
        <v>-194</v>
      </c>
      <c r="BL6" s="27" t="n">
        <v>1.515464</v>
      </c>
      <c r="BM6" s="28" t="n">
        <v>0.659864</v>
      </c>
      <c r="BN6" s="28" t="n"/>
      <c r="BO6" s="28" t="n"/>
      <c r="BP6" s="25" t="n"/>
      <c r="BQ6" s="27" t="n">
        <v>1.515464</v>
      </c>
      <c r="BR6" s="28" t="n">
        <v>0.66</v>
      </c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</row>
    <row r="7" ht="36" customHeight="1">
      <c r="A7" s="24" t="inlineStr">
        <is>
          <t>49d2571015064442</t>
        </is>
      </c>
      <c r="B7" s="24" t="inlineStr">
        <is>
          <t>2026-08-01T16:54:19.279565Z</t>
        </is>
      </c>
      <c r="C7" s="24" t="inlineStr">
        <is>
          <t>2026-08-01T18:00:00Z</t>
        </is>
      </c>
      <c r="D7" s="24" t="inlineStr">
        <is>
          <t>66138</t>
        </is>
      </c>
      <c r="E7" s="24" t="inlineStr">
        <is>
          <t>VALORANT</t>
        </is>
      </c>
      <c r="F7" s="24" t="inlineStr">
        <is>
          <t>Team Liquid</t>
        </is>
      </c>
      <c r="G7" s="24" t="inlineStr">
        <is>
          <t>Karmine Corp</t>
        </is>
      </c>
      <c r="H7" s="24" t="inlineStr">
        <is>
          <t>moneyline</t>
        </is>
      </c>
      <c r="I7" s="24" t="inlineStr">
        <is>
          <t>away</t>
        </is>
      </c>
      <c r="J7" s="25" t="n"/>
      <c r="K7" s="24" t="inlineStr">
        <is>
          <t>polymarket_us</t>
        </is>
      </c>
      <c r="L7" s="26" t="n">
        <v>-113</v>
      </c>
      <c r="M7" s="27" t="n">
        <v>1.884956</v>
      </c>
      <c r="N7" s="28" t="n">
        <v>0.530516</v>
      </c>
      <c r="O7" s="28" t="n">
        <v>0.500941</v>
      </c>
      <c r="P7" s="28" t="n"/>
      <c r="Q7" s="28" t="n">
        <v>-0.029575</v>
      </c>
      <c r="R7" s="26" t="n">
        <v>5</v>
      </c>
      <c r="S7" s="29" t="n">
        <v>1</v>
      </c>
      <c r="T7" s="24" t="inlineStr">
        <is>
          <t>valorant-tiered-elo-v5</t>
        </is>
      </c>
      <c r="U7" s="24" t="inlineStr">
        <is>
          <t>settled</t>
        </is>
      </c>
      <c r="V7" s="24" t="inlineStr">
        <is>
          <t>loss</t>
        </is>
      </c>
      <c r="W7" s="26" t="n">
        <v>0</v>
      </c>
      <c r="X7" s="26" t="n">
        <v>1</v>
      </c>
      <c r="Y7" s="25" t="n"/>
      <c r="Z7" s="26" t="n">
        <v>-113</v>
      </c>
      <c r="AA7" s="28" t="n">
        <v>0.53</v>
      </c>
      <c r="AB7" s="28" t="n">
        <v>-0.000516</v>
      </c>
      <c r="AC7" s="30" t="n">
        <v>-1</v>
      </c>
      <c r="AD7" s="24" t="inlineStr">
        <is>
          <t>2026-08-01T21:41:01.737935Z</t>
        </is>
      </c>
      <c r="AE7" s="31" t="inlineStr">
        <is>
          <t>Neutral Elo baseline; executable ask 0.5300 (market_slug=aec-valorant-kc-tl-2026-08-01).</t>
        </is>
      </c>
      <c r="AF7" s="31" t="inlineStr">
        <is>
          <t>Config-promoted esports baseline; gates enforced at log time.</t>
        </is>
      </c>
      <c r="AG7" s="24" t="inlineStr">
        <is>
          <t>review_required</t>
        </is>
      </c>
      <c r="AH7" s="24" t="n"/>
      <c r="AI7" s="31" t="n"/>
      <c r="AJ7" s="31" t="n"/>
      <c r="AK7" s="24" t="inlineStr">
        <is>
          <t>research_observation</t>
        </is>
      </c>
      <c r="AL7" s="26" t="n">
        <v>3</v>
      </c>
      <c r="AM7" s="24" t="inlineStr">
        <is>
          <t>RESEARCH_OBSERVATION</t>
        </is>
      </c>
      <c r="AN7" s="24" t="inlineStr">
        <is>
          <t>NO_CALL</t>
        </is>
      </c>
      <c r="AO7" s="24" t="inlineStr">
        <is>
          <t>NO_CALL_LOW_EDGE</t>
        </is>
      </c>
      <c r="AP7" s="24" t="inlineStr">
        <is>
          <t>Team Liquid</t>
        </is>
      </c>
      <c r="AQ7" s="24" t="inlineStr">
        <is>
          <t>Team Liquid</t>
        </is>
      </c>
      <c r="AR7" s="24" t="inlineStr">
        <is>
          <t>Team Liquid</t>
        </is>
      </c>
      <c r="AS7" s="24" t="inlineStr">
        <is>
          <t>Karmine Corp</t>
        </is>
      </c>
      <c r="AT7" s="24" t="inlineStr">
        <is>
          <t>Karmine Corp</t>
        </is>
      </c>
      <c r="AU7" s="24" t="inlineStr">
        <is>
          <t>Karmine Corp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de211ba59b87f7f994811cc2b95e7fa0909c8c2bfb3ba4be0f9ef98b999ead5f</t>
        </is>
      </c>
      <c r="BB7" s="24" t="inlineStr">
        <is>
          <t>neutral_elo</t>
        </is>
      </c>
      <c r="BC7" s="24" t="inlineStr">
        <is>
          <t>valorant-tiered-elo-v5</t>
        </is>
      </c>
      <c r="BD7" s="24" t="inlineStr">
        <is>
          <t>de211ba59b87f7f994811cc2b95e7fa0909c8c2bfb3ba4be0f9ef98b999ead5f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valorant-tiered-elo-v5</t>
        </is>
      </c>
      <c r="BH7" s="24" t="inlineStr">
        <is>
          <t>2026-08-01T16:54:15.399177Z</t>
        </is>
      </c>
      <c r="BI7" s="24" t="inlineStr">
        <is>
          <t>["same_event","same_team_same_day","same_league_same_day"]</t>
        </is>
      </c>
      <c r="BJ7" s="25" t="n"/>
      <c r="BK7" s="26" t="n">
        <v>-113</v>
      </c>
      <c r="BL7" s="27" t="n">
        <v>1.884956</v>
      </c>
      <c r="BM7" s="28" t="n">
        <v>0.530516</v>
      </c>
      <c r="BN7" s="28" t="n"/>
      <c r="BO7" s="28" t="n"/>
      <c r="BP7" s="25" t="n"/>
      <c r="BQ7" s="27" t="n">
        <v>1.884956</v>
      </c>
      <c r="BR7" s="28" t="n">
        <v>0.53</v>
      </c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</row>
    <row r="8" ht="36" customHeight="1">
      <c r="A8" s="24" t="inlineStr">
        <is>
          <t>f24cec6b572d41e6</t>
        </is>
      </c>
      <c r="B8" s="24" t="inlineStr">
        <is>
          <t>2026-08-01T23:55:04.278999Z</t>
        </is>
      </c>
      <c r="C8" s="24" t="inlineStr">
        <is>
          <t>2026-08-02T00:00:00Z</t>
        </is>
      </c>
      <c r="D8" s="24" t="inlineStr">
        <is>
          <t>66659</t>
        </is>
      </c>
      <c r="E8" s="24" t="inlineStr">
        <is>
          <t>VALORANT</t>
        </is>
      </c>
      <c r="F8" s="24" t="inlineStr">
        <is>
          <t>NRG</t>
        </is>
      </c>
      <c r="G8" s="24" t="inlineStr">
        <is>
          <t>Leviatán Esports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-138</v>
      </c>
      <c r="M8" s="27" t="n">
        <v>1.724638</v>
      </c>
      <c r="N8" s="28" t="n">
        <v>0.579832</v>
      </c>
      <c r="O8" s="28" t="n">
        <v>0.608104</v>
      </c>
      <c r="P8" s="28" t="n"/>
      <c r="Q8" s="28" t="n">
        <v>0.028272</v>
      </c>
      <c r="R8" s="26" t="n">
        <v>34</v>
      </c>
      <c r="S8" s="29" t="n">
        <v>1.5</v>
      </c>
      <c r="T8" s="24" t="inlineStr">
        <is>
          <t>valorant-tiered-elo-v5</t>
        </is>
      </c>
      <c r="U8" s="24" t="inlineStr">
        <is>
          <t>settled</t>
        </is>
      </c>
      <c r="V8" s="24" t="inlineStr">
        <is>
          <t>loss</t>
        </is>
      </c>
      <c r="W8" s="26" t="n">
        <v>1</v>
      </c>
      <c r="X8" s="26" t="n">
        <v>0</v>
      </c>
      <c r="Y8" s="25" t="n"/>
      <c r="Z8" s="26" t="n">
        <v>-138</v>
      </c>
      <c r="AA8" s="28" t="n">
        <v>0.58</v>
      </c>
      <c r="AB8" s="28" t="n">
        <v>0.000168</v>
      </c>
      <c r="AC8" s="30" t="n">
        <v>-1.5</v>
      </c>
      <c r="AD8" s="24" t="inlineStr">
        <is>
          <t>2026-08-02T04:26:23.368285Z</t>
        </is>
      </c>
      <c r="AE8" s="31" t="inlineStr">
        <is>
          <t>Neutral Elo baseline; executable ask 0.5800 (market_slug=aec-valorant-lev-nrg-2026-08-02).</t>
        </is>
      </c>
      <c r="AF8" s="31" t="inlineStr">
        <is>
          <t>Config-promoted esports baseline; gates enforced at log time.</t>
        </is>
      </c>
      <c r="AG8" s="24" t="inlineStr">
        <is>
          <t>review_required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NRG</t>
        </is>
      </c>
      <c r="AQ8" s="24" t="inlineStr">
        <is>
          <t>NRG</t>
        </is>
      </c>
      <c r="AR8" s="24" t="inlineStr">
        <is>
          <t>NRG</t>
        </is>
      </c>
      <c r="AS8" s="24" t="inlineStr">
        <is>
          <t>Leviatán Esports</t>
        </is>
      </c>
      <c r="AT8" s="24" t="inlineStr">
        <is>
          <t>Leviatán Esports</t>
        </is>
      </c>
      <c r="AU8" s="24" t="inlineStr">
        <is>
          <t>Leviatán Esports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4e9833fa3108f9876de728871233bbb749924096e4b6984ae7ee11ff9d8be0d1</t>
        </is>
      </c>
      <c r="BB8" s="24" t="inlineStr">
        <is>
          <t>neutral_elo</t>
        </is>
      </c>
      <c r="BC8" s="24" t="inlineStr">
        <is>
          <t>valorant-tiered-elo-v5</t>
        </is>
      </c>
      <c r="BD8" s="24" t="inlineStr">
        <is>
          <t>4e9833fa3108f9876de728871233bbb749924096e4b6984ae7ee11ff9d8be0d1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valorant-tiered-elo-v5</t>
        </is>
      </c>
      <c r="BH8" s="24" t="inlineStr">
        <is>
          <t>2026-08-01T23:55:01.262855Z</t>
        </is>
      </c>
      <c r="BI8" s="24" t="inlineStr">
        <is>
          <t>["same_event","same_team_same_day","same_league_same_day"]</t>
        </is>
      </c>
      <c r="BJ8" s="25" t="n"/>
      <c r="BK8" s="26" t="n">
        <v>-138</v>
      </c>
      <c r="BL8" s="27" t="n">
        <v>1.724638</v>
      </c>
      <c r="BM8" s="28" t="n">
        <v>0.579832</v>
      </c>
      <c r="BN8" s="28" t="n"/>
      <c r="BO8" s="28" t="n"/>
      <c r="BP8" s="25" t="n"/>
      <c r="BQ8" s="27" t="n">
        <v>1.724638</v>
      </c>
      <c r="BR8" s="28" t="n">
        <v>0.58</v>
      </c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</row>
    <row r="9" ht="36" customHeight="1">
      <c r="A9" s="24" t="inlineStr">
        <is>
          <t>f5ae220015ea4850</t>
        </is>
      </c>
      <c r="B9" s="24" t="inlineStr">
        <is>
          <t>2026-08-02T07:16:42.752833Z</t>
        </is>
      </c>
      <c r="C9" s="24" t="inlineStr">
        <is>
          <t>2026-08-02T08:00:00Z</t>
        </is>
      </c>
      <c r="D9" s="24" t="inlineStr">
        <is>
          <t>66788</t>
        </is>
      </c>
      <c r="E9" s="24" t="inlineStr">
        <is>
          <t>VALORANT</t>
        </is>
      </c>
      <c r="F9" s="24" t="inlineStr">
        <is>
          <t>Kiwoom DRX</t>
        </is>
      </c>
      <c r="G9" s="24" t="inlineStr">
        <is>
          <t>VARREL</t>
        </is>
      </c>
      <c r="H9" s="24" t="inlineStr">
        <is>
          <t>moneyline</t>
        </is>
      </c>
      <c r="I9" s="24" t="inlineStr">
        <is>
          <t>away</t>
        </is>
      </c>
      <c r="J9" s="25" t="n"/>
      <c r="K9" s="24" t="inlineStr">
        <is>
          <t>polymarket_us</t>
        </is>
      </c>
      <c r="L9" s="26" t="n">
        <v>-150</v>
      </c>
      <c r="M9" s="27" t="n">
        <v>1.666667</v>
      </c>
      <c r="N9" s="28" t="n">
        <v>0.6</v>
      </c>
      <c r="O9" s="28" t="n">
        <v>0.676998</v>
      </c>
      <c r="P9" s="28" t="n"/>
      <c r="Q9" s="28" t="n">
        <v>0.076998</v>
      </c>
      <c r="R9" s="26" t="n">
        <v>58</v>
      </c>
      <c r="S9" s="29" t="n">
        <v>1.75</v>
      </c>
      <c r="T9" s="24" t="inlineStr">
        <is>
          <t>valorant-tiered-elo-v5</t>
        </is>
      </c>
      <c r="U9" s="24" t="inlineStr">
        <is>
          <t>settled</t>
        </is>
      </c>
      <c r="V9" s="24" t="inlineStr">
        <is>
          <t>loss</t>
        </is>
      </c>
      <c r="W9" s="26" t="n">
        <v>0</v>
      </c>
      <c r="X9" s="26" t="n">
        <v>1</v>
      </c>
      <c r="Y9" s="25" t="n"/>
      <c r="Z9" s="26" t="n">
        <v>-150</v>
      </c>
      <c r="AA9" s="28" t="n">
        <v>0.6</v>
      </c>
      <c r="AB9" s="28" t="n">
        <v>0</v>
      </c>
      <c r="AC9" s="30" t="n">
        <v>-1.75</v>
      </c>
      <c r="AD9" s="24" t="inlineStr">
        <is>
          <t>2026-08-02T11:45:29.283046Z</t>
        </is>
      </c>
      <c r="AE9" s="31" t="inlineStr">
        <is>
          <t>Neutral Elo baseline; executable ask 0.6000 (market_slug=aec-valorant-var-krx-2026-08-02).</t>
        </is>
      </c>
      <c r="AF9" s="31" t="inlineStr">
        <is>
          <t>Config-promoted esports baseline; gates enforced at log time.</t>
        </is>
      </c>
      <c r="AG9" s="24" t="inlineStr">
        <is>
          <t>review_required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Kiwoom DRX</t>
        </is>
      </c>
      <c r="AQ9" s="24" t="inlineStr">
        <is>
          <t>Kiwoom DRX</t>
        </is>
      </c>
      <c r="AR9" s="24" t="inlineStr">
        <is>
          <t>Kiwoom DRX</t>
        </is>
      </c>
      <c r="AS9" s="24" t="inlineStr">
        <is>
          <t>VARREL</t>
        </is>
      </c>
      <c r="AT9" s="24" t="inlineStr">
        <is>
          <t>VARREL</t>
        </is>
      </c>
      <c r="AU9" s="24" t="inlineStr">
        <is>
          <t>VARREL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f7ffe38e2a3b5170b3b9b10a398835b3cdb1a4df5cfd051a3ffa836bf9de2c76</t>
        </is>
      </c>
      <c r="BB9" s="24" t="inlineStr">
        <is>
          <t>neutral_elo</t>
        </is>
      </c>
      <c r="BC9" s="24" t="inlineStr">
        <is>
          <t>valorant-tiered-elo-v5</t>
        </is>
      </c>
      <c r="BD9" s="24" t="inlineStr">
        <is>
          <t>f7ffe38e2a3b5170b3b9b10a398835b3cdb1a4df5cfd051a3ffa836bf9de2c76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valorant-tiered-elo-v5</t>
        </is>
      </c>
      <c r="BH9" s="24" t="inlineStr">
        <is>
          <t>2026-08-02T07:16:34.729300Z</t>
        </is>
      </c>
      <c r="BI9" s="24" t="inlineStr">
        <is>
          <t>["same_event","same_team_same_day","same_league_same_day"]</t>
        </is>
      </c>
      <c r="BJ9" s="25" t="n"/>
      <c r="BK9" s="26" t="n">
        <v>-150</v>
      </c>
      <c r="BL9" s="27" t="n">
        <v>1.666667</v>
      </c>
      <c r="BM9" s="28" t="n">
        <v>0.6</v>
      </c>
      <c r="BN9" s="28" t="n"/>
      <c r="BO9" s="28" t="n"/>
      <c r="BP9" s="25" t="n"/>
      <c r="BQ9" s="27" t="n">
        <v>1.666667</v>
      </c>
      <c r="BR9" s="28" t="n">
        <v>0.6</v>
      </c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</row>
    <row r="10" ht="36" customHeight="1">
      <c r="A10" s="24" t="inlineStr">
        <is>
          <t>94ceb126079549cb</t>
        </is>
      </c>
      <c r="B10" s="24" t="inlineStr">
        <is>
          <t>2026-08-02T17:48:56.490286Z</t>
        </is>
      </c>
      <c r="C10" s="24" t="inlineStr">
        <is>
          <t>2026-08-02T18:00:00Z</t>
        </is>
      </c>
      <c r="D10" s="24" t="inlineStr">
        <is>
          <t>66957</t>
        </is>
      </c>
      <c r="E10" s="24" t="inlineStr">
        <is>
          <t>VALORANT</t>
        </is>
      </c>
      <c r="F10" s="24" t="inlineStr">
        <is>
          <t>Team Heretics</t>
        </is>
      </c>
      <c r="G10" s="24" t="inlineStr">
        <is>
          <t>Fnatic</t>
        </is>
      </c>
      <c r="H10" s="24" t="inlineStr">
        <is>
          <t>moneyline</t>
        </is>
      </c>
      <c r="I10" s="24" t="inlineStr">
        <is>
          <t>away</t>
        </is>
      </c>
      <c r="J10" s="25" t="n"/>
      <c r="K10" s="24" t="inlineStr">
        <is>
          <t>polymarket_us</t>
        </is>
      </c>
      <c r="L10" s="26" t="n">
        <v>-127</v>
      </c>
      <c r="M10" s="27" t="n">
        <v>1.787402</v>
      </c>
      <c r="N10" s="28" t="n">
        <v>0.5594710000000001</v>
      </c>
      <c r="O10" s="28" t="n">
        <v>0.537865</v>
      </c>
      <c r="P10" s="28" t="n"/>
      <c r="Q10" s="28" t="n">
        <v>-0.021606</v>
      </c>
      <c r="R10" s="26" t="n">
        <v>9</v>
      </c>
      <c r="S10" s="29" t="n">
        <v>1</v>
      </c>
      <c r="T10" s="24" t="inlineStr">
        <is>
          <t>valorant-tiered-elo-v5</t>
        </is>
      </c>
      <c r="U10" s="24" t="inlineStr">
        <is>
          <t>open</t>
        </is>
      </c>
      <c r="V10" s="24" t="n"/>
      <c r="W10" s="26" t="n"/>
      <c r="X10" s="26" t="n"/>
      <c r="Y10" s="25" t="n"/>
      <c r="Z10" s="26" t="n"/>
      <c r="AA10" s="28" t="n"/>
      <c r="AB10" s="28" t="n"/>
      <c r="AC10" s="30" t="n"/>
      <c r="AD10" s="24" t="n"/>
      <c r="AE10" s="31" t="inlineStr">
        <is>
          <t>Neutral Elo baseline; executable ask 0.5600 (market_slug=aec-valorant-fnc-th-2026-08-02).</t>
        </is>
      </c>
      <c r="AF10" s="31" t="inlineStr">
        <is>
          <t>Config-promoted esports baseline; gates enforced at log time.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RESEARCH_OBSERVATION</t>
        </is>
      </c>
      <c r="AN10" s="24" t="inlineStr">
        <is>
          <t>NO_CALL</t>
        </is>
      </c>
      <c r="AO10" s="24" t="inlineStr">
        <is>
          <t>NO_CALL_LOW_EDGE</t>
        </is>
      </c>
      <c r="AP10" s="24" t="inlineStr">
        <is>
          <t>Team Heretics</t>
        </is>
      </c>
      <c r="AQ10" s="24" t="inlineStr">
        <is>
          <t>Team Heretics</t>
        </is>
      </c>
      <c r="AR10" s="24" t="inlineStr">
        <is>
          <t>Team Heretics</t>
        </is>
      </c>
      <c r="AS10" s="24" t="inlineStr">
        <is>
          <t>Fnatic</t>
        </is>
      </c>
      <c r="AT10" s="24" t="inlineStr">
        <is>
          <t>Fnatic</t>
        </is>
      </c>
      <c r="AU10" s="24" t="inlineStr">
        <is>
          <t>Fnatic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58e5b3721cf8906aae10d08de8cbb41fd662d66dfb5fe49c8d3ab04bb0741ed6</t>
        </is>
      </c>
      <c r="BB10" s="24" t="inlineStr">
        <is>
          <t>neutral_elo</t>
        </is>
      </c>
      <c r="BC10" s="24" t="inlineStr">
        <is>
          <t>valorant-tiered-elo-v5</t>
        </is>
      </c>
      <c r="BD10" s="24" t="inlineStr">
        <is>
          <t>58e5b3721cf8906aae10d08de8cbb41fd662d66dfb5fe49c8d3ab04bb0741ed6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valorant-tiered-elo-v5</t>
        </is>
      </c>
      <c r="BH10" s="24" t="inlineStr">
        <is>
          <t>2026-08-02T17:48:49.680825Z</t>
        </is>
      </c>
      <c r="BI10" s="24" t="inlineStr">
        <is>
          <t>["same_event","same_team_same_day","same_league_same_day"]</t>
        </is>
      </c>
      <c r="BJ10" s="25" t="n"/>
      <c r="BK10" s="26" t="n">
        <v>-127</v>
      </c>
      <c r="BL10" s="27" t="n">
        <v>1.787402</v>
      </c>
      <c r="BM10" s="28" t="n">
        <v>0.5594710000000001</v>
      </c>
      <c r="BN10" s="28" t="n"/>
      <c r="BO10" s="28" t="n"/>
      <c r="BP10" s="25" t="n"/>
      <c r="BQ10" s="27" t="n"/>
      <c r="BR10" s="28" t="n"/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inlineStr">
        <is>
          <t>False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2026-08-02T18:21:06Z</dcterms:created>
  <dcterms:modified xsi:type="dcterms:W3CDTF">2026-08-02T18:21:06Z</dcterms:modified>
</cp:coreProperties>
</file>