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0" headerRowCount="1">
  <autoFilter ref="A1:CS3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COUNTA('Picks'!$A$2:$A$30)</f>
        <v/>
      </c>
      <c r="C4" s="6">
        <f>COUNTIF('Picks'!$U$2:$U$30,"open")</f>
        <v/>
      </c>
      <c r="E4" s="6">
        <f>COUNTIF('Picks'!$U$2:$U$30,"settled")</f>
        <v/>
      </c>
      <c r="G4" s="6">
        <f>IF(COUNTIFS('Picks'!$U$2:$U$30,"settled",'Picks'!$V$2:$V$30,"win")+COUNTIFS('Picks'!$U$2:$U$30,"settled",'Picks'!$V$2:$V$30,"loss")&gt;=$L$2,"Ready","Insufficient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COUNTIF('Picks'!$BX$2:$BX$30,"&gt;0")</f>
        <v/>
      </c>
      <c r="C7" s="6">
        <f>COUNTIFS('Picks'!$BX$2:$BX$30,"&gt;0",'Picks'!$V$2:$V$30,"win")&amp;"-"&amp;COUNTIFS('Picks'!$BX$2:$BX$30,"&gt;0",'Picks'!$V$2:$V$30,"loss")</f>
        <v/>
      </c>
      <c r="E7" s="7">
        <f>IFERROR(COUNTIFS('Picks'!$BX$2:$BX$30,"&gt;0",'Picks'!$V$2:$V$30,"win")/(COUNTIFS('Picks'!$BX$2:$BX$30,"&gt;0",'Picks'!$V$2:$V$30,"win")+COUNTIFS('Picks'!$BX$2:$BX$30,"&gt;0",'Picks'!$V$2:$V$30,"loss")),0)</f>
        <v/>
      </c>
      <c r="G7" s="7">
        <f>IFERROR(SUM('Picks'!$BY$2:$BY$30)/SUM('Picks'!$BX$2:$BX$30),0)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SUM('Picks'!$BY$2:$BY$30)</f>
        <v/>
      </c>
      <c r="C10" s="9">
        <f>IFERROR(AVERAGEIF('Picks'!$AB$2:$AB$30,"&lt;&gt;",'Picks'!$AB$2:$AB$30),0)</f>
        <v/>
      </c>
      <c r="E10" s="6">
        <f>COUNTIFS('Picks'!$AM$2:$AM$30,"QUALIFIED_SHADOW_CALL",'Picks'!$U$2:$U$30,"settled")</f>
        <v/>
      </c>
      <c r="G10" s="8">
        <f>SUMIFS('Picks'!$AC$2:$AC$30,'Picks'!$AM$2:$AM$30,"QUALIFIED_SHADOW_CALL")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COUNTIFS('Picks'!$H$2:$H$30,$A14,'Picks'!$U$2:$U$30,"settled")</f>
        <v/>
      </c>
      <c r="C14" s="13">
        <f>COUNTIFS('Picks'!$H$2:$H$30,$A14,'Picks'!$U$2:$U$30,"settled",'Picks'!$V$2:$V$30,"win")</f>
        <v/>
      </c>
      <c r="D14" s="13">
        <f>COUNTIFS('Picks'!$H$2:$H$30,$A14,'Picks'!$U$2:$U$30,"settled",'Picks'!$V$2:$V$30,"loss")</f>
        <v/>
      </c>
      <c r="E14" s="14">
        <f>IFERROR(C14/(C14+D14),0)</f>
        <v/>
      </c>
      <c r="F14" s="15">
        <f>SUMIFS('Picks'!$BY$2:$BY$30,'Picks'!$H$2:$H$30,$A14)</f>
        <v/>
      </c>
      <c r="G14" s="16">
        <f>IFERROR(AVERAGEIFS('Picks'!$AB$2:$AB$30,'Picks'!$H$2:$H$30,$A14,'Picks'!$U$2:$U$30,"settled"),0)</f>
        <v/>
      </c>
    </row>
    <row r="15">
      <c r="A15" s="17" t="inlineStr">
        <is>
          <t>spread</t>
        </is>
      </c>
      <c r="B15" s="18">
        <f>COUNTIFS('Picks'!$H$2:$H$30,$A15,'Picks'!$U$2:$U$30,"settled")</f>
        <v/>
      </c>
      <c r="C15" s="18">
        <f>COUNTIFS('Picks'!$H$2:$H$30,$A15,'Picks'!$U$2:$U$30,"settled",'Picks'!$V$2:$V$30,"win")</f>
        <v/>
      </c>
      <c r="D15" s="18">
        <f>COUNTIFS('Picks'!$H$2:$H$30,$A15,'Picks'!$U$2:$U$30,"settled",'Picks'!$V$2:$V$30,"loss")</f>
        <v/>
      </c>
      <c r="E15" s="19">
        <f>IFERROR(C15/(C15+D15),0)</f>
        <v/>
      </c>
      <c r="F15" s="20">
        <f>SUMIFS('Picks'!$BY$2:$BY$30,'Picks'!$H$2:$H$30,$A15)</f>
        <v/>
      </c>
      <c r="G15" s="21">
        <f>IFERROR(AVERAGEIFS('Picks'!$AB$2:$AB$30,'Picks'!$H$2:$H$30,$A15,'Picks'!$U$2:$U$30,"settled"),0)</f>
        <v/>
      </c>
    </row>
    <row r="16">
      <c r="A16" s="12" t="inlineStr">
        <is>
          <t>total</t>
        </is>
      </c>
      <c r="B16" s="13">
        <f>COUNTIFS('Picks'!$H$2:$H$30,$A16,'Picks'!$U$2:$U$30,"settled")</f>
        <v/>
      </c>
      <c r="C16" s="13">
        <f>COUNTIFS('Picks'!$H$2:$H$30,$A16,'Picks'!$U$2:$U$30,"settled",'Picks'!$V$2:$V$30,"win")</f>
        <v/>
      </c>
      <c r="D16" s="13">
        <f>COUNTIFS('Picks'!$H$2:$H$30,$A16,'Picks'!$U$2:$U$30,"settled",'Picks'!$V$2:$V$30,"loss")</f>
        <v/>
      </c>
      <c r="E16" s="14">
        <f>IFERROR(C16/(C16+D16),0)</f>
        <v/>
      </c>
      <c r="F16" s="15">
        <f>SUMIFS('Picks'!$BY$2:$BY$30,'Picks'!$H$2:$H$30,$A16)</f>
        <v/>
      </c>
      <c r="G16" s="16">
        <f>IFERROR(AVERAGEIFS('Picks'!$AB$2:$AB$30,'Picks'!$H$2:$H$30,$A16,'Picks'!$U$2:$U$30,"settled"),0)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0.7874</v>
      </c>
      <c r="AD10" s="24" t="inlineStr">
        <is>
          <t>2026-08-02T23:13:22.740323Z</t>
        </is>
      </c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97e1abd6e51442d7</t>
        </is>
      </c>
      <c r="B11" s="24" t="inlineStr">
        <is>
          <t>2026-08-02T19:32:17.298754Z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0.518775</v>
      </c>
      <c r="P11" s="28" t="n"/>
      <c r="Q11" s="28" t="n">
        <v>0.108939</v>
      </c>
      <c r="R11" s="26" t="n">
        <v>74</v>
      </c>
      <c r="S11" s="29" t="n">
        <v>1</v>
      </c>
      <c r="T11" s="24" t="inlineStr">
        <is>
          <t>valorant-tiered-elo-v5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144</v>
      </c>
      <c r="AA11" s="28" t="n">
        <v>0.41</v>
      </c>
      <c r="AB11" s="28" t="n">
        <v>0.000164</v>
      </c>
      <c r="AC11" s="30" t="n">
        <v>1.44</v>
      </c>
      <c r="AD11" s="24" t="inlineStr">
        <is>
          <t>2026-08-02T23:13:23.977752Z</t>
        </is>
      </c>
      <c r="AE11" s="31" t="inlineStr">
        <is>
          <t>Neutral Elo baseline; executable ask 0.4100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c4c53479d60e7fd116280c4ec0788bb856af372afb2da0dd70796fd41ac0b643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c4c53479d60e7fd116280c4ec0788bb856af372afb2da0dd70796fd41ac0b643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2026-08-02T19:32:11.428763Z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>
        <v>2.44</v>
      </c>
      <c r="BR11" s="28" t="n">
        <v>0.41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f523171e5677438d</t>
        </is>
      </c>
      <c r="B12" s="24" t="inlineStr">
        <is>
          <t>2026-08-02T23:17:28.942888Z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0.626789</v>
      </c>
      <c r="P12" s="28" t="n"/>
      <c r="Q12" s="28" t="n">
        <v>-0.002841</v>
      </c>
      <c r="R12" s="26" t="n">
        <v>19</v>
      </c>
      <c r="S12" s="29" t="n">
        <v>1.5</v>
      </c>
      <c r="T12" s="24" t="inlineStr">
        <is>
          <t>valorant-tiered-elo-v5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-223</v>
      </c>
      <c r="AA12" s="28" t="n">
        <v>0.6899999999999999</v>
      </c>
      <c r="AB12" s="28" t="n">
        <v>0.06037</v>
      </c>
      <c r="AC12" s="30" t="n">
        <v>0.8824</v>
      </c>
      <c r="AD12" s="24" t="inlineStr">
        <is>
          <t>2026-08-03T02:34:46.902850Z</t>
        </is>
      </c>
      <c r="AE12" s="31" t="inlineStr">
        <is>
          <t>Neutral Elo baseline; executable ask 0.6300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b8ad95e67a1d231f7c1456f640a0121faebeb1a345256cde26610e3b0d16a846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b8ad95e67a1d231f7c1456f640a0121faebeb1a345256cde26610e3b0d16a846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2026-08-02T23:17:23.058724Z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>
        <v>1.44843</v>
      </c>
      <c r="BR12" s="28" t="n">
        <v>0.6899999999999999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e166706ca9c144b5</t>
        </is>
      </c>
      <c r="B13" s="24" t="inlineStr">
        <is>
          <t>2026-08-03T13:30:41.417037Z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0.765423</v>
      </c>
      <c r="P13" s="28" t="n"/>
      <c r="Q13" s="28" t="n">
        <v>0.145651</v>
      </c>
      <c r="R13" s="26" t="n">
        <v>93</v>
      </c>
      <c r="S13" s="29" t="n">
        <v>2</v>
      </c>
      <c r="T13" s="24" t="inlineStr">
        <is>
          <t>valorant-tiered-elo-v5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-163</v>
      </c>
      <c r="AA13" s="28" t="n">
        <v>0.62</v>
      </c>
      <c r="AB13" s="28" t="n">
        <v>0.000228</v>
      </c>
      <c r="AC13" s="30" t="n">
        <v>-2</v>
      </c>
      <c r="AD13" s="24" t="inlineStr">
        <is>
          <t>2026-08-03T17:06:03.000740Z</t>
        </is>
      </c>
      <c r="AE13" s="31" t="inlineStr">
        <is>
          <t>Neutral Elo baseline; executable ask 0.6200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afe2fffd3c666e0d8f9040dcc6dedae587629fd14dee7043c87557d9d9d9e6e5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afe2fffd3c666e0d8f9040dcc6dedae587629fd14dee7043c87557d9d9d9e6e5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2026-08-03T13:30:33.637118Z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b89e1f0fd9dc49c5</t>
        </is>
      </c>
      <c r="B14" s="24" t="inlineStr">
        <is>
          <t>2026-08-03T17:08:47.849402Z</t>
        </is>
      </c>
      <c r="C14" s="24" t="inlineStr">
        <is>
          <t>2026-08-03T18:00:00Z</t>
        </is>
      </c>
      <c r="D14" s="24" t="inlineStr">
        <is>
          <t>67658</t>
        </is>
      </c>
      <c r="E14" s="24" t="inlineStr">
        <is>
          <t>VALORANT</t>
        </is>
      </c>
      <c r="F14" s="24" t="inlineStr">
        <is>
          <t>Barça eSports GC</t>
        </is>
      </c>
      <c r="G14" s="24" t="inlineStr">
        <is>
          <t>Twisted Minds Orchid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0.6925519999999999</v>
      </c>
      <c r="P14" s="28" t="n"/>
      <c r="Q14" s="28" t="n">
        <v>0.00215</v>
      </c>
      <c r="R14" s="26" t="n">
        <v>21</v>
      </c>
      <c r="S14" s="29" t="n">
        <v>2</v>
      </c>
      <c r="T14" s="24" t="inlineStr">
        <is>
          <t>valorant-tiered-elo-v5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-223</v>
      </c>
      <c r="AA14" s="28" t="n">
        <v>0.6899999999999999</v>
      </c>
      <c r="AB14" s="28" t="n">
        <v>-0.000402</v>
      </c>
      <c r="AC14" s="30" t="n">
        <v>0.8969</v>
      </c>
      <c r="AD14" s="24" t="inlineStr">
        <is>
          <t>2026-08-03T19:52:13.667573Z</t>
        </is>
      </c>
      <c r="AE14" s="31" t="inlineStr">
        <is>
          <t>Neutral Elo baseline; executable ask 0.6900 (market_slug=aec-valorant-tmo-beg-2026-08-03).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Barça eSports GC</t>
        </is>
      </c>
      <c r="AQ14" s="24" t="inlineStr">
        <is>
          <t>Barça eSports GC</t>
        </is>
      </c>
      <c r="AR14" s="24" t="inlineStr">
        <is>
          <t>Barça eSports GC</t>
        </is>
      </c>
      <c r="AS14" s="24" t="inlineStr">
        <is>
          <t>Twisted Minds Orchid</t>
        </is>
      </c>
      <c r="AT14" s="24" t="inlineStr">
        <is>
          <t>Twisted Minds Orchid</t>
        </is>
      </c>
      <c r="AU14" s="24" t="inlineStr">
        <is>
          <t>Twisted Minds Orchid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6f1a88c65511fda132cb3c464f9d3012c11a7503cf913396060b5b8c9adc5f1b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6f1a88c65511fda132cb3c464f9d3012c11a7503cf913396060b5b8c9adc5f1b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2026-08-03T17:08:42.423289Z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>
        <v>1.44843</v>
      </c>
      <c r="BR14" s="28" t="n">
        <v>0.6899999999999999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fb160713f7af45d2</t>
        </is>
      </c>
      <c r="B15" s="24" t="inlineStr">
        <is>
          <t>2026-08-03T19:54:50.877637Z</t>
        </is>
      </c>
      <c r="C15" s="24" t="inlineStr">
        <is>
          <t>2026-08-03T21:00:00Z</t>
        </is>
      </c>
      <c r="D15" s="24" t="inlineStr">
        <is>
          <t>67987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HIMMERS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108</v>
      </c>
      <c r="M15" s="27" t="n">
        <v>2.08</v>
      </c>
      <c r="N15" s="28" t="n">
        <v>0.480769</v>
      </c>
      <c r="O15" s="28" t="n">
        <v>0.521748</v>
      </c>
      <c r="P15" s="28" t="n"/>
      <c r="Q15" s="28" t="n">
        <v>0.040979</v>
      </c>
      <c r="R15" s="26" t="n">
        <v>40</v>
      </c>
      <c r="S15" s="29" t="n">
        <v>1</v>
      </c>
      <c r="T15" s="24" t="inlineStr">
        <is>
          <t>valorant-tiered-elo-v5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108</v>
      </c>
      <c r="AA15" s="28" t="n">
        <v>0.48</v>
      </c>
      <c r="AB15" s="28" t="n">
        <v>-0.000769</v>
      </c>
      <c r="AC15" s="30" t="n">
        <v>1.08</v>
      </c>
      <c r="AD15" s="24" t="inlineStr">
        <is>
          <t>2026-08-04T01:58:53.450701Z</t>
        </is>
      </c>
      <c r="AE15" s="31" t="inlineStr">
        <is>
          <t>Neutral Elo baseline; executable ask 0.4800 (market_slug=aec-valorant-him-spi-2026-08-03).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HIMMERS</t>
        </is>
      </c>
      <c r="AT15" s="24" t="inlineStr">
        <is>
          <t>HIMMERS</t>
        </is>
      </c>
      <c r="AU15" s="24" t="inlineStr">
        <is>
          <t>HIMMERS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b86d10213574fcb4e774a613f40c4fb8692dc4e3a085fafa8fe32b85c8b1f80d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b86d10213574fcb4e774a613f40c4fb8692dc4e3a085fafa8fe32b85c8b1f80d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2026-08-03T19:54:45.430222Z</t>
        </is>
      </c>
      <c r="BI15" s="24" t="inlineStr">
        <is>
          <t>["same_event","same_team_same_day","same_league_same_day"]</t>
        </is>
      </c>
      <c r="BJ15" s="25" t="n"/>
      <c r="BK15" s="26" t="n">
        <v>108</v>
      </c>
      <c r="BL15" s="27" t="n">
        <v>2.08</v>
      </c>
      <c r="BM15" s="28" t="n">
        <v>0.480769</v>
      </c>
      <c r="BN15" s="28" t="n"/>
      <c r="BO15" s="28" t="n"/>
      <c r="BP15" s="25" t="n"/>
      <c r="BQ15" s="27" t="n">
        <v>2.08</v>
      </c>
      <c r="BR15" s="28" t="n">
        <v>0.48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159e11ed91d64bf9</t>
        </is>
      </c>
      <c r="B16" s="24" t="inlineStr">
        <is>
          <t>2026-08-03T22:57:52.421939Z</t>
        </is>
      </c>
      <c r="C16" s="24" t="inlineStr">
        <is>
          <t>2026-08-03T23:30:00Z</t>
        </is>
      </c>
      <c r="D16" s="24" t="inlineStr">
        <is>
          <t>68094</t>
        </is>
      </c>
      <c r="E16" s="24" t="inlineStr">
        <is>
          <t>VALORANT</t>
        </is>
      </c>
      <c r="F16" s="24" t="inlineStr">
        <is>
          <t>SaD GC</t>
        </is>
      </c>
      <c r="G16" s="24" t="inlineStr">
        <is>
          <t>Los Chudeles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0.504194</v>
      </c>
      <c r="P16" s="28" t="n"/>
      <c r="Q16" s="28" t="n">
        <v>0.013998</v>
      </c>
      <c r="R16" s="26" t="n">
        <v>27</v>
      </c>
      <c r="S16" s="29" t="n">
        <v>1</v>
      </c>
      <c r="T16" s="24" t="inlineStr">
        <is>
          <t>valorant-tiered-elo-v5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104</v>
      </c>
      <c r="AA16" s="28" t="n">
        <v>0.49</v>
      </c>
      <c r="AB16" s="28" t="n">
        <v>-0.000196</v>
      </c>
      <c r="AC16" s="30" t="n">
        <v>-1</v>
      </c>
      <c r="AD16" s="24" t="inlineStr">
        <is>
          <t>2026-08-04T03:58:20.298471Z</t>
        </is>
      </c>
      <c r="AE16" s="31" t="inlineStr">
        <is>
          <t>Neutral Elo baseline; executable ask 0.4900 (market_slug=aec-valorant-lcd-sga-2026-08-03).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SaD GC</t>
        </is>
      </c>
      <c r="AQ16" s="24" t="inlineStr">
        <is>
          <t>SaD GC</t>
        </is>
      </c>
      <c r="AR16" s="24" t="inlineStr">
        <is>
          <t>SaD GC</t>
        </is>
      </c>
      <c r="AS16" s="24" t="inlineStr">
        <is>
          <t>Los Chudeles</t>
        </is>
      </c>
      <c r="AT16" s="24" t="inlineStr">
        <is>
          <t>Los Chudeles</t>
        </is>
      </c>
      <c r="AU16" s="24" t="inlineStr">
        <is>
          <t>Los Chudeles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fd8b674cd95f5267545eeaa19ed09838dffe6e7f1115e6ac52a5152ecb6ed1bc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fd8b674cd95f5267545eeaa19ed09838dffe6e7f1115e6ac52a5152ecb6ed1bc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2026-08-03T22:57:48.462085Z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>
        <v>2.04</v>
      </c>
      <c r="BR16" s="28" t="n">
        <v>0.49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676ecadd2637400b</t>
        </is>
      </c>
      <c r="B17" s="24" t="inlineStr">
        <is>
          <t>2026-08-03T22:57:52.421939Z</t>
        </is>
      </c>
      <c r="C17" s="24" t="inlineStr">
        <is>
          <t>2026-08-03T23:30:00Z</t>
        </is>
      </c>
      <c r="D17" s="24" t="inlineStr">
        <is>
          <t>68095</t>
        </is>
      </c>
      <c r="E17" s="24" t="inlineStr">
        <is>
          <t>VALORANT</t>
        </is>
      </c>
      <c r="F17" s="24" t="inlineStr">
        <is>
          <t>MVSK Secret</t>
        </is>
      </c>
      <c r="G17" s="24" t="inlineStr">
        <is>
          <t>ROSO GC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163</v>
      </c>
      <c r="M17" s="27" t="n">
        <v>2.63</v>
      </c>
      <c r="N17" s="28" t="n">
        <v>0.380228</v>
      </c>
      <c r="O17" s="28" t="n">
        <v>0.521277</v>
      </c>
      <c r="P17" s="28" t="n"/>
      <c r="Q17" s="28" t="n">
        <v>0.141049</v>
      </c>
      <c r="R17" s="26" t="n">
        <v>91</v>
      </c>
      <c r="S17" s="29" t="n">
        <v>1</v>
      </c>
      <c r="T17" s="24" t="inlineStr">
        <is>
          <t>valorant-tiered-elo-v5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163</v>
      </c>
      <c r="AA17" s="28" t="n">
        <v>0.38</v>
      </c>
      <c r="AB17" s="28" t="n">
        <v>-0.000228</v>
      </c>
      <c r="AC17" s="30" t="n">
        <v>-1</v>
      </c>
      <c r="AD17" s="24" t="inlineStr">
        <is>
          <t>2026-08-04T01:58:55.904940Z</t>
        </is>
      </c>
      <c r="AE17" s="31" t="inlineStr">
        <is>
          <t>Neutral Elo baseline; executable ask 0.3800 (market_slug=aec-valorant-roso-mvs-2026-08-03).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MVSK Secret</t>
        </is>
      </c>
      <c r="AQ17" s="24" t="inlineStr">
        <is>
          <t>MVSK Secret</t>
        </is>
      </c>
      <c r="AR17" s="24" t="inlineStr">
        <is>
          <t>MVSK Secret</t>
        </is>
      </c>
      <c r="AS17" s="24" t="inlineStr">
        <is>
          <t>ROSO GC</t>
        </is>
      </c>
      <c r="AT17" s="24" t="inlineStr">
        <is>
          <t>ROSO GC</t>
        </is>
      </c>
      <c r="AU17" s="24" t="inlineStr">
        <is>
          <t>ROSO GC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fd8b674cd95f5267545eeaa19ed09838dffe6e7f1115e6ac52a5152ecb6ed1bc</t>
        </is>
      </c>
      <c r="BB17" s="24" t="inlineStr">
        <is>
          <t>neutral_elo</t>
        </is>
      </c>
      <c r="BC17" s="24" t="inlineStr">
        <is>
          <t>valorant-tiered-elo-v5</t>
        </is>
      </c>
      <c r="BD17" s="24" t="inlineStr">
        <is>
          <t>fd8b674cd95f5267545eeaa19ed09838dffe6e7f1115e6ac52a5152ecb6ed1bc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valorant-tiered-elo-v5</t>
        </is>
      </c>
      <c r="BH17" s="24" t="inlineStr">
        <is>
          <t>2026-08-03T22:57:49.075256Z</t>
        </is>
      </c>
      <c r="BI17" s="24" t="inlineStr">
        <is>
          <t>["same_event","same_team_same_day","same_league_same_day"]</t>
        </is>
      </c>
      <c r="BJ17" s="25" t="n"/>
      <c r="BK17" s="26" t="n">
        <v>163</v>
      </c>
      <c r="BL17" s="27" t="n">
        <v>2.63</v>
      </c>
      <c r="BM17" s="28" t="n">
        <v>0.380228</v>
      </c>
      <c r="BN17" s="28" t="n"/>
      <c r="BO17" s="28" t="n"/>
      <c r="BP17" s="25" t="n"/>
      <c r="BQ17" s="27" t="n">
        <v>2.63</v>
      </c>
      <c r="BR17" s="28" t="n">
        <v>0.38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746b3eb463074b2d</t>
        </is>
      </c>
      <c r="B18" s="24" t="inlineStr">
        <is>
          <t>2026-08-03T22:57:52.421939Z</t>
        </is>
      </c>
      <c r="C18" s="24" t="inlineStr">
        <is>
          <t>2026-08-03T23:30:00Z</t>
        </is>
      </c>
      <c r="D18" s="24" t="inlineStr">
        <is>
          <t>68096</t>
        </is>
      </c>
      <c r="E18" s="24" t="inlineStr">
        <is>
          <t>VALORANT</t>
        </is>
      </c>
      <c r="F18" s="24" t="inlineStr">
        <is>
          <t>:3</t>
        </is>
      </c>
      <c r="G18" s="24" t="inlineStr">
        <is>
          <t>Cloud9 GC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-223</v>
      </c>
      <c r="M18" s="27" t="n">
        <v>1.44843</v>
      </c>
      <c r="N18" s="28" t="n">
        <v>0.690402</v>
      </c>
      <c r="O18" s="28" t="n">
        <v>0.527317</v>
      </c>
      <c r="P18" s="28" t="n"/>
      <c r="Q18" s="28" t="n">
        <v>-0.163085</v>
      </c>
      <c r="R18" s="26" t="n">
        <v>0</v>
      </c>
      <c r="S18" s="29" t="n">
        <v>1</v>
      </c>
      <c r="T18" s="24" t="inlineStr">
        <is>
          <t>valorant-tiered-elo-v5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-223</v>
      </c>
      <c r="AA18" s="28" t="n">
        <v>0.6899999999999999</v>
      </c>
      <c r="AB18" s="28" t="n">
        <v>-0.000402</v>
      </c>
      <c r="AC18" s="30" t="n">
        <v>-1</v>
      </c>
      <c r="AD18" s="24" t="inlineStr">
        <is>
          <t>2026-08-04T01:58:57.182367Z</t>
        </is>
      </c>
      <c r="AE18" s="31" t="inlineStr">
        <is>
          <t>Neutral Elo baseline; executable ask 0.6900 (market_slug=aec-valorant-c9gc-meow-2026-08-03).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:3</t>
        </is>
      </c>
      <c r="AQ18" s="24" t="inlineStr">
        <is>
          <t>:3</t>
        </is>
      </c>
      <c r="AR18" s="24" t="inlineStr">
        <is>
          <t>:3</t>
        </is>
      </c>
      <c r="AS18" s="24" t="inlineStr">
        <is>
          <t>Cloud9 GC</t>
        </is>
      </c>
      <c r="AT18" s="24" t="inlineStr">
        <is>
          <t>Cloud9 GC</t>
        </is>
      </c>
      <c r="AU18" s="24" t="inlineStr">
        <is>
          <t>Cloud9 GC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fd8b674cd95f5267545eeaa19ed09838dffe6e7f1115e6ac52a5152ecb6ed1bc</t>
        </is>
      </c>
      <c r="BB18" s="24" t="inlineStr">
        <is>
          <t>neutral_elo</t>
        </is>
      </c>
      <c r="BC18" s="24" t="inlineStr">
        <is>
          <t>valorant-tiered-elo-v5</t>
        </is>
      </c>
      <c r="BD18" s="24" t="inlineStr">
        <is>
          <t>fd8b674cd95f5267545eeaa19ed09838dffe6e7f1115e6ac52a5152ecb6ed1bc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valorant-tiered-elo-v5</t>
        </is>
      </c>
      <c r="BH18" s="24" t="inlineStr">
        <is>
          <t>2026-08-03T22:57:49.589365Z</t>
        </is>
      </c>
      <c r="BI18" s="24" t="inlineStr">
        <is>
          <t>["same_event","same_team_same_day","same_league_same_day"]</t>
        </is>
      </c>
      <c r="BJ18" s="25" t="n"/>
      <c r="BK18" s="26" t="n">
        <v>-223</v>
      </c>
      <c r="BL18" s="27" t="n">
        <v>1.44843</v>
      </c>
      <c r="BM18" s="28" t="n">
        <v>0.690402</v>
      </c>
      <c r="BN18" s="28" t="n"/>
      <c r="BO18" s="28" t="n"/>
      <c r="BP18" s="25" t="n"/>
      <c r="BQ18" s="27" t="n">
        <v>1.44843</v>
      </c>
      <c r="BR18" s="28" t="n">
        <v>0.6899999999999999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1879dec1a9044fcf</t>
        </is>
      </c>
      <c r="B19" s="24" t="inlineStr">
        <is>
          <t>2026-08-03T22:57:52.421939Z</t>
        </is>
      </c>
      <c r="C19" s="24" t="inlineStr">
        <is>
          <t>2026-08-03T23:30:00Z</t>
        </is>
      </c>
      <c r="D19" s="24" t="inlineStr">
        <is>
          <t>68097</t>
        </is>
      </c>
      <c r="E19" s="24" t="inlineStr">
        <is>
          <t>VALORANT</t>
        </is>
      </c>
      <c r="F19" s="24" t="inlineStr">
        <is>
          <t>Revitalize GC</t>
        </is>
      </c>
      <c r="G19" s="24" t="inlineStr">
        <is>
          <t>Eternal Focus Amethyst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-150</v>
      </c>
      <c r="M19" s="27" t="n">
        <v>1.666667</v>
      </c>
      <c r="N19" s="28" t="n">
        <v>0.6</v>
      </c>
      <c r="O19" s="28" t="n">
        <v>0.5614749999999999</v>
      </c>
      <c r="P19" s="28" t="n"/>
      <c r="Q19" s="28" t="n">
        <v>-0.038525</v>
      </c>
      <c r="R19" s="26" t="n">
        <v>1</v>
      </c>
      <c r="S19" s="29" t="n">
        <v>1</v>
      </c>
      <c r="T19" s="24" t="inlineStr">
        <is>
          <t>valorant-tiered-elo-v5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-150</v>
      </c>
      <c r="AA19" s="28" t="n">
        <v>0.6</v>
      </c>
      <c r="AB19" s="28" t="n">
        <v>0</v>
      </c>
      <c r="AC19" s="30" t="n">
        <v>0.6667</v>
      </c>
      <c r="AD19" s="24" t="inlineStr">
        <is>
          <t>2026-08-04T01:58:58.496591Z</t>
        </is>
      </c>
      <c r="AE19" s="31" t="inlineStr">
        <is>
          <t>Neutral Elo baseline; executable ask 0.6000 (market_slug=aec-valorant-efa-rev-2026-08-03).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Revitalize GC</t>
        </is>
      </c>
      <c r="AQ19" s="24" t="inlineStr">
        <is>
          <t>Revitalize GC</t>
        </is>
      </c>
      <c r="AR19" s="24" t="inlineStr">
        <is>
          <t>Revitalize GC</t>
        </is>
      </c>
      <c r="AS19" s="24" t="inlineStr">
        <is>
          <t>Eternal Focus Amethyst</t>
        </is>
      </c>
      <c r="AT19" s="24" t="inlineStr">
        <is>
          <t>Eternal Focus Amethyst</t>
        </is>
      </c>
      <c r="AU19" s="24" t="inlineStr">
        <is>
          <t>Eternal Focus Amethyst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fd8b674cd95f5267545eeaa19ed09838dffe6e7f1115e6ac52a5152ecb6ed1bc</t>
        </is>
      </c>
      <c r="BB19" s="24" t="inlineStr">
        <is>
          <t>neutral_elo</t>
        </is>
      </c>
      <c r="BC19" s="24" t="inlineStr">
        <is>
          <t>valorant-tiered-elo-v5</t>
        </is>
      </c>
      <c r="BD19" s="24" t="inlineStr">
        <is>
          <t>fd8b674cd95f5267545eeaa19ed09838dffe6e7f1115e6ac52a5152ecb6ed1bc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valorant-tiered-elo-v5</t>
        </is>
      </c>
      <c r="BH19" s="24" t="inlineStr">
        <is>
          <t>2026-08-03T22:57:50.125387Z</t>
        </is>
      </c>
      <c r="BI19" s="24" t="inlineStr">
        <is>
          <t>["same_event","same_team_same_day","same_league_same_day"]</t>
        </is>
      </c>
      <c r="BJ19" s="25" t="n"/>
      <c r="BK19" s="26" t="n">
        <v>-150</v>
      </c>
      <c r="BL19" s="27" t="n">
        <v>1.666667</v>
      </c>
      <c r="BM19" s="28" t="n">
        <v>0.6</v>
      </c>
      <c r="BN19" s="28" t="n"/>
      <c r="BO19" s="28" t="n"/>
      <c r="BP19" s="25" t="n"/>
      <c r="BQ19" s="27" t="n">
        <v>1.666667</v>
      </c>
      <c r="BR19" s="28" t="n">
        <v>0.6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2672734d84af40ec</t>
        </is>
      </c>
      <c r="B20" s="24" t="inlineStr">
        <is>
          <t>2026-08-04T14:26:45.561526Z</t>
        </is>
      </c>
      <c r="C20" s="24" t="inlineStr">
        <is>
          <t>2026-08-04T15:00:00Z</t>
        </is>
      </c>
      <c r="D20" s="24" t="inlineStr">
        <is>
          <t>68481</t>
        </is>
      </c>
      <c r="E20" s="24" t="inlineStr">
        <is>
          <t>VALORANT</t>
        </is>
      </c>
      <c r="F20" s="24" t="inlineStr">
        <is>
          <t>FOKUS Sakura</t>
        </is>
      </c>
      <c r="G20" s="24" t="inlineStr">
        <is>
          <t>Karmine Corp GC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0.528265</v>
      </c>
      <c r="P20" s="28" t="n"/>
      <c r="Q20" s="28" t="n">
        <v>0.178615</v>
      </c>
      <c r="R20" s="26" t="n">
        <v>100</v>
      </c>
      <c r="S20" s="29" t="n">
        <v>1</v>
      </c>
      <c r="T20" s="24" t="inlineStr">
        <is>
          <t>valorant-tiered-elo-v5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186</v>
      </c>
      <c r="AA20" s="28" t="n">
        <v>0.35</v>
      </c>
      <c r="AB20" s="28" t="n">
        <v>0.00035</v>
      </c>
      <c r="AC20" s="30" t="n">
        <v>-1</v>
      </c>
      <c r="AD20" s="24" t="inlineStr">
        <is>
          <t>2026-08-04T18:04:46.006926Z</t>
        </is>
      </c>
      <c r="AE20" s="31" t="inlineStr">
        <is>
          <t>Neutral Elo baseline; executable ask 0.3500 (market_slug=aec-valorant-kcg-fso-2026-08-04).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FOKUS Sakura</t>
        </is>
      </c>
      <c r="AQ20" s="24" t="inlineStr">
        <is>
          <t>FOKUS Sakura</t>
        </is>
      </c>
      <c r="AR20" s="24" t="inlineStr">
        <is>
          <t>FOKUS Sakura</t>
        </is>
      </c>
      <c r="AS20" s="24" t="inlineStr">
        <is>
          <t>Karmine Corp GC</t>
        </is>
      </c>
      <c r="AT20" s="24" t="inlineStr">
        <is>
          <t>Karmine Corp GC</t>
        </is>
      </c>
      <c r="AU20" s="24" t="inlineStr">
        <is>
          <t>Karmine Corp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c8143bea9617c85b46e357e7a1261b7a10902182c05435f79ef9726aa3473977</t>
        </is>
      </c>
      <c r="BB20" s="24" t="inlineStr">
        <is>
          <t>neutral_elo</t>
        </is>
      </c>
      <c r="BC20" s="24" t="inlineStr">
        <is>
          <t>valorant-tiered-elo-v5</t>
        </is>
      </c>
      <c r="BD20" s="24" t="inlineStr">
        <is>
          <t>c8143bea9617c85b46e357e7a1261b7a10902182c05435f79ef9726aa3473977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valorant-tiered-elo-v5</t>
        </is>
      </c>
      <c r="BH20" s="24" t="inlineStr">
        <is>
          <t>2026-08-04T14:26:40.372782Z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2.86</v>
      </c>
      <c r="BR20" s="28" t="n">
        <v>0.35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4d7c5dd938d94f4c</t>
        </is>
      </c>
      <c r="B21" s="24" t="inlineStr">
        <is>
          <t>2026-08-04T16:54:18.134287Z</t>
        </is>
      </c>
      <c r="C21" s="24" t="inlineStr">
        <is>
          <t>2026-08-04T18:00:00Z</t>
        </is>
      </c>
      <c r="D21" s="24" t="inlineStr">
        <is>
          <t>68698</t>
        </is>
      </c>
      <c r="E21" s="24" t="inlineStr">
        <is>
          <t>VALORANT</t>
        </is>
      </c>
      <c r="F21" s="24" t="inlineStr">
        <is>
          <t>Twisted Minds Orchid</t>
        </is>
      </c>
      <c r="G21" s="24" t="inlineStr">
        <is>
          <t>SK Nebula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0.64657</v>
      </c>
      <c r="P21" s="28" t="n"/>
      <c r="Q21" s="28" t="n">
        <v>0.026798</v>
      </c>
      <c r="R21" s="26" t="n">
        <v>33</v>
      </c>
      <c r="S21" s="29" t="n">
        <v>1.75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-170</v>
      </c>
      <c r="AA21" s="28" t="n">
        <v>0.63</v>
      </c>
      <c r="AB21" s="28" t="n">
        <v>0.010228</v>
      </c>
      <c r="AC21" s="30" t="n">
        <v>-1.75</v>
      </c>
      <c r="AD21" s="24" t="inlineStr">
        <is>
          <t>2026-08-04T21:59:59.083380Z</t>
        </is>
      </c>
      <c r="AE21" s="31" t="inlineStr">
        <is>
          <t>Neutral Elo baseline; executable ask 0.6200 (market_slug=aec-valorant-skn-tmo-2026-08-04).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Twisted Minds Orchid</t>
        </is>
      </c>
      <c r="AQ21" s="24" t="inlineStr">
        <is>
          <t>Twisted Minds Orchid</t>
        </is>
      </c>
      <c r="AR21" s="24" t="inlineStr">
        <is>
          <t>Twisted Minds Orchid</t>
        </is>
      </c>
      <c r="AS21" s="24" t="inlineStr">
        <is>
          <t>SK Nebula</t>
        </is>
      </c>
      <c r="AT21" s="24" t="inlineStr">
        <is>
          <t>SK Nebula</t>
        </is>
      </c>
      <c r="AU21" s="24" t="inlineStr">
        <is>
          <t>SK Nebula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2a3a3c0d919df15db76d78df508a996bd8f684ec881c5b644b1e53da56868427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2a3a3c0d919df15db76d78df508a996bd8f684ec881c5b644b1e53da56868427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2026-08-04T16:54:14.515679Z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>
        <v>1.588235</v>
      </c>
      <c r="BR21" s="28" t="n">
        <v>0.63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d2e458490c0d44e1</t>
        </is>
      </c>
      <c r="B22" s="24" t="inlineStr">
        <is>
          <t>2026-08-05T04:38:20.842798Z</t>
        </is>
      </c>
      <c r="C22" s="24" t="inlineStr">
        <is>
          <t>2026-08-05T10:00:00Z</t>
        </is>
      </c>
      <c r="D22" s="24" t="inlineStr">
        <is>
          <t>69540</t>
        </is>
      </c>
      <c r="E22" s="24" t="inlineStr">
        <is>
          <t>VALORANT</t>
        </is>
      </c>
      <c r="F22" s="24" t="inlineStr">
        <is>
          <t>KeepBest Gaming</t>
        </is>
      </c>
      <c r="G22" s="24" t="inlineStr">
        <is>
          <t>TEC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122</v>
      </c>
      <c r="M22" s="27" t="n">
        <v>2.22</v>
      </c>
      <c r="N22" s="28" t="n">
        <v>0.45045</v>
      </c>
      <c r="O22" s="28" t="n">
        <v>0.575198</v>
      </c>
      <c r="P22" s="28" t="n"/>
      <c r="Q22" s="28" t="n">
        <v>0.124748</v>
      </c>
      <c r="R22" s="26" t="n">
        <v>82</v>
      </c>
      <c r="S22" s="29" t="n">
        <v>1.25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122</v>
      </c>
      <c r="AA22" s="28" t="n">
        <v>0.45</v>
      </c>
      <c r="AB22" s="28" t="n">
        <v>-0.00045</v>
      </c>
      <c r="AC22" s="30" t="n">
        <v>-1.25</v>
      </c>
      <c r="AD22" s="24" t="inlineStr">
        <is>
          <t>2026-08-05T13:51:50.006749Z</t>
        </is>
      </c>
      <c r="AE22" s="31" t="inlineStr">
        <is>
          <t>Neutral Elo baseline; executable ask 0.4500 (market_slug=aec-valorant-tec-kbg-2026-08-05).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KeepBest Gaming</t>
        </is>
      </c>
      <c r="AQ22" s="24" t="inlineStr">
        <is>
          <t>KeepBest Gaming</t>
        </is>
      </c>
      <c r="AR22" s="24" t="inlineStr">
        <is>
          <t>KeepBest Gaming</t>
        </is>
      </c>
      <c r="AS22" s="24" t="inlineStr">
        <is>
          <t>TEC Esports</t>
        </is>
      </c>
      <c r="AT22" s="24" t="inlineStr">
        <is>
          <t>TEC Esports</t>
        </is>
      </c>
      <c r="AU22" s="24" t="inlineStr">
        <is>
          <t>TEC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186664e065cb2f3876c035d1fafb20f41e71ec1c33421a9590b0fc42032b5796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186664e065cb2f3876c035d1fafb20f41e71ec1c33421a9590b0fc42032b5796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2026-08-05T04:38:10.028876Z</t>
        </is>
      </c>
      <c r="BI22" s="24" t="inlineStr">
        <is>
          <t>["same_event","same_team_same_day","same_league_same_day"]</t>
        </is>
      </c>
      <c r="BJ22" s="25" t="n"/>
      <c r="BK22" s="26" t="n">
        <v>122</v>
      </c>
      <c r="BL22" s="27" t="n">
        <v>2.22</v>
      </c>
      <c r="BM22" s="28" t="n">
        <v>0.45045</v>
      </c>
      <c r="BN22" s="28" t="n"/>
      <c r="BO22" s="28" t="n"/>
      <c r="BP22" s="25" t="n"/>
      <c r="BQ22" s="27" t="n">
        <v>2.22</v>
      </c>
      <c r="BR22" s="28" t="n">
        <v>0.45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d9dbfdd14e3140e8</t>
        </is>
      </c>
      <c r="B23" s="24" t="inlineStr">
        <is>
          <t>2026-08-05T13:56:15.301935Z</t>
        </is>
      </c>
      <c r="C23" s="24" t="inlineStr">
        <is>
          <t>2026-08-05T18:00:00Z</t>
        </is>
      </c>
      <c r="D23" s="24" t="inlineStr">
        <is>
          <t>69955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Gentle Mates GC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0.689698</v>
      </c>
      <c r="P23" s="28" t="n"/>
      <c r="Q23" s="28" t="n">
        <v>-0.000704</v>
      </c>
      <c r="R23" s="26" t="n">
        <v>20</v>
      </c>
      <c r="S23" s="29" t="n">
        <v>2</v>
      </c>
      <c r="T23" s="24" t="inlineStr">
        <is>
          <t>valorant-tiered-elo-v6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(market_slug=aec-valorant-m8gc-tmo-2026-08-05).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Gentle Mates GC</t>
        </is>
      </c>
      <c r="AT23" s="24" t="inlineStr">
        <is>
          <t>Gentle Mates GC</t>
        </is>
      </c>
      <c r="AU23" s="24" t="inlineStr">
        <is>
          <t>Gentle Mates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305eb2436fa64b7f6f74f3369a4347588970440da884df1804895fe56c0c5fdd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305eb2436fa64b7f6f74f3369a4347588970440da884df1804895fe56c0c5fdd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2026-08-05T13:56:10.002030Z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</row>
    <row r="24" ht="36" customHeight="1">
      <c r="A24" s="24" t="inlineStr">
        <is>
          <t>9a73d4c20bdb4b65</t>
        </is>
      </c>
      <c r="B24" s="24" t="inlineStr">
        <is>
          <t>2026-08-05T13:56:15.301935Z</t>
        </is>
      </c>
      <c r="C24" s="24" t="inlineStr">
        <is>
          <t>2026-08-06T08:00:00Z</t>
        </is>
      </c>
      <c r="D24" s="24" t="inlineStr">
        <is>
          <t>70564</t>
        </is>
      </c>
      <c r="E24" s="24" t="inlineStr">
        <is>
          <t>VALORANT</t>
        </is>
      </c>
      <c r="F24" s="24" t="inlineStr">
        <is>
          <t>JD Gaming</t>
        </is>
      </c>
      <c r="G24" s="24" t="inlineStr">
        <is>
          <t>FunPlus Phoenix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0.667906</v>
      </c>
      <c r="P24" s="28" t="n"/>
      <c r="Q24" s="28" t="n">
        <v>0.058531</v>
      </c>
      <c r="R24" s="26" t="n">
        <v>49</v>
      </c>
      <c r="S24" s="29" t="n">
        <v>1.75</v>
      </c>
      <c r="T24" s="24" t="inlineStr">
        <is>
          <t>valorant-tiered-elo-v6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0.6100 (market_slug=aec-valorant-fpx-jdg-2026-08-06).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JD Gaming</t>
        </is>
      </c>
      <c r="AQ24" s="24" t="inlineStr">
        <is>
          <t>JD Gaming</t>
        </is>
      </c>
      <c r="AR24" s="24" t="inlineStr">
        <is>
          <t>JD Gaming</t>
        </is>
      </c>
      <c r="AS24" s="24" t="inlineStr">
        <is>
          <t>FunPlus Phoenix</t>
        </is>
      </c>
      <c r="AT24" s="24" t="inlineStr">
        <is>
          <t>FunPlus Phoenix</t>
        </is>
      </c>
      <c r="AU24" s="24" t="inlineStr">
        <is>
          <t>FunPlus Phoenix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305eb2436fa64b7f6f74f3369a4347588970440da884df1804895fe56c0c5fdd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305eb2436fa64b7f6f74f3369a4347588970440da884df1804895fe56c0c5fdd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2026-08-05T13:56:10.639279Z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176a57bc6f884790</t>
        </is>
      </c>
      <c r="B25" s="24" t="inlineStr">
        <is>
          <t>2026-08-05T13:56:15.301935Z</t>
        </is>
      </c>
      <c r="C25" s="24" t="inlineStr">
        <is>
          <t>2026-08-06T10:00:00Z</t>
        </is>
      </c>
      <c r="D25" s="24" t="inlineStr">
        <is>
          <t>70595</t>
        </is>
      </c>
      <c r="E25" s="24" t="inlineStr">
        <is>
          <t>VALORANT</t>
        </is>
      </c>
      <c r="F25" s="24" t="inlineStr">
        <is>
          <t>Dragon Ranger Gaming</t>
        </is>
      </c>
      <c r="G25" s="24" t="inlineStr">
        <is>
          <t>Wolves Esports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0.618449</v>
      </c>
      <c r="P25" s="28" t="n"/>
      <c r="Q25" s="28" t="n">
        <v>-0.031901</v>
      </c>
      <c r="R25" s="26" t="n">
        <v>4</v>
      </c>
      <c r="S25" s="29" t="n">
        <v>1.5</v>
      </c>
      <c r="T25" s="24" t="inlineStr">
        <is>
          <t>valorant-tiered-elo-v6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0.6500 (market_slug=aec-valorant-wol-drg-2026-08-06).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Dragon Ranger Gaming</t>
        </is>
      </c>
      <c r="AQ25" s="24" t="inlineStr">
        <is>
          <t>Dragon Ranger Gaming</t>
        </is>
      </c>
      <c r="AR25" s="24" t="inlineStr">
        <is>
          <t>Dragon Ranger Gaming</t>
        </is>
      </c>
      <c r="AS25" s="24" t="inlineStr">
        <is>
          <t>Wolves Esports</t>
        </is>
      </c>
      <c r="AT25" s="24" t="inlineStr">
        <is>
          <t>Wolves Esports</t>
        </is>
      </c>
      <c r="AU25" s="24" t="inlineStr">
        <is>
          <t>Wolves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305eb2436fa64b7f6f74f3369a4347588970440da884df1804895fe56c0c5fdd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305eb2436fa64b7f6f74f3369a4347588970440da884df1804895fe56c0c5fdd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2026-08-05T13:56:11.184348Z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0eb5dd3fc32a4757</t>
        </is>
      </c>
      <c r="B26" s="24" t="inlineStr">
        <is>
          <t>2026-08-05T13:56:15.301935Z</t>
        </is>
      </c>
      <c r="C26" s="24" t="inlineStr">
        <is>
          <t>2026-08-06T15:00:00Z</t>
        </is>
      </c>
      <c r="D26" s="24" t="inlineStr">
        <is>
          <t>70724</t>
        </is>
      </c>
      <c r="E26" s="24" t="inlineStr">
        <is>
          <t>VALORANT</t>
        </is>
      </c>
      <c r="F26" s="24" t="inlineStr">
        <is>
          <t>Eintracht Frankfurt</t>
        </is>
      </c>
      <c r="G26" s="24" t="inlineStr">
        <is>
          <t>GIANTX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156</v>
      </c>
      <c r="M26" s="27" t="n">
        <v>2.56</v>
      </c>
      <c r="N26" s="28" t="n">
        <v>0.390625</v>
      </c>
      <c r="O26" s="28" t="n">
        <v>0.701767</v>
      </c>
      <c r="P26" s="28" t="n"/>
      <c r="Q26" s="28" t="n">
        <v>0.311142</v>
      </c>
      <c r="R26" s="26" t="n">
        <v>100</v>
      </c>
      <c r="S26" s="29" t="n">
        <v>2</v>
      </c>
      <c r="T26" s="24" t="inlineStr">
        <is>
          <t>valorant-tiered-elo-v6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0.3900 (market_slug=aec-valorant-gx-sge-2026-08-06).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Eintracht Frankfurt</t>
        </is>
      </c>
      <c r="AQ26" s="24" t="inlineStr">
        <is>
          <t>Eintracht Frankfurt</t>
        </is>
      </c>
      <c r="AR26" s="24" t="inlineStr">
        <is>
          <t>Eintracht Frankfurt</t>
        </is>
      </c>
      <c r="AS26" s="24" t="inlineStr">
        <is>
          <t>GIANTX</t>
        </is>
      </c>
      <c r="AT26" s="24" t="inlineStr">
        <is>
          <t>GIANTX</t>
        </is>
      </c>
      <c r="AU26" s="24" t="inlineStr">
        <is>
          <t>GIANTX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305eb2436fa64b7f6f74f3369a4347588970440da884df1804895fe56c0c5fdd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305eb2436fa64b7f6f74f3369a4347588970440da884df1804895fe56c0c5fdd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2026-08-05T13:56:11.760518Z</t>
        </is>
      </c>
      <c r="BI26" s="24" t="inlineStr">
        <is>
          <t>["same_event","same_team_same_day","same_league_same_day"]</t>
        </is>
      </c>
      <c r="BJ26" s="25" t="n"/>
      <c r="BK26" s="26" t="n">
        <v>156</v>
      </c>
      <c r="BL26" s="27" t="n">
        <v>2.56</v>
      </c>
      <c r="BM26" s="28" t="n">
        <v>0.390625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25e4b71449b345c8</t>
        </is>
      </c>
      <c r="B27" s="24" t="inlineStr">
        <is>
          <t>2026-08-05T13:56:15.301935Z</t>
        </is>
      </c>
      <c r="C27" s="24" t="inlineStr">
        <is>
          <t>2026-08-06T15:00:00Z</t>
        </is>
      </c>
      <c r="D27" s="24" t="inlineStr">
        <is>
          <t>70725</t>
        </is>
      </c>
      <c r="E27" s="24" t="inlineStr">
        <is>
          <t>VALORANT</t>
        </is>
      </c>
      <c r="F27" s="24" t="inlineStr">
        <is>
          <t>Karmine Corp GC</t>
        </is>
      </c>
      <c r="G27" s="24" t="inlineStr">
        <is>
          <t>GIANTX GC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-138</v>
      </c>
      <c r="M27" s="27" t="n">
        <v>1.724638</v>
      </c>
      <c r="N27" s="28" t="n">
        <v>0.579832</v>
      </c>
      <c r="O27" s="28" t="n">
        <v>0.5358309999999999</v>
      </c>
      <c r="P27" s="28" t="n"/>
      <c r="Q27" s="28" t="n">
        <v>-0.044001</v>
      </c>
      <c r="R27" s="26" t="n">
        <v>0</v>
      </c>
      <c r="S27" s="29" t="n">
        <v>1</v>
      </c>
      <c r="T27" s="24" t="inlineStr">
        <is>
          <t>valorant-tiered-elo-v6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0.5800 (market_slug=aec-valorant-gxgc-kcg-2026-08-06).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Karmine Corp GC</t>
        </is>
      </c>
      <c r="AQ27" s="24" t="inlineStr">
        <is>
          <t>Karmine Corp GC</t>
        </is>
      </c>
      <c r="AR27" s="24" t="inlineStr">
        <is>
          <t>Karmine Corp GC</t>
        </is>
      </c>
      <c r="AS27" s="24" t="inlineStr">
        <is>
          <t>GIANTX GC</t>
        </is>
      </c>
      <c r="AT27" s="24" t="inlineStr">
        <is>
          <t>GIANTX GC</t>
        </is>
      </c>
      <c r="AU27" s="24" t="inlineStr">
        <is>
          <t>GIANTX GC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305eb2436fa64b7f6f74f3369a4347588970440da884df1804895fe56c0c5fdd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305eb2436fa64b7f6f74f3369a4347588970440da884df1804895fe56c0c5fdd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2026-08-05T13:56:12.281637Z</t>
        </is>
      </c>
      <c r="BI27" s="24" t="inlineStr">
        <is>
          <t>["same_event","same_team_same_day","same_league_same_day"]</t>
        </is>
      </c>
      <c r="BJ27" s="25" t="n"/>
      <c r="BK27" s="26" t="n">
        <v>-138</v>
      </c>
      <c r="BL27" s="27" t="n">
        <v>1.724638</v>
      </c>
      <c r="BM27" s="28" t="n">
        <v>0.579832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c48e81c262904847</t>
        </is>
      </c>
      <c r="B28" s="24" t="inlineStr">
        <is>
          <t>2026-08-05T13:56:15.301935Z</t>
        </is>
      </c>
      <c r="C28" s="24" t="inlineStr">
        <is>
          <t>2026-08-06T15:00:00Z</t>
        </is>
      </c>
      <c r="D28" s="24" t="inlineStr">
        <is>
          <t>70727</t>
        </is>
      </c>
      <c r="E28" s="24" t="inlineStr">
        <is>
          <t>VALORANT</t>
        </is>
      </c>
      <c r="F28" s="24" t="inlineStr">
        <is>
          <t>Habos Babos</t>
        </is>
      </c>
      <c r="G28" s="24" t="inlineStr">
        <is>
          <t>FOKUS Sakura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0.54962</v>
      </c>
      <c r="P28" s="28" t="n"/>
      <c r="Q28" s="28" t="n">
        <v>-0.090668</v>
      </c>
      <c r="R28" s="26" t="n">
        <v>0</v>
      </c>
      <c r="S28" s="29" t="n">
        <v>1</v>
      </c>
      <c r="T28" s="24" t="inlineStr">
        <is>
          <t>valorant-tiered-elo-v6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0.6400 (market_slug=aec-valorant-fso-hbs-2026-08-06).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Habos Babos</t>
        </is>
      </c>
      <c r="AQ28" s="24" t="inlineStr">
        <is>
          <t>Habos Babos</t>
        </is>
      </c>
      <c r="AR28" s="24" t="inlineStr">
        <is>
          <t>Habos Babos</t>
        </is>
      </c>
      <c r="AS28" s="24" t="inlineStr">
        <is>
          <t>FOKUS Sakura</t>
        </is>
      </c>
      <c r="AT28" s="24" t="inlineStr">
        <is>
          <t>FOKUS Sakura</t>
        </is>
      </c>
      <c r="AU28" s="24" t="inlineStr">
        <is>
          <t>FOKUS Sakura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305eb2436fa64b7f6f74f3369a4347588970440da884df1804895fe56c0c5fdd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305eb2436fa64b7f6f74f3369a4347588970440da884df1804895fe56c0c5fdd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2026-08-05T13:56:12.754904Z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</row>
    <row r="29" ht="36" customHeight="1">
      <c r="A29" s="24" t="inlineStr">
        <is>
          <t>f2617aae10be41fc</t>
        </is>
      </c>
      <c r="B29" s="24" t="inlineStr">
        <is>
          <t>2026-08-05T13:56:15.301935Z</t>
        </is>
      </c>
      <c r="C29" s="24" t="inlineStr">
        <is>
          <t>2026-08-06T18:00:00Z</t>
        </is>
      </c>
      <c r="D29" s="24" t="inlineStr">
        <is>
          <t>70912</t>
        </is>
      </c>
      <c r="E29" s="24" t="inlineStr">
        <is>
          <t>VALORANT</t>
        </is>
      </c>
      <c r="F29" s="24" t="inlineStr">
        <is>
          <t>Joblife</t>
        </is>
      </c>
      <c r="G29" s="24" t="inlineStr">
        <is>
          <t>Natus Vincere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170</v>
      </c>
      <c r="M29" s="27" t="n">
        <v>2.7</v>
      </c>
      <c r="N29" s="28" t="n">
        <v>0.37037</v>
      </c>
      <c r="O29" s="28" t="n">
        <v>0.563896</v>
      </c>
      <c r="P29" s="28" t="n"/>
      <c r="Q29" s="28" t="n">
        <v>0.193526</v>
      </c>
      <c r="R29" s="26" t="n">
        <v>100</v>
      </c>
      <c r="S29" s="29" t="n">
        <v>1</v>
      </c>
      <c r="T29" s="24" t="inlineStr">
        <is>
          <t>valorant-tiered-elo-v6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0.3700 (market_slug=aec-valorant-navi-jl-2026-08-06).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Joblife</t>
        </is>
      </c>
      <c r="AQ29" s="24" t="inlineStr">
        <is>
          <t>Joblife</t>
        </is>
      </c>
      <c r="AR29" s="24" t="inlineStr">
        <is>
          <t>Joblife</t>
        </is>
      </c>
      <c r="AS29" s="24" t="inlineStr">
        <is>
          <t>Natus Vincere</t>
        </is>
      </c>
      <c r="AT29" s="24" t="inlineStr">
        <is>
          <t>Natus Vincere</t>
        </is>
      </c>
      <c r="AU29" s="24" t="inlineStr">
        <is>
          <t>Natus Vincere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305eb2436fa64b7f6f74f3369a4347588970440da884df1804895fe56c0c5fdd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305eb2436fa64b7f6f74f3369a4347588970440da884df1804895fe56c0c5fdd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2026-08-05T13:56:13.229270Z</t>
        </is>
      </c>
      <c r="BI29" s="24" t="inlineStr">
        <is>
          <t>["same_event","same_team_same_day","same_league_same_day"]</t>
        </is>
      </c>
      <c r="BJ29" s="25" t="n"/>
      <c r="BK29" s="26" t="n">
        <v>170</v>
      </c>
      <c r="BL29" s="27" t="n">
        <v>2.7</v>
      </c>
      <c r="BM29" s="28" t="n">
        <v>0.37037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1c6ec9b4a36c4023</t>
        </is>
      </c>
      <c r="B30" s="24" t="inlineStr">
        <is>
          <t>2026-08-05T13:56:15.301935Z</t>
        </is>
      </c>
      <c r="C30" s="24" t="inlineStr">
        <is>
          <t>2026-08-06T21:00:00Z</t>
        </is>
      </c>
      <c r="D30" s="24" t="inlineStr">
        <is>
          <t>71315</t>
        </is>
      </c>
      <c r="E30" s="24" t="inlineStr">
        <is>
          <t>VALORANT</t>
        </is>
      </c>
      <c r="F30" s="24" t="inlineStr">
        <is>
          <t>FURIA Esports</t>
        </is>
      </c>
      <c r="G30" s="24" t="inlineStr">
        <is>
          <t>Evil Geniuses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0.625458</v>
      </c>
      <c r="P30" s="28" t="n"/>
      <c r="Q30" s="28" t="n">
        <v>0.20529</v>
      </c>
      <c r="R30" s="26" t="n">
        <v>100</v>
      </c>
      <c r="S30" s="29" t="n">
        <v>1.5</v>
      </c>
      <c r="T30" s="24" t="inlineStr">
        <is>
          <t>valorant-tiered-elo-v6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0.4200 (market_slug=aec-valorant-eg-fur-2026-08-06).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FURIA Esports</t>
        </is>
      </c>
      <c r="AQ30" s="24" t="inlineStr">
        <is>
          <t>FURIA Esports</t>
        </is>
      </c>
      <c r="AR30" s="24" t="inlineStr">
        <is>
          <t>FURIA Esports</t>
        </is>
      </c>
      <c r="AS30" s="24" t="inlineStr">
        <is>
          <t>Evil Geniuses</t>
        </is>
      </c>
      <c r="AT30" s="24" t="inlineStr">
        <is>
          <t>Evil Geniuses</t>
        </is>
      </c>
      <c r="AU30" s="24" t="inlineStr">
        <is>
          <t>Evil Geniuses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305eb2436fa64b7f6f74f3369a4347588970440da884df1804895fe56c0c5fdd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305eb2436fa64b7f6f74f3369a4347588970440da884df1804895fe56c0c5fdd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2026-08-05T13:56:14.786413Z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2026-08-05T13:56:45Z</dcterms:created>
  <dcterms:modified xmlns:dcterms="http://purl.org/dc/terms/" xmlns:xsi="http://www.w3.org/2001/XMLSchema-instance" xsi:type="dcterms:W3CDTF">2026-08-05T13:56:45Z</dcterms:modified>
</cp:coreProperties>
</file>