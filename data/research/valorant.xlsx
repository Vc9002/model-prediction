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52" headerRowCount="1">
  <autoFilter ref="A1:CS5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COUNTA('Picks'!$A$2:$A$52)</f>
        <v/>
      </c>
      <c r="C4" s="6">
        <f>COUNTIF('Picks'!$U$2:$U$52,"open")</f>
        <v/>
      </c>
      <c r="E4" s="6">
        <f>COUNTIF('Picks'!$U$2:$U$52,"settled")</f>
        <v/>
      </c>
      <c r="G4" s="6">
        <f>IF(COUNTIFS('Picks'!$U$2:$U$52,"settled",'Picks'!$V$2:$V$52,"win")+COUNTIFS('Picks'!$U$2:$U$52,"settled",'Picks'!$V$2:$V$52,"loss")&gt;=$L$2,"Ready","Insufficient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COUNTIF('Picks'!$BX$2:$BX$52,"&gt;0")</f>
        <v/>
      </c>
      <c r="C7" s="6">
        <f>COUNTIFS('Picks'!$BX$2:$BX$52,"&gt;0",'Picks'!$V$2:$V$52,"win")&amp;"-"&amp;COUNTIFS('Picks'!$BX$2:$BX$52,"&gt;0",'Picks'!$V$2:$V$52,"loss")</f>
        <v/>
      </c>
      <c r="E7" s="7">
        <f>IFERROR(COUNTIFS('Picks'!$BX$2:$BX$52,"&gt;0",'Picks'!$V$2:$V$52,"win")/(COUNTIFS('Picks'!$BX$2:$BX$52,"&gt;0",'Picks'!$V$2:$V$52,"win")+COUNTIFS('Picks'!$BX$2:$BX$52,"&gt;0",'Picks'!$V$2:$V$52,"loss")),0)</f>
        <v/>
      </c>
      <c r="G7" s="7">
        <f>IFERROR(SUM('Picks'!$BY$2:$BY$52)/SUM('Picks'!$BX$2:$BX$52),0)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SUM('Picks'!$BY$2:$BY$52)</f>
        <v/>
      </c>
      <c r="C10" s="9">
        <f>IFERROR(AVERAGEIF('Picks'!$AB$2:$AB$52,"&lt;&gt;",'Picks'!$AB$2:$AB$52),0)</f>
        <v/>
      </c>
      <c r="E10" s="6">
        <f>COUNTIFS('Picks'!$AM$2:$AM$52,"QUALIFIED_SHADOW_CALL",'Picks'!$U$2:$U$52,"settled")</f>
        <v/>
      </c>
      <c r="G10" s="8">
        <f>SUMIFS('Picks'!$AC$2:$AC$52,'Picks'!$AM$2:$AM$52,"QUALIFIED_SHADOW_CALL")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COUNTIFS('Picks'!$H$2:$H$52,$A14,'Picks'!$U$2:$U$52,"settled")</f>
        <v/>
      </c>
      <c r="C14" s="13">
        <f>COUNTIFS('Picks'!$H$2:$H$52,$A14,'Picks'!$U$2:$U$52,"settled",'Picks'!$V$2:$V$52,"win")</f>
        <v/>
      </c>
      <c r="D14" s="13">
        <f>COUNTIFS('Picks'!$H$2:$H$52,$A14,'Picks'!$U$2:$U$52,"settled",'Picks'!$V$2:$V$52,"loss")</f>
        <v/>
      </c>
      <c r="E14" s="14">
        <f>IFERROR(C14/(C14+D14),0)</f>
        <v/>
      </c>
      <c r="F14" s="15">
        <f>SUMIFS('Picks'!$BY$2:$BY$52,'Picks'!$H$2:$H$52,$A14)</f>
        <v/>
      </c>
      <c r="G14" s="16">
        <f>IFERROR(AVERAGEIFS('Picks'!$AB$2:$AB$52,'Picks'!$H$2:$H$52,$A14,'Picks'!$U$2:$U$52,"settled"),0)</f>
        <v/>
      </c>
    </row>
    <row r="15">
      <c r="A15" s="17" t="inlineStr">
        <is>
          <t>spread</t>
        </is>
      </c>
      <c r="B15" s="18">
        <f>COUNTIFS('Picks'!$H$2:$H$52,$A15,'Picks'!$U$2:$U$52,"settled")</f>
        <v/>
      </c>
      <c r="C15" s="18">
        <f>COUNTIFS('Picks'!$H$2:$H$52,$A15,'Picks'!$U$2:$U$52,"settled",'Picks'!$V$2:$V$52,"win")</f>
        <v/>
      </c>
      <c r="D15" s="18">
        <f>COUNTIFS('Picks'!$H$2:$H$52,$A15,'Picks'!$U$2:$U$52,"settled",'Picks'!$V$2:$V$52,"loss")</f>
        <v/>
      </c>
      <c r="E15" s="19">
        <f>IFERROR(C15/(C15+D15),0)</f>
        <v/>
      </c>
      <c r="F15" s="20">
        <f>SUMIFS('Picks'!$BY$2:$BY$52,'Picks'!$H$2:$H$52,$A15)</f>
        <v/>
      </c>
      <c r="G15" s="21">
        <f>IFERROR(AVERAGEIFS('Picks'!$AB$2:$AB$52,'Picks'!$H$2:$H$52,$A15,'Picks'!$U$2:$U$52,"settled"),0)</f>
        <v/>
      </c>
    </row>
    <row r="16">
      <c r="A16" s="12" t="inlineStr">
        <is>
          <t>total</t>
        </is>
      </c>
      <c r="B16" s="13">
        <f>COUNTIFS('Picks'!$H$2:$H$52,$A16,'Picks'!$U$2:$U$52,"settled")</f>
        <v/>
      </c>
      <c r="C16" s="13">
        <f>COUNTIFS('Picks'!$H$2:$H$52,$A16,'Picks'!$U$2:$U$52,"settled",'Picks'!$V$2:$V$52,"win")</f>
        <v/>
      </c>
      <c r="D16" s="13">
        <f>COUNTIFS('Picks'!$H$2:$H$52,$A16,'Picks'!$U$2:$U$52,"settled",'Picks'!$V$2:$V$52,"loss")</f>
        <v/>
      </c>
      <c r="E16" s="14">
        <f>IFERROR(C16/(C16+D16),0)</f>
        <v/>
      </c>
      <c r="F16" s="15">
        <f>SUMIFS('Picks'!$BY$2:$BY$52,'Picks'!$H$2:$H$52,$A16)</f>
        <v/>
      </c>
      <c r="G16" s="16">
        <f>IFERROR(AVERAGEIFS('Picks'!$AB$2:$AB$52,'Picks'!$H$2:$H$52,$A16,'Picks'!$U$2:$U$52,"settled"),0)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4d7c5dd938d94f4c</t>
        </is>
      </c>
      <c r="B2" s="24" t="inlineStr">
        <is>
          <t>2026-08-04T16:54:18.134287Z</t>
        </is>
      </c>
      <c r="C2" s="24" t="inlineStr">
        <is>
          <t>2026-08-04T18:00:00Z</t>
        </is>
      </c>
      <c r="D2" s="24" t="inlineStr">
        <is>
          <t>68698</t>
        </is>
      </c>
      <c r="E2" s="24" t="inlineStr">
        <is>
          <t>VALORANT</t>
        </is>
      </c>
      <c r="F2" s="24" t="inlineStr">
        <is>
          <t>Twisted Minds Orchid</t>
        </is>
      </c>
      <c r="G2" s="24" t="inlineStr">
        <is>
          <t>SK Nebula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-163</v>
      </c>
      <c r="M2" s="27" t="n">
        <v>1.613497</v>
      </c>
      <c r="N2" s="28" t="n">
        <v>0.619772</v>
      </c>
      <c r="O2" s="28" t="n">
        <v>0.64657</v>
      </c>
      <c r="P2" s="28" t="n"/>
      <c r="Q2" s="28" t="n">
        <v>0.026798</v>
      </c>
      <c r="R2" s="26" t="n">
        <v>33</v>
      </c>
      <c r="S2" s="29" t="n">
        <v>1.75</v>
      </c>
      <c r="T2" s="24" t="inlineStr">
        <is>
          <t>valorant-tiered-elo-v6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-170</v>
      </c>
      <c r="AA2" s="28" t="n">
        <v>0.63</v>
      </c>
      <c r="AB2" s="28" t="n">
        <v>0.010228</v>
      </c>
      <c r="AC2" s="30" t="n">
        <v>-1.75</v>
      </c>
      <c r="AD2" s="24" t="inlineStr">
        <is>
          <t>2026-08-04T21:59:59.083380Z</t>
        </is>
      </c>
      <c r="AE2" s="31" t="inlineStr">
        <is>
          <t>Neutral Elo baseline; executable ask 0.6200 (market_slug=aec-valorant-skn-tmo-2026-08-04).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Twisted Minds Orchid</t>
        </is>
      </c>
      <c r="AQ2" s="24" t="inlineStr">
        <is>
          <t>Twisted Minds Orchid</t>
        </is>
      </c>
      <c r="AR2" s="24" t="inlineStr">
        <is>
          <t>Twisted Minds Orchid</t>
        </is>
      </c>
      <c r="AS2" s="24" t="inlineStr">
        <is>
          <t>SK Nebula</t>
        </is>
      </c>
      <c r="AT2" s="24" t="inlineStr">
        <is>
          <t>SK Nebula</t>
        </is>
      </c>
      <c r="AU2" s="24" t="inlineStr">
        <is>
          <t>SK Nebula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2a3a3c0d919df15db76d78df508a996bd8f684ec881c5b644b1e53da56868427</t>
        </is>
      </c>
      <c r="BB2" s="24" t="inlineStr">
        <is>
          <t>neutral_elo</t>
        </is>
      </c>
      <c r="BC2" s="24" t="inlineStr">
        <is>
          <t>valorant-tiered-elo-v6</t>
        </is>
      </c>
      <c r="BD2" s="24" t="inlineStr">
        <is>
          <t>2a3a3c0d919df15db76d78df508a996bd8f684ec881c5b644b1e53da56868427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valorant-tiered-elo-v6</t>
        </is>
      </c>
      <c r="BH2" s="24" t="inlineStr">
        <is>
          <t>2026-08-04T16:54:14.515679Z</t>
        </is>
      </c>
      <c r="BI2" s="24" t="inlineStr">
        <is>
          <t>["same_event","same_team_same_day","same_league_same_day"]</t>
        </is>
      </c>
      <c r="BJ2" s="25" t="n"/>
      <c r="BK2" s="26" t="n">
        <v>-163</v>
      </c>
      <c r="BL2" s="27" t="n">
        <v>1.613497</v>
      </c>
      <c r="BM2" s="28" t="n">
        <v>0.619772</v>
      </c>
      <c r="BN2" s="28" t="n"/>
      <c r="BO2" s="28" t="n"/>
      <c r="BP2" s="25" t="n"/>
      <c r="BQ2" s="27" t="n">
        <v>1.588235</v>
      </c>
      <c r="BR2" s="28" t="n">
        <v>0.63</v>
      </c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d2e458490c0d44e1</t>
        </is>
      </c>
      <c r="B3" s="24" t="inlineStr">
        <is>
          <t>2026-08-05T04:38:20.842798Z</t>
        </is>
      </c>
      <c r="C3" s="24" t="inlineStr">
        <is>
          <t>2026-08-05T10:00:00Z</t>
        </is>
      </c>
      <c r="D3" s="24" t="inlineStr">
        <is>
          <t>69540</t>
        </is>
      </c>
      <c r="E3" s="24" t="inlineStr">
        <is>
          <t>VALORANT</t>
        </is>
      </c>
      <c r="F3" s="24" t="inlineStr">
        <is>
          <t>KeepBest Gaming</t>
        </is>
      </c>
      <c r="G3" s="24" t="inlineStr">
        <is>
          <t>TEC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122</v>
      </c>
      <c r="M3" s="27" t="n">
        <v>2.22</v>
      </c>
      <c r="N3" s="28" t="n">
        <v>0.45045</v>
      </c>
      <c r="O3" s="28" t="n">
        <v>0.575198</v>
      </c>
      <c r="P3" s="28" t="n"/>
      <c r="Q3" s="28" t="n">
        <v>0.124748</v>
      </c>
      <c r="R3" s="26" t="n">
        <v>82</v>
      </c>
      <c r="S3" s="29" t="n">
        <v>1.25</v>
      </c>
      <c r="T3" s="24" t="inlineStr">
        <is>
          <t>valorant-tiered-elo-v6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122</v>
      </c>
      <c r="AA3" s="28" t="n">
        <v>0.45</v>
      </c>
      <c r="AB3" s="28" t="n">
        <v>-0.00045</v>
      </c>
      <c r="AC3" s="30" t="n">
        <v>-1.25</v>
      </c>
      <c r="AD3" s="24" t="inlineStr">
        <is>
          <t>2026-08-05T13:51:50.006749Z</t>
        </is>
      </c>
      <c r="AE3" s="31" t="inlineStr">
        <is>
          <t>Neutral Elo baseline; executable ask 0.4500 (market_slug=aec-valorant-tec-kbg-2026-08-05).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KeepBest Gaming</t>
        </is>
      </c>
      <c r="AQ3" s="24" t="inlineStr">
        <is>
          <t>KeepBest Gaming</t>
        </is>
      </c>
      <c r="AR3" s="24" t="inlineStr">
        <is>
          <t>KeepBest Gaming</t>
        </is>
      </c>
      <c r="AS3" s="24" t="inlineStr">
        <is>
          <t>TEC Esports</t>
        </is>
      </c>
      <c r="AT3" s="24" t="inlineStr">
        <is>
          <t>TEC Esports</t>
        </is>
      </c>
      <c r="AU3" s="24" t="inlineStr">
        <is>
          <t>TEC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186664e065cb2f3876c035d1fafb20f41e71ec1c33421a9590b0fc42032b5796</t>
        </is>
      </c>
      <c r="BB3" s="24" t="inlineStr">
        <is>
          <t>neutral_elo</t>
        </is>
      </c>
      <c r="BC3" s="24" t="inlineStr">
        <is>
          <t>valorant-tiered-elo-v6</t>
        </is>
      </c>
      <c r="BD3" s="24" t="inlineStr">
        <is>
          <t>186664e065cb2f3876c035d1fafb20f41e71ec1c33421a9590b0fc42032b5796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valorant-tiered-elo-v6</t>
        </is>
      </c>
      <c r="BH3" s="24" t="inlineStr">
        <is>
          <t>2026-08-05T04:38:10.028876Z</t>
        </is>
      </c>
      <c r="BI3" s="24" t="inlineStr">
        <is>
          <t>["same_event","same_team_same_day","same_league_same_day"]</t>
        </is>
      </c>
      <c r="BJ3" s="25" t="n"/>
      <c r="BK3" s="26" t="n">
        <v>122</v>
      </c>
      <c r="BL3" s="27" t="n">
        <v>2.22</v>
      </c>
      <c r="BM3" s="28" t="n">
        <v>0.45045</v>
      </c>
      <c r="BN3" s="28" t="n"/>
      <c r="BO3" s="28" t="n"/>
      <c r="BP3" s="25" t="n"/>
      <c r="BQ3" s="27" t="n">
        <v>2.22</v>
      </c>
      <c r="BR3" s="28" t="n">
        <v>0.45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cdf578cf7d98458f</t>
        </is>
      </c>
      <c r="B4" s="24" t="inlineStr">
        <is>
          <t>2026-08-05T17:04:46.344950Z</t>
        </is>
      </c>
      <c r="C4" s="24" t="inlineStr">
        <is>
          <t>2026-08-05T18:00:00Z</t>
        </is>
      </c>
      <c r="D4" s="24" t="inlineStr">
        <is>
          <t>69955</t>
        </is>
      </c>
      <c r="E4" s="24" t="inlineStr">
        <is>
          <t>VALORANT</t>
        </is>
      </c>
      <c r="F4" s="24" t="inlineStr">
        <is>
          <t>Twisted Minds Orchid</t>
        </is>
      </c>
      <c r="G4" s="24" t="inlineStr">
        <is>
          <t>Gentle Mates GC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-194</v>
      </c>
      <c r="M4" s="27" t="n">
        <v>1.515464</v>
      </c>
      <c r="N4" s="28" t="n">
        <v>0.659864</v>
      </c>
      <c r="O4" s="28" t="n">
        <v>0.6890849999999999</v>
      </c>
      <c r="P4" s="28" t="n"/>
      <c r="Q4" s="28" t="n">
        <v>0.029221</v>
      </c>
      <c r="R4" s="26" t="n">
        <v>35</v>
      </c>
      <c r="S4" s="29" t="n">
        <v>2</v>
      </c>
      <c r="T4" s="24" t="inlineStr">
        <is>
          <t>valorant-tiered-elo-v6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-186</v>
      </c>
      <c r="AA4" s="28" t="n">
        <v>0.65</v>
      </c>
      <c r="AB4" s="28" t="n">
        <v>-0.009864</v>
      </c>
      <c r="AC4" s="30" t="n">
        <v>-2</v>
      </c>
      <c r="AD4" s="24" t="inlineStr">
        <is>
          <t>2026-08-05T21:00:20.306504Z</t>
        </is>
      </c>
      <c r="AE4" s="31" t="inlineStr">
        <is>
          <t>Neutral Elo baseline; executable ask 0.6600 (market_slug=aec-valorant-m8gc-tmo-2026-08-05).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NO_CALL_WINNER_OVERVALUED</t>
        </is>
      </c>
      <c r="AP4" s="24" t="inlineStr">
        <is>
          <t>Twisted Minds Orchid</t>
        </is>
      </c>
      <c r="AQ4" s="24" t="inlineStr">
        <is>
          <t>Twisted Minds Orchid</t>
        </is>
      </c>
      <c r="AR4" s="24" t="inlineStr">
        <is>
          <t>Twisted Minds Orchid</t>
        </is>
      </c>
      <c r="AS4" s="24" t="inlineStr">
        <is>
          <t>Gentle Mates GC</t>
        </is>
      </c>
      <c r="AT4" s="24" t="inlineStr">
        <is>
          <t>Gentle Mates GC</t>
        </is>
      </c>
      <c r="AU4" s="24" t="inlineStr">
        <is>
          <t>Gentle Mates GC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99605999cbefc3e4318aa2d50dc2b92c9ca2bafd08c79807b93ccfd4969eebcd</t>
        </is>
      </c>
      <c r="BB4" s="24" t="inlineStr">
        <is>
          <t>neutral_elo</t>
        </is>
      </c>
      <c r="BC4" s="24" t="inlineStr">
        <is>
          <t>valorant-tiered-elo-v6</t>
        </is>
      </c>
      <c r="BD4" s="24" t="inlineStr">
        <is>
          <t>99605999cbefc3e4318aa2d50dc2b92c9ca2bafd08c79807b93ccfd4969eebcd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valorant-tiered-elo-v6</t>
        </is>
      </c>
      <c r="BH4" s="24" t="inlineStr">
        <is>
          <t>2026-08-05T17:04:41.254236Z</t>
        </is>
      </c>
      <c r="BI4" s="24" t="inlineStr">
        <is>
          <t>["same_event","same_team_same_day","same_league_same_day"]</t>
        </is>
      </c>
      <c r="BJ4" s="25" t="n"/>
      <c r="BK4" s="26" t="n">
        <v>-194</v>
      </c>
      <c r="BL4" s="27" t="n">
        <v>1.515464</v>
      </c>
      <c r="BM4" s="28" t="n">
        <v>0.659864</v>
      </c>
      <c r="BN4" s="28" t="n"/>
      <c r="BO4" s="28" t="n"/>
      <c r="BP4" s="25" t="n"/>
      <c r="BQ4" s="27" t="n">
        <v>1.537634</v>
      </c>
      <c r="BR4" s="28" t="n">
        <v>0.65</v>
      </c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cb803518ea764ed5</t>
        </is>
      </c>
      <c r="B5" s="24" t="inlineStr">
        <is>
          <t>2026-08-06T00:24:39.463638Z</t>
        </is>
      </c>
      <c r="C5" s="24" t="inlineStr">
        <is>
          <t>2026-08-06T08:00:00Z</t>
        </is>
      </c>
      <c r="D5" s="24" t="inlineStr">
        <is>
          <t>70564</t>
        </is>
      </c>
      <c r="E5" s="24" t="inlineStr">
        <is>
          <t>VALORANT</t>
        </is>
      </c>
      <c r="F5" s="24" t="inlineStr">
        <is>
          <t>JD Gaming</t>
        </is>
      </c>
      <c r="G5" s="24" t="inlineStr">
        <is>
          <t>FunPlus Phoenix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-170</v>
      </c>
      <c r="M5" s="27" t="n">
        <v>1.588235</v>
      </c>
      <c r="N5" s="28" t="n">
        <v>0.62963</v>
      </c>
      <c r="O5" s="28" t="n">
        <v>0.6551090000000001</v>
      </c>
      <c r="P5" s="28" t="n"/>
      <c r="Q5" s="28" t="n">
        <v>0.025479</v>
      </c>
      <c r="R5" s="26" t="n">
        <v>33</v>
      </c>
      <c r="S5" s="29" t="n">
        <v>1.75</v>
      </c>
      <c r="T5" s="24" t="inlineStr">
        <is>
          <t>valorant-tiered-elo-v6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-1.75</v>
      </c>
      <c r="AD5" s="24" t="inlineStr">
        <is>
          <t>2026-08-06T18:56:45.581929Z</t>
        </is>
      </c>
      <c r="AE5" s="31" t="inlineStr">
        <is>
          <t>Neutral Elo baseline; executable ask 0.6300 (market_slug=aec-valorant-fpx-jdg-2026-08-06).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NO_CALL_WINNER_OVERVALUED</t>
        </is>
      </c>
      <c r="AP5" s="24" t="inlineStr">
        <is>
          <t>JD Gaming</t>
        </is>
      </c>
      <c r="AQ5" s="24" t="inlineStr">
        <is>
          <t>JD Gaming</t>
        </is>
      </c>
      <c r="AR5" s="24" t="inlineStr">
        <is>
          <t>JD Gaming</t>
        </is>
      </c>
      <c r="AS5" s="24" t="inlineStr">
        <is>
          <t>FunPlus Phoenix</t>
        </is>
      </c>
      <c r="AT5" s="24" t="inlineStr">
        <is>
          <t>FunPlus Phoenix</t>
        </is>
      </c>
      <c r="AU5" s="24" t="inlineStr">
        <is>
          <t>FunPlus Phoenix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4df5f295a2b28e76007c7dffc3ff6e8d7c876b7734ec9c379c78b6dce8cd27b3</t>
        </is>
      </c>
      <c r="BB5" s="24" t="inlineStr">
        <is>
          <t>neutral_elo</t>
        </is>
      </c>
      <c r="BC5" s="24" t="inlineStr">
        <is>
          <t>valorant-tiered-elo-v6</t>
        </is>
      </c>
      <c r="BD5" s="24" t="inlineStr">
        <is>
          <t>4df5f295a2b28e76007c7dffc3ff6e8d7c876b7734ec9c379c78b6dce8cd27b3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valorant-tiered-elo-v6</t>
        </is>
      </c>
      <c r="BH5" s="24" t="inlineStr">
        <is>
          <t>2026-08-06T00:24:35.545519Z</t>
        </is>
      </c>
      <c r="BI5" s="24" t="inlineStr">
        <is>
          <t>["same_event","same_team_same_day","same_league_same_day"]</t>
        </is>
      </c>
      <c r="BJ5" s="25" t="n"/>
      <c r="BK5" s="26" t="n">
        <v>-170</v>
      </c>
      <c r="BL5" s="27" t="n">
        <v>1.588235</v>
      </c>
      <c r="BM5" s="28" t="n">
        <v>0.62963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59e51fb17d924b64</t>
        </is>
      </c>
      <c r="B6" s="24" t="inlineStr">
        <is>
          <t>2026-08-06T00:24:39.463638Z</t>
        </is>
      </c>
      <c r="C6" s="24" t="inlineStr">
        <is>
          <t>2026-08-06T10:00:00Z</t>
        </is>
      </c>
      <c r="D6" s="24" t="inlineStr">
        <is>
          <t>70595</t>
        </is>
      </c>
      <c r="E6" s="24" t="inlineStr">
        <is>
          <t>VALORANT</t>
        </is>
      </c>
      <c r="F6" s="24" t="inlineStr">
        <is>
          <t>Dragon Ranger Gaming</t>
        </is>
      </c>
      <c r="G6" s="24" t="inlineStr">
        <is>
          <t>Wolves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-170</v>
      </c>
      <c r="M6" s="27" t="n">
        <v>1.588235</v>
      </c>
      <c r="N6" s="28" t="n">
        <v>0.62963</v>
      </c>
      <c r="O6" s="28" t="n">
        <v>0.619297</v>
      </c>
      <c r="P6" s="28" t="n"/>
      <c r="Q6" s="28" t="n">
        <v>-0.010333</v>
      </c>
      <c r="R6" s="26" t="n">
        <v>15</v>
      </c>
      <c r="S6" s="29" t="n">
        <v>1.5</v>
      </c>
      <c r="T6" s="24" t="inlineStr">
        <is>
          <t>valorant-tiered-elo-v6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0.8824</v>
      </c>
      <c r="AD6" s="24" t="inlineStr">
        <is>
          <t>2026-08-06T18:56:47.269533Z</t>
        </is>
      </c>
      <c r="AE6" s="31" t="inlineStr">
        <is>
          <t>Neutral Elo baseline; executable ask 0.6300 (market_slug=aec-valorant-wol-drg-2026-08-06).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NO_CALL_WINNER_OVERVALUED</t>
        </is>
      </c>
      <c r="AP6" s="24" t="inlineStr">
        <is>
          <t>Dragon Ranger Gaming</t>
        </is>
      </c>
      <c r="AQ6" s="24" t="inlineStr">
        <is>
          <t>Dragon Ranger Gaming</t>
        </is>
      </c>
      <c r="AR6" s="24" t="inlineStr">
        <is>
          <t>Dragon Ranger Gaming</t>
        </is>
      </c>
      <c r="AS6" s="24" t="inlineStr">
        <is>
          <t>Wolves Esports</t>
        </is>
      </c>
      <c r="AT6" s="24" t="inlineStr">
        <is>
          <t>Wolves Esports</t>
        </is>
      </c>
      <c r="AU6" s="24" t="inlineStr">
        <is>
          <t>Wolves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4df5f295a2b28e76007c7dffc3ff6e8d7c876b7734ec9c379c78b6dce8cd27b3</t>
        </is>
      </c>
      <c r="BB6" s="24" t="inlineStr">
        <is>
          <t>neutral_elo</t>
        </is>
      </c>
      <c r="BC6" s="24" t="inlineStr">
        <is>
          <t>valorant-tiered-elo-v6</t>
        </is>
      </c>
      <c r="BD6" s="24" t="inlineStr">
        <is>
          <t>4df5f295a2b28e76007c7dffc3ff6e8d7c876b7734ec9c379c78b6dce8cd27b3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valorant-tiered-elo-v6</t>
        </is>
      </c>
      <c r="BH6" s="24" t="inlineStr">
        <is>
          <t>2026-08-06T00:24:36.130397Z</t>
        </is>
      </c>
      <c r="BI6" s="24" t="inlineStr">
        <is>
          <t>["same_event","same_team_same_day","same_league_same_day"]</t>
        </is>
      </c>
      <c r="BJ6" s="25" t="n"/>
      <c r="BK6" s="26" t="n">
        <v>-170</v>
      </c>
      <c r="BL6" s="27" t="n">
        <v>1.588235</v>
      </c>
      <c r="BM6" s="28" t="n">
        <v>0.62963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c79618f0ece446a0</t>
        </is>
      </c>
      <c r="B7" s="24" t="inlineStr">
        <is>
          <t>2026-08-06T00:24:39.463638Z</t>
        </is>
      </c>
      <c r="C7" s="24" t="inlineStr">
        <is>
          <t>2026-08-06T15:00:00Z</t>
        </is>
      </c>
      <c r="D7" s="24" t="inlineStr">
        <is>
          <t>70725</t>
        </is>
      </c>
      <c r="E7" s="24" t="inlineStr">
        <is>
          <t>VALORANT</t>
        </is>
      </c>
      <c r="F7" s="24" t="inlineStr">
        <is>
          <t>Karmine Corp GC</t>
        </is>
      </c>
      <c r="G7" s="24" t="inlineStr">
        <is>
          <t>GIANTX GC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-108</v>
      </c>
      <c r="M7" s="27" t="n">
        <v>1.925926</v>
      </c>
      <c r="N7" s="28" t="n">
        <v>0.519231</v>
      </c>
      <c r="O7" s="28" t="n">
        <v>0.55231</v>
      </c>
      <c r="P7" s="28" t="n"/>
      <c r="Q7" s="28" t="n">
        <v>0.033079</v>
      </c>
      <c r="R7" s="26" t="n">
        <v>37</v>
      </c>
      <c r="S7" s="29" t="n">
        <v>1</v>
      </c>
      <c r="T7" s="24" t="inlineStr">
        <is>
          <t>valorant-tiered-elo-v6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-1</v>
      </c>
      <c r="AD7" s="24" t="inlineStr">
        <is>
          <t>2026-08-06T18:56:48.944178Z</t>
        </is>
      </c>
      <c r="AE7" s="31" t="inlineStr">
        <is>
          <t>Neutral Elo baseline; executable ask 0.5200 (market_slug=aec-valorant-gxgc-kcg-2026-08-06).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NO_CALL_WINNER_OVERVALUED</t>
        </is>
      </c>
      <c r="AP7" s="24" t="inlineStr">
        <is>
          <t>Karmine Corp GC</t>
        </is>
      </c>
      <c r="AQ7" s="24" t="inlineStr">
        <is>
          <t>Karmine Corp GC</t>
        </is>
      </c>
      <c r="AR7" s="24" t="inlineStr">
        <is>
          <t>Karmine Corp GC</t>
        </is>
      </c>
      <c r="AS7" s="24" t="inlineStr">
        <is>
          <t>GIANTX GC</t>
        </is>
      </c>
      <c r="AT7" s="24" t="inlineStr">
        <is>
          <t>GIANTX GC</t>
        </is>
      </c>
      <c r="AU7" s="24" t="inlineStr">
        <is>
          <t>GIANTX GC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4df5f295a2b28e76007c7dffc3ff6e8d7c876b7734ec9c379c78b6dce8cd27b3</t>
        </is>
      </c>
      <c r="BB7" s="24" t="inlineStr">
        <is>
          <t>neutral_elo</t>
        </is>
      </c>
      <c r="BC7" s="24" t="inlineStr">
        <is>
          <t>valorant-tiered-elo-v6</t>
        </is>
      </c>
      <c r="BD7" s="24" t="inlineStr">
        <is>
          <t>4df5f295a2b28e76007c7dffc3ff6e8d7c876b7734ec9c379c78b6dce8cd27b3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valorant-tiered-elo-v6</t>
        </is>
      </c>
      <c r="BH7" s="24" t="inlineStr">
        <is>
          <t>2026-08-06T00:24:36.602756Z</t>
        </is>
      </c>
      <c r="BI7" s="24" t="inlineStr">
        <is>
          <t>["same_event","same_team_same_day","same_league_same_day"]</t>
        </is>
      </c>
      <c r="BJ7" s="25" t="n"/>
      <c r="BK7" s="26" t="n">
        <v>-108</v>
      </c>
      <c r="BL7" s="27" t="n">
        <v>1.925926</v>
      </c>
      <c r="BM7" s="28" t="n">
        <v>0.519231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19496ab933704b9f</t>
        </is>
      </c>
      <c r="B8" s="24" t="inlineStr">
        <is>
          <t>2026-08-06T00:24:39.463638Z</t>
        </is>
      </c>
      <c r="C8" s="24" t="inlineStr">
        <is>
          <t>2026-08-06T15:00:00Z</t>
        </is>
      </c>
      <c r="D8" s="24" t="inlineStr">
        <is>
          <t>70727</t>
        </is>
      </c>
      <c r="E8" s="24" t="inlineStr">
        <is>
          <t>VALORANT</t>
        </is>
      </c>
      <c r="F8" s="24" t="inlineStr">
        <is>
          <t>Habos Babos</t>
        </is>
      </c>
      <c r="G8" s="24" t="inlineStr">
        <is>
          <t>FOKUS Sakura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0.537492</v>
      </c>
      <c r="P8" s="28" t="n"/>
      <c r="Q8" s="28" t="n">
        <v>-0.092138</v>
      </c>
      <c r="R8" s="26" t="n">
        <v>0</v>
      </c>
      <c r="S8" s="29" t="n">
        <v>1</v>
      </c>
      <c r="T8" s="24" t="inlineStr">
        <is>
          <t>valorant-tiered-elo-v6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-1</v>
      </c>
      <c r="AD8" s="24" t="inlineStr">
        <is>
          <t>2026-08-06T18:56:50.514524Z</t>
        </is>
      </c>
      <c r="AE8" s="31" t="inlineStr">
        <is>
          <t>Neutral Elo baseline; executable ask 0.6300 (market_slug=aec-valorant-fso-hbs-2026-08-06).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NO_CALL_WINNER_OVERVALUED</t>
        </is>
      </c>
      <c r="AP8" s="24" t="inlineStr">
        <is>
          <t>Habos Babos</t>
        </is>
      </c>
      <c r="AQ8" s="24" t="inlineStr">
        <is>
          <t>Habos Babos</t>
        </is>
      </c>
      <c r="AR8" s="24" t="inlineStr">
        <is>
          <t>Habos Babos</t>
        </is>
      </c>
      <c r="AS8" s="24" t="inlineStr">
        <is>
          <t>FOKUS Sakura</t>
        </is>
      </c>
      <c r="AT8" s="24" t="inlineStr">
        <is>
          <t>FOKUS Sakura</t>
        </is>
      </c>
      <c r="AU8" s="24" t="inlineStr">
        <is>
          <t>FOKUS Sakura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4df5f295a2b28e76007c7dffc3ff6e8d7c876b7734ec9c379c78b6dce8cd27b3</t>
        </is>
      </c>
      <c r="BB8" s="24" t="inlineStr">
        <is>
          <t>neutral_elo</t>
        </is>
      </c>
      <c r="BC8" s="24" t="inlineStr">
        <is>
          <t>valorant-tiered-elo-v6</t>
        </is>
      </c>
      <c r="BD8" s="24" t="inlineStr">
        <is>
          <t>4df5f295a2b28e76007c7dffc3ff6e8d7c876b7734ec9c379c78b6dce8cd27b3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valorant-tiered-elo-v6</t>
        </is>
      </c>
      <c r="BH8" s="24" t="inlineStr">
        <is>
          <t>2026-08-06T00:24:37.090341Z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</row>
    <row r="9" ht="36" customHeight="1">
      <c r="A9" s="24" t="inlineStr">
        <is>
          <t>95d8804e9f6742de</t>
        </is>
      </c>
      <c r="B9" s="24" t="inlineStr">
        <is>
          <t>2026-08-06T00:24:39.463638Z</t>
        </is>
      </c>
      <c r="C9" s="24" t="inlineStr">
        <is>
          <t>2026-08-06T15:00:00Z</t>
        </is>
      </c>
      <c r="D9" s="24" t="inlineStr">
        <is>
          <t>70724</t>
        </is>
      </c>
      <c r="E9" s="24" t="inlineStr">
        <is>
          <t>VALORANT</t>
        </is>
      </c>
      <c r="F9" s="24" t="inlineStr">
        <is>
          <t>Eintracht Frankfurt</t>
        </is>
      </c>
      <c r="G9" s="24" t="inlineStr">
        <is>
          <t>GIANTX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0.695761</v>
      </c>
      <c r="P9" s="28" t="n"/>
      <c r="Q9" s="28" t="n">
        <v>0.275593</v>
      </c>
      <c r="R9" s="26" t="n">
        <v>100</v>
      </c>
      <c r="S9" s="29" t="n">
        <v>2</v>
      </c>
      <c r="T9" s="24" t="inlineStr">
        <is>
          <t>valorant-tiered-elo-v6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-2</v>
      </c>
      <c r="AD9" s="24" t="inlineStr">
        <is>
          <t>2026-08-06T18:56:52.207320Z</t>
        </is>
      </c>
      <c r="AE9" s="31" t="inlineStr">
        <is>
          <t>Neutral Elo baseline; executable ask 0.4200 (market_slug=aec-valorant-gx-sge-2026-08-06).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Eintracht Frankfurt</t>
        </is>
      </c>
      <c r="AQ9" s="24" t="inlineStr">
        <is>
          <t>Eintracht Frankfurt</t>
        </is>
      </c>
      <c r="AR9" s="24" t="inlineStr">
        <is>
          <t>Eintracht Frankfurt</t>
        </is>
      </c>
      <c r="AS9" s="24" t="inlineStr">
        <is>
          <t>GIANTX</t>
        </is>
      </c>
      <c r="AT9" s="24" t="inlineStr">
        <is>
          <t>GIANTX</t>
        </is>
      </c>
      <c r="AU9" s="24" t="inlineStr">
        <is>
          <t>GIANTX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4df5f295a2b28e76007c7dffc3ff6e8d7c876b7734ec9c379c78b6dce8cd27b3</t>
        </is>
      </c>
      <c r="BB9" s="24" t="inlineStr">
        <is>
          <t>neutral_elo</t>
        </is>
      </c>
      <c r="BC9" s="24" t="inlineStr">
        <is>
          <t>valorant-tiered-elo-v6</t>
        </is>
      </c>
      <c r="BD9" s="24" t="inlineStr">
        <is>
          <t>4df5f295a2b28e76007c7dffc3ff6e8d7c876b7734ec9c379c78b6dce8cd27b3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valorant-tiered-elo-v6</t>
        </is>
      </c>
      <c r="BH9" s="24" t="inlineStr">
        <is>
          <t>2026-08-06T00:24:37.569959Z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192f6189a99f40b2</t>
        </is>
      </c>
      <c r="B10" s="24" t="inlineStr">
        <is>
          <t>2026-08-06T00:24:39.463638Z</t>
        </is>
      </c>
      <c r="C10" s="24" t="inlineStr">
        <is>
          <t>2026-08-06T18:00:00Z</t>
        </is>
      </c>
      <c r="D10" s="24" t="inlineStr">
        <is>
          <t>70912</t>
        </is>
      </c>
      <c r="E10" s="24" t="inlineStr">
        <is>
          <t>VALORANT</t>
        </is>
      </c>
      <c r="F10" s="24" t="inlineStr">
        <is>
          <t>Joblife</t>
        </is>
      </c>
      <c r="G10" s="24" t="inlineStr">
        <is>
          <t>Natus Vincere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178</v>
      </c>
      <c r="M10" s="27" t="n">
        <v>2.78</v>
      </c>
      <c r="N10" s="28" t="n">
        <v>0.359712</v>
      </c>
      <c r="O10" s="28" t="n">
        <v>0.563029</v>
      </c>
      <c r="P10" s="28" t="n"/>
      <c r="Q10" s="28" t="n">
        <v>0.203317</v>
      </c>
      <c r="R10" s="26" t="n">
        <v>100</v>
      </c>
      <c r="S10" s="29" t="n">
        <v>1</v>
      </c>
      <c r="T10" s="24" t="inlineStr">
        <is>
          <t>valorant-tiered-elo-v6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1.78</v>
      </c>
      <c r="AD10" s="24" t="inlineStr">
        <is>
          <t>2026-08-07T06:01:46.955979Z</t>
        </is>
      </c>
      <c r="AE10" s="31" t="inlineStr">
        <is>
          <t>Neutral Elo baseline; executable ask 0.3600 (market_slug=aec-valorant-navi-jl-2026-08-06).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Joblife</t>
        </is>
      </c>
      <c r="AQ10" s="24" t="inlineStr">
        <is>
          <t>Joblife</t>
        </is>
      </c>
      <c r="AR10" s="24" t="inlineStr">
        <is>
          <t>Joblife</t>
        </is>
      </c>
      <c r="AS10" s="24" t="inlineStr">
        <is>
          <t>Natus Vincere</t>
        </is>
      </c>
      <c r="AT10" s="24" t="inlineStr">
        <is>
          <t>Natus Vincere</t>
        </is>
      </c>
      <c r="AU10" s="24" t="inlineStr">
        <is>
          <t>Natus Vincere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4df5f295a2b28e76007c7dffc3ff6e8d7c876b7734ec9c379c78b6dce8cd27b3</t>
        </is>
      </c>
      <c r="BB10" s="24" t="inlineStr">
        <is>
          <t>neutral_elo</t>
        </is>
      </c>
      <c r="BC10" s="24" t="inlineStr">
        <is>
          <t>valorant-tiered-elo-v6</t>
        </is>
      </c>
      <c r="BD10" s="24" t="inlineStr">
        <is>
          <t>4df5f295a2b28e76007c7dffc3ff6e8d7c876b7734ec9c379c78b6dce8cd27b3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valorant-tiered-elo-v6</t>
        </is>
      </c>
      <c r="BH10" s="24" t="inlineStr">
        <is>
          <t>2026-08-06T00:24:38.040365Z</t>
        </is>
      </c>
      <c r="BI10" s="24" t="inlineStr">
        <is>
          <t>["same_event","same_team_same_day","same_league_same_day"]</t>
        </is>
      </c>
      <c r="BJ10" s="25" t="n"/>
      <c r="BK10" s="26" t="n">
        <v>178</v>
      </c>
      <c r="BL10" s="27" t="n">
        <v>2.78</v>
      </c>
      <c r="BM10" s="28" t="n">
        <v>0.359712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29f26cb8522341d1</t>
        </is>
      </c>
      <c r="B11" s="24" t="inlineStr">
        <is>
          <t>2026-08-06T19:00:18.001858Z</t>
        </is>
      </c>
      <c r="C11" s="24" t="inlineStr">
        <is>
          <t>2026-08-06T21:00:00Z</t>
        </is>
      </c>
      <c r="D11" s="24" t="inlineStr">
        <is>
          <t>71315</t>
        </is>
      </c>
      <c r="E11" s="24" t="inlineStr">
        <is>
          <t>VALORANT</t>
        </is>
      </c>
      <c r="F11" s="24" t="inlineStr">
        <is>
          <t>FURIA Esports</t>
        </is>
      </c>
      <c r="G11" s="24" t="inlineStr">
        <is>
          <t>Evil Geniuses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117</v>
      </c>
      <c r="M11" s="27" t="n">
        <v>2.17</v>
      </c>
      <c r="N11" s="28" t="n">
        <v>0.460829</v>
      </c>
      <c r="O11" s="28" t="n">
        <v>0.615411</v>
      </c>
      <c r="P11" s="28" t="n"/>
      <c r="Q11" s="28" t="n">
        <v>0.154582</v>
      </c>
      <c r="R11" s="26" t="n">
        <v>97</v>
      </c>
      <c r="S11" s="29" t="n">
        <v>1.5</v>
      </c>
      <c r="T11" s="24" t="inlineStr">
        <is>
          <t>valorant-tiered-elo-v6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117</v>
      </c>
      <c r="AA11" s="28" t="n">
        <v>0.46</v>
      </c>
      <c r="AB11" s="28" t="n">
        <v>-0.000829</v>
      </c>
      <c r="AC11" s="30" t="n">
        <v>1.755</v>
      </c>
      <c r="AD11" s="24" t="inlineStr">
        <is>
          <t>2026-08-07T06:01:48.504320Z</t>
        </is>
      </c>
      <c r="AE11" s="31" t="inlineStr">
        <is>
          <t>Neutral Elo baseline; executable ask 0.4600 (market_slug=aec-valorant-eg-fur-2026-08-06).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FURIA Esports</t>
        </is>
      </c>
      <c r="AQ11" s="24" t="inlineStr">
        <is>
          <t>FURIA Esports</t>
        </is>
      </c>
      <c r="AR11" s="24" t="inlineStr">
        <is>
          <t>FURIA Esports</t>
        </is>
      </c>
      <c r="AS11" s="24" t="inlineStr">
        <is>
          <t>Evil Geniuses</t>
        </is>
      </c>
      <c r="AT11" s="24" t="inlineStr">
        <is>
          <t>Evil Geniuses</t>
        </is>
      </c>
      <c r="AU11" s="24" t="inlineStr">
        <is>
          <t>Evil Geniuses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b32c21f8580cb36d2689c3449e18565f3db3f1690f09f65a3c552f717e24b35d</t>
        </is>
      </c>
      <c r="BB11" s="24" t="inlineStr">
        <is>
          <t>neutral_elo</t>
        </is>
      </c>
      <c r="BC11" s="24" t="inlineStr">
        <is>
          <t>valorant-tiered-elo-v6</t>
        </is>
      </c>
      <c r="BD11" s="24" t="inlineStr">
        <is>
          <t>b32c21f8580cb36d2689c3449e18565f3db3f1690f09f65a3c552f717e24b35d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valorant-tiered-elo-v6</t>
        </is>
      </c>
      <c r="BH11" s="24" t="inlineStr">
        <is>
          <t>2026-08-06T19:00:13.149018Z</t>
        </is>
      </c>
      <c r="BI11" s="24" t="inlineStr">
        <is>
          <t>["same_event","same_team_same_day","same_league_same_day"]</t>
        </is>
      </c>
      <c r="BJ11" s="25" t="n"/>
      <c r="BK11" s="26" t="n">
        <v>117</v>
      </c>
      <c r="BL11" s="27" t="n">
        <v>2.17</v>
      </c>
      <c r="BM11" s="28" t="n">
        <v>0.460829</v>
      </c>
      <c r="BN11" s="28" t="n"/>
      <c r="BO11" s="28" t="n"/>
      <c r="BP11" s="25" t="n"/>
      <c r="BQ11" s="27" t="n">
        <v>2.17</v>
      </c>
      <c r="BR11" s="28" t="n">
        <v>0.46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0.91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d7b622e9018b43c2</t>
        </is>
      </c>
      <c r="B12" s="24" t="inlineStr">
        <is>
          <t>2026-08-07T06:05:11.884581Z</t>
        </is>
      </c>
      <c r="C12" s="24" t="inlineStr">
        <is>
          <t>2026-08-07T08:00:00Z</t>
        </is>
      </c>
      <c r="D12" s="24" t="inlineStr">
        <is>
          <t>71675</t>
        </is>
      </c>
      <c r="E12" s="24" t="inlineStr">
        <is>
          <t>VALORANT</t>
        </is>
      </c>
      <c r="F12" s="24" t="inlineStr">
        <is>
          <t>DetonatioN FocusMe</t>
        </is>
      </c>
      <c r="G12" s="24" t="inlineStr">
        <is>
          <t>Team Secret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0.653762</v>
      </c>
      <c r="P12" s="28" t="n"/>
      <c r="Q12" s="28" t="n">
        <v>0.003412</v>
      </c>
      <c r="R12" s="26" t="n">
        <v>22</v>
      </c>
      <c r="S12" s="29" t="n">
        <v>1.75</v>
      </c>
      <c r="T12" s="24" t="inlineStr">
        <is>
          <t>valorant-tiered-elo-v6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>
        <v>-186</v>
      </c>
      <c r="AA12" s="28" t="n">
        <v>0.65</v>
      </c>
      <c r="AB12" s="28" t="n">
        <v>-0.00035</v>
      </c>
      <c r="AC12" s="30" t="n">
        <v>0.9409</v>
      </c>
      <c r="AD12" s="24" t="inlineStr">
        <is>
          <t>2026-08-07T12:14:17.233910Z</t>
        </is>
      </c>
      <c r="AE12" s="31" t="inlineStr">
        <is>
          <t>Neutral Elo baseline; executable ask 0.6500 (market_slug=aec-valorant-ts-dfm-2026-08-07).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NO_CALL_WINNER_OVERVALUED</t>
        </is>
      </c>
      <c r="AP12" s="24" t="inlineStr">
        <is>
          <t>DetonatioN FocusMe</t>
        </is>
      </c>
      <c r="AQ12" s="24" t="inlineStr">
        <is>
          <t>DetonatioN FocusMe</t>
        </is>
      </c>
      <c r="AR12" s="24" t="inlineStr">
        <is>
          <t>DetonatioN FocusMe</t>
        </is>
      </c>
      <c r="AS12" s="24" t="inlineStr">
        <is>
          <t>Team Secret</t>
        </is>
      </c>
      <c r="AT12" s="24" t="inlineStr">
        <is>
          <t>Team Secret</t>
        </is>
      </c>
      <c r="AU12" s="24" t="inlineStr">
        <is>
          <t>Team Secret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b73645bf1ecd543fdd6eef3fb18bf1f86790dae2d994242a68d3628f34298e3b</t>
        </is>
      </c>
      <c r="BB12" s="24" t="inlineStr">
        <is>
          <t>neutral_elo</t>
        </is>
      </c>
      <c r="BC12" s="24" t="inlineStr">
        <is>
          <t>valorant-tiered-elo-v6</t>
        </is>
      </c>
      <c r="BD12" s="24" t="inlineStr">
        <is>
          <t>b73645bf1ecd543fdd6eef3fb18bf1f86790dae2d994242a68d3628f34298e3b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valorant-tiered-elo-v6</t>
        </is>
      </c>
      <c r="BH12" s="24" t="inlineStr">
        <is>
          <t>2026-08-07T06:04:59.654949Z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/>
      <c r="BO12" s="28" t="n"/>
      <c r="BP12" s="25" t="n"/>
      <c r="BQ12" s="27" t="n">
        <v>1.537634</v>
      </c>
      <c r="BR12" s="28" t="n">
        <v>0.65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f9a9f444e7804efc</t>
        </is>
      </c>
      <c r="B13" s="24" t="inlineStr">
        <is>
          <t>2026-08-07T09:11:28.912966Z</t>
        </is>
      </c>
      <c r="C13" s="24" t="inlineStr">
        <is>
          <t>2026-08-07T11:00:00Z</t>
        </is>
      </c>
      <c r="D13" s="24" t="inlineStr">
        <is>
          <t>71752</t>
        </is>
      </c>
      <c r="E13" s="24" t="inlineStr">
        <is>
          <t>VALORANT</t>
        </is>
      </c>
      <c r="F13" s="24" t="inlineStr">
        <is>
          <t>FULL SENSE</t>
        </is>
      </c>
      <c r="G13" s="24" t="inlineStr">
        <is>
          <t>Gen.G Esports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-156</v>
      </c>
      <c r="M13" s="27" t="n">
        <v>1.641026</v>
      </c>
      <c r="N13" s="28" t="n">
        <v>0.609375</v>
      </c>
      <c r="O13" s="28" t="n">
        <v>0.781485</v>
      </c>
      <c r="P13" s="28" t="n"/>
      <c r="Q13" s="28" t="n">
        <v>0.17211</v>
      </c>
      <c r="R13" s="26" t="n">
        <v>100</v>
      </c>
      <c r="S13" s="29" t="n">
        <v>2</v>
      </c>
      <c r="T13" s="24" t="inlineStr">
        <is>
          <t>valorant-tiered-elo-v6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-156</v>
      </c>
      <c r="AA13" s="28" t="n">
        <v>0.61</v>
      </c>
      <c r="AB13" s="28" t="n">
        <v>0.000625</v>
      </c>
      <c r="AC13" s="30" t="n">
        <v>1.2821</v>
      </c>
      <c r="AD13" s="24" t="inlineStr">
        <is>
          <t>2026-08-07T15:20:01.811967Z</t>
        </is>
      </c>
      <c r="AE13" s="31" t="inlineStr">
        <is>
          <t>Neutral Elo baseline; executable ask 0.6100 (market_slug=aec-valorant-geng-fs-2026-08-07).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FULL SENSE</t>
        </is>
      </c>
      <c r="AQ13" s="24" t="inlineStr">
        <is>
          <t>FULL SENSE</t>
        </is>
      </c>
      <c r="AR13" s="24" t="inlineStr">
        <is>
          <t>FULL SENSE</t>
        </is>
      </c>
      <c r="AS13" s="24" t="inlineStr">
        <is>
          <t>Gen.G Esports</t>
        </is>
      </c>
      <c r="AT13" s="24" t="inlineStr">
        <is>
          <t>Gen.G Esports</t>
        </is>
      </c>
      <c r="AU13" s="24" t="inlineStr">
        <is>
          <t>Gen.G Esports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42b19475ad40d4c6f417c5f7897f490415fd91fcca876fa2415c941da1fd3bc7</t>
        </is>
      </c>
      <c r="BB13" s="24" t="inlineStr">
        <is>
          <t>neutral_elo</t>
        </is>
      </c>
      <c r="BC13" s="24" t="inlineStr">
        <is>
          <t>valorant-tiered-elo-v6</t>
        </is>
      </c>
      <c r="BD13" s="24" t="inlineStr">
        <is>
          <t>42b19475ad40d4c6f417c5f7897f490415fd91fcca876fa2415c941da1fd3bc7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valorant-tiered-elo-v6</t>
        </is>
      </c>
      <c r="BH13" s="24" t="inlineStr">
        <is>
          <t>2026-08-07T09:11:21.351080Z</t>
        </is>
      </c>
      <c r="BI13" s="24" t="inlineStr">
        <is>
          <t>["same_event","same_team_same_day","same_league_same_day"]</t>
        </is>
      </c>
      <c r="BJ13" s="25" t="n"/>
      <c r="BK13" s="26" t="n">
        <v>-156</v>
      </c>
      <c r="BL13" s="27" t="n">
        <v>1.641026</v>
      </c>
      <c r="BM13" s="28" t="n">
        <v>0.609375</v>
      </c>
      <c r="BN13" s="28" t="n"/>
      <c r="BO13" s="28" t="n"/>
      <c r="BP13" s="25" t="n"/>
      <c r="BQ13" s="27" t="n">
        <v>1.641026</v>
      </c>
      <c r="BR13" s="28" t="n">
        <v>0.61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0.91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9f013dd7475f4195</t>
        </is>
      </c>
      <c r="B14" s="24" t="inlineStr">
        <is>
          <t>2026-08-07T15:24:00.757019Z</t>
        </is>
      </c>
      <c r="C14" s="24" t="inlineStr">
        <is>
          <t>2026-08-07T18:00:00Z</t>
        </is>
      </c>
      <c r="D14" s="24" t="inlineStr">
        <is>
          <t>72078</t>
        </is>
      </c>
      <c r="E14" s="24" t="inlineStr">
        <is>
          <t>VALORANT</t>
        </is>
      </c>
      <c r="F14" s="24" t="inlineStr">
        <is>
          <t>Enterprise Esports</t>
        </is>
      </c>
      <c r="G14" s="24" t="inlineStr">
        <is>
          <t>Fnatic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178</v>
      </c>
      <c r="M14" s="27" t="n">
        <v>2.78</v>
      </c>
      <c r="N14" s="28" t="n">
        <v>0.359712</v>
      </c>
      <c r="O14" s="28" t="n">
        <v>0.743264</v>
      </c>
      <c r="P14" s="28" t="n"/>
      <c r="Q14" s="28" t="n">
        <v>0.383552</v>
      </c>
      <c r="R14" s="26" t="n">
        <v>100</v>
      </c>
      <c r="S14" s="29" t="n">
        <v>2</v>
      </c>
      <c r="T14" s="24" t="inlineStr">
        <is>
          <t>valorant-tiered-elo-v6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178</v>
      </c>
      <c r="AA14" s="28" t="n">
        <v>0.36</v>
      </c>
      <c r="AB14" s="28" t="n">
        <v>0.000288</v>
      </c>
      <c r="AC14" s="30" t="n">
        <v>3.56</v>
      </c>
      <c r="AD14" s="24" t="inlineStr">
        <is>
          <t>2026-08-07T21:55:32.607505Z</t>
        </is>
      </c>
      <c r="AE14" s="31" t="inlineStr">
        <is>
          <t>Neutral Elo baseline; executable ask 0.3600 (market_slug=aec-valorant-fnc-ep-2026-08-07).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Enterprise Esports</t>
        </is>
      </c>
      <c r="AQ14" s="24" t="inlineStr">
        <is>
          <t>Enterprise Esports</t>
        </is>
      </c>
      <c r="AR14" s="24" t="inlineStr">
        <is>
          <t>Enterprise Esports</t>
        </is>
      </c>
      <c r="AS14" s="24" t="inlineStr">
        <is>
          <t>Fnatic</t>
        </is>
      </c>
      <c r="AT14" s="24" t="inlineStr">
        <is>
          <t>Fnatic</t>
        </is>
      </c>
      <c r="AU14" s="24" t="inlineStr">
        <is>
          <t>Fnatic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81f6739aa819ab85b1d04cc8b0c18852e0f247d6e491c0f3ef1b501fc8699698</t>
        </is>
      </c>
      <c r="BB14" s="24" t="inlineStr">
        <is>
          <t>neutral_elo</t>
        </is>
      </c>
      <c r="BC14" s="24" t="inlineStr">
        <is>
          <t>valorant-tiered-elo-v6</t>
        </is>
      </c>
      <c r="BD14" s="24" t="inlineStr">
        <is>
          <t>81f6739aa819ab85b1d04cc8b0c18852e0f247d6e491c0f3ef1b501fc8699698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valorant-tiered-elo-v6</t>
        </is>
      </c>
      <c r="BH14" s="24" t="inlineStr">
        <is>
          <t>2026-08-07T15:23:54.113763Z</t>
        </is>
      </c>
      <c r="BI14" s="24" t="inlineStr">
        <is>
          <t>["same_event","same_team_same_day","same_league_same_day"]</t>
        </is>
      </c>
      <c r="BJ14" s="25" t="n"/>
      <c r="BK14" s="26" t="n">
        <v>178</v>
      </c>
      <c r="BL14" s="27" t="n">
        <v>2.78</v>
      </c>
      <c r="BM14" s="28" t="n">
        <v>0.359712</v>
      </c>
      <c r="BN14" s="28" t="n"/>
      <c r="BO14" s="28" t="n"/>
      <c r="BP14" s="25" t="n"/>
      <c r="BQ14" s="27" t="n">
        <v>2.78</v>
      </c>
      <c r="BR14" s="28" t="n">
        <v>0.36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9993a87fbb6e4802</t>
        </is>
      </c>
      <c r="B15" s="24" t="inlineStr">
        <is>
          <t>2026-08-08T04:08:03.360816Z</t>
        </is>
      </c>
      <c r="C15" s="24" t="inlineStr">
        <is>
          <t>2026-08-08T08:00:00Z</t>
        </is>
      </c>
      <c r="D15" s="24" t="inlineStr">
        <is>
          <t>72723</t>
        </is>
      </c>
      <c r="E15" s="24" t="inlineStr">
        <is>
          <t>VALORANT</t>
        </is>
      </c>
      <c r="F15" s="24" t="inlineStr">
        <is>
          <t>T1</t>
        </is>
      </c>
      <c r="G15" s="24" t="inlineStr">
        <is>
          <t>Kiwoom DRX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-186</v>
      </c>
      <c r="M15" s="27" t="n">
        <v>1.537634</v>
      </c>
      <c r="N15" s="28" t="n">
        <v>0.65035</v>
      </c>
      <c r="O15" s="28" t="n">
        <v>0.5763740000000001</v>
      </c>
      <c r="P15" s="28" t="n"/>
      <c r="Q15" s="28" t="n">
        <v>-0.073976</v>
      </c>
      <c r="R15" s="26" t="n">
        <v>0</v>
      </c>
      <c r="S15" s="29" t="n">
        <v>1.25</v>
      </c>
      <c r="T15" s="24" t="inlineStr">
        <is>
          <t>valorant-tiered-elo-v6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>
        <v>-186</v>
      </c>
      <c r="AA15" s="28" t="n">
        <v>0.65</v>
      </c>
      <c r="AB15" s="28" t="n">
        <v>-0.00035</v>
      </c>
      <c r="AC15" s="30" t="n">
        <v>0.672</v>
      </c>
      <c r="AD15" s="24" t="inlineStr">
        <is>
          <t>2026-08-08T18:35:05.774831Z</t>
        </is>
      </c>
      <c r="AE15" s="31" t="inlineStr">
        <is>
          <t>Neutral Elo baseline; executable ask 0.6500 (market_slug=aec-valorant-krx-t1-2026-08-08).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NO_CALL_WINNER_OVERVALUED</t>
        </is>
      </c>
      <c r="AP15" s="24" t="inlineStr">
        <is>
          <t>T1</t>
        </is>
      </c>
      <c r="AQ15" s="24" t="inlineStr">
        <is>
          <t>T1</t>
        </is>
      </c>
      <c r="AR15" s="24" t="inlineStr">
        <is>
          <t>T1</t>
        </is>
      </c>
      <c r="AS15" s="24" t="inlineStr">
        <is>
          <t>Kiwoom DRX</t>
        </is>
      </c>
      <c r="AT15" s="24" t="inlineStr">
        <is>
          <t>Kiwoom DRX</t>
        </is>
      </c>
      <c r="AU15" s="24" t="inlineStr">
        <is>
          <t>Kiwoom DRX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3872c38b702bf6b771cccbf3d7328f103bab6ce6532929fbccfccdf50d924825</t>
        </is>
      </c>
      <c r="BB15" s="24" t="inlineStr">
        <is>
          <t>neutral_elo</t>
        </is>
      </c>
      <c r="BC15" s="24" t="inlineStr">
        <is>
          <t>valorant-tiered-elo-v6</t>
        </is>
      </c>
      <c r="BD15" s="24" t="inlineStr">
        <is>
          <t>3872c38b702bf6b771cccbf3d7328f103bab6ce6532929fbccfccdf50d924825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valorant-tiered-elo-v6</t>
        </is>
      </c>
      <c r="BH15" s="24" t="inlineStr">
        <is>
          <t>2026-08-08T04:07:51.526487Z</t>
        </is>
      </c>
      <c r="BI15" s="24" t="inlineStr">
        <is>
          <t>["same_event","same_team_same_day","same_league_same_day"]</t>
        </is>
      </c>
      <c r="BJ15" s="25" t="n"/>
      <c r="BK15" s="26" t="n">
        <v>-186</v>
      </c>
      <c r="BL15" s="27" t="n">
        <v>1.537634</v>
      </c>
      <c r="BM15" s="28" t="n">
        <v>0.65035</v>
      </c>
      <c r="BN15" s="28" t="n"/>
      <c r="BO15" s="28" t="n"/>
      <c r="BP15" s="25" t="n"/>
      <c r="BQ15" s="27" t="n">
        <v>1.537634</v>
      </c>
      <c r="BR15" s="28" t="n">
        <v>0.65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</row>
    <row r="16" ht="36" customHeight="1">
      <c r="A16" s="24" t="inlineStr">
        <is>
          <t>6d0862d698cc4baf</t>
        </is>
      </c>
      <c r="B16" s="24" t="inlineStr">
        <is>
          <t>2026-08-08T04:08:03.360816Z</t>
        </is>
      </c>
      <c r="C16" s="24" t="inlineStr">
        <is>
          <t>2026-08-08T11:00:00Z</t>
        </is>
      </c>
      <c r="D16" s="24" t="inlineStr">
        <is>
          <t>72754</t>
        </is>
      </c>
      <c r="E16" s="24" t="inlineStr">
        <is>
          <t>VALORANT</t>
        </is>
      </c>
      <c r="F16" s="24" t="inlineStr">
        <is>
          <t>ZETA DIVISION</t>
        </is>
      </c>
      <c r="G16" s="24" t="inlineStr">
        <is>
          <t>Global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-233</v>
      </c>
      <c r="M16" s="27" t="n">
        <v>1.429185</v>
      </c>
      <c r="N16" s="28" t="n">
        <v>0.6997</v>
      </c>
      <c r="O16" s="28" t="n">
        <v>0.672256</v>
      </c>
      <c r="P16" s="28" t="n"/>
      <c r="Q16" s="28" t="n">
        <v>-0.027444</v>
      </c>
      <c r="R16" s="26" t="n">
        <v>6</v>
      </c>
      <c r="S16" s="29" t="n">
        <v>1.75</v>
      </c>
      <c r="T16" s="24" t="inlineStr">
        <is>
          <t>valorant-tiered-elo-v6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-233</v>
      </c>
      <c r="AA16" s="28" t="n">
        <v>0.7</v>
      </c>
      <c r="AB16" s="28" t="n">
        <v>0.0003</v>
      </c>
      <c r="AC16" s="30" t="n">
        <v>0.7511</v>
      </c>
      <c r="AD16" s="24" t="inlineStr">
        <is>
          <t>2026-08-08T18:35:07.456103Z</t>
        </is>
      </c>
      <c r="AE16" s="31" t="inlineStr">
        <is>
          <t>Neutral Elo baseline; executable ask 0.7000 (market_slug=aec-valorant-ge-zeta-2026-08-08).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NO_CALL_WINNER_OVERVALUED</t>
        </is>
      </c>
      <c r="AP16" s="24" t="inlineStr">
        <is>
          <t>ZETA DIVISION</t>
        </is>
      </c>
      <c r="AQ16" s="24" t="inlineStr">
        <is>
          <t>ZETA DIVISION</t>
        </is>
      </c>
      <c r="AR16" s="24" t="inlineStr">
        <is>
          <t>ZETA DIVISION</t>
        </is>
      </c>
      <c r="AS16" s="24" t="inlineStr">
        <is>
          <t>Global Esports</t>
        </is>
      </c>
      <c r="AT16" s="24" t="inlineStr">
        <is>
          <t>Global Esports</t>
        </is>
      </c>
      <c r="AU16" s="24" t="inlineStr">
        <is>
          <t>Global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3872c38b702bf6b771cccbf3d7328f103bab6ce6532929fbccfccdf50d924825</t>
        </is>
      </c>
      <c r="BB16" s="24" t="inlineStr">
        <is>
          <t>neutral_elo</t>
        </is>
      </c>
      <c r="BC16" s="24" t="inlineStr">
        <is>
          <t>valorant-tiered-elo-v6</t>
        </is>
      </c>
      <c r="BD16" s="24" t="inlineStr">
        <is>
          <t>3872c38b702bf6b771cccbf3d7328f103bab6ce6532929fbccfccdf50d924825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valorant-tiered-elo-v6</t>
        </is>
      </c>
      <c r="BH16" s="24" t="inlineStr">
        <is>
          <t>2026-08-08T04:07:53.608135Z</t>
        </is>
      </c>
      <c r="BI16" s="24" t="inlineStr">
        <is>
          <t>["same_event","same_team_same_day","same_league_same_day"]</t>
        </is>
      </c>
      <c r="BJ16" s="25" t="n"/>
      <c r="BK16" s="26" t="n">
        <v>-233</v>
      </c>
      <c r="BL16" s="27" t="n">
        <v>1.429185</v>
      </c>
      <c r="BM16" s="28" t="n">
        <v>0.6997</v>
      </c>
      <c r="BN16" s="28" t="n"/>
      <c r="BO16" s="28" t="n"/>
      <c r="BP16" s="25" t="n"/>
      <c r="BQ16" s="27" t="n">
        <v>1.429185</v>
      </c>
      <c r="BR16" s="28" t="n">
        <v>0.7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</row>
    <row r="17" ht="36" customHeight="1">
      <c r="A17" s="24" t="inlineStr">
        <is>
          <t>e637acf0a2214ef6</t>
        </is>
      </c>
      <c r="B17" s="24" t="inlineStr">
        <is>
          <t>2026-08-08T18:37:42.784329Z</t>
        </is>
      </c>
      <c r="C17" s="24" t="inlineStr">
        <is>
          <t>2026-08-09T00:00:00Z</t>
        </is>
      </c>
      <c r="D17" s="24" t="inlineStr">
        <is>
          <t>73525</t>
        </is>
      </c>
      <c r="E17" s="24" t="inlineStr">
        <is>
          <t>VALORANT</t>
        </is>
      </c>
      <c r="F17" s="24" t="inlineStr">
        <is>
          <t>MIBR</t>
        </is>
      </c>
      <c r="G17" s="24" t="inlineStr">
        <is>
          <t>Leviatán Esports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-163</v>
      </c>
      <c r="M17" s="27" t="n">
        <v>1.613497</v>
      </c>
      <c r="N17" s="28" t="n">
        <v>0.619772</v>
      </c>
      <c r="O17" s="28" t="n">
        <v>0.699299</v>
      </c>
      <c r="P17" s="28" t="n"/>
      <c r="Q17" s="28" t="n">
        <v>0.079527</v>
      </c>
      <c r="R17" s="26" t="n">
        <v>60</v>
      </c>
      <c r="S17" s="29" t="n">
        <v>2</v>
      </c>
      <c r="T17" s="24" t="inlineStr">
        <is>
          <t>valorant-tiered-elo-v6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-163</v>
      </c>
      <c r="AA17" s="28" t="n">
        <v>0.62</v>
      </c>
      <c r="AB17" s="28" t="n">
        <v>0.000228</v>
      </c>
      <c r="AC17" s="30" t="n">
        <v>1.227</v>
      </c>
      <c r="AD17" s="24" t="inlineStr">
        <is>
          <t>2026-08-09T05:14:26.752743Z</t>
        </is>
      </c>
      <c r="AE17" s="31" t="inlineStr">
        <is>
          <t>Neutral Elo baseline; executable ask 0.6200 (market_slug=aec-valorant-lev-mibr-2026-08-09).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NO_CALL_WINNER_OVERVALUED</t>
        </is>
      </c>
      <c r="AP17" s="24" t="inlineStr">
        <is>
          <t>MIBR</t>
        </is>
      </c>
      <c r="AQ17" s="24" t="inlineStr">
        <is>
          <t>MIBR</t>
        </is>
      </c>
      <c r="AR17" s="24" t="inlineStr">
        <is>
          <t>MIBR</t>
        </is>
      </c>
      <c r="AS17" s="24" t="inlineStr">
        <is>
          <t>Leviatán Esports</t>
        </is>
      </c>
      <c r="AT17" s="24" t="inlineStr">
        <is>
          <t>Leviatán Esports</t>
        </is>
      </c>
      <c r="AU17" s="24" t="inlineStr">
        <is>
          <t>Leviatán Esports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0143b7480c8c874906c4a86760d5098c16dffe337ec25198184122f1f4815a2e</t>
        </is>
      </c>
      <c r="BB17" s="24" t="inlineStr">
        <is>
          <t>neutral_elo</t>
        </is>
      </c>
      <c r="BC17" s="24" t="inlineStr">
        <is>
          <t>valorant-tiered-elo-v6</t>
        </is>
      </c>
      <c r="BD17" s="24" t="inlineStr">
        <is>
          <t>0143b7480c8c874906c4a86760d5098c16dffe337ec25198184122f1f4815a2e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valorant-tiered-elo-v6</t>
        </is>
      </c>
      <c r="BH17" s="24" t="inlineStr">
        <is>
          <t>2026-08-08T18:37:36.951203Z</t>
        </is>
      </c>
      <c r="BI17" s="24" t="inlineStr">
        <is>
          <t>["same_event","same_team_same_day","same_league_same_day"]</t>
        </is>
      </c>
      <c r="BJ17" s="25" t="n"/>
      <c r="BK17" s="26" t="n">
        <v>-163</v>
      </c>
      <c r="BL17" s="27" t="n">
        <v>1.613497</v>
      </c>
      <c r="BM17" s="28" t="n">
        <v>0.619772</v>
      </c>
      <c r="BN17" s="28" t="n"/>
      <c r="BO17" s="28" t="n"/>
      <c r="BP17" s="25" t="n"/>
      <c r="BQ17" s="27" t="n">
        <v>1.613497</v>
      </c>
      <c r="BR17" s="28" t="n">
        <v>0.62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0.91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5eed1a53242e4bd8</t>
        </is>
      </c>
      <c r="B18" s="24" t="inlineStr">
        <is>
          <t>2026-08-09T05:18:41.462497Z</t>
        </is>
      </c>
      <c r="C18" s="24" t="inlineStr">
        <is>
          <t>2026-08-09T10:00:00Z</t>
        </is>
      </c>
      <c r="D18" s="24" t="inlineStr">
        <is>
          <t>75198</t>
        </is>
      </c>
      <c r="E18" s="24" t="inlineStr">
        <is>
          <t>VALORANT</t>
        </is>
      </c>
      <c r="F18" s="24" t="inlineStr">
        <is>
          <t>FunPlus Phoenix</t>
        </is>
      </c>
      <c r="G18" s="24" t="inlineStr">
        <is>
          <t>Trace Esports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-156</v>
      </c>
      <c r="M18" s="27" t="n">
        <v>1.641026</v>
      </c>
      <c r="N18" s="28" t="n">
        <v>0.609375</v>
      </c>
      <c r="O18" s="28" t="n">
        <v>0.573219</v>
      </c>
      <c r="P18" s="28" t="n"/>
      <c r="Q18" s="28" t="n">
        <v>-0.036156</v>
      </c>
      <c r="R18" s="26" t="n">
        <v>2</v>
      </c>
      <c r="S18" s="29" t="n">
        <v>1.25</v>
      </c>
      <c r="T18" s="24" t="inlineStr">
        <is>
          <t>valorant-tiered-elo-v6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>
        <v>-156</v>
      </c>
      <c r="AA18" s="28" t="n">
        <v>0.61</v>
      </c>
      <c r="AB18" s="28" t="n">
        <v>0.000625</v>
      </c>
      <c r="AC18" s="30" t="n">
        <v>-1.25</v>
      </c>
      <c r="AD18" s="24" t="inlineStr">
        <is>
          <t>2026-08-09T13:57:24.859683Z</t>
        </is>
      </c>
      <c r="AE18" s="31" t="inlineStr">
        <is>
          <t>Neutral Elo baseline; executable ask 0.6100 (market_slug=aec-valorant-te-fpx-2026-08-09).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NO_CALL_WINNER_OVERVALUED</t>
        </is>
      </c>
      <c r="AP18" s="24" t="inlineStr">
        <is>
          <t>FunPlus Phoenix</t>
        </is>
      </c>
      <c r="AQ18" s="24" t="inlineStr">
        <is>
          <t>FunPlus Phoenix</t>
        </is>
      </c>
      <c r="AR18" s="24" t="inlineStr">
        <is>
          <t>FunPlus Phoenix</t>
        </is>
      </c>
      <c r="AS18" s="24" t="inlineStr">
        <is>
          <t>Trace Esports</t>
        </is>
      </c>
      <c r="AT18" s="24" t="inlineStr">
        <is>
          <t>Trace Esports</t>
        </is>
      </c>
      <c r="AU18" s="24" t="inlineStr">
        <is>
          <t>Trace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67b3e354232dcf7d42c7254652acf9571d8428f0525233a41801be58038d644b</t>
        </is>
      </c>
      <c r="BB18" s="24" t="inlineStr">
        <is>
          <t>neutral_elo</t>
        </is>
      </c>
      <c r="BC18" s="24" t="inlineStr">
        <is>
          <t>valorant-tiered-elo-v6</t>
        </is>
      </c>
      <c r="BD18" s="24" t="inlineStr">
        <is>
          <t>67b3e354232dcf7d42c7254652acf9571d8428f0525233a41801be58038d644b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valorant-tiered-elo-v6</t>
        </is>
      </c>
      <c r="BH18" s="24" t="inlineStr">
        <is>
          <t>2026-08-09T05:18:28.783887Z</t>
        </is>
      </c>
      <c r="BI18" s="24" t="inlineStr">
        <is>
          <t>["same_event","same_team_same_day","same_league_same_day"]</t>
        </is>
      </c>
      <c r="BJ18" s="25" t="n"/>
      <c r="BK18" s="26" t="n">
        <v>-156</v>
      </c>
      <c r="BL18" s="27" t="n">
        <v>1.641026</v>
      </c>
      <c r="BM18" s="28" t="n">
        <v>0.609375</v>
      </c>
      <c r="BN18" s="28" t="n"/>
      <c r="BO18" s="28" t="n"/>
      <c r="BP18" s="25" t="n"/>
      <c r="BQ18" s="27" t="n">
        <v>1.641026</v>
      </c>
      <c r="BR18" s="28" t="n">
        <v>0.61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e22019103a834bca</t>
        </is>
      </c>
      <c r="B19" s="24" t="inlineStr">
        <is>
          <t>2026-08-09T05:18:41.462497Z</t>
        </is>
      </c>
      <c r="C19" s="24" t="inlineStr">
        <is>
          <t>2026-08-09T11:00:00Z</t>
        </is>
      </c>
      <c r="D19" s="24" t="inlineStr">
        <is>
          <t>73687</t>
        </is>
      </c>
      <c r="E19" s="24" t="inlineStr">
        <is>
          <t>VALORANT</t>
        </is>
      </c>
      <c r="F19" s="24" t="inlineStr">
        <is>
          <t>Rex Regum Qeon</t>
        </is>
      </c>
      <c r="G19" s="24" t="inlineStr">
        <is>
          <t>Nongshim RedForce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1.44843</v>
      </c>
      <c r="N19" s="28" t="n">
        <v>0.690402</v>
      </c>
      <c r="O19" s="28" t="n">
        <v>0.752573</v>
      </c>
      <c r="P19" s="28" t="n"/>
      <c r="Q19" s="28" t="n">
        <v>0.062171</v>
      </c>
      <c r="R19" s="26" t="n">
        <v>51</v>
      </c>
      <c r="S19" s="29" t="n">
        <v>2</v>
      </c>
      <c r="T19" s="24" t="inlineStr">
        <is>
          <t>valorant-tiered-elo-v6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-223</v>
      </c>
      <c r="AA19" s="28" t="n">
        <v>0.6899999999999999</v>
      </c>
      <c r="AB19" s="28" t="n">
        <v>-0.000402</v>
      </c>
      <c r="AC19" s="30" t="n">
        <v>-2</v>
      </c>
      <c r="AD19" s="24" t="inlineStr">
        <is>
          <t>2026-08-09T13:57:26.709272Z</t>
        </is>
      </c>
      <c r="AE19" s="31" t="inlineStr">
        <is>
          <t>Neutral Elo baseline; executable ask 0.6900 (market_slug=aec-valorant-ns-rrq-2026-08-09).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NO_CALL_WINNER_OVERVALUED</t>
        </is>
      </c>
      <c r="AP19" s="24" t="inlineStr">
        <is>
          <t>Rex Regum Qeon</t>
        </is>
      </c>
      <c r="AQ19" s="24" t="inlineStr">
        <is>
          <t>Rex Regum Qeon</t>
        </is>
      </c>
      <c r="AR19" s="24" t="inlineStr">
        <is>
          <t>Rex Regum Qeon</t>
        </is>
      </c>
      <c r="AS19" s="24" t="inlineStr">
        <is>
          <t>Nongshim RedForce</t>
        </is>
      </c>
      <c r="AT19" s="24" t="inlineStr">
        <is>
          <t>Nongshim RedForce</t>
        </is>
      </c>
      <c r="AU19" s="24" t="inlineStr">
        <is>
          <t>Nongshim RedForce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67b3e354232dcf7d42c7254652acf9571d8428f0525233a41801be58038d644b</t>
        </is>
      </c>
      <c r="BB19" s="24" t="inlineStr">
        <is>
          <t>neutral_elo</t>
        </is>
      </c>
      <c r="BC19" s="24" t="inlineStr">
        <is>
          <t>valorant-tiered-elo-v6</t>
        </is>
      </c>
      <c r="BD19" s="24" t="inlineStr">
        <is>
          <t>67b3e354232dcf7d42c7254652acf9571d8428f0525233a41801be58038d644b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valorant-tiered-elo-v6</t>
        </is>
      </c>
      <c r="BH19" s="24" t="inlineStr">
        <is>
          <t>2026-08-09T05:18:29.333380Z</t>
        </is>
      </c>
      <c r="BI19" s="24" t="inlineStr">
        <is>
          <t>["same_event","same_team_same_day","same_league_same_day"]</t>
        </is>
      </c>
      <c r="BJ19" s="25" t="n"/>
      <c r="BK19" s="26" t="n">
        <v>-223</v>
      </c>
      <c r="BL19" s="27" t="n">
        <v>1.44843</v>
      </c>
      <c r="BM19" s="28" t="n">
        <v>0.690402</v>
      </c>
      <c r="BN19" s="28" t="n"/>
      <c r="BO19" s="28" t="n"/>
      <c r="BP19" s="25" t="n"/>
      <c r="BQ19" s="27" t="n">
        <v>1.44843</v>
      </c>
      <c r="BR19" s="28" t="n">
        <v>0.6899999999999999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b62da450a9f84624</t>
        </is>
      </c>
      <c r="B20" s="24" t="inlineStr">
        <is>
          <t>2026-08-09T14:01:54.078227Z</t>
        </is>
      </c>
      <c r="C20" s="24" t="inlineStr">
        <is>
          <t>2026-08-09T15:00:00Z</t>
        </is>
      </c>
      <c r="D20" s="24" t="inlineStr">
        <is>
          <t>74126</t>
        </is>
      </c>
      <c r="E20" s="24" t="inlineStr">
        <is>
          <t>VALORANT</t>
        </is>
      </c>
      <c r="F20" s="24" t="inlineStr">
        <is>
          <t>Mom Said No</t>
        </is>
      </c>
      <c r="G20" s="24" t="inlineStr">
        <is>
          <t>Barça eSports GC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178</v>
      </c>
      <c r="M20" s="27" t="n">
        <v>2.78</v>
      </c>
      <c r="N20" s="28" t="n">
        <v>0.359712</v>
      </c>
      <c r="O20" s="28" t="n">
        <v>0.526416</v>
      </c>
      <c r="P20" s="28" t="n"/>
      <c r="Q20" s="28" t="n">
        <v>0.166704</v>
      </c>
      <c r="R20" s="26" t="n">
        <v>100</v>
      </c>
      <c r="S20" s="29" t="n">
        <v>1</v>
      </c>
      <c r="T20" s="24" t="inlineStr">
        <is>
          <t>valorant-tiered-elo-v6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>
        <v>178</v>
      </c>
      <c r="AA20" s="28" t="n">
        <v>0.36</v>
      </c>
      <c r="AB20" s="28" t="n">
        <v>0.000288</v>
      </c>
      <c r="AC20" s="30" t="n">
        <v>-1</v>
      </c>
      <c r="AD20" s="24" t="inlineStr">
        <is>
          <t>2026-08-09T17:05:14.996643Z</t>
        </is>
      </c>
      <c r="AE20" s="31" t="inlineStr">
        <is>
          <t>Neutral Elo baseline; executable ask 0.3600 (market_slug=aec-valorant-beg-msn-2026-08-09).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Mom Said No</t>
        </is>
      </c>
      <c r="AQ20" s="24" t="inlineStr">
        <is>
          <t>Mom Said No</t>
        </is>
      </c>
      <c r="AR20" s="24" t="inlineStr">
        <is>
          <t>Mom Said No</t>
        </is>
      </c>
      <c r="AS20" s="24" t="inlineStr">
        <is>
          <t>Barça eSports GC</t>
        </is>
      </c>
      <c r="AT20" s="24" t="inlineStr">
        <is>
          <t>Barça eSports GC</t>
        </is>
      </c>
      <c r="AU20" s="24" t="inlineStr">
        <is>
          <t>Barça eSports GC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81f6f136ed670ca8e0bae95e7cbf7a73346c6b57de3226092fe100fd3713f0b1</t>
        </is>
      </c>
      <c r="BB20" s="24" t="inlineStr">
        <is>
          <t>neutral_elo</t>
        </is>
      </c>
      <c r="BC20" s="24" t="inlineStr">
        <is>
          <t>valorant-tiered-elo-v6</t>
        </is>
      </c>
      <c r="BD20" s="24" t="inlineStr">
        <is>
          <t>81f6f136ed670ca8e0bae95e7cbf7a73346c6b57de3226092fe100fd3713f0b1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valorant-tiered-elo-v6</t>
        </is>
      </c>
      <c r="BH20" s="24" t="inlineStr">
        <is>
          <t>2026-08-09T14:01:44.060563Z</t>
        </is>
      </c>
      <c r="BI20" s="24" t="inlineStr">
        <is>
          <t>["same_event","same_team_same_day","same_league_same_day"]</t>
        </is>
      </c>
      <c r="BJ20" s="25" t="n"/>
      <c r="BK20" s="26" t="n">
        <v>178</v>
      </c>
      <c r="BL20" s="27" t="n">
        <v>2.78</v>
      </c>
      <c r="BM20" s="28" t="n">
        <v>0.359712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-1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507b911ccae0449b</t>
        </is>
      </c>
      <c r="B21" s="24" t="inlineStr">
        <is>
          <t>2026-08-09T14:01:54.078227Z</t>
        </is>
      </c>
      <c r="C21" s="24" t="inlineStr">
        <is>
          <t>2026-08-09T17:00:00Z</t>
        </is>
      </c>
      <c r="D21" s="24" t="inlineStr">
        <is>
          <t>74304</t>
        </is>
      </c>
      <c r="E21" s="24" t="inlineStr">
        <is>
          <t>VALORANT</t>
        </is>
      </c>
      <c r="F21" s="24" t="inlineStr">
        <is>
          <t>FALKE VENOM</t>
        </is>
      </c>
      <c r="G21" s="24" t="inlineStr">
        <is>
          <t>GIANTX GC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-213</v>
      </c>
      <c r="M21" s="27" t="n">
        <v>1.469484</v>
      </c>
      <c r="N21" s="28" t="n">
        <v>0.680511</v>
      </c>
      <c r="O21" s="28" t="n">
        <v>0.528101</v>
      </c>
      <c r="P21" s="28" t="n"/>
      <c r="Q21" s="28" t="n">
        <v>-0.15241</v>
      </c>
      <c r="R21" s="26" t="n">
        <v>0</v>
      </c>
      <c r="S21" s="29" t="n">
        <v>1</v>
      </c>
      <c r="T21" s="24" t="inlineStr">
        <is>
          <t>valorant-tiered-elo-v6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-213</v>
      </c>
      <c r="AA21" s="28" t="n">
        <v>0.68</v>
      </c>
      <c r="AB21" s="28" t="n">
        <v>-0.000511</v>
      </c>
      <c r="AC21" s="30" t="n">
        <v>0.4695</v>
      </c>
      <c r="AD21" s="24" t="inlineStr">
        <is>
          <t>2026-08-09T20:26:18.099085Z</t>
        </is>
      </c>
      <c r="AE21" s="31" t="inlineStr">
        <is>
          <t>Neutral Elo baseline; executable ask 0.6800 (market_slug=aec-valorant-gxgc-fva-2026-08-09).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NO_CALL_WINNER_OVERVALUED</t>
        </is>
      </c>
      <c r="AP21" s="24" t="inlineStr">
        <is>
          <t>FALKE VENOM</t>
        </is>
      </c>
      <c r="AQ21" s="24" t="inlineStr">
        <is>
          <t>FALKE VENOM</t>
        </is>
      </c>
      <c r="AR21" s="24" t="inlineStr">
        <is>
          <t>FALKE VENOM</t>
        </is>
      </c>
      <c r="AS21" s="24" t="inlineStr">
        <is>
          <t>GIANTX GC</t>
        </is>
      </c>
      <c r="AT21" s="24" t="inlineStr">
        <is>
          <t>GIANTX GC</t>
        </is>
      </c>
      <c r="AU21" s="24" t="inlineStr">
        <is>
          <t>GIANTX GC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81f6f136ed670ca8e0bae95e7cbf7a73346c6b57de3226092fe100fd3713f0b1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81f6f136ed670ca8e0bae95e7cbf7a73346c6b57de3226092fe100fd3713f0b1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2026-08-09T14:01:44.670733Z</t>
        </is>
      </c>
      <c r="BI21" s="24" t="inlineStr">
        <is>
          <t>["same_event","same_team_same_day","same_league_same_day"]</t>
        </is>
      </c>
      <c r="BJ21" s="25" t="n"/>
      <c r="BK21" s="26" t="n">
        <v>-213</v>
      </c>
      <c r="BL21" s="27" t="n">
        <v>1.469484</v>
      </c>
      <c r="BM21" s="28" t="n">
        <v>0.680511</v>
      </c>
      <c r="BN21" s="28" t="n"/>
      <c r="BO21" s="28" t="n"/>
      <c r="BP21" s="25" t="n"/>
      <c r="BQ21" s="27" t="n">
        <v>1.469484</v>
      </c>
      <c r="BR21" s="28" t="n">
        <v>0.68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0b03eb258bf34565</t>
        </is>
      </c>
      <c r="B22" s="24" t="inlineStr">
        <is>
          <t>2026-08-09T17:08:20.055519Z</t>
        </is>
      </c>
      <c r="C22" s="24" t="inlineStr">
        <is>
          <t>2026-08-09T18:00:00Z</t>
        </is>
      </c>
      <c r="D22" s="24" t="inlineStr">
        <is>
          <t>74609</t>
        </is>
      </c>
      <c r="E22" s="24" t="inlineStr">
        <is>
          <t>VALORANT</t>
        </is>
      </c>
      <c r="F22" s="24" t="inlineStr">
        <is>
          <t>Enterprise Esports</t>
        </is>
      </c>
      <c r="G22" s="24" t="inlineStr">
        <is>
          <t>Gentle Mates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150</v>
      </c>
      <c r="M22" s="27" t="n">
        <v>2.5</v>
      </c>
      <c r="N22" s="28" t="n">
        <v>0.4</v>
      </c>
      <c r="O22" s="28" t="n">
        <v>0.804725</v>
      </c>
      <c r="P22" s="28" t="n"/>
      <c r="Q22" s="28" t="n">
        <v>0.404725</v>
      </c>
      <c r="R22" s="26" t="n">
        <v>100</v>
      </c>
      <c r="S22" s="29" t="n">
        <v>2</v>
      </c>
      <c r="T22" s="24" t="inlineStr">
        <is>
          <t>valorant-tiered-elo-v6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150</v>
      </c>
      <c r="AA22" s="28" t="n">
        <v>0.4</v>
      </c>
      <c r="AB22" s="28" t="n">
        <v>0</v>
      </c>
      <c r="AC22" s="30" t="n">
        <v>3</v>
      </c>
      <c r="AD22" s="24" t="inlineStr">
        <is>
          <t>2026-08-09T20:26:19.644495Z</t>
        </is>
      </c>
      <c r="AE22" s="31" t="inlineStr">
        <is>
          <t>Neutral Elo baseline; executable ask 0.4000 (market_slug=aec-valorant-gm-ep-2026-08-09).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Enterprise Esports</t>
        </is>
      </c>
      <c r="AQ22" s="24" t="inlineStr">
        <is>
          <t>Enterprise Esports</t>
        </is>
      </c>
      <c r="AR22" s="24" t="inlineStr">
        <is>
          <t>Enterprise Esports</t>
        </is>
      </c>
      <c r="AS22" s="24" t="inlineStr">
        <is>
          <t>Gentle Mates</t>
        </is>
      </c>
      <c r="AT22" s="24" t="inlineStr">
        <is>
          <t>Gentle Mates</t>
        </is>
      </c>
      <c r="AU22" s="24" t="inlineStr">
        <is>
          <t>Gentle Mates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43316dd49e7f9b1a20757c6d2b94b720f27a77b2c5fd90af5fff6a8c8dacabc4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43316dd49e7f9b1a20757c6d2b94b720f27a77b2c5fd90af5fff6a8c8dacabc4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2026-08-09T17:08:10.558137Z</t>
        </is>
      </c>
      <c r="BI22" s="24" t="inlineStr">
        <is>
          <t>["same_event","same_team_same_day","same_league_same_day"]</t>
        </is>
      </c>
      <c r="BJ22" s="25" t="n"/>
      <c r="BK22" s="26" t="n">
        <v>150</v>
      </c>
      <c r="BL22" s="27" t="n">
        <v>2.5</v>
      </c>
      <c r="BM22" s="28" t="n">
        <v>0.4</v>
      </c>
      <c r="BN22" s="28" t="n"/>
      <c r="BO22" s="28" t="n"/>
      <c r="BP22" s="25" t="n"/>
      <c r="BQ22" s="27" t="n">
        <v>2.5</v>
      </c>
      <c r="BR22" s="28" t="n">
        <v>0.4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0.91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13245694d2e241b2</t>
        </is>
      </c>
      <c r="B23" s="24" t="inlineStr">
        <is>
          <t>2026-08-10T05:41:22.375323Z</t>
        </is>
      </c>
      <c r="C23" s="24" t="inlineStr">
        <is>
          <t>2026-08-10T10:00:00Z</t>
        </is>
      </c>
      <c r="D23" s="24" t="inlineStr">
        <is>
          <t>74398</t>
        </is>
      </c>
      <c r="E23" s="24" t="inlineStr">
        <is>
          <t>VALORANT</t>
        </is>
      </c>
      <c r="F23" s="24" t="inlineStr">
        <is>
          <t>TEC Esports</t>
        </is>
      </c>
      <c r="G23" s="24" t="inlineStr">
        <is>
          <t>Dragon Ranger Gaming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-186</v>
      </c>
      <c r="M23" s="27" t="n">
        <v>1.537634</v>
      </c>
      <c r="N23" s="28" t="n">
        <v>0.65035</v>
      </c>
      <c r="O23" s="28" t="n">
        <v>0.52471</v>
      </c>
      <c r="P23" s="28" t="n"/>
      <c r="Q23" s="28" t="n">
        <v>-0.12564</v>
      </c>
      <c r="R23" s="26" t="n">
        <v>0</v>
      </c>
      <c r="S23" s="29" t="n">
        <v>1</v>
      </c>
      <c r="T23" s="24" t="inlineStr">
        <is>
          <t>valorant-tiered-elo-v6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-186</v>
      </c>
      <c r="AA23" s="28" t="n">
        <v>0.65</v>
      </c>
      <c r="AB23" s="28" t="n">
        <v>-0.00035</v>
      </c>
      <c r="AC23" s="30" t="n">
        <v>-1</v>
      </c>
      <c r="AD23" s="24" t="inlineStr">
        <is>
          <t>2026-08-10T16:33:30.239596Z</t>
        </is>
      </c>
      <c r="AE23" s="31" t="inlineStr">
        <is>
          <t>Neutral Elo baseline; executable ask 0.6500 (market_slug=aec-valorant-drg-tec-2026-08-10).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TEC Esports</t>
        </is>
      </c>
      <c r="AQ23" s="24" t="inlineStr">
        <is>
          <t>TEC Esports</t>
        </is>
      </c>
      <c r="AR23" s="24" t="inlineStr">
        <is>
          <t>TEC Esports</t>
        </is>
      </c>
      <c r="AS23" s="24" t="inlineStr">
        <is>
          <t>Dragon Ranger Gaming</t>
        </is>
      </c>
      <c r="AT23" s="24" t="inlineStr">
        <is>
          <t>Dragon Ranger Gaming</t>
        </is>
      </c>
      <c r="AU23" s="24" t="inlineStr">
        <is>
          <t>Dragon Ranger Gaming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72266705b8963b767d143e41ed9cc1fa063d302f1a1376fa6a6c7c696f8946b8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72266705b8963b767d143e41ed9cc1fa063d302f1a1376fa6a6c7c696f8946b8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2026-08-10T05:41:12.310605Z</t>
        </is>
      </c>
      <c r="BI23" s="24" t="inlineStr">
        <is>
          <t>["same_event","same_team_same_day","same_league_same_day"]</t>
        </is>
      </c>
      <c r="BJ23" s="25" t="n"/>
      <c r="BK23" s="26" t="n">
        <v>-186</v>
      </c>
      <c r="BL23" s="27" t="n">
        <v>1.537634</v>
      </c>
      <c r="BM23" s="28" t="n">
        <v>0.65035</v>
      </c>
      <c r="BN23" s="28" t="n"/>
      <c r="BO23" s="28" t="n"/>
      <c r="BP23" s="25" t="n"/>
      <c r="BQ23" s="27" t="n">
        <v>1.537634</v>
      </c>
      <c r="BR23" s="28" t="n">
        <v>0.65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</row>
    <row r="24" ht="36" customHeight="1">
      <c r="A24" s="24" t="inlineStr">
        <is>
          <t>9847fafdd60e486d</t>
        </is>
      </c>
      <c r="B24" s="24" t="inlineStr">
        <is>
          <t>2026-08-10T16:36:45.039622Z</t>
        </is>
      </c>
      <c r="C24" s="24" t="inlineStr">
        <is>
          <t>2026-08-10T18:00:00Z</t>
        </is>
      </c>
      <c r="D24" s="24" t="inlineStr">
        <is>
          <t>76786</t>
        </is>
      </c>
      <c r="E24" s="24" t="inlineStr">
        <is>
          <t>VALORANT</t>
        </is>
      </c>
      <c r="F24" s="24" t="inlineStr">
        <is>
          <t>GIANTX GC</t>
        </is>
      </c>
      <c r="G24" s="24" t="inlineStr">
        <is>
          <t>Barça eSports GC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0.575653</v>
      </c>
      <c r="P24" s="28" t="n"/>
      <c r="Q24" s="28" t="n">
        <v>0.016182</v>
      </c>
      <c r="R24" s="26" t="n">
        <v>28</v>
      </c>
      <c r="S24" s="29" t="n">
        <v>1.25</v>
      </c>
      <c r="T24" s="24" t="inlineStr">
        <is>
          <t>valorant-tiered-elo-v6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0</v>
      </c>
      <c r="Y24" s="25" t="n"/>
      <c r="Z24" s="26" t="n">
        <v>-127</v>
      </c>
      <c r="AA24" s="28" t="n">
        <v>0.5600000000000001</v>
      </c>
      <c r="AB24" s="28" t="n">
        <v>0.000529</v>
      </c>
      <c r="AC24" s="30" t="n">
        <v>0.9843</v>
      </c>
      <c r="AD24" s="24" t="inlineStr">
        <is>
          <t>2026-08-11T13:08:45.083511Z</t>
        </is>
      </c>
      <c r="AE24" s="31" t="inlineStr">
        <is>
          <t>Neutral Elo baseline; executable ask 0.5600 (market_slug=aec-valorant-beg-gxgc-2026-08-10).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GIANTX GC</t>
        </is>
      </c>
      <c r="AQ24" s="24" t="inlineStr">
        <is>
          <t>GIANTX GC</t>
        </is>
      </c>
      <c r="AR24" s="24" t="inlineStr">
        <is>
          <t>GIANTX GC</t>
        </is>
      </c>
      <c r="AS24" s="24" t="inlineStr">
        <is>
          <t>Barça eSports GC</t>
        </is>
      </c>
      <c r="AT24" s="24" t="inlineStr">
        <is>
          <t>Barça eSports GC</t>
        </is>
      </c>
      <c r="AU24" s="24" t="inlineStr">
        <is>
          <t>Barça eSports GC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2bc5ea39dc27eb41c7f3cbd9b58da9bee3940cd90f1ffefbd7b6a82f96fdee45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2bc5ea39dc27eb41c7f3cbd9b58da9bee3940cd90f1ffefbd7b6a82f96fdee45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2026-08-10T16:36:29.267540Z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>
        <v>1.787402</v>
      </c>
      <c r="BR24" s="28" t="n">
        <v>0.5600000000000001</v>
      </c>
      <c r="BS24" s="28" t="n"/>
      <c r="BT24" s="28" t="n"/>
      <c r="BU24" s="25" t="n"/>
      <c r="BV24" s="29" t="n"/>
      <c r="BW24" s="24" t="n"/>
      <c r="BX24" s="30" t="n">
        <v>1</v>
      </c>
      <c r="BY24" s="27" t="n">
        <v>0.91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622d47fd9b3a46fa</t>
        </is>
      </c>
      <c r="B25" s="24" t="inlineStr">
        <is>
          <t>2026-08-10T16:36:45.039622Z</t>
        </is>
      </c>
      <c r="C25" s="24" t="inlineStr">
        <is>
          <t>2026-08-10T21:00:00Z</t>
        </is>
      </c>
      <c r="D25" s="24" t="inlineStr">
        <is>
          <t>74870</t>
        </is>
      </c>
      <c r="E25" s="24" t="inlineStr">
        <is>
          <t>VALORANT</t>
        </is>
      </c>
      <c r="F25" s="24" t="inlineStr">
        <is>
          <t>:3</t>
        </is>
      </c>
      <c r="G25" s="24" t="inlineStr">
        <is>
          <t>SEN Otters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0.5605290000000001</v>
      </c>
      <c r="P25" s="28" t="n"/>
      <c r="Q25" s="28" t="n">
        <v>-0.010286</v>
      </c>
      <c r="R25" s="26" t="n">
        <v>15</v>
      </c>
      <c r="S25" s="29" t="n">
        <v>1</v>
      </c>
      <c r="T25" s="24" t="inlineStr">
        <is>
          <t>valorant-tiered-elo-v6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-133</v>
      </c>
      <c r="AA25" s="28" t="n">
        <v>0.57</v>
      </c>
      <c r="AB25" s="28" t="n">
        <v>-0.000815</v>
      </c>
      <c r="AC25" s="30" t="n">
        <v>0.7519</v>
      </c>
      <c r="AD25" s="24" t="inlineStr">
        <is>
          <t>2026-08-11T13:08:46.885412Z</t>
        </is>
      </c>
      <c r="AE25" s="31" t="inlineStr">
        <is>
          <t>Neutral Elo baseline; executable ask 0.5700 (market_slug=aec-valorant-soe-meow-2026-08-10).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:3</t>
        </is>
      </c>
      <c r="AQ25" s="24" t="inlineStr">
        <is>
          <t>:3</t>
        </is>
      </c>
      <c r="AR25" s="24" t="inlineStr">
        <is>
          <t>:3</t>
        </is>
      </c>
      <c r="AS25" s="24" t="inlineStr">
        <is>
          <t>SEN Otters</t>
        </is>
      </c>
      <c r="AT25" s="24" t="inlineStr">
        <is>
          <t>SEN Otters</t>
        </is>
      </c>
      <c r="AU25" s="24" t="inlineStr">
        <is>
          <t>SEN Otters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2bc5ea39dc27eb41c7f3cbd9b58da9bee3940cd90f1ffefbd7b6a82f96fdee45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2bc5ea39dc27eb41c7f3cbd9b58da9bee3940cd90f1ffefbd7b6a82f96fdee45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2026-08-10T16:36:30.692296Z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>
        <v>1.75188</v>
      </c>
      <c r="BR25" s="28" t="n">
        <v>0.57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ce1cc50ba0664fb0</t>
        </is>
      </c>
      <c r="B26" s="24" t="inlineStr">
        <is>
          <t>2026-08-10T16:36:45.039622Z</t>
        </is>
      </c>
      <c r="C26" s="24" t="inlineStr">
        <is>
          <t>2026-08-10T22:00:00Z</t>
        </is>
      </c>
      <c r="D26" s="24" t="inlineStr">
        <is>
          <t>75255</t>
        </is>
      </c>
      <c r="E26" s="24" t="inlineStr">
        <is>
          <t>VALORANT</t>
        </is>
      </c>
      <c r="F26" s="24" t="inlineStr">
        <is>
          <t>Olimpo Gold</t>
        </is>
      </c>
      <c r="G26" s="24" t="inlineStr">
        <is>
          <t>NPC Team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150</v>
      </c>
      <c r="M26" s="27" t="n">
        <v>2.5</v>
      </c>
      <c r="N26" s="28" t="n">
        <v>0.4</v>
      </c>
      <c r="O26" s="28" t="n">
        <v>0.559409</v>
      </c>
      <c r="P26" s="28" t="n"/>
      <c r="Q26" s="28" t="n">
        <v>0.159409</v>
      </c>
      <c r="R26" s="26" t="n">
        <v>100</v>
      </c>
      <c r="S26" s="29" t="n">
        <v>1</v>
      </c>
      <c r="T26" s="24" t="inlineStr">
        <is>
          <t>valorant-tiered-elo-v6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150</v>
      </c>
      <c r="AA26" s="28" t="n">
        <v>0.4</v>
      </c>
      <c r="AB26" s="28" t="n">
        <v>0</v>
      </c>
      <c r="AC26" s="30" t="n">
        <v>-1</v>
      </c>
      <c r="AD26" s="24" t="inlineStr">
        <is>
          <t>2026-08-11T13:08:48.462698Z</t>
        </is>
      </c>
      <c r="AE26" s="31" t="inlineStr">
        <is>
          <t>Neutral Elo baseline; executable ask 0.4000 (market_slug=aec-valorant-ntp-og-2026-08-10).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Olimpo Gold</t>
        </is>
      </c>
      <c r="AQ26" s="24" t="inlineStr">
        <is>
          <t>Olimpo Gold</t>
        </is>
      </c>
      <c r="AR26" s="24" t="inlineStr">
        <is>
          <t>Olimpo Gold</t>
        </is>
      </c>
      <c r="AS26" s="24" t="inlineStr">
        <is>
          <t>NPC Team</t>
        </is>
      </c>
      <c r="AT26" s="24" t="inlineStr">
        <is>
          <t>NPC Team</t>
        </is>
      </c>
      <c r="AU26" s="24" t="inlineStr">
        <is>
          <t>NPC Team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2bc5ea39dc27eb41c7f3cbd9b58da9bee3940cd90f1ffefbd7b6a82f96fdee45</t>
        </is>
      </c>
      <c r="BB26" s="24" t="inlineStr">
        <is>
          <t>neutral_elo</t>
        </is>
      </c>
      <c r="BC26" s="24" t="inlineStr">
        <is>
          <t>valorant-tiered-elo-v6</t>
        </is>
      </c>
      <c r="BD26" s="24" t="inlineStr">
        <is>
          <t>2bc5ea39dc27eb41c7f3cbd9b58da9bee3940cd90f1ffefbd7b6a82f96fdee45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valorant-tiered-elo-v6</t>
        </is>
      </c>
      <c r="BH26" s="24" t="inlineStr">
        <is>
          <t>2026-08-10T16:36:32.706040Z</t>
        </is>
      </c>
      <c r="BI26" s="24" t="inlineStr">
        <is>
          <t>["same_event","same_team_same_day","same_league_same_day"]</t>
        </is>
      </c>
      <c r="BJ26" s="25" t="n"/>
      <c r="BK26" s="26" t="n">
        <v>150</v>
      </c>
      <c r="BL26" s="27" t="n">
        <v>2.5</v>
      </c>
      <c r="BM26" s="28" t="n">
        <v>0.4</v>
      </c>
      <c r="BN26" s="28" t="n"/>
      <c r="BO26" s="28" t="n"/>
      <c r="BP26" s="25" t="n"/>
      <c r="BQ26" s="27" t="n">
        <v>2.5</v>
      </c>
      <c r="BR26" s="28" t="n">
        <v>0.4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4fda40e97bca4f2b</t>
        </is>
      </c>
      <c r="B27" s="24" t="inlineStr">
        <is>
          <t>2026-08-10T16:36:45.039622Z</t>
        </is>
      </c>
      <c r="C27" s="24" t="inlineStr">
        <is>
          <t>2026-08-10T23:00:00Z</t>
        </is>
      </c>
      <c r="D27" s="24" t="inlineStr">
        <is>
          <t>77301</t>
        </is>
      </c>
      <c r="E27" s="24" t="inlineStr">
        <is>
          <t>VALORANT</t>
        </is>
      </c>
      <c r="F27" s="24" t="inlineStr">
        <is>
          <t>7VEN STARS</t>
        </is>
      </c>
      <c r="G27" s="24" t="inlineStr">
        <is>
          <t>Low Cortisol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-117</v>
      </c>
      <c r="M27" s="27" t="n">
        <v>1.854701</v>
      </c>
      <c r="N27" s="28" t="n">
        <v>0.539171</v>
      </c>
      <c r="O27" s="28" t="n">
        <v>0.513493</v>
      </c>
      <c r="P27" s="28" t="n"/>
      <c r="Q27" s="28" t="n">
        <v>-0.025678</v>
      </c>
      <c r="R27" s="26" t="n">
        <v>7</v>
      </c>
      <c r="S27" s="29" t="n">
        <v>1</v>
      </c>
      <c r="T27" s="24" t="inlineStr">
        <is>
          <t>valorant-tiered-elo-v6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-117</v>
      </c>
      <c r="AA27" s="28" t="n">
        <v>0.54</v>
      </c>
      <c r="AB27" s="28" t="n">
        <v>0.000829</v>
      </c>
      <c r="AC27" s="30" t="n">
        <v>0.8547</v>
      </c>
      <c r="AD27" s="24" t="inlineStr">
        <is>
          <t>2026-08-11T13:08:50.184324Z</t>
        </is>
      </c>
      <c r="AE27" s="31" t="inlineStr">
        <is>
          <t>Neutral Elo baseline; executable ask 0.5400 (market_slug=aec-valorant-lc-7ven-2026-08-10).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7VEN STARS</t>
        </is>
      </c>
      <c r="AQ27" s="24" t="inlineStr">
        <is>
          <t>7VEN STARS</t>
        </is>
      </c>
      <c r="AR27" s="24" t="inlineStr">
        <is>
          <t>7VEN STARS</t>
        </is>
      </c>
      <c r="AS27" s="24" t="inlineStr">
        <is>
          <t>Low Cortisol</t>
        </is>
      </c>
      <c r="AT27" s="24" t="inlineStr">
        <is>
          <t>Low Cortisol</t>
        </is>
      </c>
      <c r="AU27" s="24" t="inlineStr">
        <is>
          <t>Low Cortisol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2bc5ea39dc27eb41c7f3cbd9b58da9bee3940cd90f1ffefbd7b6a82f96fdee45</t>
        </is>
      </c>
      <c r="BB27" s="24" t="inlineStr">
        <is>
          <t>neutral_elo</t>
        </is>
      </c>
      <c r="BC27" s="24" t="inlineStr">
        <is>
          <t>valorant-tiered-elo-v6</t>
        </is>
      </c>
      <c r="BD27" s="24" t="inlineStr">
        <is>
          <t>2bc5ea39dc27eb41c7f3cbd9b58da9bee3940cd90f1ffefbd7b6a82f96fdee45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valorant-tiered-elo-v6</t>
        </is>
      </c>
      <c r="BH27" s="24" t="inlineStr">
        <is>
          <t>2026-08-10T16:36:33.713404Z</t>
        </is>
      </c>
      <c r="BI27" s="24" t="inlineStr">
        <is>
          <t>["same_event","same_team_same_day","same_league_same_day"]</t>
        </is>
      </c>
      <c r="BJ27" s="25" t="n"/>
      <c r="BK27" s="26" t="n">
        <v>-117</v>
      </c>
      <c r="BL27" s="27" t="n">
        <v>1.854701</v>
      </c>
      <c r="BM27" s="28" t="n">
        <v>0.539171</v>
      </c>
      <c r="BN27" s="28" t="n"/>
      <c r="BO27" s="28" t="n"/>
      <c r="BP27" s="25" t="n"/>
      <c r="BQ27" s="27" t="n">
        <v>1.854701</v>
      </c>
      <c r="BR27" s="28" t="n">
        <v>0.54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0.91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aa68ce9405504ae6</t>
        </is>
      </c>
      <c r="B28" s="24" t="inlineStr">
        <is>
          <t>2026-08-10T16:36:45.039622Z</t>
        </is>
      </c>
      <c r="C28" s="24" t="inlineStr">
        <is>
          <t>2026-08-10T23:30:00Z</t>
        </is>
      </c>
      <c r="D28" s="24" t="inlineStr">
        <is>
          <t>74941</t>
        </is>
      </c>
      <c r="E28" s="24" t="inlineStr">
        <is>
          <t>VALORANT</t>
        </is>
      </c>
      <c r="F28" s="24" t="inlineStr">
        <is>
          <t>Los Chudeles</t>
        </is>
      </c>
      <c r="G28" s="24" t="inlineStr">
        <is>
          <t>MVSK Secret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-163</v>
      </c>
      <c r="M28" s="27" t="n">
        <v>1.613497</v>
      </c>
      <c r="N28" s="28" t="n">
        <v>0.619772</v>
      </c>
      <c r="O28" s="28" t="n">
        <v>0.518303</v>
      </c>
      <c r="P28" s="28" t="n"/>
      <c r="Q28" s="28" t="n">
        <v>-0.101469</v>
      </c>
      <c r="R28" s="26" t="n">
        <v>0</v>
      </c>
      <c r="S28" s="29" t="n">
        <v>1</v>
      </c>
      <c r="T28" s="24" t="inlineStr">
        <is>
          <t>valorant-tiered-elo-v6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-163</v>
      </c>
      <c r="AA28" s="28" t="n">
        <v>0.62</v>
      </c>
      <c r="AB28" s="28" t="n">
        <v>0.000228</v>
      </c>
      <c r="AC28" s="30" t="n">
        <v>0.6135</v>
      </c>
      <c r="AD28" s="24" t="inlineStr">
        <is>
          <t>2026-08-11T13:08:51.771291Z</t>
        </is>
      </c>
      <c r="AE28" s="31" t="inlineStr">
        <is>
          <t>Neutral Elo baseline; executable ask 0.6200 (market_slug=aec-valorant-mvs-lcd-2026-08-10).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Los Chudeles</t>
        </is>
      </c>
      <c r="AQ28" s="24" t="inlineStr">
        <is>
          <t>Los Chudeles</t>
        </is>
      </c>
      <c r="AR28" s="24" t="inlineStr">
        <is>
          <t>Los Chudeles</t>
        </is>
      </c>
      <c r="AS28" s="24" t="inlineStr">
        <is>
          <t>MVSK Secret</t>
        </is>
      </c>
      <c r="AT28" s="24" t="inlineStr">
        <is>
          <t>MVSK Secret</t>
        </is>
      </c>
      <c r="AU28" s="24" t="inlineStr">
        <is>
          <t>MVSK Secret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2bc5ea39dc27eb41c7f3cbd9b58da9bee3940cd90f1ffefbd7b6a82f96fdee45</t>
        </is>
      </c>
      <c r="BB28" s="24" t="inlineStr">
        <is>
          <t>neutral_elo</t>
        </is>
      </c>
      <c r="BC28" s="24" t="inlineStr">
        <is>
          <t>valorant-tiered-elo-v6</t>
        </is>
      </c>
      <c r="BD28" s="24" t="inlineStr">
        <is>
          <t>2bc5ea39dc27eb41c7f3cbd9b58da9bee3940cd90f1ffefbd7b6a82f96fdee45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valorant-tiered-elo-v6</t>
        </is>
      </c>
      <c r="BH28" s="24" t="inlineStr">
        <is>
          <t>2026-08-10T16:36:34.248666Z</t>
        </is>
      </c>
      <c r="BI28" s="24" t="inlineStr">
        <is>
          <t>["same_event","same_team_same_day","same_league_same_day"]</t>
        </is>
      </c>
      <c r="BJ28" s="25" t="n"/>
      <c r="BK28" s="26" t="n">
        <v>-163</v>
      </c>
      <c r="BL28" s="27" t="n">
        <v>1.613497</v>
      </c>
      <c r="BM28" s="28" t="n">
        <v>0.619772</v>
      </c>
      <c r="BN28" s="28" t="n"/>
      <c r="BO28" s="28" t="n"/>
      <c r="BP28" s="25" t="n"/>
      <c r="BQ28" s="27" t="n">
        <v>1.613497</v>
      </c>
      <c r="BR28" s="28" t="n">
        <v>0.62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</row>
    <row r="29" ht="36" customHeight="1">
      <c r="A29" s="24" t="inlineStr">
        <is>
          <t>405f5a8a9d4e4ddf</t>
        </is>
      </c>
      <c r="B29" s="24" t="inlineStr">
        <is>
          <t>2026-08-10T16:36:45.039622Z</t>
        </is>
      </c>
      <c r="C29" s="24" t="inlineStr">
        <is>
          <t>2026-08-10T23:30:00Z</t>
        </is>
      </c>
      <c r="D29" s="24" t="inlineStr">
        <is>
          <t>74942</t>
        </is>
      </c>
      <c r="E29" s="24" t="inlineStr">
        <is>
          <t>VALORANT</t>
        </is>
      </c>
      <c r="F29" s="24" t="inlineStr">
        <is>
          <t>ROSO GC</t>
        </is>
      </c>
      <c r="G29" s="24" t="inlineStr">
        <is>
          <t>SaD GC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0.533752</v>
      </c>
      <c r="P29" s="28" t="n"/>
      <c r="Q29" s="28" t="n">
        <v>-0.005419</v>
      </c>
      <c r="R29" s="26" t="n">
        <v>17</v>
      </c>
      <c r="S29" s="29" t="n">
        <v>1</v>
      </c>
      <c r="T29" s="24" t="inlineStr">
        <is>
          <t>valorant-tiered-elo-v6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-117</v>
      </c>
      <c r="AA29" s="28" t="n">
        <v>0.54</v>
      </c>
      <c r="AB29" s="28" t="n">
        <v>0.000829</v>
      </c>
      <c r="AC29" s="30" t="n">
        <v>0.8547</v>
      </c>
      <c r="AD29" s="24" t="inlineStr">
        <is>
          <t>2026-08-11T13:08:53.344006Z</t>
        </is>
      </c>
      <c r="AE29" s="31" t="inlineStr">
        <is>
          <t>Neutral Elo baseline; executable ask 0.5400 (market_slug=aec-valorant-sga-roso-2026-08-10).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ROSO GC</t>
        </is>
      </c>
      <c r="AQ29" s="24" t="inlineStr">
        <is>
          <t>ROSO GC</t>
        </is>
      </c>
      <c r="AR29" s="24" t="inlineStr">
        <is>
          <t>ROSO GC</t>
        </is>
      </c>
      <c r="AS29" s="24" t="inlineStr">
        <is>
          <t>SaD GC</t>
        </is>
      </c>
      <c r="AT29" s="24" t="inlineStr">
        <is>
          <t>SaD GC</t>
        </is>
      </c>
      <c r="AU29" s="24" t="inlineStr">
        <is>
          <t>SaD GC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2bc5ea39dc27eb41c7f3cbd9b58da9bee3940cd90f1ffefbd7b6a82f96fdee45</t>
        </is>
      </c>
      <c r="BB29" s="24" t="inlineStr">
        <is>
          <t>neutral_elo</t>
        </is>
      </c>
      <c r="BC29" s="24" t="inlineStr">
        <is>
          <t>valorant-tiered-elo-v6</t>
        </is>
      </c>
      <c r="BD29" s="24" t="inlineStr">
        <is>
          <t>2bc5ea39dc27eb41c7f3cbd9b58da9bee3940cd90f1ffefbd7b6a82f96fdee45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valorant-tiered-elo-v6</t>
        </is>
      </c>
      <c r="BH29" s="24" t="inlineStr">
        <is>
          <t>2026-08-10T16:36:35.896441Z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>
        <v>1.854701</v>
      </c>
      <c r="BR29" s="28" t="n">
        <v>0.54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</row>
    <row r="30" ht="36" customHeight="1">
      <c r="A30" s="24" t="inlineStr">
        <is>
          <t>57bd2277bbbc4774</t>
        </is>
      </c>
      <c r="B30" s="24" t="inlineStr">
        <is>
          <t>2026-08-10T16:36:45.039622Z</t>
        </is>
      </c>
      <c r="C30" s="24" t="inlineStr">
        <is>
          <t>2026-08-11T01:00:00Z</t>
        </is>
      </c>
      <c r="D30" s="24" t="inlineStr">
        <is>
          <t>75257</t>
        </is>
      </c>
      <c r="E30" s="24" t="inlineStr">
        <is>
          <t>VALORANT</t>
        </is>
      </c>
      <c r="F30" s="24" t="inlineStr">
        <is>
          <t>FUSION X</t>
        </is>
      </c>
      <c r="G30" s="24" t="inlineStr">
        <is>
          <t>MYVRA GC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0.750891</v>
      </c>
      <c r="P30" s="28" t="n"/>
      <c r="Q30" s="28" t="n">
        <v>0.110603</v>
      </c>
      <c r="R30" s="26" t="n">
        <v>75</v>
      </c>
      <c r="S30" s="29" t="n">
        <v>2</v>
      </c>
      <c r="T30" s="24" t="inlineStr">
        <is>
          <t>valorant-tiered-elo-v6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-2</v>
      </c>
      <c r="AD30" s="24" t="inlineStr">
        <is>
          <t>2026-08-13T05:34:52.043586Z</t>
        </is>
      </c>
      <c r="AE30" s="31" t="inlineStr">
        <is>
          <t>Neutral Elo baseline; executable ask 0.6400 (market_slug=aec-valorant-myvgc-fsnx-2026-08-11).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FUSION X</t>
        </is>
      </c>
      <c r="AQ30" s="24" t="inlineStr">
        <is>
          <t>FUSION X</t>
        </is>
      </c>
      <c r="AR30" s="24" t="inlineStr">
        <is>
          <t>FUSION X</t>
        </is>
      </c>
      <c r="AS30" s="24" t="inlineStr">
        <is>
          <t>MYVRA GC</t>
        </is>
      </c>
      <c r="AT30" s="24" t="inlineStr">
        <is>
          <t>MYVRA GC</t>
        </is>
      </c>
      <c r="AU30" s="24" t="inlineStr">
        <is>
          <t>MYVRA GC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2bc5ea39dc27eb41c7f3cbd9b58da9bee3940cd90f1ffefbd7b6a82f96fdee45</t>
        </is>
      </c>
      <c r="BB30" s="24" t="inlineStr">
        <is>
          <t>neutral_elo</t>
        </is>
      </c>
      <c r="BC30" s="24" t="inlineStr">
        <is>
          <t>valorant-tiered-elo-v6</t>
        </is>
      </c>
      <c r="BD30" s="24" t="inlineStr">
        <is>
          <t>2bc5ea39dc27eb41c7f3cbd9b58da9bee3940cd90f1ffefbd7b6a82f96fdee45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valorant-tiered-elo-v6</t>
        </is>
      </c>
      <c r="BH30" s="24" t="inlineStr">
        <is>
          <t>2026-08-10T16:36:36.768051Z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3acfddd1d0a74f41</t>
        </is>
      </c>
      <c r="B31" s="24" t="inlineStr">
        <is>
          <t>2026-08-10T16:36:45.039622Z</t>
        </is>
      </c>
      <c r="C31" s="24" t="inlineStr">
        <is>
          <t>2026-08-11T10:00:00Z</t>
        </is>
      </c>
      <c r="D31" s="24" t="inlineStr">
        <is>
          <t>77309</t>
        </is>
      </c>
      <c r="E31" s="24" t="inlineStr">
        <is>
          <t>VALORANT</t>
        </is>
      </c>
      <c r="F31" s="24" t="inlineStr">
        <is>
          <t>Dragon Ranger Gaming</t>
        </is>
      </c>
      <c r="G31" s="24" t="inlineStr">
        <is>
          <t>Trace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156</v>
      </c>
      <c r="M31" s="27" t="n">
        <v>2.56</v>
      </c>
      <c r="N31" s="28" t="n">
        <v>0.390625</v>
      </c>
      <c r="O31" s="28" t="n">
        <v>0.521278</v>
      </c>
      <c r="P31" s="28" t="n"/>
      <c r="Q31" s="28" t="n">
        <v>0.130653</v>
      </c>
      <c r="R31" s="26" t="n">
        <v>85</v>
      </c>
      <c r="S31" s="29" t="n">
        <v>1</v>
      </c>
      <c r="T31" s="24" t="inlineStr">
        <is>
          <t>valorant-tiered-elo-v6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1.56</v>
      </c>
      <c r="AD31" s="24" t="inlineStr">
        <is>
          <t>2026-08-11T16:30:27.536526Z</t>
        </is>
      </c>
      <c r="AE31" s="31" t="inlineStr">
        <is>
          <t>Neutral Elo baseline; executable ask 0.3900 (market_slug=aec-valorant-te-drg-2026-08-11).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Dragon Ranger Gaming</t>
        </is>
      </c>
      <c r="AQ31" s="24" t="inlineStr">
        <is>
          <t>Dragon Ranger Gaming</t>
        </is>
      </c>
      <c r="AR31" s="24" t="inlineStr">
        <is>
          <t>Dragon Ranger Gaming</t>
        </is>
      </c>
      <c r="AS31" s="24" t="inlineStr">
        <is>
          <t>Trace Esports</t>
        </is>
      </c>
      <c r="AT31" s="24" t="inlineStr">
        <is>
          <t>Trace Esports</t>
        </is>
      </c>
      <c r="AU31" s="24" t="inlineStr">
        <is>
          <t>Trace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2bc5ea39dc27eb41c7f3cbd9b58da9bee3940cd90f1ffefbd7b6a82f96fdee45</t>
        </is>
      </c>
      <c r="BB31" s="24" t="inlineStr">
        <is>
          <t>neutral_elo</t>
        </is>
      </c>
      <c r="BC31" s="24" t="inlineStr">
        <is>
          <t>valorant-tiered-elo-v6</t>
        </is>
      </c>
      <c r="BD31" s="24" t="inlineStr">
        <is>
          <t>2bc5ea39dc27eb41c7f3cbd9b58da9bee3940cd90f1ffefbd7b6a82f96fdee45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valorant-tiered-elo-v6</t>
        </is>
      </c>
      <c r="BH31" s="24" t="inlineStr">
        <is>
          <t>2026-08-10T16:36:39.099981Z</t>
        </is>
      </c>
      <c r="BI31" s="24" t="inlineStr">
        <is>
          <t>["same_event","same_team_same_day","same_league_same_day"]</t>
        </is>
      </c>
      <c r="BJ31" s="25" t="n"/>
      <c r="BK31" s="26" t="n">
        <v>156</v>
      </c>
      <c r="BL31" s="27" t="n">
        <v>2.56</v>
      </c>
      <c r="BM31" s="28" t="n">
        <v>0.390625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930b2d203195468b</t>
        </is>
      </c>
      <c r="B32" s="24" t="inlineStr">
        <is>
          <t>2026-08-12T05:16:18.213867Z</t>
        </is>
      </c>
      <c r="C32" s="24" t="inlineStr">
        <is>
          <t>2026-08-12T08:00:00Z</t>
        </is>
      </c>
      <c r="D32" s="24" t="inlineStr">
        <is>
          <t>77310</t>
        </is>
      </c>
      <c r="E32" s="24" t="inlineStr">
        <is>
          <t>VALORANT</t>
        </is>
      </c>
      <c r="F32" s="24" t="inlineStr">
        <is>
          <t>TEC Esports</t>
        </is>
      </c>
      <c r="G32" s="24" t="inlineStr">
        <is>
          <t>All Gamers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-194</v>
      </c>
      <c r="M32" s="27" t="n">
        <v>1.515464</v>
      </c>
      <c r="N32" s="28" t="n">
        <v>0.659864</v>
      </c>
      <c r="O32" s="28" t="n">
        <v>0.644266</v>
      </c>
      <c r="P32" s="28" t="n"/>
      <c r="Q32" s="28" t="n">
        <v>-0.015598</v>
      </c>
      <c r="R32" s="26" t="n">
        <v>12</v>
      </c>
      <c r="S32" s="29" t="n">
        <v>1.75</v>
      </c>
      <c r="T32" s="24" t="inlineStr">
        <is>
          <t>valorant-tiered-elo-v6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>
        <v>-194</v>
      </c>
      <c r="AA32" s="28" t="n">
        <v>0.66</v>
      </c>
      <c r="AB32" s="28" t="n">
        <v>0.000136</v>
      </c>
      <c r="AC32" s="30" t="n">
        <v>-1.75</v>
      </c>
      <c r="AD32" s="24" t="inlineStr">
        <is>
          <t>2026-08-12T11:26:02.044238Z</t>
        </is>
      </c>
      <c r="AE32" s="31" t="inlineStr">
        <is>
          <t>Neutral Elo baseline; executable ask 0.6600 (market_slug=aec-valorant-ag-tec-2026-08-12).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TEC Esports</t>
        </is>
      </c>
      <c r="AQ32" s="24" t="inlineStr">
        <is>
          <t>TEC Esports</t>
        </is>
      </c>
      <c r="AR32" s="24" t="inlineStr">
        <is>
          <t>TEC Esports</t>
        </is>
      </c>
      <c r="AS32" s="24" t="inlineStr">
        <is>
          <t>All Gamers</t>
        </is>
      </c>
      <c r="AT32" s="24" t="inlineStr">
        <is>
          <t>All Gamers</t>
        </is>
      </c>
      <c r="AU32" s="24" t="inlineStr">
        <is>
          <t>All Gamers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4792dd578222575dd6709f4cd58cc915816e25c48588fd98c5aca4aac9d7b76c</t>
        </is>
      </c>
      <c r="BB32" s="24" t="inlineStr">
        <is>
          <t>neutral_elo</t>
        </is>
      </c>
      <c r="BC32" s="24" t="inlineStr">
        <is>
          <t>valorant-tiered-elo-v6</t>
        </is>
      </c>
      <c r="BD32" s="24" t="inlineStr">
        <is>
          <t>4792dd578222575dd6709f4cd58cc915816e25c48588fd98c5aca4aac9d7b76c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valorant-tiered-elo-v6</t>
        </is>
      </c>
      <c r="BH32" s="24" t="inlineStr">
        <is>
          <t>2026-08-12T05:16:07.036998Z</t>
        </is>
      </c>
      <c r="BI32" s="24" t="inlineStr">
        <is>
          <t>["same_event","same_team_same_day","same_league_same_day"]</t>
        </is>
      </c>
      <c r="BJ32" s="25" t="n"/>
      <c r="BK32" s="26" t="n">
        <v>-194</v>
      </c>
      <c r="BL32" s="27" t="n">
        <v>1.515464</v>
      </c>
      <c r="BM32" s="28" t="n">
        <v>0.659864</v>
      </c>
      <c r="BN32" s="28" t="n"/>
      <c r="BO32" s="28" t="n"/>
      <c r="BP32" s="25" t="n"/>
      <c r="BQ32" s="27" t="n">
        <v>1.515464</v>
      </c>
      <c r="BR32" s="28" t="n">
        <v>0.66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</row>
    <row r="33" ht="36" customHeight="1">
      <c r="A33" s="24" t="inlineStr">
        <is>
          <t>3324452a86f24b80</t>
        </is>
      </c>
      <c r="B33" s="24" t="inlineStr">
        <is>
          <t>2026-08-12T08:22:32.920392Z</t>
        </is>
      </c>
      <c r="C33" s="24" t="inlineStr">
        <is>
          <t>2026-08-12T10:00:00Z</t>
        </is>
      </c>
      <c r="D33" s="24" t="inlineStr">
        <is>
          <t>78281</t>
        </is>
      </c>
      <c r="E33" s="24" t="inlineStr">
        <is>
          <t>VALORANT</t>
        </is>
      </c>
      <c r="F33" s="24" t="inlineStr">
        <is>
          <t>Trace Esports</t>
        </is>
      </c>
      <c r="G33" s="24" t="inlineStr">
        <is>
          <t>JD Gaming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-133</v>
      </c>
      <c r="M33" s="27" t="n">
        <v>1.75188</v>
      </c>
      <c r="N33" s="28" t="n">
        <v>0.570815</v>
      </c>
      <c r="O33" s="28" t="n">
        <v>0.527775</v>
      </c>
      <c r="P33" s="28" t="n"/>
      <c r="Q33" s="28" t="n">
        <v>-0.04304</v>
      </c>
      <c r="R33" s="26" t="n">
        <v>0</v>
      </c>
      <c r="S33" s="29" t="n">
        <v>1</v>
      </c>
      <c r="T33" s="24" t="inlineStr">
        <is>
          <t>valorant-tiered-elo-v6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-133</v>
      </c>
      <c r="AA33" s="28" t="n">
        <v>0.57</v>
      </c>
      <c r="AB33" s="28" t="n">
        <v>-0.000815</v>
      </c>
      <c r="AC33" s="30" t="n">
        <v>-1</v>
      </c>
      <c r="AD33" s="24" t="inlineStr">
        <is>
          <t>2026-08-12T14:33:37.126879Z</t>
        </is>
      </c>
      <c r="AE33" s="31" t="inlineStr">
        <is>
          <t>Neutral Elo baseline; executable ask 0.5700 (market_slug=aec-valorant-jdg-te-2026-08-12).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Trace Esports</t>
        </is>
      </c>
      <c r="AQ33" s="24" t="inlineStr">
        <is>
          <t>Trace Esports</t>
        </is>
      </c>
      <c r="AR33" s="24" t="inlineStr">
        <is>
          <t>Trace Esports</t>
        </is>
      </c>
      <c r="AS33" s="24" t="inlineStr">
        <is>
          <t>JD Gaming</t>
        </is>
      </c>
      <c r="AT33" s="24" t="inlineStr">
        <is>
          <t>JD Gaming</t>
        </is>
      </c>
      <c r="AU33" s="24" t="inlineStr">
        <is>
          <t>JD Gaming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af3d00b935358b29757b887763afd672c7c8a6d4157c0044d3888bfce55ec3d6</t>
        </is>
      </c>
      <c r="BB33" s="24" t="inlineStr">
        <is>
          <t>neutral_elo</t>
        </is>
      </c>
      <c r="BC33" s="24" t="inlineStr">
        <is>
          <t>valorant-tiered-elo-v6</t>
        </is>
      </c>
      <c r="BD33" s="24" t="inlineStr">
        <is>
          <t>af3d00b935358b29757b887763afd672c7c8a6d4157c0044d3888bfce55ec3d6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valorant-tiered-elo-v6</t>
        </is>
      </c>
      <c r="BH33" s="24" t="inlineStr">
        <is>
          <t>2026-08-12T08:22:23.424687Z</t>
        </is>
      </c>
      <c r="BI33" s="24" t="inlineStr">
        <is>
          <t>["same_event","same_team_same_day","same_league_same_day"]</t>
        </is>
      </c>
      <c r="BJ33" s="25" t="n"/>
      <c r="BK33" s="26" t="n">
        <v>-133</v>
      </c>
      <c r="BL33" s="27" t="n">
        <v>1.75188</v>
      </c>
      <c r="BM33" s="28" t="n">
        <v>0.570815</v>
      </c>
      <c r="BN33" s="28" t="n"/>
      <c r="BO33" s="28" t="n"/>
      <c r="BP33" s="25" t="n"/>
      <c r="BQ33" s="27" t="n">
        <v>1.75188</v>
      </c>
      <c r="BR33" s="28" t="n">
        <v>0.57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</row>
    <row r="34" ht="36" customHeight="1">
      <c r="A34" s="24" t="inlineStr">
        <is>
          <t>ae036ee3fab94c33</t>
        </is>
      </c>
      <c r="B34" s="24" t="inlineStr">
        <is>
          <t>2026-08-12T14:37:16.864247Z</t>
        </is>
      </c>
      <c r="C34" s="24" t="inlineStr">
        <is>
          <t>2026-08-12T15:00:00Z</t>
        </is>
      </c>
      <c r="D34" s="24" t="inlineStr">
        <is>
          <t>76905</t>
        </is>
      </c>
      <c r="E34" s="24" t="inlineStr">
        <is>
          <t>VALORANT</t>
        </is>
      </c>
      <c r="F34" s="24" t="inlineStr">
        <is>
          <t>Gentle Mates</t>
        </is>
      </c>
      <c r="G34" s="24" t="inlineStr">
        <is>
          <t>Eintracht Frankfurt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223</v>
      </c>
      <c r="M34" s="27" t="n">
        <v>3.23</v>
      </c>
      <c r="N34" s="28" t="n">
        <v>0.309598</v>
      </c>
      <c r="O34" s="28" t="n">
        <v>0.601267</v>
      </c>
      <c r="P34" s="28" t="n"/>
      <c r="Q34" s="28" t="n">
        <v>0.291669</v>
      </c>
      <c r="R34" s="26" t="n">
        <v>100</v>
      </c>
      <c r="S34" s="29" t="n">
        <v>1.25</v>
      </c>
      <c r="T34" s="24" t="inlineStr">
        <is>
          <t>valorant-tiered-elo-v6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223</v>
      </c>
      <c r="AA34" s="28" t="n">
        <v>0.31</v>
      </c>
      <c r="AB34" s="28" t="n">
        <v>0.000402</v>
      </c>
      <c r="AC34" s="30" t="n">
        <v>2.7875</v>
      </c>
      <c r="AD34" s="24" t="inlineStr">
        <is>
          <t>2026-08-12T17:40:52.702365Z</t>
        </is>
      </c>
      <c r="AE34" s="31" t="inlineStr">
        <is>
          <t>Neutral Elo baseline; executable ask 0.3100 (market_slug=aec-valorant-sge-gm-2026-08-12).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Gentle Mates</t>
        </is>
      </c>
      <c r="AQ34" s="24" t="inlineStr">
        <is>
          <t>Gentle Mates</t>
        </is>
      </c>
      <c r="AR34" s="24" t="inlineStr">
        <is>
          <t>Gentle Mates</t>
        </is>
      </c>
      <c r="AS34" s="24" t="inlineStr">
        <is>
          <t>Eintracht Frankfurt</t>
        </is>
      </c>
      <c r="AT34" s="24" t="inlineStr">
        <is>
          <t>Eintracht Frankfurt</t>
        </is>
      </c>
      <c r="AU34" s="24" t="inlineStr">
        <is>
          <t>Eintracht Frankfurt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544d1cd34df6c8d22913af55b6e1b019f8a76a060474a2450daa185b339b6d8d</t>
        </is>
      </c>
      <c r="BB34" s="24" t="inlineStr">
        <is>
          <t>neutral_elo</t>
        </is>
      </c>
      <c r="BC34" s="24" t="inlineStr">
        <is>
          <t>valorant-tiered-elo-v6</t>
        </is>
      </c>
      <c r="BD34" s="24" t="inlineStr">
        <is>
          <t>544d1cd34df6c8d22913af55b6e1b019f8a76a060474a2450daa185b339b6d8d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valorant-tiered-elo-v6</t>
        </is>
      </c>
      <c r="BH34" s="24" t="inlineStr">
        <is>
          <t>2026-08-12T14:37:09.887094Z</t>
        </is>
      </c>
      <c r="BI34" s="24" t="inlineStr">
        <is>
          <t>["same_event","same_team_same_day","same_league_same_day"]</t>
        </is>
      </c>
      <c r="BJ34" s="25" t="n"/>
      <c r="BK34" s="26" t="n">
        <v>223</v>
      </c>
      <c r="BL34" s="27" t="n">
        <v>3.23</v>
      </c>
      <c r="BM34" s="28" t="n">
        <v>0.309598</v>
      </c>
      <c r="BN34" s="28" t="n"/>
      <c r="BO34" s="28" t="n"/>
      <c r="BP34" s="25" t="n"/>
      <c r="BQ34" s="27" t="n">
        <v>3.23</v>
      </c>
      <c r="BR34" s="28" t="n">
        <v>0.31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b1034ef267cd49a7</t>
        </is>
      </c>
      <c r="B35" s="24" t="inlineStr">
        <is>
          <t>2026-08-12T17:44:36.247336Z</t>
        </is>
      </c>
      <c r="C35" s="24" t="inlineStr">
        <is>
          <t>2026-08-12T18:00:00Z</t>
        </is>
      </c>
      <c r="D35" s="24" t="inlineStr">
        <is>
          <t>76535</t>
        </is>
      </c>
      <c r="E35" s="24" t="inlineStr">
        <is>
          <t>VALORANT</t>
        </is>
      </c>
      <c r="F35" s="24" t="inlineStr">
        <is>
          <t>Natus Vincere</t>
        </is>
      </c>
      <c r="G35" s="24" t="inlineStr">
        <is>
          <t>Team Heretics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-138</v>
      </c>
      <c r="M35" s="27" t="n">
        <v>1.724638</v>
      </c>
      <c r="N35" s="28" t="n">
        <v>0.579832</v>
      </c>
      <c r="O35" s="28" t="n">
        <v>0.642814</v>
      </c>
      <c r="P35" s="28" t="n"/>
      <c r="Q35" s="28" t="n">
        <v>0.062982</v>
      </c>
      <c r="R35" s="26" t="n">
        <v>51</v>
      </c>
      <c r="S35" s="29" t="n">
        <v>1.5</v>
      </c>
      <c r="T35" s="24" t="inlineStr">
        <is>
          <t>valorant-tiered-elo-v6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-138</v>
      </c>
      <c r="AA35" s="28" t="n">
        <v>0.58</v>
      </c>
      <c r="AB35" s="28" t="n">
        <v>0.000168</v>
      </c>
      <c r="AC35" s="30" t="n">
        <v>1.087</v>
      </c>
      <c r="AD35" s="24" t="inlineStr">
        <is>
          <t>2026-08-12T21:15:48.780684Z</t>
        </is>
      </c>
      <c r="AE35" s="31" t="inlineStr">
        <is>
          <t>Neutral Elo baseline; executable ask 0.5800 (market_slug=aec-valorant-th-navi-2026-08-12).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Natus Vincere</t>
        </is>
      </c>
      <c r="AQ35" s="24" t="inlineStr">
        <is>
          <t>Natus Vincere</t>
        </is>
      </c>
      <c r="AR35" s="24" t="inlineStr">
        <is>
          <t>Natus Vincere</t>
        </is>
      </c>
      <c r="AS35" s="24" t="inlineStr">
        <is>
          <t>Team Heretics</t>
        </is>
      </c>
      <c r="AT35" s="24" t="inlineStr">
        <is>
          <t>Team Heretics</t>
        </is>
      </c>
      <c r="AU35" s="24" t="inlineStr">
        <is>
          <t>Team Heretics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3e30c9a8fb6f01c0c89924e36259c4ce725d15ed0ed8c2c80c389169eabcc95f</t>
        </is>
      </c>
      <c r="BB35" s="24" t="inlineStr">
        <is>
          <t>neutral_elo</t>
        </is>
      </c>
      <c r="BC35" s="24" t="inlineStr">
        <is>
          <t>valorant-tiered-elo-v6</t>
        </is>
      </c>
      <c r="BD35" s="24" t="inlineStr">
        <is>
          <t>3e30c9a8fb6f01c0c89924e36259c4ce725d15ed0ed8c2c80c389169eabcc95f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valorant-tiered-elo-v6</t>
        </is>
      </c>
      <c r="BH35" s="24" t="inlineStr">
        <is>
          <t>2026-08-12T17:44:26.441713Z</t>
        </is>
      </c>
      <c r="BI35" s="24" t="inlineStr">
        <is>
          <t>["same_event","same_team_same_day","same_league_same_day"]</t>
        </is>
      </c>
      <c r="BJ35" s="25" t="n"/>
      <c r="BK35" s="26" t="n">
        <v>-138</v>
      </c>
      <c r="BL35" s="27" t="n">
        <v>1.724638</v>
      </c>
      <c r="BM35" s="28" t="n">
        <v>0.579832</v>
      </c>
      <c r="BN35" s="28" t="n"/>
      <c r="BO35" s="28" t="n"/>
      <c r="BP35" s="25" t="n"/>
      <c r="BQ35" s="27" t="n">
        <v>1.724638</v>
      </c>
      <c r="BR35" s="28" t="n">
        <v>0.58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00aa6aaa613b4e55</t>
        </is>
      </c>
      <c r="B36" s="24" t="inlineStr">
        <is>
          <t>2026-08-12T17:44:36.247336Z</t>
        </is>
      </c>
      <c r="C36" s="24" t="inlineStr">
        <is>
          <t>2026-08-12T21:00:00Z</t>
        </is>
      </c>
      <c r="D36" s="24" t="inlineStr">
        <is>
          <t>78198</t>
        </is>
      </c>
      <c r="E36" s="24" t="inlineStr">
        <is>
          <t>VALORANT</t>
        </is>
      </c>
      <c r="F36" s="24" t="inlineStr">
        <is>
          <t>HIMMERS</t>
        </is>
      </c>
      <c r="G36" s="24" t="inlineStr">
        <is>
          <t>SEN Otters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0.538521</v>
      </c>
      <c r="P36" s="28" t="n"/>
      <c r="Q36" s="28" t="n">
        <v>-0.032294</v>
      </c>
      <c r="R36" s="26" t="n">
        <v>4</v>
      </c>
      <c r="S36" s="29" t="n">
        <v>1</v>
      </c>
      <c r="T36" s="24" t="inlineStr">
        <is>
          <t>valorant-tiered-elo-v6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-133</v>
      </c>
      <c r="AA36" s="28" t="n">
        <v>0.57</v>
      </c>
      <c r="AB36" s="28" t="n">
        <v>-0.000815</v>
      </c>
      <c r="AC36" s="30" t="n">
        <v>-1</v>
      </c>
      <c r="AD36" s="24" t="inlineStr">
        <is>
          <t>2026-08-13T05:34:53.538532Z</t>
        </is>
      </c>
      <c r="AE36" s="31" t="inlineStr">
        <is>
          <t>Neutral Elo baseline; executable ask 0.5700 (market_slug=aec-valorant-soe-him-2026-08-12).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HIMMERS</t>
        </is>
      </c>
      <c r="AQ36" s="24" t="inlineStr">
        <is>
          <t>HIMMERS</t>
        </is>
      </c>
      <c r="AR36" s="24" t="inlineStr">
        <is>
          <t>HIMMERS</t>
        </is>
      </c>
      <c r="AS36" s="24" t="inlineStr">
        <is>
          <t>SEN Otters</t>
        </is>
      </c>
      <c r="AT36" s="24" t="inlineStr">
        <is>
          <t>SEN Otters</t>
        </is>
      </c>
      <c r="AU36" s="24" t="inlineStr">
        <is>
          <t>SEN Otters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3e30c9a8fb6f01c0c89924e36259c4ce725d15ed0ed8c2c80c389169eabcc95f</t>
        </is>
      </c>
      <c r="BB36" s="24" t="inlineStr">
        <is>
          <t>neutral_elo</t>
        </is>
      </c>
      <c r="BC36" s="24" t="inlineStr">
        <is>
          <t>valorant-tiered-elo-v6</t>
        </is>
      </c>
      <c r="BD36" s="24" t="inlineStr">
        <is>
          <t>3e30c9a8fb6f01c0c89924e36259c4ce725d15ed0ed8c2c80c389169eabcc95f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valorant-tiered-elo-v6</t>
        </is>
      </c>
      <c r="BH36" s="24" t="inlineStr">
        <is>
          <t>2026-08-12T17:44:26.918442Z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/>
      <c r="BO36" s="28" t="n"/>
      <c r="BP36" s="25" t="n"/>
      <c r="BQ36" s="27" t="n">
        <v>1.75188</v>
      </c>
      <c r="BR36" s="28" t="n">
        <v>0.57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164c733353294acf</t>
        </is>
      </c>
      <c r="B37" s="24" t="inlineStr">
        <is>
          <t>2026-08-12T21:33:44.211826Z</t>
        </is>
      </c>
      <c r="C37" s="24" t="inlineStr">
        <is>
          <t>2026-08-12T23:30:00Z</t>
        </is>
      </c>
      <c r="D37" s="24" t="inlineStr">
        <is>
          <t>78205</t>
        </is>
      </c>
      <c r="E37" s="24" t="inlineStr">
        <is>
          <t>VALORANT</t>
        </is>
      </c>
      <c r="F37" s="24" t="inlineStr">
        <is>
          <t>The Spiders</t>
        </is>
      </c>
      <c r="G37" s="24" t="inlineStr">
        <is>
          <t>MVSK Secret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203</v>
      </c>
      <c r="M37" s="27" t="n">
        <v>3.03</v>
      </c>
      <c r="N37" s="28" t="n">
        <v>0.330033</v>
      </c>
      <c r="O37" s="28" t="n">
        <v>0.519894</v>
      </c>
      <c r="P37" s="28" t="n"/>
      <c r="Q37" s="28" t="n">
        <v>0.189861</v>
      </c>
      <c r="R37" s="26" t="n">
        <v>100</v>
      </c>
      <c r="S37" s="29" t="n">
        <v>1</v>
      </c>
      <c r="T37" s="24" t="inlineStr">
        <is>
          <t>valorant-tiered-elo-v6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>
        <v>203</v>
      </c>
      <c r="AA37" s="28" t="n">
        <v>0.33</v>
      </c>
      <c r="AB37" s="28" t="n">
        <v>-3.3e-05</v>
      </c>
      <c r="AC37" s="30" t="n">
        <v>-1</v>
      </c>
      <c r="AD37" s="24" t="inlineStr">
        <is>
          <t>2026-08-13T05:34:55.000552Z</t>
        </is>
      </c>
      <c r="AE37" s="31" t="inlineStr">
        <is>
          <t>Neutral Elo baseline; executable ask 0.3300 (market_slug=aec-valorant-mvs-spi-2026-08-12).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The Spiders</t>
        </is>
      </c>
      <c r="AQ37" s="24" t="inlineStr">
        <is>
          <t>The Spiders</t>
        </is>
      </c>
      <c r="AR37" s="24" t="inlineStr">
        <is>
          <t>The Spiders</t>
        </is>
      </c>
      <c r="AS37" s="24" t="inlineStr">
        <is>
          <t>MVSK Secret</t>
        </is>
      </c>
      <c r="AT37" s="24" t="inlineStr">
        <is>
          <t>MVSK Secret</t>
        </is>
      </c>
      <c r="AU37" s="24" t="inlineStr">
        <is>
          <t>MVSK Secret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b58416f26420ee9d55d05ce1518c442566f4b73f4e41b9531abbe4559267bbea</t>
        </is>
      </c>
      <c r="BB37" s="24" t="inlineStr">
        <is>
          <t>neutral_elo</t>
        </is>
      </c>
      <c r="BC37" s="24" t="inlineStr">
        <is>
          <t>valorant-tiered-elo-v6</t>
        </is>
      </c>
      <c r="BD37" s="24" t="inlineStr">
        <is>
          <t>b58416f26420ee9d55d05ce1518c442566f4b73f4e41b9531abbe4559267bbea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valorant-tiered-elo-v6</t>
        </is>
      </c>
      <c r="BH37" s="24" t="inlineStr">
        <is>
          <t>2026-08-12T21:33:38.241347Z</t>
        </is>
      </c>
      <c r="BI37" s="24" t="inlineStr">
        <is>
          <t>["same_event","same_team_same_day","same_league_same_day"]</t>
        </is>
      </c>
      <c r="BJ37" s="25" t="n"/>
      <c r="BK37" s="26" t="n">
        <v>203</v>
      </c>
      <c r="BL37" s="27" t="n">
        <v>3.03</v>
      </c>
      <c r="BM37" s="28" t="n">
        <v>0.330033</v>
      </c>
      <c r="BN37" s="28" t="n"/>
      <c r="BO37" s="28" t="n"/>
      <c r="BP37" s="25" t="n"/>
      <c r="BQ37" s="27" t="n">
        <v>3.03</v>
      </c>
      <c r="BR37" s="28" t="n">
        <v>0.33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1975785ed3304e81</t>
        </is>
      </c>
      <c r="B38" s="24" t="inlineStr">
        <is>
          <t>2026-08-12T21:33:44.211826Z</t>
        </is>
      </c>
      <c r="C38" s="24" t="inlineStr">
        <is>
          <t>2026-08-12T23:30:00Z</t>
        </is>
      </c>
      <c r="D38" s="24" t="inlineStr">
        <is>
          <t>78203</t>
        </is>
      </c>
      <c r="E38" s="24" t="inlineStr">
        <is>
          <t>VALORANT</t>
        </is>
      </c>
      <c r="F38" s="24" t="inlineStr">
        <is>
          <t>ORA Temper</t>
        </is>
      </c>
      <c r="G38" s="24" t="inlineStr">
        <is>
          <t>:3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-133</v>
      </c>
      <c r="M38" s="27" t="n">
        <v>1.75188</v>
      </c>
      <c r="N38" s="28" t="n">
        <v>0.570815</v>
      </c>
      <c r="O38" s="28" t="n">
        <v>0.508842</v>
      </c>
      <c r="P38" s="28" t="n"/>
      <c r="Q38" s="28" t="n">
        <v>-0.061973</v>
      </c>
      <c r="R38" s="26" t="n">
        <v>0</v>
      </c>
      <c r="S38" s="29" t="n">
        <v>1</v>
      </c>
      <c r="T38" s="24" t="inlineStr">
        <is>
          <t>valorant-tiered-elo-v6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-133</v>
      </c>
      <c r="AA38" s="28" t="n">
        <v>0.57</v>
      </c>
      <c r="AB38" s="28" t="n">
        <v>-0.000815</v>
      </c>
      <c r="AC38" s="30" t="n">
        <v>0.7519</v>
      </c>
      <c r="AD38" s="24" t="inlineStr">
        <is>
          <t>2026-08-13T05:34:56.454788Z</t>
        </is>
      </c>
      <c r="AE38" s="31" t="inlineStr">
        <is>
          <t>Neutral Elo baseline; executable ask 0.5700 (market_slug=aec-valorant-meow-orat-2026-08-12).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ORA Temper</t>
        </is>
      </c>
      <c r="AQ38" s="24" t="inlineStr">
        <is>
          <t>ORA Temper</t>
        </is>
      </c>
      <c r="AR38" s="24" t="inlineStr">
        <is>
          <t>ORA Temper</t>
        </is>
      </c>
      <c r="AS38" s="24" t="inlineStr">
        <is>
          <t>:3</t>
        </is>
      </c>
      <c r="AT38" s="24" t="inlineStr">
        <is>
          <t>:3</t>
        </is>
      </c>
      <c r="AU38" s="24" t="inlineStr">
        <is>
          <t>:3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b58416f26420ee9d55d05ce1518c442566f4b73f4e41b9531abbe4559267bbea</t>
        </is>
      </c>
      <c r="BB38" s="24" t="inlineStr">
        <is>
          <t>neutral_elo</t>
        </is>
      </c>
      <c r="BC38" s="24" t="inlineStr">
        <is>
          <t>valorant-tiered-elo-v6</t>
        </is>
      </c>
      <c r="BD38" s="24" t="inlineStr">
        <is>
          <t>b58416f26420ee9d55d05ce1518c442566f4b73f4e41b9531abbe4559267bbea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valorant-tiered-elo-v6</t>
        </is>
      </c>
      <c r="BH38" s="24" t="inlineStr">
        <is>
          <t>2026-08-12T21:33:39.312489Z</t>
        </is>
      </c>
      <c r="BI38" s="24" t="inlineStr">
        <is>
          <t>["same_event","same_team_same_day","same_league_same_day"]</t>
        </is>
      </c>
      <c r="BJ38" s="25" t="n"/>
      <c r="BK38" s="26" t="n">
        <v>-133</v>
      </c>
      <c r="BL38" s="27" t="n">
        <v>1.75188</v>
      </c>
      <c r="BM38" s="28" t="n">
        <v>0.570815</v>
      </c>
      <c r="BN38" s="28" t="n"/>
      <c r="BO38" s="28" t="n"/>
      <c r="BP38" s="25" t="n"/>
      <c r="BQ38" s="27" t="n">
        <v>1.75188</v>
      </c>
      <c r="BR38" s="28" t="n">
        <v>0.57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</row>
    <row r="39" ht="36" customHeight="1">
      <c r="A39" s="24" t="inlineStr">
        <is>
          <t>cdec64484e9944be</t>
        </is>
      </c>
      <c r="B39" s="24" t="inlineStr">
        <is>
          <t>2026-08-12T21:33:44.211826Z</t>
        </is>
      </c>
      <c r="C39" s="24" t="inlineStr">
        <is>
          <t>2026-08-14T00:00:00Z</t>
        </is>
      </c>
      <c r="D39" s="24" t="inlineStr">
        <is>
          <t>78063</t>
        </is>
      </c>
      <c r="E39" s="24" t="inlineStr">
        <is>
          <t>VALORANT</t>
        </is>
      </c>
      <c r="F39" s="24" t="inlineStr">
        <is>
          <t>M80</t>
        </is>
      </c>
      <c r="G39" s="24" t="inlineStr">
        <is>
          <t>Team Envy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0.7639010000000001</v>
      </c>
      <c r="P39" s="28" t="n"/>
      <c r="Q39" s="28" t="n">
        <v>0.173737</v>
      </c>
      <c r="R39" s="26" t="n">
        <v>100</v>
      </c>
      <c r="S39" s="29" t="n">
        <v>2</v>
      </c>
      <c r="T39" s="24" t="inlineStr">
        <is>
          <t>valorant-tiered-elo-v6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0.5900 (market_slug=aec-valorant-nv-m80-2026-08-14).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M80</t>
        </is>
      </c>
      <c r="AQ39" s="24" t="inlineStr">
        <is>
          <t>M80</t>
        </is>
      </c>
      <c r="AR39" s="24" t="inlineStr">
        <is>
          <t>M80</t>
        </is>
      </c>
      <c r="AS39" s="24" t="inlineStr">
        <is>
          <t>Team Envy</t>
        </is>
      </c>
      <c r="AT39" s="24" t="inlineStr">
        <is>
          <t>Team Envy</t>
        </is>
      </c>
      <c r="AU39" s="24" t="inlineStr">
        <is>
          <t>Team Envy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b58416f26420ee9d55d05ce1518c442566f4b73f4e41b9531abbe4559267bbea</t>
        </is>
      </c>
      <c r="BB39" s="24" t="inlineStr">
        <is>
          <t>neutral_elo</t>
        </is>
      </c>
      <c r="BC39" s="24" t="inlineStr">
        <is>
          <t>valorant-tiered-elo-v6</t>
        </is>
      </c>
      <c r="BD39" s="24" t="inlineStr">
        <is>
          <t>b58416f26420ee9d55d05ce1518c442566f4b73f4e41b9531abbe4559267bbea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valorant-tiered-elo-v6</t>
        </is>
      </c>
      <c r="BH39" s="24" t="inlineStr">
        <is>
          <t>2026-08-12T21:33:44.207376Z</t>
        </is>
      </c>
      <c r="BI39" s="24" t="inlineStr">
        <is>
          <t>["same_event","same_team_same_day","same_league_same_day"]</t>
        </is>
      </c>
      <c r="BJ39" s="25" t="n"/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4bd1ae98c84744c0</t>
        </is>
      </c>
      <c r="B40" s="24" t="inlineStr">
        <is>
          <t>2026-08-13T07:33:38.167763Z</t>
        </is>
      </c>
      <c r="C40" s="24" t="inlineStr">
        <is>
          <t>2026-08-13T08:00:00Z</t>
        </is>
      </c>
      <c r="D40" s="24" t="inlineStr">
        <is>
          <t>77171</t>
        </is>
      </c>
      <c r="E40" s="24" t="inlineStr">
        <is>
          <t>VALORANT</t>
        </is>
      </c>
      <c r="F40" s="24" t="inlineStr">
        <is>
          <t>ONSIDE GAMING</t>
        </is>
      </c>
      <c r="G40" s="24" t="inlineStr">
        <is>
          <t>Kiwoom DRX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122</v>
      </c>
      <c r="M40" s="27" t="n">
        <v>2.22</v>
      </c>
      <c r="N40" s="28" t="n">
        <v>0.45045</v>
      </c>
      <c r="O40" s="28" t="n">
        <v>0.577877</v>
      </c>
      <c r="P40" s="28" t="n"/>
      <c r="Q40" s="28" t="n">
        <v>0.127427</v>
      </c>
      <c r="R40" s="26" t="n">
        <v>84</v>
      </c>
      <c r="S40" s="29" t="n">
        <v>1.25</v>
      </c>
      <c r="T40" s="24" t="inlineStr">
        <is>
          <t>valorant-tiered-elo-v6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122</v>
      </c>
      <c r="AA40" s="28" t="n">
        <v>0.45</v>
      </c>
      <c r="AB40" s="28" t="n">
        <v>-0.00045</v>
      </c>
      <c r="AC40" s="30" t="n">
        <v>-1.25</v>
      </c>
      <c r="AD40" s="24" t="inlineStr">
        <is>
          <t>2026-08-13T10:07:01.177575Z</t>
        </is>
      </c>
      <c r="AE40" s="31" t="inlineStr">
        <is>
          <t>Neutral Elo baseline; executable ask 0.4500 (market_slug=aec-valorant-krx-osg-2026-08-13).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ONSIDE GAMING</t>
        </is>
      </c>
      <c r="AQ40" s="24" t="inlineStr">
        <is>
          <t>ONSIDE GAMING</t>
        </is>
      </c>
      <c r="AR40" s="24" t="inlineStr">
        <is>
          <t>ONSIDE GAMING</t>
        </is>
      </c>
      <c r="AS40" s="24" t="inlineStr">
        <is>
          <t>Kiwoom DRX</t>
        </is>
      </c>
      <c r="AT40" s="24" t="inlineStr">
        <is>
          <t>Kiwoom DRX</t>
        </is>
      </c>
      <c r="AU40" s="24" t="inlineStr">
        <is>
          <t>Kiwoom DRX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9a4dfa85f36adcfca5ea0511c0f369e0181e4aa5804896696079fbe36b54d3d2</t>
        </is>
      </c>
      <c r="BB40" s="24" t="inlineStr">
        <is>
          <t>neutral_elo</t>
        </is>
      </c>
      <c r="BC40" s="24" t="inlineStr">
        <is>
          <t>valorant-tiered-elo-v6</t>
        </is>
      </c>
      <c r="BD40" s="24" t="inlineStr">
        <is>
          <t>9a4dfa85f36adcfca5ea0511c0f369e0181e4aa5804896696079fbe36b54d3d2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valorant-tiered-elo-v6</t>
        </is>
      </c>
      <c r="BH40" s="24" t="inlineStr">
        <is>
          <t>2026-08-13T07:33:28.262454Z</t>
        </is>
      </c>
      <c r="BI40" s="24" t="inlineStr">
        <is>
          <t>["same_event","same_team_same_day","same_league_same_day"]</t>
        </is>
      </c>
      <c r="BJ40" s="25" t="n"/>
      <c r="BK40" s="26" t="n">
        <v>122</v>
      </c>
      <c r="BL40" s="27" t="n">
        <v>2.22</v>
      </c>
      <c r="BM40" s="28" t="n">
        <v>0.45045</v>
      </c>
      <c r="BN40" s="28" t="n"/>
      <c r="BO40" s="28" t="n"/>
      <c r="BP40" s="25" t="n"/>
      <c r="BQ40" s="27" t="n">
        <v>2.22</v>
      </c>
      <c r="BR40" s="28" t="n">
        <v>0.45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9d38d8dc80344adf</t>
        </is>
      </c>
      <c r="B41" s="24" t="inlineStr">
        <is>
          <t>2026-08-13T10:40:22.988810Z</t>
        </is>
      </c>
      <c r="C41" s="24" t="inlineStr">
        <is>
          <t>2026-08-13T11:00:00Z</t>
        </is>
      </c>
      <c r="D41" s="24" t="inlineStr">
        <is>
          <t>77227</t>
        </is>
      </c>
      <c r="E41" s="24" t="inlineStr">
        <is>
          <t>VALORANT</t>
        </is>
      </c>
      <c r="F41" s="24" t="inlineStr">
        <is>
          <t>Sharper Esport</t>
        </is>
      </c>
      <c r="G41" s="24" t="inlineStr">
        <is>
          <t>Rex Regum Qeon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178</v>
      </c>
      <c r="M41" s="27" t="n">
        <v>2.78</v>
      </c>
      <c r="N41" s="28" t="n">
        <v>0.359712</v>
      </c>
      <c r="O41" s="28" t="n">
        <v>0.5357769999999999</v>
      </c>
      <c r="P41" s="28" t="n"/>
      <c r="Q41" s="28" t="n">
        <v>0.176065</v>
      </c>
      <c r="R41" s="26" t="n">
        <v>100</v>
      </c>
      <c r="S41" s="29" t="n">
        <v>1</v>
      </c>
      <c r="T41" s="24" t="inlineStr">
        <is>
          <t>valorant-tiered-elo-v6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113</v>
      </c>
      <c r="AA41" s="28" t="n">
        <v>0.47</v>
      </c>
      <c r="AB41" s="28" t="n">
        <v>0.110288</v>
      </c>
      <c r="AC41" s="30" t="n">
        <v>1.78</v>
      </c>
      <c r="AD41" s="24" t="inlineStr">
        <is>
          <t>2026-08-13T13:43:35.673212Z</t>
        </is>
      </c>
      <c r="AE41" s="31" t="inlineStr">
        <is>
          <t>Neutral Elo baseline; executable ask 0.3600 (market_slug=aec-valorant-rrq-spe-2026-08-13).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Sharper Esport</t>
        </is>
      </c>
      <c r="AQ41" s="24" t="inlineStr">
        <is>
          <t>Sharper Esport</t>
        </is>
      </c>
      <c r="AR41" s="24" t="inlineStr">
        <is>
          <t>Sharper Esport</t>
        </is>
      </c>
      <c r="AS41" s="24" t="inlineStr">
        <is>
          <t>Rex Regum Qeon</t>
        </is>
      </c>
      <c r="AT41" s="24" t="inlineStr">
        <is>
          <t>Rex Regum Qeon</t>
        </is>
      </c>
      <c r="AU41" s="24" t="inlineStr">
        <is>
          <t>Rex Regum Qeon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34c63be26d0e2cc14119f679adaf024aa89287fce612ad18898d49f1dee15418</t>
        </is>
      </c>
      <c r="BB41" s="24" t="inlineStr">
        <is>
          <t>neutral_elo</t>
        </is>
      </c>
      <c r="BC41" s="24" t="inlineStr">
        <is>
          <t>valorant-tiered-elo-v6</t>
        </is>
      </c>
      <c r="BD41" s="24" t="inlineStr">
        <is>
          <t>34c63be26d0e2cc14119f679adaf024aa89287fce612ad18898d49f1dee15418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valorant-tiered-elo-v6</t>
        </is>
      </c>
      <c r="BH41" s="24" t="inlineStr">
        <is>
          <t>2026-08-13T10:40:13.696977Z</t>
        </is>
      </c>
      <c r="BI41" s="24" t="inlineStr">
        <is>
          <t>["same_event","same_team_same_day","same_league_same_day"]</t>
        </is>
      </c>
      <c r="BJ41" s="25" t="n"/>
      <c r="BK41" s="26" t="n">
        <v>178</v>
      </c>
      <c r="BL41" s="27" t="n">
        <v>2.78</v>
      </c>
      <c r="BM41" s="28" t="n">
        <v>0.359712</v>
      </c>
      <c r="BN41" s="28" t="n"/>
      <c r="BO41" s="28" t="n"/>
      <c r="BP41" s="25" t="n"/>
      <c r="BQ41" s="27" t="n">
        <v>2.13</v>
      </c>
      <c r="BR41" s="28" t="n">
        <v>0.47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b3edbecae1474f22</t>
        </is>
      </c>
      <c r="B42" s="24" t="inlineStr">
        <is>
          <t>2026-08-13T13:47:19.845301Z</t>
        </is>
      </c>
      <c r="C42" s="24" t="inlineStr">
        <is>
          <t>2026-08-13T15:00:00Z</t>
        </is>
      </c>
      <c r="D42" s="24" t="inlineStr">
        <is>
          <t>77363</t>
        </is>
      </c>
      <c r="E42" s="24" t="inlineStr">
        <is>
          <t>VALORANT</t>
        </is>
      </c>
      <c r="F42" s="24" t="inlineStr">
        <is>
          <t>Pcific Esports</t>
        </is>
      </c>
      <c r="G42" s="24" t="inlineStr">
        <is>
          <t>Joblife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-233</v>
      </c>
      <c r="M42" s="27" t="n">
        <v>1.429185</v>
      </c>
      <c r="N42" s="28" t="n">
        <v>0.6997</v>
      </c>
      <c r="O42" s="28" t="n">
        <v>0.83509</v>
      </c>
      <c r="P42" s="28" t="n"/>
      <c r="Q42" s="28" t="n">
        <v>0.13539</v>
      </c>
      <c r="R42" s="26" t="n">
        <v>88</v>
      </c>
      <c r="S42" s="29" t="n">
        <v>2</v>
      </c>
      <c r="T42" s="24" t="inlineStr">
        <is>
          <t>valorant-tiered-elo-v6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0.7000 (market_slug=aec-valorant-jl-pcfic-2026-08-13).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Pcific Esports</t>
        </is>
      </c>
      <c r="AQ42" s="24" t="inlineStr">
        <is>
          <t>Pcific Esports</t>
        </is>
      </c>
      <c r="AR42" s="24" t="inlineStr">
        <is>
          <t>Pcific Esports</t>
        </is>
      </c>
      <c r="AS42" s="24" t="inlineStr">
        <is>
          <t>Joblife</t>
        </is>
      </c>
      <c r="AT42" s="24" t="inlineStr">
        <is>
          <t>Joblife</t>
        </is>
      </c>
      <c r="AU42" s="24" t="inlineStr">
        <is>
          <t>Joblife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da0677ab8abe2b527063872e9a3414ee4e73a14497c101342ddcfce29bd189b4</t>
        </is>
      </c>
      <c r="BB42" s="24" t="inlineStr">
        <is>
          <t>neutral_elo</t>
        </is>
      </c>
      <c r="BC42" s="24" t="inlineStr">
        <is>
          <t>valorant-tiered-elo-v6</t>
        </is>
      </c>
      <c r="BD42" s="24" t="inlineStr">
        <is>
          <t>da0677ab8abe2b527063872e9a3414ee4e73a14497c101342ddcfce29bd189b4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valorant-tiered-elo-v6</t>
        </is>
      </c>
      <c r="BH42" s="24" t="inlineStr">
        <is>
          <t>2026-08-13T13:47:13.179473Z</t>
        </is>
      </c>
      <c r="BI42" s="24" t="inlineStr">
        <is>
          <t>["same_event","same_team_same_day","same_league_same_day"]</t>
        </is>
      </c>
      <c r="BJ42" s="25" t="n"/>
      <c r="BK42" s="26" t="n">
        <v>-233</v>
      </c>
      <c r="BL42" s="27" t="n">
        <v>1.429185</v>
      </c>
      <c r="BM42" s="28" t="n">
        <v>0.6997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ccc04a50da7a48e2</t>
        </is>
      </c>
      <c r="B43" s="24" t="inlineStr">
        <is>
          <t>2026-08-13T17:16:26.831639Z</t>
        </is>
      </c>
      <c r="C43" s="24" t="inlineStr">
        <is>
          <t>2026-08-13T18:00:00Z</t>
        </is>
      </c>
      <c r="D43" s="24" t="inlineStr">
        <is>
          <t>77546</t>
        </is>
      </c>
      <c r="E43" s="24" t="inlineStr">
        <is>
          <t>VALORANT</t>
        </is>
      </c>
      <c r="F43" s="24" t="inlineStr">
        <is>
          <t>Gentle Mates GC</t>
        </is>
      </c>
      <c r="G43" s="24" t="inlineStr">
        <is>
          <t>FOKUS Sakura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0.687518</v>
      </c>
      <c r="P43" s="28" t="n"/>
      <c r="Q43" s="28" t="n">
        <v>0.097354</v>
      </c>
      <c r="R43" s="26" t="n">
        <v>69</v>
      </c>
      <c r="S43" s="29" t="n">
        <v>2</v>
      </c>
      <c r="T43" s="24" t="inlineStr">
        <is>
          <t>valorant-tiered-elo-v6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0.5900 (market_slug=aec-valorant-fso-m8gc-2026-08-13).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Gentle Mates GC</t>
        </is>
      </c>
      <c r="AQ43" s="24" t="inlineStr">
        <is>
          <t>Gentle Mates GC</t>
        </is>
      </c>
      <c r="AR43" s="24" t="inlineStr">
        <is>
          <t>Gentle Mates GC</t>
        </is>
      </c>
      <c r="AS43" s="24" t="inlineStr">
        <is>
          <t>FOKUS Sakura</t>
        </is>
      </c>
      <c r="AT43" s="24" t="inlineStr">
        <is>
          <t>FOKUS Sakura</t>
        </is>
      </c>
      <c r="AU43" s="24" t="inlineStr">
        <is>
          <t>FOKUS Sakura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b7c1dabbbbc9554691b923884077a0c9e2fdb894454c83cbe181c9fcf1b2e71f</t>
        </is>
      </c>
      <c r="BB43" s="24" t="inlineStr">
        <is>
          <t>neutral_elo</t>
        </is>
      </c>
      <c r="BC43" s="24" t="inlineStr">
        <is>
          <t>valorant-tiered-elo-v6</t>
        </is>
      </c>
      <c r="BD43" s="24" t="inlineStr">
        <is>
          <t>b7c1dabbbbc9554691b923884077a0c9e2fdb894454c83cbe181c9fcf1b2e71f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valorant-tiered-elo-v6</t>
        </is>
      </c>
      <c r="BH43" s="24" t="inlineStr">
        <is>
          <t>2026-08-13T17:16:20.850586Z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9c5bd12f44e145a1</t>
        </is>
      </c>
      <c r="B44" s="24" t="inlineStr">
        <is>
          <t>2026-08-13T17:16:26.831639Z</t>
        </is>
      </c>
      <c r="C44" s="24" t="inlineStr">
        <is>
          <t>2026-08-13T21:00:00Z</t>
        </is>
      </c>
      <c r="D44" s="24" t="inlineStr">
        <is>
          <t>77923</t>
        </is>
      </c>
      <c r="E44" s="24" t="inlineStr">
        <is>
          <t>VALORANT</t>
        </is>
      </c>
      <c r="F44" s="24" t="inlineStr">
        <is>
          <t>BESTIA</t>
        </is>
      </c>
      <c r="G44" s="24" t="inlineStr">
        <is>
          <t>KRÜ Esports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194</v>
      </c>
      <c r="M44" s="27" t="n">
        <v>2.94</v>
      </c>
      <c r="N44" s="28" t="n">
        <v>0.340136</v>
      </c>
      <c r="O44" s="28" t="n">
        <v>0.725256</v>
      </c>
      <c r="P44" s="28" t="n"/>
      <c r="Q44" s="28" t="n">
        <v>0.38512</v>
      </c>
      <c r="R44" s="26" t="n">
        <v>100</v>
      </c>
      <c r="S44" s="29" t="n">
        <v>2</v>
      </c>
      <c r="T44" s="24" t="inlineStr">
        <is>
          <t>valorant-tiered-elo-v6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0.3400 (market_slug=aec-valorant-kr-bst-2026-08-13).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BESTIA</t>
        </is>
      </c>
      <c r="AQ44" s="24" t="inlineStr">
        <is>
          <t>BESTIA</t>
        </is>
      </c>
      <c r="AR44" s="24" t="inlineStr">
        <is>
          <t>BESTIA</t>
        </is>
      </c>
      <c r="AS44" s="24" t="inlineStr">
        <is>
          <t>KRÜ Esports</t>
        </is>
      </c>
      <c r="AT44" s="24" t="inlineStr">
        <is>
          <t>KRÜ Esports</t>
        </is>
      </c>
      <c r="AU44" s="24" t="inlineStr">
        <is>
          <t>KRÜ Esports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b7c1dabbbbc9554691b923884077a0c9e2fdb894454c83cbe181c9fcf1b2e71f</t>
        </is>
      </c>
      <c r="BB44" s="24" t="inlineStr">
        <is>
          <t>neutral_elo</t>
        </is>
      </c>
      <c r="BC44" s="24" t="inlineStr">
        <is>
          <t>valorant-tiered-elo-v6</t>
        </is>
      </c>
      <c r="BD44" s="24" t="inlineStr">
        <is>
          <t>b7c1dabbbbc9554691b923884077a0c9e2fdb894454c83cbe181c9fcf1b2e71f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valorant-tiered-elo-v6</t>
        </is>
      </c>
      <c r="BH44" s="24" t="inlineStr">
        <is>
          <t>2026-08-13T17:16:21.352013Z</t>
        </is>
      </c>
      <c r="BI44" s="24" t="inlineStr">
        <is>
          <t>["same_event","same_team_same_day","same_league_same_day"]</t>
        </is>
      </c>
      <c r="BJ44" s="25" t="n"/>
      <c r="BK44" s="26" t="n">
        <v>194</v>
      </c>
      <c r="BL44" s="27" t="n">
        <v>2.94</v>
      </c>
      <c r="BM44" s="28" t="n">
        <v>0.340136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a60f972f05c641d6</t>
        </is>
      </c>
      <c r="B45" s="24" t="inlineStr">
        <is>
          <t>2026-08-13T17:16:26.831639Z</t>
        </is>
      </c>
      <c r="C45" s="24" t="inlineStr">
        <is>
          <t>2026-08-14T08:00:00Z</t>
        </is>
      </c>
      <c r="D45" s="24" t="inlineStr">
        <is>
          <t>79716</t>
        </is>
      </c>
      <c r="E45" s="24" t="inlineStr">
        <is>
          <t>VALORANT</t>
        </is>
      </c>
      <c r="F45" s="24" t="inlineStr">
        <is>
          <t>JD Gaming</t>
        </is>
      </c>
      <c r="G45" s="24" t="inlineStr">
        <is>
          <t>Nova Esports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-194</v>
      </c>
      <c r="M45" s="27" t="n">
        <v>1.515464</v>
      </c>
      <c r="N45" s="28" t="n">
        <v>0.659864</v>
      </c>
      <c r="O45" s="28" t="n">
        <v>0.796037</v>
      </c>
      <c r="P45" s="28" t="n"/>
      <c r="Q45" s="28" t="n">
        <v>0.136173</v>
      </c>
      <c r="R45" s="26" t="n">
        <v>88</v>
      </c>
      <c r="S45" s="29" t="n">
        <v>2</v>
      </c>
      <c r="T45" s="24" t="inlineStr">
        <is>
          <t>valorant-tiered-elo-v6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0.6600 (market_slug=aec-valorant-nova-jdg-2026-08-14).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JD Gaming</t>
        </is>
      </c>
      <c r="AQ45" s="24" t="inlineStr">
        <is>
          <t>JD Gaming</t>
        </is>
      </c>
      <c r="AR45" s="24" t="inlineStr">
        <is>
          <t>JD Gaming</t>
        </is>
      </c>
      <c r="AS45" s="24" t="inlineStr">
        <is>
          <t>Nova Esports</t>
        </is>
      </c>
      <c r="AT45" s="24" t="inlineStr">
        <is>
          <t>Nova Esports</t>
        </is>
      </c>
      <c r="AU45" s="24" t="inlineStr">
        <is>
          <t>Nova Esports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b7c1dabbbbc9554691b923884077a0c9e2fdb894454c83cbe181c9fcf1b2e71f</t>
        </is>
      </c>
      <c r="BB45" s="24" t="inlineStr">
        <is>
          <t>neutral_elo</t>
        </is>
      </c>
      <c r="BC45" s="24" t="inlineStr">
        <is>
          <t>valorant-tiered-elo-v6</t>
        </is>
      </c>
      <c r="BD45" s="24" t="inlineStr">
        <is>
          <t>b7c1dabbbbc9554691b923884077a0c9e2fdb894454c83cbe181c9fcf1b2e71f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valorant-tiered-elo-v6</t>
        </is>
      </c>
      <c r="BH45" s="24" t="inlineStr">
        <is>
          <t>2026-08-13T17:16:22.475350Z</t>
        </is>
      </c>
      <c r="BI45" s="24" t="inlineStr">
        <is>
          <t>["same_event","same_team_same_day","same_league_same_day"]</t>
        </is>
      </c>
      <c r="BJ45" s="25" t="n"/>
      <c r="BK45" s="26" t="n">
        <v>-194</v>
      </c>
      <c r="BL45" s="27" t="n">
        <v>1.515464</v>
      </c>
      <c r="BM45" s="28" t="n">
        <v>0.659864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1772cc39ed5f4319</t>
        </is>
      </c>
      <c r="B46" s="24" t="inlineStr">
        <is>
          <t>2026-08-13T17:16:26.831639Z</t>
        </is>
      </c>
      <c r="C46" s="24" t="inlineStr">
        <is>
          <t>2026-08-14T10:00:00Z</t>
        </is>
      </c>
      <c r="D46" s="24" t="inlineStr">
        <is>
          <t>79717</t>
        </is>
      </c>
      <c r="E46" s="24" t="inlineStr">
        <is>
          <t>VALORANT</t>
        </is>
      </c>
      <c r="F46" s="24" t="inlineStr">
        <is>
          <t>TEC Esports</t>
        </is>
      </c>
      <c r="G46" s="24" t="inlineStr">
        <is>
          <t>TYLOO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0.536075</v>
      </c>
      <c r="P46" s="28" t="n"/>
      <c r="Q46" s="28" t="n">
        <v>-0.0733</v>
      </c>
      <c r="R46" s="26" t="n">
        <v>0</v>
      </c>
      <c r="S46" s="29" t="n">
        <v>1</v>
      </c>
      <c r="T46" s="24" t="inlineStr">
        <is>
          <t>valorant-tiered-elo-v6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0.6100 (market_slug=aec-valorant-tyloo-tec-2026-08-14).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>TEC Esports</t>
        </is>
      </c>
      <c r="AQ46" s="24" t="inlineStr">
        <is>
          <t>TEC Esports</t>
        </is>
      </c>
      <c r="AR46" s="24" t="inlineStr">
        <is>
          <t>TEC Esports</t>
        </is>
      </c>
      <c r="AS46" s="24" t="inlineStr">
        <is>
          <t>TYLOO</t>
        </is>
      </c>
      <c r="AT46" s="24" t="inlineStr">
        <is>
          <t>TYLOO</t>
        </is>
      </c>
      <c r="AU46" s="24" t="inlineStr">
        <is>
          <t>TYLOO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b7c1dabbbbc9554691b923884077a0c9e2fdb894454c83cbe181c9fcf1b2e71f</t>
        </is>
      </c>
      <c r="BB46" s="24" t="inlineStr">
        <is>
          <t>neutral_elo</t>
        </is>
      </c>
      <c r="BC46" s="24" t="inlineStr">
        <is>
          <t>valorant-tiered-elo-v6</t>
        </is>
      </c>
      <c r="BD46" s="24" t="inlineStr">
        <is>
          <t>b7c1dabbbbc9554691b923884077a0c9e2fdb894454c83cbe181c9fcf1b2e71f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valorant-tiered-elo-v6</t>
        </is>
      </c>
      <c r="BH46" s="24" t="inlineStr">
        <is>
          <t>2026-08-13T17:16:23.615377Z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</row>
    <row r="47" ht="36" customHeight="1">
      <c r="A47" s="24" t="inlineStr">
        <is>
          <t>1c4c55b3fdd64156</t>
        </is>
      </c>
      <c r="B47" s="24" t="inlineStr">
        <is>
          <t>2026-08-13T17:16:26.831639Z</t>
        </is>
      </c>
      <c r="C47" s="24" t="inlineStr">
        <is>
          <t>2026-08-14T11:00:00Z</t>
        </is>
      </c>
      <c r="D47" s="24" t="inlineStr">
        <is>
          <t>78288</t>
        </is>
      </c>
      <c r="E47" s="24" t="inlineStr">
        <is>
          <t>VALORANT</t>
        </is>
      </c>
      <c r="F47" s="24" t="inlineStr">
        <is>
          <t>Xipto Esports</t>
        </is>
      </c>
      <c r="G47" s="24" t="inlineStr">
        <is>
          <t>Team Secret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108</v>
      </c>
      <c r="M47" s="27" t="n">
        <v>2.08</v>
      </c>
      <c r="N47" s="28" t="n">
        <v>0.480769</v>
      </c>
      <c r="O47" s="28" t="n">
        <v>0.53228</v>
      </c>
      <c r="P47" s="28" t="n"/>
      <c r="Q47" s="28" t="n">
        <v>0.051511</v>
      </c>
      <c r="R47" s="26" t="n">
        <v>46</v>
      </c>
      <c r="S47" s="29" t="n">
        <v>1</v>
      </c>
      <c r="T47" s="24" t="inlineStr">
        <is>
          <t>valorant-tiered-elo-v6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0.4800 (market_slug=aec-valorant-ts-xe-2026-08-14).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Xipto Esports</t>
        </is>
      </c>
      <c r="AQ47" s="24" t="inlineStr">
        <is>
          <t>Xipto Esports</t>
        </is>
      </c>
      <c r="AR47" s="24" t="inlineStr">
        <is>
          <t>Xipto Esports</t>
        </is>
      </c>
      <c r="AS47" s="24" t="inlineStr">
        <is>
          <t>Team Secret</t>
        </is>
      </c>
      <c r="AT47" s="24" t="inlineStr">
        <is>
          <t>Team Secret</t>
        </is>
      </c>
      <c r="AU47" s="24" t="inlineStr">
        <is>
          <t>Team Secret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b7c1dabbbbc9554691b923884077a0c9e2fdb894454c83cbe181c9fcf1b2e71f</t>
        </is>
      </c>
      <c r="BB47" s="24" t="inlineStr">
        <is>
          <t>neutral_elo</t>
        </is>
      </c>
      <c r="BC47" s="24" t="inlineStr">
        <is>
          <t>valorant-tiered-elo-v6</t>
        </is>
      </c>
      <c r="BD47" s="24" t="inlineStr">
        <is>
          <t>b7c1dabbbbc9554691b923884077a0c9e2fdb894454c83cbe181c9fcf1b2e71f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valorant-tiered-elo-v6</t>
        </is>
      </c>
      <c r="BH47" s="24" t="inlineStr">
        <is>
          <t>2026-08-13T17:16:24.113436Z</t>
        </is>
      </c>
      <c r="BI47" s="24" t="inlineStr">
        <is>
          <t>["same_event","same_team_same_day","same_league_same_day"]</t>
        </is>
      </c>
      <c r="BJ47" s="25" t="n"/>
      <c r="BK47" s="26" t="n">
        <v>108</v>
      </c>
      <c r="BL47" s="27" t="n">
        <v>2.08</v>
      </c>
      <c r="BM47" s="28" t="n">
        <v>0.480769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244f930862ee43b4</t>
        </is>
      </c>
      <c r="B48" s="24" t="inlineStr">
        <is>
          <t>2026-08-13T17:16:26.831639Z</t>
        </is>
      </c>
      <c r="C48" s="24" t="inlineStr">
        <is>
          <t>2026-08-14T15:00:00Z</t>
        </is>
      </c>
      <c r="D48" s="24" t="inlineStr">
        <is>
          <t>78290</t>
        </is>
      </c>
      <c r="E48" s="24" t="inlineStr">
        <is>
          <t>VALORANT</t>
        </is>
      </c>
      <c r="F48" s="24" t="inlineStr">
        <is>
          <t>GIANTX GC</t>
        </is>
      </c>
      <c r="G48" s="24" t="inlineStr">
        <is>
          <t>Habos Babos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-178</v>
      </c>
      <c r="M48" s="27" t="n">
        <v>1.561798</v>
      </c>
      <c r="N48" s="28" t="n">
        <v>0.640288</v>
      </c>
      <c r="O48" s="28" t="n">
        <v>0.602726</v>
      </c>
      <c r="P48" s="28" t="n"/>
      <c r="Q48" s="28" t="n">
        <v>-0.037562</v>
      </c>
      <c r="R48" s="26" t="n">
        <v>1</v>
      </c>
      <c r="S48" s="29" t="n">
        <v>1.25</v>
      </c>
      <c r="T48" s="24" t="inlineStr">
        <is>
          <t>valorant-tiered-elo-v6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0.6400 (market_slug=aec-valorant-hbs-gxgc-2026-08-14).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GIANTX GC</t>
        </is>
      </c>
      <c r="AQ48" s="24" t="inlineStr">
        <is>
          <t>GIANTX GC</t>
        </is>
      </c>
      <c r="AR48" s="24" t="inlineStr">
        <is>
          <t>GIANTX GC</t>
        </is>
      </c>
      <c r="AS48" s="24" t="inlineStr">
        <is>
          <t>Habos Babos</t>
        </is>
      </c>
      <c r="AT48" s="24" t="inlineStr">
        <is>
          <t>Habos Babos</t>
        </is>
      </c>
      <c r="AU48" s="24" t="inlineStr">
        <is>
          <t>Habos Babos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b7c1dabbbbc9554691b923884077a0c9e2fdb894454c83cbe181c9fcf1b2e71f</t>
        </is>
      </c>
      <c r="BB48" s="24" t="inlineStr">
        <is>
          <t>neutral_elo</t>
        </is>
      </c>
      <c r="BC48" s="24" t="inlineStr">
        <is>
          <t>valorant-tiered-elo-v6</t>
        </is>
      </c>
      <c r="BD48" s="24" t="inlineStr">
        <is>
          <t>b7c1dabbbbc9554691b923884077a0c9e2fdb894454c83cbe181c9fcf1b2e71f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valorant-tiered-elo-v6</t>
        </is>
      </c>
      <c r="BH48" s="24" t="inlineStr">
        <is>
          <t>2026-08-13T17:16:24.616681Z</t>
        </is>
      </c>
      <c r="BI48" s="24" t="inlineStr">
        <is>
          <t>["same_event","same_team_same_day","same_league_same_day"]</t>
        </is>
      </c>
      <c r="BJ48" s="25" t="n"/>
      <c r="BK48" s="26" t="n">
        <v>-178</v>
      </c>
      <c r="BL48" s="27" t="n">
        <v>1.561798</v>
      </c>
      <c r="BM48" s="28" t="n">
        <v>0.640288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</row>
    <row r="49" ht="36" customHeight="1">
      <c r="A49" s="24" t="inlineStr">
        <is>
          <t>27228b622a0d4066</t>
        </is>
      </c>
      <c r="B49" s="24" t="inlineStr">
        <is>
          <t>2026-08-13T17:16:26.831639Z</t>
        </is>
      </c>
      <c r="C49" s="24" t="inlineStr">
        <is>
          <t>2026-08-14T15:00:00Z</t>
        </is>
      </c>
      <c r="D49" s="24" t="inlineStr">
        <is>
          <t>80237</t>
        </is>
      </c>
      <c r="E49" s="24" t="inlineStr">
        <is>
          <t>VALORANT</t>
        </is>
      </c>
      <c r="F49" s="24" t="inlineStr">
        <is>
          <t>Team Heretics</t>
        </is>
      </c>
      <c r="G49" s="24" t="inlineStr">
        <is>
          <t>Eintracht Frankfurt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194</v>
      </c>
      <c r="M49" s="27" t="n">
        <v>2.94</v>
      </c>
      <c r="N49" s="28" t="n">
        <v>0.340136</v>
      </c>
      <c r="O49" s="28" t="n">
        <v>0.57906</v>
      </c>
      <c r="P49" s="28" t="n"/>
      <c r="Q49" s="28" t="n">
        <v>0.238924</v>
      </c>
      <c r="R49" s="26" t="n">
        <v>100</v>
      </c>
      <c r="S49" s="29" t="n">
        <v>1.25</v>
      </c>
      <c r="T49" s="24" t="inlineStr">
        <is>
          <t>valorant-tiered-elo-v6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0.3400 (market_slug=aec-valorant-sge-th-2026-08-14).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Team Heretics</t>
        </is>
      </c>
      <c r="AQ49" s="24" t="inlineStr">
        <is>
          <t>Team Heretics</t>
        </is>
      </c>
      <c r="AR49" s="24" t="inlineStr">
        <is>
          <t>Team Heretics</t>
        </is>
      </c>
      <c r="AS49" s="24" t="inlineStr">
        <is>
          <t>Eintracht Frankfurt</t>
        </is>
      </c>
      <c r="AT49" s="24" t="inlineStr">
        <is>
          <t>Eintracht Frankfurt</t>
        </is>
      </c>
      <c r="AU49" s="24" t="inlineStr">
        <is>
          <t>Eintracht Frankfurt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b7c1dabbbbc9554691b923884077a0c9e2fdb894454c83cbe181c9fcf1b2e71f</t>
        </is>
      </c>
      <c r="BB49" s="24" t="inlineStr">
        <is>
          <t>neutral_elo</t>
        </is>
      </c>
      <c r="BC49" s="24" t="inlineStr">
        <is>
          <t>valorant-tiered-elo-v6</t>
        </is>
      </c>
      <c r="BD49" s="24" t="inlineStr">
        <is>
          <t>b7c1dabbbbc9554691b923884077a0c9e2fdb894454c83cbe181c9fcf1b2e71f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valorant-tiered-elo-v6</t>
        </is>
      </c>
      <c r="BH49" s="24" t="inlineStr">
        <is>
          <t>2026-08-13T17:16:25.175831Z</t>
        </is>
      </c>
      <c r="BI49" s="24" t="inlineStr">
        <is>
          <t>["same_event","same_team_same_day","same_league_same_day"]</t>
        </is>
      </c>
      <c r="BJ49" s="25" t="n"/>
      <c r="BK49" s="26" t="n">
        <v>194</v>
      </c>
      <c r="BL49" s="27" t="n">
        <v>2.94</v>
      </c>
      <c r="BM49" s="28" t="n">
        <v>0.340136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60edd6a168b84717</t>
        </is>
      </c>
      <c r="B50" s="24" t="inlineStr">
        <is>
          <t>2026-08-13T17:16:26.831639Z</t>
        </is>
      </c>
      <c r="C50" s="24" t="inlineStr">
        <is>
          <t>2026-08-14T18:00:00Z</t>
        </is>
      </c>
      <c r="D50" s="24" t="inlineStr">
        <is>
          <t>78828</t>
        </is>
      </c>
      <c r="E50" s="24" t="inlineStr">
        <is>
          <t>VALORANT</t>
        </is>
      </c>
      <c r="F50" s="24" t="inlineStr">
        <is>
          <t>SK Nebula</t>
        </is>
      </c>
      <c r="G50" s="24" t="inlineStr">
        <is>
          <t>Twisted Minds Orchid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113</v>
      </c>
      <c r="M50" s="27" t="n">
        <v>2.13</v>
      </c>
      <c r="N50" s="28" t="n">
        <v>0.469484</v>
      </c>
      <c r="O50" s="28" t="n">
        <v>0.541928</v>
      </c>
      <c r="P50" s="28" t="n"/>
      <c r="Q50" s="28" t="n">
        <v>0.07244399999999999</v>
      </c>
      <c r="R50" s="26" t="n">
        <v>56</v>
      </c>
      <c r="S50" s="29" t="n">
        <v>1</v>
      </c>
      <c r="T50" s="24" t="inlineStr">
        <is>
          <t>valorant-tiered-elo-v6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0.4700 (market_slug=aec-valorant-tmo-skn-2026-08-14).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SK Nebula</t>
        </is>
      </c>
      <c r="AQ50" s="24" t="inlineStr">
        <is>
          <t>SK Nebula</t>
        </is>
      </c>
      <c r="AR50" s="24" t="inlineStr">
        <is>
          <t>SK Nebula</t>
        </is>
      </c>
      <c r="AS50" s="24" t="inlineStr">
        <is>
          <t>Twisted Minds Orchid</t>
        </is>
      </c>
      <c r="AT50" s="24" t="inlineStr">
        <is>
          <t>Twisted Minds Orchid</t>
        </is>
      </c>
      <c r="AU50" s="24" t="inlineStr">
        <is>
          <t>Twisted Minds Orchid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b7c1dabbbbc9554691b923884077a0c9e2fdb894454c83cbe181c9fcf1b2e71f</t>
        </is>
      </c>
      <c r="BB50" s="24" t="inlineStr">
        <is>
          <t>neutral_elo</t>
        </is>
      </c>
      <c r="BC50" s="24" t="inlineStr">
        <is>
          <t>valorant-tiered-elo-v6</t>
        </is>
      </c>
      <c r="BD50" s="24" t="inlineStr">
        <is>
          <t>b7c1dabbbbc9554691b923884077a0c9e2fdb894454c83cbe181c9fcf1b2e71f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valorant-tiered-elo-v6</t>
        </is>
      </c>
      <c r="BH50" s="24" t="inlineStr">
        <is>
          <t>2026-08-13T17:16:25.757754Z</t>
        </is>
      </c>
      <c r="BI50" s="24" t="inlineStr">
        <is>
          <t>["same_event","same_team_same_day","same_league_same_day"]</t>
        </is>
      </c>
      <c r="BJ50" s="25" t="n"/>
      <c r="BK50" s="26" t="n">
        <v>113</v>
      </c>
      <c r="BL50" s="27" t="n">
        <v>2.13</v>
      </c>
      <c r="BM50" s="28" t="n">
        <v>0.469484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ccbc10ea48374976</t>
        </is>
      </c>
      <c r="B51" s="24" t="inlineStr">
        <is>
          <t>2026-08-13T17:16:26.831639Z</t>
        </is>
      </c>
      <c r="C51" s="24" t="inlineStr">
        <is>
          <t>2026-08-14T21:00:00Z</t>
        </is>
      </c>
      <c r="D51" s="24" t="inlineStr">
        <is>
          <t>79349</t>
        </is>
      </c>
      <c r="E51" s="24" t="inlineStr">
        <is>
          <t>VALORANT</t>
        </is>
      </c>
      <c r="F51" s="24" t="inlineStr">
        <is>
          <t>2GAME Esports</t>
        </is>
      </c>
      <c r="G51" s="24" t="inlineStr">
        <is>
          <t>FURIA Esports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113</v>
      </c>
      <c r="M51" s="27" t="n">
        <v>2.13</v>
      </c>
      <c r="N51" s="28" t="n">
        <v>0.469484</v>
      </c>
      <c r="O51" s="28" t="n">
        <v>0.778643</v>
      </c>
      <c r="P51" s="28" t="n"/>
      <c r="Q51" s="28" t="n">
        <v>0.309159</v>
      </c>
      <c r="R51" s="26" t="n">
        <v>100</v>
      </c>
      <c r="S51" s="29" t="n">
        <v>2</v>
      </c>
      <c r="T51" s="24" t="inlineStr">
        <is>
          <t>valorant-tiered-elo-v6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0.4700 (market_slug=aec-valorant-fur-2game-2026-08-14).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2GAME Esports</t>
        </is>
      </c>
      <c r="AQ51" s="24" t="inlineStr">
        <is>
          <t>2GAME Esports</t>
        </is>
      </c>
      <c r="AR51" s="24" t="inlineStr">
        <is>
          <t>2GAME Esports</t>
        </is>
      </c>
      <c r="AS51" s="24" t="inlineStr">
        <is>
          <t>FURIA Esports</t>
        </is>
      </c>
      <c r="AT51" s="24" t="inlineStr">
        <is>
          <t>FURIA Esports</t>
        </is>
      </c>
      <c r="AU51" s="24" t="inlineStr">
        <is>
          <t>FURIA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b7c1dabbbbc9554691b923884077a0c9e2fdb894454c83cbe181c9fcf1b2e71f</t>
        </is>
      </c>
      <c r="BB51" s="24" t="inlineStr">
        <is>
          <t>neutral_elo</t>
        </is>
      </c>
      <c r="BC51" s="24" t="inlineStr">
        <is>
          <t>valorant-tiered-elo-v6</t>
        </is>
      </c>
      <c r="BD51" s="24" t="inlineStr">
        <is>
          <t>b7c1dabbbbc9554691b923884077a0c9e2fdb894454c83cbe181c9fcf1b2e71f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valorant-tiered-elo-v6</t>
        </is>
      </c>
      <c r="BH51" s="24" t="inlineStr">
        <is>
          <t>2026-08-13T17:16:26.300408Z</t>
        </is>
      </c>
      <c r="BI51" s="24" t="inlineStr">
        <is>
          <t>["same_event","same_team_same_day","same_league_same_day"]</t>
        </is>
      </c>
      <c r="BJ51" s="25" t="n"/>
      <c r="BK51" s="26" t="n">
        <v>113</v>
      </c>
      <c r="BL51" s="27" t="n">
        <v>2.13</v>
      </c>
      <c r="BM51" s="28" t="n">
        <v>0.469484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</row>
    <row r="52" ht="36" customHeight="1">
      <c r="A52" s="24" t="inlineStr">
        <is>
          <t>7dfbfc49994d4943</t>
        </is>
      </c>
      <c r="B52" s="24" t="inlineStr">
        <is>
          <t>2026-08-13T17:16:26.831639Z</t>
        </is>
      </c>
      <c r="C52" s="24" t="inlineStr">
        <is>
          <t>2026-08-15T00:00:00Z</t>
        </is>
      </c>
      <c r="D52" s="24" t="inlineStr">
        <is>
          <t>79491</t>
        </is>
      </c>
      <c r="E52" s="24" t="inlineStr">
        <is>
          <t>VALORANT</t>
        </is>
      </c>
      <c r="F52" s="24" t="inlineStr">
        <is>
          <t>Fluxo W7M</t>
        </is>
      </c>
      <c r="G52" s="24" t="inlineStr">
        <is>
          <t>Cloud9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0.548023</v>
      </c>
      <c r="P52" s="28" t="n"/>
      <c r="Q52" s="28" t="n">
        <v>-0.121944</v>
      </c>
      <c r="R52" s="26" t="n">
        <v>0</v>
      </c>
      <c r="S52" s="29" t="n">
        <v>1</v>
      </c>
      <c r="T52" s="24" t="inlineStr">
        <is>
          <t>valorant-tiered-elo-v6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0.6700 (market_slug=aec-valorant-c9-w7m-2026-08-15).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Fluxo W7M</t>
        </is>
      </c>
      <c r="AQ52" s="24" t="inlineStr">
        <is>
          <t>Fluxo W7M</t>
        </is>
      </c>
      <c r="AR52" s="24" t="inlineStr">
        <is>
          <t>Fluxo W7M</t>
        </is>
      </c>
      <c r="AS52" s="24" t="inlineStr">
        <is>
          <t>Cloud9</t>
        </is>
      </c>
      <c r="AT52" s="24" t="inlineStr">
        <is>
          <t>Cloud9</t>
        </is>
      </c>
      <c r="AU52" s="24" t="inlineStr">
        <is>
          <t>Cloud9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b7c1dabbbbc9554691b923884077a0c9e2fdb894454c83cbe181c9fcf1b2e71f</t>
        </is>
      </c>
      <c r="BB52" s="24" t="inlineStr">
        <is>
          <t>neutral_elo</t>
        </is>
      </c>
      <c r="BC52" s="24" t="inlineStr">
        <is>
          <t>valorant-tiered-elo-v6</t>
        </is>
      </c>
      <c r="BD52" s="24" t="inlineStr">
        <is>
          <t>b7c1dabbbbc9554691b923884077a0c9e2fdb894454c83cbe181c9fcf1b2e71f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valorant-tiered-elo-v6</t>
        </is>
      </c>
      <c r="BH52" s="24" t="inlineStr">
        <is>
          <t>2026-08-13T17:16:26.827402Z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2026-08-13T17:16:30Z</dcterms:created>
  <dcterms:modified xmlns:dcterms="http://purl.org/dc/terms/" xmlns:xsi="http://www.w3.org/2001/XMLSchema-instance" xsi:type="dcterms:W3CDTF">2026-08-13T17:16:30Z</dcterms:modified>
</cp:coreProperties>
</file>