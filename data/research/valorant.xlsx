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21" headerRowCount="1">
  <autoFilter ref="A1:CQ21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COUNTA('Picks'!$A$2:$A$21)</f>
        <v/>
      </c>
      <c r="C4" s="6">
        <f>COUNTIF('Picks'!$U$2:$U$21,"open")</f>
        <v/>
      </c>
      <c r="E4" s="6">
        <f>COUNTIF('Picks'!$U$2:$U$21,"settled")</f>
        <v/>
      </c>
      <c r="G4" s="6">
        <f>IF(COUNTIFS('Picks'!$U$2:$U$21,"settled",'Picks'!$V$2:$V$21,"win")+COUNTIFS('Picks'!$U$2:$U$21,"settled",'Picks'!$V$2:$V$21,"loss")&gt;=$L$2,"Ready","Insufficient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COUNTIF('Picks'!$BX$2:$BX$21,"&gt;0")</f>
        <v/>
      </c>
      <c r="C7" s="6">
        <f>COUNTIFS('Picks'!$BX$2:$BX$21,"&gt;0",'Picks'!$V$2:$V$21,"win")&amp;"-"&amp;COUNTIFS('Picks'!$BX$2:$BX$21,"&gt;0",'Picks'!$V$2:$V$21,"loss")</f>
        <v/>
      </c>
      <c r="E7" s="7">
        <f>IFERROR(COUNTIFS('Picks'!$BX$2:$BX$21,"&gt;0",'Picks'!$V$2:$V$21,"win")/(COUNTIFS('Picks'!$BX$2:$BX$21,"&gt;0",'Picks'!$V$2:$V$21,"win")+COUNTIFS('Picks'!$BX$2:$BX$21,"&gt;0",'Picks'!$V$2:$V$21,"loss")),0)</f>
        <v/>
      </c>
      <c r="G7" s="7">
        <f>IFERROR(SUM('Picks'!$BY$2:$BY$21)/SUM('Picks'!$BX$2:$BX$21),0)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SUM('Picks'!$BY$2:$BY$21)</f>
        <v/>
      </c>
      <c r="C10" s="9">
        <f>IFERROR(AVERAGEIF('Picks'!$AB$2:$AB$21,"&lt;&gt;",'Picks'!$AB$2:$AB$21),0)</f>
        <v/>
      </c>
      <c r="E10" s="6">
        <f>COUNTIFS('Picks'!$AM$2:$AM$21,"QUALIFIED_SHADOW_CALL",'Picks'!$U$2:$U$21,"settled")</f>
        <v/>
      </c>
      <c r="G10" s="8">
        <f>SUMIFS('Picks'!$AC$2:$AC$21,'Picks'!$AM$2:$AM$21,"QUALIFIED_SHADOW_CALL")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COUNTIFS('Picks'!$H$2:$H$21,$A14,'Picks'!$U$2:$U$21,"settled")</f>
        <v/>
      </c>
      <c r="C14" s="13">
        <f>COUNTIFS('Picks'!$H$2:$H$21,$A14,'Picks'!$U$2:$U$21,"settled",'Picks'!$V$2:$V$21,"win")</f>
        <v/>
      </c>
      <c r="D14" s="13">
        <f>COUNTIFS('Picks'!$H$2:$H$21,$A14,'Picks'!$U$2:$U$21,"settled",'Picks'!$V$2:$V$21,"loss")</f>
        <v/>
      </c>
      <c r="E14" s="14">
        <f>IFERROR(C14/(C14+D14),0)</f>
        <v/>
      </c>
      <c r="F14" s="15">
        <f>SUMIFS('Picks'!$BY$2:$BY$21,'Picks'!$H$2:$H$21,$A14)</f>
        <v/>
      </c>
      <c r="G14" s="16">
        <f>IFERROR(AVERAGEIFS('Picks'!$AB$2:$AB$21,'Picks'!$H$2:$H$21,$A14,'Picks'!$U$2:$U$21,"settled"),0)</f>
        <v/>
      </c>
    </row>
    <row r="15">
      <c r="A15" s="17" t="inlineStr">
        <is>
          <t>spread</t>
        </is>
      </c>
      <c r="B15" s="18">
        <f>COUNTIFS('Picks'!$H$2:$H$21,$A15,'Picks'!$U$2:$U$21,"settled")</f>
        <v/>
      </c>
      <c r="C15" s="18">
        <f>COUNTIFS('Picks'!$H$2:$H$21,$A15,'Picks'!$U$2:$U$21,"settled",'Picks'!$V$2:$V$21,"win")</f>
        <v/>
      </c>
      <c r="D15" s="18">
        <f>COUNTIFS('Picks'!$H$2:$H$21,$A15,'Picks'!$U$2:$U$21,"settled",'Picks'!$V$2:$V$21,"loss")</f>
        <v/>
      </c>
      <c r="E15" s="19">
        <f>IFERROR(C15/(C15+D15),0)</f>
        <v/>
      </c>
      <c r="F15" s="20">
        <f>SUMIFS('Picks'!$BY$2:$BY$21,'Picks'!$H$2:$H$21,$A15)</f>
        <v/>
      </c>
      <c r="G15" s="21">
        <f>IFERROR(AVERAGEIFS('Picks'!$AB$2:$AB$21,'Picks'!$H$2:$H$21,$A15,'Picks'!$U$2:$U$21,"settled"),0)</f>
        <v/>
      </c>
    </row>
    <row r="16">
      <c r="A16" s="12" t="inlineStr">
        <is>
          <t>total</t>
        </is>
      </c>
      <c r="B16" s="13">
        <f>COUNTIFS('Picks'!$H$2:$H$21,$A16,'Picks'!$U$2:$U$21,"settled")</f>
        <v/>
      </c>
      <c r="C16" s="13">
        <f>COUNTIFS('Picks'!$H$2:$H$21,$A16,'Picks'!$U$2:$U$21,"settled",'Picks'!$V$2:$V$21,"win")</f>
        <v/>
      </c>
      <c r="D16" s="13">
        <f>COUNTIFS('Picks'!$H$2:$H$21,$A16,'Picks'!$U$2:$U$21,"settled",'Picks'!$V$2:$V$21,"loss")</f>
        <v/>
      </c>
      <c r="E16" s="14">
        <f>IFERROR(C16/(C16+D16),0)</f>
        <v/>
      </c>
      <c r="F16" s="15">
        <f>SUMIFS('Picks'!$BY$2:$BY$21,'Picks'!$H$2:$H$21,$A16)</f>
        <v/>
      </c>
      <c r="G16" s="16">
        <f>IFERROR(AVERAGEIFS('Picks'!$AB$2:$AB$21,'Picks'!$H$2:$H$21,$A16,'Picks'!$U$2:$U$21,"settled"),0)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0c9b461f54a54b67</t>
        </is>
      </c>
      <c r="B2" s="24" t="inlineStr">
        <is>
          <t>2026-07-31T10:46:58.818420Z</t>
        </is>
      </c>
      <c r="C2" s="24" t="inlineStr">
        <is>
          <t>2026-07-31T11:00:00Z</t>
        </is>
      </c>
      <c r="D2" s="24" t="inlineStr">
        <is>
          <t>64807</t>
        </is>
      </c>
      <c r="E2" s="24" t="inlineStr">
        <is>
          <t>VALORANT</t>
        </is>
      </c>
      <c r="F2" s="24" t="inlineStr">
        <is>
          <t>Gen.G Esports</t>
        </is>
      </c>
      <c r="G2" s="24" t="inlineStr">
        <is>
          <t>Global Esports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203</v>
      </c>
      <c r="M2" s="27" t="n">
        <v>3.03</v>
      </c>
      <c r="N2" s="28" t="n">
        <v>0.330033</v>
      </c>
      <c r="O2" s="28" t="n">
        <v>0.574963</v>
      </c>
      <c r="P2" s="28" t="n"/>
      <c r="Q2" s="28" t="n">
        <v>0.24493</v>
      </c>
      <c r="R2" s="26" t="n">
        <v>100</v>
      </c>
      <c r="S2" s="29" t="n">
        <v>1.25</v>
      </c>
      <c r="T2" s="24" t="inlineStr">
        <is>
          <t>valorant-tiered-elo-v5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>
        <v>194</v>
      </c>
      <c r="AA2" s="28" t="n">
        <v>0.34</v>
      </c>
      <c r="AB2" s="28" t="n">
        <v>0.009967</v>
      </c>
      <c r="AC2" s="30" t="n">
        <v>2.5375</v>
      </c>
      <c r="AD2" s="24" t="inlineStr">
        <is>
          <t>2026-07-31T13:38:58.560220Z</t>
        </is>
      </c>
      <c r="AE2" s="31" t="inlineStr">
        <is>
          <t>Neutral Elo baseline; executable ask 0.3300 (market_slug=aec-valorant-ge-geng-2026-07-31).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Gen.G Esports</t>
        </is>
      </c>
      <c r="AQ2" s="24" t="inlineStr">
        <is>
          <t>Gen.G Esports</t>
        </is>
      </c>
      <c r="AR2" s="24" t="inlineStr">
        <is>
          <t>Gen.G Esports</t>
        </is>
      </c>
      <c r="AS2" s="24" t="inlineStr">
        <is>
          <t>Global Esports</t>
        </is>
      </c>
      <c r="AT2" s="24" t="inlineStr">
        <is>
          <t>Global Esports</t>
        </is>
      </c>
      <c r="AU2" s="24" t="inlineStr">
        <is>
          <t>Global Esports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316f14757ba7b67513d2e43f0e5432e02d1d1af04a03ed2b8a0b070efbf6c94e</t>
        </is>
      </c>
      <c r="BB2" s="24" t="inlineStr">
        <is>
          <t>neutral_elo</t>
        </is>
      </c>
      <c r="BC2" s="24" t="inlineStr">
        <is>
          <t>valorant-tiered-elo-v5</t>
        </is>
      </c>
      <c r="BD2" s="24" t="inlineStr">
        <is>
          <t>316f14757ba7b67513d2e43f0e5432e02d1d1af04a03ed2b8a0b070efbf6c94e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valorant-tiered-elo-v5</t>
        </is>
      </c>
      <c r="BH2" s="24" t="inlineStr">
        <is>
          <t>2026-07-31T10:46:53.940374Z</t>
        </is>
      </c>
      <c r="BI2" s="24" t="inlineStr">
        <is>
          <t>["same_event","same_team_same_day","same_league_same_day"]</t>
        </is>
      </c>
      <c r="BJ2" s="25" t="n"/>
      <c r="BK2" s="26" t="n">
        <v>203</v>
      </c>
      <c r="BL2" s="27" t="n">
        <v>3.03</v>
      </c>
      <c r="BM2" s="28" t="n">
        <v>0.330033</v>
      </c>
      <c r="BN2" s="28" t="n"/>
      <c r="BO2" s="28" t="n"/>
      <c r="BP2" s="25" t="n"/>
      <c r="BQ2" s="27" t="n">
        <v>2.94</v>
      </c>
      <c r="BR2" s="28" t="n">
        <v>0.34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0e9f1583a76a4fd2</t>
        </is>
      </c>
      <c r="B3" s="24" t="inlineStr">
        <is>
          <t>2026-07-31T13:44:08.052962Z</t>
        </is>
      </c>
      <c r="C3" s="24" t="inlineStr">
        <is>
          <t>2026-07-31T15:00:00Z</t>
        </is>
      </c>
      <c r="D3" s="24" t="inlineStr">
        <is>
          <t>64940</t>
        </is>
      </c>
      <c r="E3" s="24" t="inlineStr">
        <is>
          <t>VALORANT</t>
        </is>
      </c>
      <c r="F3" s="24" t="inlineStr">
        <is>
          <t>Gentle Mates</t>
        </is>
      </c>
      <c r="G3" s="24" t="inlineStr">
        <is>
          <t>BBL Esports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-127</v>
      </c>
      <c r="M3" s="27" t="n">
        <v>1.787402</v>
      </c>
      <c r="N3" s="28" t="n">
        <v>0.5594710000000001</v>
      </c>
      <c r="O3" s="28" t="n">
        <v>0.589785</v>
      </c>
      <c r="P3" s="28" t="n"/>
      <c r="Q3" s="28" t="n">
        <v>0.030314</v>
      </c>
      <c r="R3" s="26" t="n">
        <v>35</v>
      </c>
      <c r="S3" s="29" t="n">
        <v>1.25</v>
      </c>
      <c r="T3" s="24" t="inlineStr">
        <is>
          <t>valorant-tiered-elo-v5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-127</v>
      </c>
      <c r="AA3" s="28" t="n">
        <v>0.5600000000000001</v>
      </c>
      <c r="AB3" s="28" t="n">
        <v>0.000529</v>
      </c>
      <c r="AC3" s="30" t="n">
        <v>0.9843</v>
      </c>
      <c r="AD3" s="24" t="inlineStr">
        <is>
          <t>2026-07-31T19:51:22.532394Z</t>
        </is>
      </c>
      <c r="AE3" s="31" t="inlineStr">
        <is>
          <t>Neutral Elo baseline; executable ask 0.5600 (market_slug=aec-valorant-bbl-gm-2026-07-31).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Gentle Mates</t>
        </is>
      </c>
      <c r="AQ3" s="24" t="inlineStr">
        <is>
          <t>Gentle Mates</t>
        </is>
      </c>
      <c r="AR3" s="24" t="inlineStr">
        <is>
          <t>Gentle Mates</t>
        </is>
      </c>
      <c r="AS3" s="24" t="inlineStr">
        <is>
          <t>BBL Esports</t>
        </is>
      </c>
      <c r="AT3" s="24" t="inlineStr">
        <is>
          <t>BBL Esports</t>
        </is>
      </c>
      <c r="AU3" s="24" t="inlineStr">
        <is>
          <t>BBL Esports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139f8fd81efcd2fb54fc3e158052d3e9c04fc7442a0b372b18e645e84996b74c</t>
        </is>
      </c>
      <c r="BB3" s="24" t="inlineStr">
        <is>
          <t>neutral_elo</t>
        </is>
      </c>
      <c r="BC3" s="24" t="inlineStr">
        <is>
          <t>valorant-tiered-elo-v5</t>
        </is>
      </c>
      <c r="BD3" s="24" t="inlineStr">
        <is>
          <t>139f8fd81efcd2fb54fc3e158052d3e9c04fc7442a0b372b18e645e84996b74c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valorant-tiered-elo-v5</t>
        </is>
      </c>
      <c r="BH3" s="24" t="inlineStr">
        <is>
          <t>2026-07-31T13:44:03.465992Z</t>
        </is>
      </c>
      <c r="BI3" s="24" t="inlineStr">
        <is>
          <t>["same_event","same_team_same_day","same_league_same_day"]</t>
        </is>
      </c>
      <c r="BJ3" s="25" t="n"/>
      <c r="BK3" s="26" t="n">
        <v>-127</v>
      </c>
      <c r="BL3" s="27" t="n">
        <v>1.787402</v>
      </c>
      <c r="BM3" s="28" t="n">
        <v>0.5594710000000001</v>
      </c>
      <c r="BN3" s="28" t="n"/>
      <c r="BO3" s="28" t="n"/>
      <c r="BP3" s="25" t="n"/>
      <c r="BQ3" s="27" t="n">
        <v>1.787402</v>
      </c>
      <c r="BR3" s="28" t="n">
        <v>0.5600000000000001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992f00d317164d2a</t>
        </is>
      </c>
      <c r="B4" s="24" t="inlineStr">
        <is>
          <t>2026-07-31T19:57:00.316597Z</t>
        </is>
      </c>
      <c r="C4" s="24" t="inlineStr">
        <is>
          <t>2026-07-31T21:00:00Z</t>
        </is>
      </c>
      <c r="D4" s="24" t="inlineStr">
        <is>
          <t>65506</t>
        </is>
      </c>
      <c r="E4" s="24" t="inlineStr">
        <is>
          <t>VALORANT</t>
        </is>
      </c>
      <c r="F4" s="24" t="inlineStr">
        <is>
          <t>LOUD</t>
        </is>
      </c>
      <c r="G4" s="24" t="inlineStr">
        <is>
          <t>Cloud9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-122</v>
      </c>
      <c r="M4" s="27" t="n">
        <v>1.819672</v>
      </c>
      <c r="N4" s="28" t="n">
        <v>0.54955</v>
      </c>
      <c r="O4" s="28" t="n">
        <v>0.558389</v>
      </c>
      <c r="P4" s="28" t="n"/>
      <c r="Q4" s="28" t="n">
        <v>0.008839</v>
      </c>
      <c r="R4" s="26" t="n">
        <v>24</v>
      </c>
      <c r="S4" s="29" t="n">
        <v>1</v>
      </c>
      <c r="T4" s="24" t="inlineStr">
        <is>
          <t>valorant-tiered-elo-v5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1</v>
      </c>
      <c r="X4" s="26" t="n">
        <v>0</v>
      </c>
      <c r="Y4" s="25" t="n"/>
      <c r="Z4" s="26" t="n">
        <v>-122</v>
      </c>
      <c r="AA4" s="28" t="n">
        <v>0.55</v>
      </c>
      <c r="AB4" s="28" t="n">
        <v>0.00045</v>
      </c>
      <c r="AC4" s="30" t="n">
        <v>0.8197</v>
      </c>
      <c r="AD4" s="24" t="inlineStr">
        <is>
          <t>2026-08-01T03:00:18.104800Z</t>
        </is>
      </c>
      <c r="AE4" s="31" t="inlineStr">
        <is>
          <t>Neutral Elo baseline; executable ask 0.5500 (market_slug=aec-valorant-c9-loud-2026-07-31).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LOUD</t>
        </is>
      </c>
      <c r="AQ4" s="24" t="inlineStr">
        <is>
          <t>LOUD</t>
        </is>
      </c>
      <c r="AR4" s="24" t="inlineStr">
        <is>
          <t>LOUD</t>
        </is>
      </c>
      <c r="AS4" s="24" t="inlineStr">
        <is>
          <t>Cloud9</t>
        </is>
      </c>
      <c r="AT4" s="24" t="inlineStr">
        <is>
          <t>Cloud9</t>
        </is>
      </c>
      <c r="AU4" s="24" t="inlineStr">
        <is>
          <t>Cloud9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c495285eb3dce15d5f7b197559c746544440f7a87fe5550e2c24625e309d8dd6</t>
        </is>
      </c>
      <c r="BB4" s="24" t="inlineStr">
        <is>
          <t>neutral_elo</t>
        </is>
      </c>
      <c r="BC4" s="24" t="inlineStr">
        <is>
          <t>valorant-tiered-elo-v5</t>
        </is>
      </c>
      <c r="BD4" s="24" t="inlineStr">
        <is>
          <t>c495285eb3dce15d5f7b197559c746544440f7a87fe5550e2c24625e309d8dd6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valorant-tiered-elo-v5</t>
        </is>
      </c>
      <c r="BH4" s="24" t="inlineStr">
        <is>
          <t>2026-07-31T19:56:56.353476Z</t>
        </is>
      </c>
      <c r="BI4" s="24" t="inlineStr">
        <is>
          <t>["same_event","same_team_same_day","same_league_same_day"]</t>
        </is>
      </c>
      <c r="BJ4" s="25" t="n"/>
      <c r="BK4" s="26" t="n">
        <v>-122</v>
      </c>
      <c r="BL4" s="27" t="n">
        <v>1.819672</v>
      </c>
      <c r="BM4" s="28" t="n">
        <v>0.54955</v>
      </c>
      <c r="BN4" s="28" t="n"/>
      <c r="BO4" s="28" t="n"/>
      <c r="BP4" s="25" t="n"/>
      <c r="BQ4" s="27" t="n">
        <v>1.819672</v>
      </c>
      <c r="BR4" s="28" t="n">
        <v>0.55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3e99dffb22ef4292</t>
        </is>
      </c>
      <c r="B5" s="24" t="inlineStr">
        <is>
          <t>2026-08-01T10:23:18.378580Z</t>
        </is>
      </c>
      <c r="C5" s="24" t="inlineStr">
        <is>
          <t>2026-08-01T11:00:00Z</t>
        </is>
      </c>
      <c r="D5" s="24" t="inlineStr">
        <is>
          <t>65894</t>
        </is>
      </c>
      <c r="E5" s="24" t="inlineStr">
        <is>
          <t>VALORANT</t>
        </is>
      </c>
      <c r="F5" s="24" t="inlineStr">
        <is>
          <t>Rex Regum Qeon</t>
        </is>
      </c>
      <c r="G5" s="24" t="inlineStr">
        <is>
          <t>FULL SENSE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-150</v>
      </c>
      <c r="M5" s="27" t="n">
        <v>1.666667</v>
      </c>
      <c r="N5" s="28" t="n">
        <v>0.6</v>
      </c>
      <c r="O5" s="28" t="n">
        <v>0.552961</v>
      </c>
      <c r="P5" s="28" t="n"/>
      <c r="Q5" s="28" t="n">
        <v>-0.047039</v>
      </c>
      <c r="R5" s="26" t="n">
        <v>0</v>
      </c>
      <c r="S5" s="29" t="n">
        <v>1</v>
      </c>
      <c r="T5" s="24" t="inlineStr">
        <is>
          <t>valorant-tiered-elo-v5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>
        <v>-150</v>
      </c>
      <c r="AA5" s="28" t="n">
        <v>0.6</v>
      </c>
      <c r="AB5" s="28" t="n">
        <v>0</v>
      </c>
      <c r="AC5" s="30" t="n">
        <v>-1</v>
      </c>
      <c r="AD5" s="24" t="inlineStr">
        <is>
          <t>2026-08-01T16:48:17.244830Z</t>
        </is>
      </c>
      <c r="AE5" s="31" t="inlineStr">
        <is>
          <t>Neutral Elo baseline; executable ask 0.6000 (market_slug=aec-valorant-fs-rrq-2026-08-01).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NO_CALL_LOW_EDGE</t>
        </is>
      </c>
      <c r="AP5" s="24" t="inlineStr">
        <is>
          <t>Rex Regum Qeon</t>
        </is>
      </c>
      <c r="AQ5" s="24" t="inlineStr">
        <is>
          <t>Rex Regum Qeon</t>
        </is>
      </c>
      <c r="AR5" s="24" t="inlineStr">
        <is>
          <t>Rex Regum Qeon</t>
        </is>
      </c>
      <c r="AS5" s="24" t="inlineStr">
        <is>
          <t>FULL SENSE</t>
        </is>
      </c>
      <c r="AT5" s="24" t="inlineStr">
        <is>
          <t>FULL SENSE</t>
        </is>
      </c>
      <c r="AU5" s="24" t="inlineStr">
        <is>
          <t>FULL SENSE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8b020a3d72d15d0d6b9a3580f54f87b4bba53a58d9087c0149f9da2085413676</t>
        </is>
      </c>
      <c r="BB5" s="24" t="inlineStr">
        <is>
          <t>neutral_elo</t>
        </is>
      </c>
      <c r="BC5" s="24" t="inlineStr">
        <is>
          <t>valorant-tiered-elo-v5</t>
        </is>
      </c>
      <c r="BD5" s="24" t="inlineStr">
        <is>
          <t>8b020a3d72d15d0d6b9a3580f54f87b4bba53a58d9087c0149f9da2085413676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valorant-tiered-elo-v5</t>
        </is>
      </c>
      <c r="BH5" s="24" t="inlineStr">
        <is>
          <t>2026-08-01T10:23:13.032551Z</t>
        </is>
      </c>
      <c r="BI5" s="24" t="inlineStr">
        <is>
          <t>["same_event","same_team_same_day","same_league_same_day"]</t>
        </is>
      </c>
      <c r="BJ5" s="25" t="n"/>
      <c r="BK5" s="26" t="n">
        <v>-150</v>
      </c>
      <c r="BL5" s="27" t="n">
        <v>1.666667</v>
      </c>
      <c r="BM5" s="28" t="n">
        <v>0.6</v>
      </c>
      <c r="BN5" s="28" t="n"/>
      <c r="BO5" s="28" t="n"/>
      <c r="BP5" s="25" t="n"/>
      <c r="BQ5" s="27" t="n">
        <v>1.666667</v>
      </c>
      <c r="BR5" s="28" t="n">
        <v>0.6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67352456a8884132</t>
        </is>
      </c>
      <c r="B6" s="24" t="inlineStr">
        <is>
          <t>2026-08-01T13:46:54.819019Z</t>
        </is>
      </c>
      <c r="C6" s="24" t="inlineStr">
        <is>
          <t>2026-08-01T15:00:00Z</t>
        </is>
      </c>
      <c r="D6" s="24" t="inlineStr">
        <is>
          <t>65953</t>
        </is>
      </c>
      <c r="E6" s="24" t="inlineStr">
        <is>
          <t>VALORANT</t>
        </is>
      </c>
      <c r="F6" s="24" t="inlineStr">
        <is>
          <t>Team Vitality</t>
        </is>
      </c>
      <c r="G6" s="24" t="inlineStr">
        <is>
          <t>FUT Esports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-194</v>
      </c>
      <c r="M6" s="27" t="n">
        <v>1.515464</v>
      </c>
      <c r="N6" s="28" t="n">
        <v>0.659864</v>
      </c>
      <c r="O6" s="28" t="n">
        <v>0.566738</v>
      </c>
      <c r="P6" s="28" t="n"/>
      <c r="Q6" s="28" t="n">
        <v>-0.093126</v>
      </c>
      <c r="R6" s="26" t="n">
        <v>0</v>
      </c>
      <c r="S6" s="29" t="n">
        <v>1</v>
      </c>
      <c r="T6" s="24" t="inlineStr">
        <is>
          <t>valorant-tiered-elo-v5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0</v>
      </c>
      <c r="Y6" s="25" t="n"/>
      <c r="Z6" s="26" t="n">
        <v>-194</v>
      </c>
      <c r="AA6" s="28" t="n">
        <v>0.66</v>
      </c>
      <c r="AB6" s="28" t="n">
        <v>0.000136</v>
      </c>
      <c r="AC6" s="30" t="n">
        <v>0.5155</v>
      </c>
      <c r="AD6" s="24" t="inlineStr">
        <is>
          <t>2026-08-01T18:35:40.219599Z</t>
        </is>
      </c>
      <c r="AE6" s="31" t="inlineStr">
        <is>
          <t>Neutral Elo baseline; executable ask 0.6600 (market_slug=aec-valorant-fut-vit-2026-08-01).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NO_CALL_LOW_EDGE</t>
        </is>
      </c>
      <c r="AP6" s="24" t="inlineStr">
        <is>
          <t>Team Vitality</t>
        </is>
      </c>
      <c r="AQ6" s="24" t="inlineStr">
        <is>
          <t>Team Vitality</t>
        </is>
      </c>
      <c r="AR6" s="24" t="inlineStr">
        <is>
          <t>Team Vitality</t>
        </is>
      </c>
      <c r="AS6" s="24" t="inlineStr">
        <is>
          <t>FUT Esports</t>
        </is>
      </c>
      <c r="AT6" s="24" t="inlineStr">
        <is>
          <t>FUT Esports</t>
        </is>
      </c>
      <c r="AU6" s="24" t="inlineStr">
        <is>
          <t>FUT Esports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5f7adb9e3af3e4b9370360107475e66be29da0c570d1ec14af5f7846257b6ab8</t>
        </is>
      </c>
      <c r="BB6" s="24" t="inlineStr">
        <is>
          <t>neutral_elo</t>
        </is>
      </c>
      <c r="BC6" s="24" t="inlineStr">
        <is>
          <t>valorant-tiered-elo-v5</t>
        </is>
      </c>
      <c r="BD6" s="24" t="inlineStr">
        <is>
          <t>5f7adb9e3af3e4b9370360107475e66be29da0c570d1ec14af5f7846257b6ab8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valorant-tiered-elo-v5</t>
        </is>
      </c>
      <c r="BH6" s="24" t="inlineStr">
        <is>
          <t>2026-08-01T13:46:50.499962Z</t>
        </is>
      </c>
      <c r="BI6" s="24" t="inlineStr">
        <is>
          <t>["same_event","same_team_same_day","same_league_same_day"]</t>
        </is>
      </c>
      <c r="BJ6" s="25" t="n"/>
      <c r="BK6" s="26" t="n">
        <v>-194</v>
      </c>
      <c r="BL6" s="27" t="n">
        <v>1.515464</v>
      </c>
      <c r="BM6" s="28" t="n">
        <v>0.659864</v>
      </c>
      <c r="BN6" s="28" t="n"/>
      <c r="BO6" s="28" t="n"/>
      <c r="BP6" s="25" t="n"/>
      <c r="BQ6" s="27" t="n">
        <v>1.515464</v>
      </c>
      <c r="BR6" s="28" t="n">
        <v>0.66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49d2571015064442</t>
        </is>
      </c>
      <c r="B7" s="24" t="inlineStr">
        <is>
          <t>2026-08-01T16:54:19.279565Z</t>
        </is>
      </c>
      <c r="C7" s="24" t="inlineStr">
        <is>
          <t>2026-08-01T18:00:00Z</t>
        </is>
      </c>
      <c r="D7" s="24" t="inlineStr">
        <is>
          <t>66138</t>
        </is>
      </c>
      <c r="E7" s="24" t="inlineStr">
        <is>
          <t>VALORANT</t>
        </is>
      </c>
      <c r="F7" s="24" t="inlineStr">
        <is>
          <t>Team Liquid</t>
        </is>
      </c>
      <c r="G7" s="24" t="inlineStr">
        <is>
          <t>Karmine Corp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-113</v>
      </c>
      <c r="M7" s="27" t="n">
        <v>1.884956</v>
      </c>
      <c r="N7" s="28" t="n">
        <v>0.530516</v>
      </c>
      <c r="O7" s="28" t="n">
        <v>0.500941</v>
      </c>
      <c r="P7" s="28" t="n"/>
      <c r="Q7" s="28" t="n">
        <v>-0.029575</v>
      </c>
      <c r="R7" s="26" t="n">
        <v>5</v>
      </c>
      <c r="S7" s="29" t="n">
        <v>1</v>
      </c>
      <c r="T7" s="24" t="inlineStr">
        <is>
          <t>valorant-tiered-elo-v5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0</v>
      </c>
      <c r="X7" s="26" t="n">
        <v>1</v>
      </c>
      <c r="Y7" s="25" t="n"/>
      <c r="Z7" s="26" t="n">
        <v>-113</v>
      </c>
      <c r="AA7" s="28" t="n">
        <v>0.53</v>
      </c>
      <c r="AB7" s="28" t="n">
        <v>-0.000516</v>
      </c>
      <c r="AC7" s="30" t="n">
        <v>-1</v>
      </c>
      <c r="AD7" s="24" t="inlineStr">
        <is>
          <t>2026-08-01T21:41:01.737935Z</t>
        </is>
      </c>
      <c r="AE7" s="31" t="inlineStr">
        <is>
          <t>Neutral Elo baseline; executable ask 0.5300 (market_slug=aec-valorant-kc-tl-2026-08-01).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Team Liquid</t>
        </is>
      </c>
      <c r="AQ7" s="24" t="inlineStr">
        <is>
          <t>Team Liquid</t>
        </is>
      </c>
      <c r="AR7" s="24" t="inlineStr">
        <is>
          <t>Team Liquid</t>
        </is>
      </c>
      <c r="AS7" s="24" t="inlineStr">
        <is>
          <t>Karmine Corp</t>
        </is>
      </c>
      <c r="AT7" s="24" t="inlineStr">
        <is>
          <t>Karmine Corp</t>
        </is>
      </c>
      <c r="AU7" s="24" t="inlineStr">
        <is>
          <t>Karmine Corp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de211ba59b87f7f994811cc2b95e7fa0909c8c2bfb3ba4be0f9ef98b999ead5f</t>
        </is>
      </c>
      <c r="BB7" s="24" t="inlineStr">
        <is>
          <t>neutral_elo</t>
        </is>
      </c>
      <c r="BC7" s="24" t="inlineStr">
        <is>
          <t>valorant-tiered-elo-v5</t>
        </is>
      </c>
      <c r="BD7" s="24" t="inlineStr">
        <is>
          <t>de211ba59b87f7f994811cc2b95e7fa0909c8c2bfb3ba4be0f9ef98b999ead5f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valorant-tiered-elo-v5</t>
        </is>
      </c>
      <c r="BH7" s="24" t="inlineStr">
        <is>
          <t>2026-08-01T16:54:15.399177Z</t>
        </is>
      </c>
      <c r="BI7" s="24" t="inlineStr">
        <is>
          <t>["same_event","same_team_same_day","same_league_same_day"]</t>
        </is>
      </c>
      <c r="BJ7" s="25" t="n"/>
      <c r="BK7" s="26" t="n">
        <v>-113</v>
      </c>
      <c r="BL7" s="27" t="n">
        <v>1.884956</v>
      </c>
      <c r="BM7" s="28" t="n">
        <v>0.530516</v>
      </c>
      <c r="BN7" s="28" t="n"/>
      <c r="BO7" s="28" t="n"/>
      <c r="BP7" s="25" t="n"/>
      <c r="BQ7" s="27" t="n">
        <v>1.884956</v>
      </c>
      <c r="BR7" s="28" t="n">
        <v>0.53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</row>
    <row r="8" ht="36" customHeight="1">
      <c r="A8" s="24" t="inlineStr">
        <is>
          <t>f24cec6b572d41e6</t>
        </is>
      </c>
      <c r="B8" s="24" t="inlineStr">
        <is>
          <t>2026-08-01T23:55:04.278999Z</t>
        </is>
      </c>
      <c r="C8" s="24" t="inlineStr">
        <is>
          <t>2026-08-02T00:00:00Z</t>
        </is>
      </c>
      <c r="D8" s="24" t="inlineStr">
        <is>
          <t>66659</t>
        </is>
      </c>
      <c r="E8" s="24" t="inlineStr">
        <is>
          <t>VALORANT</t>
        </is>
      </c>
      <c r="F8" s="24" t="inlineStr">
        <is>
          <t>NRG</t>
        </is>
      </c>
      <c r="G8" s="24" t="inlineStr">
        <is>
          <t>Leviatán Esports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-138</v>
      </c>
      <c r="M8" s="27" t="n">
        <v>1.724638</v>
      </c>
      <c r="N8" s="28" t="n">
        <v>0.579832</v>
      </c>
      <c r="O8" s="28" t="n">
        <v>0.608104</v>
      </c>
      <c r="P8" s="28" t="n"/>
      <c r="Q8" s="28" t="n">
        <v>0.028272</v>
      </c>
      <c r="R8" s="26" t="n">
        <v>34</v>
      </c>
      <c r="S8" s="29" t="n">
        <v>1.5</v>
      </c>
      <c r="T8" s="24" t="inlineStr">
        <is>
          <t>valorant-tiered-elo-v5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-138</v>
      </c>
      <c r="AA8" s="28" t="n">
        <v>0.58</v>
      </c>
      <c r="AB8" s="28" t="n">
        <v>0.000168</v>
      </c>
      <c r="AC8" s="30" t="n">
        <v>-1.5</v>
      </c>
      <c r="AD8" s="24" t="inlineStr">
        <is>
          <t>2026-08-02T04:26:23.368285Z</t>
        </is>
      </c>
      <c r="AE8" s="31" t="inlineStr">
        <is>
          <t>Neutral Elo baseline; executable ask 0.5800 (market_slug=aec-valorant-lev-nrg-2026-08-02).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NRG</t>
        </is>
      </c>
      <c r="AQ8" s="24" t="inlineStr">
        <is>
          <t>NRG</t>
        </is>
      </c>
      <c r="AR8" s="24" t="inlineStr">
        <is>
          <t>NRG</t>
        </is>
      </c>
      <c r="AS8" s="24" t="inlineStr">
        <is>
          <t>Leviatán Esports</t>
        </is>
      </c>
      <c r="AT8" s="24" t="inlineStr">
        <is>
          <t>Leviatán Esports</t>
        </is>
      </c>
      <c r="AU8" s="24" t="inlineStr">
        <is>
          <t>Leviatán Esports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4e9833fa3108f9876de728871233bbb749924096e4b6984ae7ee11ff9d8be0d1</t>
        </is>
      </c>
      <c r="BB8" s="24" t="inlineStr">
        <is>
          <t>neutral_elo</t>
        </is>
      </c>
      <c r="BC8" s="24" t="inlineStr">
        <is>
          <t>valorant-tiered-elo-v5</t>
        </is>
      </c>
      <c r="BD8" s="24" t="inlineStr">
        <is>
          <t>4e9833fa3108f9876de728871233bbb749924096e4b6984ae7ee11ff9d8be0d1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valorant-tiered-elo-v5</t>
        </is>
      </c>
      <c r="BH8" s="24" t="inlineStr">
        <is>
          <t>2026-08-01T23:55:01.262855Z</t>
        </is>
      </c>
      <c r="BI8" s="24" t="inlineStr">
        <is>
          <t>["same_event","same_team_same_day","same_league_same_day"]</t>
        </is>
      </c>
      <c r="BJ8" s="25" t="n"/>
      <c r="BK8" s="26" t="n">
        <v>-138</v>
      </c>
      <c r="BL8" s="27" t="n">
        <v>1.724638</v>
      </c>
      <c r="BM8" s="28" t="n">
        <v>0.579832</v>
      </c>
      <c r="BN8" s="28" t="n"/>
      <c r="BO8" s="28" t="n"/>
      <c r="BP8" s="25" t="n"/>
      <c r="BQ8" s="27" t="n">
        <v>1.724638</v>
      </c>
      <c r="BR8" s="28" t="n">
        <v>0.58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</row>
    <row r="9" ht="36" customHeight="1">
      <c r="A9" s="24" t="inlineStr">
        <is>
          <t>f5ae220015ea4850</t>
        </is>
      </c>
      <c r="B9" s="24" t="inlineStr">
        <is>
          <t>2026-08-02T07:16:42.752833Z</t>
        </is>
      </c>
      <c r="C9" s="24" t="inlineStr">
        <is>
          <t>2026-08-02T08:00:00Z</t>
        </is>
      </c>
      <c r="D9" s="24" t="inlineStr">
        <is>
          <t>66788</t>
        </is>
      </c>
      <c r="E9" s="24" t="inlineStr">
        <is>
          <t>VALORANT</t>
        </is>
      </c>
      <c r="F9" s="24" t="inlineStr">
        <is>
          <t>Kiwoom DRX</t>
        </is>
      </c>
      <c r="G9" s="24" t="inlineStr">
        <is>
          <t>VARREL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-150</v>
      </c>
      <c r="M9" s="27" t="n">
        <v>1.666667</v>
      </c>
      <c r="N9" s="28" t="n">
        <v>0.6</v>
      </c>
      <c r="O9" s="28" t="n">
        <v>0.676998</v>
      </c>
      <c r="P9" s="28" t="n"/>
      <c r="Q9" s="28" t="n">
        <v>0.076998</v>
      </c>
      <c r="R9" s="26" t="n">
        <v>58</v>
      </c>
      <c r="S9" s="29" t="n">
        <v>1.75</v>
      </c>
      <c r="T9" s="24" t="inlineStr">
        <is>
          <t>valorant-tiered-elo-v5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-150</v>
      </c>
      <c r="AA9" s="28" t="n">
        <v>0.6</v>
      </c>
      <c r="AB9" s="28" t="n">
        <v>0</v>
      </c>
      <c r="AC9" s="30" t="n">
        <v>-1.75</v>
      </c>
      <c r="AD9" s="24" t="inlineStr">
        <is>
          <t>2026-08-02T11:45:29.283046Z</t>
        </is>
      </c>
      <c r="AE9" s="31" t="inlineStr">
        <is>
          <t>Neutral Elo baseline; executable ask 0.6000 (market_slug=aec-valorant-var-krx-2026-08-02).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Kiwoom DRX</t>
        </is>
      </c>
      <c r="AQ9" s="24" t="inlineStr">
        <is>
          <t>Kiwoom DRX</t>
        </is>
      </c>
      <c r="AR9" s="24" t="inlineStr">
        <is>
          <t>Kiwoom DRX</t>
        </is>
      </c>
      <c r="AS9" s="24" t="inlineStr">
        <is>
          <t>VARREL</t>
        </is>
      </c>
      <c r="AT9" s="24" t="inlineStr">
        <is>
          <t>VARREL</t>
        </is>
      </c>
      <c r="AU9" s="24" t="inlineStr">
        <is>
          <t>VARREL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f7ffe38e2a3b5170b3b9b10a398835b3cdb1a4df5cfd051a3ffa836bf9de2c76</t>
        </is>
      </c>
      <c r="BB9" s="24" t="inlineStr">
        <is>
          <t>neutral_elo</t>
        </is>
      </c>
      <c r="BC9" s="24" t="inlineStr">
        <is>
          <t>valorant-tiered-elo-v5</t>
        </is>
      </c>
      <c r="BD9" s="24" t="inlineStr">
        <is>
          <t>f7ffe38e2a3b5170b3b9b10a398835b3cdb1a4df5cfd051a3ffa836bf9de2c76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valorant-tiered-elo-v5</t>
        </is>
      </c>
      <c r="BH9" s="24" t="inlineStr">
        <is>
          <t>2026-08-02T07:16:34.729300Z</t>
        </is>
      </c>
      <c r="BI9" s="24" t="inlineStr">
        <is>
          <t>["same_event","same_team_same_day","same_league_same_day"]</t>
        </is>
      </c>
      <c r="BJ9" s="25" t="n"/>
      <c r="BK9" s="26" t="n">
        <v>-150</v>
      </c>
      <c r="BL9" s="27" t="n">
        <v>1.666667</v>
      </c>
      <c r="BM9" s="28" t="n">
        <v>0.6</v>
      </c>
      <c r="BN9" s="28" t="n"/>
      <c r="BO9" s="28" t="n"/>
      <c r="BP9" s="25" t="n"/>
      <c r="BQ9" s="27" t="n">
        <v>1.666667</v>
      </c>
      <c r="BR9" s="28" t="n">
        <v>0.6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</row>
    <row r="10" ht="36" customHeight="1">
      <c r="A10" s="24" t="inlineStr">
        <is>
          <t>94ceb126079549cb</t>
        </is>
      </c>
      <c r="B10" s="24" t="inlineStr">
        <is>
          <t>2026-08-02T17:48:56.490286Z</t>
        </is>
      </c>
      <c r="C10" s="24" t="inlineStr">
        <is>
          <t>2026-08-02T18:00:00Z</t>
        </is>
      </c>
      <c r="D10" s="24" t="inlineStr">
        <is>
          <t>66957</t>
        </is>
      </c>
      <c r="E10" s="24" t="inlineStr">
        <is>
          <t>VALORANT</t>
        </is>
      </c>
      <c r="F10" s="24" t="inlineStr">
        <is>
          <t>Team Heretics</t>
        </is>
      </c>
      <c r="G10" s="24" t="inlineStr">
        <is>
          <t>Fnatic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-127</v>
      </c>
      <c r="M10" s="27" t="n">
        <v>1.787402</v>
      </c>
      <c r="N10" s="28" t="n">
        <v>0.5594710000000001</v>
      </c>
      <c r="O10" s="28" t="n">
        <v>0.537865</v>
      </c>
      <c r="P10" s="28" t="n"/>
      <c r="Q10" s="28" t="n">
        <v>-0.021606</v>
      </c>
      <c r="R10" s="26" t="n">
        <v>9</v>
      </c>
      <c r="S10" s="29" t="n">
        <v>1</v>
      </c>
      <c r="T10" s="24" t="inlineStr">
        <is>
          <t>valorant-tiered-elo-v5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0</v>
      </c>
      <c r="Y10" s="25" t="n"/>
      <c r="Z10" s="26" t="n">
        <v>-127</v>
      </c>
      <c r="AA10" s="28" t="n">
        <v>0.5600000000000001</v>
      </c>
      <c r="AB10" s="28" t="n">
        <v>0.000529</v>
      </c>
      <c r="AC10" s="30" t="n">
        <v>0.7874</v>
      </c>
      <c r="AD10" s="24" t="inlineStr">
        <is>
          <t>2026-08-02T23:13:22.740323Z</t>
        </is>
      </c>
      <c r="AE10" s="31" t="inlineStr">
        <is>
          <t>Neutral Elo baseline; executable ask 0.5600 (market_slug=aec-valorant-fnc-th-2026-08-02).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Team Heretics</t>
        </is>
      </c>
      <c r="AQ10" s="24" t="inlineStr">
        <is>
          <t>Team Heretics</t>
        </is>
      </c>
      <c r="AR10" s="24" t="inlineStr">
        <is>
          <t>Team Heretics</t>
        </is>
      </c>
      <c r="AS10" s="24" t="inlineStr">
        <is>
          <t>Fnatic</t>
        </is>
      </c>
      <c r="AT10" s="24" t="inlineStr">
        <is>
          <t>Fnatic</t>
        </is>
      </c>
      <c r="AU10" s="24" t="inlineStr">
        <is>
          <t>Fnatic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58e5b3721cf8906aae10d08de8cbb41fd662d66dfb5fe49c8d3ab04bb0741ed6</t>
        </is>
      </c>
      <c r="BB10" s="24" t="inlineStr">
        <is>
          <t>neutral_elo</t>
        </is>
      </c>
      <c r="BC10" s="24" t="inlineStr">
        <is>
          <t>valorant-tiered-elo-v5</t>
        </is>
      </c>
      <c r="BD10" s="24" t="inlineStr">
        <is>
          <t>58e5b3721cf8906aae10d08de8cbb41fd662d66dfb5fe49c8d3ab04bb0741ed6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valorant-tiered-elo-v5</t>
        </is>
      </c>
      <c r="BH10" s="24" t="inlineStr">
        <is>
          <t>2026-08-02T17:48:49.680825Z</t>
        </is>
      </c>
      <c r="BI10" s="24" t="inlineStr">
        <is>
          <t>["same_event","same_team_same_day","same_league_same_day"]</t>
        </is>
      </c>
      <c r="BJ10" s="25" t="n"/>
      <c r="BK10" s="26" t="n">
        <v>-127</v>
      </c>
      <c r="BL10" s="27" t="n">
        <v>1.787402</v>
      </c>
      <c r="BM10" s="28" t="n">
        <v>0.5594710000000001</v>
      </c>
      <c r="BN10" s="28" t="n"/>
      <c r="BO10" s="28" t="n"/>
      <c r="BP10" s="25" t="n"/>
      <c r="BQ10" s="27" t="n">
        <v>1.787402</v>
      </c>
      <c r="BR10" s="28" t="n">
        <v>0.5600000000000001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inlineStr">
        <is>
          <t>False</t>
        </is>
      </c>
    </row>
    <row r="11" ht="36" customHeight="1">
      <c r="A11" s="24" t="inlineStr">
        <is>
          <t>97e1abd6e51442d7</t>
        </is>
      </c>
      <c r="B11" s="24" t="inlineStr">
        <is>
          <t>2026-08-02T19:32:17.298754Z</t>
        </is>
      </c>
      <c r="C11" s="24" t="inlineStr">
        <is>
          <t>2026-08-02T21:00:00Z</t>
        </is>
      </c>
      <c r="D11" s="24" t="inlineStr">
        <is>
          <t>67311</t>
        </is>
      </c>
      <c r="E11" s="24" t="inlineStr">
        <is>
          <t>VALORANT</t>
        </is>
      </c>
      <c r="F11" s="24" t="inlineStr">
        <is>
          <t>KRÜ Esports</t>
        </is>
      </c>
      <c r="G11" s="24" t="inlineStr">
        <is>
          <t>Cloud9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144</v>
      </c>
      <c r="M11" s="27" t="n">
        <v>2.44</v>
      </c>
      <c r="N11" s="28" t="n">
        <v>0.409836</v>
      </c>
      <c r="O11" s="28" t="n">
        <v>0.518775</v>
      </c>
      <c r="P11" s="28" t="n"/>
      <c r="Q11" s="28" t="n">
        <v>0.108939</v>
      </c>
      <c r="R11" s="26" t="n">
        <v>74</v>
      </c>
      <c r="S11" s="29" t="n">
        <v>1</v>
      </c>
      <c r="T11" s="24" t="inlineStr">
        <is>
          <t>valorant-tiered-elo-v5</t>
        </is>
      </c>
      <c r="U11" s="24" t="inlineStr">
        <is>
          <t>settled</t>
        </is>
      </c>
      <c r="V11" s="24" t="inlineStr">
        <is>
          <t>win</t>
        </is>
      </c>
      <c r="W11" s="26" t="n">
        <v>0</v>
      </c>
      <c r="X11" s="26" t="n">
        <v>1</v>
      </c>
      <c r="Y11" s="25" t="n"/>
      <c r="Z11" s="26" t="n">
        <v>144</v>
      </c>
      <c r="AA11" s="28" t="n">
        <v>0.41</v>
      </c>
      <c r="AB11" s="28" t="n">
        <v>0.000164</v>
      </c>
      <c r="AC11" s="30" t="n">
        <v>1.44</v>
      </c>
      <c r="AD11" s="24" t="inlineStr">
        <is>
          <t>2026-08-02T23:13:23.977752Z</t>
        </is>
      </c>
      <c r="AE11" s="31" t="inlineStr">
        <is>
          <t>Neutral Elo baseline; executable ask 0.4100 (market_slug=aec-valorant-c9-kr-2026-08-02).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NO_CALL_LOW_EDGE</t>
        </is>
      </c>
      <c r="AP11" s="24" t="inlineStr">
        <is>
          <t>KRÜ Esports</t>
        </is>
      </c>
      <c r="AQ11" s="24" t="inlineStr">
        <is>
          <t>KRÜ Esports</t>
        </is>
      </c>
      <c r="AR11" s="24" t="inlineStr">
        <is>
          <t>KRÜ Esports</t>
        </is>
      </c>
      <c r="AS11" s="24" t="inlineStr">
        <is>
          <t>Cloud9</t>
        </is>
      </c>
      <c r="AT11" s="24" t="inlineStr">
        <is>
          <t>Cloud9</t>
        </is>
      </c>
      <c r="AU11" s="24" t="inlineStr">
        <is>
          <t>Cloud9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c4c53479d60e7fd116280c4ec0788bb856af372afb2da0dd70796fd41ac0b643</t>
        </is>
      </c>
      <c r="BB11" s="24" t="inlineStr">
        <is>
          <t>neutral_elo</t>
        </is>
      </c>
      <c r="BC11" s="24" t="inlineStr">
        <is>
          <t>valorant-tiered-elo-v5</t>
        </is>
      </c>
      <c r="BD11" s="24" t="inlineStr">
        <is>
          <t>c4c53479d60e7fd116280c4ec0788bb856af372afb2da0dd70796fd41ac0b643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valorant-tiered-elo-v5</t>
        </is>
      </c>
      <c r="BH11" s="24" t="inlineStr">
        <is>
          <t>2026-08-02T19:32:11.428763Z</t>
        </is>
      </c>
      <c r="BI11" s="24" t="inlineStr">
        <is>
          <t>["same_event","same_team_same_day","same_league_same_day"]</t>
        </is>
      </c>
      <c r="BJ11" s="25" t="n"/>
      <c r="BK11" s="26" t="n">
        <v>144</v>
      </c>
      <c r="BL11" s="27" t="n">
        <v>2.44</v>
      </c>
      <c r="BM11" s="28" t="n">
        <v>0.409836</v>
      </c>
      <c r="BN11" s="28" t="n"/>
      <c r="BO11" s="28" t="n"/>
      <c r="BP11" s="25" t="n"/>
      <c r="BQ11" s="27" t="n">
        <v>2.44</v>
      </c>
      <c r="BR11" s="28" t="n">
        <v>0.41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inlineStr">
        <is>
          <t>True</t>
        </is>
      </c>
    </row>
    <row r="12" ht="36" customHeight="1">
      <c r="A12" s="24" t="inlineStr">
        <is>
          <t>f523171e5677438d</t>
        </is>
      </c>
      <c r="B12" s="24" t="inlineStr">
        <is>
          <t>2026-08-02T23:17:28.942888Z</t>
        </is>
      </c>
      <c r="C12" s="24" t="inlineStr">
        <is>
          <t>2026-08-03T00:00:00Z</t>
        </is>
      </c>
      <c r="D12" s="24" t="inlineStr">
        <is>
          <t>67386</t>
        </is>
      </c>
      <c r="E12" s="24" t="inlineStr">
        <is>
          <t>VALORANT</t>
        </is>
      </c>
      <c r="F12" s="24" t="inlineStr">
        <is>
          <t>Sentinels</t>
        </is>
      </c>
      <c r="G12" s="24" t="inlineStr">
        <is>
          <t>G2 Esports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-170</v>
      </c>
      <c r="M12" s="27" t="n">
        <v>1.588235</v>
      </c>
      <c r="N12" s="28" t="n">
        <v>0.62963</v>
      </c>
      <c r="O12" s="28" t="n">
        <v>0.626789</v>
      </c>
      <c r="P12" s="28" t="n"/>
      <c r="Q12" s="28" t="n">
        <v>-0.002841</v>
      </c>
      <c r="R12" s="26" t="n">
        <v>19</v>
      </c>
      <c r="S12" s="29" t="n">
        <v>1.5</v>
      </c>
      <c r="T12" s="24" t="inlineStr">
        <is>
          <t>valorant-tiered-elo-v5</t>
        </is>
      </c>
      <c r="U12" s="24" t="inlineStr">
        <is>
          <t>settled</t>
        </is>
      </c>
      <c r="V12" s="24" t="inlineStr">
        <is>
          <t>win</t>
        </is>
      </c>
      <c r="W12" s="26" t="n">
        <v>0</v>
      </c>
      <c r="X12" s="26" t="n">
        <v>1</v>
      </c>
      <c r="Y12" s="25" t="n"/>
      <c r="Z12" s="26" t="n">
        <v>-223</v>
      </c>
      <c r="AA12" s="28" t="n">
        <v>0.6899999999999999</v>
      </c>
      <c r="AB12" s="28" t="n">
        <v>0.06037</v>
      </c>
      <c r="AC12" s="30" t="n">
        <v>0.8824</v>
      </c>
      <c r="AD12" s="24" t="inlineStr">
        <is>
          <t>2026-08-03T02:34:46.902850Z</t>
        </is>
      </c>
      <c r="AE12" s="31" t="inlineStr">
        <is>
          <t>Neutral Elo baseline; executable ask 0.6300 (market_slug=aec-valorant-g2-sen-2026-08-03).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Sentinels</t>
        </is>
      </c>
      <c r="AQ12" s="24" t="inlineStr">
        <is>
          <t>Sentinels</t>
        </is>
      </c>
      <c r="AR12" s="24" t="inlineStr">
        <is>
          <t>Sentinels</t>
        </is>
      </c>
      <c r="AS12" s="24" t="inlineStr">
        <is>
          <t>G2 Esports</t>
        </is>
      </c>
      <c r="AT12" s="24" t="inlineStr">
        <is>
          <t>G2 Esports</t>
        </is>
      </c>
      <c r="AU12" s="24" t="inlineStr">
        <is>
          <t>G2 Esports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b8ad95e67a1d231f7c1456f640a0121faebeb1a345256cde26610e3b0d16a846</t>
        </is>
      </c>
      <c r="BB12" s="24" t="inlineStr">
        <is>
          <t>neutral_elo</t>
        </is>
      </c>
      <c r="BC12" s="24" t="inlineStr">
        <is>
          <t>valorant-tiered-elo-v5</t>
        </is>
      </c>
      <c r="BD12" s="24" t="inlineStr">
        <is>
          <t>b8ad95e67a1d231f7c1456f640a0121faebeb1a345256cde26610e3b0d16a846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valorant-tiered-elo-v5</t>
        </is>
      </c>
      <c r="BH12" s="24" t="inlineStr">
        <is>
          <t>2026-08-02T23:17:23.058724Z</t>
        </is>
      </c>
      <c r="BI12" s="24" t="inlineStr">
        <is>
          <t>["same_event","same_team_same_day","same_league_same_day"]</t>
        </is>
      </c>
      <c r="BJ12" s="25" t="n"/>
      <c r="BK12" s="26" t="n">
        <v>-170</v>
      </c>
      <c r="BL12" s="27" t="n">
        <v>1.588235</v>
      </c>
      <c r="BM12" s="28" t="n">
        <v>0.62963</v>
      </c>
      <c r="BN12" s="28" t="n"/>
      <c r="BO12" s="28" t="n"/>
      <c r="BP12" s="25" t="n"/>
      <c r="BQ12" s="27" t="n">
        <v>1.44843</v>
      </c>
      <c r="BR12" s="28" t="n">
        <v>0.6899999999999999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inlineStr">
        <is>
          <t>False</t>
        </is>
      </c>
    </row>
    <row r="13" ht="36" customHeight="1">
      <c r="A13" s="24" t="inlineStr">
        <is>
          <t>e166706ca9c144b5</t>
        </is>
      </c>
      <c r="B13" s="24" t="inlineStr">
        <is>
          <t>2026-08-03T13:30:41.417037Z</t>
        </is>
      </c>
      <c r="C13" s="24" t="inlineStr">
        <is>
          <t>2026-08-03T15:00:00Z</t>
        </is>
      </c>
      <c r="D13" s="24" t="inlineStr">
        <is>
          <t>67569</t>
        </is>
      </c>
      <c r="E13" s="24" t="inlineStr">
        <is>
          <t>VALORANT</t>
        </is>
      </c>
      <c r="F13" s="24" t="inlineStr">
        <is>
          <t>FOKUS Sakura</t>
        </is>
      </c>
      <c r="G13" s="24" t="inlineStr">
        <is>
          <t>SK Nebula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-163</v>
      </c>
      <c r="M13" s="27" t="n">
        <v>1.613497</v>
      </c>
      <c r="N13" s="28" t="n">
        <v>0.619772</v>
      </c>
      <c r="O13" s="28" t="n">
        <v>0.765423</v>
      </c>
      <c r="P13" s="28" t="n"/>
      <c r="Q13" s="28" t="n">
        <v>0.145651</v>
      </c>
      <c r="R13" s="26" t="n">
        <v>93</v>
      </c>
      <c r="S13" s="29" t="n">
        <v>2</v>
      </c>
      <c r="T13" s="24" t="inlineStr">
        <is>
          <t>valorant-tiered-elo-v5</t>
        </is>
      </c>
      <c r="U13" s="24" t="inlineStr">
        <is>
          <t>settled</t>
        </is>
      </c>
      <c r="V13" s="24" t="inlineStr">
        <is>
          <t>loss</t>
        </is>
      </c>
      <c r="W13" s="26" t="n">
        <v>1</v>
      </c>
      <c r="X13" s="26" t="n">
        <v>0</v>
      </c>
      <c r="Y13" s="25" t="n"/>
      <c r="Z13" s="26" t="n">
        <v>-163</v>
      </c>
      <c r="AA13" s="28" t="n">
        <v>0.62</v>
      </c>
      <c r="AB13" s="28" t="n">
        <v>0.000228</v>
      </c>
      <c r="AC13" s="30" t="n">
        <v>-2</v>
      </c>
      <c r="AD13" s="24" t="inlineStr">
        <is>
          <t>2026-08-03T17:06:03.000740Z</t>
        </is>
      </c>
      <c r="AE13" s="31" t="inlineStr">
        <is>
          <t>Neutral Elo baseline; executable ask 0.6200 (market_slug=aec-valorant-skn-fso-2026-08-03).</t>
        </is>
      </c>
      <c r="AF13" s="31" t="inlineStr">
        <is>
          <t>Config-promoted esports baseline; gates enforced at log time.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FOKUS Sakura</t>
        </is>
      </c>
      <c r="AQ13" s="24" t="inlineStr">
        <is>
          <t>FOKUS Sakura</t>
        </is>
      </c>
      <c r="AR13" s="24" t="inlineStr">
        <is>
          <t>FOKUS Sakura</t>
        </is>
      </c>
      <c r="AS13" s="24" t="inlineStr">
        <is>
          <t>SK Nebula</t>
        </is>
      </c>
      <c r="AT13" s="24" t="inlineStr">
        <is>
          <t>SK Nebula</t>
        </is>
      </c>
      <c r="AU13" s="24" t="inlineStr">
        <is>
          <t>SK Nebula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afe2fffd3c666e0d8f9040dcc6dedae587629fd14dee7043c87557d9d9d9e6e5</t>
        </is>
      </c>
      <c r="BB13" s="24" t="inlineStr">
        <is>
          <t>neutral_elo</t>
        </is>
      </c>
      <c r="BC13" s="24" t="inlineStr">
        <is>
          <t>valorant-tiered-elo-v5</t>
        </is>
      </c>
      <c r="BD13" s="24" t="inlineStr">
        <is>
          <t>afe2fffd3c666e0d8f9040dcc6dedae587629fd14dee7043c87557d9d9d9e6e5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valorant-tiered-elo-v5</t>
        </is>
      </c>
      <c r="BH13" s="24" t="inlineStr">
        <is>
          <t>2026-08-03T13:30:33.637118Z</t>
        </is>
      </c>
      <c r="BI13" s="24" t="inlineStr">
        <is>
          <t>["same_event","same_team_same_day","same_league_same_day"]</t>
        </is>
      </c>
      <c r="BJ13" s="25" t="n"/>
      <c r="BK13" s="26" t="n">
        <v>-163</v>
      </c>
      <c r="BL13" s="27" t="n">
        <v>1.613497</v>
      </c>
      <c r="BM13" s="28" t="n">
        <v>0.619772</v>
      </c>
      <c r="BN13" s="28" t="n"/>
      <c r="BO13" s="28" t="n"/>
      <c r="BP13" s="25" t="n"/>
      <c r="BQ13" s="27" t="n">
        <v>1.613497</v>
      </c>
      <c r="BR13" s="28" t="n">
        <v>0.62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inlineStr">
        <is>
          <t>True</t>
        </is>
      </c>
    </row>
    <row r="14" ht="36" customHeight="1">
      <c r="A14" s="24" t="inlineStr">
        <is>
          <t>b89e1f0fd9dc49c5</t>
        </is>
      </c>
      <c r="B14" s="24" t="inlineStr">
        <is>
          <t>2026-08-03T17:08:47.849402Z</t>
        </is>
      </c>
      <c r="C14" s="24" t="inlineStr">
        <is>
          <t>2026-08-03T18:00:00Z</t>
        </is>
      </c>
      <c r="D14" s="24" t="inlineStr">
        <is>
          <t>67658</t>
        </is>
      </c>
      <c r="E14" s="24" t="inlineStr">
        <is>
          <t>VALORANT</t>
        </is>
      </c>
      <c r="F14" s="24" t="inlineStr">
        <is>
          <t>Barça eSports GC</t>
        </is>
      </c>
      <c r="G14" s="24" t="inlineStr">
        <is>
          <t>Twisted Minds Orchid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-223</v>
      </c>
      <c r="M14" s="27" t="n">
        <v>1.44843</v>
      </c>
      <c r="N14" s="28" t="n">
        <v>0.690402</v>
      </c>
      <c r="O14" s="28" t="n">
        <v>0.6925519999999999</v>
      </c>
      <c r="P14" s="28" t="n"/>
      <c r="Q14" s="28" t="n">
        <v>0.00215</v>
      </c>
      <c r="R14" s="26" t="n">
        <v>21</v>
      </c>
      <c r="S14" s="29" t="n">
        <v>2</v>
      </c>
      <c r="T14" s="24" t="inlineStr">
        <is>
          <t>valorant-tiered-elo-v5</t>
        </is>
      </c>
      <c r="U14" s="24" t="inlineStr">
        <is>
          <t>settled</t>
        </is>
      </c>
      <c r="V14" s="24" t="inlineStr">
        <is>
          <t>win</t>
        </is>
      </c>
      <c r="W14" s="26" t="n">
        <v>0</v>
      </c>
      <c r="X14" s="26" t="n">
        <v>1</v>
      </c>
      <c r="Y14" s="25" t="n"/>
      <c r="Z14" s="26" t="n">
        <v>-223</v>
      </c>
      <c r="AA14" s="28" t="n">
        <v>0.6899999999999999</v>
      </c>
      <c r="AB14" s="28" t="n">
        <v>-0.000402</v>
      </c>
      <c r="AC14" s="30" t="n">
        <v>0.8969</v>
      </c>
      <c r="AD14" s="24" t="inlineStr">
        <is>
          <t>2026-08-03T19:52:13.667573Z</t>
        </is>
      </c>
      <c r="AE14" s="31" t="inlineStr">
        <is>
          <t>Neutral Elo baseline; executable ask 0.6900 (market_slug=aec-valorant-tmo-beg-2026-08-03).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NO_CALL_LOW_EDGE</t>
        </is>
      </c>
      <c r="AP14" s="24" t="inlineStr">
        <is>
          <t>Barça eSports GC</t>
        </is>
      </c>
      <c r="AQ14" s="24" t="inlineStr">
        <is>
          <t>Barça eSports GC</t>
        </is>
      </c>
      <c r="AR14" s="24" t="inlineStr">
        <is>
          <t>Barça eSports GC</t>
        </is>
      </c>
      <c r="AS14" s="24" t="inlineStr">
        <is>
          <t>Twisted Minds Orchid</t>
        </is>
      </c>
      <c r="AT14" s="24" t="inlineStr">
        <is>
          <t>Twisted Minds Orchid</t>
        </is>
      </c>
      <c r="AU14" s="24" t="inlineStr">
        <is>
          <t>Twisted Minds Orchid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6f1a88c65511fda132cb3c464f9d3012c11a7503cf913396060b5b8c9adc5f1b</t>
        </is>
      </c>
      <c r="BB14" s="24" t="inlineStr">
        <is>
          <t>neutral_elo</t>
        </is>
      </c>
      <c r="BC14" s="24" t="inlineStr">
        <is>
          <t>valorant-tiered-elo-v5</t>
        </is>
      </c>
      <c r="BD14" s="24" t="inlineStr">
        <is>
          <t>6f1a88c65511fda132cb3c464f9d3012c11a7503cf913396060b5b8c9adc5f1b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valorant-tiered-elo-v5</t>
        </is>
      </c>
      <c r="BH14" s="24" t="inlineStr">
        <is>
          <t>2026-08-03T17:08:42.423289Z</t>
        </is>
      </c>
      <c r="BI14" s="24" t="inlineStr">
        <is>
          <t>["same_event","same_team_same_day","same_league_same_day"]</t>
        </is>
      </c>
      <c r="BJ14" s="25" t="n"/>
      <c r="BK14" s="26" t="n">
        <v>-223</v>
      </c>
      <c r="BL14" s="27" t="n">
        <v>1.44843</v>
      </c>
      <c r="BM14" s="28" t="n">
        <v>0.690402</v>
      </c>
      <c r="BN14" s="28" t="n"/>
      <c r="BO14" s="28" t="n"/>
      <c r="BP14" s="25" t="n"/>
      <c r="BQ14" s="27" t="n">
        <v>1.44843</v>
      </c>
      <c r="BR14" s="28" t="n">
        <v>0.6899999999999999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inlineStr">
        <is>
          <t>True</t>
        </is>
      </c>
    </row>
    <row r="15" ht="36" customHeight="1">
      <c r="A15" s="24" t="inlineStr">
        <is>
          <t>fb160713f7af45d2</t>
        </is>
      </c>
      <c r="B15" s="24" t="inlineStr">
        <is>
          <t>2026-08-03T19:54:50.877637Z</t>
        </is>
      </c>
      <c r="C15" s="24" t="inlineStr">
        <is>
          <t>2026-08-03T21:00:00Z</t>
        </is>
      </c>
      <c r="D15" s="24" t="inlineStr">
        <is>
          <t>67987</t>
        </is>
      </c>
      <c r="E15" s="24" t="inlineStr">
        <is>
          <t>VALORANT</t>
        </is>
      </c>
      <c r="F15" s="24" t="inlineStr">
        <is>
          <t>The Spiders</t>
        </is>
      </c>
      <c r="G15" s="24" t="inlineStr">
        <is>
          <t>HIMMERS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108</v>
      </c>
      <c r="M15" s="27" t="n">
        <v>2.08</v>
      </c>
      <c r="N15" s="28" t="n">
        <v>0.480769</v>
      </c>
      <c r="O15" s="28" t="n">
        <v>0.521748</v>
      </c>
      <c r="P15" s="28" t="n"/>
      <c r="Q15" s="28" t="n">
        <v>0.040979</v>
      </c>
      <c r="R15" s="26" t="n">
        <v>40</v>
      </c>
      <c r="S15" s="29" t="n">
        <v>1</v>
      </c>
      <c r="T15" s="24" t="inlineStr">
        <is>
          <t>valorant-tiered-elo-v5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</v>
      </c>
      <c r="Y15" s="25" t="n"/>
      <c r="Z15" s="26" t="n">
        <v>108</v>
      </c>
      <c r="AA15" s="28" t="n">
        <v>0.48</v>
      </c>
      <c r="AB15" s="28" t="n">
        <v>-0.000769</v>
      </c>
      <c r="AC15" s="30" t="n">
        <v>1.08</v>
      </c>
      <c r="AD15" s="24" t="inlineStr">
        <is>
          <t>2026-08-04T01:58:53.450701Z</t>
        </is>
      </c>
      <c r="AE15" s="31" t="inlineStr">
        <is>
          <t>Neutral Elo baseline; executable ask 0.4800 (market_slug=aec-valorant-him-spi-2026-08-03).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NO_CALL_LOW_EDGE</t>
        </is>
      </c>
      <c r="AP15" s="24" t="inlineStr">
        <is>
          <t>The Spiders</t>
        </is>
      </c>
      <c r="AQ15" s="24" t="inlineStr">
        <is>
          <t>The Spiders</t>
        </is>
      </c>
      <c r="AR15" s="24" t="inlineStr">
        <is>
          <t>The Spiders</t>
        </is>
      </c>
      <c r="AS15" s="24" t="inlineStr">
        <is>
          <t>HIMMERS</t>
        </is>
      </c>
      <c r="AT15" s="24" t="inlineStr">
        <is>
          <t>HIMMERS</t>
        </is>
      </c>
      <c r="AU15" s="24" t="inlineStr">
        <is>
          <t>HIMMERS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b86d10213574fcb4e774a613f40c4fb8692dc4e3a085fafa8fe32b85c8b1f80d</t>
        </is>
      </c>
      <c r="BB15" s="24" t="inlineStr">
        <is>
          <t>neutral_elo</t>
        </is>
      </c>
      <c r="BC15" s="24" t="inlineStr">
        <is>
          <t>valorant-tiered-elo-v5</t>
        </is>
      </c>
      <c r="BD15" s="24" t="inlineStr">
        <is>
          <t>b86d10213574fcb4e774a613f40c4fb8692dc4e3a085fafa8fe32b85c8b1f80d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valorant-tiered-elo-v5</t>
        </is>
      </c>
      <c r="BH15" s="24" t="inlineStr">
        <is>
          <t>2026-08-03T19:54:45.430222Z</t>
        </is>
      </c>
      <c r="BI15" s="24" t="inlineStr">
        <is>
          <t>["same_event","same_team_same_day","same_league_same_day"]</t>
        </is>
      </c>
      <c r="BJ15" s="25" t="n"/>
      <c r="BK15" s="26" t="n">
        <v>108</v>
      </c>
      <c r="BL15" s="27" t="n">
        <v>2.08</v>
      </c>
      <c r="BM15" s="28" t="n">
        <v>0.480769</v>
      </c>
      <c r="BN15" s="28" t="n"/>
      <c r="BO15" s="28" t="n"/>
      <c r="BP15" s="25" t="n"/>
      <c r="BQ15" s="27" t="n">
        <v>2.08</v>
      </c>
      <c r="BR15" s="28" t="n">
        <v>0.48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inlineStr">
        <is>
          <t>True</t>
        </is>
      </c>
    </row>
    <row r="16" ht="36" customHeight="1">
      <c r="A16" s="24" t="inlineStr">
        <is>
          <t>159e11ed91d64bf9</t>
        </is>
      </c>
      <c r="B16" s="24" t="inlineStr">
        <is>
          <t>2026-08-03T22:57:52.421939Z</t>
        </is>
      </c>
      <c r="C16" s="24" t="inlineStr">
        <is>
          <t>2026-08-03T23:30:00Z</t>
        </is>
      </c>
      <c r="D16" s="24" t="inlineStr">
        <is>
          <t>68094</t>
        </is>
      </c>
      <c r="E16" s="24" t="inlineStr">
        <is>
          <t>VALORANT</t>
        </is>
      </c>
      <c r="F16" s="24" t="inlineStr">
        <is>
          <t>SaD GC</t>
        </is>
      </c>
      <c r="G16" s="24" t="inlineStr">
        <is>
          <t>Los Chudeles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104</v>
      </c>
      <c r="M16" s="27" t="n">
        <v>2.04</v>
      </c>
      <c r="N16" s="28" t="n">
        <v>0.490196</v>
      </c>
      <c r="O16" s="28" t="n">
        <v>0.504194</v>
      </c>
      <c r="P16" s="28" t="n"/>
      <c r="Q16" s="28" t="n">
        <v>0.013998</v>
      </c>
      <c r="R16" s="26" t="n">
        <v>27</v>
      </c>
      <c r="S16" s="29" t="n">
        <v>1</v>
      </c>
      <c r="T16" s="24" t="inlineStr">
        <is>
          <t>valorant-tiered-elo-v5</t>
        </is>
      </c>
      <c r="U16" s="24" t="inlineStr">
        <is>
          <t>settled</t>
        </is>
      </c>
      <c r="V16" s="24" t="inlineStr">
        <is>
          <t>loss</t>
        </is>
      </c>
      <c r="W16" s="26" t="n">
        <v>1</v>
      </c>
      <c r="X16" s="26" t="n">
        <v>0</v>
      </c>
      <c r="Y16" s="25" t="n"/>
      <c r="Z16" s="26" t="n">
        <v>104</v>
      </c>
      <c r="AA16" s="28" t="n">
        <v>0.49</v>
      </c>
      <c r="AB16" s="28" t="n">
        <v>-0.000196</v>
      </c>
      <c r="AC16" s="30" t="n">
        <v>-1</v>
      </c>
      <c r="AD16" s="24" t="inlineStr">
        <is>
          <t>2026-08-04T03:58:20.298471Z</t>
        </is>
      </c>
      <c r="AE16" s="31" t="inlineStr">
        <is>
          <t>Neutral Elo baseline; executable ask 0.4900 (market_slug=aec-valorant-lcd-sga-2026-08-03).</t>
        </is>
      </c>
      <c r="AF16" s="31" t="inlineStr">
        <is>
          <t>Config-promoted esports baseline; gates enforced at log time.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SaD GC</t>
        </is>
      </c>
      <c r="AQ16" s="24" t="inlineStr">
        <is>
          <t>SaD GC</t>
        </is>
      </c>
      <c r="AR16" s="24" t="inlineStr">
        <is>
          <t>SaD GC</t>
        </is>
      </c>
      <c r="AS16" s="24" t="inlineStr">
        <is>
          <t>Los Chudeles</t>
        </is>
      </c>
      <c r="AT16" s="24" t="inlineStr">
        <is>
          <t>Los Chudeles</t>
        </is>
      </c>
      <c r="AU16" s="24" t="inlineStr">
        <is>
          <t>Los Chudeles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fd8b674cd95f5267545eeaa19ed09838dffe6e7f1115e6ac52a5152ecb6ed1bc</t>
        </is>
      </c>
      <c r="BB16" s="24" t="inlineStr">
        <is>
          <t>neutral_elo</t>
        </is>
      </c>
      <c r="BC16" s="24" t="inlineStr">
        <is>
          <t>valorant-tiered-elo-v5</t>
        </is>
      </c>
      <c r="BD16" s="24" t="inlineStr">
        <is>
          <t>fd8b674cd95f5267545eeaa19ed09838dffe6e7f1115e6ac52a5152ecb6ed1bc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valorant-tiered-elo-v5</t>
        </is>
      </c>
      <c r="BH16" s="24" t="inlineStr">
        <is>
          <t>2026-08-03T22:57:48.462085Z</t>
        </is>
      </c>
      <c r="BI16" s="24" t="inlineStr">
        <is>
          <t>["same_event","same_team_same_day","same_league_same_day"]</t>
        </is>
      </c>
      <c r="BJ16" s="25" t="n"/>
      <c r="BK16" s="26" t="n">
        <v>104</v>
      </c>
      <c r="BL16" s="27" t="n">
        <v>2.04</v>
      </c>
      <c r="BM16" s="28" t="n">
        <v>0.490196</v>
      </c>
      <c r="BN16" s="28" t="n"/>
      <c r="BO16" s="28" t="n"/>
      <c r="BP16" s="25" t="n"/>
      <c r="BQ16" s="27" t="n">
        <v>2.04</v>
      </c>
      <c r="BR16" s="28" t="n">
        <v>0.49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inlineStr">
        <is>
          <t>True</t>
        </is>
      </c>
    </row>
    <row r="17" ht="36" customHeight="1">
      <c r="A17" s="24" t="inlineStr">
        <is>
          <t>676ecadd2637400b</t>
        </is>
      </c>
      <c r="B17" s="24" t="inlineStr">
        <is>
          <t>2026-08-03T22:57:52.421939Z</t>
        </is>
      </c>
      <c r="C17" s="24" t="inlineStr">
        <is>
          <t>2026-08-03T23:30:00Z</t>
        </is>
      </c>
      <c r="D17" s="24" t="inlineStr">
        <is>
          <t>68095</t>
        </is>
      </c>
      <c r="E17" s="24" t="inlineStr">
        <is>
          <t>VALORANT</t>
        </is>
      </c>
      <c r="F17" s="24" t="inlineStr">
        <is>
          <t>MVSK Secret</t>
        </is>
      </c>
      <c r="G17" s="24" t="inlineStr">
        <is>
          <t>ROSO GC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163</v>
      </c>
      <c r="M17" s="27" t="n">
        <v>2.63</v>
      </c>
      <c r="N17" s="28" t="n">
        <v>0.380228</v>
      </c>
      <c r="O17" s="28" t="n">
        <v>0.521277</v>
      </c>
      <c r="P17" s="28" t="n"/>
      <c r="Q17" s="28" t="n">
        <v>0.141049</v>
      </c>
      <c r="R17" s="26" t="n">
        <v>91</v>
      </c>
      <c r="S17" s="29" t="n">
        <v>1</v>
      </c>
      <c r="T17" s="24" t="inlineStr">
        <is>
          <t>valorant-tiered-elo-v5</t>
        </is>
      </c>
      <c r="U17" s="24" t="inlineStr">
        <is>
          <t>settled</t>
        </is>
      </c>
      <c r="V17" s="24" t="inlineStr">
        <is>
          <t>loss</t>
        </is>
      </c>
      <c r="W17" s="26" t="n">
        <v>1</v>
      </c>
      <c r="X17" s="26" t="n">
        <v>0</v>
      </c>
      <c r="Y17" s="25" t="n"/>
      <c r="Z17" s="26" t="n">
        <v>163</v>
      </c>
      <c r="AA17" s="28" t="n">
        <v>0.38</v>
      </c>
      <c r="AB17" s="28" t="n">
        <v>-0.000228</v>
      </c>
      <c r="AC17" s="30" t="n">
        <v>-1</v>
      </c>
      <c r="AD17" s="24" t="inlineStr">
        <is>
          <t>2026-08-04T01:58:55.904940Z</t>
        </is>
      </c>
      <c r="AE17" s="31" t="inlineStr">
        <is>
          <t>Neutral Elo baseline; executable ask 0.3800 (market_slug=aec-valorant-roso-mvs-2026-08-03).</t>
        </is>
      </c>
      <c r="AF17" s="31" t="inlineStr">
        <is>
          <t>Config-promoted esports baseline; gates enforced at log time.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NO_CALL_LOW_EDGE</t>
        </is>
      </c>
      <c r="AP17" s="24" t="inlineStr">
        <is>
          <t>MVSK Secret</t>
        </is>
      </c>
      <c r="AQ17" s="24" t="inlineStr">
        <is>
          <t>MVSK Secret</t>
        </is>
      </c>
      <c r="AR17" s="24" t="inlineStr">
        <is>
          <t>MVSK Secret</t>
        </is>
      </c>
      <c r="AS17" s="24" t="inlineStr">
        <is>
          <t>ROSO GC</t>
        </is>
      </c>
      <c r="AT17" s="24" t="inlineStr">
        <is>
          <t>ROSO GC</t>
        </is>
      </c>
      <c r="AU17" s="24" t="inlineStr">
        <is>
          <t>ROSO GC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fd8b674cd95f5267545eeaa19ed09838dffe6e7f1115e6ac52a5152ecb6ed1bc</t>
        </is>
      </c>
      <c r="BB17" s="24" t="inlineStr">
        <is>
          <t>neutral_elo</t>
        </is>
      </c>
      <c r="BC17" s="24" t="inlineStr">
        <is>
          <t>valorant-tiered-elo-v5</t>
        </is>
      </c>
      <c r="BD17" s="24" t="inlineStr">
        <is>
          <t>fd8b674cd95f5267545eeaa19ed09838dffe6e7f1115e6ac52a5152ecb6ed1bc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valorant-tiered-elo-v5</t>
        </is>
      </c>
      <c r="BH17" s="24" t="inlineStr">
        <is>
          <t>2026-08-03T22:57:49.075256Z</t>
        </is>
      </c>
      <c r="BI17" s="24" t="inlineStr">
        <is>
          <t>["same_event","same_team_same_day","same_league_same_day"]</t>
        </is>
      </c>
      <c r="BJ17" s="25" t="n"/>
      <c r="BK17" s="26" t="n">
        <v>163</v>
      </c>
      <c r="BL17" s="27" t="n">
        <v>2.63</v>
      </c>
      <c r="BM17" s="28" t="n">
        <v>0.380228</v>
      </c>
      <c r="BN17" s="28" t="n"/>
      <c r="BO17" s="28" t="n"/>
      <c r="BP17" s="25" t="n"/>
      <c r="BQ17" s="27" t="n">
        <v>2.63</v>
      </c>
      <c r="BR17" s="28" t="n">
        <v>0.38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inlineStr">
        <is>
          <t>True</t>
        </is>
      </c>
    </row>
    <row r="18" ht="36" customHeight="1">
      <c r="A18" s="24" t="inlineStr">
        <is>
          <t>746b3eb463074b2d</t>
        </is>
      </c>
      <c r="B18" s="24" t="inlineStr">
        <is>
          <t>2026-08-03T22:57:52.421939Z</t>
        </is>
      </c>
      <c r="C18" s="24" t="inlineStr">
        <is>
          <t>2026-08-03T23:30:00Z</t>
        </is>
      </c>
      <c r="D18" s="24" t="inlineStr">
        <is>
          <t>68096</t>
        </is>
      </c>
      <c r="E18" s="24" t="inlineStr">
        <is>
          <t>VALORANT</t>
        </is>
      </c>
      <c r="F18" s="24" t="inlineStr">
        <is>
          <t>:3</t>
        </is>
      </c>
      <c r="G18" s="24" t="inlineStr">
        <is>
          <t>Cloud9 GC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-223</v>
      </c>
      <c r="M18" s="27" t="n">
        <v>1.44843</v>
      </c>
      <c r="N18" s="28" t="n">
        <v>0.690402</v>
      </c>
      <c r="O18" s="28" t="n">
        <v>0.527317</v>
      </c>
      <c r="P18" s="28" t="n"/>
      <c r="Q18" s="28" t="n">
        <v>-0.163085</v>
      </c>
      <c r="R18" s="26" t="n">
        <v>0</v>
      </c>
      <c r="S18" s="29" t="n">
        <v>1</v>
      </c>
      <c r="T18" s="24" t="inlineStr">
        <is>
          <t>valorant-tiered-elo-v5</t>
        </is>
      </c>
      <c r="U18" s="24" t="inlineStr">
        <is>
          <t>settled</t>
        </is>
      </c>
      <c r="V18" s="24" t="inlineStr">
        <is>
          <t>loss</t>
        </is>
      </c>
      <c r="W18" s="26" t="n">
        <v>1</v>
      </c>
      <c r="X18" s="26" t="n">
        <v>0</v>
      </c>
      <c r="Y18" s="25" t="n"/>
      <c r="Z18" s="26" t="n">
        <v>-223</v>
      </c>
      <c r="AA18" s="28" t="n">
        <v>0.6899999999999999</v>
      </c>
      <c r="AB18" s="28" t="n">
        <v>-0.000402</v>
      </c>
      <c r="AC18" s="30" t="n">
        <v>-1</v>
      </c>
      <c r="AD18" s="24" t="inlineStr">
        <is>
          <t>2026-08-04T01:58:57.182367Z</t>
        </is>
      </c>
      <c r="AE18" s="31" t="inlineStr">
        <is>
          <t>Neutral Elo baseline; executable ask 0.6900 (market_slug=aec-valorant-c9gc-meow-2026-08-03).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NO_CALL_LOW_EDGE</t>
        </is>
      </c>
      <c r="AP18" s="24" t="inlineStr">
        <is>
          <t>:3</t>
        </is>
      </c>
      <c r="AQ18" s="24" t="inlineStr">
        <is>
          <t>:3</t>
        </is>
      </c>
      <c r="AR18" s="24" t="inlineStr">
        <is>
          <t>:3</t>
        </is>
      </c>
      <c r="AS18" s="24" t="inlineStr">
        <is>
          <t>Cloud9 GC</t>
        </is>
      </c>
      <c r="AT18" s="24" t="inlineStr">
        <is>
          <t>Cloud9 GC</t>
        </is>
      </c>
      <c r="AU18" s="24" t="inlineStr">
        <is>
          <t>Cloud9 GC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fd8b674cd95f5267545eeaa19ed09838dffe6e7f1115e6ac52a5152ecb6ed1bc</t>
        </is>
      </c>
      <c r="BB18" s="24" t="inlineStr">
        <is>
          <t>neutral_elo</t>
        </is>
      </c>
      <c r="BC18" s="24" t="inlineStr">
        <is>
          <t>valorant-tiered-elo-v5</t>
        </is>
      </c>
      <c r="BD18" s="24" t="inlineStr">
        <is>
          <t>fd8b674cd95f5267545eeaa19ed09838dffe6e7f1115e6ac52a5152ecb6ed1bc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valorant-tiered-elo-v5</t>
        </is>
      </c>
      <c r="BH18" s="24" t="inlineStr">
        <is>
          <t>2026-08-03T22:57:49.589365Z</t>
        </is>
      </c>
      <c r="BI18" s="24" t="inlineStr">
        <is>
          <t>["same_event","same_team_same_day","same_league_same_day"]</t>
        </is>
      </c>
      <c r="BJ18" s="25" t="n"/>
      <c r="BK18" s="26" t="n">
        <v>-223</v>
      </c>
      <c r="BL18" s="27" t="n">
        <v>1.44843</v>
      </c>
      <c r="BM18" s="28" t="n">
        <v>0.690402</v>
      </c>
      <c r="BN18" s="28" t="n"/>
      <c r="BO18" s="28" t="n"/>
      <c r="BP18" s="25" t="n"/>
      <c r="BQ18" s="27" t="n">
        <v>1.44843</v>
      </c>
      <c r="BR18" s="28" t="n">
        <v>0.6899999999999999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inlineStr">
        <is>
          <t>False</t>
        </is>
      </c>
    </row>
    <row r="19" ht="36" customHeight="1">
      <c r="A19" s="24" t="inlineStr">
        <is>
          <t>1879dec1a9044fcf</t>
        </is>
      </c>
      <c r="B19" s="24" t="inlineStr">
        <is>
          <t>2026-08-03T22:57:52.421939Z</t>
        </is>
      </c>
      <c r="C19" s="24" t="inlineStr">
        <is>
          <t>2026-08-03T23:30:00Z</t>
        </is>
      </c>
      <c r="D19" s="24" t="inlineStr">
        <is>
          <t>68097</t>
        </is>
      </c>
      <c r="E19" s="24" t="inlineStr">
        <is>
          <t>VALORANT</t>
        </is>
      </c>
      <c r="F19" s="24" t="inlineStr">
        <is>
          <t>Revitalize GC</t>
        </is>
      </c>
      <c r="G19" s="24" t="inlineStr">
        <is>
          <t>Eternal Focus Amethyst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-150</v>
      </c>
      <c r="M19" s="27" t="n">
        <v>1.666667</v>
      </c>
      <c r="N19" s="28" t="n">
        <v>0.6</v>
      </c>
      <c r="O19" s="28" t="n">
        <v>0.5614749999999999</v>
      </c>
      <c r="P19" s="28" t="n"/>
      <c r="Q19" s="28" t="n">
        <v>-0.038525</v>
      </c>
      <c r="R19" s="26" t="n">
        <v>1</v>
      </c>
      <c r="S19" s="29" t="n">
        <v>1</v>
      </c>
      <c r="T19" s="24" t="inlineStr">
        <is>
          <t>valorant-tiered-elo-v5</t>
        </is>
      </c>
      <c r="U19" s="24" t="inlineStr">
        <is>
          <t>settled</t>
        </is>
      </c>
      <c r="V19" s="24" t="inlineStr">
        <is>
          <t>win</t>
        </is>
      </c>
      <c r="W19" s="26" t="n">
        <v>1</v>
      </c>
      <c r="X19" s="26" t="n">
        <v>0</v>
      </c>
      <c r="Y19" s="25" t="n"/>
      <c r="Z19" s="26" t="n">
        <v>-150</v>
      </c>
      <c r="AA19" s="28" t="n">
        <v>0.6</v>
      </c>
      <c r="AB19" s="28" t="n">
        <v>0</v>
      </c>
      <c r="AC19" s="30" t="n">
        <v>0.6667</v>
      </c>
      <c r="AD19" s="24" t="inlineStr">
        <is>
          <t>2026-08-04T01:58:58.496591Z</t>
        </is>
      </c>
      <c r="AE19" s="31" t="inlineStr">
        <is>
          <t>Neutral Elo baseline; executable ask 0.6000 (market_slug=aec-valorant-efa-rev-2026-08-03).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Revitalize GC</t>
        </is>
      </c>
      <c r="AQ19" s="24" t="inlineStr">
        <is>
          <t>Revitalize GC</t>
        </is>
      </c>
      <c r="AR19" s="24" t="inlineStr">
        <is>
          <t>Revitalize GC</t>
        </is>
      </c>
      <c r="AS19" s="24" t="inlineStr">
        <is>
          <t>Eternal Focus Amethyst</t>
        </is>
      </c>
      <c r="AT19" s="24" t="inlineStr">
        <is>
          <t>Eternal Focus Amethyst</t>
        </is>
      </c>
      <c r="AU19" s="24" t="inlineStr">
        <is>
          <t>Eternal Focus Amethyst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fd8b674cd95f5267545eeaa19ed09838dffe6e7f1115e6ac52a5152ecb6ed1bc</t>
        </is>
      </c>
      <c r="BB19" s="24" t="inlineStr">
        <is>
          <t>neutral_elo</t>
        </is>
      </c>
      <c r="BC19" s="24" t="inlineStr">
        <is>
          <t>valorant-tiered-elo-v5</t>
        </is>
      </c>
      <c r="BD19" s="24" t="inlineStr">
        <is>
          <t>fd8b674cd95f5267545eeaa19ed09838dffe6e7f1115e6ac52a5152ecb6ed1bc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valorant-tiered-elo-v5</t>
        </is>
      </c>
      <c r="BH19" s="24" t="inlineStr">
        <is>
          <t>2026-08-03T22:57:50.125387Z</t>
        </is>
      </c>
      <c r="BI19" s="24" t="inlineStr">
        <is>
          <t>["same_event","same_team_same_day","same_league_same_day"]</t>
        </is>
      </c>
      <c r="BJ19" s="25" t="n"/>
      <c r="BK19" s="26" t="n">
        <v>-150</v>
      </c>
      <c r="BL19" s="27" t="n">
        <v>1.666667</v>
      </c>
      <c r="BM19" s="28" t="n">
        <v>0.6</v>
      </c>
      <c r="BN19" s="28" t="n"/>
      <c r="BO19" s="28" t="n"/>
      <c r="BP19" s="25" t="n"/>
      <c r="BQ19" s="27" t="n">
        <v>1.666667</v>
      </c>
      <c r="BR19" s="28" t="n">
        <v>0.6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inlineStr">
        <is>
          <t>False</t>
        </is>
      </c>
    </row>
    <row r="20" ht="36" customHeight="1">
      <c r="A20" s="24" t="inlineStr">
        <is>
          <t>9218b90a73a4484d</t>
        </is>
      </c>
      <c r="B20" s="24" t="inlineStr">
        <is>
          <t>2026-08-04T02:00:41.244456Z</t>
        </is>
      </c>
      <c r="C20" s="24" t="inlineStr">
        <is>
          <t>2026-08-04T15:00:00Z</t>
        </is>
      </c>
      <c r="D20" s="24" t="inlineStr">
        <is>
          <t>68481</t>
        </is>
      </c>
      <c r="E20" s="24" t="inlineStr">
        <is>
          <t>VALORANT</t>
        </is>
      </c>
      <c r="F20" s="24" t="inlineStr">
        <is>
          <t>FOKUS Sakura</t>
        </is>
      </c>
      <c r="G20" s="24" t="inlineStr">
        <is>
          <t>Karmine Corp GC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186</v>
      </c>
      <c r="M20" s="27" t="n">
        <v>2.86</v>
      </c>
      <c r="N20" s="28" t="n">
        <v>0.34965</v>
      </c>
      <c r="O20" s="28" t="n">
        <v>0.528125</v>
      </c>
      <c r="P20" s="28" t="n"/>
      <c r="Q20" s="28" t="n">
        <v>0.178475</v>
      </c>
      <c r="R20" s="26" t="n">
        <v>100</v>
      </c>
      <c r="S20" s="29" t="n">
        <v>1</v>
      </c>
      <c r="T20" s="24" t="inlineStr">
        <is>
          <t>valorant-tiered-elo-v5</t>
        </is>
      </c>
      <c r="U20" s="24" t="inlineStr">
        <is>
          <t>open</t>
        </is>
      </c>
      <c r="V20" s="24" t="n"/>
      <c r="W20" s="26" t="n"/>
      <c r="X20" s="26" t="n"/>
      <c r="Y20" s="25" t="n"/>
      <c r="Z20" s="26" t="n"/>
      <c r="AA20" s="28" t="n"/>
      <c r="AB20" s="28" t="n"/>
      <c r="AC20" s="30" t="n"/>
      <c r="AD20" s="24" t="n"/>
      <c r="AE20" s="31" t="inlineStr">
        <is>
          <t>Neutral Elo baseline; executable ask 0.3500 (market_slug=aec-valorant-kcg-fso-2026-08-04).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NO_CALL_LOW_EDGE</t>
        </is>
      </c>
      <c r="AP20" s="24" t="inlineStr">
        <is>
          <t>FOKUS Sakura</t>
        </is>
      </c>
      <c r="AQ20" s="24" t="inlineStr">
        <is>
          <t>FOKUS Sakura</t>
        </is>
      </c>
      <c r="AR20" s="24" t="inlineStr">
        <is>
          <t>FOKUS Sakura</t>
        </is>
      </c>
      <c r="AS20" s="24" t="inlineStr">
        <is>
          <t>Karmine Corp GC</t>
        </is>
      </c>
      <c r="AT20" s="24" t="inlineStr">
        <is>
          <t>Karmine Corp GC</t>
        </is>
      </c>
      <c r="AU20" s="24" t="inlineStr">
        <is>
          <t>Karmine Corp GC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1fb02f7e107cb3c5f6846e4e923c4e1fcb9fc33096bb43ae15b18b13c7c43abe</t>
        </is>
      </c>
      <c r="BB20" s="24" t="inlineStr">
        <is>
          <t>neutral_elo</t>
        </is>
      </c>
      <c r="BC20" s="24" t="inlineStr">
        <is>
          <t>valorant-tiered-elo-v5</t>
        </is>
      </c>
      <c r="BD20" s="24" t="inlineStr">
        <is>
          <t>1fb02f7e107cb3c5f6846e4e923c4e1fcb9fc33096bb43ae15b18b13c7c43abe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valorant-tiered-elo-v5</t>
        </is>
      </c>
      <c r="BH20" s="24" t="inlineStr">
        <is>
          <t>2026-08-04T02:00:40.181000Z</t>
        </is>
      </c>
      <c r="BI20" s="24" t="inlineStr">
        <is>
          <t>["same_event","same_team_same_day","same_league_same_day"]</t>
        </is>
      </c>
      <c r="BJ20" s="25" t="n"/>
      <c r="BK20" s="26" t="n">
        <v>186</v>
      </c>
      <c r="BL20" s="27" t="n">
        <v>2.86</v>
      </c>
      <c r="BM20" s="28" t="n">
        <v>0.34965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inlineStr">
        <is>
          <t>True</t>
        </is>
      </c>
    </row>
    <row r="21" ht="36" customHeight="1">
      <c r="A21" s="24" t="inlineStr">
        <is>
          <t>c0b1f86fc0104300</t>
        </is>
      </c>
      <c r="B21" s="24" t="inlineStr">
        <is>
          <t>2026-08-04T02:00:41.244456Z</t>
        </is>
      </c>
      <c r="C21" s="24" t="inlineStr">
        <is>
          <t>2026-08-04T18:00:00Z</t>
        </is>
      </c>
      <c r="D21" s="24" t="inlineStr">
        <is>
          <t>68698</t>
        </is>
      </c>
      <c r="E21" s="24" t="inlineStr">
        <is>
          <t>VALORANT</t>
        </is>
      </c>
      <c r="F21" s="24" t="inlineStr">
        <is>
          <t>Twisted Minds Orchid</t>
        </is>
      </c>
      <c r="G21" s="24" t="inlineStr">
        <is>
          <t>SK Nebula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-223</v>
      </c>
      <c r="M21" s="27" t="n">
        <v>1.44843</v>
      </c>
      <c r="N21" s="28" t="n">
        <v>0.690402</v>
      </c>
      <c r="O21" s="28" t="n">
        <v>0.623225</v>
      </c>
      <c r="P21" s="28" t="n"/>
      <c r="Q21" s="28" t="n">
        <v>-0.067177</v>
      </c>
      <c r="R21" s="26" t="n">
        <v>0</v>
      </c>
      <c r="S21" s="29" t="n">
        <v>1.5</v>
      </c>
      <c r="T21" s="24" t="inlineStr">
        <is>
          <t>valorant-tiered-elo-v5</t>
        </is>
      </c>
      <c r="U21" s="24" t="inlineStr">
        <is>
          <t>open</t>
        </is>
      </c>
      <c r="V21" s="24" t="n"/>
      <c r="W21" s="26" t="n"/>
      <c r="X21" s="26" t="n"/>
      <c r="Y21" s="25" t="n"/>
      <c r="Z21" s="26" t="n"/>
      <c r="AA21" s="28" t="n"/>
      <c r="AB21" s="28" t="n"/>
      <c r="AC21" s="30" t="n"/>
      <c r="AD21" s="24" t="n"/>
      <c r="AE21" s="31" t="inlineStr">
        <is>
          <t>Neutral Elo baseline; executable ask 0.6900 (market_slug=aec-valorant-skn-tmo-2026-08-04).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NO_CALL_LOW_EDGE</t>
        </is>
      </c>
      <c r="AP21" s="24" t="inlineStr">
        <is>
          <t>Twisted Minds Orchid</t>
        </is>
      </c>
      <c r="AQ21" s="24" t="inlineStr">
        <is>
          <t>Twisted Minds Orchid</t>
        </is>
      </c>
      <c r="AR21" s="24" t="inlineStr">
        <is>
          <t>Twisted Minds Orchid</t>
        </is>
      </c>
      <c r="AS21" s="24" t="inlineStr">
        <is>
          <t>SK Nebula</t>
        </is>
      </c>
      <c r="AT21" s="24" t="inlineStr">
        <is>
          <t>SK Nebula</t>
        </is>
      </c>
      <c r="AU21" s="24" t="inlineStr">
        <is>
          <t>SK Nebula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1fb02f7e107cb3c5f6846e4e923c4e1fcb9fc33096bb43ae15b18b13c7c43abe</t>
        </is>
      </c>
      <c r="BB21" s="24" t="inlineStr">
        <is>
          <t>neutral_elo</t>
        </is>
      </c>
      <c r="BC21" s="24" t="inlineStr">
        <is>
          <t>valorant-tiered-elo-v5</t>
        </is>
      </c>
      <c r="BD21" s="24" t="inlineStr">
        <is>
          <t>1fb02f7e107cb3c5f6846e4e923c4e1fcb9fc33096bb43ae15b18b13c7c43abe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valorant-tiered-elo-v5</t>
        </is>
      </c>
      <c r="BH21" s="24" t="inlineStr">
        <is>
          <t>2026-08-04T02:00:41.242400Z</t>
        </is>
      </c>
      <c r="BI21" s="24" t="inlineStr">
        <is>
          <t>["same_event","same_team_same_day","same_league_same_day"]</t>
        </is>
      </c>
      <c r="BJ21" s="25" t="n"/>
      <c r="BK21" s="26" t="n">
        <v>-223</v>
      </c>
      <c r="BL21" s="27" t="n">
        <v>1.44843</v>
      </c>
      <c r="BM21" s="28" t="n">
        <v>0.690402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inlineStr">
        <is>
          <t>False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2026-08-04T03:58:20Z</dcterms:created>
  <dcterms:modified xsi:type="dcterms:W3CDTF">2026-08-04T03:58:20Z</dcterms:modified>
</cp:coreProperties>
</file>