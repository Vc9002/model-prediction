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62" headerRowCount="1">
  <autoFilter ref="A1:CS62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COUNTA('Picks'!$A$2:$A$62)</f>
        <v/>
      </c>
      <c r="C4" s="6">
        <f>COUNTIF('Picks'!$U$2:$U$62,"open")</f>
        <v/>
      </c>
      <c r="E4" s="6">
        <f>COUNTIF('Picks'!$U$2:$U$62,"settled")</f>
        <v/>
      </c>
      <c r="G4" s="6">
        <f>IF(COUNTIFS('Picks'!$U$2:$U$62,"settled",'Picks'!$V$2:$V$62,"win")+COUNTIFS('Picks'!$U$2:$U$62,"settled",'Picks'!$V$2:$V$62,"loss")&gt;=$L$2,"Ready","Insufficient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COUNTIF('Picks'!$BX$2:$BX$62,"&gt;0")</f>
        <v/>
      </c>
      <c r="C7" s="6">
        <f>COUNTIFS('Picks'!$BX$2:$BX$62,"&gt;0",'Picks'!$V$2:$V$62,"win")&amp;"-"&amp;COUNTIFS('Picks'!$BX$2:$BX$62,"&gt;0",'Picks'!$V$2:$V$62,"loss")</f>
        <v/>
      </c>
      <c r="E7" s="7">
        <f>IFERROR(COUNTIFS('Picks'!$BX$2:$BX$62,"&gt;0",'Picks'!$V$2:$V$62,"win")/(COUNTIFS('Picks'!$BX$2:$BX$62,"&gt;0",'Picks'!$V$2:$V$62,"win")+COUNTIFS('Picks'!$BX$2:$BX$62,"&gt;0",'Picks'!$V$2:$V$62,"loss")),0)</f>
        <v/>
      </c>
      <c r="G7" s="7">
        <f>IFERROR(SUM('Picks'!$BY$2:$BY$62)/SUM('Picks'!$BX$2:$BX$62),0)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SUM('Picks'!$BY$2:$BY$62)</f>
        <v/>
      </c>
      <c r="C10" s="9">
        <f>IFERROR(AVERAGEIF('Picks'!$AB$2:$AB$62,"&lt;&gt;",'Picks'!$AB$2:$AB$62),0)</f>
        <v/>
      </c>
      <c r="E10" s="6">
        <f>COUNTIFS('Picks'!$AM$2:$AM$62,"QUALIFIED_SHADOW_CALL",'Picks'!$U$2:$U$62,"settled")</f>
        <v/>
      </c>
      <c r="G10" s="8">
        <f>SUMIFS('Picks'!$AC$2:$AC$62,'Picks'!$AM$2:$AM$62,"QUALIFIED_SHADOW_CALL")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COUNTIFS('Picks'!$H$2:$H$62,$A14,'Picks'!$U$2:$U$62,"settled")</f>
        <v/>
      </c>
      <c r="C14" s="13">
        <f>COUNTIFS('Picks'!$H$2:$H$62,$A14,'Picks'!$U$2:$U$62,"settled",'Picks'!$V$2:$V$62,"win")</f>
        <v/>
      </c>
      <c r="D14" s="13">
        <f>COUNTIFS('Picks'!$H$2:$H$62,$A14,'Picks'!$U$2:$U$62,"settled",'Picks'!$V$2:$V$62,"loss")</f>
        <v/>
      </c>
      <c r="E14" s="14">
        <f>IFERROR(C14/(C14+D14),0)</f>
        <v/>
      </c>
      <c r="F14" s="15">
        <f>SUMIFS('Picks'!$BY$2:$BY$62,'Picks'!$H$2:$H$62,$A14)</f>
        <v/>
      </c>
      <c r="G14" s="16">
        <f>IFERROR(AVERAGEIFS('Picks'!$AB$2:$AB$62,'Picks'!$H$2:$H$62,$A14,'Picks'!$U$2:$U$62,"settled"),0)</f>
        <v/>
      </c>
    </row>
    <row r="15">
      <c r="A15" s="17" t="inlineStr">
        <is>
          <t>spread</t>
        </is>
      </c>
      <c r="B15" s="18">
        <f>COUNTIFS('Picks'!$H$2:$H$62,$A15,'Picks'!$U$2:$U$62,"settled")</f>
        <v/>
      </c>
      <c r="C15" s="18">
        <f>COUNTIFS('Picks'!$H$2:$H$62,$A15,'Picks'!$U$2:$U$62,"settled",'Picks'!$V$2:$V$62,"win")</f>
        <v/>
      </c>
      <c r="D15" s="18">
        <f>COUNTIFS('Picks'!$H$2:$H$62,$A15,'Picks'!$U$2:$U$62,"settled",'Picks'!$V$2:$V$62,"loss")</f>
        <v/>
      </c>
      <c r="E15" s="19">
        <f>IFERROR(C15/(C15+D15),0)</f>
        <v/>
      </c>
      <c r="F15" s="20">
        <f>SUMIFS('Picks'!$BY$2:$BY$62,'Picks'!$H$2:$H$62,$A15)</f>
        <v/>
      </c>
      <c r="G15" s="21">
        <f>IFERROR(AVERAGEIFS('Picks'!$AB$2:$AB$62,'Picks'!$H$2:$H$62,$A15,'Picks'!$U$2:$U$62,"settled"),0)</f>
        <v/>
      </c>
    </row>
    <row r="16">
      <c r="A16" s="12" t="inlineStr">
        <is>
          <t>total</t>
        </is>
      </c>
      <c r="B16" s="13">
        <f>COUNTIFS('Picks'!$H$2:$H$62,$A16,'Picks'!$U$2:$U$62,"settled")</f>
        <v/>
      </c>
      <c r="C16" s="13">
        <f>COUNTIFS('Picks'!$H$2:$H$62,$A16,'Picks'!$U$2:$U$62,"settled",'Picks'!$V$2:$V$62,"win")</f>
        <v/>
      </c>
      <c r="D16" s="13">
        <f>COUNTIFS('Picks'!$H$2:$H$62,$A16,'Picks'!$U$2:$U$62,"settled",'Picks'!$V$2:$V$62,"loss")</f>
        <v/>
      </c>
      <c r="E16" s="14">
        <f>IFERROR(C16/(C16+D16),0)</f>
        <v/>
      </c>
      <c r="F16" s="15">
        <f>SUMIFS('Picks'!$BY$2:$BY$62,'Picks'!$H$2:$H$62,$A16)</f>
        <v/>
      </c>
      <c r="G16" s="16">
        <f>IFERROR(AVERAGEIFS('Picks'!$AB$2:$AB$62,'Picks'!$H$2:$H$62,$A16,'Picks'!$U$2:$U$62,"settled"),0)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0c9b461f54a54b67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2026-07-31T13:38:58.560220Z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>
        <v>1</v>
      </c>
      <c r="BY2" s="27" t="n">
        <v>0.91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0e9f1583a76a4fd2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2026-07-31T19:51:22.532394Z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>
        <v>1</v>
      </c>
      <c r="BY3" s="27" t="n">
        <v>0.91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992f00d317164d2a</t>
        </is>
      </c>
      <c r="B4" s="24" t="inlineStr">
        <is>
          <t>2026-07-31T19:57:00.316597Z</t>
        </is>
      </c>
      <c r="C4" s="24" t="inlineStr">
        <is>
          <t>2026-07-31T21:00:00Z</t>
        </is>
      </c>
      <c r="D4" s="24" t="inlineStr">
        <is>
          <t>65506</t>
        </is>
      </c>
      <c r="E4" s="24" t="inlineStr">
        <is>
          <t>VALORANT</t>
        </is>
      </c>
      <c r="F4" s="24" t="inlineStr">
        <is>
          <t>LOUD</t>
        </is>
      </c>
      <c r="G4" s="24" t="inlineStr">
        <is>
          <t>Cloud9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-122</v>
      </c>
      <c r="M4" s="27" t="n">
        <v>1.819672</v>
      </c>
      <c r="N4" s="28" t="n">
        <v>0.54955</v>
      </c>
      <c r="O4" s="28" t="n">
        <v>0.558389</v>
      </c>
      <c r="P4" s="28" t="n"/>
      <c r="Q4" s="28" t="n">
        <v>0.008839</v>
      </c>
      <c r="R4" s="26" t="n">
        <v>24</v>
      </c>
      <c r="S4" s="29" t="n">
        <v>1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>
        <v>-122</v>
      </c>
      <c r="AA4" s="28" t="n">
        <v>0.55</v>
      </c>
      <c r="AB4" s="28" t="n">
        <v>0.00045</v>
      </c>
      <c r="AC4" s="30" t="n">
        <v>0.8197</v>
      </c>
      <c r="AD4" s="24" t="inlineStr">
        <is>
          <t>2026-08-01T03:00:18.104800Z</t>
        </is>
      </c>
      <c r="AE4" s="31" t="inlineStr">
        <is>
          <t>Neutral Elo baseline; executable ask 0.5500 (market_slug=aec-valorant-c9-loud-2026-07-31).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LOUD</t>
        </is>
      </c>
      <c r="AQ4" s="24" t="inlineStr">
        <is>
          <t>LOUD</t>
        </is>
      </c>
      <c r="AR4" s="24" t="inlineStr">
        <is>
          <t>LOUD</t>
        </is>
      </c>
      <c r="AS4" s="24" t="inlineStr">
        <is>
          <t>Cloud9</t>
        </is>
      </c>
      <c r="AT4" s="24" t="inlineStr">
        <is>
          <t>Cloud9</t>
        </is>
      </c>
      <c r="AU4" s="24" t="inlineStr">
        <is>
          <t>Cloud9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c495285eb3dce15d5f7b197559c746544440f7a87fe5550e2c24625e309d8dd6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c495285eb3dce15d5f7b197559c746544440f7a87fe5550e2c24625e309d8dd6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2026-07-31T19:56:56.353476Z</t>
        </is>
      </c>
      <c r="BI4" s="24" t="inlineStr">
        <is>
          <t>["same_event","same_team_same_day","same_league_same_day"]</t>
        </is>
      </c>
      <c r="BJ4" s="25" t="n"/>
      <c r="BK4" s="26" t="n">
        <v>-122</v>
      </c>
      <c r="BL4" s="27" t="n">
        <v>1.819672</v>
      </c>
      <c r="BM4" s="28" t="n">
        <v>0.54955</v>
      </c>
      <c r="BN4" s="28" t="n"/>
      <c r="BO4" s="28" t="n"/>
      <c r="BP4" s="25" t="n"/>
      <c r="BQ4" s="27" t="n">
        <v>1.819672</v>
      </c>
      <c r="BR4" s="28" t="n">
        <v>0.55</v>
      </c>
      <c r="BS4" s="28" t="n"/>
      <c r="BT4" s="28" t="n"/>
      <c r="BU4" s="25" t="n"/>
      <c r="BV4" s="29" t="n"/>
      <c r="BW4" s="24" t="n"/>
      <c r="BX4" s="30" t="n">
        <v>1</v>
      </c>
      <c r="BY4" s="27" t="n">
        <v>0.91</v>
      </c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3e99dffb22ef4292</t>
        </is>
      </c>
      <c r="B5" s="24" t="inlineStr">
        <is>
          <t>2026-08-01T10:23:18.378580Z</t>
        </is>
      </c>
      <c r="C5" s="24" t="inlineStr">
        <is>
          <t>2026-08-01T11:00:00Z</t>
        </is>
      </c>
      <c r="D5" s="24" t="inlineStr">
        <is>
          <t>65894</t>
        </is>
      </c>
      <c r="E5" s="24" t="inlineStr">
        <is>
          <t>VALORANT</t>
        </is>
      </c>
      <c r="F5" s="24" t="inlineStr">
        <is>
          <t>Rex Regum Qeon</t>
        </is>
      </c>
      <c r="G5" s="24" t="inlineStr">
        <is>
          <t>FULL SENSE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0.552961</v>
      </c>
      <c r="P5" s="28" t="n"/>
      <c r="Q5" s="28" t="n">
        <v>-0.047039</v>
      </c>
      <c r="R5" s="26" t="n">
        <v>0</v>
      </c>
      <c r="S5" s="29" t="n">
        <v>1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-150</v>
      </c>
      <c r="AA5" s="28" t="n">
        <v>0.6</v>
      </c>
      <c r="AB5" s="28" t="n">
        <v>0</v>
      </c>
      <c r="AC5" s="30" t="n">
        <v>-1</v>
      </c>
      <c r="AD5" s="24" t="inlineStr">
        <is>
          <t>2026-08-01T16:48:17.244830Z</t>
        </is>
      </c>
      <c r="AE5" s="31" t="inlineStr">
        <is>
          <t>Neutral Elo baseline; executable ask 0.6000 (market_slug=aec-valorant-fs-rrq-2026-08-01).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Rex Regum Qeon</t>
        </is>
      </c>
      <c r="AQ5" s="24" t="inlineStr">
        <is>
          <t>Rex Regum Qeon</t>
        </is>
      </c>
      <c r="AR5" s="24" t="inlineStr">
        <is>
          <t>Rex Regum Qeon</t>
        </is>
      </c>
      <c r="AS5" s="24" t="inlineStr">
        <is>
          <t>FULL SENSE</t>
        </is>
      </c>
      <c r="AT5" s="24" t="inlineStr">
        <is>
          <t>FULL SENSE</t>
        </is>
      </c>
      <c r="AU5" s="24" t="inlineStr">
        <is>
          <t>FULL SENSE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8b020a3d72d15d0d6b9a3580f54f87b4bba53a58d9087c0149f9da2085413676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8b020a3d72d15d0d6b9a3580f54f87b4bba53a58d9087c0149f9da2085413676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2026-08-01T10:23:13.032551Z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>
        <v>1</v>
      </c>
      <c r="BY5" s="27" t="n">
        <v>-1</v>
      </c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67352456a8884132</t>
        </is>
      </c>
      <c r="B6" s="24" t="inlineStr">
        <is>
          <t>2026-08-01T13:46:54.819019Z</t>
        </is>
      </c>
      <c r="C6" s="24" t="inlineStr">
        <is>
          <t>2026-08-01T15:00:00Z</t>
        </is>
      </c>
      <c r="D6" s="24" t="inlineStr">
        <is>
          <t>65953</t>
        </is>
      </c>
      <c r="E6" s="24" t="inlineStr">
        <is>
          <t>VALORANT</t>
        </is>
      </c>
      <c r="F6" s="24" t="inlineStr">
        <is>
          <t>Team Vitality</t>
        </is>
      </c>
      <c r="G6" s="24" t="inlineStr">
        <is>
          <t>FUT Esports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-194</v>
      </c>
      <c r="M6" s="27" t="n">
        <v>1.515464</v>
      </c>
      <c r="N6" s="28" t="n">
        <v>0.659864</v>
      </c>
      <c r="O6" s="28" t="n">
        <v>0.566738</v>
      </c>
      <c r="P6" s="28" t="n"/>
      <c r="Q6" s="28" t="n">
        <v>-0.093126</v>
      </c>
      <c r="R6" s="26" t="n">
        <v>0</v>
      </c>
      <c r="S6" s="29" t="n">
        <v>1</v>
      </c>
      <c r="T6" s="24" t="inlineStr">
        <is>
          <t>valorant-tiered-elo-v5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-194</v>
      </c>
      <c r="AA6" s="28" t="n">
        <v>0.66</v>
      </c>
      <c r="AB6" s="28" t="n">
        <v>0.000136</v>
      </c>
      <c r="AC6" s="30" t="n">
        <v>0.5155</v>
      </c>
      <c r="AD6" s="24" t="inlineStr">
        <is>
          <t>2026-08-01T18:35:40.219599Z</t>
        </is>
      </c>
      <c r="AE6" s="31" t="inlineStr">
        <is>
          <t>Neutral Elo baseline; executable ask 0.6600 (market_slug=aec-valorant-fut-vit-2026-08-01).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Team Vitality</t>
        </is>
      </c>
      <c r="AQ6" s="24" t="inlineStr">
        <is>
          <t>Team Vitality</t>
        </is>
      </c>
      <c r="AR6" s="24" t="inlineStr">
        <is>
          <t>Team Vitality</t>
        </is>
      </c>
      <c r="AS6" s="24" t="inlineStr">
        <is>
          <t>FUT Esports</t>
        </is>
      </c>
      <c r="AT6" s="24" t="inlineStr">
        <is>
          <t>FUT Esports</t>
        </is>
      </c>
      <c r="AU6" s="24" t="inlineStr">
        <is>
          <t>FUT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5f7adb9e3af3e4b9370360107475e66be29da0c570d1ec14af5f7846257b6ab8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5f7adb9e3af3e4b9370360107475e66be29da0c570d1ec14af5f7846257b6ab8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2026-08-01T13:46:50.499962Z</t>
        </is>
      </c>
      <c r="BI6" s="24" t="inlineStr">
        <is>
          <t>["same_event","same_team_same_day","same_league_same_day"]</t>
        </is>
      </c>
      <c r="BJ6" s="25" t="n"/>
      <c r="BK6" s="26" t="n">
        <v>-194</v>
      </c>
      <c r="BL6" s="27" t="n">
        <v>1.515464</v>
      </c>
      <c r="BM6" s="28" t="n">
        <v>0.659864</v>
      </c>
      <c r="BN6" s="28" t="n"/>
      <c r="BO6" s="28" t="n"/>
      <c r="BP6" s="25" t="n"/>
      <c r="BQ6" s="27" t="n">
        <v>1.515464</v>
      </c>
      <c r="BR6" s="28" t="n">
        <v>0.66</v>
      </c>
      <c r="BS6" s="28" t="n"/>
      <c r="BT6" s="28" t="n"/>
      <c r="BU6" s="25" t="n"/>
      <c r="BV6" s="29" t="n"/>
      <c r="BW6" s="24" t="n"/>
      <c r="BX6" s="30" t="n">
        <v>1</v>
      </c>
      <c r="BY6" s="27" t="n">
        <v>0.91</v>
      </c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49d2571015064442</t>
        </is>
      </c>
      <c r="B7" s="24" t="inlineStr">
        <is>
          <t>2026-08-01T16:54:19.279565Z</t>
        </is>
      </c>
      <c r="C7" s="24" t="inlineStr">
        <is>
          <t>2026-08-01T18:00:00Z</t>
        </is>
      </c>
      <c r="D7" s="24" t="inlineStr">
        <is>
          <t>66138</t>
        </is>
      </c>
      <c r="E7" s="24" t="inlineStr">
        <is>
          <t>VALORANT</t>
        </is>
      </c>
      <c r="F7" s="24" t="inlineStr">
        <is>
          <t>Team Liquid</t>
        </is>
      </c>
      <c r="G7" s="24" t="inlineStr">
        <is>
          <t>Karmine Corp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-113</v>
      </c>
      <c r="M7" s="27" t="n">
        <v>1.884956</v>
      </c>
      <c r="N7" s="28" t="n">
        <v>0.530516</v>
      </c>
      <c r="O7" s="28" t="n">
        <v>0.500941</v>
      </c>
      <c r="P7" s="28" t="n"/>
      <c r="Q7" s="28" t="n">
        <v>-0.029575</v>
      </c>
      <c r="R7" s="26" t="n">
        <v>5</v>
      </c>
      <c r="S7" s="29" t="n">
        <v>1</v>
      </c>
      <c r="T7" s="24" t="inlineStr">
        <is>
          <t>valorant-tiered-elo-v5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-113</v>
      </c>
      <c r="AA7" s="28" t="n">
        <v>0.53</v>
      </c>
      <c r="AB7" s="28" t="n">
        <v>-0.000516</v>
      </c>
      <c r="AC7" s="30" t="n">
        <v>-1</v>
      </c>
      <c r="AD7" s="24" t="inlineStr">
        <is>
          <t>2026-08-01T21:41:01.737935Z</t>
        </is>
      </c>
      <c r="AE7" s="31" t="inlineStr">
        <is>
          <t>Neutral Elo baseline; executable ask 0.5300 (market_slug=aec-valorant-kc-tl-2026-08-01).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Team Liquid</t>
        </is>
      </c>
      <c r="AQ7" s="24" t="inlineStr">
        <is>
          <t>Team Liquid</t>
        </is>
      </c>
      <c r="AR7" s="24" t="inlineStr">
        <is>
          <t>Team Liquid</t>
        </is>
      </c>
      <c r="AS7" s="24" t="inlineStr">
        <is>
          <t>Karmine Corp</t>
        </is>
      </c>
      <c r="AT7" s="24" t="inlineStr">
        <is>
          <t>Karmine Corp</t>
        </is>
      </c>
      <c r="AU7" s="24" t="inlineStr">
        <is>
          <t>Karmine Corp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de211ba59b87f7f994811cc2b95e7fa0909c8c2bfb3ba4be0f9ef98b999ead5f</t>
        </is>
      </c>
      <c r="BB7" s="24" t="inlineStr">
        <is>
          <t>neutral_elo</t>
        </is>
      </c>
      <c r="BC7" s="24" t="inlineStr">
        <is>
          <t>valorant-tiered-elo-v5</t>
        </is>
      </c>
      <c r="BD7" s="24" t="inlineStr">
        <is>
          <t>de211ba59b87f7f994811cc2b95e7fa0909c8c2bfb3ba4be0f9ef98b999ead5f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valorant-tiered-elo-v5</t>
        </is>
      </c>
      <c r="BH7" s="24" t="inlineStr">
        <is>
          <t>2026-08-01T16:54:15.399177Z</t>
        </is>
      </c>
      <c r="BI7" s="24" t="inlineStr">
        <is>
          <t>["same_event","same_team_same_day","same_league_same_day"]</t>
        </is>
      </c>
      <c r="BJ7" s="25" t="n"/>
      <c r="BK7" s="26" t="n">
        <v>-113</v>
      </c>
      <c r="BL7" s="27" t="n">
        <v>1.884956</v>
      </c>
      <c r="BM7" s="28" t="n">
        <v>0.530516</v>
      </c>
      <c r="BN7" s="28" t="n"/>
      <c r="BO7" s="28" t="n"/>
      <c r="BP7" s="25" t="n"/>
      <c r="BQ7" s="27" t="n">
        <v>1.884956</v>
      </c>
      <c r="BR7" s="28" t="n">
        <v>0.53</v>
      </c>
      <c r="BS7" s="28" t="n"/>
      <c r="BT7" s="28" t="n"/>
      <c r="BU7" s="25" t="n"/>
      <c r="BV7" s="29" t="n"/>
      <c r="BW7" s="24" t="n"/>
      <c r="BX7" s="30" t="n">
        <v>1</v>
      </c>
      <c r="BY7" s="27" t="n">
        <v>-1</v>
      </c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f24cec6b572d41e6</t>
        </is>
      </c>
      <c r="B8" s="24" t="inlineStr">
        <is>
          <t>2026-08-01T23:55:04.278999Z</t>
        </is>
      </c>
      <c r="C8" s="24" t="inlineStr">
        <is>
          <t>2026-08-02T00:00:00Z</t>
        </is>
      </c>
      <c r="D8" s="24" t="inlineStr">
        <is>
          <t>66659</t>
        </is>
      </c>
      <c r="E8" s="24" t="inlineStr">
        <is>
          <t>VALORANT</t>
        </is>
      </c>
      <c r="F8" s="24" t="inlineStr">
        <is>
          <t>NRG</t>
        </is>
      </c>
      <c r="G8" s="24" t="inlineStr">
        <is>
          <t>Leviatán Esports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-138</v>
      </c>
      <c r="M8" s="27" t="n">
        <v>1.724638</v>
      </c>
      <c r="N8" s="28" t="n">
        <v>0.579832</v>
      </c>
      <c r="O8" s="28" t="n">
        <v>0.608104</v>
      </c>
      <c r="P8" s="28" t="n"/>
      <c r="Q8" s="28" t="n">
        <v>0.028272</v>
      </c>
      <c r="R8" s="26" t="n">
        <v>34</v>
      </c>
      <c r="S8" s="29" t="n">
        <v>1.5</v>
      </c>
      <c r="T8" s="24" t="inlineStr">
        <is>
          <t>valorant-tiered-elo-v5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-138</v>
      </c>
      <c r="AA8" s="28" t="n">
        <v>0.58</v>
      </c>
      <c r="AB8" s="28" t="n">
        <v>0.000168</v>
      </c>
      <c r="AC8" s="30" t="n">
        <v>-1.5</v>
      </c>
      <c r="AD8" s="24" t="inlineStr">
        <is>
          <t>2026-08-02T04:26:23.368285Z</t>
        </is>
      </c>
      <c r="AE8" s="31" t="inlineStr">
        <is>
          <t>Neutral Elo baseline; executable ask 0.5800 (market_slug=aec-valorant-lev-nrg-2026-08-02).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NRG</t>
        </is>
      </c>
      <c r="AQ8" s="24" t="inlineStr">
        <is>
          <t>NRG</t>
        </is>
      </c>
      <c r="AR8" s="24" t="inlineStr">
        <is>
          <t>NRG</t>
        </is>
      </c>
      <c r="AS8" s="24" t="inlineStr">
        <is>
          <t>Leviatán Esports</t>
        </is>
      </c>
      <c r="AT8" s="24" t="inlineStr">
        <is>
          <t>Leviatán Esports</t>
        </is>
      </c>
      <c r="AU8" s="24" t="inlineStr">
        <is>
          <t>Leviatán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4e9833fa3108f9876de728871233bbb749924096e4b6984ae7ee11ff9d8be0d1</t>
        </is>
      </c>
      <c r="BB8" s="24" t="inlineStr">
        <is>
          <t>neutral_elo</t>
        </is>
      </c>
      <c r="BC8" s="24" t="inlineStr">
        <is>
          <t>valorant-tiered-elo-v5</t>
        </is>
      </c>
      <c r="BD8" s="24" t="inlineStr">
        <is>
          <t>4e9833fa3108f9876de728871233bbb749924096e4b6984ae7ee11ff9d8be0d1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valorant-tiered-elo-v5</t>
        </is>
      </c>
      <c r="BH8" s="24" t="inlineStr">
        <is>
          <t>2026-08-01T23:55:01.262855Z</t>
        </is>
      </c>
      <c r="BI8" s="24" t="inlineStr">
        <is>
          <t>["same_event","same_team_same_day","same_league_same_day"]</t>
        </is>
      </c>
      <c r="BJ8" s="25" t="n"/>
      <c r="BK8" s="26" t="n">
        <v>-138</v>
      </c>
      <c r="BL8" s="27" t="n">
        <v>1.724638</v>
      </c>
      <c r="BM8" s="28" t="n">
        <v>0.579832</v>
      </c>
      <c r="BN8" s="28" t="n"/>
      <c r="BO8" s="28" t="n"/>
      <c r="BP8" s="25" t="n"/>
      <c r="BQ8" s="27" t="n">
        <v>1.724638</v>
      </c>
      <c r="BR8" s="28" t="n">
        <v>0.58</v>
      </c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f5ae220015ea4850</t>
        </is>
      </c>
      <c r="B9" s="24" t="inlineStr">
        <is>
          <t>2026-08-02T07:16:42.752833Z</t>
        </is>
      </c>
      <c r="C9" s="24" t="inlineStr">
        <is>
          <t>2026-08-02T08:00:00Z</t>
        </is>
      </c>
      <c r="D9" s="24" t="inlineStr">
        <is>
          <t>66788</t>
        </is>
      </c>
      <c r="E9" s="24" t="inlineStr">
        <is>
          <t>VALORANT</t>
        </is>
      </c>
      <c r="F9" s="24" t="inlineStr">
        <is>
          <t>Kiwoom DRX</t>
        </is>
      </c>
      <c r="G9" s="24" t="inlineStr">
        <is>
          <t>VARREL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-150</v>
      </c>
      <c r="M9" s="27" t="n">
        <v>1.666667</v>
      </c>
      <c r="N9" s="28" t="n">
        <v>0.6</v>
      </c>
      <c r="O9" s="28" t="n">
        <v>0.676998</v>
      </c>
      <c r="P9" s="28" t="n"/>
      <c r="Q9" s="28" t="n">
        <v>0.076998</v>
      </c>
      <c r="R9" s="26" t="n">
        <v>58</v>
      </c>
      <c r="S9" s="29" t="n">
        <v>1.75</v>
      </c>
      <c r="T9" s="24" t="inlineStr">
        <is>
          <t>valorant-tiered-elo-v5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-150</v>
      </c>
      <c r="AA9" s="28" t="n">
        <v>0.6</v>
      </c>
      <c r="AB9" s="28" t="n">
        <v>0</v>
      </c>
      <c r="AC9" s="30" t="n">
        <v>-1.75</v>
      </c>
      <c r="AD9" s="24" t="inlineStr">
        <is>
          <t>2026-08-02T11:45:29.283046Z</t>
        </is>
      </c>
      <c r="AE9" s="31" t="inlineStr">
        <is>
          <t>Neutral Elo baseline; executable ask 0.6000 (market_slug=aec-valorant-var-krx-2026-08-02).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Kiwoom DRX</t>
        </is>
      </c>
      <c r="AQ9" s="24" t="inlineStr">
        <is>
          <t>Kiwoom DRX</t>
        </is>
      </c>
      <c r="AR9" s="24" t="inlineStr">
        <is>
          <t>Kiwoom DRX</t>
        </is>
      </c>
      <c r="AS9" s="24" t="inlineStr">
        <is>
          <t>VARREL</t>
        </is>
      </c>
      <c r="AT9" s="24" t="inlineStr">
        <is>
          <t>VARREL</t>
        </is>
      </c>
      <c r="AU9" s="24" t="inlineStr">
        <is>
          <t>VARREL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f7ffe38e2a3b5170b3b9b10a398835b3cdb1a4df5cfd051a3ffa836bf9de2c76</t>
        </is>
      </c>
      <c r="BB9" s="24" t="inlineStr">
        <is>
          <t>neutral_elo</t>
        </is>
      </c>
      <c r="BC9" s="24" t="inlineStr">
        <is>
          <t>valorant-tiered-elo-v5</t>
        </is>
      </c>
      <c r="BD9" s="24" t="inlineStr">
        <is>
          <t>f7ffe38e2a3b5170b3b9b10a398835b3cdb1a4df5cfd051a3ffa836bf9de2c76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valorant-tiered-elo-v5</t>
        </is>
      </c>
      <c r="BH9" s="24" t="inlineStr">
        <is>
          <t>2026-08-02T07:16:34.729300Z</t>
        </is>
      </c>
      <c r="BI9" s="24" t="inlineStr">
        <is>
          <t>["same_event","same_team_same_day","same_league_same_day"]</t>
        </is>
      </c>
      <c r="BJ9" s="25" t="n"/>
      <c r="BK9" s="26" t="n">
        <v>-150</v>
      </c>
      <c r="BL9" s="27" t="n">
        <v>1.666667</v>
      </c>
      <c r="BM9" s="28" t="n">
        <v>0.6</v>
      </c>
      <c r="BN9" s="28" t="n"/>
      <c r="BO9" s="28" t="n"/>
      <c r="BP9" s="25" t="n"/>
      <c r="BQ9" s="27" t="n">
        <v>1.666667</v>
      </c>
      <c r="BR9" s="28" t="n">
        <v>0.6</v>
      </c>
      <c r="BS9" s="28" t="n"/>
      <c r="BT9" s="28" t="n"/>
      <c r="BU9" s="25" t="n"/>
      <c r="BV9" s="29" t="n"/>
      <c r="BW9" s="24" t="n"/>
      <c r="BX9" s="30" t="n">
        <v>1</v>
      </c>
      <c r="BY9" s="27" t="n">
        <v>-1</v>
      </c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94ceb126079549cb</t>
        </is>
      </c>
      <c r="B10" s="24" t="inlineStr">
        <is>
          <t>2026-08-02T17:48:56.490286Z</t>
        </is>
      </c>
      <c r="C10" s="24" t="inlineStr">
        <is>
          <t>2026-08-02T18:00:00Z</t>
        </is>
      </c>
      <c r="D10" s="24" t="inlineStr">
        <is>
          <t>66957</t>
        </is>
      </c>
      <c r="E10" s="24" t="inlineStr">
        <is>
          <t>VALORANT</t>
        </is>
      </c>
      <c r="F10" s="24" t="inlineStr">
        <is>
          <t>Team Heretics</t>
        </is>
      </c>
      <c r="G10" s="24" t="inlineStr">
        <is>
          <t>Fnatic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0.537865</v>
      </c>
      <c r="P10" s="28" t="n"/>
      <c r="Q10" s="28" t="n">
        <v>-0.021606</v>
      </c>
      <c r="R10" s="26" t="n">
        <v>9</v>
      </c>
      <c r="S10" s="29" t="n">
        <v>1</v>
      </c>
      <c r="T10" s="24" t="inlineStr">
        <is>
          <t>valorant-tiered-elo-v5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0.7874</v>
      </c>
      <c r="AD10" s="24" t="inlineStr">
        <is>
          <t>2026-08-02T23:13:22.740323Z</t>
        </is>
      </c>
      <c r="AE10" s="31" t="inlineStr">
        <is>
          <t>Neutral Elo baseline; executable ask 0.5600 (market_slug=aec-valorant-fnc-th-2026-08-02).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Team Heretics</t>
        </is>
      </c>
      <c r="AQ10" s="24" t="inlineStr">
        <is>
          <t>Team Heretics</t>
        </is>
      </c>
      <c r="AR10" s="24" t="inlineStr">
        <is>
          <t>Team Heretics</t>
        </is>
      </c>
      <c r="AS10" s="24" t="inlineStr">
        <is>
          <t>Fnatic</t>
        </is>
      </c>
      <c r="AT10" s="24" t="inlineStr">
        <is>
          <t>Fnatic</t>
        </is>
      </c>
      <c r="AU10" s="24" t="inlineStr">
        <is>
          <t>Fnatic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58e5b3721cf8906aae10d08de8cbb41fd662d66dfb5fe49c8d3ab04bb0741ed6</t>
        </is>
      </c>
      <c r="BB10" s="24" t="inlineStr">
        <is>
          <t>neutral_elo</t>
        </is>
      </c>
      <c r="BC10" s="24" t="inlineStr">
        <is>
          <t>valorant-tiered-elo-v5</t>
        </is>
      </c>
      <c r="BD10" s="24" t="inlineStr">
        <is>
          <t>58e5b3721cf8906aae10d08de8cbb41fd662d66dfb5fe49c8d3ab04bb0741ed6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valorant-tiered-elo-v5</t>
        </is>
      </c>
      <c r="BH10" s="24" t="inlineStr">
        <is>
          <t>2026-08-02T17:48:49.680825Z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>
        <v>1</v>
      </c>
      <c r="BY10" s="27" t="n">
        <v>0.91</v>
      </c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</row>
    <row r="11" ht="36" customHeight="1">
      <c r="A11" s="24" t="inlineStr">
        <is>
          <t>97e1abd6e51442d7</t>
        </is>
      </c>
      <c r="B11" s="24" t="inlineStr">
        <is>
          <t>2026-08-02T19:32:17.298754Z</t>
        </is>
      </c>
      <c r="C11" s="24" t="inlineStr">
        <is>
          <t>2026-08-02T21:00:00Z</t>
        </is>
      </c>
      <c r="D11" s="24" t="inlineStr">
        <is>
          <t>67311</t>
        </is>
      </c>
      <c r="E11" s="24" t="inlineStr">
        <is>
          <t>VALORANT</t>
        </is>
      </c>
      <c r="F11" s="24" t="inlineStr">
        <is>
          <t>KRÜ Esports</t>
        </is>
      </c>
      <c r="G11" s="24" t="inlineStr">
        <is>
          <t>Cloud9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144</v>
      </c>
      <c r="M11" s="27" t="n">
        <v>2.44</v>
      </c>
      <c r="N11" s="28" t="n">
        <v>0.409836</v>
      </c>
      <c r="O11" s="28" t="n">
        <v>0.518775</v>
      </c>
      <c r="P11" s="28" t="n"/>
      <c r="Q11" s="28" t="n">
        <v>0.108939</v>
      </c>
      <c r="R11" s="26" t="n">
        <v>74</v>
      </c>
      <c r="S11" s="29" t="n">
        <v>1</v>
      </c>
      <c r="T11" s="24" t="inlineStr">
        <is>
          <t>valorant-tiered-elo-v5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>
        <v>144</v>
      </c>
      <c r="AA11" s="28" t="n">
        <v>0.41</v>
      </c>
      <c r="AB11" s="28" t="n">
        <v>0.000164</v>
      </c>
      <c r="AC11" s="30" t="n">
        <v>1.44</v>
      </c>
      <c r="AD11" s="24" t="inlineStr">
        <is>
          <t>2026-08-02T23:13:23.977752Z</t>
        </is>
      </c>
      <c r="AE11" s="31" t="inlineStr">
        <is>
          <t>Neutral Elo baseline; executable ask 0.4100 (market_slug=aec-valorant-c9-kr-2026-08-02).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KRÜ Esports</t>
        </is>
      </c>
      <c r="AQ11" s="24" t="inlineStr">
        <is>
          <t>KRÜ Esports</t>
        </is>
      </c>
      <c r="AR11" s="24" t="inlineStr">
        <is>
          <t>KRÜ Esports</t>
        </is>
      </c>
      <c r="AS11" s="24" t="inlineStr">
        <is>
          <t>Cloud9</t>
        </is>
      </c>
      <c r="AT11" s="24" t="inlineStr">
        <is>
          <t>Cloud9</t>
        </is>
      </c>
      <c r="AU11" s="24" t="inlineStr">
        <is>
          <t>Cloud9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c4c53479d60e7fd116280c4ec0788bb856af372afb2da0dd70796fd41ac0b643</t>
        </is>
      </c>
      <c r="BB11" s="24" t="inlineStr">
        <is>
          <t>neutral_elo</t>
        </is>
      </c>
      <c r="BC11" s="24" t="inlineStr">
        <is>
          <t>valorant-tiered-elo-v5</t>
        </is>
      </c>
      <c r="BD11" s="24" t="inlineStr">
        <is>
          <t>c4c53479d60e7fd116280c4ec0788bb856af372afb2da0dd70796fd41ac0b643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valorant-tiered-elo-v5</t>
        </is>
      </c>
      <c r="BH11" s="24" t="inlineStr">
        <is>
          <t>2026-08-02T19:32:11.428763Z</t>
        </is>
      </c>
      <c r="BI11" s="24" t="inlineStr">
        <is>
          <t>["same_event","same_team_same_day","same_league_same_day"]</t>
        </is>
      </c>
      <c r="BJ11" s="25" t="n"/>
      <c r="BK11" s="26" t="n">
        <v>144</v>
      </c>
      <c r="BL11" s="27" t="n">
        <v>2.44</v>
      </c>
      <c r="BM11" s="28" t="n">
        <v>0.409836</v>
      </c>
      <c r="BN11" s="28" t="n"/>
      <c r="BO11" s="28" t="n"/>
      <c r="BP11" s="25" t="n"/>
      <c r="BQ11" s="27" t="n">
        <v>2.44</v>
      </c>
      <c r="BR11" s="28" t="n">
        <v>0.41</v>
      </c>
      <c r="BS11" s="28" t="n"/>
      <c r="BT11" s="28" t="n"/>
      <c r="BU11" s="25" t="n"/>
      <c r="BV11" s="29" t="n"/>
      <c r="BW11" s="24" t="n"/>
      <c r="BX11" s="30" t="n">
        <v>1</v>
      </c>
      <c r="BY11" s="27" t="n">
        <v>0.91</v>
      </c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f523171e5677438d</t>
        </is>
      </c>
      <c r="B12" s="24" t="inlineStr">
        <is>
          <t>2026-08-02T23:17:28.942888Z</t>
        </is>
      </c>
      <c r="C12" s="24" t="inlineStr">
        <is>
          <t>2026-08-03T00:00:00Z</t>
        </is>
      </c>
      <c r="D12" s="24" t="inlineStr">
        <is>
          <t>67386</t>
        </is>
      </c>
      <c r="E12" s="24" t="inlineStr">
        <is>
          <t>VALORANT</t>
        </is>
      </c>
      <c r="F12" s="24" t="inlineStr">
        <is>
          <t>Sentinels</t>
        </is>
      </c>
      <c r="G12" s="24" t="inlineStr">
        <is>
          <t>G2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-170</v>
      </c>
      <c r="M12" s="27" t="n">
        <v>1.588235</v>
      </c>
      <c r="N12" s="28" t="n">
        <v>0.62963</v>
      </c>
      <c r="O12" s="28" t="n">
        <v>0.626789</v>
      </c>
      <c r="P12" s="28" t="n"/>
      <c r="Q12" s="28" t="n">
        <v>-0.002841</v>
      </c>
      <c r="R12" s="26" t="n">
        <v>19</v>
      </c>
      <c r="S12" s="29" t="n">
        <v>1.5</v>
      </c>
      <c r="T12" s="24" t="inlineStr">
        <is>
          <t>valorant-tiered-elo-v5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>
        <v>-223</v>
      </c>
      <c r="AA12" s="28" t="n">
        <v>0.6899999999999999</v>
      </c>
      <c r="AB12" s="28" t="n">
        <v>0.06037</v>
      </c>
      <c r="AC12" s="30" t="n">
        <v>0.8824</v>
      </c>
      <c r="AD12" s="24" t="inlineStr">
        <is>
          <t>2026-08-03T02:34:46.902850Z</t>
        </is>
      </c>
      <c r="AE12" s="31" t="inlineStr">
        <is>
          <t>Neutral Elo baseline; executable ask 0.6300 (market_slug=aec-valorant-g2-sen-2026-08-03).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Sentinels</t>
        </is>
      </c>
      <c r="AQ12" s="24" t="inlineStr">
        <is>
          <t>Sentinels</t>
        </is>
      </c>
      <c r="AR12" s="24" t="inlineStr">
        <is>
          <t>Sentinels</t>
        </is>
      </c>
      <c r="AS12" s="24" t="inlineStr">
        <is>
          <t>G2 Esports</t>
        </is>
      </c>
      <c r="AT12" s="24" t="inlineStr">
        <is>
          <t>G2 Esports</t>
        </is>
      </c>
      <c r="AU12" s="24" t="inlineStr">
        <is>
          <t>G2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b8ad95e67a1d231f7c1456f640a0121faebeb1a345256cde26610e3b0d16a846</t>
        </is>
      </c>
      <c r="BB12" s="24" t="inlineStr">
        <is>
          <t>neutral_elo</t>
        </is>
      </c>
      <c r="BC12" s="24" t="inlineStr">
        <is>
          <t>valorant-tiered-elo-v5</t>
        </is>
      </c>
      <c r="BD12" s="24" t="inlineStr">
        <is>
          <t>b8ad95e67a1d231f7c1456f640a0121faebeb1a345256cde26610e3b0d16a846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valorant-tiered-elo-v5</t>
        </is>
      </c>
      <c r="BH12" s="24" t="inlineStr">
        <is>
          <t>2026-08-02T23:17:23.058724Z</t>
        </is>
      </c>
      <c r="BI12" s="24" t="inlineStr">
        <is>
          <t>["same_event","same_team_same_day","same_league_same_day"]</t>
        </is>
      </c>
      <c r="BJ12" s="25" t="n"/>
      <c r="BK12" s="26" t="n">
        <v>-170</v>
      </c>
      <c r="BL12" s="27" t="n">
        <v>1.588235</v>
      </c>
      <c r="BM12" s="28" t="n">
        <v>0.62963</v>
      </c>
      <c r="BN12" s="28" t="n"/>
      <c r="BO12" s="28" t="n"/>
      <c r="BP12" s="25" t="n"/>
      <c r="BQ12" s="27" t="n">
        <v>1.44843</v>
      </c>
      <c r="BR12" s="28" t="n">
        <v>0.6899999999999999</v>
      </c>
      <c r="BS12" s="28" t="n"/>
      <c r="BT12" s="28" t="n"/>
      <c r="BU12" s="25" t="n"/>
      <c r="BV12" s="29" t="n"/>
      <c r="BW12" s="24" t="n"/>
      <c r="BX12" s="30" t="n">
        <v>1</v>
      </c>
      <c r="BY12" s="27" t="n">
        <v>0.91</v>
      </c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False</t>
        </is>
      </c>
    </row>
    <row r="13" ht="36" customHeight="1">
      <c r="A13" s="24" t="inlineStr">
        <is>
          <t>e166706ca9c144b5</t>
        </is>
      </c>
      <c r="B13" s="24" t="inlineStr">
        <is>
          <t>2026-08-03T13:30:41.417037Z</t>
        </is>
      </c>
      <c r="C13" s="24" t="inlineStr">
        <is>
          <t>2026-08-03T15:00:00Z</t>
        </is>
      </c>
      <c r="D13" s="24" t="inlineStr">
        <is>
          <t>67569</t>
        </is>
      </c>
      <c r="E13" s="24" t="inlineStr">
        <is>
          <t>VALORANT</t>
        </is>
      </c>
      <c r="F13" s="24" t="inlineStr">
        <is>
          <t>FOKUS Sakura</t>
        </is>
      </c>
      <c r="G13" s="24" t="inlineStr">
        <is>
          <t>SK Nebula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-163</v>
      </c>
      <c r="M13" s="27" t="n">
        <v>1.613497</v>
      </c>
      <c r="N13" s="28" t="n">
        <v>0.619772</v>
      </c>
      <c r="O13" s="28" t="n">
        <v>0.765423</v>
      </c>
      <c r="P13" s="28" t="n"/>
      <c r="Q13" s="28" t="n">
        <v>0.145651</v>
      </c>
      <c r="R13" s="26" t="n">
        <v>93</v>
      </c>
      <c r="S13" s="29" t="n">
        <v>2</v>
      </c>
      <c r="T13" s="24" t="inlineStr">
        <is>
          <t>valorant-tiered-elo-v5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>
        <v>-163</v>
      </c>
      <c r="AA13" s="28" t="n">
        <v>0.62</v>
      </c>
      <c r="AB13" s="28" t="n">
        <v>0.000228</v>
      </c>
      <c r="AC13" s="30" t="n">
        <v>-2</v>
      </c>
      <c r="AD13" s="24" t="inlineStr">
        <is>
          <t>2026-08-03T17:06:03.000740Z</t>
        </is>
      </c>
      <c r="AE13" s="31" t="inlineStr">
        <is>
          <t>Neutral Elo baseline; executable ask 0.6200 (market_slug=aec-valorant-skn-fso-2026-08-03).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FOKUS Sakura</t>
        </is>
      </c>
      <c r="AQ13" s="24" t="inlineStr">
        <is>
          <t>FOKUS Sakura</t>
        </is>
      </c>
      <c r="AR13" s="24" t="inlineStr">
        <is>
          <t>FOKUS Sakura</t>
        </is>
      </c>
      <c r="AS13" s="24" t="inlineStr">
        <is>
          <t>SK Nebula</t>
        </is>
      </c>
      <c r="AT13" s="24" t="inlineStr">
        <is>
          <t>SK Nebula</t>
        </is>
      </c>
      <c r="AU13" s="24" t="inlineStr">
        <is>
          <t>SK Nebula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afe2fffd3c666e0d8f9040dcc6dedae587629fd14dee7043c87557d9d9d9e6e5</t>
        </is>
      </c>
      <c r="BB13" s="24" t="inlineStr">
        <is>
          <t>neutral_elo</t>
        </is>
      </c>
      <c r="BC13" s="24" t="inlineStr">
        <is>
          <t>valorant-tiered-elo-v5</t>
        </is>
      </c>
      <c r="BD13" s="24" t="inlineStr">
        <is>
          <t>afe2fffd3c666e0d8f9040dcc6dedae587629fd14dee7043c87557d9d9d9e6e5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valorant-tiered-elo-v5</t>
        </is>
      </c>
      <c r="BH13" s="24" t="inlineStr">
        <is>
          <t>2026-08-03T13:30:33.637118Z</t>
        </is>
      </c>
      <c r="BI13" s="24" t="inlineStr">
        <is>
          <t>["same_event","same_team_same_day","same_league_same_day"]</t>
        </is>
      </c>
      <c r="BJ13" s="25" t="n"/>
      <c r="BK13" s="26" t="n">
        <v>-163</v>
      </c>
      <c r="BL13" s="27" t="n">
        <v>1.613497</v>
      </c>
      <c r="BM13" s="28" t="n">
        <v>0.619772</v>
      </c>
      <c r="BN13" s="28" t="n"/>
      <c r="BO13" s="28" t="n"/>
      <c r="BP13" s="25" t="n"/>
      <c r="BQ13" s="27" t="n">
        <v>1.613497</v>
      </c>
      <c r="BR13" s="28" t="n">
        <v>0.62</v>
      </c>
      <c r="BS13" s="28" t="n"/>
      <c r="BT13" s="28" t="n"/>
      <c r="BU13" s="25" t="n"/>
      <c r="BV13" s="29" t="n"/>
      <c r="BW13" s="24" t="n"/>
      <c r="BX13" s="30" t="n">
        <v>1</v>
      </c>
      <c r="BY13" s="27" t="n">
        <v>-1</v>
      </c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b89e1f0fd9dc49c5</t>
        </is>
      </c>
      <c r="B14" s="24" t="inlineStr">
        <is>
          <t>2026-08-03T17:08:47.849402Z</t>
        </is>
      </c>
      <c r="C14" s="24" t="inlineStr">
        <is>
          <t>2026-08-03T18:00:00Z</t>
        </is>
      </c>
      <c r="D14" s="24" t="inlineStr">
        <is>
          <t>67658</t>
        </is>
      </c>
      <c r="E14" s="24" t="inlineStr">
        <is>
          <t>VALORANT</t>
        </is>
      </c>
      <c r="F14" s="24" t="inlineStr">
        <is>
          <t>Barça eSports GC</t>
        </is>
      </c>
      <c r="G14" s="24" t="inlineStr">
        <is>
          <t>Twisted Minds Orchid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-223</v>
      </c>
      <c r="M14" s="27" t="n">
        <v>1.44843</v>
      </c>
      <c r="N14" s="28" t="n">
        <v>0.690402</v>
      </c>
      <c r="O14" s="28" t="n">
        <v>0.6925519999999999</v>
      </c>
      <c r="P14" s="28" t="n"/>
      <c r="Q14" s="28" t="n">
        <v>0.00215</v>
      </c>
      <c r="R14" s="26" t="n">
        <v>21</v>
      </c>
      <c r="S14" s="29" t="n">
        <v>2</v>
      </c>
      <c r="T14" s="24" t="inlineStr">
        <is>
          <t>valorant-tiered-elo-v5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>
        <v>-223</v>
      </c>
      <c r="AA14" s="28" t="n">
        <v>0.6899999999999999</v>
      </c>
      <c r="AB14" s="28" t="n">
        <v>-0.000402</v>
      </c>
      <c r="AC14" s="30" t="n">
        <v>0.8969</v>
      </c>
      <c r="AD14" s="24" t="inlineStr">
        <is>
          <t>2026-08-03T19:52:13.667573Z</t>
        </is>
      </c>
      <c r="AE14" s="31" t="inlineStr">
        <is>
          <t>Neutral Elo baseline; executable ask 0.6900 (market_slug=aec-valorant-tmo-beg-2026-08-03).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Barça eSports GC</t>
        </is>
      </c>
      <c r="AQ14" s="24" t="inlineStr">
        <is>
          <t>Barça eSports GC</t>
        </is>
      </c>
      <c r="AR14" s="24" t="inlineStr">
        <is>
          <t>Barça eSports GC</t>
        </is>
      </c>
      <c r="AS14" s="24" t="inlineStr">
        <is>
          <t>Twisted Minds Orchid</t>
        </is>
      </c>
      <c r="AT14" s="24" t="inlineStr">
        <is>
          <t>Twisted Minds Orchid</t>
        </is>
      </c>
      <c r="AU14" s="24" t="inlineStr">
        <is>
          <t>Twisted Minds Orchid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6f1a88c65511fda132cb3c464f9d3012c11a7503cf913396060b5b8c9adc5f1b</t>
        </is>
      </c>
      <c r="BB14" s="24" t="inlineStr">
        <is>
          <t>neutral_elo</t>
        </is>
      </c>
      <c r="BC14" s="24" t="inlineStr">
        <is>
          <t>valorant-tiered-elo-v5</t>
        </is>
      </c>
      <c r="BD14" s="24" t="inlineStr">
        <is>
          <t>6f1a88c65511fda132cb3c464f9d3012c11a7503cf913396060b5b8c9adc5f1b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valorant-tiered-elo-v5</t>
        </is>
      </c>
      <c r="BH14" s="24" t="inlineStr">
        <is>
          <t>2026-08-03T17:08:42.423289Z</t>
        </is>
      </c>
      <c r="BI14" s="24" t="inlineStr">
        <is>
          <t>["same_event","same_team_same_day","same_league_same_day"]</t>
        </is>
      </c>
      <c r="BJ14" s="25" t="n"/>
      <c r="BK14" s="26" t="n">
        <v>-223</v>
      </c>
      <c r="BL14" s="27" t="n">
        <v>1.44843</v>
      </c>
      <c r="BM14" s="28" t="n">
        <v>0.690402</v>
      </c>
      <c r="BN14" s="28" t="n"/>
      <c r="BO14" s="28" t="n"/>
      <c r="BP14" s="25" t="n"/>
      <c r="BQ14" s="27" t="n">
        <v>1.44843</v>
      </c>
      <c r="BR14" s="28" t="n">
        <v>0.6899999999999999</v>
      </c>
      <c r="BS14" s="28" t="n"/>
      <c r="BT14" s="28" t="n"/>
      <c r="BU14" s="25" t="n"/>
      <c r="BV14" s="29" t="n"/>
      <c r="BW14" s="24" t="n"/>
      <c r="BX14" s="30" t="n">
        <v>1</v>
      </c>
      <c r="BY14" s="27" t="n">
        <v>0.91</v>
      </c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fb160713f7af45d2</t>
        </is>
      </c>
      <c r="B15" s="24" t="inlineStr">
        <is>
          <t>2026-08-03T19:54:50.877637Z</t>
        </is>
      </c>
      <c r="C15" s="24" t="inlineStr">
        <is>
          <t>2026-08-03T21:00:00Z</t>
        </is>
      </c>
      <c r="D15" s="24" t="inlineStr">
        <is>
          <t>67987</t>
        </is>
      </c>
      <c r="E15" s="24" t="inlineStr">
        <is>
          <t>VALORANT</t>
        </is>
      </c>
      <c r="F15" s="24" t="inlineStr">
        <is>
          <t>The Spiders</t>
        </is>
      </c>
      <c r="G15" s="24" t="inlineStr">
        <is>
          <t>HIMMERS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108</v>
      </c>
      <c r="M15" s="27" t="n">
        <v>2.08</v>
      </c>
      <c r="N15" s="28" t="n">
        <v>0.480769</v>
      </c>
      <c r="O15" s="28" t="n">
        <v>0.521748</v>
      </c>
      <c r="P15" s="28" t="n"/>
      <c r="Q15" s="28" t="n">
        <v>0.040979</v>
      </c>
      <c r="R15" s="26" t="n">
        <v>40</v>
      </c>
      <c r="S15" s="29" t="n">
        <v>1</v>
      </c>
      <c r="T15" s="24" t="inlineStr">
        <is>
          <t>valorant-tiered-elo-v5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108</v>
      </c>
      <c r="AA15" s="28" t="n">
        <v>0.48</v>
      </c>
      <c r="AB15" s="28" t="n">
        <v>-0.000769</v>
      </c>
      <c r="AC15" s="30" t="n">
        <v>1.08</v>
      </c>
      <c r="AD15" s="24" t="inlineStr">
        <is>
          <t>2026-08-04T01:58:53.450701Z</t>
        </is>
      </c>
      <c r="AE15" s="31" t="inlineStr">
        <is>
          <t>Neutral Elo baseline; executable ask 0.4800 (market_slug=aec-valorant-him-spi-2026-08-03).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The Spiders</t>
        </is>
      </c>
      <c r="AQ15" s="24" t="inlineStr">
        <is>
          <t>The Spiders</t>
        </is>
      </c>
      <c r="AR15" s="24" t="inlineStr">
        <is>
          <t>The Spiders</t>
        </is>
      </c>
      <c r="AS15" s="24" t="inlineStr">
        <is>
          <t>HIMMERS</t>
        </is>
      </c>
      <c r="AT15" s="24" t="inlineStr">
        <is>
          <t>HIMMERS</t>
        </is>
      </c>
      <c r="AU15" s="24" t="inlineStr">
        <is>
          <t>HIMMERS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b86d10213574fcb4e774a613f40c4fb8692dc4e3a085fafa8fe32b85c8b1f80d</t>
        </is>
      </c>
      <c r="BB15" s="24" t="inlineStr">
        <is>
          <t>neutral_elo</t>
        </is>
      </c>
      <c r="BC15" s="24" t="inlineStr">
        <is>
          <t>valorant-tiered-elo-v5</t>
        </is>
      </c>
      <c r="BD15" s="24" t="inlineStr">
        <is>
          <t>b86d10213574fcb4e774a613f40c4fb8692dc4e3a085fafa8fe32b85c8b1f80d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valorant-tiered-elo-v5</t>
        </is>
      </c>
      <c r="BH15" s="24" t="inlineStr">
        <is>
          <t>2026-08-03T19:54:45.430222Z</t>
        </is>
      </c>
      <c r="BI15" s="24" t="inlineStr">
        <is>
          <t>["same_event","same_team_same_day","same_league_same_day"]</t>
        </is>
      </c>
      <c r="BJ15" s="25" t="n"/>
      <c r="BK15" s="26" t="n">
        <v>108</v>
      </c>
      <c r="BL15" s="27" t="n">
        <v>2.08</v>
      </c>
      <c r="BM15" s="28" t="n">
        <v>0.480769</v>
      </c>
      <c r="BN15" s="28" t="n"/>
      <c r="BO15" s="28" t="n"/>
      <c r="BP15" s="25" t="n"/>
      <c r="BQ15" s="27" t="n">
        <v>2.08</v>
      </c>
      <c r="BR15" s="28" t="n">
        <v>0.48</v>
      </c>
      <c r="BS15" s="28" t="n"/>
      <c r="BT15" s="28" t="n"/>
      <c r="BU15" s="25" t="n"/>
      <c r="BV15" s="29" t="n"/>
      <c r="BW15" s="24" t="n"/>
      <c r="BX15" s="30" t="n">
        <v>1</v>
      </c>
      <c r="BY15" s="27" t="n">
        <v>0.91</v>
      </c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159e11ed91d64bf9</t>
        </is>
      </c>
      <c r="B16" s="24" t="inlineStr">
        <is>
          <t>2026-08-03T22:57:52.421939Z</t>
        </is>
      </c>
      <c r="C16" s="24" t="inlineStr">
        <is>
          <t>2026-08-03T23:30:00Z</t>
        </is>
      </c>
      <c r="D16" s="24" t="inlineStr">
        <is>
          <t>68094</t>
        </is>
      </c>
      <c r="E16" s="24" t="inlineStr">
        <is>
          <t>VALORANT</t>
        </is>
      </c>
      <c r="F16" s="24" t="inlineStr">
        <is>
          <t>SaD GC</t>
        </is>
      </c>
      <c r="G16" s="24" t="inlineStr">
        <is>
          <t>Los Chudeles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104</v>
      </c>
      <c r="M16" s="27" t="n">
        <v>2.04</v>
      </c>
      <c r="N16" s="28" t="n">
        <v>0.490196</v>
      </c>
      <c r="O16" s="28" t="n">
        <v>0.504194</v>
      </c>
      <c r="P16" s="28" t="n"/>
      <c r="Q16" s="28" t="n">
        <v>0.013998</v>
      </c>
      <c r="R16" s="26" t="n">
        <v>27</v>
      </c>
      <c r="S16" s="29" t="n">
        <v>1</v>
      </c>
      <c r="T16" s="24" t="inlineStr">
        <is>
          <t>valorant-tiered-elo-v5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>
        <v>104</v>
      </c>
      <c r="AA16" s="28" t="n">
        <v>0.49</v>
      </c>
      <c r="AB16" s="28" t="n">
        <v>-0.000196</v>
      </c>
      <c r="AC16" s="30" t="n">
        <v>-1</v>
      </c>
      <c r="AD16" s="24" t="inlineStr">
        <is>
          <t>2026-08-04T03:58:20.298471Z</t>
        </is>
      </c>
      <c r="AE16" s="31" t="inlineStr">
        <is>
          <t>Neutral Elo baseline; executable ask 0.4900 (market_slug=aec-valorant-lcd-sga-2026-08-03).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SaD GC</t>
        </is>
      </c>
      <c r="AQ16" s="24" t="inlineStr">
        <is>
          <t>SaD GC</t>
        </is>
      </c>
      <c r="AR16" s="24" t="inlineStr">
        <is>
          <t>SaD GC</t>
        </is>
      </c>
      <c r="AS16" s="24" t="inlineStr">
        <is>
          <t>Los Chudeles</t>
        </is>
      </c>
      <c r="AT16" s="24" t="inlineStr">
        <is>
          <t>Los Chudeles</t>
        </is>
      </c>
      <c r="AU16" s="24" t="inlineStr">
        <is>
          <t>Los Chudeles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fd8b674cd95f5267545eeaa19ed09838dffe6e7f1115e6ac52a5152ecb6ed1bc</t>
        </is>
      </c>
      <c r="BB16" s="24" t="inlineStr">
        <is>
          <t>neutral_elo</t>
        </is>
      </c>
      <c r="BC16" s="24" t="inlineStr">
        <is>
          <t>valorant-tiered-elo-v5</t>
        </is>
      </c>
      <c r="BD16" s="24" t="inlineStr">
        <is>
          <t>fd8b674cd95f5267545eeaa19ed09838dffe6e7f1115e6ac52a5152ecb6ed1bc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valorant-tiered-elo-v5</t>
        </is>
      </c>
      <c r="BH16" s="24" t="inlineStr">
        <is>
          <t>2026-08-03T22:57:48.462085Z</t>
        </is>
      </c>
      <c r="BI16" s="24" t="inlineStr">
        <is>
          <t>["same_event","same_team_same_day","same_league_same_day"]</t>
        </is>
      </c>
      <c r="BJ16" s="25" t="n"/>
      <c r="BK16" s="26" t="n">
        <v>104</v>
      </c>
      <c r="BL16" s="27" t="n">
        <v>2.04</v>
      </c>
      <c r="BM16" s="28" t="n">
        <v>0.490196</v>
      </c>
      <c r="BN16" s="28" t="n"/>
      <c r="BO16" s="28" t="n"/>
      <c r="BP16" s="25" t="n"/>
      <c r="BQ16" s="27" t="n">
        <v>2.04</v>
      </c>
      <c r="BR16" s="28" t="n">
        <v>0.49</v>
      </c>
      <c r="BS16" s="28" t="n"/>
      <c r="BT16" s="28" t="n"/>
      <c r="BU16" s="25" t="n"/>
      <c r="BV16" s="29" t="n"/>
      <c r="BW16" s="24" t="n"/>
      <c r="BX16" s="30" t="n">
        <v>1</v>
      </c>
      <c r="BY16" s="27" t="n">
        <v>-1</v>
      </c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676ecadd2637400b</t>
        </is>
      </c>
      <c r="B17" s="24" t="inlineStr">
        <is>
          <t>2026-08-03T22:57:52.421939Z</t>
        </is>
      </c>
      <c r="C17" s="24" t="inlineStr">
        <is>
          <t>2026-08-03T23:30:00Z</t>
        </is>
      </c>
      <c r="D17" s="24" t="inlineStr">
        <is>
          <t>68095</t>
        </is>
      </c>
      <c r="E17" s="24" t="inlineStr">
        <is>
          <t>VALORANT</t>
        </is>
      </c>
      <c r="F17" s="24" t="inlineStr">
        <is>
          <t>MVSK Secret</t>
        </is>
      </c>
      <c r="G17" s="24" t="inlineStr">
        <is>
          <t>ROSO GC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163</v>
      </c>
      <c r="M17" s="27" t="n">
        <v>2.63</v>
      </c>
      <c r="N17" s="28" t="n">
        <v>0.380228</v>
      </c>
      <c r="O17" s="28" t="n">
        <v>0.521277</v>
      </c>
      <c r="P17" s="28" t="n"/>
      <c r="Q17" s="28" t="n">
        <v>0.141049</v>
      </c>
      <c r="R17" s="26" t="n">
        <v>91</v>
      </c>
      <c r="S17" s="29" t="n">
        <v>1</v>
      </c>
      <c r="T17" s="24" t="inlineStr">
        <is>
          <t>valorant-tiered-elo-v5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>
        <v>163</v>
      </c>
      <c r="AA17" s="28" t="n">
        <v>0.38</v>
      </c>
      <c r="AB17" s="28" t="n">
        <v>-0.000228</v>
      </c>
      <c r="AC17" s="30" t="n">
        <v>-1</v>
      </c>
      <c r="AD17" s="24" t="inlineStr">
        <is>
          <t>2026-08-04T01:58:55.904940Z</t>
        </is>
      </c>
      <c r="AE17" s="31" t="inlineStr">
        <is>
          <t>Neutral Elo baseline; executable ask 0.3800 (market_slug=aec-valorant-roso-mvs-2026-08-03).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MVSK Secret</t>
        </is>
      </c>
      <c r="AQ17" s="24" t="inlineStr">
        <is>
          <t>MVSK Secret</t>
        </is>
      </c>
      <c r="AR17" s="24" t="inlineStr">
        <is>
          <t>MVSK Secret</t>
        </is>
      </c>
      <c r="AS17" s="24" t="inlineStr">
        <is>
          <t>ROSO GC</t>
        </is>
      </c>
      <c r="AT17" s="24" t="inlineStr">
        <is>
          <t>ROSO GC</t>
        </is>
      </c>
      <c r="AU17" s="24" t="inlineStr">
        <is>
          <t>ROSO GC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fd8b674cd95f5267545eeaa19ed09838dffe6e7f1115e6ac52a5152ecb6ed1bc</t>
        </is>
      </c>
      <c r="BB17" s="24" t="inlineStr">
        <is>
          <t>neutral_elo</t>
        </is>
      </c>
      <c r="BC17" s="24" t="inlineStr">
        <is>
          <t>valorant-tiered-elo-v5</t>
        </is>
      </c>
      <c r="BD17" s="24" t="inlineStr">
        <is>
          <t>fd8b674cd95f5267545eeaa19ed09838dffe6e7f1115e6ac52a5152ecb6ed1bc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valorant-tiered-elo-v5</t>
        </is>
      </c>
      <c r="BH17" s="24" t="inlineStr">
        <is>
          <t>2026-08-03T22:57:49.075256Z</t>
        </is>
      </c>
      <c r="BI17" s="24" t="inlineStr">
        <is>
          <t>["same_event","same_team_same_day","same_league_same_day"]</t>
        </is>
      </c>
      <c r="BJ17" s="25" t="n"/>
      <c r="BK17" s="26" t="n">
        <v>163</v>
      </c>
      <c r="BL17" s="27" t="n">
        <v>2.63</v>
      </c>
      <c r="BM17" s="28" t="n">
        <v>0.380228</v>
      </c>
      <c r="BN17" s="28" t="n"/>
      <c r="BO17" s="28" t="n"/>
      <c r="BP17" s="25" t="n"/>
      <c r="BQ17" s="27" t="n">
        <v>2.63</v>
      </c>
      <c r="BR17" s="28" t="n">
        <v>0.38</v>
      </c>
      <c r="BS17" s="28" t="n"/>
      <c r="BT17" s="28" t="n"/>
      <c r="BU17" s="25" t="n"/>
      <c r="BV17" s="29" t="n"/>
      <c r="BW17" s="24" t="n"/>
      <c r="BX17" s="30" t="n">
        <v>1</v>
      </c>
      <c r="BY17" s="27" t="n">
        <v>-1</v>
      </c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746b3eb463074b2d</t>
        </is>
      </c>
      <c r="B18" s="24" t="inlineStr">
        <is>
          <t>2026-08-03T22:57:52.421939Z</t>
        </is>
      </c>
      <c r="C18" s="24" t="inlineStr">
        <is>
          <t>2026-08-03T23:30:00Z</t>
        </is>
      </c>
      <c r="D18" s="24" t="inlineStr">
        <is>
          <t>68096</t>
        </is>
      </c>
      <c r="E18" s="24" t="inlineStr">
        <is>
          <t>VALORANT</t>
        </is>
      </c>
      <c r="F18" s="24" t="inlineStr">
        <is>
          <t>:3</t>
        </is>
      </c>
      <c r="G18" s="24" t="inlineStr">
        <is>
          <t>Cloud9 GC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-223</v>
      </c>
      <c r="M18" s="27" t="n">
        <v>1.44843</v>
      </c>
      <c r="N18" s="28" t="n">
        <v>0.690402</v>
      </c>
      <c r="O18" s="28" t="n">
        <v>0.527317</v>
      </c>
      <c r="P18" s="28" t="n"/>
      <c r="Q18" s="28" t="n">
        <v>-0.163085</v>
      </c>
      <c r="R18" s="26" t="n">
        <v>0</v>
      </c>
      <c r="S18" s="29" t="n">
        <v>1</v>
      </c>
      <c r="T18" s="24" t="inlineStr">
        <is>
          <t>valorant-tiered-elo-v5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-223</v>
      </c>
      <c r="AA18" s="28" t="n">
        <v>0.6899999999999999</v>
      </c>
      <c r="AB18" s="28" t="n">
        <v>-0.000402</v>
      </c>
      <c r="AC18" s="30" t="n">
        <v>-1</v>
      </c>
      <c r="AD18" s="24" t="inlineStr">
        <is>
          <t>2026-08-04T01:58:57.182367Z</t>
        </is>
      </c>
      <c r="AE18" s="31" t="inlineStr">
        <is>
          <t>Neutral Elo baseline; executable ask 0.6900 (market_slug=aec-valorant-c9gc-meow-2026-08-03).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:3</t>
        </is>
      </c>
      <c r="AQ18" s="24" t="inlineStr">
        <is>
          <t>:3</t>
        </is>
      </c>
      <c r="AR18" s="24" t="inlineStr">
        <is>
          <t>:3</t>
        </is>
      </c>
      <c r="AS18" s="24" t="inlineStr">
        <is>
          <t>Cloud9 GC</t>
        </is>
      </c>
      <c r="AT18" s="24" t="inlineStr">
        <is>
          <t>Cloud9 GC</t>
        </is>
      </c>
      <c r="AU18" s="24" t="inlineStr">
        <is>
          <t>Cloud9 GC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fd8b674cd95f5267545eeaa19ed09838dffe6e7f1115e6ac52a5152ecb6ed1bc</t>
        </is>
      </c>
      <c r="BB18" s="24" t="inlineStr">
        <is>
          <t>neutral_elo</t>
        </is>
      </c>
      <c r="BC18" s="24" t="inlineStr">
        <is>
          <t>valorant-tiered-elo-v5</t>
        </is>
      </c>
      <c r="BD18" s="24" t="inlineStr">
        <is>
          <t>fd8b674cd95f5267545eeaa19ed09838dffe6e7f1115e6ac52a5152ecb6ed1bc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valorant-tiered-elo-v5</t>
        </is>
      </c>
      <c r="BH18" s="24" t="inlineStr">
        <is>
          <t>2026-08-03T22:57:49.589365Z</t>
        </is>
      </c>
      <c r="BI18" s="24" t="inlineStr">
        <is>
          <t>["same_event","same_team_same_day","same_league_same_day"]</t>
        </is>
      </c>
      <c r="BJ18" s="25" t="n"/>
      <c r="BK18" s="26" t="n">
        <v>-223</v>
      </c>
      <c r="BL18" s="27" t="n">
        <v>1.44843</v>
      </c>
      <c r="BM18" s="28" t="n">
        <v>0.690402</v>
      </c>
      <c r="BN18" s="28" t="n"/>
      <c r="BO18" s="28" t="n"/>
      <c r="BP18" s="25" t="n"/>
      <c r="BQ18" s="27" t="n">
        <v>1.44843</v>
      </c>
      <c r="BR18" s="28" t="n">
        <v>0.6899999999999999</v>
      </c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</row>
    <row r="19" ht="36" customHeight="1">
      <c r="A19" s="24" t="inlineStr">
        <is>
          <t>1879dec1a9044fcf</t>
        </is>
      </c>
      <c r="B19" s="24" t="inlineStr">
        <is>
          <t>2026-08-03T22:57:52.421939Z</t>
        </is>
      </c>
      <c r="C19" s="24" t="inlineStr">
        <is>
          <t>2026-08-03T23:30:00Z</t>
        </is>
      </c>
      <c r="D19" s="24" t="inlineStr">
        <is>
          <t>68097</t>
        </is>
      </c>
      <c r="E19" s="24" t="inlineStr">
        <is>
          <t>VALORANT</t>
        </is>
      </c>
      <c r="F19" s="24" t="inlineStr">
        <is>
          <t>Revitalize GC</t>
        </is>
      </c>
      <c r="G19" s="24" t="inlineStr">
        <is>
          <t>Eternal Focus Amethyst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-150</v>
      </c>
      <c r="M19" s="27" t="n">
        <v>1.666667</v>
      </c>
      <c r="N19" s="28" t="n">
        <v>0.6</v>
      </c>
      <c r="O19" s="28" t="n">
        <v>0.5614749999999999</v>
      </c>
      <c r="P19" s="28" t="n"/>
      <c r="Q19" s="28" t="n">
        <v>-0.038525</v>
      </c>
      <c r="R19" s="26" t="n">
        <v>1</v>
      </c>
      <c r="S19" s="29" t="n">
        <v>1</v>
      </c>
      <c r="T19" s="24" t="inlineStr">
        <is>
          <t>valorant-tiered-elo-v5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>
        <v>-150</v>
      </c>
      <c r="AA19" s="28" t="n">
        <v>0.6</v>
      </c>
      <c r="AB19" s="28" t="n">
        <v>0</v>
      </c>
      <c r="AC19" s="30" t="n">
        <v>0.6667</v>
      </c>
      <c r="AD19" s="24" t="inlineStr">
        <is>
          <t>2026-08-04T01:58:58.496591Z</t>
        </is>
      </c>
      <c r="AE19" s="31" t="inlineStr">
        <is>
          <t>Neutral Elo baseline; executable ask 0.6000 (market_slug=aec-valorant-efa-rev-2026-08-03).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Revitalize GC</t>
        </is>
      </c>
      <c r="AQ19" s="24" t="inlineStr">
        <is>
          <t>Revitalize GC</t>
        </is>
      </c>
      <c r="AR19" s="24" t="inlineStr">
        <is>
          <t>Revitalize GC</t>
        </is>
      </c>
      <c r="AS19" s="24" t="inlineStr">
        <is>
          <t>Eternal Focus Amethyst</t>
        </is>
      </c>
      <c r="AT19" s="24" t="inlineStr">
        <is>
          <t>Eternal Focus Amethyst</t>
        </is>
      </c>
      <c r="AU19" s="24" t="inlineStr">
        <is>
          <t>Eternal Focus Amethyst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fd8b674cd95f5267545eeaa19ed09838dffe6e7f1115e6ac52a5152ecb6ed1bc</t>
        </is>
      </c>
      <c r="BB19" s="24" t="inlineStr">
        <is>
          <t>neutral_elo</t>
        </is>
      </c>
      <c r="BC19" s="24" t="inlineStr">
        <is>
          <t>valorant-tiered-elo-v5</t>
        </is>
      </c>
      <c r="BD19" s="24" t="inlineStr">
        <is>
          <t>fd8b674cd95f5267545eeaa19ed09838dffe6e7f1115e6ac52a5152ecb6ed1bc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valorant-tiered-elo-v5</t>
        </is>
      </c>
      <c r="BH19" s="24" t="inlineStr">
        <is>
          <t>2026-08-03T22:57:50.125387Z</t>
        </is>
      </c>
      <c r="BI19" s="24" t="inlineStr">
        <is>
          <t>["same_event","same_team_same_day","same_league_same_day"]</t>
        </is>
      </c>
      <c r="BJ19" s="25" t="n"/>
      <c r="BK19" s="26" t="n">
        <v>-150</v>
      </c>
      <c r="BL19" s="27" t="n">
        <v>1.666667</v>
      </c>
      <c r="BM19" s="28" t="n">
        <v>0.6</v>
      </c>
      <c r="BN19" s="28" t="n"/>
      <c r="BO19" s="28" t="n"/>
      <c r="BP19" s="25" t="n"/>
      <c r="BQ19" s="27" t="n">
        <v>1.666667</v>
      </c>
      <c r="BR19" s="28" t="n">
        <v>0.6</v>
      </c>
      <c r="BS19" s="28" t="n"/>
      <c r="BT19" s="28" t="n"/>
      <c r="BU19" s="25" t="n"/>
      <c r="BV19" s="29" t="n"/>
      <c r="BW19" s="24" t="n"/>
      <c r="BX19" s="30" t="n">
        <v>1</v>
      </c>
      <c r="BY19" s="27" t="n">
        <v>0.91</v>
      </c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</row>
    <row r="20" ht="36" customHeight="1">
      <c r="A20" s="24" t="inlineStr">
        <is>
          <t>2672734d84af40ec</t>
        </is>
      </c>
      <c r="B20" s="24" t="inlineStr">
        <is>
          <t>2026-08-04T14:26:45.561526Z</t>
        </is>
      </c>
      <c r="C20" s="24" t="inlineStr">
        <is>
          <t>2026-08-04T15:00:00Z</t>
        </is>
      </c>
      <c r="D20" s="24" t="inlineStr">
        <is>
          <t>68481</t>
        </is>
      </c>
      <c r="E20" s="24" t="inlineStr">
        <is>
          <t>VALORANT</t>
        </is>
      </c>
      <c r="F20" s="24" t="inlineStr">
        <is>
          <t>FOKUS Sakura</t>
        </is>
      </c>
      <c r="G20" s="24" t="inlineStr">
        <is>
          <t>Karmine Corp GC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0.528265</v>
      </c>
      <c r="P20" s="28" t="n"/>
      <c r="Q20" s="28" t="n">
        <v>0.178615</v>
      </c>
      <c r="R20" s="26" t="n">
        <v>100</v>
      </c>
      <c r="S20" s="29" t="n">
        <v>1</v>
      </c>
      <c r="T20" s="24" t="inlineStr">
        <is>
          <t>valorant-tiered-elo-v5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186</v>
      </c>
      <c r="AA20" s="28" t="n">
        <v>0.35</v>
      </c>
      <c r="AB20" s="28" t="n">
        <v>0.00035</v>
      </c>
      <c r="AC20" s="30" t="n">
        <v>-1</v>
      </c>
      <c r="AD20" s="24" t="inlineStr">
        <is>
          <t>2026-08-04T18:04:46.006926Z</t>
        </is>
      </c>
      <c r="AE20" s="31" t="inlineStr">
        <is>
          <t>Neutral Elo baseline; executable ask 0.3500 (market_slug=aec-valorant-kcg-fso-2026-08-04).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FOKUS Sakura</t>
        </is>
      </c>
      <c r="AQ20" s="24" t="inlineStr">
        <is>
          <t>FOKUS Sakura</t>
        </is>
      </c>
      <c r="AR20" s="24" t="inlineStr">
        <is>
          <t>FOKUS Sakura</t>
        </is>
      </c>
      <c r="AS20" s="24" t="inlineStr">
        <is>
          <t>Karmine Corp GC</t>
        </is>
      </c>
      <c r="AT20" s="24" t="inlineStr">
        <is>
          <t>Karmine Corp GC</t>
        </is>
      </c>
      <c r="AU20" s="24" t="inlineStr">
        <is>
          <t>Karmine Corp GC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c8143bea9617c85b46e357e7a1261b7a10902182c05435f79ef9726aa3473977</t>
        </is>
      </c>
      <c r="BB20" s="24" t="inlineStr">
        <is>
          <t>neutral_elo</t>
        </is>
      </c>
      <c r="BC20" s="24" t="inlineStr">
        <is>
          <t>valorant-tiered-elo-v5</t>
        </is>
      </c>
      <c r="BD20" s="24" t="inlineStr">
        <is>
          <t>c8143bea9617c85b46e357e7a1261b7a10902182c05435f79ef9726aa3473977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valorant-tiered-elo-v5</t>
        </is>
      </c>
      <c r="BH20" s="24" t="inlineStr">
        <is>
          <t>2026-08-04T14:26:40.372782Z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>
        <v>2.86</v>
      </c>
      <c r="BR20" s="28" t="n">
        <v>0.35</v>
      </c>
      <c r="BS20" s="28" t="n"/>
      <c r="BT20" s="28" t="n"/>
      <c r="BU20" s="25" t="n"/>
      <c r="BV20" s="29" t="n"/>
      <c r="BW20" s="24" t="n"/>
      <c r="BX20" s="30" t="n">
        <v>1</v>
      </c>
      <c r="BY20" s="27" t="n">
        <v>-1</v>
      </c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4d7c5dd938d94f4c</t>
        </is>
      </c>
      <c r="B21" s="24" t="inlineStr">
        <is>
          <t>2026-08-04T16:54:18.134287Z</t>
        </is>
      </c>
      <c r="C21" s="24" t="inlineStr">
        <is>
          <t>2026-08-04T18:00:00Z</t>
        </is>
      </c>
      <c r="D21" s="24" t="inlineStr">
        <is>
          <t>68698</t>
        </is>
      </c>
      <c r="E21" s="24" t="inlineStr">
        <is>
          <t>VALORANT</t>
        </is>
      </c>
      <c r="F21" s="24" t="inlineStr">
        <is>
          <t>Twisted Minds Orchid</t>
        </is>
      </c>
      <c r="G21" s="24" t="inlineStr">
        <is>
          <t>SK Nebula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-163</v>
      </c>
      <c r="M21" s="27" t="n">
        <v>1.613497</v>
      </c>
      <c r="N21" s="28" t="n">
        <v>0.619772</v>
      </c>
      <c r="O21" s="28" t="n">
        <v>0.64657</v>
      </c>
      <c r="P21" s="28" t="n"/>
      <c r="Q21" s="28" t="n">
        <v>0.026798</v>
      </c>
      <c r="R21" s="26" t="n">
        <v>33</v>
      </c>
      <c r="S21" s="29" t="n">
        <v>1.75</v>
      </c>
      <c r="T21" s="24" t="inlineStr">
        <is>
          <t>valorant-tiered-elo-v6</t>
        </is>
      </c>
      <c r="U21" s="24" t="inlineStr">
        <is>
          <t>settled</t>
        </is>
      </c>
      <c r="V21" s="24" t="inlineStr">
        <is>
          <t>loss</t>
        </is>
      </c>
      <c r="W21" s="26" t="n">
        <v>1</v>
      </c>
      <c r="X21" s="26" t="n">
        <v>0</v>
      </c>
      <c r="Y21" s="25" t="n"/>
      <c r="Z21" s="26" t="n">
        <v>-170</v>
      </c>
      <c r="AA21" s="28" t="n">
        <v>0.63</v>
      </c>
      <c r="AB21" s="28" t="n">
        <v>0.010228</v>
      </c>
      <c r="AC21" s="30" t="n">
        <v>-1.75</v>
      </c>
      <c r="AD21" s="24" t="inlineStr">
        <is>
          <t>2026-08-04T21:59:59.083380Z</t>
        </is>
      </c>
      <c r="AE21" s="31" t="inlineStr">
        <is>
          <t>Neutral Elo baseline; executable ask 0.6200 (market_slug=aec-valorant-skn-tmo-2026-08-04).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Twisted Minds Orchid</t>
        </is>
      </c>
      <c r="AQ21" s="24" t="inlineStr">
        <is>
          <t>Twisted Minds Orchid</t>
        </is>
      </c>
      <c r="AR21" s="24" t="inlineStr">
        <is>
          <t>Twisted Minds Orchid</t>
        </is>
      </c>
      <c r="AS21" s="24" t="inlineStr">
        <is>
          <t>SK Nebula</t>
        </is>
      </c>
      <c r="AT21" s="24" t="inlineStr">
        <is>
          <t>SK Nebula</t>
        </is>
      </c>
      <c r="AU21" s="24" t="inlineStr">
        <is>
          <t>SK Nebula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2a3a3c0d919df15db76d78df508a996bd8f684ec881c5b644b1e53da56868427</t>
        </is>
      </c>
      <c r="BB21" s="24" t="inlineStr">
        <is>
          <t>neutral_elo</t>
        </is>
      </c>
      <c r="BC21" s="24" t="inlineStr">
        <is>
          <t>valorant-tiered-elo-v6</t>
        </is>
      </c>
      <c r="BD21" s="24" t="inlineStr">
        <is>
          <t>2a3a3c0d919df15db76d78df508a996bd8f684ec881c5b644b1e53da56868427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valorant-tiered-elo-v6</t>
        </is>
      </c>
      <c r="BH21" s="24" t="inlineStr">
        <is>
          <t>2026-08-04T16:54:14.515679Z</t>
        </is>
      </c>
      <c r="BI21" s="24" t="inlineStr">
        <is>
          <t>["same_event","same_team_same_day","same_league_same_day"]</t>
        </is>
      </c>
      <c r="BJ21" s="25" t="n"/>
      <c r="BK21" s="26" t="n">
        <v>-163</v>
      </c>
      <c r="BL21" s="27" t="n">
        <v>1.613497</v>
      </c>
      <c r="BM21" s="28" t="n">
        <v>0.619772</v>
      </c>
      <c r="BN21" s="28" t="n"/>
      <c r="BO21" s="28" t="n"/>
      <c r="BP21" s="25" t="n"/>
      <c r="BQ21" s="27" t="n">
        <v>1.588235</v>
      </c>
      <c r="BR21" s="28" t="n">
        <v>0.63</v>
      </c>
      <c r="BS21" s="28" t="n"/>
      <c r="BT21" s="28" t="n"/>
      <c r="BU21" s="25" t="n"/>
      <c r="BV21" s="29" t="n"/>
      <c r="BW21" s="24" t="n"/>
      <c r="BX21" s="30" t="n">
        <v>1</v>
      </c>
      <c r="BY21" s="27" t="n">
        <v>-1</v>
      </c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d2e458490c0d44e1</t>
        </is>
      </c>
      <c r="B22" s="24" t="inlineStr">
        <is>
          <t>2026-08-05T04:38:20.842798Z</t>
        </is>
      </c>
      <c r="C22" s="24" t="inlineStr">
        <is>
          <t>2026-08-05T10:00:00Z</t>
        </is>
      </c>
      <c r="D22" s="24" t="inlineStr">
        <is>
          <t>69540</t>
        </is>
      </c>
      <c r="E22" s="24" t="inlineStr">
        <is>
          <t>VALORANT</t>
        </is>
      </c>
      <c r="F22" s="24" t="inlineStr">
        <is>
          <t>KeepBest Gaming</t>
        </is>
      </c>
      <c r="G22" s="24" t="inlineStr">
        <is>
          <t>TEC Esports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122</v>
      </c>
      <c r="M22" s="27" t="n">
        <v>2.22</v>
      </c>
      <c r="N22" s="28" t="n">
        <v>0.45045</v>
      </c>
      <c r="O22" s="28" t="n">
        <v>0.575198</v>
      </c>
      <c r="P22" s="28" t="n"/>
      <c r="Q22" s="28" t="n">
        <v>0.124748</v>
      </c>
      <c r="R22" s="26" t="n">
        <v>82</v>
      </c>
      <c r="S22" s="29" t="n">
        <v>1.25</v>
      </c>
      <c r="T22" s="24" t="inlineStr">
        <is>
          <t>valorant-tiered-elo-v6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122</v>
      </c>
      <c r="AA22" s="28" t="n">
        <v>0.45</v>
      </c>
      <c r="AB22" s="28" t="n">
        <v>-0.00045</v>
      </c>
      <c r="AC22" s="30" t="n">
        <v>-1.25</v>
      </c>
      <c r="AD22" s="24" t="inlineStr">
        <is>
          <t>2026-08-05T13:51:50.006749Z</t>
        </is>
      </c>
      <c r="AE22" s="31" t="inlineStr">
        <is>
          <t>Neutral Elo baseline; executable ask 0.4500 (market_slug=aec-valorant-tec-kbg-2026-08-05).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KeepBest Gaming</t>
        </is>
      </c>
      <c r="AQ22" s="24" t="inlineStr">
        <is>
          <t>KeepBest Gaming</t>
        </is>
      </c>
      <c r="AR22" s="24" t="inlineStr">
        <is>
          <t>KeepBest Gaming</t>
        </is>
      </c>
      <c r="AS22" s="24" t="inlineStr">
        <is>
          <t>TEC Esports</t>
        </is>
      </c>
      <c r="AT22" s="24" t="inlineStr">
        <is>
          <t>TEC Esports</t>
        </is>
      </c>
      <c r="AU22" s="24" t="inlineStr">
        <is>
          <t>TEC Esports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186664e065cb2f3876c035d1fafb20f41e71ec1c33421a9590b0fc42032b5796</t>
        </is>
      </c>
      <c r="BB22" s="24" t="inlineStr">
        <is>
          <t>neutral_elo</t>
        </is>
      </c>
      <c r="BC22" s="24" t="inlineStr">
        <is>
          <t>valorant-tiered-elo-v6</t>
        </is>
      </c>
      <c r="BD22" s="24" t="inlineStr">
        <is>
          <t>186664e065cb2f3876c035d1fafb20f41e71ec1c33421a9590b0fc42032b5796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valorant-tiered-elo-v6</t>
        </is>
      </c>
      <c r="BH22" s="24" t="inlineStr">
        <is>
          <t>2026-08-05T04:38:10.028876Z</t>
        </is>
      </c>
      <c r="BI22" s="24" t="inlineStr">
        <is>
          <t>["same_event","same_team_same_day","same_league_same_day"]</t>
        </is>
      </c>
      <c r="BJ22" s="25" t="n"/>
      <c r="BK22" s="26" t="n">
        <v>122</v>
      </c>
      <c r="BL22" s="27" t="n">
        <v>2.22</v>
      </c>
      <c r="BM22" s="28" t="n">
        <v>0.45045</v>
      </c>
      <c r="BN22" s="28" t="n"/>
      <c r="BO22" s="28" t="n"/>
      <c r="BP22" s="25" t="n"/>
      <c r="BQ22" s="27" t="n">
        <v>2.22</v>
      </c>
      <c r="BR22" s="28" t="n">
        <v>0.45</v>
      </c>
      <c r="BS22" s="28" t="n"/>
      <c r="BT22" s="28" t="n"/>
      <c r="BU22" s="25" t="n"/>
      <c r="BV22" s="29" t="n"/>
      <c r="BW22" s="24" t="n"/>
      <c r="BX22" s="30" t="n">
        <v>1</v>
      </c>
      <c r="BY22" s="27" t="n">
        <v>-1</v>
      </c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cdf578cf7d98458f</t>
        </is>
      </c>
      <c r="B23" s="24" t="inlineStr">
        <is>
          <t>2026-08-05T17:04:46.344950Z</t>
        </is>
      </c>
      <c r="C23" s="24" t="inlineStr">
        <is>
          <t>2026-08-05T18:00:00Z</t>
        </is>
      </c>
      <c r="D23" s="24" t="inlineStr">
        <is>
          <t>69955</t>
        </is>
      </c>
      <c r="E23" s="24" t="inlineStr">
        <is>
          <t>VALORANT</t>
        </is>
      </c>
      <c r="F23" s="24" t="inlineStr">
        <is>
          <t>Twisted Minds Orchid</t>
        </is>
      </c>
      <c r="G23" s="24" t="inlineStr">
        <is>
          <t>Gentle Mates GC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-194</v>
      </c>
      <c r="M23" s="27" t="n">
        <v>1.515464</v>
      </c>
      <c r="N23" s="28" t="n">
        <v>0.659864</v>
      </c>
      <c r="O23" s="28" t="n">
        <v>0.6890849999999999</v>
      </c>
      <c r="P23" s="28" t="n"/>
      <c r="Q23" s="28" t="n">
        <v>0.029221</v>
      </c>
      <c r="R23" s="26" t="n">
        <v>35</v>
      </c>
      <c r="S23" s="29" t="n">
        <v>0</v>
      </c>
      <c r="T23" s="24" t="inlineStr">
        <is>
          <t>valorant-tiered-elo-v6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>
        <v>-186</v>
      </c>
      <c r="AA23" s="28" t="n">
        <v>0.65</v>
      </c>
      <c r="AB23" s="28" t="n">
        <v>-0.009864</v>
      </c>
      <c r="AC23" s="30" t="n">
        <v>0</v>
      </c>
      <c r="AD23" s="24" t="inlineStr">
        <is>
          <t>2026-08-05T21:00:20.306504Z</t>
        </is>
      </c>
      <c r="AE23" s="31" t="inlineStr">
        <is>
          <t>Neutral Elo baseline; executable ask 0.6600 (market_slug=aec-valorant-m8gc-tmo-2026-08-05).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NO_CALL_WINNER_OVERVALUED</t>
        </is>
      </c>
      <c r="AP23" s="24" t="inlineStr">
        <is>
          <t>Twisted Minds Orchid</t>
        </is>
      </c>
      <c r="AQ23" s="24" t="inlineStr">
        <is>
          <t>Twisted Minds Orchid</t>
        </is>
      </c>
      <c r="AR23" s="24" t="inlineStr">
        <is>
          <t>Twisted Minds Orchid</t>
        </is>
      </c>
      <c r="AS23" s="24" t="inlineStr">
        <is>
          <t>Gentle Mates GC</t>
        </is>
      </c>
      <c r="AT23" s="24" t="inlineStr">
        <is>
          <t>Gentle Mates GC</t>
        </is>
      </c>
      <c r="AU23" s="24" t="inlineStr">
        <is>
          <t>Gentle Mates GC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99605999cbefc3e4318aa2d50dc2b92c9ca2bafd08c79807b93ccfd4969eebcd</t>
        </is>
      </c>
      <c r="BB23" s="24" t="inlineStr">
        <is>
          <t>neutral_elo</t>
        </is>
      </c>
      <c r="BC23" s="24" t="inlineStr">
        <is>
          <t>valorant-tiered-elo-v6</t>
        </is>
      </c>
      <c r="BD23" s="24" t="inlineStr">
        <is>
          <t>99605999cbefc3e4318aa2d50dc2b92c9ca2bafd08c79807b93ccfd4969eebcd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valorant-tiered-elo-v6</t>
        </is>
      </c>
      <c r="BH23" s="24" t="inlineStr">
        <is>
          <t>2026-08-05T17:04:41.254236Z</t>
        </is>
      </c>
      <c r="BI23" s="24" t="inlineStr">
        <is>
          <t>["same_event","same_team_same_day","same_league_same_day"]</t>
        </is>
      </c>
      <c r="BJ23" s="25" t="n"/>
      <c r="BK23" s="26" t="n">
        <v>-194</v>
      </c>
      <c r="BL23" s="27" t="n">
        <v>1.515464</v>
      </c>
      <c r="BM23" s="28" t="n">
        <v>0.659864</v>
      </c>
      <c r="BN23" s="28" t="n"/>
      <c r="BO23" s="28" t="n"/>
      <c r="BP23" s="25" t="n"/>
      <c r="BQ23" s="27" t="n">
        <v>1.537634</v>
      </c>
      <c r="BR23" s="28" t="n">
        <v>0.65</v>
      </c>
      <c r="BS23" s="28" t="n"/>
      <c r="BT23" s="28" t="n"/>
      <c r="BU23" s="25" t="n"/>
      <c r="BV23" s="29" t="n"/>
      <c r="BW23" s="24" t="n"/>
      <c r="BX23" s="30" t="n">
        <v>1</v>
      </c>
      <c r="BY23" s="27" t="n">
        <v>-1</v>
      </c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cb803518ea764ed5</t>
        </is>
      </c>
      <c r="B24" s="24" t="inlineStr">
        <is>
          <t>2026-08-06T00:24:39.463638Z</t>
        </is>
      </c>
      <c r="C24" s="24" t="inlineStr">
        <is>
          <t>2026-08-06T08:00:00Z</t>
        </is>
      </c>
      <c r="D24" s="24" t="inlineStr">
        <is>
          <t>70564</t>
        </is>
      </c>
      <c r="E24" s="24" t="inlineStr">
        <is>
          <t>VALORANT</t>
        </is>
      </c>
      <c r="F24" s="24" t="inlineStr">
        <is>
          <t>JD Gaming</t>
        </is>
      </c>
      <c r="G24" s="24" t="inlineStr">
        <is>
          <t>FunPlus Phoenix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-170</v>
      </c>
      <c r="M24" s="27" t="n">
        <v>1.588235</v>
      </c>
      <c r="N24" s="28" t="n">
        <v>0.62963</v>
      </c>
      <c r="O24" s="28" t="n">
        <v>0.6551090000000001</v>
      </c>
      <c r="P24" s="28" t="n"/>
      <c r="Q24" s="28" t="n">
        <v>0.025479</v>
      </c>
      <c r="R24" s="26" t="n">
        <v>33</v>
      </c>
      <c r="S24" s="29" t="n">
        <v>0</v>
      </c>
      <c r="T24" s="24" t="inlineStr">
        <is>
          <t>valorant-tiered-elo-v6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/>
      <c r="AA24" s="28" t="n"/>
      <c r="AB24" s="28" t="n"/>
      <c r="AC24" s="30" t="n">
        <v>0</v>
      </c>
      <c r="AD24" s="24" t="inlineStr">
        <is>
          <t>2026-08-06T18:56:45.581929Z</t>
        </is>
      </c>
      <c r="AE24" s="31" t="inlineStr">
        <is>
          <t>Neutral Elo baseline; executable ask 0.6300 (market_slug=aec-valorant-fpx-jdg-2026-08-06).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NO_CALL_WINNER_OVERVALUED</t>
        </is>
      </c>
      <c r="AP24" s="24" t="inlineStr">
        <is>
          <t>JD Gaming</t>
        </is>
      </c>
      <c r="AQ24" s="24" t="inlineStr">
        <is>
          <t>JD Gaming</t>
        </is>
      </c>
      <c r="AR24" s="24" t="inlineStr">
        <is>
          <t>JD Gaming</t>
        </is>
      </c>
      <c r="AS24" s="24" t="inlineStr">
        <is>
          <t>FunPlus Phoenix</t>
        </is>
      </c>
      <c r="AT24" s="24" t="inlineStr">
        <is>
          <t>FunPlus Phoenix</t>
        </is>
      </c>
      <c r="AU24" s="24" t="inlineStr">
        <is>
          <t>FunPlus Phoenix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4df5f295a2b28e76007c7dffc3ff6e8d7c876b7734ec9c379c78b6dce8cd27b3</t>
        </is>
      </c>
      <c r="BB24" s="24" t="inlineStr">
        <is>
          <t>neutral_elo</t>
        </is>
      </c>
      <c r="BC24" s="24" t="inlineStr">
        <is>
          <t>valorant-tiered-elo-v6</t>
        </is>
      </c>
      <c r="BD24" s="24" t="inlineStr">
        <is>
          <t>4df5f295a2b28e76007c7dffc3ff6e8d7c876b7734ec9c379c78b6dce8cd27b3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valorant-tiered-elo-v6</t>
        </is>
      </c>
      <c r="BH24" s="24" t="inlineStr">
        <is>
          <t>2026-08-06T00:24:35.545519Z</t>
        </is>
      </c>
      <c r="BI24" s="24" t="inlineStr">
        <is>
          <t>["same_event","same_team_same_day","same_league_same_day"]</t>
        </is>
      </c>
      <c r="BJ24" s="25" t="n"/>
      <c r="BK24" s="26" t="n">
        <v>-170</v>
      </c>
      <c r="BL24" s="27" t="n">
        <v>1.588235</v>
      </c>
      <c r="BM24" s="28" t="n">
        <v>0.62963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>
        <v>1</v>
      </c>
      <c r="BY24" s="27" t="n">
        <v>-1</v>
      </c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59e51fb17d924b64</t>
        </is>
      </c>
      <c r="B25" s="24" t="inlineStr">
        <is>
          <t>2026-08-06T00:24:39.463638Z</t>
        </is>
      </c>
      <c r="C25" s="24" t="inlineStr">
        <is>
          <t>2026-08-06T10:00:00Z</t>
        </is>
      </c>
      <c r="D25" s="24" t="inlineStr">
        <is>
          <t>70595</t>
        </is>
      </c>
      <c r="E25" s="24" t="inlineStr">
        <is>
          <t>VALORANT</t>
        </is>
      </c>
      <c r="F25" s="24" t="inlineStr">
        <is>
          <t>Dragon Ranger Gaming</t>
        </is>
      </c>
      <c r="G25" s="24" t="inlineStr">
        <is>
          <t>Wolves Esports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-170</v>
      </c>
      <c r="M25" s="27" t="n">
        <v>1.588235</v>
      </c>
      <c r="N25" s="28" t="n">
        <v>0.62963</v>
      </c>
      <c r="O25" s="28" t="n">
        <v>0.619297</v>
      </c>
      <c r="P25" s="28" t="n"/>
      <c r="Q25" s="28" t="n">
        <v>-0.010333</v>
      </c>
      <c r="R25" s="26" t="n">
        <v>15</v>
      </c>
      <c r="S25" s="29" t="n">
        <v>0</v>
      </c>
      <c r="T25" s="24" t="inlineStr">
        <is>
          <t>valorant-tiered-elo-v6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/>
      <c r="AA25" s="28" t="n"/>
      <c r="AB25" s="28" t="n"/>
      <c r="AC25" s="30" t="n">
        <v>0</v>
      </c>
      <c r="AD25" s="24" t="inlineStr">
        <is>
          <t>2026-08-06T18:56:47.269533Z</t>
        </is>
      </c>
      <c r="AE25" s="31" t="inlineStr">
        <is>
          <t>Neutral Elo baseline; executable ask 0.6300 (market_slug=aec-valorant-wol-drg-2026-08-06).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NO_CALL_WINNER_OVERVALUED</t>
        </is>
      </c>
      <c r="AP25" s="24" t="inlineStr">
        <is>
          <t>Dragon Ranger Gaming</t>
        </is>
      </c>
      <c r="AQ25" s="24" t="inlineStr">
        <is>
          <t>Dragon Ranger Gaming</t>
        </is>
      </c>
      <c r="AR25" s="24" t="inlineStr">
        <is>
          <t>Dragon Ranger Gaming</t>
        </is>
      </c>
      <c r="AS25" s="24" t="inlineStr">
        <is>
          <t>Wolves Esports</t>
        </is>
      </c>
      <c r="AT25" s="24" t="inlineStr">
        <is>
          <t>Wolves Esports</t>
        </is>
      </c>
      <c r="AU25" s="24" t="inlineStr">
        <is>
          <t>Wolves Esports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4df5f295a2b28e76007c7dffc3ff6e8d7c876b7734ec9c379c78b6dce8cd27b3</t>
        </is>
      </c>
      <c r="BB25" s="24" t="inlineStr">
        <is>
          <t>neutral_elo</t>
        </is>
      </c>
      <c r="BC25" s="24" t="inlineStr">
        <is>
          <t>valorant-tiered-elo-v6</t>
        </is>
      </c>
      <c r="BD25" s="24" t="inlineStr">
        <is>
          <t>4df5f295a2b28e76007c7dffc3ff6e8d7c876b7734ec9c379c78b6dce8cd27b3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valorant-tiered-elo-v6</t>
        </is>
      </c>
      <c r="BH25" s="24" t="inlineStr">
        <is>
          <t>2026-08-06T00:24:36.130397Z</t>
        </is>
      </c>
      <c r="BI25" s="24" t="inlineStr">
        <is>
          <t>["same_event","same_team_same_day","same_league_same_day"]</t>
        </is>
      </c>
      <c r="BJ25" s="25" t="n"/>
      <c r="BK25" s="26" t="n">
        <v>-170</v>
      </c>
      <c r="BL25" s="27" t="n">
        <v>1.588235</v>
      </c>
      <c r="BM25" s="28" t="n">
        <v>0.62963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>
        <v>1</v>
      </c>
      <c r="BY25" s="27" t="n">
        <v>0.91</v>
      </c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</row>
    <row r="26" ht="36" customHeight="1">
      <c r="A26" s="24" t="inlineStr">
        <is>
          <t>c79618f0ece446a0</t>
        </is>
      </c>
      <c r="B26" s="24" t="inlineStr">
        <is>
          <t>2026-08-06T00:24:39.463638Z</t>
        </is>
      </c>
      <c r="C26" s="24" t="inlineStr">
        <is>
          <t>2026-08-06T15:00:00Z</t>
        </is>
      </c>
      <c r="D26" s="24" t="inlineStr">
        <is>
          <t>70725</t>
        </is>
      </c>
      <c r="E26" s="24" t="inlineStr">
        <is>
          <t>VALORANT</t>
        </is>
      </c>
      <c r="F26" s="24" t="inlineStr">
        <is>
          <t>Karmine Corp GC</t>
        </is>
      </c>
      <c r="G26" s="24" t="inlineStr">
        <is>
          <t>GIANTX GC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-108</v>
      </c>
      <c r="M26" s="27" t="n">
        <v>1.925926</v>
      </c>
      <c r="N26" s="28" t="n">
        <v>0.519231</v>
      </c>
      <c r="O26" s="28" t="n">
        <v>0.55231</v>
      </c>
      <c r="P26" s="28" t="n"/>
      <c r="Q26" s="28" t="n">
        <v>0.033079</v>
      </c>
      <c r="R26" s="26" t="n">
        <v>37</v>
      </c>
      <c r="S26" s="29" t="n">
        <v>0</v>
      </c>
      <c r="T26" s="24" t="inlineStr">
        <is>
          <t>valorant-tiered-elo-v6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0</v>
      </c>
      <c r="AD26" s="24" t="inlineStr">
        <is>
          <t>2026-08-06T18:56:48.944178Z</t>
        </is>
      </c>
      <c r="AE26" s="31" t="inlineStr">
        <is>
          <t>Neutral Elo baseline; executable ask 0.5200 (market_slug=aec-valorant-gxgc-kcg-2026-08-06).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NO_CALL_WINNER_OVERVALUED</t>
        </is>
      </c>
      <c r="AP26" s="24" t="inlineStr">
        <is>
          <t>Karmine Corp GC</t>
        </is>
      </c>
      <c r="AQ26" s="24" t="inlineStr">
        <is>
          <t>Karmine Corp GC</t>
        </is>
      </c>
      <c r="AR26" s="24" t="inlineStr">
        <is>
          <t>Karmine Corp GC</t>
        </is>
      </c>
      <c r="AS26" s="24" t="inlineStr">
        <is>
          <t>GIANTX GC</t>
        </is>
      </c>
      <c r="AT26" s="24" t="inlineStr">
        <is>
          <t>GIANTX GC</t>
        </is>
      </c>
      <c r="AU26" s="24" t="inlineStr">
        <is>
          <t>GIANTX GC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4df5f295a2b28e76007c7dffc3ff6e8d7c876b7734ec9c379c78b6dce8cd27b3</t>
        </is>
      </c>
      <c r="BB26" s="24" t="inlineStr">
        <is>
          <t>neutral_elo</t>
        </is>
      </c>
      <c r="BC26" s="24" t="inlineStr">
        <is>
          <t>valorant-tiered-elo-v6</t>
        </is>
      </c>
      <c r="BD26" s="24" t="inlineStr">
        <is>
          <t>4df5f295a2b28e76007c7dffc3ff6e8d7c876b7734ec9c379c78b6dce8cd27b3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valorant-tiered-elo-v6</t>
        </is>
      </c>
      <c r="BH26" s="24" t="inlineStr">
        <is>
          <t>2026-08-06T00:24:36.602756Z</t>
        </is>
      </c>
      <c r="BI26" s="24" t="inlineStr">
        <is>
          <t>["same_event","same_team_same_day","same_league_same_day"]</t>
        </is>
      </c>
      <c r="BJ26" s="25" t="n"/>
      <c r="BK26" s="26" t="n">
        <v>-108</v>
      </c>
      <c r="BL26" s="27" t="n">
        <v>1.925926</v>
      </c>
      <c r="BM26" s="28" t="n">
        <v>0.519231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>
        <v>1</v>
      </c>
      <c r="BY26" s="27" t="n">
        <v>-1</v>
      </c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19496ab933704b9f</t>
        </is>
      </c>
      <c r="B27" s="24" t="inlineStr">
        <is>
          <t>2026-08-06T00:24:39.463638Z</t>
        </is>
      </c>
      <c r="C27" s="24" t="inlineStr">
        <is>
          <t>2026-08-06T15:00:00Z</t>
        </is>
      </c>
      <c r="D27" s="24" t="inlineStr">
        <is>
          <t>70727</t>
        </is>
      </c>
      <c r="E27" s="24" t="inlineStr">
        <is>
          <t>VALORANT</t>
        </is>
      </c>
      <c r="F27" s="24" t="inlineStr">
        <is>
          <t>Habos Babos</t>
        </is>
      </c>
      <c r="G27" s="24" t="inlineStr">
        <is>
          <t>FOKUS Sakura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-170</v>
      </c>
      <c r="M27" s="27" t="n">
        <v>1.588235</v>
      </c>
      <c r="N27" s="28" t="n">
        <v>0.62963</v>
      </c>
      <c r="O27" s="28" t="n">
        <v>0.537492</v>
      </c>
      <c r="P27" s="28" t="n"/>
      <c r="Q27" s="28" t="n">
        <v>-0.092138</v>
      </c>
      <c r="R27" s="26" t="n">
        <v>0</v>
      </c>
      <c r="S27" s="29" t="n">
        <v>0</v>
      </c>
      <c r="T27" s="24" t="inlineStr">
        <is>
          <t>valorant-tiered-elo-v6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1</v>
      </c>
      <c r="X27" s="26" t="n">
        <v>0</v>
      </c>
      <c r="Y27" s="25" t="n"/>
      <c r="Z27" s="26" t="n"/>
      <c r="AA27" s="28" t="n"/>
      <c r="AB27" s="28" t="n"/>
      <c r="AC27" s="30" t="n">
        <v>0</v>
      </c>
      <c r="AD27" s="24" t="inlineStr">
        <is>
          <t>2026-08-06T18:56:50.514524Z</t>
        </is>
      </c>
      <c r="AE27" s="31" t="inlineStr">
        <is>
          <t>Neutral Elo baseline; executable ask 0.6300 (market_slug=aec-valorant-fso-hbs-2026-08-06).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NO_CALL_WINNER_OVERVALUED</t>
        </is>
      </c>
      <c r="AP27" s="24" t="inlineStr">
        <is>
          <t>Habos Babos</t>
        </is>
      </c>
      <c r="AQ27" s="24" t="inlineStr">
        <is>
          <t>Habos Babos</t>
        </is>
      </c>
      <c r="AR27" s="24" t="inlineStr">
        <is>
          <t>Habos Babos</t>
        </is>
      </c>
      <c r="AS27" s="24" t="inlineStr">
        <is>
          <t>FOKUS Sakura</t>
        </is>
      </c>
      <c r="AT27" s="24" t="inlineStr">
        <is>
          <t>FOKUS Sakura</t>
        </is>
      </c>
      <c r="AU27" s="24" t="inlineStr">
        <is>
          <t>FOKUS Sakura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4df5f295a2b28e76007c7dffc3ff6e8d7c876b7734ec9c379c78b6dce8cd27b3</t>
        </is>
      </c>
      <c r="BB27" s="24" t="inlineStr">
        <is>
          <t>neutral_elo</t>
        </is>
      </c>
      <c r="BC27" s="24" t="inlineStr">
        <is>
          <t>valorant-tiered-elo-v6</t>
        </is>
      </c>
      <c r="BD27" s="24" t="inlineStr">
        <is>
          <t>4df5f295a2b28e76007c7dffc3ff6e8d7c876b7734ec9c379c78b6dce8cd27b3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valorant-tiered-elo-v6</t>
        </is>
      </c>
      <c r="BH27" s="24" t="inlineStr">
        <is>
          <t>2026-08-06T00:24:37.090341Z</t>
        </is>
      </c>
      <c r="BI27" s="24" t="inlineStr">
        <is>
          <t>["same_event","same_team_same_day","same_league_same_day"]</t>
        </is>
      </c>
      <c r="BJ27" s="25" t="n"/>
      <c r="BK27" s="26" t="n">
        <v>-170</v>
      </c>
      <c r="BL27" s="27" t="n">
        <v>1.588235</v>
      </c>
      <c r="BM27" s="28" t="n">
        <v>0.62963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>
        <v>1</v>
      </c>
      <c r="BY27" s="27" t="n">
        <v>-1</v>
      </c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False</t>
        </is>
      </c>
    </row>
    <row r="28" ht="36" customHeight="1">
      <c r="A28" s="24" t="inlineStr">
        <is>
          <t>95d8804e9f6742de</t>
        </is>
      </c>
      <c r="B28" s="24" t="inlineStr">
        <is>
          <t>2026-08-06T00:24:39.463638Z</t>
        </is>
      </c>
      <c r="C28" s="24" t="inlineStr">
        <is>
          <t>2026-08-06T15:00:00Z</t>
        </is>
      </c>
      <c r="D28" s="24" t="inlineStr">
        <is>
          <t>70724</t>
        </is>
      </c>
      <c r="E28" s="24" t="inlineStr">
        <is>
          <t>VALORANT</t>
        </is>
      </c>
      <c r="F28" s="24" t="inlineStr">
        <is>
          <t>Eintracht Frankfurt</t>
        </is>
      </c>
      <c r="G28" s="24" t="inlineStr">
        <is>
          <t>GIANTX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138</v>
      </c>
      <c r="M28" s="27" t="n">
        <v>2.38</v>
      </c>
      <c r="N28" s="28" t="n">
        <v>0.420168</v>
      </c>
      <c r="O28" s="28" t="n">
        <v>0.695761</v>
      </c>
      <c r="P28" s="28" t="n"/>
      <c r="Q28" s="28" t="n">
        <v>0.275593</v>
      </c>
      <c r="R28" s="26" t="n">
        <v>100</v>
      </c>
      <c r="S28" s="29" t="n">
        <v>2</v>
      </c>
      <c r="T28" s="24" t="inlineStr">
        <is>
          <t>valorant-tiered-elo-v6</t>
        </is>
      </c>
      <c r="U28" s="24" t="inlineStr">
        <is>
          <t>settled</t>
        </is>
      </c>
      <c r="V28" s="24" t="inlineStr">
        <is>
          <t>loss</t>
        </is>
      </c>
      <c r="W28" s="26" t="n">
        <v>0</v>
      </c>
      <c r="X28" s="26" t="n">
        <v>1</v>
      </c>
      <c r="Y28" s="25" t="n"/>
      <c r="Z28" s="26" t="n"/>
      <c r="AA28" s="28" t="n"/>
      <c r="AB28" s="28" t="n"/>
      <c r="AC28" s="30" t="n">
        <v>-2</v>
      </c>
      <c r="AD28" s="24" t="inlineStr">
        <is>
          <t>2026-08-06T18:56:52.207320Z</t>
        </is>
      </c>
      <c r="AE28" s="31" t="inlineStr">
        <is>
          <t>Neutral Elo baseline; executable ask 0.4200 (market_slug=aec-valorant-gx-sge-2026-08-06).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Eintracht Frankfurt</t>
        </is>
      </c>
      <c r="AQ28" s="24" t="inlineStr">
        <is>
          <t>Eintracht Frankfurt</t>
        </is>
      </c>
      <c r="AR28" s="24" t="inlineStr">
        <is>
          <t>Eintracht Frankfurt</t>
        </is>
      </c>
      <c r="AS28" s="24" t="inlineStr">
        <is>
          <t>GIANTX</t>
        </is>
      </c>
      <c r="AT28" s="24" t="inlineStr">
        <is>
          <t>GIANTX</t>
        </is>
      </c>
      <c r="AU28" s="24" t="inlineStr">
        <is>
          <t>GIANTX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4df5f295a2b28e76007c7dffc3ff6e8d7c876b7734ec9c379c78b6dce8cd27b3</t>
        </is>
      </c>
      <c r="BB28" s="24" t="inlineStr">
        <is>
          <t>neutral_elo</t>
        </is>
      </c>
      <c r="BC28" s="24" t="inlineStr">
        <is>
          <t>valorant-tiered-elo-v6</t>
        </is>
      </c>
      <c r="BD28" s="24" t="inlineStr">
        <is>
          <t>4df5f295a2b28e76007c7dffc3ff6e8d7c876b7734ec9c379c78b6dce8cd27b3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valorant-tiered-elo-v6</t>
        </is>
      </c>
      <c r="BH28" s="24" t="inlineStr">
        <is>
          <t>2026-08-06T00:24:37.569959Z</t>
        </is>
      </c>
      <c r="BI28" s="24" t="inlineStr">
        <is>
          <t>["same_event","same_team_same_day","same_league_same_day"]</t>
        </is>
      </c>
      <c r="BJ28" s="25" t="n"/>
      <c r="BK28" s="26" t="n">
        <v>138</v>
      </c>
      <c r="BL28" s="27" t="n">
        <v>2.38</v>
      </c>
      <c r="BM28" s="28" t="n">
        <v>0.420168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>
        <v>1</v>
      </c>
      <c r="BY28" s="27" t="n">
        <v>-1</v>
      </c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192f6189a99f40b2</t>
        </is>
      </c>
      <c r="B29" s="24" t="inlineStr">
        <is>
          <t>2026-08-06T00:24:39.463638Z</t>
        </is>
      </c>
      <c r="C29" s="24" t="inlineStr">
        <is>
          <t>2026-08-06T18:00:00Z</t>
        </is>
      </c>
      <c r="D29" s="24" t="inlineStr">
        <is>
          <t>70912</t>
        </is>
      </c>
      <c r="E29" s="24" t="inlineStr">
        <is>
          <t>VALORANT</t>
        </is>
      </c>
      <c r="F29" s="24" t="inlineStr">
        <is>
          <t>Joblife</t>
        </is>
      </c>
      <c r="G29" s="24" t="inlineStr">
        <is>
          <t>Natus Vincere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178</v>
      </c>
      <c r="M29" s="27" t="n">
        <v>2.78</v>
      </c>
      <c r="N29" s="28" t="n">
        <v>0.359712</v>
      </c>
      <c r="O29" s="28" t="n">
        <v>0.563029</v>
      </c>
      <c r="P29" s="28" t="n"/>
      <c r="Q29" s="28" t="n">
        <v>0.203317</v>
      </c>
      <c r="R29" s="26" t="n">
        <v>100</v>
      </c>
      <c r="S29" s="29" t="n">
        <v>1</v>
      </c>
      <c r="T29" s="24" t="inlineStr">
        <is>
          <t>valorant-tiered-elo-v6</t>
        </is>
      </c>
      <c r="U29" s="24" t="inlineStr">
        <is>
          <t>settled</t>
        </is>
      </c>
      <c r="V29" s="24" t="inlineStr">
        <is>
          <t>win</t>
        </is>
      </c>
      <c r="W29" s="26" t="n">
        <v>1</v>
      </c>
      <c r="X29" s="26" t="n">
        <v>0</v>
      </c>
      <c r="Y29" s="25" t="n"/>
      <c r="Z29" s="26" t="n"/>
      <c r="AA29" s="28" t="n"/>
      <c r="AB29" s="28" t="n"/>
      <c r="AC29" s="30" t="n">
        <v>1.78</v>
      </c>
      <c r="AD29" s="24" t="inlineStr">
        <is>
          <t>2026-08-07T06:01:46.955979Z</t>
        </is>
      </c>
      <c r="AE29" s="31" t="inlineStr">
        <is>
          <t>Neutral Elo baseline; executable ask 0.3600 (market_slug=aec-valorant-navi-jl-2026-08-06).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Joblife</t>
        </is>
      </c>
      <c r="AQ29" s="24" t="inlineStr">
        <is>
          <t>Joblife</t>
        </is>
      </c>
      <c r="AR29" s="24" t="inlineStr">
        <is>
          <t>Joblife</t>
        </is>
      </c>
      <c r="AS29" s="24" t="inlineStr">
        <is>
          <t>Natus Vincere</t>
        </is>
      </c>
      <c r="AT29" s="24" t="inlineStr">
        <is>
          <t>Natus Vincere</t>
        </is>
      </c>
      <c r="AU29" s="24" t="inlineStr">
        <is>
          <t>Natus Vincere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4df5f295a2b28e76007c7dffc3ff6e8d7c876b7734ec9c379c78b6dce8cd27b3</t>
        </is>
      </c>
      <c r="BB29" s="24" t="inlineStr">
        <is>
          <t>neutral_elo</t>
        </is>
      </c>
      <c r="BC29" s="24" t="inlineStr">
        <is>
          <t>valorant-tiered-elo-v6</t>
        </is>
      </c>
      <c r="BD29" s="24" t="inlineStr">
        <is>
          <t>4df5f295a2b28e76007c7dffc3ff6e8d7c876b7734ec9c379c78b6dce8cd27b3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valorant-tiered-elo-v6</t>
        </is>
      </c>
      <c r="BH29" s="24" t="inlineStr">
        <is>
          <t>2026-08-06T00:24:38.040365Z</t>
        </is>
      </c>
      <c r="BI29" s="24" t="inlineStr">
        <is>
          <t>["same_event","same_team_same_day","same_league_same_day"]</t>
        </is>
      </c>
      <c r="BJ29" s="25" t="n"/>
      <c r="BK29" s="26" t="n">
        <v>178</v>
      </c>
      <c r="BL29" s="27" t="n">
        <v>2.78</v>
      </c>
      <c r="BM29" s="28" t="n">
        <v>0.359712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>
        <v>1</v>
      </c>
      <c r="BY29" s="27" t="n">
        <v>0.91</v>
      </c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29f26cb8522341d1</t>
        </is>
      </c>
      <c r="B30" s="24" t="inlineStr">
        <is>
          <t>2026-08-06T19:00:18.001858Z</t>
        </is>
      </c>
      <c r="C30" s="24" t="inlineStr">
        <is>
          <t>2026-08-06T21:00:00Z</t>
        </is>
      </c>
      <c r="D30" s="24" t="inlineStr">
        <is>
          <t>71315</t>
        </is>
      </c>
      <c r="E30" s="24" t="inlineStr">
        <is>
          <t>VALORANT</t>
        </is>
      </c>
      <c r="F30" s="24" t="inlineStr">
        <is>
          <t>FURIA Esports</t>
        </is>
      </c>
      <c r="G30" s="24" t="inlineStr">
        <is>
          <t>Evil Geniuses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117</v>
      </c>
      <c r="M30" s="27" t="n">
        <v>2.17</v>
      </c>
      <c r="N30" s="28" t="n">
        <v>0.460829</v>
      </c>
      <c r="O30" s="28" t="n">
        <v>0.615411</v>
      </c>
      <c r="P30" s="28" t="n"/>
      <c r="Q30" s="28" t="n">
        <v>0.154582</v>
      </c>
      <c r="R30" s="26" t="n">
        <v>97</v>
      </c>
      <c r="S30" s="29" t="n">
        <v>1.5</v>
      </c>
      <c r="T30" s="24" t="inlineStr">
        <is>
          <t>valorant-tiered-elo-v6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>
        <v>117</v>
      </c>
      <c r="AA30" s="28" t="n">
        <v>0.46</v>
      </c>
      <c r="AB30" s="28" t="n">
        <v>-0.000829</v>
      </c>
      <c r="AC30" s="30" t="n">
        <v>1.755</v>
      </c>
      <c r="AD30" s="24" t="inlineStr">
        <is>
          <t>2026-08-07T06:01:48.504320Z</t>
        </is>
      </c>
      <c r="AE30" s="31" t="inlineStr">
        <is>
          <t>Neutral Elo baseline; executable ask 0.4600 (market_slug=aec-valorant-eg-fur-2026-08-06).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FURIA Esports</t>
        </is>
      </c>
      <c r="AQ30" s="24" t="inlineStr">
        <is>
          <t>FURIA Esports</t>
        </is>
      </c>
      <c r="AR30" s="24" t="inlineStr">
        <is>
          <t>FURIA Esports</t>
        </is>
      </c>
      <c r="AS30" s="24" t="inlineStr">
        <is>
          <t>Evil Geniuses</t>
        </is>
      </c>
      <c r="AT30" s="24" t="inlineStr">
        <is>
          <t>Evil Geniuses</t>
        </is>
      </c>
      <c r="AU30" s="24" t="inlineStr">
        <is>
          <t>Evil Geniuses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b32c21f8580cb36d2689c3449e18565f3db3f1690f09f65a3c552f717e24b35d</t>
        </is>
      </c>
      <c r="BB30" s="24" t="inlineStr">
        <is>
          <t>neutral_elo</t>
        </is>
      </c>
      <c r="BC30" s="24" t="inlineStr">
        <is>
          <t>valorant-tiered-elo-v6</t>
        </is>
      </c>
      <c r="BD30" s="24" t="inlineStr">
        <is>
          <t>b32c21f8580cb36d2689c3449e18565f3db3f1690f09f65a3c552f717e24b35d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valorant-tiered-elo-v6</t>
        </is>
      </c>
      <c r="BH30" s="24" t="inlineStr">
        <is>
          <t>2026-08-06T19:00:13.149018Z</t>
        </is>
      </c>
      <c r="BI30" s="24" t="inlineStr">
        <is>
          <t>["same_event","same_team_same_day","same_league_same_day"]</t>
        </is>
      </c>
      <c r="BJ30" s="25" t="n"/>
      <c r="BK30" s="26" t="n">
        <v>117</v>
      </c>
      <c r="BL30" s="27" t="n">
        <v>2.17</v>
      </c>
      <c r="BM30" s="28" t="n">
        <v>0.460829</v>
      </c>
      <c r="BN30" s="28" t="n"/>
      <c r="BO30" s="28" t="n"/>
      <c r="BP30" s="25" t="n"/>
      <c r="BQ30" s="27" t="n">
        <v>2.17</v>
      </c>
      <c r="BR30" s="28" t="n">
        <v>0.46</v>
      </c>
      <c r="BS30" s="28" t="n"/>
      <c r="BT30" s="28" t="n"/>
      <c r="BU30" s="25" t="n"/>
      <c r="BV30" s="29" t="n"/>
      <c r="BW30" s="24" t="n"/>
      <c r="BX30" s="30" t="n">
        <v>1</v>
      </c>
      <c r="BY30" s="27" t="n">
        <v>0.91</v>
      </c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  <row r="31" ht="36" customHeight="1">
      <c r="A31" s="24" t="inlineStr">
        <is>
          <t>d7b622e9018b43c2</t>
        </is>
      </c>
      <c r="B31" s="24" t="inlineStr">
        <is>
          <t>2026-08-07T06:05:11.884581Z</t>
        </is>
      </c>
      <c r="C31" s="24" t="inlineStr">
        <is>
          <t>2026-08-07T08:00:00Z</t>
        </is>
      </c>
      <c r="D31" s="24" t="inlineStr">
        <is>
          <t>71675</t>
        </is>
      </c>
      <c r="E31" s="24" t="inlineStr">
        <is>
          <t>VALORANT</t>
        </is>
      </c>
      <c r="F31" s="24" t="inlineStr">
        <is>
          <t>DetonatioN FocusMe</t>
        </is>
      </c>
      <c r="G31" s="24" t="inlineStr">
        <is>
          <t>Team Secret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-186</v>
      </c>
      <c r="M31" s="27" t="n">
        <v>1.537634</v>
      </c>
      <c r="N31" s="28" t="n">
        <v>0.65035</v>
      </c>
      <c r="O31" s="28" t="n">
        <v>0.653762</v>
      </c>
      <c r="P31" s="28" t="n"/>
      <c r="Q31" s="28" t="n">
        <v>0.003412</v>
      </c>
      <c r="R31" s="26" t="n">
        <v>22</v>
      </c>
      <c r="S31" s="29" t="n">
        <v>0</v>
      </c>
      <c r="T31" s="24" t="inlineStr">
        <is>
          <t>valorant-tiered-elo-v6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>
        <v>-186</v>
      </c>
      <c r="AA31" s="28" t="n">
        <v>0.65</v>
      </c>
      <c r="AB31" s="28" t="n">
        <v>-0.00035</v>
      </c>
      <c r="AC31" s="30" t="n">
        <v>0</v>
      </c>
      <c r="AD31" s="24" t="inlineStr">
        <is>
          <t>2026-08-07T12:14:17.233910Z</t>
        </is>
      </c>
      <c r="AE31" s="31" t="inlineStr">
        <is>
          <t>Neutral Elo baseline; executable ask 0.6500 (market_slug=aec-valorant-ts-dfm-2026-08-07).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NO_CALL_WINNER_OVERVALUED</t>
        </is>
      </c>
      <c r="AP31" s="24" t="inlineStr">
        <is>
          <t>DetonatioN FocusMe</t>
        </is>
      </c>
      <c r="AQ31" s="24" t="inlineStr">
        <is>
          <t>DetonatioN FocusMe</t>
        </is>
      </c>
      <c r="AR31" s="24" t="inlineStr">
        <is>
          <t>DetonatioN FocusMe</t>
        </is>
      </c>
      <c r="AS31" s="24" t="inlineStr">
        <is>
          <t>Team Secret</t>
        </is>
      </c>
      <c r="AT31" s="24" t="inlineStr">
        <is>
          <t>Team Secret</t>
        </is>
      </c>
      <c r="AU31" s="24" t="inlineStr">
        <is>
          <t>Team Secret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b73645bf1ecd543fdd6eef3fb18bf1f86790dae2d994242a68d3628f34298e3b</t>
        </is>
      </c>
      <c r="BB31" s="24" t="inlineStr">
        <is>
          <t>neutral_elo</t>
        </is>
      </c>
      <c r="BC31" s="24" t="inlineStr">
        <is>
          <t>valorant-tiered-elo-v6</t>
        </is>
      </c>
      <c r="BD31" s="24" t="inlineStr">
        <is>
          <t>b73645bf1ecd543fdd6eef3fb18bf1f86790dae2d994242a68d3628f34298e3b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valorant-tiered-elo-v6</t>
        </is>
      </c>
      <c r="BH31" s="24" t="inlineStr">
        <is>
          <t>2026-08-07T06:04:59.654949Z</t>
        </is>
      </c>
      <c r="BI31" s="24" t="inlineStr">
        <is>
          <t>["same_event","same_team_same_day","same_league_same_day"]</t>
        </is>
      </c>
      <c r="BJ31" s="25" t="n"/>
      <c r="BK31" s="26" t="n">
        <v>-186</v>
      </c>
      <c r="BL31" s="27" t="n">
        <v>1.537634</v>
      </c>
      <c r="BM31" s="28" t="n">
        <v>0.65035</v>
      </c>
      <c r="BN31" s="28" t="n"/>
      <c r="BO31" s="28" t="n"/>
      <c r="BP31" s="25" t="n"/>
      <c r="BQ31" s="27" t="n">
        <v>1.537634</v>
      </c>
      <c r="BR31" s="28" t="n">
        <v>0.65</v>
      </c>
      <c r="BS31" s="28" t="n"/>
      <c r="BT31" s="28" t="n"/>
      <c r="BU31" s="25" t="n"/>
      <c r="BV31" s="29" t="n"/>
      <c r="BW31" s="24" t="n"/>
      <c r="BX31" s="30" t="n">
        <v>1</v>
      </c>
      <c r="BY31" s="27" t="n">
        <v>0.91</v>
      </c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</row>
    <row r="32" ht="36" customHeight="1">
      <c r="A32" s="24" t="inlineStr">
        <is>
          <t>f9a9f444e7804efc</t>
        </is>
      </c>
      <c r="B32" s="24" t="inlineStr">
        <is>
          <t>2026-08-07T09:11:28.912966Z</t>
        </is>
      </c>
      <c r="C32" s="24" t="inlineStr">
        <is>
          <t>2026-08-07T11:00:00Z</t>
        </is>
      </c>
      <c r="D32" s="24" t="inlineStr">
        <is>
          <t>71752</t>
        </is>
      </c>
      <c r="E32" s="24" t="inlineStr">
        <is>
          <t>VALORANT</t>
        </is>
      </c>
      <c r="F32" s="24" t="inlineStr">
        <is>
          <t>FULL SENSE</t>
        </is>
      </c>
      <c r="G32" s="24" t="inlineStr">
        <is>
          <t>Gen.G Esports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-156</v>
      </c>
      <c r="M32" s="27" t="n">
        <v>1.641026</v>
      </c>
      <c r="N32" s="28" t="n">
        <v>0.609375</v>
      </c>
      <c r="O32" s="28" t="n">
        <v>0.781485</v>
      </c>
      <c r="P32" s="28" t="n"/>
      <c r="Q32" s="28" t="n">
        <v>0.17211</v>
      </c>
      <c r="R32" s="26" t="n">
        <v>100</v>
      </c>
      <c r="S32" s="29" t="n">
        <v>2</v>
      </c>
      <c r="T32" s="24" t="inlineStr">
        <is>
          <t>valorant-tiered-elo-v6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-156</v>
      </c>
      <c r="AA32" s="28" t="n">
        <v>0.61</v>
      </c>
      <c r="AB32" s="28" t="n">
        <v>0.000625</v>
      </c>
      <c r="AC32" s="30" t="n">
        <v>1.2821</v>
      </c>
      <c r="AD32" s="24" t="inlineStr">
        <is>
          <t>2026-08-07T15:20:01.811967Z</t>
        </is>
      </c>
      <c r="AE32" s="31" t="inlineStr">
        <is>
          <t>Neutral Elo baseline; executable ask 0.6100 (market_slug=aec-valorant-geng-fs-2026-08-07).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FULL SENSE</t>
        </is>
      </c>
      <c r="AQ32" s="24" t="inlineStr">
        <is>
          <t>FULL SENSE</t>
        </is>
      </c>
      <c r="AR32" s="24" t="inlineStr">
        <is>
          <t>FULL SENSE</t>
        </is>
      </c>
      <c r="AS32" s="24" t="inlineStr">
        <is>
          <t>Gen.G Esports</t>
        </is>
      </c>
      <c r="AT32" s="24" t="inlineStr">
        <is>
          <t>Gen.G Esports</t>
        </is>
      </c>
      <c r="AU32" s="24" t="inlineStr">
        <is>
          <t>Gen.G Esports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42b19475ad40d4c6f417c5f7897f490415fd91fcca876fa2415c941da1fd3bc7</t>
        </is>
      </c>
      <c r="BB32" s="24" t="inlineStr">
        <is>
          <t>neutral_elo</t>
        </is>
      </c>
      <c r="BC32" s="24" t="inlineStr">
        <is>
          <t>valorant-tiered-elo-v6</t>
        </is>
      </c>
      <c r="BD32" s="24" t="inlineStr">
        <is>
          <t>42b19475ad40d4c6f417c5f7897f490415fd91fcca876fa2415c941da1fd3bc7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valorant-tiered-elo-v6</t>
        </is>
      </c>
      <c r="BH32" s="24" t="inlineStr">
        <is>
          <t>2026-08-07T09:11:21.351080Z</t>
        </is>
      </c>
      <c r="BI32" s="24" t="inlineStr">
        <is>
          <t>["same_event","same_team_same_day","same_league_same_day"]</t>
        </is>
      </c>
      <c r="BJ32" s="25" t="n"/>
      <c r="BK32" s="26" t="n">
        <v>-156</v>
      </c>
      <c r="BL32" s="27" t="n">
        <v>1.641026</v>
      </c>
      <c r="BM32" s="28" t="n">
        <v>0.609375</v>
      </c>
      <c r="BN32" s="28" t="n"/>
      <c r="BO32" s="28" t="n"/>
      <c r="BP32" s="25" t="n"/>
      <c r="BQ32" s="27" t="n">
        <v>1.641026</v>
      </c>
      <c r="BR32" s="28" t="n">
        <v>0.61</v>
      </c>
      <c r="BS32" s="28" t="n"/>
      <c r="BT32" s="28" t="n"/>
      <c r="BU32" s="25" t="n"/>
      <c r="BV32" s="29" t="n"/>
      <c r="BW32" s="24" t="n"/>
      <c r="BX32" s="30" t="n">
        <v>1</v>
      </c>
      <c r="BY32" s="27" t="n">
        <v>0.91</v>
      </c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</row>
    <row r="33" ht="36" customHeight="1">
      <c r="A33" s="24" t="inlineStr">
        <is>
          <t>9f013dd7475f4195</t>
        </is>
      </c>
      <c r="B33" s="24" t="inlineStr">
        <is>
          <t>2026-08-07T15:24:00.757019Z</t>
        </is>
      </c>
      <c r="C33" s="24" t="inlineStr">
        <is>
          <t>2026-08-07T18:00:00Z</t>
        </is>
      </c>
      <c r="D33" s="24" t="inlineStr">
        <is>
          <t>72078</t>
        </is>
      </c>
      <c r="E33" s="24" t="inlineStr">
        <is>
          <t>VALORANT</t>
        </is>
      </c>
      <c r="F33" s="24" t="inlineStr">
        <is>
          <t>Enterprise Esports</t>
        </is>
      </c>
      <c r="G33" s="24" t="inlineStr">
        <is>
          <t>Fnatic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178</v>
      </c>
      <c r="M33" s="27" t="n">
        <v>2.78</v>
      </c>
      <c r="N33" s="28" t="n">
        <v>0.359712</v>
      </c>
      <c r="O33" s="28" t="n">
        <v>0.743264</v>
      </c>
      <c r="P33" s="28" t="n"/>
      <c r="Q33" s="28" t="n">
        <v>0.383552</v>
      </c>
      <c r="R33" s="26" t="n">
        <v>100</v>
      </c>
      <c r="S33" s="29" t="n">
        <v>2</v>
      </c>
      <c r="T33" s="24" t="inlineStr">
        <is>
          <t>valorant-tiered-elo-v6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>
        <v>178</v>
      </c>
      <c r="AA33" s="28" t="n">
        <v>0.36</v>
      </c>
      <c r="AB33" s="28" t="n">
        <v>0.000288</v>
      </c>
      <c r="AC33" s="30" t="n">
        <v>3.56</v>
      </c>
      <c r="AD33" s="24" t="inlineStr">
        <is>
          <t>2026-08-07T21:55:32.607505Z</t>
        </is>
      </c>
      <c r="AE33" s="31" t="inlineStr">
        <is>
          <t>Neutral Elo baseline; executable ask 0.3600 (market_slug=aec-valorant-fnc-ep-2026-08-07).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Enterprise Esports</t>
        </is>
      </c>
      <c r="AQ33" s="24" t="inlineStr">
        <is>
          <t>Enterprise Esports</t>
        </is>
      </c>
      <c r="AR33" s="24" t="inlineStr">
        <is>
          <t>Enterprise Esports</t>
        </is>
      </c>
      <c r="AS33" s="24" t="inlineStr">
        <is>
          <t>Fnatic</t>
        </is>
      </c>
      <c r="AT33" s="24" t="inlineStr">
        <is>
          <t>Fnatic</t>
        </is>
      </c>
      <c r="AU33" s="24" t="inlineStr">
        <is>
          <t>Fnatic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81f6739aa819ab85b1d04cc8b0c18852e0f247d6e491c0f3ef1b501fc8699698</t>
        </is>
      </c>
      <c r="BB33" s="24" t="inlineStr">
        <is>
          <t>neutral_elo</t>
        </is>
      </c>
      <c r="BC33" s="24" t="inlineStr">
        <is>
          <t>valorant-tiered-elo-v6</t>
        </is>
      </c>
      <c r="BD33" s="24" t="inlineStr">
        <is>
          <t>81f6739aa819ab85b1d04cc8b0c18852e0f247d6e491c0f3ef1b501fc8699698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valorant-tiered-elo-v6</t>
        </is>
      </c>
      <c r="BH33" s="24" t="inlineStr">
        <is>
          <t>2026-08-07T15:23:54.113763Z</t>
        </is>
      </c>
      <c r="BI33" s="24" t="inlineStr">
        <is>
          <t>["same_event","same_team_same_day","same_league_same_day"]</t>
        </is>
      </c>
      <c r="BJ33" s="25" t="n"/>
      <c r="BK33" s="26" t="n">
        <v>178</v>
      </c>
      <c r="BL33" s="27" t="n">
        <v>2.78</v>
      </c>
      <c r="BM33" s="28" t="n">
        <v>0.359712</v>
      </c>
      <c r="BN33" s="28" t="n"/>
      <c r="BO33" s="28" t="n"/>
      <c r="BP33" s="25" t="n"/>
      <c r="BQ33" s="27" t="n">
        <v>2.78</v>
      </c>
      <c r="BR33" s="28" t="n">
        <v>0.36</v>
      </c>
      <c r="BS33" s="28" t="n"/>
      <c r="BT33" s="28" t="n"/>
      <c r="BU33" s="25" t="n"/>
      <c r="BV33" s="29" t="n"/>
      <c r="BW33" s="24" t="n"/>
      <c r="BX33" s="30" t="n">
        <v>1</v>
      </c>
      <c r="BY33" s="27" t="n">
        <v>0.91</v>
      </c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9993a87fbb6e4802</t>
        </is>
      </c>
      <c r="B34" s="24" t="inlineStr">
        <is>
          <t>2026-08-08T04:08:03.360816Z</t>
        </is>
      </c>
      <c r="C34" s="24" t="inlineStr">
        <is>
          <t>2026-08-08T08:00:00Z</t>
        </is>
      </c>
      <c r="D34" s="24" t="inlineStr">
        <is>
          <t>72723</t>
        </is>
      </c>
      <c r="E34" s="24" t="inlineStr">
        <is>
          <t>VALORANT</t>
        </is>
      </c>
      <c r="F34" s="24" t="inlineStr">
        <is>
          <t>T1</t>
        </is>
      </c>
      <c r="G34" s="24" t="inlineStr">
        <is>
          <t>Kiwoom DRX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-186</v>
      </c>
      <c r="M34" s="27" t="n">
        <v>1.537634</v>
      </c>
      <c r="N34" s="28" t="n">
        <v>0.65035</v>
      </c>
      <c r="O34" s="28" t="n">
        <v>0.5763740000000001</v>
      </c>
      <c r="P34" s="28" t="n"/>
      <c r="Q34" s="28" t="n">
        <v>-0.073976</v>
      </c>
      <c r="R34" s="26" t="n">
        <v>0</v>
      </c>
      <c r="S34" s="29" t="n">
        <v>0</v>
      </c>
      <c r="T34" s="24" t="inlineStr">
        <is>
          <t>valorant-tiered-elo-v6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0</v>
      </c>
      <c r="Y34" s="25" t="n"/>
      <c r="Z34" s="26" t="n">
        <v>-186</v>
      </c>
      <c r="AA34" s="28" t="n">
        <v>0.65</v>
      </c>
      <c r="AB34" s="28" t="n">
        <v>-0.00035</v>
      </c>
      <c r="AC34" s="30" t="n">
        <v>0</v>
      </c>
      <c r="AD34" s="24" t="inlineStr">
        <is>
          <t>2026-08-08T18:35:05.774831Z</t>
        </is>
      </c>
      <c r="AE34" s="31" t="inlineStr">
        <is>
          <t>Neutral Elo baseline; executable ask 0.6500 (market_slug=aec-valorant-krx-t1-2026-08-08).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NO_CALL_WINNER_OVERVALUED</t>
        </is>
      </c>
      <c r="AP34" s="24" t="inlineStr">
        <is>
          <t>T1</t>
        </is>
      </c>
      <c r="AQ34" s="24" t="inlineStr">
        <is>
          <t>T1</t>
        </is>
      </c>
      <c r="AR34" s="24" t="inlineStr">
        <is>
          <t>T1</t>
        </is>
      </c>
      <c r="AS34" s="24" t="inlineStr">
        <is>
          <t>Kiwoom DRX</t>
        </is>
      </c>
      <c r="AT34" s="24" t="inlineStr">
        <is>
          <t>Kiwoom DRX</t>
        </is>
      </c>
      <c r="AU34" s="24" t="inlineStr">
        <is>
          <t>Kiwoom DRX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3872c38b702bf6b771cccbf3d7328f103bab6ce6532929fbccfccdf50d924825</t>
        </is>
      </c>
      <c r="BB34" s="24" t="inlineStr">
        <is>
          <t>neutral_elo</t>
        </is>
      </c>
      <c r="BC34" s="24" t="inlineStr">
        <is>
          <t>valorant-tiered-elo-v6</t>
        </is>
      </c>
      <c r="BD34" s="24" t="inlineStr">
        <is>
          <t>3872c38b702bf6b771cccbf3d7328f103bab6ce6532929fbccfccdf50d924825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valorant-tiered-elo-v6</t>
        </is>
      </c>
      <c r="BH34" s="24" t="inlineStr">
        <is>
          <t>2026-08-08T04:07:51.526487Z</t>
        </is>
      </c>
      <c r="BI34" s="24" t="inlineStr">
        <is>
          <t>["same_event","same_team_same_day","same_league_same_day"]</t>
        </is>
      </c>
      <c r="BJ34" s="25" t="n"/>
      <c r="BK34" s="26" t="n">
        <v>-186</v>
      </c>
      <c r="BL34" s="27" t="n">
        <v>1.537634</v>
      </c>
      <c r="BM34" s="28" t="n">
        <v>0.65035</v>
      </c>
      <c r="BN34" s="28" t="n"/>
      <c r="BO34" s="28" t="n"/>
      <c r="BP34" s="25" t="n"/>
      <c r="BQ34" s="27" t="n">
        <v>1.537634</v>
      </c>
      <c r="BR34" s="28" t="n">
        <v>0.65</v>
      </c>
      <c r="BS34" s="28" t="n"/>
      <c r="BT34" s="28" t="n"/>
      <c r="BU34" s="25" t="n"/>
      <c r="BV34" s="29" t="n"/>
      <c r="BW34" s="24" t="n"/>
      <c r="BX34" s="30" t="n">
        <v>1</v>
      </c>
      <c r="BY34" s="27" t="n">
        <v>0.91</v>
      </c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False</t>
        </is>
      </c>
    </row>
    <row r="35" ht="36" customHeight="1">
      <c r="A35" s="24" t="inlineStr">
        <is>
          <t>6d0862d698cc4baf</t>
        </is>
      </c>
      <c r="B35" s="24" t="inlineStr">
        <is>
          <t>2026-08-08T04:08:03.360816Z</t>
        </is>
      </c>
      <c r="C35" s="24" t="inlineStr">
        <is>
          <t>2026-08-08T11:00:00Z</t>
        </is>
      </c>
      <c r="D35" s="24" t="inlineStr">
        <is>
          <t>72754</t>
        </is>
      </c>
      <c r="E35" s="24" t="inlineStr">
        <is>
          <t>VALORANT</t>
        </is>
      </c>
      <c r="F35" s="24" t="inlineStr">
        <is>
          <t>ZETA DIVISION</t>
        </is>
      </c>
      <c r="G35" s="24" t="inlineStr">
        <is>
          <t>Global Esports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-233</v>
      </c>
      <c r="M35" s="27" t="n">
        <v>1.429185</v>
      </c>
      <c r="N35" s="28" t="n">
        <v>0.6997</v>
      </c>
      <c r="O35" s="28" t="n">
        <v>0.672256</v>
      </c>
      <c r="P35" s="28" t="n"/>
      <c r="Q35" s="28" t="n">
        <v>-0.027444</v>
      </c>
      <c r="R35" s="26" t="n">
        <v>6</v>
      </c>
      <c r="S35" s="29" t="n">
        <v>0</v>
      </c>
      <c r="T35" s="24" t="inlineStr">
        <is>
          <t>valorant-tiered-elo-v6</t>
        </is>
      </c>
      <c r="U35" s="24" t="inlineStr">
        <is>
          <t>settled</t>
        </is>
      </c>
      <c r="V35" s="24" t="inlineStr">
        <is>
          <t>win</t>
        </is>
      </c>
      <c r="W35" s="26" t="n">
        <v>0</v>
      </c>
      <c r="X35" s="26" t="n">
        <v>1</v>
      </c>
      <c r="Y35" s="25" t="n"/>
      <c r="Z35" s="26" t="n">
        <v>-233</v>
      </c>
      <c r="AA35" s="28" t="n">
        <v>0.7</v>
      </c>
      <c r="AB35" s="28" t="n">
        <v>0.0003</v>
      </c>
      <c r="AC35" s="30" t="n">
        <v>0</v>
      </c>
      <c r="AD35" s="24" t="inlineStr">
        <is>
          <t>2026-08-08T18:35:07.456103Z</t>
        </is>
      </c>
      <c r="AE35" s="31" t="inlineStr">
        <is>
          <t>Neutral Elo baseline; executable ask 0.7000 (market_slug=aec-valorant-ge-zeta-2026-08-08).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NO_CALL_WINNER_OVERVALUED</t>
        </is>
      </c>
      <c r="AP35" s="24" t="inlineStr">
        <is>
          <t>ZETA DIVISION</t>
        </is>
      </c>
      <c r="AQ35" s="24" t="inlineStr">
        <is>
          <t>ZETA DIVISION</t>
        </is>
      </c>
      <c r="AR35" s="24" t="inlineStr">
        <is>
          <t>ZETA DIVISION</t>
        </is>
      </c>
      <c r="AS35" s="24" t="inlineStr">
        <is>
          <t>Global Esports</t>
        </is>
      </c>
      <c r="AT35" s="24" t="inlineStr">
        <is>
          <t>Global Esports</t>
        </is>
      </c>
      <c r="AU35" s="24" t="inlineStr">
        <is>
          <t>Global Esports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3872c38b702bf6b771cccbf3d7328f103bab6ce6532929fbccfccdf50d924825</t>
        </is>
      </c>
      <c r="BB35" s="24" t="inlineStr">
        <is>
          <t>neutral_elo</t>
        </is>
      </c>
      <c r="BC35" s="24" t="inlineStr">
        <is>
          <t>valorant-tiered-elo-v6</t>
        </is>
      </c>
      <c r="BD35" s="24" t="inlineStr">
        <is>
          <t>3872c38b702bf6b771cccbf3d7328f103bab6ce6532929fbccfccdf50d924825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valorant-tiered-elo-v6</t>
        </is>
      </c>
      <c r="BH35" s="24" t="inlineStr">
        <is>
          <t>2026-08-08T04:07:53.608135Z</t>
        </is>
      </c>
      <c r="BI35" s="24" t="inlineStr">
        <is>
          <t>["same_event","same_team_same_day","same_league_same_day"]</t>
        </is>
      </c>
      <c r="BJ35" s="25" t="n"/>
      <c r="BK35" s="26" t="n">
        <v>-233</v>
      </c>
      <c r="BL35" s="27" t="n">
        <v>1.429185</v>
      </c>
      <c r="BM35" s="28" t="n">
        <v>0.6997</v>
      </c>
      <c r="BN35" s="28" t="n"/>
      <c r="BO35" s="28" t="n"/>
      <c r="BP35" s="25" t="n"/>
      <c r="BQ35" s="27" t="n">
        <v>1.429185</v>
      </c>
      <c r="BR35" s="28" t="n">
        <v>0.7</v>
      </c>
      <c r="BS35" s="28" t="n"/>
      <c r="BT35" s="28" t="n"/>
      <c r="BU35" s="25" t="n"/>
      <c r="BV35" s="29" t="n"/>
      <c r="BW35" s="24" t="n"/>
      <c r="BX35" s="30" t="n">
        <v>1</v>
      </c>
      <c r="BY35" s="27" t="n">
        <v>0.91</v>
      </c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</row>
    <row r="36" ht="36" customHeight="1">
      <c r="A36" s="24" t="inlineStr">
        <is>
          <t>e637acf0a2214ef6</t>
        </is>
      </c>
      <c r="B36" s="24" t="inlineStr">
        <is>
          <t>2026-08-08T18:37:42.784329Z</t>
        </is>
      </c>
      <c r="C36" s="24" t="inlineStr">
        <is>
          <t>2026-08-09T00:00:00Z</t>
        </is>
      </c>
      <c r="D36" s="24" t="inlineStr">
        <is>
          <t>73525</t>
        </is>
      </c>
      <c r="E36" s="24" t="inlineStr">
        <is>
          <t>VALORANT</t>
        </is>
      </c>
      <c r="F36" s="24" t="inlineStr">
        <is>
          <t>MIBR</t>
        </is>
      </c>
      <c r="G36" s="24" t="inlineStr">
        <is>
          <t>Leviatán Esports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-163</v>
      </c>
      <c r="M36" s="27" t="n">
        <v>1.613497</v>
      </c>
      <c r="N36" s="28" t="n">
        <v>0.619772</v>
      </c>
      <c r="O36" s="28" t="n">
        <v>0.699299</v>
      </c>
      <c r="P36" s="28" t="n"/>
      <c r="Q36" s="28" t="n">
        <v>0.079527</v>
      </c>
      <c r="R36" s="26" t="n">
        <v>60</v>
      </c>
      <c r="S36" s="29" t="n">
        <v>0</v>
      </c>
      <c r="T36" s="24" t="inlineStr">
        <is>
          <t>valorant-tiered-elo-v6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0</v>
      </c>
      <c r="X36" s="26" t="n">
        <v>1</v>
      </c>
      <c r="Y36" s="25" t="n"/>
      <c r="Z36" s="26" t="n">
        <v>-163</v>
      </c>
      <c r="AA36" s="28" t="n">
        <v>0.62</v>
      </c>
      <c r="AB36" s="28" t="n">
        <v>0.000228</v>
      </c>
      <c r="AC36" s="30" t="n">
        <v>0</v>
      </c>
      <c r="AD36" s="24" t="inlineStr">
        <is>
          <t>2026-08-09T05:14:26.752743Z</t>
        </is>
      </c>
      <c r="AE36" s="31" t="inlineStr">
        <is>
          <t>Neutral Elo baseline; executable ask 0.6200 (market_slug=aec-valorant-lev-mibr-2026-08-09).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NO_CALL_WINNER_OVERVALUED</t>
        </is>
      </c>
      <c r="AP36" s="24" t="inlineStr">
        <is>
          <t>MIBR</t>
        </is>
      </c>
      <c r="AQ36" s="24" t="inlineStr">
        <is>
          <t>MIBR</t>
        </is>
      </c>
      <c r="AR36" s="24" t="inlineStr">
        <is>
          <t>MIBR</t>
        </is>
      </c>
      <c r="AS36" s="24" t="inlineStr">
        <is>
          <t>Leviatán Esports</t>
        </is>
      </c>
      <c r="AT36" s="24" t="inlineStr">
        <is>
          <t>Leviatán Esports</t>
        </is>
      </c>
      <c r="AU36" s="24" t="inlineStr">
        <is>
          <t>Leviatán Esports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0143b7480c8c874906c4a86760d5098c16dffe337ec25198184122f1f4815a2e</t>
        </is>
      </c>
      <c r="BB36" s="24" t="inlineStr">
        <is>
          <t>neutral_elo</t>
        </is>
      </c>
      <c r="BC36" s="24" t="inlineStr">
        <is>
          <t>valorant-tiered-elo-v6</t>
        </is>
      </c>
      <c r="BD36" s="24" t="inlineStr">
        <is>
          <t>0143b7480c8c874906c4a86760d5098c16dffe337ec25198184122f1f4815a2e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valorant-tiered-elo-v6</t>
        </is>
      </c>
      <c r="BH36" s="24" t="inlineStr">
        <is>
          <t>2026-08-08T18:37:36.951203Z</t>
        </is>
      </c>
      <c r="BI36" s="24" t="inlineStr">
        <is>
          <t>["same_event","same_team_same_day","same_league_same_day"]</t>
        </is>
      </c>
      <c r="BJ36" s="25" t="n"/>
      <c r="BK36" s="26" t="n">
        <v>-163</v>
      </c>
      <c r="BL36" s="27" t="n">
        <v>1.613497</v>
      </c>
      <c r="BM36" s="28" t="n">
        <v>0.619772</v>
      </c>
      <c r="BN36" s="28" t="n"/>
      <c r="BO36" s="28" t="n"/>
      <c r="BP36" s="25" t="n"/>
      <c r="BQ36" s="27" t="n">
        <v>1.613497</v>
      </c>
      <c r="BR36" s="28" t="n">
        <v>0.62</v>
      </c>
      <c r="BS36" s="28" t="n"/>
      <c r="BT36" s="28" t="n"/>
      <c r="BU36" s="25" t="n"/>
      <c r="BV36" s="29" t="n"/>
      <c r="BW36" s="24" t="n"/>
      <c r="BX36" s="30" t="n">
        <v>1</v>
      </c>
      <c r="BY36" s="27" t="n">
        <v>0.91</v>
      </c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</row>
    <row r="37" ht="36" customHeight="1">
      <c r="A37" s="24" t="inlineStr">
        <is>
          <t>5eed1a53242e4bd8</t>
        </is>
      </c>
      <c r="B37" s="24" t="inlineStr">
        <is>
          <t>2026-08-09T05:18:41.462497Z</t>
        </is>
      </c>
      <c r="C37" s="24" t="inlineStr">
        <is>
          <t>2026-08-09T10:00:00Z</t>
        </is>
      </c>
      <c r="D37" s="24" t="inlineStr">
        <is>
          <t>75198</t>
        </is>
      </c>
      <c r="E37" s="24" t="inlineStr">
        <is>
          <t>VALORANT</t>
        </is>
      </c>
      <c r="F37" s="24" t="inlineStr">
        <is>
          <t>FunPlus Phoenix</t>
        </is>
      </c>
      <c r="G37" s="24" t="inlineStr">
        <is>
          <t>Trace Esports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-156</v>
      </c>
      <c r="M37" s="27" t="n">
        <v>1.641026</v>
      </c>
      <c r="N37" s="28" t="n">
        <v>0.609375</v>
      </c>
      <c r="O37" s="28" t="n">
        <v>0.573219</v>
      </c>
      <c r="P37" s="28" t="n"/>
      <c r="Q37" s="28" t="n">
        <v>-0.036156</v>
      </c>
      <c r="R37" s="26" t="n">
        <v>2</v>
      </c>
      <c r="S37" s="29" t="n">
        <v>0</v>
      </c>
      <c r="T37" s="24" t="inlineStr">
        <is>
          <t>valorant-tiered-elo-v6</t>
        </is>
      </c>
      <c r="U37" s="24" t="inlineStr">
        <is>
          <t>settled</t>
        </is>
      </c>
      <c r="V37" s="24" t="inlineStr">
        <is>
          <t>loss</t>
        </is>
      </c>
      <c r="W37" s="26" t="n">
        <v>0</v>
      </c>
      <c r="X37" s="26" t="n">
        <v>1</v>
      </c>
      <c r="Y37" s="25" t="n"/>
      <c r="Z37" s="26" t="n">
        <v>-156</v>
      </c>
      <c r="AA37" s="28" t="n">
        <v>0.61</v>
      </c>
      <c r="AB37" s="28" t="n">
        <v>0.000625</v>
      </c>
      <c r="AC37" s="30" t="n">
        <v>0</v>
      </c>
      <c r="AD37" s="24" t="inlineStr">
        <is>
          <t>2026-08-09T13:57:24.859683Z</t>
        </is>
      </c>
      <c r="AE37" s="31" t="inlineStr">
        <is>
          <t>Neutral Elo baseline; executable ask 0.6100 (market_slug=aec-valorant-te-fpx-2026-08-09).</t>
        </is>
      </c>
      <c r="AF37" s="31" t="inlineStr">
        <is>
          <t>Config-promoted esports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NO_CALL_WINNER_OVERVALUED</t>
        </is>
      </c>
      <c r="AP37" s="24" t="inlineStr">
        <is>
          <t>FunPlus Phoenix</t>
        </is>
      </c>
      <c r="AQ37" s="24" t="inlineStr">
        <is>
          <t>FunPlus Phoenix</t>
        </is>
      </c>
      <c r="AR37" s="24" t="inlineStr">
        <is>
          <t>FunPlus Phoenix</t>
        </is>
      </c>
      <c r="AS37" s="24" t="inlineStr">
        <is>
          <t>Trace Esports</t>
        </is>
      </c>
      <c r="AT37" s="24" t="inlineStr">
        <is>
          <t>Trace Esports</t>
        </is>
      </c>
      <c r="AU37" s="24" t="inlineStr">
        <is>
          <t>Trace Esports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67b3e354232dcf7d42c7254652acf9571d8428f0525233a41801be58038d644b</t>
        </is>
      </c>
      <c r="BB37" s="24" t="inlineStr">
        <is>
          <t>neutral_elo</t>
        </is>
      </c>
      <c r="BC37" s="24" t="inlineStr">
        <is>
          <t>valorant-tiered-elo-v6</t>
        </is>
      </c>
      <c r="BD37" s="24" t="inlineStr">
        <is>
          <t>67b3e354232dcf7d42c7254652acf9571d8428f0525233a41801be58038d644b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valorant-tiered-elo-v6</t>
        </is>
      </c>
      <c r="BH37" s="24" t="inlineStr">
        <is>
          <t>2026-08-09T05:18:28.783887Z</t>
        </is>
      </c>
      <c r="BI37" s="24" t="inlineStr">
        <is>
          <t>["same_event","same_team_same_day","same_league_same_day"]</t>
        </is>
      </c>
      <c r="BJ37" s="25" t="n"/>
      <c r="BK37" s="26" t="n">
        <v>-156</v>
      </c>
      <c r="BL37" s="27" t="n">
        <v>1.641026</v>
      </c>
      <c r="BM37" s="28" t="n">
        <v>0.609375</v>
      </c>
      <c r="BN37" s="28" t="n"/>
      <c r="BO37" s="28" t="n"/>
      <c r="BP37" s="25" t="n"/>
      <c r="BQ37" s="27" t="n">
        <v>1.641026</v>
      </c>
      <c r="BR37" s="28" t="n">
        <v>0.61</v>
      </c>
      <c r="BS37" s="28" t="n"/>
      <c r="BT37" s="28" t="n"/>
      <c r="BU37" s="25" t="n"/>
      <c r="BV37" s="29" t="n"/>
      <c r="BW37" s="24" t="n"/>
      <c r="BX37" s="30" t="n">
        <v>1</v>
      </c>
      <c r="BY37" s="27" t="n">
        <v>-1</v>
      </c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</row>
    <row r="38" ht="36" customHeight="1">
      <c r="A38" s="24" t="inlineStr">
        <is>
          <t>e22019103a834bca</t>
        </is>
      </c>
      <c r="B38" s="24" t="inlineStr">
        <is>
          <t>2026-08-09T05:18:41.462497Z</t>
        </is>
      </c>
      <c r="C38" s="24" t="inlineStr">
        <is>
          <t>2026-08-09T11:00:00Z</t>
        </is>
      </c>
      <c r="D38" s="24" t="inlineStr">
        <is>
          <t>73687</t>
        </is>
      </c>
      <c r="E38" s="24" t="inlineStr">
        <is>
          <t>VALORANT</t>
        </is>
      </c>
      <c r="F38" s="24" t="inlineStr">
        <is>
          <t>Rex Regum Qeon</t>
        </is>
      </c>
      <c r="G38" s="24" t="inlineStr">
        <is>
          <t>Nongshim RedForce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-223</v>
      </c>
      <c r="M38" s="27" t="n">
        <v>1.44843</v>
      </c>
      <c r="N38" s="28" t="n">
        <v>0.690402</v>
      </c>
      <c r="O38" s="28" t="n">
        <v>0.752573</v>
      </c>
      <c r="P38" s="28" t="n"/>
      <c r="Q38" s="28" t="n">
        <v>0.062171</v>
      </c>
      <c r="R38" s="26" t="n">
        <v>51</v>
      </c>
      <c r="S38" s="29" t="n">
        <v>0</v>
      </c>
      <c r="T38" s="24" t="inlineStr">
        <is>
          <t>valorant-tiered-elo-v6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>
        <v>-223</v>
      </c>
      <c r="AA38" s="28" t="n">
        <v>0.6899999999999999</v>
      </c>
      <c r="AB38" s="28" t="n">
        <v>-0.000402</v>
      </c>
      <c r="AC38" s="30" t="n">
        <v>0</v>
      </c>
      <c r="AD38" s="24" t="inlineStr">
        <is>
          <t>2026-08-09T13:57:26.709272Z</t>
        </is>
      </c>
      <c r="AE38" s="31" t="inlineStr">
        <is>
          <t>Neutral Elo baseline; executable ask 0.6900 (market_slug=aec-valorant-ns-rrq-2026-08-09).</t>
        </is>
      </c>
      <c r="AF38" s="31" t="inlineStr">
        <is>
          <t>Config-promoted esports baseline; gates enforced at log time.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NO_CALL_WINNER_OVERVALUED</t>
        </is>
      </c>
      <c r="AP38" s="24" t="inlineStr">
        <is>
          <t>Rex Regum Qeon</t>
        </is>
      </c>
      <c r="AQ38" s="24" t="inlineStr">
        <is>
          <t>Rex Regum Qeon</t>
        </is>
      </c>
      <c r="AR38" s="24" t="inlineStr">
        <is>
          <t>Rex Regum Qeon</t>
        </is>
      </c>
      <c r="AS38" s="24" t="inlineStr">
        <is>
          <t>Nongshim RedForce</t>
        </is>
      </c>
      <c r="AT38" s="24" t="inlineStr">
        <is>
          <t>Nongshim RedForce</t>
        </is>
      </c>
      <c r="AU38" s="24" t="inlineStr">
        <is>
          <t>Nongshim RedForce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67b3e354232dcf7d42c7254652acf9571d8428f0525233a41801be58038d644b</t>
        </is>
      </c>
      <c r="BB38" s="24" t="inlineStr">
        <is>
          <t>neutral_elo</t>
        </is>
      </c>
      <c r="BC38" s="24" t="inlineStr">
        <is>
          <t>valorant-tiered-elo-v6</t>
        </is>
      </c>
      <c r="BD38" s="24" t="inlineStr">
        <is>
          <t>67b3e354232dcf7d42c7254652acf9571d8428f0525233a41801be58038d644b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valorant-tiered-elo-v6</t>
        </is>
      </c>
      <c r="BH38" s="24" t="inlineStr">
        <is>
          <t>2026-08-09T05:18:29.333380Z</t>
        </is>
      </c>
      <c r="BI38" s="24" t="inlineStr">
        <is>
          <t>["same_event","same_team_same_day","same_league_same_day"]</t>
        </is>
      </c>
      <c r="BJ38" s="25" t="n"/>
      <c r="BK38" s="26" t="n">
        <v>-223</v>
      </c>
      <c r="BL38" s="27" t="n">
        <v>1.44843</v>
      </c>
      <c r="BM38" s="28" t="n">
        <v>0.690402</v>
      </c>
      <c r="BN38" s="28" t="n"/>
      <c r="BO38" s="28" t="n"/>
      <c r="BP38" s="25" t="n"/>
      <c r="BQ38" s="27" t="n">
        <v>1.44843</v>
      </c>
      <c r="BR38" s="28" t="n">
        <v>0.6899999999999999</v>
      </c>
      <c r="BS38" s="28" t="n"/>
      <c r="BT38" s="28" t="n"/>
      <c r="BU38" s="25" t="n"/>
      <c r="BV38" s="29" t="n"/>
      <c r="BW38" s="24" t="n"/>
      <c r="BX38" s="30" t="n">
        <v>1</v>
      </c>
      <c r="BY38" s="27" t="n">
        <v>-1</v>
      </c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  <row r="39" ht="36" customHeight="1">
      <c r="A39" s="24" t="inlineStr">
        <is>
          <t>b62da450a9f84624</t>
        </is>
      </c>
      <c r="B39" s="24" t="inlineStr">
        <is>
          <t>2026-08-09T14:01:54.078227Z</t>
        </is>
      </c>
      <c r="C39" s="24" t="inlineStr">
        <is>
          <t>2026-08-09T15:00:00Z</t>
        </is>
      </c>
      <c r="D39" s="24" t="inlineStr">
        <is>
          <t>74126</t>
        </is>
      </c>
      <c r="E39" s="24" t="inlineStr">
        <is>
          <t>VALORANT</t>
        </is>
      </c>
      <c r="F39" s="24" t="inlineStr">
        <is>
          <t>Mom Said No</t>
        </is>
      </c>
      <c r="G39" s="24" t="inlineStr">
        <is>
          <t>Barça eSports GC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178</v>
      </c>
      <c r="M39" s="27" t="n">
        <v>2.78</v>
      </c>
      <c r="N39" s="28" t="n">
        <v>0.359712</v>
      </c>
      <c r="O39" s="28" t="n">
        <v>0.526416</v>
      </c>
      <c r="P39" s="28" t="n"/>
      <c r="Q39" s="28" t="n">
        <v>0.166704</v>
      </c>
      <c r="R39" s="26" t="n">
        <v>100</v>
      </c>
      <c r="S39" s="29" t="n">
        <v>1</v>
      </c>
      <c r="T39" s="24" t="inlineStr">
        <is>
          <t>valorant-tiered-elo-v6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>
        <v>178</v>
      </c>
      <c r="AA39" s="28" t="n">
        <v>0.36</v>
      </c>
      <c r="AB39" s="28" t="n">
        <v>0.000288</v>
      </c>
      <c r="AC39" s="30" t="n">
        <v>-1</v>
      </c>
      <c r="AD39" s="24" t="inlineStr">
        <is>
          <t>2026-08-09T17:05:14.996643Z</t>
        </is>
      </c>
      <c r="AE39" s="31" t="inlineStr">
        <is>
          <t>Neutral Elo baseline; executable ask 0.3600 (market_slug=aec-valorant-beg-msn-2026-08-09).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Mom Said No</t>
        </is>
      </c>
      <c r="AQ39" s="24" t="inlineStr">
        <is>
          <t>Mom Said No</t>
        </is>
      </c>
      <c r="AR39" s="24" t="inlineStr">
        <is>
          <t>Mom Said No</t>
        </is>
      </c>
      <c r="AS39" s="24" t="inlineStr">
        <is>
          <t>Barça eSports GC</t>
        </is>
      </c>
      <c r="AT39" s="24" t="inlineStr">
        <is>
          <t>Barça eSports GC</t>
        </is>
      </c>
      <c r="AU39" s="24" t="inlineStr">
        <is>
          <t>Barça eSports GC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81f6f136ed670ca8e0bae95e7cbf7a73346c6b57de3226092fe100fd3713f0b1</t>
        </is>
      </c>
      <c r="BB39" s="24" t="inlineStr">
        <is>
          <t>neutral_elo</t>
        </is>
      </c>
      <c r="BC39" s="24" t="inlineStr">
        <is>
          <t>valorant-tiered-elo-v6</t>
        </is>
      </c>
      <c r="BD39" s="24" t="inlineStr">
        <is>
          <t>81f6f136ed670ca8e0bae95e7cbf7a73346c6b57de3226092fe100fd3713f0b1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valorant-tiered-elo-v6</t>
        </is>
      </c>
      <c r="BH39" s="24" t="inlineStr">
        <is>
          <t>2026-08-09T14:01:44.060563Z</t>
        </is>
      </c>
      <c r="BI39" s="24" t="inlineStr">
        <is>
          <t>["same_event","same_team_same_day","same_league_same_day"]</t>
        </is>
      </c>
      <c r="BJ39" s="25" t="n"/>
      <c r="BK39" s="26" t="n">
        <v>178</v>
      </c>
      <c r="BL39" s="27" t="n">
        <v>2.78</v>
      </c>
      <c r="BM39" s="28" t="n">
        <v>0.359712</v>
      </c>
      <c r="BN39" s="28" t="n"/>
      <c r="BO39" s="28" t="n"/>
      <c r="BP39" s="25" t="n"/>
      <c r="BQ39" s="27" t="n">
        <v>2.78</v>
      </c>
      <c r="BR39" s="28" t="n">
        <v>0.36</v>
      </c>
      <c r="BS39" s="28" t="n"/>
      <c r="BT39" s="28" t="n"/>
      <c r="BU39" s="25" t="n"/>
      <c r="BV39" s="29" t="n"/>
      <c r="BW39" s="24" t="n"/>
      <c r="BX39" s="30" t="n">
        <v>1</v>
      </c>
      <c r="BY39" s="27" t="n">
        <v>-1</v>
      </c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507b911ccae0449b</t>
        </is>
      </c>
      <c r="B40" s="24" t="inlineStr">
        <is>
          <t>2026-08-09T14:01:54.078227Z</t>
        </is>
      </c>
      <c r="C40" s="24" t="inlineStr">
        <is>
          <t>2026-08-09T17:00:00Z</t>
        </is>
      </c>
      <c r="D40" s="24" t="inlineStr">
        <is>
          <t>74304</t>
        </is>
      </c>
      <c r="E40" s="24" t="inlineStr">
        <is>
          <t>VALORANT</t>
        </is>
      </c>
      <c r="F40" s="24" t="inlineStr">
        <is>
          <t>FALKE VENOM</t>
        </is>
      </c>
      <c r="G40" s="24" t="inlineStr">
        <is>
          <t>GIANTX GC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-213</v>
      </c>
      <c r="M40" s="27" t="n">
        <v>1.469484</v>
      </c>
      <c r="N40" s="28" t="n">
        <v>0.680511</v>
      </c>
      <c r="O40" s="28" t="n">
        <v>0.528101</v>
      </c>
      <c r="P40" s="28" t="n"/>
      <c r="Q40" s="28" t="n">
        <v>-0.15241</v>
      </c>
      <c r="R40" s="26" t="n">
        <v>0</v>
      </c>
      <c r="S40" s="29" t="n">
        <v>0</v>
      </c>
      <c r="T40" s="24" t="inlineStr">
        <is>
          <t>valorant-tiered-elo-v6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>
        <v>-213</v>
      </c>
      <c r="AA40" s="28" t="n">
        <v>0.68</v>
      </c>
      <c r="AB40" s="28" t="n">
        <v>-0.000511</v>
      </c>
      <c r="AC40" s="30" t="n">
        <v>0</v>
      </c>
      <c r="AD40" s="24" t="inlineStr">
        <is>
          <t>2026-08-09T20:26:18.099085Z</t>
        </is>
      </c>
      <c r="AE40" s="31" t="inlineStr">
        <is>
          <t>Neutral Elo baseline; executable ask 0.6800 (market_slug=aec-valorant-gxgc-fva-2026-08-09).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NO_CALL_WINNER_OVERVALUED</t>
        </is>
      </c>
      <c r="AP40" s="24" t="inlineStr">
        <is>
          <t>FALKE VENOM</t>
        </is>
      </c>
      <c r="AQ40" s="24" t="inlineStr">
        <is>
          <t>FALKE VENOM</t>
        </is>
      </c>
      <c r="AR40" s="24" t="inlineStr">
        <is>
          <t>FALKE VENOM</t>
        </is>
      </c>
      <c r="AS40" s="24" t="inlineStr">
        <is>
          <t>GIANTX GC</t>
        </is>
      </c>
      <c r="AT40" s="24" t="inlineStr">
        <is>
          <t>GIANTX GC</t>
        </is>
      </c>
      <c r="AU40" s="24" t="inlineStr">
        <is>
          <t>GIANTX GC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81f6f136ed670ca8e0bae95e7cbf7a73346c6b57de3226092fe100fd3713f0b1</t>
        </is>
      </c>
      <c r="BB40" s="24" t="inlineStr">
        <is>
          <t>neutral_elo</t>
        </is>
      </c>
      <c r="BC40" s="24" t="inlineStr">
        <is>
          <t>valorant-tiered-elo-v6</t>
        </is>
      </c>
      <c r="BD40" s="24" t="inlineStr">
        <is>
          <t>81f6f136ed670ca8e0bae95e7cbf7a73346c6b57de3226092fe100fd3713f0b1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valorant-tiered-elo-v6</t>
        </is>
      </c>
      <c r="BH40" s="24" t="inlineStr">
        <is>
          <t>2026-08-09T14:01:44.670733Z</t>
        </is>
      </c>
      <c r="BI40" s="24" t="inlineStr">
        <is>
          <t>["same_event","same_team_same_day","same_league_same_day"]</t>
        </is>
      </c>
      <c r="BJ40" s="25" t="n"/>
      <c r="BK40" s="26" t="n">
        <v>-213</v>
      </c>
      <c r="BL40" s="27" t="n">
        <v>1.469484</v>
      </c>
      <c r="BM40" s="28" t="n">
        <v>0.680511</v>
      </c>
      <c r="BN40" s="28" t="n"/>
      <c r="BO40" s="28" t="n"/>
      <c r="BP40" s="25" t="n"/>
      <c r="BQ40" s="27" t="n">
        <v>1.469484</v>
      </c>
      <c r="BR40" s="28" t="n">
        <v>0.68</v>
      </c>
      <c r="BS40" s="28" t="n"/>
      <c r="BT40" s="28" t="n"/>
      <c r="BU40" s="25" t="n"/>
      <c r="BV40" s="29" t="n"/>
      <c r="BW40" s="24" t="n"/>
      <c r="BX40" s="30" t="n">
        <v>1</v>
      </c>
      <c r="BY40" s="27" t="n">
        <v>0.91</v>
      </c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</row>
    <row r="41" ht="36" customHeight="1">
      <c r="A41" s="24" t="inlineStr">
        <is>
          <t>0b03eb258bf34565</t>
        </is>
      </c>
      <c r="B41" s="24" t="inlineStr">
        <is>
          <t>2026-08-09T17:08:20.055519Z</t>
        </is>
      </c>
      <c r="C41" s="24" t="inlineStr">
        <is>
          <t>2026-08-09T18:00:00Z</t>
        </is>
      </c>
      <c r="D41" s="24" t="inlineStr">
        <is>
          <t>74609</t>
        </is>
      </c>
      <c r="E41" s="24" t="inlineStr">
        <is>
          <t>VALORANT</t>
        </is>
      </c>
      <c r="F41" s="24" t="inlineStr">
        <is>
          <t>Enterprise Esports</t>
        </is>
      </c>
      <c r="G41" s="24" t="inlineStr">
        <is>
          <t>Gentle Mates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150</v>
      </c>
      <c r="M41" s="27" t="n">
        <v>2.5</v>
      </c>
      <c r="N41" s="28" t="n">
        <v>0.4</v>
      </c>
      <c r="O41" s="28" t="n">
        <v>0.804725</v>
      </c>
      <c r="P41" s="28" t="n"/>
      <c r="Q41" s="28" t="n">
        <v>0.404725</v>
      </c>
      <c r="R41" s="26" t="n">
        <v>100</v>
      </c>
      <c r="S41" s="29" t="n">
        <v>2</v>
      </c>
      <c r="T41" s="24" t="inlineStr">
        <is>
          <t>valorant-tiered-elo-v6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0</v>
      </c>
      <c r="Y41" s="25" t="n"/>
      <c r="Z41" s="26" t="n">
        <v>150</v>
      </c>
      <c r="AA41" s="28" t="n">
        <v>0.4</v>
      </c>
      <c r="AB41" s="28" t="n">
        <v>0</v>
      </c>
      <c r="AC41" s="30" t="n">
        <v>3</v>
      </c>
      <c r="AD41" s="24" t="inlineStr">
        <is>
          <t>2026-08-09T20:26:19.644495Z</t>
        </is>
      </c>
      <c r="AE41" s="31" t="inlineStr">
        <is>
          <t>Neutral Elo baseline; executable ask 0.4000 (market_slug=aec-valorant-gm-ep-2026-08-09).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Enterprise Esports</t>
        </is>
      </c>
      <c r="AQ41" s="24" t="inlineStr">
        <is>
          <t>Enterprise Esports</t>
        </is>
      </c>
      <c r="AR41" s="24" t="inlineStr">
        <is>
          <t>Enterprise Esports</t>
        </is>
      </c>
      <c r="AS41" s="24" t="inlineStr">
        <is>
          <t>Gentle Mates</t>
        </is>
      </c>
      <c r="AT41" s="24" t="inlineStr">
        <is>
          <t>Gentle Mates</t>
        </is>
      </c>
      <c r="AU41" s="24" t="inlineStr">
        <is>
          <t>Gentle Mates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43316dd49e7f9b1a20757c6d2b94b720f27a77b2c5fd90af5fff6a8c8dacabc4</t>
        </is>
      </c>
      <c r="BB41" s="24" t="inlineStr">
        <is>
          <t>neutral_elo</t>
        </is>
      </c>
      <c r="BC41" s="24" t="inlineStr">
        <is>
          <t>valorant-tiered-elo-v6</t>
        </is>
      </c>
      <c r="BD41" s="24" t="inlineStr">
        <is>
          <t>43316dd49e7f9b1a20757c6d2b94b720f27a77b2c5fd90af5fff6a8c8dacabc4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valorant-tiered-elo-v6</t>
        </is>
      </c>
      <c r="BH41" s="24" t="inlineStr">
        <is>
          <t>2026-08-09T17:08:10.558137Z</t>
        </is>
      </c>
      <c r="BI41" s="24" t="inlineStr">
        <is>
          <t>["same_event","same_team_same_day","same_league_same_day"]</t>
        </is>
      </c>
      <c r="BJ41" s="25" t="n"/>
      <c r="BK41" s="26" t="n">
        <v>150</v>
      </c>
      <c r="BL41" s="27" t="n">
        <v>2.5</v>
      </c>
      <c r="BM41" s="28" t="n">
        <v>0.4</v>
      </c>
      <c r="BN41" s="28" t="n"/>
      <c r="BO41" s="28" t="n"/>
      <c r="BP41" s="25" t="n"/>
      <c r="BQ41" s="27" t="n">
        <v>2.5</v>
      </c>
      <c r="BR41" s="28" t="n">
        <v>0.4</v>
      </c>
      <c r="BS41" s="28" t="n"/>
      <c r="BT41" s="28" t="n"/>
      <c r="BU41" s="25" t="n"/>
      <c r="BV41" s="29" t="n"/>
      <c r="BW41" s="24" t="n"/>
      <c r="BX41" s="30" t="n">
        <v>1</v>
      </c>
      <c r="BY41" s="27" t="n">
        <v>0.91</v>
      </c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</row>
    <row r="42" ht="36" customHeight="1">
      <c r="A42" s="24" t="inlineStr">
        <is>
          <t>13245694d2e241b2</t>
        </is>
      </c>
      <c r="B42" s="24" t="inlineStr">
        <is>
          <t>2026-08-10T05:41:22.375323Z</t>
        </is>
      </c>
      <c r="C42" s="24" t="inlineStr">
        <is>
          <t>2026-08-10T10:00:00Z</t>
        </is>
      </c>
      <c r="D42" s="24" t="inlineStr">
        <is>
          <t>74398</t>
        </is>
      </c>
      <c r="E42" s="24" t="inlineStr">
        <is>
          <t>VALORANT</t>
        </is>
      </c>
      <c r="F42" s="24" t="inlineStr">
        <is>
          <t>TEC Esports</t>
        </is>
      </c>
      <c r="G42" s="24" t="inlineStr">
        <is>
          <t>Dragon Ranger Gaming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-186</v>
      </c>
      <c r="M42" s="27" t="n">
        <v>1.537634</v>
      </c>
      <c r="N42" s="28" t="n">
        <v>0.65035</v>
      </c>
      <c r="O42" s="28" t="n">
        <v>0.52471</v>
      </c>
      <c r="P42" s="28" t="n"/>
      <c r="Q42" s="28" t="n">
        <v>-0.12564</v>
      </c>
      <c r="R42" s="26" t="n">
        <v>0</v>
      </c>
      <c r="S42" s="29" t="n">
        <v>1</v>
      </c>
      <c r="T42" s="24" t="inlineStr">
        <is>
          <t>valorant-tiered-elo-v6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>
        <v>-186</v>
      </c>
      <c r="AA42" s="28" t="n">
        <v>0.65</v>
      </c>
      <c r="AB42" s="28" t="n">
        <v>-0.00035</v>
      </c>
      <c r="AC42" s="30" t="n">
        <v>-1</v>
      </c>
      <c r="AD42" s="24" t="inlineStr">
        <is>
          <t>2026-08-10T16:33:30.239596Z</t>
        </is>
      </c>
      <c r="AE42" s="31" t="inlineStr">
        <is>
          <t>Neutral Elo baseline; executable ask 0.6500 (market_slug=aec-valorant-drg-tec-2026-08-10).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NO_CALL_LOW_EDGE</t>
        </is>
      </c>
      <c r="AP42" s="24" t="inlineStr">
        <is>
          <t>TEC Esports</t>
        </is>
      </c>
      <c r="AQ42" s="24" t="inlineStr">
        <is>
          <t>TEC Esports</t>
        </is>
      </c>
      <c r="AR42" s="24" t="inlineStr">
        <is>
          <t>TEC Esports</t>
        </is>
      </c>
      <c r="AS42" s="24" t="inlineStr">
        <is>
          <t>Dragon Ranger Gaming</t>
        </is>
      </c>
      <c r="AT42" s="24" t="inlineStr">
        <is>
          <t>Dragon Ranger Gaming</t>
        </is>
      </c>
      <c r="AU42" s="24" t="inlineStr">
        <is>
          <t>Dragon Ranger Gaming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72266705b8963b767d143e41ed9cc1fa063d302f1a1376fa6a6c7c696f8946b8</t>
        </is>
      </c>
      <c r="BB42" s="24" t="inlineStr">
        <is>
          <t>neutral_elo</t>
        </is>
      </c>
      <c r="BC42" s="24" t="inlineStr">
        <is>
          <t>valorant-tiered-elo-v6</t>
        </is>
      </c>
      <c r="BD42" s="24" t="inlineStr">
        <is>
          <t>72266705b8963b767d143e41ed9cc1fa063d302f1a1376fa6a6c7c696f8946b8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valorant-tiered-elo-v6</t>
        </is>
      </c>
      <c r="BH42" s="24" t="inlineStr">
        <is>
          <t>2026-08-10T05:41:12.310605Z</t>
        </is>
      </c>
      <c r="BI42" s="24" t="inlineStr">
        <is>
          <t>["same_event","same_team_same_day","same_league_same_day"]</t>
        </is>
      </c>
      <c r="BJ42" s="25" t="n"/>
      <c r="BK42" s="26" t="n">
        <v>-186</v>
      </c>
      <c r="BL42" s="27" t="n">
        <v>1.537634</v>
      </c>
      <c r="BM42" s="28" t="n">
        <v>0.65035</v>
      </c>
      <c r="BN42" s="28" t="n"/>
      <c r="BO42" s="28" t="n"/>
      <c r="BP42" s="25" t="n"/>
      <c r="BQ42" s="27" t="n">
        <v>1.537634</v>
      </c>
      <c r="BR42" s="28" t="n">
        <v>0.65</v>
      </c>
      <c r="BS42" s="28" t="n"/>
      <c r="BT42" s="28" t="n"/>
      <c r="BU42" s="25" t="n"/>
      <c r="BV42" s="29" t="n"/>
      <c r="BW42" s="24" t="n"/>
      <c r="BX42" s="30" t="n">
        <v>1</v>
      </c>
      <c r="BY42" s="27" t="n">
        <v>-1</v>
      </c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</row>
    <row r="43" ht="36" customHeight="1">
      <c r="A43" s="24" t="inlineStr">
        <is>
          <t>9847fafdd60e486d</t>
        </is>
      </c>
      <c r="B43" s="24" t="inlineStr">
        <is>
          <t>2026-08-10T16:36:45.039622Z</t>
        </is>
      </c>
      <c r="C43" s="24" t="inlineStr">
        <is>
          <t>2026-08-10T18:00:00Z</t>
        </is>
      </c>
      <c r="D43" s="24" t="inlineStr">
        <is>
          <t>76786</t>
        </is>
      </c>
      <c r="E43" s="24" t="inlineStr">
        <is>
          <t>VALORANT</t>
        </is>
      </c>
      <c r="F43" s="24" t="inlineStr">
        <is>
          <t>GIANTX GC</t>
        </is>
      </c>
      <c r="G43" s="24" t="inlineStr">
        <is>
          <t>Barça eSports GC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-127</v>
      </c>
      <c r="M43" s="27" t="n">
        <v>1.787402</v>
      </c>
      <c r="N43" s="28" t="n">
        <v>0.5594710000000001</v>
      </c>
      <c r="O43" s="28" t="n">
        <v>0.575653</v>
      </c>
      <c r="P43" s="28" t="n"/>
      <c r="Q43" s="28" t="n">
        <v>0.016182</v>
      </c>
      <c r="R43" s="26" t="n">
        <v>28</v>
      </c>
      <c r="S43" s="29" t="n">
        <v>1.25</v>
      </c>
      <c r="T43" s="24" t="inlineStr">
        <is>
          <t>valorant-tiered-elo-v6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0</v>
      </c>
      <c r="Y43" s="25" t="n"/>
      <c r="Z43" s="26" t="n">
        <v>-127</v>
      </c>
      <c r="AA43" s="28" t="n">
        <v>0.5600000000000001</v>
      </c>
      <c r="AB43" s="28" t="n">
        <v>0.000529</v>
      </c>
      <c r="AC43" s="30" t="n">
        <v>0.9843</v>
      </c>
      <c r="AD43" s="24" t="inlineStr">
        <is>
          <t>2026-08-11T13:08:45.083511Z</t>
        </is>
      </c>
      <c r="AE43" s="31" t="inlineStr">
        <is>
          <t>Neutral Elo baseline; executable ask 0.5600 (market_slug=aec-valorant-beg-gxgc-2026-08-10).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NO_CALL_LOW_EDGE</t>
        </is>
      </c>
      <c r="AP43" s="24" t="inlineStr">
        <is>
          <t>GIANTX GC</t>
        </is>
      </c>
      <c r="AQ43" s="24" t="inlineStr">
        <is>
          <t>GIANTX GC</t>
        </is>
      </c>
      <c r="AR43" s="24" t="inlineStr">
        <is>
          <t>GIANTX GC</t>
        </is>
      </c>
      <c r="AS43" s="24" t="inlineStr">
        <is>
          <t>Barça eSports GC</t>
        </is>
      </c>
      <c r="AT43" s="24" t="inlineStr">
        <is>
          <t>Barça eSports GC</t>
        </is>
      </c>
      <c r="AU43" s="24" t="inlineStr">
        <is>
          <t>Barça eSports GC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2bc5ea39dc27eb41c7f3cbd9b58da9bee3940cd90f1ffefbd7b6a82f96fdee45</t>
        </is>
      </c>
      <c r="BB43" s="24" t="inlineStr">
        <is>
          <t>neutral_elo</t>
        </is>
      </c>
      <c r="BC43" s="24" t="inlineStr">
        <is>
          <t>valorant-tiered-elo-v6</t>
        </is>
      </c>
      <c r="BD43" s="24" t="inlineStr">
        <is>
          <t>2bc5ea39dc27eb41c7f3cbd9b58da9bee3940cd90f1ffefbd7b6a82f96fdee45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valorant-tiered-elo-v6</t>
        </is>
      </c>
      <c r="BH43" s="24" t="inlineStr">
        <is>
          <t>2026-08-10T16:36:29.267540Z</t>
        </is>
      </c>
      <c r="BI43" s="24" t="inlineStr">
        <is>
          <t>["same_event","same_team_same_day","same_league_same_day"]</t>
        </is>
      </c>
      <c r="BJ43" s="25" t="n"/>
      <c r="BK43" s="26" t="n">
        <v>-127</v>
      </c>
      <c r="BL43" s="27" t="n">
        <v>1.787402</v>
      </c>
      <c r="BM43" s="28" t="n">
        <v>0.5594710000000001</v>
      </c>
      <c r="BN43" s="28" t="n"/>
      <c r="BO43" s="28" t="n"/>
      <c r="BP43" s="25" t="n"/>
      <c r="BQ43" s="27" t="n">
        <v>1.787402</v>
      </c>
      <c r="BR43" s="28" t="n">
        <v>0.5600000000000001</v>
      </c>
      <c r="BS43" s="28" t="n"/>
      <c r="BT43" s="28" t="n"/>
      <c r="BU43" s="25" t="n"/>
      <c r="BV43" s="29" t="n"/>
      <c r="BW43" s="24" t="n"/>
      <c r="BX43" s="30" t="n">
        <v>1</v>
      </c>
      <c r="BY43" s="27" t="n">
        <v>0.91</v>
      </c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622d47fd9b3a46fa</t>
        </is>
      </c>
      <c r="B44" s="24" t="inlineStr">
        <is>
          <t>2026-08-10T16:36:45.039622Z</t>
        </is>
      </c>
      <c r="C44" s="24" t="inlineStr">
        <is>
          <t>2026-08-10T21:00:00Z</t>
        </is>
      </c>
      <c r="D44" s="24" t="inlineStr">
        <is>
          <t>74870</t>
        </is>
      </c>
      <c r="E44" s="24" t="inlineStr">
        <is>
          <t>VALORANT</t>
        </is>
      </c>
      <c r="F44" s="24" t="inlineStr">
        <is>
          <t>:3</t>
        </is>
      </c>
      <c r="G44" s="24" t="inlineStr">
        <is>
          <t>SEN Otters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-133</v>
      </c>
      <c r="M44" s="27" t="n">
        <v>1.75188</v>
      </c>
      <c r="N44" s="28" t="n">
        <v>0.570815</v>
      </c>
      <c r="O44" s="28" t="n">
        <v>0.5605290000000001</v>
      </c>
      <c r="P44" s="28" t="n"/>
      <c r="Q44" s="28" t="n">
        <v>-0.010286</v>
      </c>
      <c r="R44" s="26" t="n">
        <v>15</v>
      </c>
      <c r="S44" s="29" t="n">
        <v>1</v>
      </c>
      <c r="T44" s="24" t="inlineStr">
        <is>
          <t>valorant-tiered-elo-v6</t>
        </is>
      </c>
      <c r="U44" s="24" t="inlineStr">
        <is>
          <t>settled</t>
        </is>
      </c>
      <c r="V44" s="24" t="inlineStr">
        <is>
          <t>win</t>
        </is>
      </c>
      <c r="W44" s="26" t="n">
        <v>0</v>
      </c>
      <c r="X44" s="26" t="n">
        <v>1</v>
      </c>
      <c r="Y44" s="25" t="n"/>
      <c r="Z44" s="26" t="n">
        <v>-133</v>
      </c>
      <c r="AA44" s="28" t="n">
        <v>0.57</v>
      </c>
      <c r="AB44" s="28" t="n">
        <v>-0.000815</v>
      </c>
      <c r="AC44" s="30" t="n">
        <v>0.7519</v>
      </c>
      <c r="AD44" s="24" t="inlineStr">
        <is>
          <t>2026-08-11T13:08:46.885412Z</t>
        </is>
      </c>
      <c r="AE44" s="31" t="inlineStr">
        <is>
          <t>Neutral Elo baseline; executable ask 0.5700 (market_slug=aec-valorant-soe-meow-2026-08-10).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NO_CALL_LOW_EDGE</t>
        </is>
      </c>
      <c r="AP44" s="24" t="inlineStr">
        <is>
          <t>:3</t>
        </is>
      </c>
      <c r="AQ44" s="24" t="inlineStr">
        <is>
          <t>:3</t>
        </is>
      </c>
      <c r="AR44" s="24" t="inlineStr">
        <is>
          <t>:3</t>
        </is>
      </c>
      <c r="AS44" s="24" t="inlineStr">
        <is>
          <t>SEN Otters</t>
        </is>
      </c>
      <c r="AT44" s="24" t="inlineStr">
        <is>
          <t>SEN Otters</t>
        </is>
      </c>
      <c r="AU44" s="24" t="inlineStr">
        <is>
          <t>SEN Otters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2bc5ea39dc27eb41c7f3cbd9b58da9bee3940cd90f1ffefbd7b6a82f96fdee45</t>
        </is>
      </c>
      <c r="BB44" s="24" t="inlineStr">
        <is>
          <t>neutral_elo</t>
        </is>
      </c>
      <c r="BC44" s="24" t="inlineStr">
        <is>
          <t>valorant-tiered-elo-v6</t>
        </is>
      </c>
      <c r="BD44" s="24" t="inlineStr">
        <is>
          <t>2bc5ea39dc27eb41c7f3cbd9b58da9bee3940cd90f1ffefbd7b6a82f96fdee45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valorant-tiered-elo-v6</t>
        </is>
      </c>
      <c r="BH44" s="24" t="inlineStr">
        <is>
          <t>2026-08-10T16:36:30.692296Z</t>
        </is>
      </c>
      <c r="BI44" s="24" t="inlineStr">
        <is>
          <t>["same_event","same_team_same_day","same_league_same_day"]</t>
        </is>
      </c>
      <c r="BJ44" s="25" t="n"/>
      <c r="BK44" s="26" t="n">
        <v>-133</v>
      </c>
      <c r="BL44" s="27" t="n">
        <v>1.75188</v>
      </c>
      <c r="BM44" s="28" t="n">
        <v>0.570815</v>
      </c>
      <c r="BN44" s="28" t="n"/>
      <c r="BO44" s="28" t="n"/>
      <c r="BP44" s="25" t="n"/>
      <c r="BQ44" s="27" t="n">
        <v>1.75188</v>
      </c>
      <c r="BR44" s="28" t="n">
        <v>0.57</v>
      </c>
      <c r="BS44" s="28" t="n"/>
      <c r="BT44" s="28" t="n"/>
      <c r="BU44" s="25" t="n"/>
      <c r="BV44" s="29" t="n"/>
      <c r="BW44" s="24" t="n"/>
      <c r="BX44" s="30" t="n">
        <v>1</v>
      </c>
      <c r="BY44" s="27" t="n">
        <v>0.91</v>
      </c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</row>
    <row r="45" ht="36" customHeight="1">
      <c r="A45" s="24" t="inlineStr">
        <is>
          <t>ce1cc50ba0664fb0</t>
        </is>
      </c>
      <c r="B45" s="24" t="inlineStr">
        <is>
          <t>2026-08-10T16:36:45.039622Z</t>
        </is>
      </c>
      <c r="C45" s="24" t="inlineStr">
        <is>
          <t>2026-08-10T22:00:00Z</t>
        </is>
      </c>
      <c r="D45" s="24" t="inlineStr">
        <is>
          <t>75255</t>
        </is>
      </c>
      <c r="E45" s="24" t="inlineStr">
        <is>
          <t>VALORANT</t>
        </is>
      </c>
      <c r="F45" s="24" t="inlineStr">
        <is>
          <t>Olimpo Gold</t>
        </is>
      </c>
      <c r="G45" s="24" t="inlineStr">
        <is>
          <t>NPC Team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150</v>
      </c>
      <c r="M45" s="27" t="n">
        <v>2.5</v>
      </c>
      <c r="N45" s="28" t="n">
        <v>0.4</v>
      </c>
      <c r="O45" s="28" t="n">
        <v>0.559409</v>
      </c>
      <c r="P45" s="28" t="n"/>
      <c r="Q45" s="28" t="n">
        <v>0.159409</v>
      </c>
      <c r="R45" s="26" t="n">
        <v>100</v>
      </c>
      <c r="S45" s="29" t="n">
        <v>1</v>
      </c>
      <c r="T45" s="24" t="inlineStr">
        <is>
          <t>valorant-tiered-elo-v6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0</v>
      </c>
      <c r="X45" s="26" t="n">
        <v>1</v>
      </c>
      <c r="Y45" s="25" t="n"/>
      <c r="Z45" s="26" t="n">
        <v>150</v>
      </c>
      <c r="AA45" s="28" t="n">
        <v>0.4</v>
      </c>
      <c r="AB45" s="28" t="n">
        <v>0</v>
      </c>
      <c r="AC45" s="30" t="n">
        <v>-1</v>
      </c>
      <c r="AD45" s="24" t="inlineStr">
        <is>
          <t>2026-08-11T13:08:48.462698Z</t>
        </is>
      </c>
      <c r="AE45" s="31" t="inlineStr">
        <is>
          <t>Neutral Elo baseline; executable ask 0.4000 (market_slug=aec-valorant-ntp-og-2026-08-10).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Olimpo Gold</t>
        </is>
      </c>
      <c r="AQ45" s="24" t="inlineStr">
        <is>
          <t>Olimpo Gold</t>
        </is>
      </c>
      <c r="AR45" s="24" t="inlineStr">
        <is>
          <t>Olimpo Gold</t>
        </is>
      </c>
      <c r="AS45" s="24" t="inlineStr">
        <is>
          <t>NPC Team</t>
        </is>
      </c>
      <c r="AT45" s="24" t="inlineStr">
        <is>
          <t>NPC Team</t>
        </is>
      </c>
      <c r="AU45" s="24" t="inlineStr">
        <is>
          <t>NPC Team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2bc5ea39dc27eb41c7f3cbd9b58da9bee3940cd90f1ffefbd7b6a82f96fdee45</t>
        </is>
      </c>
      <c r="BB45" s="24" t="inlineStr">
        <is>
          <t>neutral_elo</t>
        </is>
      </c>
      <c r="BC45" s="24" t="inlineStr">
        <is>
          <t>valorant-tiered-elo-v6</t>
        </is>
      </c>
      <c r="BD45" s="24" t="inlineStr">
        <is>
          <t>2bc5ea39dc27eb41c7f3cbd9b58da9bee3940cd90f1ffefbd7b6a82f96fdee45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valorant-tiered-elo-v6</t>
        </is>
      </c>
      <c r="BH45" s="24" t="inlineStr">
        <is>
          <t>2026-08-10T16:36:32.706040Z</t>
        </is>
      </c>
      <c r="BI45" s="24" t="inlineStr">
        <is>
          <t>["same_event","same_team_same_day","same_league_same_day"]</t>
        </is>
      </c>
      <c r="BJ45" s="25" t="n"/>
      <c r="BK45" s="26" t="n">
        <v>150</v>
      </c>
      <c r="BL45" s="27" t="n">
        <v>2.5</v>
      </c>
      <c r="BM45" s="28" t="n">
        <v>0.4</v>
      </c>
      <c r="BN45" s="28" t="n"/>
      <c r="BO45" s="28" t="n"/>
      <c r="BP45" s="25" t="n"/>
      <c r="BQ45" s="27" t="n">
        <v>2.5</v>
      </c>
      <c r="BR45" s="28" t="n">
        <v>0.4</v>
      </c>
      <c r="BS45" s="28" t="n"/>
      <c r="BT45" s="28" t="n"/>
      <c r="BU45" s="25" t="n"/>
      <c r="BV45" s="29" t="n"/>
      <c r="BW45" s="24" t="n"/>
      <c r="BX45" s="30" t="n">
        <v>1</v>
      </c>
      <c r="BY45" s="27" t="n">
        <v>-1</v>
      </c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</row>
    <row r="46" ht="36" customHeight="1">
      <c r="A46" s="24" t="inlineStr">
        <is>
          <t>4fda40e97bca4f2b</t>
        </is>
      </c>
      <c r="B46" s="24" t="inlineStr">
        <is>
          <t>2026-08-10T16:36:45.039622Z</t>
        </is>
      </c>
      <c r="C46" s="24" t="inlineStr">
        <is>
          <t>2026-08-10T23:00:00Z</t>
        </is>
      </c>
      <c r="D46" s="24" t="inlineStr">
        <is>
          <t>77301</t>
        </is>
      </c>
      <c r="E46" s="24" t="inlineStr">
        <is>
          <t>VALORANT</t>
        </is>
      </c>
      <c r="F46" s="24" t="inlineStr">
        <is>
          <t>7VEN STARS</t>
        </is>
      </c>
      <c r="G46" s="24" t="inlineStr">
        <is>
          <t>Low Cortisol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-117</v>
      </c>
      <c r="M46" s="27" t="n">
        <v>1.854701</v>
      </c>
      <c r="N46" s="28" t="n">
        <v>0.539171</v>
      </c>
      <c r="O46" s="28" t="n">
        <v>0.513493</v>
      </c>
      <c r="P46" s="28" t="n"/>
      <c r="Q46" s="28" t="n">
        <v>-0.025678</v>
      </c>
      <c r="R46" s="26" t="n">
        <v>7</v>
      </c>
      <c r="S46" s="29" t="n">
        <v>1</v>
      </c>
      <c r="T46" s="24" t="inlineStr">
        <is>
          <t>valorant-tiered-elo-v6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-117</v>
      </c>
      <c r="AA46" s="28" t="n">
        <v>0.54</v>
      </c>
      <c r="AB46" s="28" t="n">
        <v>0.000829</v>
      </c>
      <c r="AC46" s="30" t="n">
        <v>0.8547</v>
      </c>
      <c r="AD46" s="24" t="inlineStr">
        <is>
          <t>2026-08-11T13:08:50.184324Z</t>
        </is>
      </c>
      <c r="AE46" s="31" t="inlineStr">
        <is>
          <t>Neutral Elo baseline; executable ask 0.5400 (market_slug=aec-valorant-lc-7ven-2026-08-10).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7VEN STARS</t>
        </is>
      </c>
      <c r="AQ46" s="24" t="inlineStr">
        <is>
          <t>7VEN STARS</t>
        </is>
      </c>
      <c r="AR46" s="24" t="inlineStr">
        <is>
          <t>7VEN STARS</t>
        </is>
      </c>
      <c r="AS46" s="24" t="inlineStr">
        <is>
          <t>Low Cortisol</t>
        </is>
      </c>
      <c r="AT46" s="24" t="inlineStr">
        <is>
          <t>Low Cortisol</t>
        </is>
      </c>
      <c r="AU46" s="24" t="inlineStr">
        <is>
          <t>Low Cortisol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2bc5ea39dc27eb41c7f3cbd9b58da9bee3940cd90f1ffefbd7b6a82f96fdee45</t>
        </is>
      </c>
      <c r="BB46" s="24" t="inlineStr">
        <is>
          <t>neutral_elo</t>
        </is>
      </c>
      <c r="BC46" s="24" t="inlineStr">
        <is>
          <t>valorant-tiered-elo-v6</t>
        </is>
      </c>
      <c r="BD46" s="24" t="inlineStr">
        <is>
          <t>2bc5ea39dc27eb41c7f3cbd9b58da9bee3940cd90f1ffefbd7b6a82f96fdee45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valorant-tiered-elo-v6</t>
        </is>
      </c>
      <c r="BH46" s="24" t="inlineStr">
        <is>
          <t>2026-08-10T16:36:33.713404Z</t>
        </is>
      </c>
      <c r="BI46" s="24" t="inlineStr">
        <is>
          <t>["same_event","same_team_same_day","same_league_same_day"]</t>
        </is>
      </c>
      <c r="BJ46" s="25" t="n"/>
      <c r="BK46" s="26" t="n">
        <v>-117</v>
      </c>
      <c r="BL46" s="27" t="n">
        <v>1.854701</v>
      </c>
      <c r="BM46" s="28" t="n">
        <v>0.539171</v>
      </c>
      <c r="BN46" s="28" t="n"/>
      <c r="BO46" s="28" t="n"/>
      <c r="BP46" s="25" t="n"/>
      <c r="BQ46" s="27" t="n">
        <v>1.854701</v>
      </c>
      <c r="BR46" s="28" t="n">
        <v>0.54</v>
      </c>
      <c r="BS46" s="28" t="n"/>
      <c r="BT46" s="28" t="n"/>
      <c r="BU46" s="25" t="n"/>
      <c r="BV46" s="29" t="n"/>
      <c r="BW46" s="24" t="n"/>
      <c r="BX46" s="30" t="n">
        <v>1</v>
      </c>
      <c r="BY46" s="27" t="n">
        <v>0.91</v>
      </c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</row>
    <row r="47" ht="36" customHeight="1">
      <c r="A47" s="24" t="inlineStr">
        <is>
          <t>aa68ce9405504ae6</t>
        </is>
      </c>
      <c r="B47" s="24" t="inlineStr">
        <is>
          <t>2026-08-10T16:36:45.039622Z</t>
        </is>
      </c>
      <c r="C47" s="24" t="inlineStr">
        <is>
          <t>2026-08-10T23:30:00Z</t>
        </is>
      </c>
      <c r="D47" s="24" t="inlineStr">
        <is>
          <t>74941</t>
        </is>
      </c>
      <c r="E47" s="24" t="inlineStr">
        <is>
          <t>VALORANT</t>
        </is>
      </c>
      <c r="F47" s="24" t="inlineStr">
        <is>
          <t>Los Chudeles</t>
        </is>
      </c>
      <c r="G47" s="24" t="inlineStr">
        <is>
          <t>MVSK Secret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-163</v>
      </c>
      <c r="M47" s="27" t="n">
        <v>1.613497</v>
      </c>
      <c r="N47" s="28" t="n">
        <v>0.619772</v>
      </c>
      <c r="O47" s="28" t="n">
        <v>0.518303</v>
      </c>
      <c r="P47" s="28" t="n"/>
      <c r="Q47" s="28" t="n">
        <v>-0.101469</v>
      </c>
      <c r="R47" s="26" t="n">
        <v>0</v>
      </c>
      <c r="S47" s="29" t="n">
        <v>1</v>
      </c>
      <c r="T47" s="24" t="inlineStr">
        <is>
          <t>valorant-tiered-elo-v6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-163</v>
      </c>
      <c r="AA47" s="28" t="n">
        <v>0.62</v>
      </c>
      <c r="AB47" s="28" t="n">
        <v>0.000228</v>
      </c>
      <c r="AC47" s="30" t="n">
        <v>0.6135</v>
      </c>
      <c r="AD47" s="24" t="inlineStr">
        <is>
          <t>2026-08-11T13:08:51.771291Z</t>
        </is>
      </c>
      <c r="AE47" s="31" t="inlineStr">
        <is>
          <t>Neutral Elo baseline; executable ask 0.6200 (market_slug=aec-valorant-mvs-lcd-2026-08-10).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NO_CALL_LOW_EDGE</t>
        </is>
      </c>
      <c r="AP47" s="24" t="inlineStr">
        <is>
          <t>Los Chudeles</t>
        </is>
      </c>
      <c r="AQ47" s="24" t="inlineStr">
        <is>
          <t>Los Chudeles</t>
        </is>
      </c>
      <c r="AR47" s="24" t="inlineStr">
        <is>
          <t>Los Chudeles</t>
        </is>
      </c>
      <c r="AS47" s="24" t="inlineStr">
        <is>
          <t>MVSK Secret</t>
        </is>
      </c>
      <c r="AT47" s="24" t="inlineStr">
        <is>
          <t>MVSK Secret</t>
        </is>
      </c>
      <c r="AU47" s="24" t="inlineStr">
        <is>
          <t>MVSK Secret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2bc5ea39dc27eb41c7f3cbd9b58da9bee3940cd90f1ffefbd7b6a82f96fdee45</t>
        </is>
      </c>
      <c r="BB47" s="24" t="inlineStr">
        <is>
          <t>neutral_elo</t>
        </is>
      </c>
      <c r="BC47" s="24" t="inlineStr">
        <is>
          <t>valorant-tiered-elo-v6</t>
        </is>
      </c>
      <c r="BD47" s="24" t="inlineStr">
        <is>
          <t>2bc5ea39dc27eb41c7f3cbd9b58da9bee3940cd90f1ffefbd7b6a82f96fdee45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valorant-tiered-elo-v6</t>
        </is>
      </c>
      <c r="BH47" s="24" t="inlineStr">
        <is>
          <t>2026-08-10T16:36:34.248666Z</t>
        </is>
      </c>
      <c r="BI47" s="24" t="inlineStr">
        <is>
          <t>["same_event","same_team_same_day","same_league_same_day"]</t>
        </is>
      </c>
      <c r="BJ47" s="25" t="n"/>
      <c r="BK47" s="26" t="n">
        <v>-163</v>
      </c>
      <c r="BL47" s="27" t="n">
        <v>1.613497</v>
      </c>
      <c r="BM47" s="28" t="n">
        <v>0.619772</v>
      </c>
      <c r="BN47" s="28" t="n"/>
      <c r="BO47" s="28" t="n"/>
      <c r="BP47" s="25" t="n"/>
      <c r="BQ47" s="27" t="n">
        <v>1.613497</v>
      </c>
      <c r="BR47" s="28" t="n">
        <v>0.62</v>
      </c>
      <c r="BS47" s="28" t="n"/>
      <c r="BT47" s="28" t="n"/>
      <c r="BU47" s="25" t="n"/>
      <c r="BV47" s="29" t="n"/>
      <c r="BW47" s="24" t="n"/>
      <c r="BX47" s="30" t="n">
        <v>1</v>
      </c>
      <c r="BY47" s="27" t="n">
        <v>0.91</v>
      </c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False</t>
        </is>
      </c>
    </row>
    <row r="48" ht="36" customHeight="1">
      <c r="A48" s="24" t="inlineStr">
        <is>
          <t>405f5a8a9d4e4ddf</t>
        </is>
      </c>
      <c r="B48" s="24" t="inlineStr">
        <is>
          <t>2026-08-10T16:36:45.039622Z</t>
        </is>
      </c>
      <c r="C48" s="24" t="inlineStr">
        <is>
          <t>2026-08-10T23:30:00Z</t>
        </is>
      </c>
      <c r="D48" s="24" t="inlineStr">
        <is>
          <t>74942</t>
        </is>
      </c>
      <c r="E48" s="24" t="inlineStr">
        <is>
          <t>VALORANT</t>
        </is>
      </c>
      <c r="F48" s="24" t="inlineStr">
        <is>
          <t>ROSO GC</t>
        </is>
      </c>
      <c r="G48" s="24" t="inlineStr">
        <is>
          <t>SaD GC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-117</v>
      </c>
      <c r="M48" s="27" t="n">
        <v>1.854701</v>
      </c>
      <c r="N48" s="28" t="n">
        <v>0.539171</v>
      </c>
      <c r="O48" s="28" t="n">
        <v>0.533752</v>
      </c>
      <c r="P48" s="28" t="n"/>
      <c r="Q48" s="28" t="n">
        <v>-0.005419</v>
      </c>
      <c r="R48" s="26" t="n">
        <v>17</v>
      </c>
      <c r="S48" s="29" t="n">
        <v>1</v>
      </c>
      <c r="T48" s="24" t="inlineStr">
        <is>
          <t>valorant-tiered-elo-v6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1</v>
      </c>
      <c r="Y48" s="25" t="n"/>
      <c r="Z48" s="26" t="n">
        <v>-117</v>
      </c>
      <c r="AA48" s="28" t="n">
        <v>0.54</v>
      </c>
      <c r="AB48" s="28" t="n">
        <v>0.000829</v>
      </c>
      <c r="AC48" s="30" t="n">
        <v>0.8547</v>
      </c>
      <c r="AD48" s="24" t="inlineStr">
        <is>
          <t>2026-08-11T13:08:53.344006Z</t>
        </is>
      </c>
      <c r="AE48" s="31" t="inlineStr">
        <is>
          <t>Neutral Elo baseline; executable ask 0.5400 (market_slug=aec-valorant-sga-roso-2026-08-10).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NO_CALL_LOW_EDGE</t>
        </is>
      </c>
      <c r="AP48" s="24" t="inlineStr">
        <is>
          <t>ROSO GC</t>
        </is>
      </c>
      <c r="AQ48" s="24" t="inlineStr">
        <is>
          <t>ROSO GC</t>
        </is>
      </c>
      <c r="AR48" s="24" t="inlineStr">
        <is>
          <t>ROSO GC</t>
        </is>
      </c>
      <c r="AS48" s="24" t="inlineStr">
        <is>
          <t>SaD GC</t>
        </is>
      </c>
      <c r="AT48" s="24" t="inlineStr">
        <is>
          <t>SaD GC</t>
        </is>
      </c>
      <c r="AU48" s="24" t="inlineStr">
        <is>
          <t>SaD GC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2bc5ea39dc27eb41c7f3cbd9b58da9bee3940cd90f1ffefbd7b6a82f96fdee45</t>
        </is>
      </c>
      <c r="BB48" s="24" t="inlineStr">
        <is>
          <t>neutral_elo</t>
        </is>
      </c>
      <c r="BC48" s="24" t="inlineStr">
        <is>
          <t>valorant-tiered-elo-v6</t>
        </is>
      </c>
      <c r="BD48" s="24" t="inlineStr">
        <is>
          <t>2bc5ea39dc27eb41c7f3cbd9b58da9bee3940cd90f1ffefbd7b6a82f96fdee45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valorant-tiered-elo-v6</t>
        </is>
      </c>
      <c r="BH48" s="24" t="inlineStr">
        <is>
          <t>2026-08-10T16:36:35.896441Z</t>
        </is>
      </c>
      <c r="BI48" s="24" t="inlineStr">
        <is>
          <t>["same_event","same_team_same_day","same_league_same_day"]</t>
        </is>
      </c>
      <c r="BJ48" s="25" t="n"/>
      <c r="BK48" s="26" t="n">
        <v>-117</v>
      </c>
      <c r="BL48" s="27" t="n">
        <v>1.854701</v>
      </c>
      <c r="BM48" s="28" t="n">
        <v>0.539171</v>
      </c>
      <c r="BN48" s="28" t="n"/>
      <c r="BO48" s="28" t="n"/>
      <c r="BP48" s="25" t="n"/>
      <c r="BQ48" s="27" t="n">
        <v>1.854701</v>
      </c>
      <c r="BR48" s="28" t="n">
        <v>0.54</v>
      </c>
      <c r="BS48" s="28" t="n"/>
      <c r="BT48" s="28" t="n"/>
      <c r="BU48" s="25" t="n"/>
      <c r="BV48" s="29" t="n"/>
      <c r="BW48" s="24" t="n"/>
      <c r="BX48" s="30" t="n">
        <v>1</v>
      </c>
      <c r="BY48" s="27" t="n">
        <v>0.91</v>
      </c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</row>
    <row r="49" ht="36" customHeight="1">
      <c r="A49" s="24" t="inlineStr">
        <is>
          <t>57bd2277bbbc4774</t>
        </is>
      </c>
      <c r="B49" s="24" t="inlineStr">
        <is>
          <t>2026-08-10T16:36:45.039622Z</t>
        </is>
      </c>
      <c r="C49" s="24" t="inlineStr">
        <is>
          <t>2026-08-11T01:00:00Z</t>
        </is>
      </c>
      <c r="D49" s="24" t="inlineStr">
        <is>
          <t>75257</t>
        </is>
      </c>
      <c r="E49" s="24" t="inlineStr">
        <is>
          <t>VALORANT</t>
        </is>
      </c>
      <c r="F49" s="24" t="inlineStr">
        <is>
          <t>FUSION X</t>
        </is>
      </c>
      <c r="G49" s="24" t="inlineStr">
        <is>
          <t>MYVRA GC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-178</v>
      </c>
      <c r="M49" s="27" t="n">
        <v>1.561798</v>
      </c>
      <c r="N49" s="28" t="n">
        <v>0.640288</v>
      </c>
      <c r="O49" s="28" t="n">
        <v>0.750891</v>
      </c>
      <c r="P49" s="28" t="n"/>
      <c r="Q49" s="28" t="n">
        <v>0.110603</v>
      </c>
      <c r="R49" s="26" t="n">
        <v>75</v>
      </c>
      <c r="S49" s="29" t="n">
        <v>2</v>
      </c>
      <c r="T49" s="24" t="inlineStr">
        <is>
          <t>valorant-tiered-elo-v6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Neutral Elo baseline; executable ask 0.6400 (market_slug=aec-valorant-myvgc-fsnx-2026-08-11).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FUSION X</t>
        </is>
      </c>
      <c r="AQ49" s="24" t="inlineStr">
        <is>
          <t>FUSION X</t>
        </is>
      </c>
      <c r="AR49" s="24" t="inlineStr">
        <is>
          <t>FUSION X</t>
        </is>
      </c>
      <c r="AS49" s="24" t="inlineStr">
        <is>
          <t>MYVRA GC</t>
        </is>
      </c>
      <c r="AT49" s="24" t="inlineStr">
        <is>
          <t>MYVRA GC</t>
        </is>
      </c>
      <c r="AU49" s="24" t="inlineStr">
        <is>
          <t>MYVRA GC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2bc5ea39dc27eb41c7f3cbd9b58da9bee3940cd90f1ffefbd7b6a82f96fdee45</t>
        </is>
      </c>
      <c r="BB49" s="24" t="inlineStr">
        <is>
          <t>neutral_elo</t>
        </is>
      </c>
      <c r="BC49" s="24" t="inlineStr">
        <is>
          <t>valorant-tiered-elo-v6</t>
        </is>
      </c>
      <c r="BD49" s="24" t="inlineStr">
        <is>
          <t>2bc5ea39dc27eb41c7f3cbd9b58da9bee3940cd90f1ffefbd7b6a82f96fdee45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valorant-tiered-elo-v6</t>
        </is>
      </c>
      <c r="BH49" s="24" t="inlineStr">
        <is>
          <t>2026-08-10T16:36:36.768051Z</t>
        </is>
      </c>
      <c r="BI49" s="24" t="inlineStr">
        <is>
          <t>["same_event","same_team_same_day","same_league_same_day"]</t>
        </is>
      </c>
      <c r="BJ49" s="25" t="n"/>
      <c r="BK49" s="26" t="n">
        <v>-178</v>
      </c>
      <c r="BL49" s="27" t="n">
        <v>1.561798</v>
      </c>
      <c r="BM49" s="28" t="n">
        <v>0.640288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</row>
    <row r="50" ht="36" customHeight="1">
      <c r="A50" s="24" t="inlineStr">
        <is>
          <t>3acfddd1d0a74f41</t>
        </is>
      </c>
      <c r="B50" s="24" t="inlineStr">
        <is>
          <t>2026-08-10T16:36:45.039622Z</t>
        </is>
      </c>
      <c r="C50" s="24" t="inlineStr">
        <is>
          <t>2026-08-11T10:00:00Z</t>
        </is>
      </c>
      <c r="D50" s="24" t="inlineStr">
        <is>
          <t>77309</t>
        </is>
      </c>
      <c r="E50" s="24" t="inlineStr">
        <is>
          <t>VALORANT</t>
        </is>
      </c>
      <c r="F50" s="24" t="inlineStr">
        <is>
          <t>Dragon Ranger Gaming</t>
        </is>
      </c>
      <c r="G50" s="24" t="inlineStr">
        <is>
          <t>Trace Esports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156</v>
      </c>
      <c r="M50" s="27" t="n">
        <v>2.56</v>
      </c>
      <c r="N50" s="28" t="n">
        <v>0.390625</v>
      </c>
      <c r="O50" s="28" t="n">
        <v>0.521278</v>
      </c>
      <c r="P50" s="28" t="n"/>
      <c r="Q50" s="28" t="n">
        <v>0.130653</v>
      </c>
      <c r="R50" s="26" t="n">
        <v>85</v>
      </c>
      <c r="S50" s="29" t="n">
        <v>1</v>
      </c>
      <c r="T50" s="24" t="inlineStr">
        <is>
          <t>valorant-tiered-elo-v6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1.56</v>
      </c>
      <c r="AD50" s="24" t="inlineStr">
        <is>
          <t>2026-08-11T16:30:27.536526Z</t>
        </is>
      </c>
      <c r="AE50" s="31" t="inlineStr">
        <is>
          <t>Neutral Elo baseline; executable ask 0.3900 (market_slug=aec-valorant-te-drg-2026-08-11).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Dragon Ranger Gaming</t>
        </is>
      </c>
      <c r="AQ50" s="24" t="inlineStr">
        <is>
          <t>Dragon Ranger Gaming</t>
        </is>
      </c>
      <c r="AR50" s="24" t="inlineStr">
        <is>
          <t>Dragon Ranger Gaming</t>
        </is>
      </c>
      <c r="AS50" s="24" t="inlineStr">
        <is>
          <t>Trace Esports</t>
        </is>
      </c>
      <c r="AT50" s="24" t="inlineStr">
        <is>
          <t>Trace Esports</t>
        </is>
      </c>
      <c r="AU50" s="24" t="inlineStr">
        <is>
          <t>Trace Esports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2bc5ea39dc27eb41c7f3cbd9b58da9bee3940cd90f1ffefbd7b6a82f96fdee45</t>
        </is>
      </c>
      <c r="BB50" s="24" t="inlineStr">
        <is>
          <t>neutral_elo</t>
        </is>
      </c>
      <c r="BC50" s="24" t="inlineStr">
        <is>
          <t>valorant-tiered-elo-v6</t>
        </is>
      </c>
      <c r="BD50" s="24" t="inlineStr">
        <is>
          <t>2bc5ea39dc27eb41c7f3cbd9b58da9bee3940cd90f1ffefbd7b6a82f96fdee45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valorant-tiered-elo-v6</t>
        </is>
      </c>
      <c r="BH50" s="24" t="inlineStr">
        <is>
          <t>2026-08-10T16:36:39.099981Z</t>
        </is>
      </c>
      <c r="BI50" s="24" t="inlineStr">
        <is>
          <t>["same_event","same_team_same_day","same_league_same_day"]</t>
        </is>
      </c>
      <c r="BJ50" s="25" t="n"/>
      <c r="BK50" s="26" t="n">
        <v>156</v>
      </c>
      <c r="BL50" s="27" t="n">
        <v>2.56</v>
      </c>
      <c r="BM50" s="28" t="n">
        <v>0.390625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>
        <v>1</v>
      </c>
      <c r="BY50" s="27" t="n">
        <v>0.91</v>
      </c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</row>
    <row r="51" ht="36" customHeight="1">
      <c r="A51" s="24" t="inlineStr">
        <is>
          <t>930b2d203195468b</t>
        </is>
      </c>
      <c r="B51" s="24" t="inlineStr">
        <is>
          <t>2026-08-12T05:16:18.213867Z</t>
        </is>
      </c>
      <c r="C51" s="24" t="inlineStr">
        <is>
          <t>2026-08-12T08:00:00Z</t>
        </is>
      </c>
      <c r="D51" s="24" t="inlineStr">
        <is>
          <t>77310</t>
        </is>
      </c>
      <c r="E51" s="24" t="inlineStr">
        <is>
          <t>VALORANT</t>
        </is>
      </c>
      <c r="F51" s="24" t="inlineStr">
        <is>
          <t>TEC Esports</t>
        </is>
      </c>
      <c r="G51" s="24" t="inlineStr">
        <is>
          <t>All Gamers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-194</v>
      </c>
      <c r="M51" s="27" t="n">
        <v>1.515464</v>
      </c>
      <c r="N51" s="28" t="n">
        <v>0.659864</v>
      </c>
      <c r="O51" s="28" t="n">
        <v>0.644266</v>
      </c>
      <c r="P51" s="28" t="n"/>
      <c r="Q51" s="28" t="n">
        <v>-0.015598</v>
      </c>
      <c r="R51" s="26" t="n">
        <v>12</v>
      </c>
      <c r="S51" s="29" t="n">
        <v>1.75</v>
      </c>
      <c r="T51" s="24" t="inlineStr">
        <is>
          <t>valorant-tiered-elo-v6</t>
        </is>
      </c>
      <c r="U51" s="24" t="inlineStr">
        <is>
          <t>settled</t>
        </is>
      </c>
      <c r="V51" s="24" t="inlineStr">
        <is>
          <t>loss</t>
        </is>
      </c>
      <c r="W51" s="26" t="n">
        <v>1</v>
      </c>
      <c r="X51" s="26" t="n">
        <v>0</v>
      </c>
      <c r="Y51" s="25" t="n"/>
      <c r="Z51" s="26" t="n">
        <v>-194</v>
      </c>
      <c r="AA51" s="28" t="n">
        <v>0.66</v>
      </c>
      <c r="AB51" s="28" t="n">
        <v>0.000136</v>
      </c>
      <c r="AC51" s="30" t="n">
        <v>-1.75</v>
      </c>
      <c r="AD51" s="24" t="inlineStr">
        <is>
          <t>2026-08-12T11:26:02.044238Z</t>
        </is>
      </c>
      <c r="AE51" s="31" t="inlineStr">
        <is>
          <t>Neutral Elo baseline; executable ask 0.6600 (market_slug=aec-valorant-ag-tec-2026-08-12).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TEC Esports</t>
        </is>
      </c>
      <c r="AQ51" s="24" t="inlineStr">
        <is>
          <t>TEC Esports</t>
        </is>
      </c>
      <c r="AR51" s="24" t="inlineStr">
        <is>
          <t>TEC Esports</t>
        </is>
      </c>
      <c r="AS51" s="24" t="inlineStr">
        <is>
          <t>All Gamers</t>
        </is>
      </c>
      <c r="AT51" s="24" t="inlineStr">
        <is>
          <t>All Gamers</t>
        </is>
      </c>
      <c r="AU51" s="24" t="inlineStr">
        <is>
          <t>All Gamers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4792dd578222575dd6709f4cd58cc915816e25c48588fd98c5aca4aac9d7b76c</t>
        </is>
      </c>
      <c r="BB51" s="24" t="inlineStr">
        <is>
          <t>neutral_elo</t>
        </is>
      </c>
      <c r="BC51" s="24" t="inlineStr">
        <is>
          <t>valorant-tiered-elo-v6</t>
        </is>
      </c>
      <c r="BD51" s="24" t="inlineStr">
        <is>
          <t>4792dd578222575dd6709f4cd58cc915816e25c48588fd98c5aca4aac9d7b76c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valorant-tiered-elo-v6</t>
        </is>
      </c>
      <c r="BH51" s="24" t="inlineStr">
        <is>
          <t>2026-08-12T05:16:07.036998Z</t>
        </is>
      </c>
      <c r="BI51" s="24" t="inlineStr">
        <is>
          <t>["same_event","same_team_same_day","same_league_same_day"]</t>
        </is>
      </c>
      <c r="BJ51" s="25" t="n"/>
      <c r="BK51" s="26" t="n">
        <v>-194</v>
      </c>
      <c r="BL51" s="27" t="n">
        <v>1.515464</v>
      </c>
      <c r="BM51" s="28" t="n">
        <v>0.659864</v>
      </c>
      <c r="BN51" s="28" t="n"/>
      <c r="BO51" s="28" t="n"/>
      <c r="BP51" s="25" t="n"/>
      <c r="BQ51" s="27" t="n">
        <v>1.515464</v>
      </c>
      <c r="BR51" s="28" t="n">
        <v>0.66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</row>
    <row r="52" ht="36" customHeight="1">
      <c r="A52" s="24" t="inlineStr">
        <is>
          <t>3324452a86f24b80</t>
        </is>
      </c>
      <c r="B52" s="24" t="inlineStr">
        <is>
          <t>2026-08-12T08:22:32.920392Z</t>
        </is>
      </c>
      <c r="C52" s="24" t="inlineStr">
        <is>
          <t>2026-08-12T10:00:00Z</t>
        </is>
      </c>
      <c r="D52" s="24" t="inlineStr">
        <is>
          <t>78281</t>
        </is>
      </c>
      <c r="E52" s="24" t="inlineStr">
        <is>
          <t>VALORANT</t>
        </is>
      </c>
      <c r="F52" s="24" t="inlineStr">
        <is>
          <t>Trace Esports</t>
        </is>
      </c>
      <c r="G52" s="24" t="inlineStr">
        <is>
          <t>JD Gaming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-133</v>
      </c>
      <c r="M52" s="27" t="n">
        <v>1.75188</v>
      </c>
      <c r="N52" s="28" t="n">
        <v>0.570815</v>
      </c>
      <c r="O52" s="28" t="n">
        <v>0.527775</v>
      </c>
      <c r="P52" s="28" t="n"/>
      <c r="Q52" s="28" t="n">
        <v>-0.04304</v>
      </c>
      <c r="R52" s="26" t="n">
        <v>0</v>
      </c>
      <c r="S52" s="29" t="n">
        <v>1</v>
      </c>
      <c r="T52" s="24" t="inlineStr">
        <is>
          <t>valorant-tiered-elo-v6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>
        <v>-133</v>
      </c>
      <c r="AA52" s="28" t="n">
        <v>0.57</v>
      </c>
      <c r="AB52" s="28" t="n">
        <v>-0.000815</v>
      </c>
      <c r="AC52" s="30" t="n">
        <v>-1</v>
      </c>
      <c r="AD52" s="24" t="inlineStr">
        <is>
          <t>2026-08-12T14:33:37.126879Z</t>
        </is>
      </c>
      <c r="AE52" s="31" t="inlineStr">
        <is>
          <t>Neutral Elo baseline; executable ask 0.5700 (market_slug=aec-valorant-jdg-te-2026-08-12).</t>
        </is>
      </c>
      <c r="AF52" s="31" t="inlineStr">
        <is>
          <t>Config-promoted esports baseline; gates enforced at log time.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Trace Esports</t>
        </is>
      </c>
      <c r="AQ52" s="24" t="inlineStr">
        <is>
          <t>Trace Esports</t>
        </is>
      </c>
      <c r="AR52" s="24" t="inlineStr">
        <is>
          <t>Trace Esports</t>
        </is>
      </c>
      <c r="AS52" s="24" t="inlineStr">
        <is>
          <t>JD Gaming</t>
        </is>
      </c>
      <c r="AT52" s="24" t="inlineStr">
        <is>
          <t>JD Gaming</t>
        </is>
      </c>
      <c r="AU52" s="24" t="inlineStr">
        <is>
          <t>JD Gaming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af3d00b935358b29757b887763afd672c7c8a6d4157c0044d3888bfce55ec3d6</t>
        </is>
      </c>
      <c r="BB52" s="24" t="inlineStr">
        <is>
          <t>neutral_elo</t>
        </is>
      </c>
      <c r="BC52" s="24" t="inlineStr">
        <is>
          <t>valorant-tiered-elo-v6</t>
        </is>
      </c>
      <c r="BD52" s="24" t="inlineStr">
        <is>
          <t>af3d00b935358b29757b887763afd672c7c8a6d4157c0044d3888bfce55ec3d6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valorant-tiered-elo-v6</t>
        </is>
      </c>
      <c r="BH52" s="24" t="inlineStr">
        <is>
          <t>2026-08-12T08:22:23.424687Z</t>
        </is>
      </c>
      <c r="BI52" s="24" t="inlineStr">
        <is>
          <t>["same_event","same_team_same_day","same_league_same_day"]</t>
        </is>
      </c>
      <c r="BJ52" s="25" t="n"/>
      <c r="BK52" s="26" t="n">
        <v>-133</v>
      </c>
      <c r="BL52" s="27" t="n">
        <v>1.75188</v>
      </c>
      <c r="BM52" s="28" t="n">
        <v>0.570815</v>
      </c>
      <c r="BN52" s="28" t="n"/>
      <c r="BO52" s="28" t="n"/>
      <c r="BP52" s="25" t="n"/>
      <c r="BQ52" s="27" t="n">
        <v>1.75188</v>
      </c>
      <c r="BR52" s="28" t="n">
        <v>0.57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</row>
    <row r="53" ht="36" customHeight="1">
      <c r="A53" s="24" t="inlineStr">
        <is>
          <t>ae036ee3fab94c33</t>
        </is>
      </c>
      <c r="B53" s="24" t="inlineStr">
        <is>
          <t>2026-08-12T14:37:16.864247Z</t>
        </is>
      </c>
      <c r="C53" s="24" t="inlineStr">
        <is>
          <t>2026-08-12T15:00:00Z</t>
        </is>
      </c>
      <c r="D53" s="24" t="inlineStr">
        <is>
          <t>76905</t>
        </is>
      </c>
      <c r="E53" s="24" t="inlineStr">
        <is>
          <t>VALORANT</t>
        </is>
      </c>
      <c r="F53" s="24" t="inlineStr">
        <is>
          <t>Gentle Mates</t>
        </is>
      </c>
      <c r="G53" s="24" t="inlineStr">
        <is>
          <t>Eintracht Frankfurt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223</v>
      </c>
      <c r="M53" s="27" t="n">
        <v>3.23</v>
      </c>
      <c r="N53" s="28" t="n">
        <v>0.309598</v>
      </c>
      <c r="O53" s="28" t="n">
        <v>0.601267</v>
      </c>
      <c r="P53" s="28" t="n"/>
      <c r="Q53" s="28" t="n">
        <v>0.291669</v>
      </c>
      <c r="R53" s="26" t="n">
        <v>100</v>
      </c>
      <c r="S53" s="29" t="n">
        <v>1.25</v>
      </c>
      <c r="T53" s="24" t="inlineStr">
        <is>
          <t>valorant-tiered-elo-v6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>
        <v>223</v>
      </c>
      <c r="AA53" s="28" t="n">
        <v>0.31</v>
      </c>
      <c r="AB53" s="28" t="n">
        <v>0.000402</v>
      </c>
      <c r="AC53" s="30" t="n">
        <v>2.7875</v>
      </c>
      <c r="AD53" s="24" t="inlineStr">
        <is>
          <t>2026-08-12T17:40:52.702365Z</t>
        </is>
      </c>
      <c r="AE53" s="31" t="inlineStr">
        <is>
          <t>Neutral Elo baseline; executable ask 0.3100 (market_slug=aec-valorant-sge-gm-2026-08-12).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Gentle Mates</t>
        </is>
      </c>
      <c r="AQ53" s="24" t="inlineStr">
        <is>
          <t>Gentle Mates</t>
        </is>
      </c>
      <c r="AR53" s="24" t="inlineStr">
        <is>
          <t>Gentle Mates</t>
        </is>
      </c>
      <c r="AS53" s="24" t="inlineStr">
        <is>
          <t>Eintracht Frankfurt</t>
        </is>
      </c>
      <c r="AT53" s="24" t="inlineStr">
        <is>
          <t>Eintracht Frankfurt</t>
        </is>
      </c>
      <c r="AU53" s="24" t="inlineStr">
        <is>
          <t>Eintracht Frankfurt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544d1cd34df6c8d22913af55b6e1b019f8a76a060474a2450daa185b339b6d8d</t>
        </is>
      </c>
      <c r="BB53" s="24" t="inlineStr">
        <is>
          <t>neutral_elo</t>
        </is>
      </c>
      <c r="BC53" s="24" t="inlineStr">
        <is>
          <t>valorant-tiered-elo-v6</t>
        </is>
      </c>
      <c r="BD53" s="24" t="inlineStr">
        <is>
          <t>544d1cd34df6c8d22913af55b6e1b019f8a76a060474a2450daa185b339b6d8d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valorant-tiered-elo-v6</t>
        </is>
      </c>
      <c r="BH53" s="24" t="inlineStr">
        <is>
          <t>2026-08-12T14:37:09.887094Z</t>
        </is>
      </c>
      <c r="BI53" s="24" t="inlineStr">
        <is>
          <t>["same_event","same_team_same_day","same_league_same_day"]</t>
        </is>
      </c>
      <c r="BJ53" s="25" t="n"/>
      <c r="BK53" s="26" t="n">
        <v>223</v>
      </c>
      <c r="BL53" s="27" t="n">
        <v>3.23</v>
      </c>
      <c r="BM53" s="28" t="n">
        <v>0.309598</v>
      </c>
      <c r="BN53" s="28" t="n"/>
      <c r="BO53" s="28" t="n"/>
      <c r="BP53" s="25" t="n"/>
      <c r="BQ53" s="27" t="n">
        <v>3.23</v>
      </c>
      <c r="BR53" s="28" t="n">
        <v>0.31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</row>
    <row r="54" ht="36" customHeight="1">
      <c r="A54" s="24" t="inlineStr">
        <is>
          <t>b1034ef267cd49a7</t>
        </is>
      </c>
      <c r="B54" s="24" t="inlineStr">
        <is>
          <t>2026-08-12T17:44:36.247336Z</t>
        </is>
      </c>
      <c r="C54" s="24" t="inlineStr">
        <is>
          <t>2026-08-12T18:00:00Z</t>
        </is>
      </c>
      <c r="D54" s="24" t="inlineStr">
        <is>
          <t>76535</t>
        </is>
      </c>
      <c r="E54" s="24" t="inlineStr">
        <is>
          <t>VALORANT</t>
        </is>
      </c>
      <c r="F54" s="24" t="inlineStr">
        <is>
          <t>Natus Vincere</t>
        </is>
      </c>
      <c r="G54" s="24" t="inlineStr">
        <is>
          <t>Team Heretics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-138</v>
      </c>
      <c r="M54" s="27" t="n">
        <v>1.724638</v>
      </c>
      <c r="N54" s="28" t="n">
        <v>0.579832</v>
      </c>
      <c r="O54" s="28" t="n">
        <v>0.642814</v>
      </c>
      <c r="P54" s="28" t="n"/>
      <c r="Q54" s="28" t="n">
        <v>0.062982</v>
      </c>
      <c r="R54" s="26" t="n">
        <v>51</v>
      </c>
      <c r="S54" s="29" t="n">
        <v>1.5</v>
      </c>
      <c r="T54" s="24" t="inlineStr">
        <is>
          <t>valorant-tiered-elo-v6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Neutral Elo baseline; executable ask 0.5800 (market_slug=aec-valorant-th-navi-2026-08-12).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Natus Vincere</t>
        </is>
      </c>
      <c r="AQ54" s="24" t="inlineStr">
        <is>
          <t>Natus Vincere</t>
        </is>
      </c>
      <c r="AR54" s="24" t="inlineStr">
        <is>
          <t>Natus Vincere</t>
        </is>
      </c>
      <c r="AS54" s="24" t="inlineStr">
        <is>
          <t>Team Heretics</t>
        </is>
      </c>
      <c r="AT54" s="24" t="inlineStr">
        <is>
          <t>Team Heretics</t>
        </is>
      </c>
      <c r="AU54" s="24" t="inlineStr">
        <is>
          <t>Team Heretics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3e30c9a8fb6f01c0c89924e36259c4ce725d15ed0ed8c2c80c389169eabcc95f</t>
        </is>
      </c>
      <c r="BB54" s="24" t="inlineStr">
        <is>
          <t>neutral_elo</t>
        </is>
      </c>
      <c r="BC54" s="24" t="inlineStr">
        <is>
          <t>valorant-tiered-elo-v6</t>
        </is>
      </c>
      <c r="BD54" s="24" t="inlineStr">
        <is>
          <t>3e30c9a8fb6f01c0c89924e36259c4ce725d15ed0ed8c2c80c389169eabcc95f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valorant-tiered-elo-v6</t>
        </is>
      </c>
      <c r="BH54" s="24" t="inlineStr">
        <is>
          <t>2026-08-12T17:44:26.441713Z</t>
        </is>
      </c>
      <c r="BI54" s="24" t="inlineStr">
        <is>
          <t>["same_event","same_team_same_day","same_league_same_day"]</t>
        </is>
      </c>
      <c r="BJ54" s="25" t="n"/>
      <c r="BK54" s="26" t="n">
        <v>-138</v>
      </c>
      <c r="BL54" s="27" t="n">
        <v>1.724638</v>
      </c>
      <c r="BM54" s="28" t="n">
        <v>0.579832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</row>
    <row r="55" ht="36" customHeight="1">
      <c r="A55" s="24" t="inlineStr">
        <is>
          <t>00aa6aaa613b4e55</t>
        </is>
      </c>
      <c r="B55" s="24" t="inlineStr">
        <is>
          <t>2026-08-12T17:44:36.247336Z</t>
        </is>
      </c>
      <c r="C55" s="24" t="inlineStr">
        <is>
          <t>2026-08-12T21:00:00Z</t>
        </is>
      </c>
      <c r="D55" s="24" t="inlineStr">
        <is>
          <t>78198</t>
        </is>
      </c>
      <c r="E55" s="24" t="inlineStr">
        <is>
          <t>VALORANT</t>
        </is>
      </c>
      <c r="F55" s="24" t="inlineStr">
        <is>
          <t>HIMMERS</t>
        </is>
      </c>
      <c r="G55" s="24" t="inlineStr">
        <is>
          <t>SEN Otters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-133</v>
      </c>
      <c r="M55" s="27" t="n">
        <v>1.75188</v>
      </c>
      <c r="N55" s="28" t="n">
        <v>0.570815</v>
      </c>
      <c r="O55" s="28" t="n">
        <v>0.538521</v>
      </c>
      <c r="P55" s="28" t="n"/>
      <c r="Q55" s="28" t="n">
        <v>-0.032294</v>
      </c>
      <c r="R55" s="26" t="n">
        <v>4</v>
      </c>
      <c r="S55" s="29" t="n">
        <v>1</v>
      </c>
      <c r="T55" s="24" t="inlineStr">
        <is>
          <t>valorant-tiered-elo-v6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Neutral Elo baseline; executable ask 0.5700 (market_slug=aec-valorant-soe-him-2026-08-12).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NO_CALL_LOW_EDGE</t>
        </is>
      </c>
      <c r="AP55" s="24" t="inlineStr">
        <is>
          <t>HIMMERS</t>
        </is>
      </c>
      <c r="AQ55" s="24" t="inlineStr">
        <is>
          <t>HIMMERS</t>
        </is>
      </c>
      <c r="AR55" s="24" t="inlineStr">
        <is>
          <t>HIMMERS</t>
        </is>
      </c>
      <c r="AS55" s="24" t="inlineStr">
        <is>
          <t>SEN Otters</t>
        </is>
      </c>
      <c r="AT55" s="24" t="inlineStr">
        <is>
          <t>SEN Otters</t>
        </is>
      </c>
      <c r="AU55" s="24" t="inlineStr">
        <is>
          <t>SEN Otters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3e30c9a8fb6f01c0c89924e36259c4ce725d15ed0ed8c2c80c389169eabcc95f</t>
        </is>
      </c>
      <c r="BB55" s="24" t="inlineStr">
        <is>
          <t>neutral_elo</t>
        </is>
      </c>
      <c r="BC55" s="24" t="inlineStr">
        <is>
          <t>valorant-tiered-elo-v6</t>
        </is>
      </c>
      <c r="BD55" s="24" t="inlineStr">
        <is>
          <t>3e30c9a8fb6f01c0c89924e36259c4ce725d15ed0ed8c2c80c389169eabcc95f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valorant-tiered-elo-v6</t>
        </is>
      </c>
      <c r="BH55" s="24" t="inlineStr">
        <is>
          <t>2026-08-12T17:44:26.918442Z</t>
        </is>
      </c>
      <c r="BI55" s="24" t="inlineStr">
        <is>
          <t>["same_event","same_team_same_day","same_league_same_day"]</t>
        </is>
      </c>
      <c r="BJ55" s="25" t="n"/>
      <c r="BK55" s="26" t="n">
        <v>-133</v>
      </c>
      <c r="BL55" s="27" t="n">
        <v>1.75188</v>
      </c>
      <c r="BM55" s="28" t="n">
        <v>0.570815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</row>
    <row r="56" ht="36" customHeight="1">
      <c r="A56" s="24" t="inlineStr">
        <is>
          <t>29539f8c5f8b42c0</t>
        </is>
      </c>
      <c r="B56" s="24" t="inlineStr">
        <is>
          <t>2026-08-12T17:44:36.247336Z</t>
        </is>
      </c>
      <c r="C56" s="24" t="inlineStr">
        <is>
          <t>2026-08-12T23:30:00Z</t>
        </is>
      </c>
      <c r="D56" s="24" t="inlineStr">
        <is>
          <t>78203</t>
        </is>
      </c>
      <c r="E56" s="24" t="inlineStr">
        <is>
          <t>VALORANT</t>
        </is>
      </c>
      <c r="F56" s="24" t="inlineStr">
        <is>
          <t>ORA Temper</t>
        </is>
      </c>
      <c r="G56" s="24" t="inlineStr">
        <is>
          <t>:3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-156</v>
      </c>
      <c r="M56" s="27" t="n">
        <v>1.641026</v>
      </c>
      <c r="N56" s="28" t="n">
        <v>0.609375</v>
      </c>
      <c r="O56" s="28" t="n">
        <v>0.5088240000000001</v>
      </c>
      <c r="P56" s="28" t="n"/>
      <c r="Q56" s="28" t="n">
        <v>-0.100551</v>
      </c>
      <c r="R56" s="26" t="n">
        <v>0</v>
      </c>
      <c r="S56" s="29" t="n">
        <v>1</v>
      </c>
      <c r="T56" s="24" t="inlineStr">
        <is>
          <t>valorant-tiered-elo-v6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Neutral Elo baseline; executable ask 0.6100 (market_slug=aec-valorant-meow-orat-2026-08-12).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NO_CALL_LOW_EDGE</t>
        </is>
      </c>
      <c r="AP56" s="24" t="inlineStr">
        <is>
          <t>ORA Temper</t>
        </is>
      </c>
      <c r="AQ56" s="24" t="inlineStr">
        <is>
          <t>ORA Temper</t>
        </is>
      </c>
      <c r="AR56" s="24" t="inlineStr">
        <is>
          <t>ORA Temper</t>
        </is>
      </c>
      <c r="AS56" s="24" t="inlineStr">
        <is>
          <t>:3</t>
        </is>
      </c>
      <c r="AT56" s="24" t="inlineStr">
        <is>
          <t>:3</t>
        </is>
      </c>
      <c r="AU56" s="24" t="inlineStr">
        <is>
          <t>:3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3e30c9a8fb6f01c0c89924e36259c4ce725d15ed0ed8c2c80c389169eabcc95f</t>
        </is>
      </c>
      <c r="BB56" s="24" t="inlineStr">
        <is>
          <t>neutral_elo</t>
        </is>
      </c>
      <c r="BC56" s="24" t="inlineStr">
        <is>
          <t>valorant-tiered-elo-v6</t>
        </is>
      </c>
      <c r="BD56" s="24" t="inlineStr">
        <is>
          <t>3e30c9a8fb6f01c0c89924e36259c4ce725d15ed0ed8c2c80c389169eabcc95f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valorant-tiered-elo-v6</t>
        </is>
      </c>
      <c r="BH56" s="24" t="inlineStr">
        <is>
          <t>2026-08-12T17:44:29.378374Z</t>
        </is>
      </c>
      <c r="BI56" s="24" t="inlineStr">
        <is>
          <t>["same_event","same_team_same_day","same_league_same_day"]</t>
        </is>
      </c>
      <c r="BJ56" s="25" t="n"/>
      <c r="BK56" s="26" t="n">
        <v>-156</v>
      </c>
      <c r="BL56" s="27" t="n">
        <v>1.641026</v>
      </c>
      <c r="BM56" s="28" t="n">
        <v>0.609375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</row>
    <row r="57" ht="36" customHeight="1">
      <c r="A57" s="24" t="inlineStr">
        <is>
          <t>560face5a03c4aa9</t>
        </is>
      </c>
      <c r="B57" s="24" t="inlineStr">
        <is>
          <t>2026-08-12T17:44:36.247336Z</t>
        </is>
      </c>
      <c r="C57" s="24" t="inlineStr">
        <is>
          <t>2026-08-12T23:30:00Z</t>
        </is>
      </c>
      <c r="D57" s="24" t="inlineStr">
        <is>
          <t>78205</t>
        </is>
      </c>
      <c r="E57" s="24" t="inlineStr">
        <is>
          <t>VALORANT</t>
        </is>
      </c>
      <c r="F57" s="24" t="inlineStr">
        <is>
          <t>The Spiders</t>
        </is>
      </c>
      <c r="G57" s="24" t="inlineStr">
        <is>
          <t>MVSK Secret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203</v>
      </c>
      <c r="M57" s="27" t="n">
        <v>3.03</v>
      </c>
      <c r="N57" s="28" t="n">
        <v>0.330033</v>
      </c>
      <c r="O57" s="28" t="n">
        <v>0.519891</v>
      </c>
      <c r="P57" s="28" t="n"/>
      <c r="Q57" s="28" t="n">
        <v>0.189858</v>
      </c>
      <c r="R57" s="26" t="n">
        <v>100</v>
      </c>
      <c r="S57" s="29" t="n">
        <v>1</v>
      </c>
      <c r="T57" s="24" t="inlineStr">
        <is>
          <t>valorant-tiered-elo-v6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Neutral Elo baseline; executable ask 0.3300 (market_slug=aec-valorant-mvs-spi-2026-08-12).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The Spiders</t>
        </is>
      </c>
      <c r="AQ57" s="24" t="inlineStr">
        <is>
          <t>The Spiders</t>
        </is>
      </c>
      <c r="AR57" s="24" t="inlineStr">
        <is>
          <t>The Spiders</t>
        </is>
      </c>
      <c r="AS57" s="24" t="inlineStr">
        <is>
          <t>MVSK Secret</t>
        </is>
      </c>
      <c r="AT57" s="24" t="inlineStr">
        <is>
          <t>MVSK Secret</t>
        </is>
      </c>
      <c r="AU57" s="24" t="inlineStr">
        <is>
          <t>MVSK Secret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3e30c9a8fb6f01c0c89924e36259c4ce725d15ed0ed8c2c80c389169eabcc95f</t>
        </is>
      </c>
      <c r="BB57" s="24" t="inlineStr">
        <is>
          <t>neutral_elo</t>
        </is>
      </c>
      <c r="BC57" s="24" t="inlineStr">
        <is>
          <t>valorant-tiered-elo-v6</t>
        </is>
      </c>
      <c r="BD57" s="24" t="inlineStr">
        <is>
          <t>3e30c9a8fb6f01c0c89924e36259c4ce725d15ed0ed8c2c80c389169eabcc95f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valorant-tiered-elo-v6</t>
        </is>
      </c>
      <c r="BH57" s="24" t="inlineStr">
        <is>
          <t>2026-08-12T17:44:30.097634Z</t>
        </is>
      </c>
      <c r="BI57" s="24" t="inlineStr">
        <is>
          <t>["same_event","same_team_same_day","same_league_same_day"]</t>
        </is>
      </c>
      <c r="BJ57" s="25" t="n"/>
      <c r="BK57" s="26" t="n">
        <v>203</v>
      </c>
      <c r="BL57" s="27" t="n">
        <v>3.03</v>
      </c>
      <c r="BM57" s="28" t="n">
        <v>0.330033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</row>
    <row r="58" ht="36" customHeight="1">
      <c r="A58" s="24" t="inlineStr">
        <is>
          <t>bee6ad3fdb514e76</t>
        </is>
      </c>
      <c r="B58" s="24" t="inlineStr">
        <is>
          <t>2026-08-12T17:44:36.247336Z</t>
        </is>
      </c>
      <c r="C58" s="24" t="inlineStr">
        <is>
          <t>2026-08-13T08:00:00Z</t>
        </is>
      </c>
      <c r="D58" s="24" t="inlineStr">
        <is>
          <t>77171</t>
        </is>
      </c>
      <c r="E58" s="24" t="inlineStr">
        <is>
          <t>VALORANT</t>
        </is>
      </c>
      <c r="F58" s="24" t="inlineStr">
        <is>
          <t>ONSIDE GAMING</t>
        </is>
      </c>
      <c r="G58" s="24" t="inlineStr">
        <is>
          <t>Kiwoom DRX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138</v>
      </c>
      <c r="M58" s="27" t="n">
        <v>2.38</v>
      </c>
      <c r="N58" s="28" t="n">
        <v>0.420168</v>
      </c>
      <c r="O58" s="28" t="n">
        <v>0.578341</v>
      </c>
      <c r="P58" s="28" t="n"/>
      <c r="Q58" s="28" t="n">
        <v>0.158173</v>
      </c>
      <c r="R58" s="26" t="n">
        <v>99</v>
      </c>
      <c r="S58" s="29" t="n">
        <v>1.25</v>
      </c>
      <c r="T58" s="24" t="inlineStr">
        <is>
          <t>valorant-tiered-elo-v6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Neutral Elo baseline; executable ask 0.4200 (market_slug=aec-valorant-krx-osg-2026-08-13).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ONSIDE GAMING</t>
        </is>
      </c>
      <c r="AQ58" s="24" t="inlineStr">
        <is>
          <t>ONSIDE GAMING</t>
        </is>
      </c>
      <c r="AR58" s="24" t="inlineStr">
        <is>
          <t>ONSIDE GAMING</t>
        </is>
      </c>
      <c r="AS58" s="24" t="inlineStr">
        <is>
          <t>Kiwoom DRX</t>
        </is>
      </c>
      <c r="AT58" s="24" t="inlineStr">
        <is>
          <t>Kiwoom DRX</t>
        </is>
      </c>
      <c r="AU58" s="24" t="inlineStr">
        <is>
          <t>Kiwoom DRX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3e30c9a8fb6f01c0c89924e36259c4ce725d15ed0ed8c2c80c389169eabcc95f</t>
        </is>
      </c>
      <c r="BB58" s="24" t="inlineStr">
        <is>
          <t>neutral_elo</t>
        </is>
      </c>
      <c r="BC58" s="24" t="inlineStr">
        <is>
          <t>valorant-tiered-elo-v6</t>
        </is>
      </c>
      <c r="BD58" s="24" t="inlineStr">
        <is>
          <t>3e30c9a8fb6f01c0c89924e36259c4ce725d15ed0ed8c2c80c389169eabcc95f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valorant-tiered-elo-v6</t>
        </is>
      </c>
      <c r="BH58" s="24" t="inlineStr">
        <is>
          <t>2026-08-12T17:44:30.751879Z</t>
        </is>
      </c>
      <c r="BI58" s="24" t="inlineStr">
        <is>
          <t>["same_event","same_team_same_day","same_league_same_day"]</t>
        </is>
      </c>
      <c r="BJ58" s="25" t="n"/>
      <c r="BK58" s="26" t="n">
        <v>138</v>
      </c>
      <c r="BL58" s="27" t="n">
        <v>2.38</v>
      </c>
      <c r="BM58" s="28" t="n">
        <v>0.420168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</row>
    <row r="59" ht="36" customHeight="1">
      <c r="A59" s="24" t="inlineStr">
        <is>
          <t>956cd7aa53f34ff0</t>
        </is>
      </c>
      <c r="B59" s="24" t="inlineStr">
        <is>
          <t>2026-08-12T17:44:36.247336Z</t>
        </is>
      </c>
      <c r="C59" s="24" t="inlineStr">
        <is>
          <t>2026-08-13T11:00:00Z</t>
        </is>
      </c>
      <c r="D59" s="24" t="inlineStr">
        <is>
          <t>77227</t>
        </is>
      </c>
      <c r="E59" s="24" t="inlineStr">
        <is>
          <t>VALORANT</t>
        </is>
      </c>
      <c r="F59" s="24" t="inlineStr">
        <is>
          <t>Sharper Esport</t>
        </is>
      </c>
      <c r="G59" s="24" t="inlineStr">
        <is>
          <t>Rex Regum Qeon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212</v>
      </c>
      <c r="M59" s="27" t="n">
        <v>3.12</v>
      </c>
      <c r="N59" s="28" t="n">
        <v>0.320513</v>
      </c>
      <c r="O59" s="28" t="n">
        <v>0.536314</v>
      </c>
      <c r="P59" s="28" t="n"/>
      <c r="Q59" s="28" t="n">
        <v>0.215801</v>
      </c>
      <c r="R59" s="26" t="n">
        <v>100</v>
      </c>
      <c r="S59" s="29" t="n">
        <v>1</v>
      </c>
      <c r="T59" s="24" t="inlineStr">
        <is>
          <t>valorant-tiered-elo-v6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Neutral Elo baseline; executable ask 0.3200 (market_slug=aec-valorant-rrq-spe-2026-08-13).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Sharper Esport</t>
        </is>
      </c>
      <c r="AQ59" s="24" t="inlineStr">
        <is>
          <t>Sharper Esport</t>
        </is>
      </c>
      <c r="AR59" s="24" t="inlineStr">
        <is>
          <t>Sharper Esport</t>
        </is>
      </c>
      <c r="AS59" s="24" t="inlineStr">
        <is>
          <t>Rex Regum Qeon</t>
        </is>
      </c>
      <c r="AT59" s="24" t="inlineStr">
        <is>
          <t>Rex Regum Qeon</t>
        </is>
      </c>
      <c r="AU59" s="24" t="inlineStr">
        <is>
          <t>Rex Regum Qeon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3e30c9a8fb6f01c0c89924e36259c4ce725d15ed0ed8c2c80c389169eabcc95f</t>
        </is>
      </c>
      <c r="BB59" s="24" t="inlineStr">
        <is>
          <t>neutral_elo</t>
        </is>
      </c>
      <c r="BC59" s="24" t="inlineStr">
        <is>
          <t>valorant-tiered-elo-v6</t>
        </is>
      </c>
      <c r="BD59" s="24" t="inlineStr">
        <is>
          <t>3e30c9a8fb6f01c0c89924e36259c4ce725d15ed0ed8c2c80c389169eabcc95f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valorant-tiered-elo-v6</t>
        </is>
      </c>
      <c r="BH59" s="24" t="inlineStr">
        <is>
          <t>2026-08-12T17:44:31.632005Z</t>
        </is>
      </c>
      <c r="BI59" s="24" t="inlineStr">
        <is>
          <t>["same_event","same_team_same_day","same_league_same_day"]</t>
        </is>
      </c>
      <c r="BJ59" s="25" t="n"/>
      <c r="BK59" s="26" t="n">
        <v>212</v>
      </c>
      <c r="BL59" s="27" t="n">
        <v>3.12</v>
      </c>
      <c r="BM59" s="28" t="n">
        <v>0.320513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</row>
    <row r="60" ht="36" customHeight="1">
      <c r="A60" s="24" t="inlineStr">
        <is>
          <t>e51662af7d824e73</t>
        </is>
      </c>
      <c r="B60" s="24" t="inlineStr">
        <is>
          <t>2026-08-12T17:44:36.247336Z</t>
        </is>
      </c>
      <c r="C60" s="24" t="inlineStr">
        <is>
          <t>2026-08-13T18:00:00Z</t>
        </is>
      </c>
      <c r="D60" s="24" t="inlineStr">
        <is>
          <t>77546</t>
        </is>
      </c>
      <c r="E60" s="24" t="inlineStr">
        <is>
          <t>VALORANT</t>
        </is>
      </c>
      <c r="F60" s="24" t="inlineStr">
        <is>
          <t>Gentle Mates GC</t>
        </is>
      </c>
      <c r="G60" s="24" t="inlineStr">
        <is>
          <t>FOKUS Sakura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-194</v>
      </c>
      <c r="M60" s="27" t="n">
        <v>1.515464</v>
      </c>
      <c r="N60" s="28" t="n">
        <v>0.659864</v>
      </c>
      <c r="O60" s="28" t="n">
        <v>0.689042</v>
      </c>
      <c r="P60" s="28" t="n"/>
      <c r="Q60" s="28" t="n">
        <v>0.029178</v>
      </c>
      <c r="R60" s="26" t="n">
        <v>35</v>
      </c>
      <c r="S60" s="29" t="n">
        <v>2</v>
      </c>
      <c r="T60" s="24" t="inlineStr">
        <is>
          <t>valorant-tiered-elo-v6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Neutral Elo baseline; executable ask 0.6600 (market_slug=aec-valorant-fso-m8gc-2026-08-13).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Gentle Mates GC</t>
        </is>
      </c>
      <c r="AQ60" s="24" t="inlineStr">
        <is>
          <t>Gentle Mates GC</t>
        </is>
      </c>
      <c r="AR60" s="24" t="inlineStr">
        <is>
          <t>Gentle Mates GC</t>
        </is>
      </c>
      <c r="AS60" s="24" t="inlineStr">
        <is>
          <t>FOKUS Sakura</t>
        </is>
      </c>
      <c r="AT60" s="24" t="inlineStr">
        <is>
          <t>FOKUS Sakura</t>
        </is>
      </c>
      <c r="AU60" s="24" t="inlineStr">
        <is>
          <t>FOKUS Sakura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3e30c9a8fb6f01c0c89924e36259c4ce725d15ed0ed8c2c80c389169eabcc95f</t>
        </is>
      </c>
      <c r="BB60" s="24" t="inlineStr">
        <is>
          <t>neutral_elo</t>
        </is>
      </c>
      <c r="BC60" s="24" t="inlineStr">
        <is>
          <t>valorant-tiered-elo-v6</t>
        </is>
      </c>
      <c r="BD60" s="24" t="inlineStr">
        <is>
          <t>3e30c9a8fb6f01c0c89924e36259c4ce725d15ed0ed8c2c80c389169eabcc95f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valorant-tiered-elo-v6</t>
        </is>
      </c>
      <c r="BH60" s="24" t="inlineStr">
        <is>
          <t>2026-08-12T17:44:34.768410Z</t>
        </is>
      </c>
      <c r="BI60" s="24" t="inlineStr">
        <is>
          <t>["same_event","same_team_same_day","same_league_same_day"]</t>
        </is>
      </c>
      <c r="BJ60" s="25" t="n"/>
      <c r="BK60" s="26" t="n">
        <v>-194</v>
      </c>
      <c r="BL60" s="27" t="n">
        <v>1.515464</v>
      </c>
      <c r="BM60" s="28" t="n">
        <v>0.659864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</row>
    <row r="61" ht="36" customHeight="1">
      <c r="A61" s="24" t="inlineStr">
        <is>
          <t>8a26c1ed917d4534</t>
        </is>
      </c>
      <c r="B61" s="24" t="inlineStr">
        <is>
          <t>2026-08-12T17:44:36.247336Z</t>
        </is>
      </c>
      <c r="C61" s="24" t="inlineStr">
        <is>
          <t>2026-08-13T21:00:00Z</t>
        </is>
      </c>
      <c r="D61" s="24" t="inlineStr">
        <is>
          <t>77923</t>
        </is>
      </c>
      <c r="E61" s="24" t="inlineStr">
        <is>
          <t>VALORANT</t>
        </is>
      </c>
      <c r="F61" s="24" t="inlineStr">
        <is>
          <t>BESTIA</t>
        </is>
      </c>
      <c r="G61" s="24" t="inlineStr">
        <is>
          <t>KRÜ Esports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150</v>
      </c>
      <c r="M61" s="27" t="n">
        <v>2.5</v>
      </c>
      <c r="N61" s="28" t="n">
        <v>0.4</v>
      </c>
      <c r="O61" s="28" t="n">
        <v>0.727042</v>
      </c>
      <c r="P61" s="28" t="n"/>
      <c r="Q61" s="28" t="n">
        <v>0.327042</v>
      </c>
      <c r="R61" s="26" t="n">
        <v>100</v>
      </c>
      <c r="S61" s="29" t="n">
        <v>2</v>
      </c>
      <c r="T61" s="24" t="inlineStr">
        <is>
          <t>valorant-tiered-elo-v6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Neutral Elo baseline; executable ask 0.4000 (market_slug=aec-valorant-kr-bst-2026-08-13).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BESTIA</t>
        </is>
      </c>
      <c r="AQ61" s="24" t="inlineStr">
        <is>
          <t>BESTIA</t>
        </is>
      </c>
      <c r="AR61" s="24" t="inlineStr">
        <is>
          <t>BESTIA</t>
        </is>
      </c>
      <c r="AS61" s="24" t="inlineStr">
        <is>
          <t>KRÜ Esports</t>
        </is>
      </c>
      <c r="AT61" s="24" t="inlineStr">
        <is>
          <t>KRÜ Esports</t>
        </is>
      </c>
      <c r="AU61" s="24" t="inlineStr">
        <is>
          <t>KRÜ Esports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3e30c9a8fb6f01c0c89924e36259c4ce725d15ed0ed8c2c80c389169eabcc95f</t>
        </is>
      </c>
      <c r="BB61" s="24" t="inlineStr">
        <is>
          <t>neutral_elo</t>
        </is>
      </c>
      <c r="BC61" s="24" t="inlineStr">
        <is>
          <t>valorant-tiered-elo-v6</t>
        </is>
      </c>
      <c r="BD61" s="24" t="inlineStr">
        <is>
          <t>3e30c9a8fb6f01c0c89924e36259c4ce725d15ed0ed8c2c80c389169eabcc95f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valorant-tiered-elo-v6</t>
        </is>
      </c>
      <c r="BH61" s="24" t="inlineStr">
        <is>
          <t>2026-08-12T17:44:35.503645Z</t>
        </is>
      </c>
      <c r="BI61" s="24" t="inlineStr">
        <is>
          <t>["same_event","same_team_same_day","same_league_same_day"]</t>
        </is>
      </c>
      <c r="BJ61" s="25" t="n"/>
      <c r="BK61" s="26" t="n">
        <v>150</v>
      </c>
      <c r="BL61" s="27" t="n">
        <v>2.5</v>
      </c>
      <c r="BM61" s="28" t="n">
        <v>0.4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</row>
    <row r="62" ht="36" customHeight="1">
      <c r="A62" s="24" t="inlineStr">
        <is>
          <t>9b4bee73650f4a38</t>
        </is>
      </c>
      <c r="B62" s="24" t="inlineStr">
        <is>
          <t>2026-08-12T17:44:36.247336Z</t>
        </is>
      </c>
      <c r="C62" s="24" t="inlineStr">
        <is>
          <t>2026-08-14T00:00:00Z</t>
        </is>
      </c>
      <c r="D62" s="24" t="inlineStr">
        <is>
          <t>78063</t>
        </is>
      </c>
      <c r="E62" s="24" t="inlineStr">
        <is>
          <t>VALORANT</t>
        </is>
      </c>
      <c r="F62" s="24" t="inlineStr">
        <is>
          <t>M80</t>
        </is>
      </c>
      <c r="G62" s="24" t="inlineStr">
        <is>
          <t>Team Envy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-144</v>
      </c>
      <c r="M62" s="27" t="n">
        <v>1.694444</v>
      </c>
      <c r="N62" s="28" t="n">
        <v>0.590164</v>
      </c>
      <c r="O62" s="28" t="n">
        <v>0.764164</v>
      </c>
      <c r="P62" s="28" t="n"/>
      <c r="Q62" s="28" t="n">
        <v>0.174</v>
      </c>
      <c r="R62" s="26" t="n">
        <v>100</v>
      </c>
      <c r="S62" s="29" t="n">
        <v>2</v>
      </c>
      <c r="T62" s="24" t="inlineStr">
        <is>
          <t>valorant-tiered-elo-v6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Neutral Elo baseline; executable ask 0.5900 (market_slug=aec-valorant-nv-m80-2026-08-14).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M80</t>
        </is>
      </c>
      <c r="AQ62" s="24" t="inlineStr">
        <is>
          <t>M80</t>
        </is>
      </c>
      <c r="AR62" s="24" t="inlineStr">
        <is>
          <t>M80</t>
        </is>
      </c>
      <c r="AS62" s="24" t="inlineStr">
        <is>
          <t>Team Envy</t>
        </is>
      </c>
      <c r="AT62" s="24" t="inlineStr">
        <is>
          <t>Team Envy</t>
        </is>
      </c>
      <c r="AU62" s="24" t="inlineStr">
        <is>
          <t>Team Envy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3e30c9a8fb6f01c0c89924e36259c4ce725d15ed0ed8c2c80c389169eabcc95f</t>
        </is>
      </c>
      <c r="BB62" s="24" t="inlineStr">
        <is>
          <t>neutral_elo</t>
        </is>
      </c>
      <c r="BC62" s="24" t="inlineStr">
        <is>
          <t>valorant-tiered-elo-v6</t>
        </is>
      </c>
      <c r="BD62" s="24" t="inlineStr">
        <is>
          <t>3e30c9a8fb6f01c0c89924e36259c4ce725d15ed0ed8c2c80c389169eabcc95f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valorant-tiered-elo-v6</t>
        </is>
      </c>
      <c r="BH62" s="24" t="inlineStr">
        <is>
          <t>2026-08-12T17:44:36.244313Z</t>
        </is>
      </c>
      <c r="BI62" s="24" t="inlineStr">
        <is>
          <t>["same_event","same_team_same_day","same_league_same_day"]</t>
        </is>
      </c>
      <c r="BJ62" s="25" t="n"/>
      <c r="BK62" s="26" t="n">
        <v>-144</v>
      </c>
      <c r="BL62" s="27" t="n">
        <v>1.694444</v>
      </c>
      <c r="BM62" s="28" t="n">
        <v>0.590164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2026-08-12T17:44:39Z</dcterms:created>
  <dcterms:modified xmlns:dcterms="http://purl.org/dc/terms/" xmlns:xsi="http://www.w3.org/2001/XMLSchema-instance" xsi:type="dcterms:W3CDTF">2026-08-12T17:44:39Z</dcterms:modified>
</cp:coreProperties>
</file>