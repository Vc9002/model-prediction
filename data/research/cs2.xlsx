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91" headerRowCount="1">
  <autoFilter ref="A1:CS91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COUNTA('Picks'!$A$2:$A$91)</f>
        <v/>
      </c>
      <c r="C4" s="6">
        <f>COUNTIF('Picks'!$U$2:$U$91,"open")</f>
        <v/>
      </c>
      <c r="E4" s="6">
        <f>COUNTIF('Picks'!$U$2:$U$91,"settled")</f>
        <v/>
      </c>
      <c r="G4" s="6">
        <f>IF(COUNTIFS('Picks'!$U$2:$U$91,"settled",'Picks'!$V$2:$V$91,"win")+COUNTIFS('Picks'!$U$2:$U$91,"settled",'Picks'!$V$2:$V$91,"loss")&gt;=$L$2,"Ready","Insufficient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COUNTIF('Picks'!$BX$2:$BX$91,"&gt;0")</f>
        <v/>
      </c>
      <c r="C7" s="6">
        <f>COUNTIFS('Picks'!$BX$2:$BX$91,"&gt;0",'Picks'!$V$2:$V$91,"win")&amp;"-"&amp;COUNTIFS('Picks'!$BX$2:$BX$91,"&gt;0",'Picks'!$V$2:$V$91,"loss")</f>
        <v/>
      </c>
      <c r="E7" s="7">
        <f>IFERROR(COUNTIFS('Picks'!$BX$2:$BX$91,"&gt;0",'Picks'!$V$2:$V$91,"win")/(COUNTIFS('Picks'!$BX$2:$BX$91,"&gt;0",'Picks'!$V$2:$V$91,"win")+COUNTIFS('Picks'!$BX$2:$BX$91,"&gt;0",'Picks'!$V$2:$V$91,"loss")),0)</f>
        <v/>
      </c>
      <c r="G7" s="7">
        <f>IFERROR(SUM('Picks'!$BY$2:$BY$91)/SUM('Picks'!$BX$2:$BX$91),0)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SUM('Picks'!$BY$2:$BY$91)</f>
        <v/>
      </c>
      <c r="C10" s="9">
        <f>IFERROR(AVERAGEIF('Picks'!$AB$2:$AB$91,"&lt;&gt;",'Picks'!$AB$2:$AB$91),0)</f>
        <v/>
      </c>
      <c r="E10" s="6">
        <f>COUNTIFS('Picks'!$AM$2:$AM$91,"QUALIFIED_SHADOW_CALL",'Picks'!$U$2:$U$91,"settled")</f>
        <v/>
      </c>
      <c r="G10" s="8">
        <f>SUMIFS('Picks'!$AC$2:$AC$91,'Picks'!$AM$2:$AM$91,"QUALIFIED_SHADOW_CALL")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COUNTIFS('Picks'!$H$2:$H$91,$A14,'Picks'!$U$2:$U$91,"settled")</f>
        <v/>
      </c>
      <c r="C14" s="13">
        <f>COUNTIFS('Picks'!$H$2:$H$91,$A14,'Picks'!$U$2:$U$91,"settled",'Picks'!$V$2:$V$91,"win")</f>
        <v/>
      </c>
      <c r="D14" s="13">
        <f>COUNTIFS('Picks'!$H$2:$H$91,$A14,'Picks'!$U$2:$U$91,"settled",'Picks'!$V$2:$V$91,"loss")</f>
        <v/>
      </c>
      <c r="E14" s="14">
        <f>IFERROR(C14/(C14+D14),0)</f>
        <v/>
      </c>
      <c r="F14" s="15">
        <f>SUMIFS('Picks'!$BY$2:$BY$91,'Picks'!$H$2:$H$91,$A14)</f>
        <v/>
      </c>
      <c r="G14" s="16">
        <f>IFERROR(AVERAGEIFS('Picks'!$AB$2:$AB$91,'Picks'!$H$2:$H$91,$A14,'Picks'!$U$2:$U$91,"settled"),0)</f>
        <v/>
      </c>
    </row>
    <row r="15">
      <c r="A15" s="17" t="inlineStr">
        <is>
          <t>spread</t>
        </is>
      </c>
      <c r="B15" s="18">
        <f>COUNTIFS('Picks'!$H$2:$H$91,$A15,'Picks'!$U$2:$U$91,"settled")</f>
        <v/>
      </c>
      <c r="C15" s="18">
        <f>COUNTIFS('Picks'!$H$2:$H$91,$A15,'Picks'!$U$2:$U$91,"settled",'Picks'!$V$2:$V$91,"win")</f>
        <v/>
      </c>
      <c r="D15" s="18">
        <f>COUNTIFS('Picks'!$H$2:$H$91,$A15,'Picks'!$U$2:$U$91,"settled",'Picks'!$V$2:$V$91,"loss")</f>
        <v/>
      </c>
      <c r="E15" s="19">
        <f>IFERROR(C15/(C15+D15),0)</f>
        <v/>
      </c>
      <c r="F15" s="20">
        <f>SUMIFS('Picks'!$BY$2:$BY$91,'Picks'!$H$2:$H$91,$A15)</f>
        <v/>
      </c>
      <c r="G15" s="21">
        <f>IFERROR(AVERAGEIFS('Picks'!$AB$2:$AB$91,'Picks'!$H$2:$H$91,$A15,'Picks'!$U$2:$U$91,"settled"),0)</f>
        <v/>
      </c>
    </row>
    <row r="16">
      <c r="A16" s="12" t="inlineStr">
        <is>
          <t>total</t>
        </is>
      </c>
      <c r="B16" s="13">
        <f>COUNTIFS('Picks'!$H$2:$H$91,$A16,'Picks'!$U$2:$U$91,"settled")</f>
        <v/>
      </c>
      <c r="C16" s="13">
        <f>COUNTIFS('Picks'!$H$2:$H$91,$A16,'Picks'!$U$2:$U$91,"settled",'Picks'!$V$2:$V$91,"win")</f>
        <v/>
      </c>
      <c r="D16" s="13">
        <f>COUNTIFS('Picks'!$H$2:$H$91,$A16,'Picks'!$U$2:$U$91,"settled",'Picks'!$V$2:$V$91,"loss")</f>
        <v/>
      </c>
      <c r="E16" s="14">
        <f>IFERROR(C16/(C16+D16),0)</f>
        <v/>
      </c>
      <c r="F16" s="15">
        <f>SUMIFS('Picks'!$BY$2:$BY$91,'Picks'!$H$2:$H$91,$A16)</f>
        <v/>
      </c>
      <c r="G16" s="16">
        <f>IFERROR(AVERAGEIFS('Picks'!$AB$2:$AB$91,'Picks'!$H$2:$H$91,$A16,'Picks'!$U$2:$U$91,"settled"),0)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133</v>
      </c>
      <c r="AA28" s="28" t="n">
        <v>0.43</v>
      </c>
      <c r="AB28" s="28" t="n">
        <v>0.000815</v>
      </c>
      <c r="AC28" s="30" t="n">
        <v>-2</v>
      </c>
      <c r="AD28" s="24" t="inlineStr">
        <is>
          <t>2026-08-02T11:45:02.787455Z</t>
        </is>
      </c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>
        <v>2.33</v>
      </c>
      <c r="BR28" s="28" t="n">
        <v>0.43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0276cc81aadc4f01</t>
        </is>
      </c>
      <c r="B29" s="24" t="inlineStr">
        <is>
          <t>2026-08-02T10:00:04.561525Z</t>
        </is>
      </c>
      <c r="C29" s="24" t="inlineStr">
        <is>
          <t>2026-08-02T10:30:00Z</t>
        </is>
      </c>
      <c r="D29" s="24" t="inlineStr">
        <is>
          <t>66836</t>
        </is>
      </c>
      <c r="E29" s="24" t="inlineStr">
        <is>
          <t>CS2</t>
        </is>
      </c>
      <c r="F29" s="24" t="inlineStr">
        <is>
          <t>Sangal ALTERS</t>
        </is>
      </c>
      <c r="G29" s="24" t="inlineStr">
        <is>
          <t>Teletubisie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0.690561</v>
      </c>
      <c r="P29" s="28" t="n"/>
      <c r="Q29" s="28" t="n">
        <v>0.180757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2026-08-02T15:52:44.718315Z</t>
        </is>
      </c>
      <c r="AE29" s="31" t="inlineStr">
        <is>
          <t>Neutral Elo baseline; executable ask 0.5100 (market_slug=aec-cs2-ttbs-sng-2026-08-02).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Sangal ALTERS</t>
        </is>
      </c>
      <c r="AQ29" s="24" t="inlineStr">
        <is>
          <t>Sangal ALTERS</t>
        </is>
      </c>
      <c r="AR29" s="24" t="inlineStr">
        <is>
          <t>Sangal ALTERS</t>
        </is>
      </c>
      <c r="AS29" s="24" t="inlineStr">
        <is>
          <t>Teletubisie</t>
        </is>
      </c>
      <c r="AT29" s="24" t="inlineStr">
        <is>
          <t>Teletubisie</t>
        </is>
      </c>
      <c r="AU29" s="24" t="inlineStr">
        <is>
          <t>Teletubisie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06138ffc8334cb69044b84c6e2b37aa9a4e0b6bd4f08ef7c62950d9e210f4364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06138ffc8334cb69044b84c6e2b37aa9a4e0b6bd4f08ef7c62950d9e210f4364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2026-08-02T09:59:44.064703Z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7890942306624702</t>
        </is>
      </c>
      <c r="B30" s="24" t="inlineStr">
        <is>
          <t>2026-08-02T10:00:04.561525Z</t>
        </is>
      </c>
      <c r="C30" s="24" t="inlineStr">
        <is>
          <t>2026-08-02T11:00:00Z</t>
        </is>
      </c>
      <c r="D30" s="24" t="inlineStr">
        <is>
          <t>69252</t>
        </is>
      </c>
      <c r="E30" s="24" t="inlineStr">
        <is>
          <t>CS2</t>
        </is>
      </c>
      <c r="F30" s="24" t="inlineStr">
        <is>
          <t>NEW VISION</t>
        </is>
      </c>
      <c r="G30" s="24" t="inlineStr">
        <is>
          <t>Inner Circle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0.539324</v>
      </c>
      <c r="P30" s="28" t="n"/>
      <c r="Q30" s="28" t="n">
        <v>-0.031491</v>
      </c>
      <c r="R30" s="26" t="n">
        <v>4</v>
      </c>
      <c r="S30" s="29" t="n">
        <v>1</v>
      </c>
      <c r="T30" s="24" t="inlineStr">
        <is>
          <t>cs2-tiered-elo-v5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-133</v>
      </c>
      <c r="AA30" s="28" t="n">
        <v>0.57</v>
      </c>
      <c r="AB30" s="28" t="n">
        <v>-0.000815</v>
      </c>
      <c r="AC30" s="30" t="n">
        <v>-1</v>
      </c>
      <c r="AD30" s="24" t="inlineStr">
        <is>
          <t>2026-08-02T13:01:10.112601Z</t>
        </is>
      </c>
      <c r="AE30" s="31" t="inlineStr">
        <is>
          <t>Neutral Elo baseline; executable ask 0.5700 (market_slug=aec-cs2-ica-nve-2026-08-02).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NEW VISION</t>
        </is>
      </c>
      <c r="AQ30" s="24" t="inlineStr">
        <is>
          <t>NEW VISION</t>
        </is>
      </c>
      <c r="AR30" s="24" t="inlineStr">
        <is>
          <t>NEW VISION</t>
        </is>
      </c>
      <c r="AS30" s="24" t="inlineStr">
        <is>
          <t>Inner Circle Academy</t>
        </is>
      </c>
      <c r="AT30" s="24" t="inlineStr">
        <is>
          <t>Inner Circle Academy</t>
        </is>
      </c>
      <c r="AU30" s="24" t="inlineStr">
        <is>
          <t>Inner Circle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06138ffc8334cb69044b84c6e2b37aa9a4e0b6bd4f08ef7c62950d9e210f4364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06138ffc8334cb69044b84c6e2b37aa9a4e0b6bd4f08ef7c62950d9e210f4364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2026-08-02T09:59:44.535838Z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1.75188</v>
      </c>
      <c r="BR30" s="28" t="n">
        <v>0.57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8c78149875be41de</t>
        </is>
      </c>
      <c r="B31" s="24" t="inlineStr">
        <is>
          <t>2026-08-02T12:30:33.225632Z</t>
        </is>
      </c>
      <c r="C31" s="24" t="inlineStr">
        <is>
          <t>2026-08-02T13:00:00Z</t>
        </is>
      </c>
      <c r="D31" s="24" t="inlineStr">
        <is>
          <t>68258</t>
        </is>
      </c>
      <c r="E31" s="24" t="inlineStr">
        <is>
          <t>CS2</t>
        </is>
      </c>
      <c r="F31" s="24" t="inlineStr">
        <is>
          <t>ex-MANA eSports</t>
        </is>
      </c>
      <c r="G31" s="24" t="inlineStr">
        <is>
          <t>Inner Circle Academy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0.583752</v>
      </c>
      <c r="P31" s="28" t="n"/>
      <c r="Q31" s="28" t="n">
        <v>-0.096759</v>
      </c>
      <c r="R31" s="26" t="n">
        <v>0</v>
      </c>
      <c r="S31" s="29" t="n">
        <v>1.25</v>
      </c>
      <c r="T31" s="24" t="inlineStr">
        <is>
          <t>cs2-tiered-elo-v5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-213</v>
      </c>
      <c r="AA31" s="28" t="n">
        <v>0.68</v>
      </c>
      <c r="AB31" s="28" t="n">
        <v>-0.000511</v>
      </c>
      <c r="AC31" s="30" t="n">
        <v>-1.25</v>
      </c>
      <c r="AD31" s="24" t="inlineStr">
        <is>
          <t>2026-08-02T15:52:46.144484Z</t>
        </is>
      </c>
      <c r="AE31" s="31" t="inlineStr">
        <is>
          <t>Neutral Elo baseline; executable ask 0.6800 (market_slug=aec-cs2-ica-exmana-2026-08-02).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ex-MANA eSports</t>
        </is>
      </c>
      <c r="AQ31" s="24" t="inlineStr">
        <is>
          <t>ex-MANA eSports</t>
        </is>
      </c>
      <c r="AR31" s="24" t="inlineStr">
        <is>
          <t>ex-MANA eSports</t>
        </is>
      </c>
      <c r="AS31" s="24" t="inlineStr">
        <is>
          <t>Inner Circle Academy</t>
        </is>
      </c>
      <c r="AT31" s="24" t="inlineStr">
        <is>
          <t>Inner Circle Academy</t>
        </is>
      </c>
      <c r="AU31" s="24" t="inlineStr">
        <is>
          <t>Inner Circle Academy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bd7b44b2e86615e932309b2497f806ee2b5567367d785a2c9653f7a6fe2215fb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bd7b44b2e86615e932309b2497f806ee2b5567367d785a2c9653f7a6fe2215fb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2026-08-02T12:30:13.091362Z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>
        <v>1.469484</v>
      </c>
      <c r="BR31" s="28" t="n">
        <v>0.68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6089a7bd20c542bc</t>
        </is>
      </c>
      <c r="B32" s="24" t="inlineStr">
        <is>
          <t>2026-08-02T12:30:33.225632Z</t>
        </is>
      </c>
      <c r="C32" s="24" t="inlineStr">
        <is>
          <t>2026-08-02T13:00:00Z</t>
        </is>
      </c>
      <c r="D32" s="24" t="inlineStr">
        <is>
          <t>68256</t>
        </is>
      </c>
      <c r="E32" s="24" t="inlineStr">
        <is>
          <t>CS2</t>
        </is>
      </c>
      <c r="F32" s="24" t="inlineStr">
        <is>
          <t>Noir Verse</t>
        </is>
      </c>
      <c r="G32" s="24" t="inlineStr">
        <is>
          <t>los kogutos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0.620297</v>
      </c>
      <c r="P32" s="28" t="n"/>
      <c r="Q32" s="28" t="n">
        <v>-0.070105</v>
      </c>
      <c r="R32" s="26" t="n">
        <v>0</v>
      </c>
      <c r="S32" s="29" t="n">
        <v>1.5</v>
      </c>
      <c r="T32" s="24" t="inlineStr">
        <is>
          <t>cs2-tiered-elo-v5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-223</v>
      </c>
      <c r="AA32" s="28" t="n">
        <v>0.6899999999999999</v>
      </c>
      <c r="AB32" s="28" t="n">
        <v>-0.000402</v>
      </c>
      <c r="AC32" s="30" t="n">
        <v>0.6726</v>
      </c>
      <c r="AD32" s="24" t="inlineStr">
        <is>
          <t>2026-08-02T15:52:47.515855Z</t>
        </is>
      </c>
      <c r="AE32" s="31" t="inlineStr">
        <is>
          <t>Neutral Elo baseline; executable ask 0.6900 (market_slug=aec-cs2-lk-nvo-2026-08-02).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Noir Verse</t>
        </is>
      </c>
      <c r="AQ32" s="24" t="inlineStr">
        <is>
          <t>Noir Verse</t>
        </is>
      </c>
      <c r="AR32" s="24" t="inlineStr">
        <is>
          <t>Noir Verse</t>
        </is>
      </c>
      <c r="AS32" s="24" t="inlineStr">
        <is>
          <t>los kogutos</t>
        </is>
      </c>
      <c r="AT32" s="24" t="inlineStr">
        <is>
          <t>los kogutos</t>
        </is>
      </c>
      <c r="AU32" s="24" t="inlineStr">
        <is>
          <t>los kogutos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bd7b44b2e86615e932309b2497f806ee2b5567367d785a2c9653f7a6fe2215fb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bd7b44b2e86615e932309b2497f806ee2b5567367d785a2c9653f7a6fe2215fb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2026-08-02T12:30:13.564896Z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1.44843</v>
      </c>
      <c r="BR32" s="28" t="n">
        <v>0.6899999999999999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2f30461e96204d71</t>
        </is>
      </c>
      <c r="B33" s="24" t="inlineStr">
        <is>
          <t>2026-08-02T12:30:33.225632Z</t>
        </is>
      </c>
      <c r="C33" s="24" t="inlineStr">
        <is>
          <t>2026-08-02T13:00:00Z</t>
        </is>
      </c>
      <c r="D33" s="24" t="inlineStr">
        <is>
          <t>68257</t>
        </is>
      </c>
      <c r="E33" s="24" t="inlineStr">
        <is>
          <t>CS2</t>
        </is>
      </c>
      <c r="F33" s="24" t="inlineStr">
        <is>
          <t>Fortress</t>
        </is>
      </c>
      <c r="G33" s="24" t="inlineStr">
        <is>
          <t>DragonClaw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-113</v>
      </c>
      <c r="M33" s="27" t="n">
        <v>1.884956</v>
      </c>
      <c r="N33" s="28" t="n">
        <v>0.530516</v>
      </c>
      <c r="O33" s="28" t="n">
        <v>0.67594</v>
      </c>
      <c r="P33" s="28" t="n"/>
      <c r="Q33" s="28" t="n">
        <v>0.145424</v>
      </c>
      <c r="R33" s="26" t="n">
        <v>93</v>
      </c>
      <c r="S33" s="29" t="n">
        <v>1.75</v>
      </c>
      <c r="T33" s="24" t="inlineStr">
        <is>
          <t>cs2-tiered-elo-v5</t>
        </is>
      </c>
      <c r="U33" s="24" t="inlineStr">
        <is>
          <t>settled</t>
        </is>
      </c>
      <c r="V33" s="24" t="inlineStr">
        <is>
          <t>push</t>
        </is>
      </c>
      <c r="W33" s="26" t="n"/>
      <c r="X33" s="26" t="n"/>
      <c r="Y33" s="25" t="n"/>
      <c r="Z33" s="26" t="n"/>
      <c r="AA33" s="28" t="n"/>
      <c r="AB33" s="28" t="n"/>
      <c r="AC33" s="30" t="n">
        <v>0</v>
      </c>
      <c r="AD33" s="24" t="inlineStr">
        <is>
          <t>2026-08-03T02:34:37.075403Z</t>
        </is>
      </c>
      <c r="AE33" s="31" t="inlineStr">
        <is>
          <t>Neutral Elo baseline; executable ask 0.5300 (market_slug=aec-cs2-dc-for-2026-08-02).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Fortress</t>
        </is>
      </c>
      <c r="AQ33" s="24" t="inlineStr">
        <is>
          <t>Fortress</t>
        </is>
      </c>
      <c r="AR33" s="24" t="inlineStr">
        <is>
          <t>Fortress</t>
        </is>
      </c>
      <c r="AS33" s="24" t="inlineStr">
        <is>
          <t>DragonClaw</t>
        </is>
      </c>
      <c r="AT33" s="24" t="inlineStr">
        <is>
          <t>DragonClaw</t>
        </is>
      </c>
      <c r="AU33" s="24" t="inlineStr">
        <is>
          <t>DragonClaw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bd7b44b2e86615e932309b2497f806ee2b5567367d785a2c9653f7a6fe2215fb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bd7b44b2e86615e932309b2497f806ee2b5567367d785a2c9653f7a6fe2215fb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2026-08-02T12:30:14.025736Z</t>
        </is>
      </c>
      <c r="BI33" s="24" t="inlineStr">
        <is>
          <t>["same_event","same_team_same_day","same_league_same_day"]</t>
        </is>
      </c>
      <c r="BJ33" s="25" t="n"/>
      <c r="BK33" s="26" t="n">
        <v>-113</v>
      </c>
      <c r="BL33" s="27" t="n">
        <v>1.884956</v>
      </c>
      <c r="BM33" s="28" t="n">
        <v>0.530516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inlineStr">
        <is>
          <t>esports market settled to a non-binary price (forfeit/postponement per market rules)</t>
        </is>
      </c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e5958621784d4f7f</t>
        </is>
      </c>
      <c r="B34" s="24" t="inlineStr">
        <is>
          <t>2026-08-02T12:30:33.225632Z</t>
        </is>
      </c>
      <c r="C34" s="24" t="inlineStr">
        <is>
          <t>2026-08-02T13:00:00Z</t>
        </is>
      </c>
      <c r="D34" s="24" t="inlineStr">
        <is>
          <t>68259</t>
        </is>
      </c>
      <c r="E34" s="24" t="inlineStr">
        <is>
          <t>CS2</t>
        </is>
      </c>
      <c r="F34" s="24" t="inlineStr">
        <is>
          <t>Vexar</t>
        </is>
      </c>
      <c r="G34" s="24" t="inlineStr">
        <is>
          <t>Leo Team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138</v>
      </c>
      <c r="M34" s="27" t="n">
        <v>2.38</v>
      </c>
      <c r="N34" s="28" t="n">
        <v>0.420168</v>
      </c>
      <c r="O34" s="28" t="n">
        <v>0.5635559999999999</v>
      </c>
      <c r="P34" s="28" t="n"/>
      <c r="Q34" s="28" t="n">
        <v>0.143388</v>
      </c>
      <c r="R34" s="26" t="n">
        <v>92</v>
      </c>
      <c r="S34" s="29" t="n">
        <v>1</v>
      </c>
      <c r="T34" s="24" t="inlineStr">
        <is>
          <t>cs2-tiered-elo-v5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138</v>
      </c>
      <c r="AA34" s="28" t="n">
        <v>0.42</v>
      </c>
      <c r="AB34" s="28" t="n">
        <v>-0.000168</v>
      </c>
      <c r="AC34" s="30" t="n">
        <v>-1</v>
      </c>
      <c r="AD34" s="24" t="inlineStr">
        <is>
          <t>2026-08-02T15:52:49.918955Z</t>
        </is>
      </c>
      <c r="AE34" s="31" t="inlineStr">
        <is>
          <t>Neutral Elo baseline; executable ask 0.4200 (market_slug=aec-cs2-leo-vexar-2026-08-02).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Vexar</t>
        </is>
      </c>
      <c r="AQ34" s="24" t="inlineStr">
        <is>
          <t>Vexar</t>
        </is>
      </c>
      <c r="AR34" s="24" t="inlineStr">
        <is>
          <t>Vexar</t>
        </is>
      </c>
      <c r="AS34" s="24" t="inlineStr">
        <is>
          <t>Leo Team</t>
        </is>
      </c>
      <c r="AT34" s="24" t="inlineStr">
        <is>
          <t>Leo Team</t>
        </is>
      </c>
      <c r="AU34" s="24" t="inlineStr">
        <is>
          <t>Leo Team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bd7b44b2e86615e932309b2497f806ee2b5567367d785a2c9653f7a6fe2215fb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bd7b44b2e86615e932309b2497f806ee2b5567367d785a2c9653f7a6fe2215fb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2026-08-02T12:30:14.500766Z</t>
        </is>
      </c>
      <c r="BI34" s="24" t="inlineStr">
        <is>
          <t>["same_event","same_team_same_day","same_league_same_day"]</t>
        </is>
      </c>
      <c r="BJ34" s="25" t="n"/>
      <c r="BK34" s="26" t="n">
        <v>138</v>
      </c>
      <c r="BL34" s="27" t="n">
        <v>2.38</v>
      </c>
      <c r="BM34" s="28" t="n">
        <v>0.420168</v>
      </c>
      <c r="BN34" s="28" t="n"/>
      <c r="BO34" s="28" t="n"/>
      <c r="BP34" s="25" t="n"/>
      <c r="BQ34" s="27" t="n">
        <v>2.38</v>
      </c>
      <c r="BR34" s="28" t="n">
        <v>0.42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777a777696ed478d</t>
        </is>
      </c>
      <c r="B35" s="24" t="inlineStr">
        <is>
          <t>2026-08-02T12:30:33.225632Z</t>
        </is>
      </c>
      <c r="C35" s="24" t="inlineStr">
        <is>
          <t>2026-08-02T13:00:00Z</t>
        </is>
      </c>
      <c r="D35" s="24" t="inlineStr">
        <is>
          <t>68277</t>
        </is>
      </c>
      <c r="E35" s="24" t="inlineStr">
        <is>
          <t>CS2</t>
        </is>
      </c>
      <c r="F35" s="24" t="inlineStr">
        <is>
          <t>Misa Esports</t>
        </is>
      </c>
      <c r="G35" s="24" t="inlineStr">
        <is>
          <t>Favbet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0.74688</v>
      </c>
      <c r="P35" s="28" t="n"/>
      <c r="Q35" s="28" t="n">
        <v>0.106592</v>
      </c>
      <c r="R35" s="26" t="n">
        <v>73</v>
      </c>
      <c r="S35" s="29" t="n">
        <v>2</v>
      </c>
      <c r="T35" s="24" t="inlineStr">
        <is>
          <t>cs2-tiered-elo-v5</t>
        </is>
      </c>
      <c r="U35" s="24" t="inlineStr">
        <is>
          <t>settled</t>
        </is>
      </c>
      <c r="V35" s="24" t="inlineStr">
        <is>
          <t>push</t>
        </is>
      </c>
      <c r="W35" s="26" t="n"/>
      <c r="X35" s="26" t="n"/>
      <c r="Y35" s="25" t="n"/>
      <c r="Z35" s="26" t="n"/>
      <c r="AA35" s="28" t="n"/>
      <c r="AB35" s="28" t="n"/>
      <c r="AC35" s="30" t="n">
        <v>0</v>
      </c>
      <c r="AD35" s="24" t="inlineStr">
        <is>
          <t>2026-08-03T02:34:38.439879Z</t>
        </is>
      </c>
      <c r="AE35" s="31" t="inlineStr">
        <is>
          <t>Neutral Elo baseline; executable ask 0.6400 (market_slug=aec-cs2-fav-misa-2026-08-02).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Misa Esports</t>
        </is>
      </c>
      <c r="AQ35" s="24" t="inlineStr">
        <is>
          <t>Misa Esports</t>
        </is>
      </c>
      <c r="AR35" s="24" t="inlineStr">
        <is>
          <t>Misa Esports</t>
        </is>
      </c>
      <c r="AS35" s="24" t="inlineStr">
        <is>
          <t>Favbet</t>
        </is>
      </c>
      <c r="AT35" s="24" t="inlineStr">
        <is>
          <t>Favbet</t>
        </is>
      </c>
      <c r="AU35" s="24" t="inlineStr">
        <is>
          <t>Favbet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bd7b44b2e86615e932309b2497f806ee2b5567367d785a2c9653f7a6fe2215fb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bd7b44b2e86615e932309b2497f806ee2b5567367d785a2c9653f7a6fe2215fb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2026-08-02T12:30:14.970352Z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inlineStr">
        <is>
          <t>esports market settled to a non-binary price (forfeit/postponement per market rules)</t>
        </is>
      </c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cde934c0a2974b08</t>
        </is>
      </c>
      <c r="B36" s="24" t="inlineStr">
        <is>
          <t>2026-08-02T12:30:33.225632Z</t>
        </is>
      </c>
      <c r="C36" s="24" t="inlineStr">
        <is>
          <t>2026-08-02T13:00:00Z</t>
        </is>
      </c>
      <c r="D36" s="24" t="inlineStr">
        <is>
          <t>68261</t>
        </is>
      </c>
      <c r="E36" s="24" t="inlineStr">
        <is>
          <t>CS2</t>
        </is>
      </c>
      <c r="F36" s="24" t="inlineStr">
        <is>
          <t>Fire Flux Esports</t>
        </is>
      </c>
      <c r="G36" s="24" t="inlineStr">
        <is>
          <t>BASEMENT BOYS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0.65406</v>
      </c>
      <c r="P36" s="28" t="n"/>
      <c r="Q36" s="28" t="n">
        <v>0.074228</v>
      </c>
      <c r="R36" s="26" t="n">
        <v>57</v>
      </c>
      <c r="S36" s="29" t="n">
        <v>1.75</v>
      </c>
      <c r="T36" s="24" t="inlineStr">
        <is>
          <t>cs2-tiered-elo-v5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-138</v>
      </c>
      <c r="AA36" s="28" t="n">
        <v>0.58</v>
      </c>
      <c r="AB36" s="28" t="n">
        <v>0.000168</v>
      </c>
      <c r="AC36" s="30" t="n">
        <v>-1.75</v>
      </c>
      <c r="AD36" s="24" t="inlineStr">
        <is>
          <t>2026-08-02T15:52:52.334786Z</t>
        </is>
      </c>
      <c r="AE36" s="31" t="inlineStr">
        <is>
          <t>Neutral Elo baseline; executable ask 0.5800 (market_slug=aec-cs2-bmb-ff-2026-08-02).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Fire Flux Esports</t>
        </is>
      </c>
      <c r="AQ36" s="24" t="inlineStr">
        <is>
          <t>Fire Flux Esports</t>
        </is>
      </c>
      <c r="AR36" s="24" t="inlineStr">
        <is>
          <t>Fire Flux Esports</t>
        </is>
      </c>
      <c r="AS36" s="24" t="inlineStr">
        <is>
          <t>BASEMENT BOYS</t>
        </is>
      </c>
      <c r="AT36" s="24" t="inlineStr">
        <is>
          <t>BASEMENT BOYS</t>
        </is>
      </c>
      <c r="AU36" s="24" t="inlineStr">
        <is>
          <t>BASEMENT BOYS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bd7b44b2e86615e932309b2497f806ee2b5567367d785a2c9653f7a6fe2215fb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bd7b44b2e86615e932309b2497f806ee2b5567367d785a2c9653f7a6fe2215fb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2026-08-02T12:30:15.429687Z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d0efc22dca584b47</t>
        </is>
      </c>
      <c r="B37" s="24" t="inlineStr">
        <is>
          <t>2026-08-02T12:30:33.225632Z</t>
        </is>
      </c>
      <c r="C37" s="24" t="inlineStr">
        <is>
          <t>2026-08-02T13:00:00Z</t>
        </is>
      </c>
      <c r="D37" s="24" t="inlineStr">
        <is>
          <t>68255</t>
        </is>
      </c>
      <c r="E37" s="24" t="inlineStr">
        <is>
          <t>CS2</t>
        </is>
      </c>
      <c r="F37" s="24" t="inlineStr">
        <is>
          <t>WBT</t>
        </is>
      </c>
      <c r="G37" s="24" t="inlineStr">
        <is>
          <t>MOUZ NXT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0.543187</v>
      </c>
      <c r="P37" s="28" t="n"/>
      <c r="Q37" s="28" t="n">
        <v>-0.046977</v>
      </c>
      <c r="R37" s="26" t="n">
        <v>0</v>
      </c>
      <c r="S37" s="29" t="n">
        <v>1</v>
      </c>
      <c r="T37" s="24" t="inlineStr">
        <is>
          <t>cs2-tiered-elo-v5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-144</v>
      </c>
      <c r="AA37" s="28" t="n">
        <v>0.59</v>
      </c>
      <c r="AB37" s="28" t="n">
        <v>-0.000164</v>
      </c>
      <c r="AC37" s="30" t="n">
        <v>0.6944</v>
      </c>
      <c r="AD37" s="24" t="inlineStr">
        <is>
          <t>2026-08-02T15:52:53.615878Z</t>
        </is>
      </c>
      <c r="AE37" s="31" t="inlineStr">
        <is>
          <t>Neutral Elo baseline; executable ask 0.5900 (market_slug=aec-cs2-mouzn-wba-2026-08-02).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WBT</t>
        </is>
      </c>
      <c r="AQ37" s="24" t="inlineStr">
        <is>
          <t>WBT</t>
        </is>
      </c>
      <c r="AR37" s="24" t="inlineStr">
        <is>
          <t>WBT</t>
        </is>
      </c>
      <c r="AS37" s="24" t="inlineStr">
        <is>
          <t>MOUZ NXT</t>
        </is>
      </c>
      <c r="AT37" s="24" t="inlineStr">
        <is>
          <t>MOUZ NXT</t>
        </is>
      </c>
      <c r="AU37" s="24" t="inlineStr">
        <is>
          <t>MOUZ NXT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bd7b44b2e86615e932309b2497f806ee2b5567367d785a2c9653f7a6fe2215fb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bd7b44b2e86615e932309b2497f806ee2b5567367d785a2c9653f7a6fe2215fb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2026-08-02T12:30:17.458438Z</t>
        </is>
      </c>
      <c r="BI37" s="24" t="inlineStr">
        <is>
          <t>["same_event","same_team_same_day","same_league_same_day"]</t>
        </is>
      </c>
      <c r="BJ37" s="25" t="n"/>
      <c r="BK37" s="26" t="n">
        <v>-144</v>
      </c>
      <c r="BL37" s="27" t="n">
        <v>1.694444</v>
      </c>
      <c r="BM37" s="28" t="n">
        <v>0.590164</v>
      </c>
      <c r="BN37" s="28" t="n"/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7905526784ac475b</t>
        </is>
      </c>
      <c r="B38" s="24" t="inlineStr">
        <is>
          <t>2026-08-02T16:53:33.678893Z</t>
        </is>
      </c>
      <c r="C38" s="24" t="inlineStr">
        <is>
          <t>2026-08-02T17:00:00Z</t>
        </is>
      </c>
      <c r="D38" s="24" t="inlineStr">
        <is>
          <t>69682</t>
        </is>
      </c>
      <c r="E38" s="24" t="inlineStr">
        <is>
          <t>CS2</t>
        </is>
      </c>
      <c r="F38" s="24" t="inlineStr">
        <is>
          <t>Fire Flux Esports</t>
        </is>
      </c>
      <c r="G38" s="24" t="inlineStr">
        <is>
          <t>Bushido Wildcats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0.684208</v>
      </c>
      <c r="P38" s="28" t="n"/>
      <c r="Q38" s="28" t="n">
        <v>0.074833</v>
      </c>
      <c r="R38" s="26" t="n">
        <v>57</v>
      </c>
      <c r="S38" s="29" t="n">
        <v>2</v>
      </c>
      <c r="T38" s="24" t="inlineStr">
        <is>
          <t>cs2-tiered-elo-v5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1.2821</v>
      </c>
      <c r="AD38" s="24" t="inlineStr">
        <is>
          <t>2026-08-02T23:13:08.840628Z</t>
        </is>
      </c>
      <c r="AE38" s="31" t="inlineStr">
        <is>
          <t>Neutral Elo baseline; executable ask 0.6100 (market_slug=aec-cs2-bw-ff-2026-08-02).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Fire Flux Esports</t>
        </is>
      </c>
      <c r="AQ38" s="24" t="inlineStr">
        <is>
          <t>Fire Flux Esports</t>
        </is>
      </c>
      <c r="AR38" s="24" t="inlineStr">
        <is>
          <t>Fire Flux Esports</t>
        </is>
      </c>
      <c r="AS38" s="24" t="inlineStr">
        <is>
          <t>Bushido Wildcats</t>
        </is>
      </c>
      <c r="AT38" s="24" t="inlineStr">
        <is>
          <t>Bushido Wildcats</t>
        </is>
      </c>
      <c r="AU38" s="24" t="inlineStr">
        <is>
          <t>Bushido Wildcats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4c897e659ec9db491c18706ace7c94ba8af6df222c16d377d3bd7391aba18f91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4c897e659ec9db491c18706ace7c94ba8af6df222c16d377d3bd7391aba18f91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2026-08-02T16:53:18.155145Z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/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44e35a31d8a14488</t>
        </is>
      </c>
      <c r="B39" s="24" t="inlineStr">
        <is>
          <t>2026-08-02T16:53:33.678893Z</t>
        </is>
      </c>
      <c r="C39" s="24" t="inlineStr">
        <is>
          <t>2026-08-02T17:00:00Z</t>
        </is>
      </c>
      <c r="D39" s="24" t="inlineStr">
        <is>
          <t>69263</t>
        </is>
      </c>
      <c r="E39" s="24" t="inlineStr">
        <is>
          <t>CS2</t>
        </is>
      </c>
      <c r="F39" s="24" t="inlineStr">
        <is>
          <t>ENJOY</t>
        </is>
      </c>
      <c r="G39" s="24" t="inlineStr">
        <is>
          <t>Mai Tai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-194</v>
      </c>
      <c r="M39" s="27" t="n">
        <v>1.515464</v>
      </c>
      <c r="N39" s="28" t="n">
        <v>0.659864</v>
      </c>
      <c r="O39" s="28" t="n">
        <v>0.68024</v>
      </c>
      <c r="P39" s="28" t="n"/>
      <c r="Q39" s="28" t="n">
        <v>0.020376</v>
      </c>
      <c r="R39" s="26" t="n">
        <v>30</v>
      </c>
      <c r="S39" s="29" t="n">
        <v>1.75</v>
      </c>
      <c r="T39" s="24" t="inlineStr">
        <is>
          <t>cs2-tiered-elo-v5</t>
        </is>
      </c>
      <c r="U39" s="24" t="inlineStr">
        <is>
          <t>settled</t>
        </is>
      </c>
      <c r="V39" s="24" t="inlineStr">
        <is>
          <t>push</t>
        </is>
      </c>
      <c r="W39" s="26" t="n"/>
      <c r="X39" s="26" t="n"/>
      <c r="Y39" s="25" t="n"/>
      <c r="Z39" s="26" t="n"/>
      <c r="AA39" s="28" t="n"/>
      <c r="AB39" s="28" t="n"/>
      <c r="AC39" s="30" t="n">
        <v>0</v>
      </c>
      <c r="AD39" s="24" t="inlineStr">
        <is>
          <t>2026-08-03T02:34:39.833362Z</t>
        </is>
      </c>
      <c r="AE39" s="31" t="inlineStr">
        <is>
          <t>Neutral Elo baseline; executable ask 0.6600 (market_slug=aec-cs2-mta-enjoy-2026-08-02).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ENJOY</t>
        </is>
      </c>
      <c r="AQ39" s="24" t="inlineStr">
        <is>
          <t>ENJOY</t>
        </is>
      </c>
      <c r="AR39" s="24" t="inlineStr">
        <is>
          <t>ENJOY</t>
        </is>
      </c>
      <c r="AS39" s="24" t="inlineStr">
        <is>
          <t>Mai Tai</t>
        </is>
      </c>
      <c r="AT39" s="24" t="inlineStr">
        <is>
          <t>Mai Tai</t>
        </is>
      </c>
      <c r="AU39" s="24" t="inlineStr">
        <is>
          <t>Mai Tai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4c897e659ec9db491c18706ace7c94ba8af6df222c16d377d3bd7391aba18f91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4c897e659ec9db491c18706ace7c94ba8af6df222c16d377d3bd7391aba18f91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2026-08-02T16:53:19.829844Z</t>
        </is>
      </c>
      <c r="BI39" s="24" t="inlineStr">
        <is>
          <t>["same_event","same_team_same_day","same_league_same_day"]</t>
        </is>
      </c>
      <c r="BJ39" s="25" t="n"/>
      <c r="BK39" s="26" t="n">
        <v>-194</v>
      </c>
      <c r="BL39" s="27" t="n">
        <v>1.515464</v>
      </c>
      <c r="BM39" s="28" t="n">
        <v>0.659864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inlineStr">
        <is>
          <t>esports market settled to a non-binary price (forfeit/postponement per market rules)</t>
        </is>
      </c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6c52c8bb3cb74a30</t>
        </is>
      </c>
      <c r="B40" s="24" t="inlineStr">
        <is>
          <t>2026-08-02T17:48:41.505470Z</t>
        </is>
      </c>
      <c r="C40" s="24" t="inlineStr">
        <is>
          <t>2026-08-02T18:00:00Z</t>
        </is>
      </c>
      <c r="D40" s="24" t="inlineStr">
        <is>
          <t>69289</t>
        </is>
      </c>
      <c r="E40" s="24" t="inlineStr">
        <is>
          <t>CS2</t>
        </is>
      </c>
      <c r="F40" s="24" t="inlineStr">
        <is>
          <t>BESTIA</t>
        </is>
      </c>
      <c r="G40" s="24" t="inlineStr">
        <is>
          <t>ShindeN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150</v>
      </c>
      <c r="M40" s="27" t="n">
        <v>2.5</v>
      </c>
      <c r="N40" s="28" t="n">
        <v>0.4</v>
      </c>
      <c r="O40" s="28" t="n">
        <v>0.5108819999999999</v>
      </c>
      <c r="P40" s="28" t="n"/>
      <c r="Q40" s="28" t="n">
        <v>0.110882</v>
      </c>
      <c r="R40" s="26" t="n">
        <v>75</v>
      </c>
      <c r="S40" s="29" t="n">
        <v>1</v>
      </c>
      <c r="T40" s="24" t="inlineStr">
        <is>
          <t>cs2-tiered-elo-v5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0</v>
      </c>
      <c r="Y40" s="25" t="n"/>
      <c r="Z40" s="26" t="n">
        <v>150</v>
      </c>
      <c r="AA40" s="28" t="n">
        <v>0.4</v>
      </c>
      <c r="AB40" s="28" t="n">
        <v>0</v>
      </c>
      <c r="AC40" s="30" t="n">
        <v>-1</v>
      </c>
      <c r="AD40" s="24" t="inlineStr">
        <is>
          <t>2026-08-02T23:13:11.332419Z</t>
        </is>
      </c>
      <c r="AE40" s="31" t="inlineStr">
        <is>
          <t>Neutral Elo baseline; executable ask 0.4000 (market_slug=aec-cs2-shin-bst-2026-08-02).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BESTIA</t>
        </is>
      </c>
      <c r="AQ40" s="24" t="inlineStr">
        <is>
          <t>BESTIA</t>
        </is>
      </c>
      <c r="AR40" s="24" t="inlineStr">
        <is>
          <t>BESTIA</t>
        </is>
      </c>
      <c r="AS40" s="24" t="inlineStr">
        <is>
          <t>ShindeN</t>
        </is>
      </c>
      <c r="AT40" s="24" t="inlineStr">
        <is>
          <t>ShindeN</t>
        </is>
      </c>
      <c r="AU40" s="24" t="inlineStr">
        <is>
          <t>ShindeN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a4e21a1af368f0354dc5f9a4308bc7027cac0942d4270c2251f9210a7793ef91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a4e21a1af368f0354dc5f9a4308bc7027cac0942d4270c2251f9210a7793ef91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2026-08-02T17:48:28.086385Z</t>
        </is>
      </c>
      <c r="BI40" s="24" t="inlineStr">
        <is>
          <t>["same_event","same_team_same_day","same_league_same_day"]</t>
        </is>
      </c>
      <c r="BJ40" s="25" t="n"/>
      <c r="BK40" s="26" t="n">
        <v>150</v>
      </c>
      <c r="BL40" s="27" t="n">
        <v>2.5</v>
      </c>
      <c r="BM40" s="28" t="n">
        <v>0.4</v>
      </c>
      <c r="BN40" s="28" t="n"/>
      <c r="BO40" s="28" t="n"/>
      <c r="BP40" s="25" t="n"/>
      <c r="BQ40" s="27" t="n">
        <v>2.5</v>
      </c>
      <c r="BR40" s="28" t="n">
        <v>0.4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108a0eee881d4892</t>
        </is>
      </c>
      <c r="B41" s="24" t="inlineStr">
        <is>
          <t>2026-08-02T18:50:17.352715Z</t>
        </is>
      </c>
      <c r="C41" s="24" t="inlineStr">
        <is>
          <t>2026-08-02T19:15:00Z</t>
        </is>
      </c>
      <c r="D41" s="24" t="inlineStr">
        <is>
          <t>67577</t>
        </is>
      </c>
      <c r="E41" s="24" t="inlineStr">
        <is>
          <t>CS2</t>
        </is>
      </c>
      <c r="F41" s="24" t="inlineStr">
        <is>
          <t>SNAILKICK Club</t>
        </is>
      </c>
      <c r="G41" s="24" t="inlineStr">
        <is>
          <t>Lixxx Club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-156</v>
      </c>
      <c r="M41" s="27" t="n">
        <v>1.641026</v>
      </c>
      <c r="N41" s="28" t="n">
        <v>0.609375</v>
      </c>
      <c r="O41" s="28" t="n">
        <v>0.527097</v>
      </c>
      <c r="P41" s="28" t="n"/>
      <c r="Q41" s="28" t="n">
        <v>-0.082278</v>
      </c>
      <c r="R41" s="26" t="n">
        <v>0</v>
      </c>
      <c r="S41" s="29" t="n">
        <v>1</v>
      </c>
      <c r="T41" s="24" t="inlineStr">
        <is>
          <t>cs2-tiered-elo-v5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-156</v>
      </c>
      <c r="AA41" s="28" t="n">
        <v>0.61</v>
      </c>
      <c r="AB41" s="28" t="n">
        <v>0.000625</v>
      </c>
      <c r="AC41" s="30" t="n">
        <v>0.641</v>
      </c>
      <c r="AD41" s="24" t="inlineStr">
        <is>
          <t>2026-08-02T23:13:12.727767Z</t>
        </is>
      </c>
      <c r="AE41" s="31" t="inlineStr">
        <is>
          <t>Neutral Elo baseline; executable ask 0.6100 (market_slug=aec-cs2-lci-scn-2026-08-02).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SNAILKICK Club</t>
        </is>
      </c>
      <c r="AQ41" s="24" t="inlineStr">
        <is>
          <t>SNAILKICK Club</t>
        </is>
      </c>
      <c r="AR41" s="24" t="inlineStr">
        <is>
          <t>SNAILKICK Club</t>
        </is>
      </c>
      <c r="AS41" s="24" t="inlineStr">
        <is>
          <t>Lixxx Club</t>
        </is>
      </c>
      <c r="AT41" s="24" t="inlineStr">
        <is>
          <t>Lixxx Club</t>
        </is>
      </c>
      <c r="AU41" s="24" t="inlineStr">
        <is>
          <t>Lixxx Club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e4232d2f4ef51c47f2dc842e10597bebb70952e9ec25e243147604e0ae4edf92</t>
        </is>
      </c>
      <c r="BB41" s="24" t="inlineStr">
        <is>
          <t>neutral_elo</t>
        </is>
      </c>
      <c r="BC41" s="24" t="inlineStr">
        <is>
          <t>cs2-tiered-elo-v5</t>
        </is>
      </c>
      <c r="BD41" s="24" t="inlineStr">
        <is>
          <t>e4232d2f4ef51c47f2dc842e10597bebb70952e9ec25e243147604e0ae4edf92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cs2-tiered-elo-v5</t>
        </is>
      </c>
      <c r="BH41" s="24" t="inlineStr">
        <is>
          <t>2026-08-02T18:50:03.712258Z</t>
        </is>
      </c>
      <c r="BI41" s="24" t="inlineStr">
        <is>
          <t>["same_event","same_team_same_day","same_league_same_day"]</t>
        </is>
      </c>
      <c r="BJ41" s="25" t="n"/>
      <c r="BK41" s="26" t="n">
        <v>-156</v>
      </c>
      <c r="BL41" s="27" t="n">
        <v>1.641026</v>
      </c>
      <c r="BM41" s="28" t="n">
        <v>0.609375</v>
      </c>
      <c r="BN41" s="28" t="n"/>
      <c r="BO41" s="28" t="n"/>
      <c r="BP41" s="25" t="n"/>
      <c r="BQ41" s="27" t="n">
        <v>1.641026</v>
      </c>
      <c r="BR41" s="28" t="n">
        <v>0.61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</row>
    <row r="42" ht="36" customHeight="1">
      <c r="A42" s="24" t="inlineStr">
        <is>
          <t>48fe4f9d648643a5</t>
        </is>
      </c>
      <c r="B42" s="24" t="inlineStr">
        <is>
          <t>2026-08-02T18:50:17.352715Z</t>
        </is>
      </c>
      <c r="C42" s="24" t="inlineStr">
        <is>
          <t>2026-08-02T19:15:00Z</t>
        </is>
      </c>
      <c r="D42" s="24" t="inlineStr">
        <is>
          <t>67576</t>
        </is>
      </c>
      <c r="E42" s="24" t="inlineStr">
        <is>
          <t>CS2</t>
        </is>
      </c>
      <c r="F42" s="24" t="inlineStr">
        <is>
          <t>mokrivskiy Club</t>
        </is>
      </c>
      <c r="G42" s="24" t="inlineStr">
        <is>
          <t>Morphilina Club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127</v>
      </c>
      <c r="M42" s="27" t="n">
        <v>2.27</v>
      </c>
      <c r="N42" s="28" t="n">
        <v>0.440529</v>
      </c>
      <c r="O42" s="28" t="n">
        <v>0.579772</v>
      </c>
      <c r="P42" s="28" t="n"/>
      <c r="Q42" s="28" t="n">
        <v>0.139243</v>
      </c>
      <c r="R42" s="26" t="n">
        <v>90</v>
      </c>
      <c r="S42" s="29" t="n">
        <v>1.25</v>
      </c>
      <c r="T42" s="24" t="inlineStr">
        <is>
          <t>cs2-tiered-elo-v5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127</v>
      </c>
      <c r="AA42" s="28" t="n">
        <v>0.44</v>
      </c>
      <c r="AB42" s="28" t="n">
        <v>-0.000529</v>
      </c>
      <c r="AC42" s="30" t="n">
        <v>-1.25</v>
      </c>
      <c r="AD42" s="24" t="inlineStr">
        <is>
          <t>2026-08-02T23:13:14.056091Z</t>
        </is>
      </c>
      <c r="AE42" s="31" t="inlineStr">
        <is>
          <t>Neutral Elo baseline; executable ask 0.4400 (market_slug=aec-cs2-mcor-mco-2026-08-02).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mokrivskiy Club</t>
        </is>
      </c>
      <c r="AQ42" s="24" t="inlineStr">
        <is>
          <t>mokrivskiy Club</t>
        </is>
      </c>
      <c r="AR42" s="24" t="inlineStr">
        <is>
          <t>mokrivskiy Club</t>
        </is>
      </c>
      <c r="AS42" s="24" t="inlineStr">
        <is>
          <t>Morphilina Club</t>
        </is>
      </c>
      <c r="AT42" s="24" t="inlineStr">
        <is>
          <t>Morphilina Club</t>
        </is>
      </c>
      <c r="AU42" s="24" t="inlineStr">
        <is>
          <t>Morphilina Club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e4232d2f4ef51c47f2dc842e10597bebb70952e9ec25e243147604e0ae4edf92</t>
        </is>
      </c>
      <c r="BB42" s="24" t="inlineStr">
        <is>
          <t>neutral_elo</t>
        </is>
      </c>
      <c r="BC42" s="24" t="inlineStr">
        <is>
          <t>cs2-tiered-elo-v5</t>
        </is>
      </c>
      <c r="BD42" s="24" t="inlineStr">
        <is>
          <t>e4232d2f4ef51c47f2dc842e10597bebb70952e9ec25e243147604e0ae4edf92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cs2-tiered-elo-v5</t>
        </is>
      </c>
      <c r="BH42" s="24" t="inlineStr">
        <is>
          <t>2026-08-02T18:50:04.261778Z</t>
        </is>
      </c>
      <c r="BI42" s="24" t="inlineStr">
        <is>
          <t>["same_event","same_team_same_day","same_league_same_day"]</t>
        </is>
      </c>
      <c r="BJ42" s="25" t="n"/>
      <c r="BK42" s="26" t="n">
        <v>127</v>
      </c>
      <c r="BL42" s="27" t="n">
        <v>2.27</v>
      </c>
      <c r="BM42" s="28" t="n">
        <v>0.440529</v>
      </c>
      <c r="BN42" s="28" t="n"/>
      <c r="BO42" s="28" t="n"/>
      <c r="BP42" s="25" t="n"/>
      <c r="BQ42" s="27" t="n">
        <v>2.27</v>
      </c>
      <c r="BR42" s="28" t="n">
        <v>0.44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b1f733e75f784276</t>
        </is>
      </c>
      <c r="B43" s="24" t="inlineStr">
        <is>
          <t>2026-08-03T06:31:38.644798Z</t>
        </is>
      </c>
      <c r="C43" s="24" t="inlineStr">
        <is>
          <t>2026-08-03T08:00:00Z</t>
        </is>
      </c>
      <c r="D43" s="24" t="inlineStr">
        <is>
          <t>68288</t>
        </is>
      </c>
      <c r="E43" s="24" t="inlineStr">
        <is>
          <t>CS2</t>
        </is>
      </c>
      <c r="F43" s="24" t="inlineStr">
        <is>
          <t>CYBERSHOKE Prospects</t>
        </is>
      </c>
      <c r="G43" s="24" t="inlineStr">
        <is>
          <t>WW Team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194</v>
      </c>
      <c r="M43" s="27" t="n">
        <v>2.94</v>
      </c>
      <c r="N43" s="28" t="n">
        <v>0.340136</v>
      </c>
      <c r="O43" s="28" t="n">
        <v>0.7042119999999999</v>
      </c>
      <c r="P43" s="28" t="n"/>
      <c r="Q43" s="28" t="n">
        <v>0.364076</v>
      </c>
      <c r="R43" s="26" t="n">
        <v>100</v>
      </c>
      <c r="S43" s="29" t="n">
        <v>2</v>
      </c>
      <c r="T43" s="24" t="inlineStr">
        <is>
          <t>cs2-tiered-elo-v5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194</v>
      </c>
      <c r="AA43" s="28" t="n">
        <v>0.34</v>
      </c>
      <c r="AB43" s="28" t="n">
        <v>-0.000136</v>
      </c>
      <c r="AC43" s="30" t="n">
        <v>3.88</v>
      </c>
      <c r="AD43" s="24" t="inlineStr">
        <is>
          <t>2026-08-03T10:45:33.618423Z</t>
        </is>
      </c>
      <c r="AE43" s="31" t="inlineStr">
        <is>
          <t>Neutral Elo baseline; executable ask 0.3400 (market_slug=aec-cs2-ww-cshp-2026-08-03).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CYBERSHOKE Prospects</t>
        </is>
      </c>
      <c r="AQ43" s="24" t="inlineStr">
        <is>
          <t>CYBERSHOKE Prospects</t>
        </is>
      </c>
      <c r="AR43" s="24" t="inlineStr">
        <is>
          <t>CYBERSHOKE Prospects</t>
        </is>
      </c>
      <c r="AS43" s="24" t="inlineStr">
        <is>
          <t>WW Team</t>
        </is>
      </c>
      <c r="AT43" s="24" t="inlineStr">
        <is>
          <t>WW Team</t>
        </is>
      </c>
      <c r="AU43" s="24" t="inlineStr">
        <is>
          <t>WW Team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7d07e567fea5bd3738b3dbc4e35eb295221f9dc89d0247f1cc7d87e37942825c</t>
        </is>
      </c>
      <c r="BB43" s="24" t="inlineStr">
        <is>
          <t>neutral_elo</t>
        </is>
      </c>
      <c r="BC43" s="24" t="inlineStr">
        <is>
          <t>cs2-tiered-elo-v5</t>
        </is>
      </c>
      <c r="BD43" s="24" t="inlineStr">
        <is>
          <t>7d07e567fea5bd3738b3dbc4e35eb295221f9dc89d0247f1cc7d87e37942825c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cs2-tiered-elo-v5</t>
        </is>
      </c>
      <c r="BH43" s="24" t="inlineStr">
        <is>
          <t>2026-08-03T06:31:13.030731Z</t>
        </is>
      </c>
      <c r="BI43" s="24" t="inlineStr">
        <is>
          <t>["same_event","same_team_same_day","same_league_same_day"]</t>
        </is>
      </c>
      <c r="BJ43" s="25" t="n"/>
      <c r="BK43" s="26" t="n">
        <v>194</v>
      </c>
      <c r="BL43" s="27" t="n">
        <v>2.94</v>
      </c>
      <c r="BM43" s="28" t="n">
        <v>0.340136</v>
      </c>
      <c r="BN43" s="28" t="n"/>
      <c r="BO43" s="28" t="n"/>
      <c r="BP43" s="25" t="n"/>
      <c r="BQ43" s="27" t="n">
        <v>2.94</v>
      </c>
      <c r="BR43" s="28" t="n">
        <v>0.34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55ad649cd63d458b</t>
        </is>
      </c>
      <c r="B44" s="24" t="inlineStr">
        <is>
          <t>2026-08-03T06:31:38.644798Z</t>
        </is>
      </c>
      <c r="C44" s="24" t="inlineStr">
        <is>
          <t>2026-08-03T10:00:00Z</t>
        </is>
      </c>
      <c r="D44" s="24" t="inlineStr">
        <is>
          <t>67510</t>
        </is>
      </c>
      <c r="E44" s="24" t="inlineStr">
        <is>
          <t>CS2</t>
        </is>
      </c>
      <c r="F44" s="24" t="inlineStr">
        <is>
          <t>Johnny Speeds</t>
        </is>
      </c>
      <c r="G44" s="24" t="inlineStr">
        <is>
          <t>Metizport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-233</v>
      </c>
      <c r="M44" s="27" t="n">
        <v>1.429185</v>
      </c>
      <c r="N44" s="28" t="n">
        <v>0.6997</v>
      </c>
      <c r="O44" s="28" t="n">
        <v>0.5630579999999999</v>
      </c>
      <c r="P44" s="28" t="n"/>
      <c r="Q44" s="28" t="n">
        <v>-0.136642</v>
      </c>
      <c r="R44" s="26" t="n">
        <v>0</v>
      </c>
      <c r="S44" s="29" t="n">
        <v>1</v>
      </c>
      <c r="T44" s="24" t="inlineStr">
        <is>
          <t>cs2-tiered-elo-v5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>
        <v>-233</v>
      </c>
      <c r="AA44" s="28" t="n">
        <v>0.7</v>
      </c>
      <c r="AB44" s="28" t="n">
        <v>0.0003</v>
      </c>
      <c r="AC44" s="30" t="n">
        <v>0.4292</v>
      </c>
      <c r="AD44" s="24" t="inlineStr">
        <is>
          <t>2026-08-03T13:27:16.155324Z</t>
        </is>
      </c>
      <c r="AE44" s="31" t="inlineStr">
        <is>
          <t>Neutral Elo baseline; executable ask 0.7000 (market_slug=aec-cs2-mzp-js-2026-08-03).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Johnny Speeds</t>
        </is>
      </c>
      <c r="AQ44" s="24" t="inlineStr">
        <is>
          <t>Johnny Speeds</t>
        </is>
      </c>
      <c r="AR44" s="24" t="inlineStr">
        <is>
          <t>Johnny Speeds</t>
        </is>
      </c>
      <c r="AS44" s="24" t="inlineStr">
        <is>
          <t>Metizport</t>
        </is>
      </c>
      <c r="AT44" s="24" t="inlineStr">
        <is>
          <t>Metizport</t>
        </is>
      </c>
      <c r="AU44" s="24" t="inlineStr">
        <is>
          <t>Metizport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7d07e567fea5bd3738b3dbc4e35eb295221f9dc89d0247f1cc7d87e37942825c</t>
        </is>
      </c>
      <c r="BB44" s="24" t="inlineStr">
        <is>
          <t>neutral_elo</t>
        </is>
      </c>
      <c r="BC44" s="24" t="inlineStr">
        <is>
          <t>cs2-tiered-elo-v5</t>
        </is>
      </c>
      <c r="BD44" s="24" t="inlineStr">
        <is>
          <t>7d07e567fea5bd3738b3dbc4e35eb295221f9dc89d0247f1cc7d87e37942825c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cs2-tiered-elo-v5</t>
        </is>
      </c>
      <c r="BH44" s="24" t="inlineStr">
        <is>
          <t>2026-08-03T06:31:14.520566Z</t>
        </is>
      </c>
      <c r="BI44" s="24" t="inlineStr">
        <is>
          <t>["same_event","same_team_same_day","same_league_same_day"]</t>
        </is>
      </c>
      <c r="BJ44" s="25" t="n"/>
      <c r="BK44" s="26" t="n">
        <v>-233</v>
      </c>
      <c r="BL44" s="27" t="n">
        <v>1.429185</v>
      </c>
      <c r="BM44" s="28" t="n">
        <v>0.6997</v>
      </c>
      <c r="BN44" s="28" t="n"/>
      <c r="BO44" s="28" t="n"/>
      <c r="BP44" s="25" t="n"/>
      <c r="BQ44" s="27" t="n">
        <v>1.429185</v>
      </c>
      <c r="BR44" s="28" t="n">
        <v>0.7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</row>
    <row r="45" ht="36" customHeight="1">
      <c r="A45" s="24" t="inlineStr">
        <is>
          <t>5c2d8ed5d51040de</t>
        </is>
      </c>
      <c r="B45" s="24" t="inlineStr">
        <is>
          <t>2026-08-03T06:31:38.644798Z</t>
        </is>
      </c>
      <c r="C45" s="24" t="inlineStr">
        <is>
          <t>2026-08-03T10:00:00Z</t>
        </is>
      </c>
      <c r="D45" s="24" t="inlineStr">
        <is>
          <t>68289</t>
        </is>
      </c>
      <c r="E45" s="24" t="inlineStr">
        <is>
          <t>CS2</t>
        </is>
      </c>
      <c r="F45" s="24" t="inlineStr">
        <is>
          <t>FURY</t>
        </is>
      </c>
      <c r="G45" s="24" t="inlineStr">
        <is>
          <t>Mindfreak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-178</v>
      </c>
      <c r="M45" s="27" t="n">
        <v>1.561798</v>
      </c>
      <c r="N45" s="28" t="n">
        <v>0.640288</v>
      </c>
      <c r="O45" s="28" t="n">
        <v>0.5991570000000001</v>
      </c>
      <c r="P45" s="28" t="n"/>
      <c r="Q45" s="28" t="n">
        <v>-0.041131</v>
      </c>
      <c r="R45" s="26" t="n">
        <v>0</v>
      </c>
      <c r="S45" s="29" t="n">
        <v>1.25</v>
      </c>
      <c r="T45" s="24" t="inlineStr">
        <is>
          <t>cs2-tiered-elo-v5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-178</v>
      </c>
      <c r="AA45" s="28" t="n">
        <v>0.64</v>
      </c>
      <c r="AB45" s="28" t="n">
        <v>-0.000288</v>
      </c>
      <c r="AC45" s="30" t="n">
        <v>-1.25</v>
      </c>
      <c r="AD45" s="24" t="inlineStr">
        <is>
          <t>2026-08-03T13:27:17.629633Z</t>
        </is>
      </c>
      <c r="AE45" s="31" t="inlineStr">
        <is>
          <t>Neutral Elo baseline; executable ask 0.6400 (market_slug=aec-cs2-mf-fury-2026-08-03).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FURY</t>
        </is>
      </c>
      <c r="AQ45" s="24" t="inlineStr">
        <is>
          <t>FURY</t>
        </is>
      </c>
      <c r="AR45" s="24" t="inlineStr">
        <is>
          <t>FURY</t>
        </is>
      </c>
      <c r="AS45" s="24" t="inlineStr">
        <is>
          <t>Mindfreak</t>
        </is>
      </c>
      <c r="AT45" s="24" t="inlineStr">
        <is>
          <t>Mindfreak</t>
        </is>
      </c>
      <c r="AU45" s="24" t="inlineStr">
        <is>
          <t>Mindfreak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7d07e567fea5bd3738b3dbc4e35eb295221f9dc89d0247f1cc7d87e37942825c</t>
        </is>
      </c>
      <c r="BB45" s="24" t="inlineStr">
        <is>
          <t>neutral_elo</t>
        </is>
      </c>
      <c r="BC45" s="24" t="inlineStr">
        <is>
          <t>cs2-tiered-elo-v5</t>
        </is>
      </c>
      <c r="BD45" s="24" t="inlineStr">
        <is>
          <t>7d07e567fea5bd3738b3dbc4e35eb295221f9dc89d0247f1cc7d87e37942825c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cs2-tiered-elo-v5</t>
        </is>
      </c>
      <c r="BH45" s="24" t="inlineStr">
        <is>
          <t>2026-08-03T06:31:15.055891Z</t>
        </is>
      </c>
      <c r="BI45" s="24" t="inlineStr">
        <is>
          <t>["same_event","same_team_same_day","same_league_same_day"]</t>
        </is>
      </c>
      <c r="BJ45" s="25" t="n"/>
      <c r="BK45" s="26" t="n">
        <v>-178</v>
      </c>
      <c r="BL45" s="27" t="n">
        <v>1.561798</v>
      </c>
      <c r="BM45" s="28" t="n">
        <v>0.640288</v>
      </c>
      <c r="BN45" s="28" t="n"/>
      <c r="BO45" s="28" t="n"/>
      <c r="BP45" s="25" t="n"/>
      <c r="BQ45" s="27" t="n">
        <v>1.561798</v>
      </c>
      <c r="BR45" s="28" t="n">
        <v>0.64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</row>
    <row r="46" ht="36" customHeight="1">
      <c r="A46" s="24" t="inlineStr">
        <is>
          <t>2fff69caf4e34ea1</t>
        </is>
      </c>
      <c r="B46" s="24" t="inlineStr">
        <is>
          <t>2026-08-03T10:14:59.378487Z</t>
        </is>
      </c>
      <c r="C46" s="24" t="inlineStr">
        <is>
          <t>2026-08-03T10:30:00Z</t>
        </is>
      </c>
      <c r="D46" s="24" t="inlineStr">
        <is>
          <t>67514</t>
        </is>
      </c>
      <c r="E46" s="24" t="inlineStr">
        <is>
          <t>CS2</t>
        </is>
      </c>
      <c r="F46" s="24" t="inlineStr">
        <is>
          <t>Passion Academy</t>
        </is>
      </c>
      <c r="G46" s="24" t="inlineStr">
        <is>
          <t>EAC Rising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-156</v>
      </c>
      <c r="M46" s="27" t="n">
        <v>1.641026</v>
      </c>
      <c r="N46" s="28" t="n">
        <v>0.609375</v>
      </c>
      <c r="O46" s="28" t="n">
        <v>0.639821</v>
      </c>
      <c r="P46" s="28" t="n"/>
      <c r="Q46" s="28" t="n">
        <v>0.030446</v>
      </c>
      <c r="R46" s="26" t="n">
        <v>35</v>
      </c>
      <c r="S46" s="29" t="n">
        <v>1.5</v>
      </c>
      <c r="T46" s="24" t="inlineStr">
        <is>
          <t>cs2-tiered-elo-v5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-156</v>
      </c>
      <c r="AA46" s="28" t="n">
        <v>0.61</v>
      </c>
      <c r="AB46" s="28" t="n">
        <v>0.000625</v>
      </c>
      <c r="AC46" s="30" t="n">
        <v>0.9615</v>
      </c>
      <c r="AD46" s="24" t="inlineStr">
        <is>
          <t>2026-08-03T13:27:19.000404Z</t>
        </is>
      </c>
      <c r="AE46" s="31" t="inlineStr">
        <is>
          <t>Neutral Elo baseline; executable ask 0.6100 (market_slug=aec-cs2-era-psna-2026-08-03).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Passion Academy</t>
        </is>
      </c>
      <c r="AQ46" s="24" t="inlineStr">
        <is>
          <t>Passion Academy</t>
        </is>
      </c>
      <c r="AR46" s="24" t="inlineStr">
        <is>
          <t>Passion Academy</t>
        </is>
      </c>
      <c r="AS46" s="24" t="inlineStr">
        <is>
          <t>EAC Rising</t>
        </is>
      </c>
      <c r="AT46" s="24" t="inlineStr">
        <is>
          <t>EAC Rising</t>
        </is>
      </c>
      <c r="AU46" s="24" t="inlineStr">
        <is>
          <t>EAC Rising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a67b482e0cc299818c9d6a6183162092d6b3cbeea4f974054606da1c44c3bd99</t>
        </is>
      </c>
      <c r="BB46" s="24" t="inlineStr">
        <is>
          <t>neutral_elo</t>
        </is>
      </c>
      <c r="BC46" s="24" t="inlineStr">
        <is>
          <t>cs2-tiered-elo-v5</t>
        </is>
      </c>
      <c r="BD46" s="24" t="inlineStr">
        <is>
          <t>a67b482e0cc299818c9d6a6183162092d6b3cbeea4f974054606da1c44c3bd99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cs2-tiered-elo-v5</t>
        </is>
      </c>
      <c r="BH46" s="24" t="inlineStr">
        <is>
          <t>2026-08-03T10:14:38.370048Z</t>
        </is>
      </c>
      <c r="BI46" s="24" t="inlineStr">
        <is>
          <t>["same_event","same_team_same_day","same_league_same_day"]</t>
        </is>
      </c>
      <c r="BJ46" s="25" t="n"/>
      <c r="BK46" s="26" t="n">
        <v>-156</v>
      </c>
      <c r="BL46" s="27" t="n">
        <v>1.641026</v>
      </c>
      <c r="BM46" s="28" t="n">
        <v>0.609375</v>
      </c>
      <c r="BN46" s="28" t="n"/>
      <c r="BO46" s="28" t="n"/>
      <c r="BP46" s="25" t="n"/>
      <c r="BQ46" s="27" t="n">
        <v>1.641026</v>
      </c>
      <c r="BR46" s="28" t="n">
        <v>0.61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6ec11e6aa641499e</t>
        </is>
      </c>
      <c r="B47" s="24" t="inlineStr">
        <is>
          <t>2026-08-03T11:00:03.308892Z</t>
        </is>
      </c>
      <c r="C47" s="24" t="inlineStr">
        <is>
          <t>2026-08-03T13:00:00Z</t>
        </is>
      </c>
      <c r="D47" s="24" t="inlineStr">
        <is>
          <t>70299</t>
        </is>
      </c>
      <c r="E47" s="24" t="inlineStr">
        <is>
          <t>CS2</t>
        </is>
      </c>
      <c r="F47" s="24" t="inlineStr">
        <is>
          <t>Inner Circle Academy</t>
        </is>
      </c>
      <c r="G47" s="24" t="inlineStr">
        <is>
          <t>Leo Team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-178</v>
      </c>
      <c r="M47" s="27" t="n">
        <v>1.561798</v>
      </c>
      <c r="N47" s="28" t="n">
        <v>0.640288</v>
      </c>
      <c r="O47" s="28" t="n">
        <v>0.519406</v>
      </c>
      <c r="P47" s="28" t="n"/>
      <c r="Q47" s="28" t="n">
        <v>-0.120882</v>
      </c>
      <c r="R47" s="26" t="n">
        <v>0</v>
      </c>
      <c r="S47" s="29" t="n">
        <v>1</v>
      </c>
      <c r="T47" s="24" t="inlineStr">
        <is>
          <t>cs2-tiered-elo-v5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-178</v>
      </c>
      <c r="AA47" s="28" t="n">
        <v>0.64</v>
      </c>
      <c r="AB47" s="28" t="n">
        <v>-0.000288</v>
      </c>
      <c r="AC47" s="30" t="n">
        <v>0.5618</v>
      </c>
      <c r="AD47" s="24" t="inlineStr">
        <is>
          <t>2026-08-03T16:27:28.278736Z</t>
        </is>
      </c>
      <c r="AE47" s="31" t="inlineStr">
        <is>
          <t>Neutral Elo baseline; executable ask 0.6400 (market_slug=aec-cs2-leo-ica-2026-08-03).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Inner Circle Academy</t>
        </is>
      </c>
      <c r="AQ47" s="24" t="inlineStr">
        <is>
          <t>Inner Circle Academy</t>
        </is>
      </c>
      <c r="AR47" s="24" t="inlineStr">
        <is>
          <t>Inner Circle Academy</t>
        </is>
      </c>
      <c r="AS47" s="24" t="inlineStr">
        <is>
          <t>Leo Team</t>
        </is>
      </c>
      <c r="AT47" s="24" t="inlineStr">
        <is>
          <t>Leo Team</t>
        </is>
      </c>
      <c r="AU47" s="24" t="inlineStr">
        <is>
          <t>Leo Team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9788ee890acda4c62d77d79ea2b1f172c9d4d87af2458e9365985663c60a50c8</t>
        </is>
      </c>
      <c r="BB47" s="24" t="inlineStr">
        <is>
          <t>neutral_elo</t>
        </is>
      </c>
      <c r="BC47" s="24" t="inlineStr">
        <is>
          <t>cs2-tiered-elo-v5</t>
        </is>
      </c>
      <c r="BD47" s="24" t="inlineStr">
        <is>
          <t>9788ee890acda4c62d77d79ea2b1f172c9d4d87af2458e9365985663c60a50c8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cs2-tiered-elo-v5</t>
        </is>
      </c>
      <c r="BH47" s="24" t="inlineStr">
        <is>
          <t>2026-08-03T10:59:43.688214Z</t>
        </is>
      </c>
      <c r="BI47" s="24" t="inlineStr">
        <is>
          <t>["same_event","same_team_same_day","same_league_same_day"]</t>
        </is>
      </c>
      <c r="BJ47" s="25" t="n"/>
      <c r="BK47" s="26" t="n">
        <v>-178</v>
      </c>
      <c r="BL47" s="27" t="n">
        <v>1.561798</v>
      </c>
      <c r="BM47" s="28" t="n">
        <v>0.640288</v>
      </c>
      <c r="BN47" s="28" t="n"/>
      <c r="BO47" s="28" t="n"/>
      <c r="BP47" s="25" t="n"/>
      <c r="BQ47" s="27" t="n">
        <v>1.561798</v>
      </c>
      <c r="BR47" s="28" t="n">
        <v>0.64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</row>
    <row r="48" ht="36" customHeight="1">
      <c r="A48" s="24" t="inlineStr">
        <is>
          <t>8bc4bf70445a4ef7</t>
        </is>
      </c>
      <c r="B48" s="24" t="inlineStr">
        <is>
          <t>2026-08-03T11:00:03.308892Z</t>
        </is>
      </c>
      <c r="C48" s="24" t="inlineStr">
        <is>
          <t>2026-08-03T13:00:00Z</t>
        </is>
      </c>
      <c r="D48" s="24" t="inlineStr">
        <is>
          <t>70102</t>
        </is>
      </c>
      <c r="E48" s="24" t="inlineStr">
        <is>
          <t>CS2</t>
        </is>
      </c>
      <c r="F48" s="24" t="inlineStr">
        <is>
          <t>Misa Esports</t>
        </is>
      </c>
      <c r="G48" s="24" t="inlineStr">
        <is>
          <t>MOUZ NXT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150</v>
      </c>
      <c r="M48" s="27" t="n">
        <v>2.5</v>
      </c>
      <c r="N48" s="28" t="n">
        <v>0.4</v>
      </c>
      <c r="O48" s="28" t="n">
        <v>0.515204</v>
      </c>
      <c r="P48" s="28" t="n"/>
      <c r="Q48" s="28" t="n">
        <v>0.115204</v>
      </c>
      <c r="R48" s="26" t="n">
        <v>78</v>
      </c>
      <c r="S48" s="29" t="n">
        <v>1</v>
      </c>
      <c r="T48" s="24" t="inlineStr">
        <is>
          <t>cs2-tiered-elo-v5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150</v>
      </c>
      <c r="AA48" s="28" t="n">
        <v>0.4</v>
      </c>
      <c r="AB48" s="28" t="n">
        <v>0</v>
      </c>
      <c r="AC48" s="30" t="n">
        <v>1.5</v>
      </c>
      <c r="AD48" s="24" t="inlineStr">
        <is>
          <t>2026-08-03T16:48:07.078982Z</t>
        </is>
      </c>
      <c r="AE48" s="31" t="inlineStr">
        <is>
          <t>Neutral Elo baseline; executable ask 0.4000 (market_slug=aec-cs2-mouzn-misa-2026-08-03).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Misa Esports</t>
        </is>
      </c>
      <c r="AQ48" s="24" t="inlineStr">
        <is>
          <t>Misa Esports</t>
        </is>
      </c>
      <c r="AR48" s="24" t="inlineStr">
        <is>
          <t>Misa Esports</t>
        </is>
      </c>
      <c r="AS48" s="24" t="inlineStr">
        <is>
          <t>MOUZ NXT</t>
        </is>
      </c>
      <c r="AT48" s="24" t="inlineStr">
        <is>
          <t>MOUZ NXT</t>
        </is>
      </c>
      <c r="AU48" s="24" t="inlineStr">
        <is>
          <t>MOUZ NXT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9788ee890acda4c62d77d79ea2b1f172c9d4d87af2458e9365985663c60a50c8</t>
        </is>
      </c>
      <c r="BB48" s="24" t="inlineStr">
        <is>
          <t>neutral_elo</t>
        </is>
      </c>
      <c r="BC48" s="24" t="inlineStr">
        <is>
          <t>cs2-tiered-elo-v5</t>
        </is>
      </c>
      <c r="BD48" s="24" t="inlineStr">
        <is>
          <t>9788ee890acda4c62d77d79ea2b1f172c9d4d87af2458e9365985663c60a50c8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cs2-tiered-elo-v5</t>
        </is>
      </c>
      <c r="BH48" s="24" t="inlineStr">
        <is>
          <t>2026-08-03T10:59:44.688342Z</t>
        </is>
      </c>
      <c r="BI48" s="24" t="inlineStr">
        <is>
          <t>["same_event","same_team_same_day","same_league_same_day"]</t>
        </is>
      </c>
      <c r="BJ48" s="25" t="n"/>
      <c r="BK48" s="26" t="n">
        <v>150</v>
      </c>
      <c r="BL48" s="27" t="n">
        <v>2.5</v>
      </c>
      <c r="BM48" s="28" t="n">
        <v>0.4</v>
      </c>
      <c r="BN48" s="28" t="n"/>
      <c r="BO48" s="28" t="n"/>
      <c r="BP48" s="25" t="n"/>
      <c r="BQ48" s="27" t="n">
        <v>2.5</v>
      </c>
      <c r="BR48" s="28" t="n">
        <v>0.4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6afbd1e9f6e2473e</t>
        </is>
      </c>
      <c r="B49" s="24" t="inlineStr">
        <is>
          <t>2026-08-03T11:00:03.308892Z</t>
        </is>
      </c>
      <c r="C49" s="24" t="inlineStr">
        <is>
          <t>2026-08-03T13:00:00Z</t>
        </is>
      </c>
      <c r="D49" s="24" t="inlineStr">
        <is>
          <t>70312</t>
        </is>
      </c>
      <c r="E49" s="24" t="inlineStr">
        <is>
          <t>CS2</t>
        </is>
      </c>
      <c r="F49" s="24" t="inlineStr">
        <is>
          <t>Fire Flux Esports</t>
        </is>
      </c>
      <c r="G49" s="24" t="inlineStr">
        <is>
          <t>BASEMENT BOYS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-108</v>
      </c>
      <c r="M49" s="27" t="n">
        <v>1.925926</v>
      </c>
      <c r="N49" s="28" t="n">
        <v>0.519231</v>
      </c>
      <c r="O49" s="28" t="n">
        <v>0.649848</v>
      </c>
      <c r="P49" s="28" t="n"/>
      <c r="Q49" s="28" t="n">
        <v>0.130617</v>
      </c>
      <c r="R49" s="26" t="n">
        <v>85</v>
      </c>
      <c r="S49" s="29" t="n">
        <v>1.75</v>
      </c>
      <c r="T49" s="24" t="inlineStr">
        <is>
          <t>cs2-tiered-elo-v5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>
        <v>-108</v>
      </c>
      <c r="AA49" s="28" t="n">
        <v>0.52</v>
      </c>
      <c r="AB49" s="28" t="n">
        <v>0.000769</v>
      </c>
      <c r="AC49" s="30" t="n">
        <v>1.6204</v>
      </c>
      <c r="AD49" s="24" t="inlineStr">
        <is>
          <t>2026-08-03T15:52:18.957125Z</t>
        </is>
      </c>
      <c r="AE49" s="31" t="inlineStr">
        <is>
          <t>Neutral Elo baseline; executable ask 0.5200 (market_slug=aec-cs2-bmb-ff-2026-08-03).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Fire Flux Esports</t>
        </is>
      </c>
      <c r="AQ49" s="24" t="inlineStr">
        <is>
          <t>Fire Flux Esports</t>
        </is>
      </c>
      <c r="AR49" s="24" t="inlineStr">
        <is>
          <t>Fire Flux Esports</t>
        </is>
      </c>
      <c r="AS49" s="24" t="inlineStr">
        <is>
          <t>BASEMENT BOYS</t>
        </is>
      </c>
      <c r="AT49" s="24" t="inlineStr">
        <is>
          <t>BASEMENT BOYS</t>
        </is>
      </c>
      <c r="AU49" s="24" t="inlineStr">
        <is>
          <t>BASEMENT BOYS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9788ee890acda4c62d77d79ea2b1f172c9d4d87af2458e9365985663c60a50c8</t>
        </is>
      </c>
      <c r="BB49" s="24" t="inlineStr">
        <is>
          <t>neutral_elo</t>
        </is>
      </c>
      <c r="BC49" s="24" t="inlineStr">
        <is>
          <t>cs2-tiered-elo-v5</t>
        </is>
      </c>
      <c r="BD49" s="24" t="inlineStr">
        <is>
          <t>9788ee890acda4c62d77d79ea2b1f172c9d4d87af2458e9365985663c60a50c8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cs2-tiered-elo-v5</t>
        </is>
      </c>
      <c r="BH49" s="24" t="inlineStr">
        <is>
          <t>2026-08-03T10:59:45.179308Z</t>
        </is>
      </c>
      <c r="BI49" s="24" t="inlineStr">
        <is>
          <t>["same_event","same_team_same_day","same_league_same_day"]</t>
        </is>
      </c>
      <c r="BJ49" s="25" t="n"/>
      <c r="BK49" s="26" t="n">
        <v>-108</v>
      </c>
      <c r="BL49" s="27" t="n">
        <v>1.925926</v>
      </c>
      <c r="BM49" s="28" t="n">
        <v>0.519231</v>
      </c>
      <c r="BN49" s="28" t="n"/>
      <c r="BO49" s="28" t="n"/>
      <c r="BP49" s="25" t="n"/>
      <c r="BQ49" s="27" t="n">
        <v>1.925926</v>
      </c>
      <c r="BR49" s="28" t="n">
        <v>0.52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1e39a849456941e6</t>
        </is>
      </c>
      <c r="B50" s="24" t="inlineStr">
        <is>
          <t>2026-08-03T13:30:52.354366Z</t>
        </is>
      </c>
      <c r="C50" s="24" t="inlineStr">
        <is>
          <t>2026-08-03T13:45:00Z</t>
        </is>
      </c>
      <c r="D50" s="24" t="inlineStr">
        <is>
          <t>67579</t>
        </is>
      </c>
      <c r="E50" s="24" t="inlineStr">
        <is>
          <t>CS2</t>
        </is>
      </c>
      <c r="F50" s="24" t="inlineStr">
        <is>
          <t>Morphilina Club</t>
        </is>
      </c>
      <c r="G50" s="24" t="inlineStr">
        <is>
          <t>Perfecto Club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0.526025</v>
      </c>
      <c r="P50" s="28" t="n"/>
      <c r="Q50" s="28" t="n">
        <v>0.185889</v>
      </c>
      <c r="R50" s="26" t="n">
        <v>100</v>
      </c>
      <c r="S50" s="29" t="n">
        <v>1</v>
      </c>
      <c r="T50" s="24" t="inlineStr">
        <is>
          <t>cs2-tiered-elo-v5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0</v>
      </c>
      <c r="Y50" s="25" t="n"/>
      <c r="Z50" s="26" t="n">
        <v>194</v>
      </c>
      <c r="AA50" s="28" t="n">
        <v>0.34</v>
      </c>
      <c r="AB50" s="28" t="n">
        <v>-0.000136</v>
      </c>
      <c r="AC50" s="30" t="n">
        <v>1.94</v>
      </c>
      <c r="AD50" s="24" t="inlineStr">
        <is>
          <t>2026-08-03T15:52:20.766358Z</t>
        </is>
      </c>
      <c r="AE50" s="31" t="inlineStr">
        <is>
          <t>Neutral Elo baseline; executable ask 0.3400 (market_slug=aec-cs2-pce-mcor-2026-08-03).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Morphilina Club</t>
        </is>
      </c>
      <c r="AQ50" s="24" t="inlineStr">
        <is>
          <t>Morphilina Club</t>
        </is>
      </c>
      <c r="AR50" s="24" t="inlineStr">
        <is>
          <t>Morphilina Club</t>
        </is>
      </c>
      <c r="AS50" s="24" t="inlineStr">
        <is>
          <t>Perfecto Club</t>
        </is>
      </c>
      <c r="AT50" s="24" t="inlineStr">
        <is>
          <t>Perfecto Club</t>
        </is>
      </c>
      <c r="AU50" s="24" t="inlineStr">
        <is>
          <t>Perfecto Club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f4f3549fbe9f095af12acefc96610fcfd4a51f4257b8523d5f8648d7efb51e9b</t>
        </is>
      </c>
      <c r="BB50" s="24" t="inlineStr">
        <is>
          <t>neutral_elo</t>
        </is>
      </c>
      <c r="BC50" s="24" t="inlineStr">
        <is>
          <t>cs2-tiered-elo-v5</t>
        </is>
      </c>
      <c r="BD50" s="24" t="inlineStr">
        <is>
          <t>f4f3549fbe9f095af12acefc96610fcfd4a51f4257b8523d5f8648d7efb51e9b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cs2-tiered-elo-v5</t>
        </is>
      </c>
      <c r="BH50" s="24" t="inlineStr">
        <is>
          <t>2026-08-03T13:30:33.661539Z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>
        <v>2.94</v>
      </c>
      <c r="BR50" s="28" t="n">
        <v>0.34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f0e49af4d6be415b</t>
        </is>
      </c>
      <c r="B51" s="24" t="inlineStr">
        <is>
          <t>2026-08-03T13:30:52.354366Z</t>
        </is>
      </c>
      <c r="C51" s="24" t="inlineStr">
        <is>
          <t>2026-08-03T14:00:00Z</t>
        </is>
      </c>
      <c r="D51" s="24" t="inlineStr">
        <is>
          <t>68292</t>
        </is>
      </c>
      <c r="E51" s="24" t="inlineStr">
        <is>
          <t>CS2</t>
        </is>
      </c>
      <c r="F51" s="24" t="inlineStr">
        <is>
          <t>Butterfly</t>
        </is>
      </c>
      <c r="G51" s="24" t="inlineStr">
        <is>
          <t>ARCRED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-170</v>
      </c>
      <c r="M51" s="27" t="n">
        <v>1.588235</v>
      </c>
      <c r="N51" s="28" t="n">
        <v>0.62963</v>
      </c>
      <c r="O51" s="28" t="n">
        <v>0.613967</v>
      </c>
      <c r="P51" s="28" t="n"/>
      <c r="Q51" s="28" t="n">
        <v>-0.015663</v>
      </c>
      <c r="R51" s="26" t="n">
        <v>12</v>
      </c>
      <c r="S51" s="29" t="n">
        <v>1.5</v>
      </c>
      <c r="T51" s="24" t="inlineStr">
        <is>
          <t>cs2-tiered-elo-v5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>
        <v>-170</v>
      </c>
      <c r="AA51" s="28" t="n">
        <v>0.63</v>
      </c>
      <c r="AB51" s="28" t="n">
        <v>0.00037</v>
      </c>
      <c r="AC51" s="30" t="n">
        <v>-1.5</v>
      </c>
      <c r="AD51" s="24" t="inlineStr">
        <is>
          <t>2026-08-03T17:05:46.474137Z</t>
        </is>
      </c>
      <c r="AE51" s="31" t="inlineStr">
        <is>
          <t>Neutral Elo baseline; executable ask 0.6300 (market_slug=aec-cs2-arc-btf-2026-08-03).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Butterfly</t>
        </is>
      </c>
      <c r="AQ51" s="24" t="inlineStr">
        <is>
          <t>Butterfly</t>
        </is>
      </c>
      <c r="AR51" s="24" t="inlineStr">
        <is>
          <t>Butterfly</t>
        </is>
      </c>
      <c r="AS51" s="24" t="inlineStr">
        <is>
          <t>ARCRED</t>
        </is>
      </c>
      <c r="AT51" s="24" t="inlineStr">
        <is>
          <t>ARCRED</t>
        </is>
      </c>
      <c r="AU51" s="24" t="inlineStr">
        <is>
          <t>ARCRED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f4f3549fbe9f095af12acefc96610fcfd4a51f4257b8523d5f8648d7efb51e9b</t>
        </is>
      </c>
      <c r="BB51" s="24" t="inlineStr">
        <is>
          <t>neutral_elo</t>
        </is>
      </c>
      <c r="BC51" s="24" t="inlineStr">
        <is>
          <t>cs2-tiered-elo-v5</t>
        </is>
      </c>
      <c r="BD51" s="24" t="inlineStr">
        <is>
          <t>f4f3549fbe9f095af12acefc96610fcfd4a51f4257b8523d5f8648d7efb51e9b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cs2-tiered-elo-v5</t>
        </is>
      </c>
      <c r="BH51" s="24" t="inlineStr">
        <is>
          <t>2026-08-03T13:30:34.211230Z</t>
        </is>
      </c>
      <c r="BI51" s="24" t="inlineStr">
        <is>
          <t>["same_event","same_team_same_day","same_league_same_day"]</t>
        </is>
      </c>
      <c r="BJ51" s="25" t="n"/>
      <c r="BK51" s="26" t="n">
        <v>-170</v>
      </c>
      <c r="BL51" s="27" t="n">
        <v>1.588235</v>
      </c>
      <c r="BM51" s="28" t="n">
        <v>0.62963</v>
      </c>
      <c r="BN51" s="28" t="n"/>
      <c r="BO51" s="28" t="n"/>
      <c r="BP51" s="25" t="n"/>
      <c r="BQ51" s="27" t="n">
        <v>1.588235</v>
      </c>
      <c r="BR51" s="28" t="n">
        <v>0.63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</row>
    <row r="52" ht="36" customHeight="1">
      <c r="A52" s="24" t="inlineStr">
        <is>
          <t>4908885950e5411e</t>
        </is>
      </c>
      <c r="B52" s="24" t="inlineStr">
        <is>
          <t>2026-08-03T13:30:52.354366Z</t>
        </is>
      </c>
      <c r="C52" s="24" t="inlineStr">
        <is>
          <t>2026-08-03T14:00:00Z</t>
        </is>
      </c>
      <c r="D52" s="24" t="inlineStr">
        <is>
          <t>69268</t>
        </is>
      </c>
      <c r="E52" s="24" t="inlineStr">
        <is>
          <t>CS2</t>
        </is>
      </c>
      <c r="F52" s="24" t="inlineStr">
        <is>
          <t>ex-Young Ninjas</t>
        </is>
      </c>
      <c r="G52" s="24" t="inlineStr">
        <is>
          <t>SPARTA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-194</v>
      </c>
      <c r="M52" s="27" t="n">
        <v>1.515464</v>
      </c>
      <c r="N52" s="28" t="n">
        <v>0.659864</v>
      </c>
      <c r="O52" s="28" t="n">
        <v>0.662847</v>
      </c>
      <c r="P52" s="28" t="n"/>
      <c r="Q52" s="28" t="n">
        <v>0.002983</v>
      </c>
      <c r="R52" s="26" t="n">
        <v>21</v>
      </c>
      <c r="S52" s="29" t="n">
        <v>1.75</v>
      </c>
      <c r="T52" s="24" t="inlineStr">
        <is>
          <t>cs2-tiered-elo-v5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>
        <v>-194</v>
      </c>
      <c r="AA52" s="28" t="n">
        <v>0.66</v>
      </c>
      <c r="AB52" s="28" t="n">
        <v>0.000136</v>
      </c>
      <c r="AC52" s="30" t="n">
        <v>0.9021</v>
      </c>
      <c r="AD52" s="24" t="inlineStr">
        <is>
          <t>2026-08-03T16:27:31.953712Z</t>
        </is>
      </c>
      <c r="AE52" s="31" t="inlineStr">
        <is>
          <t>Neutral Elo baseline; executable ask 0.6600 (market_slug=aec-cs2-sparta-eyn-2026-08-03).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ex-Young Ninjas</t>
        </is>
      </c>
      <c r="AQ52" s="24" t="inlineStr">
        <is>
          <t>ex-Young Ninjas</t>
        </is>
      </c>
      <c r="AR52" s="24" t="inlineStr">
        <is>
          <t>ex-Young Ninjas</t>
        </is>
      </c>
      <c r="AS52" s="24" t="inlineStr">
        <is>
          <t>SPARTA</t>
        </is>
      </c>
      <c r="AT52" s="24" t="inlineStr">
        <is>
          <t>SPARTA</t>
        </is>
      </c>
      <c r="AU52" s="24" t="inlineStr">
        <is>
          <t>SPARTA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f4f3549fbe9f095af12acefc96610fcfd4a51f4257b8523d5f8648d7efb51e9b</t>
        </is>
      </c>
      <c r="BB52" s="24" t="inlineStr">
        <is>
          <t>neutral_elo</t>
        </is>
      </c>
      <c r="BC52" s="24" t="inlineStr">
        <is>
          <t>cs2-tiered-elo-v5</t>
        </is>
      </c>
      <c r="BD52" s="24" t="inlineStr">
        <is>
          <t>f4f3549fbe9f095af12acefc96610fcfd4a51f4257b8523d5f8648d7efb51e9b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cs2-tiered-elo-v5</t>
        </is>
      </c>
      <c r="BH52" s="24" t="inlineStr">
        <is>
          <t>2026-08-03T13:30:35.269193Z</t>
        </is>
      </c>
      <c r="BI52" s="24" t="inlineStr">
        <is>
          <t>["same_event","same_team_same_day","same_league_same_day"]</t>
        </is>
      </c>
      <c r="BJ52" s="25" t="n"/>
      <c r="BK52" s="26" t="n">
        <v>-194</v>
      </c>
      <c r="BL52" s="27" t="n">
        <v>1.515464</v>
      </c>
      <c r="BM52" s="28" t="n">
        <v>0.659864</v>
      </c>
      <c r="BN52" s="28" t="n"/>
      <c r="BO52" s="28" t="n"/>
      <c r="BP52" s="25" t="n"/>
      <c r="BQ52" s="27" t="n">
        <v>1.515464</v>
      </c>
      <c r="BR52" s="28" t="n">
        <v>0.66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</row>
    <row r="53" ht="36" customHeight="1">
      <c r="A53" s="24" t="inlineStr">
        <is>
          <t>c1cae09d4a35473c</t>
        </is>
      </c>
      <c r="B53" s="24" t="inlineStr">
        <is>
          <t>2026-08-03T16:51:25.969362Z</t>
        </is>
      </c>
      <c r="C53" s="24" t="inlineStr">
        <is>
          <t>2026-08-03T17:00:00Z</t>
        </is>
      </c>
      <c r="D53" s="24" t="inlineStr">
        <is>
          <t>68293</t>
        </is>
      </c>
      <c r="E53" s="24" t="inlineStr">
        <is>
          <t>CS2</t>
        </is>
      </c>
      <c r="F53" s="24" t="inlineStr">
        <is>
          <t>ex-RUSTEC</t>
        </is>
      </c>
      <c r="G53" s="24" t="inlineStr">
        <is>
          <t>Walczaki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-156</v>
      </c>
      <c r="M53" s="27" t="n">
        <v>1.641026</v>
      </c>
      <c r="N53" s="28" t="n">
        <v>0.609375</v>
      </c>
      <c r="O53" s="28" t="n">
        <v>0.6180909999999999</v>
      </c>
      <c r="P53" s="28" t="n"/>
      <c r="Q53" s="28" t="n">
        <v>0.008716</v>
      </c>
      <c r="R53" s="26" t="n">
        <v>24</v>
      </c>
      <c r="S53" s="29" t="n">
        <v>1.5</v>
      </c>
      <c r="T53" s="24" t="inlineStr">
        <is>
          <t>cs2-tiered-elo-v5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>
        <v>-150</v>
      </c>
      <c r="AA53" s="28" t="n">
        <v>0.6</v>
      </c>
      <c r="AB53" s="28" t="n">
        <v>-0.009375</v>
      </c>
      <c r="AC53" s="30" t="n">
        <v>-1.5</v>
      </c>
      <c r="AD53" s="24" t="inlineStr">
        <is>
          <t>2026-08-03T19:51:55.501664Z</t>
        </is>
      </c>
      <c r="AE53" s="31" t="inlineStr">
        <is>
          <t>Neutral Elo baseline; executable ask 0.6100 (market_slug=aec-cs2-wal-erx-2026-08-03).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ex-RUSTEC</t>
        </is>
      </c>
      <c r="AQ53" s="24" t="inlineStr">
        <is>
          <t>ex-RUSTEC</t>
        </is>
      </c>
      <c r="AR53" s="24" t="inlineStr">
        <is>
          <t>ex-RUSTEC</t>
        </is>
      </c>
      <c r="AS53" s="24" t="inlineStr">
        <is>
          <t>Walczaki</t>
        </is>
      </c>
      <c r="AT53" s="24" t="inlineStr">
        <is>
          <t>Walczaki</t>
        </is>
      </c>
      <c r="AU53" s="24" t="inlineStr">
        <is>
          <t>Walczaki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ac6ceef0c5562ec6cc6578a41665f813f640606150062d7159d6470d651252c3</t>
        </is>
      </c>
      <c r="BB53" s="24" t="inlineStr">
        <is>
          <t>neutral_elo</t>
        </is>
      </c>
      <c r="BC53" s="24" t="inlineStr">
        <is>
          <t>cs2-tiered-elo-v5</t>
        </is>
      </c>
      <c r="BD53" s="24" t="inlineStr">
        <is>
          <t>ac6ceef0c5562ec6cc6578a41665f813f640606150062d7159d6470d651252c3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cs2-tiered-elo-v5</t>
        </is>
      </c>
      <c r="BH53" s="24" t="inlineStr">
        <is>
          <t>2026-08-03T16:51:11.769258Z</t>
        </is>
      </c>
      <c r="BI53" s="24" t="inlineStr">
        <is>
          <t>["same_event","same_team_same_day","same_league_same_day"]</t>
        </is>
      </c>
      <c r="BJ53" s="25" t="n"/>
      <c r="BK53" s="26" t="n">
        <v>-156</v>
      </c>
      <c r="BL53" s="27" t="n">
        <v>1.641026</v>
      </c>
      <c r="BM53" s="28" t="n">
        <v>0.609375</v>
      </c>
      <c r="BN53" s="28" t="n"/>
      <c r="BO53" s="28" t="n"/>
      <c r="BP53" s="25" t="n"/>
      <c r="BQ53" s="27" t="n">
        <v>1.666667</v>
      </c>
      <c r="BR53" s="28" t="n">
        <v>0.6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77513d463ec944e1</t>
        </is>
      </c>
      <c r="B54" s="24" t="inlineStr">
        <is>
          <t>2026-08-03T16:51:25.969362Z</t>
        </is>
      </c>
      <c r="C54" s="24" t="inlineStr">
        <is>
          <t>2026-08-03T17:00:00Z</t>
        </is>
      </c>
      <c r="D54" s="24" t="inlineStr">
        <is>
          <t>70377</t>
        </is>
      </c>
      <c r="E54" s="24" t="inlineStr">
        <is>
          <t>CS2</t>
        </is>
      </c>
      <c r="F54" s="24" t="inlineStr">
        <is>
          <t>Spirit Academy Green</t>
        </is>
      </c>
      <c r="G54" s="24" t="inlineStr">
        <is>
          <t>LPH Gaming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-127</v>
      </c>
      <c r="M54" s="27" t="n">
        <v>1.787402</v>
      </c>
      <c r="N54" s="28" t="n">
        <v>0.5594710000000001</v>
      </c>
      <c r="O54" s="28" t="n">
        <v>0.5260550000000001</v>
      </c>
      <c r="P54" s="28" t="n"/>
      <c r="Q54" s="28" t="n">
        <v>-0.033416</v>
      </c>
      <c r="R54" s="26" t="n">
        <v>3</v>
      </c>
      <c r="S54" s="29" t="n">
        <v>1</v>
      </c>
      <c r="T54" s="24" t="inlineStr">
        <is>
          <t>cs2-tiered-elo-v5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-127</v>
      </c>
      <c r="AA54" s="28" t="n">
        <v>0.5600000000000001</v>
      </c>
      <c r="AB54" s="28" t="n">
        <v>0.000529</v>
      </c>
      <c r="AC54" s="30" t="n">
        <v>0.7874</v>
      </c>
      <c r="AD54" s="24" t="inlineStr">
        <is>
          <t>2026-08-03T19:51:57.058700Z</t>
        </is>
      </c>
      <c r="AE54" s="31" t="inlineStr">
        <is>
          <t>Neutral Elo baseline; executable ask 0.5600 (market_slug=aec-cs2-lph-sag-2026-08-03).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Spirit Academy Green</t>
        </is>
      </c>
      <c r="AQ54" s="24" t="inlineStr">
        <is>
          <t>Spirit Academy Green</t>
        </is>
      </c>
      <c r="AR54" s="24" t="inlineStr">
        <is>
          <t>Spirit Academy Green</t>
        </is>
      </c>
      <c r="AS54" s="24" t="inlineStr">
        <is>
          <t>LPH Gaming</t>
        </is>
      </c>
      <c r="AT54" s="24" t="inlineStr">
        <is>
          <t>LPH Gaming</t>
        </is>
      </c>
      <c r="AU54" s="24" t="inlineStr">
        <is>
          <t>LPH Gaming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ac6ceef0c5562ec6cc6578a41665f813f640606150062d7159d6470d651252c3</t>
        </is>
      </c>
      <c r="BB54" s="24" t="inlineStr">
        <is>
          <t>neutral_elo</t>
        </is>
      </c>
      <c r="BC54" s="24" t="inlineStr">
        <is>
          <t>cs2-tiered-elo-v5</t>
        </is>
      </c>
      <c r="BD54" s="24" t="inlineStr">
        <is>
          <t>ac6ceef0c5562ec6cc6578a41665f813f640606150062d7159d6470d651252c3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cs2-tiered-elo-v5</t>
        </is>
      </c>
      <c r="BH54" s="24" t="inlineStr">
        <is>
          <t>2026-08-03T16:51:12.274224Z</t>
        </is>
      </c>
      <c r="BI54" s="24" t="inlineStr">
        <is>
          <t>["same_event","same_team_same_day","same_league_same_day"]</t>
        </is>
      </c>
      <c r="BJ54" s="25" t="n"/>
      <c r="BK54" s="26" t="n">
        <v>-127</v>
      </c>
      <c r="BL54" s="27" t="n">
        <v>1.787402</v>
      </c>
      <c r="BM54" s="28" t="n">
        <v>0.5594710000000001</v>
      </c>
      <c r="BN54" s="28" t="n"/>
      <c r="BO54" s="28" t="n"/>
      <c r="BP54" s="25" t="n"/>
      <c r="BQ54" s="27" t="n">
        <v>1.787402</v>
      </c>
      <c r="BR54" s="28" t="n">
        <v>0.5600000000000001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</row>
    <row r="55" ht="36" customHeight="1">
      <c r="A55" s="24" t="inlineStr">
        <is>
          <t>cac106ec46a04510</t>
        </is>
      </c>
      <c r="B55" s="24" t="inlineStr">
        <is>
          <t>2026-08-03T17:08:54.943979Z</t>
        </is>
      </c>
      <c r="C55" s="24" t="inlineStr">
        <is>
          <t>2026-08-03T19:15:00Z</t>
        </is>
      </c>
      <c r="D55" s="24" t="inlineStr">
        <is>
          <t>67682</t>
        </is>
      </c>
      <c r="E55" s="24" t="inlineStr">
        <is>
          <t>CS2</t>
        </is>
      </c>
      <c r="F55" s="24" t="inlineStr">
        <is>
          <t>WorldEdit Club</t>
        </is>
      </c>
      <c r="G55" s="24" t="inlineStr">
        <is>
          <t>Lixxx Club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117</v>
      </c>
      <c r="M55" s="27" t="n">
        <v>2.17</v>
      </c>
      <c r="N55" s="28" t="n">
        <v>0.460829</v>
      </c>
      <c r="O55" s="28" t="n">
        <v>0.5273679999999999</v>
      </c>
      <c r="P55" s="28" t="n"/>
      <c r="Q55" s="28" t="n">
        <v>0.066539</v>
      </c>
      <c r="R55" s="26" t="n">
        <v>53</v>
      </c>
      <c r="S55" s="29" t="n">
        <v>1</v>
      </c>
      <c r="T55" s="24" t="inlineStr">
        <is>
          <t>cs2-tiered-elo-v5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>
        <v>117</v>
      </c>
      <c r="AA55" s="28" t="n">
        <v>0.46</v>
      </c>
      <c r="AB55" s="28" t="n">
        <v>-0.000829</v>
      </c>
      <c r="AC55" s="30" t="n">
        <v>-1</v>
      </c>
      <c r="AD55" s="24" t="inlineStr">
        <is>
          <t>2026-08-03T22:55:30.403877Z</t>
        </is>
      </c>
      <c r="AE55" s="31" t="inlineStr">
        <is>
          <t>Neutral Elo baseline; executable ask 0.4600 (market_slug=aec-cs2-lci-wco-2026-08-03).</t>
        </is>
      </c>
      <c r="AF55" s="31" t="inlineStr">
        <is>
          <t>Config-promoted esports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WorldEdit Club</t>
        </is>
      </c>
      <c r="AQ55" s="24" t="inlineStr">
        <is>
          <t>WorldEdit Club</t>
        </is>
      </c>
      <c r="AR55" s="24" t="inlineStr">
        <is>
          <t>WorldEdit Club</t>
        </is>
      </c>
      <c r="AS55" s="24" t="inlineStr">
        <is>
          <t>Lixxx Club</t>
        </is>
      </c>
      <c r="AT55" s="24" t="inlineStr">
        <is>
          <t>Lixxx Club</t>
        </is>
      </c>
      <c r="AU55" s="24" t="inlineStr">
        <is>
          <t>Lixxx Club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c35f4cde86576db9aef02f14800a622a7aeabf3f364ac4b428aed69c2c8f4d15</t>
        </is>
      </c>
      <c r="BB55" s="24" t="inlineStr">
        <is>
          <t>neutral_elo</t>
        </is>
      </c>
      <c r="BC55" s="24" t="inlineStr">
        <is>
          <t>cs2-tiered-elo-v5</t>
        </is>
      </c>
      <c r="BD55" s="24" t="inlineStr">
        <is>
          <t>c35f4cde86576db9aef02f14800a622a7aeabf3f364ac4b428aed69c2c8f4d15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cs2-tiered-elo-v5</t>
        </is>
      </c>
      <c r="BH55" s="24" t="inlineStr">
        <is>
          <t>2026-08-03T17:08:42.736665Z</t>
        </is>
      </c>
      <c r="BI55" s="24" t="inlineStr">
        <is>
          <t>["same_event","same_team_same_day","same_league_same_day"]</t>
        </is>
      </c>
      <c r="BJ55" s="25" t="n"/>
      <c r="BK55" s="26" t="n">
        <v>117</v>
      </c>
      <c r="BL55" s="27" t="n">
        <v>2.17</v>
      </c>
      <c r="BM55" s="28" t="n">
        <v>0.460829</v>
      </c>
      <c r="BN55" s="28" t="n"/>
      <c r="BO55" s="28" t="n"/>
      <c r="BP55" s="25" t="n"/>
      <c r="BQ55" s="27" t="n">
        <v>2.17</v>
      </c>
      <c r="BR55" s="28" t="n">
        <v>0.46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</row>
    <row r="56" ht="36" customHeight="1">
      <c r="A56" s="24" t="inlineStr">
        <is>
          <t>b0676fb7c7714e9f</t>
        </is>
      </c>
      <c r="B56" s="24" t="inlineStr">
        <is>
          <t>2026-08-03T19:54:57.645683Z</t>
        </is>
      </c>
      <c r="C56" s="24" t="inlineStr">
        <is>
          <t>2026-08-03T21:00:00Z</t>
        </is>
      </c>
      <c r="D56" s="24" t="inlineStr">
        <is>
          <t>70532</t>
        </is>
      </c>
      <c r="E56" s="24" t="inlineStr">
        <is>
          <t>CS2</t>
        </is>
      </c>
      <c r="F56" s="24" t="inlineStr">
        <is>
          <t>RED Canids Academy</t>
        </is>
      </c>
      <c r="G56" s="24" t="inlineStr">
        <is>
          <t>ODDIK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-150</v>
      </c>
      <c r="M56" s="27" t="n">
        <v>1.666667</v>
      </c>
      <c r="N56" s="28" t="n">
        <v>0.6</v>
      </c>
      <c r="O56" s="28" t="n">
        <v>0.6304380000000001</v>
      </c>
      <c r="P56" s="28" t="n"/>
      <c r="Q56" s="28" t="n">
        <v>0.030438</v>
      </c>
      <c r="R56" s="26" t="n">
        <v>35</v>
      </c>
      <c r="S56" s="29" t="n">
        <v>1.5</v>
      </c>
      <c r="T56" s="24" t="inlineStr">
        <is>
          <t>cs2-tiered-elo-v5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0.6000 (market_slug=aec-cs2-odk-reda-2026-08-03).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RED Canids Academy</t>
        </is>
      </c>
      <c r="AQ56" s="24" t="inlineStr">
        <is>
          <t>RED Canids Academy</t>
        </is>
      </c>
      <c r="AR56" s="24" t="inlineStr">
        <is>
          <t>RED Canids Academy</t>
        </is>
      </c>
      <c r="AS56" s="24" t="inlineStr">
        <is>
          <t>ODDIK</t>
        </is>
      </c>
      <c r="AT56" s="24" t="inlineStr">
        <is>
          <t>ODDIK</t>
        </is>
      </c>
      <c r="AU56" s="24" t="inlineStr">
        <is>
          <t>ODDIK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49e72bc47e8b746259057b18a0727b3402ae02f53069edfae5b6532757438c2c</t>
        </is>
      </c>
      <c r="BB56" s="24" t="inlineStr">
        <is>
          <t>neutral_elo</t>
        </is>
      </c>
      <c r="BC56" s="24" t="inlineStr">
        <is>
          <t>cs2-tiered-elo-v5</t>
        </is>
      </c>
      <c r="BD56" s="24" t="inlineStr">
        <is>
          <t>49e72bc47e8b746259057b18a0727b3402ae02f53069edfae5b6532757438c2c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cs2-tiered-elo-v5</t>
        </is>
      </c>
      <c r="BH56" s="24" t="inlineStr">
        <is>
          <t>2026-08-03T19:54:46.268393Z</t>
        </is>
      </c>
      <c r="BI56" s="24" t="inlineStr">
        <is>
          <t>["same_event","same_team_same_day","same_league_same_day"]</t>
        </is>
      </c>
      <c r="BJ56" s="25" t="n"/>
      <c r="BK56" s="26" t="n">
        <v>-150</v>
      </c>
      <c r="BL56" s="27" t="n">
        <v>1.666667</v>
      </c>
      <c r="BM56" s="28" t="n">
        <v>0.6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</row>
    <row r="57" ht="36" customHeight="1">
      <c r="A57" s="24" t="inlineStr">
        <is>
          <t>824dd35618ef4ec9</t>
        </is>
      </c>
      <c r="B57" s="24" t="inlineStr">
        <is>
          <t>2026-08-03T22:58:11.099295Z</t>
        </is>
      </c>
      <c r="C57" s="24" t="inlineStr">
        <is>
          <t>2026-08-03T23:00:00Z</t>
        </is>
      </c>
      <c r="D57" s="24" t="inlineStr">
        <is>
          <t>68043</t>
        </is>
      </c>
      <c r="E57" s="24" t="inlineStr">
        <is>
          <t>CS2</t>
        </is>
      </c>
      <c r="F57" s="24" t="inlineStr">
        <is>
          <t>paiN Academy</t>
        </is>
      </c>
      <c r="G57" s="24" t="inlineStr">
        <is>
          <t>Grêmio Esports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178</v>
      </c>
      <c r="M57" s="27" t="n">
        <v>2.78</v>
      </c>
      <c r="N57" s="28" t="n">
        <v>0.359712</v>
      </c>
      <c r="O57" s="28" t="n">
        <v>0.569493</v>
      </c>
      <c r="P57" s="28" t="n"/>
      <c r="Q57" s="28" t="n">
        <v>0.209781</v>
      </c>
      <c r="R57" s="26" t="n">
        <v>100</v>
      </c>
      <c r="S57" s="29" t="n">
        <v>1.25</v>
      </c>
      <c r="T57" s="24" t="inlineStr">
        <is>
          <t>cs2-tiered-elo-v5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178</v>
      </c>
      <c r="AA57" s="28" t="n">
        <v>0.36</v>
      </c>
      <c r="AB57" s="28" t="n">
        <v>0.000288</v>
      </c>
      <c r="AC57" s="30" t="n">
        <v>2.225</v>
      </c>
      <c r="AD57" s="24" t="inlineStr">
        <is>
          <t>2026-08-04T03:58:12.882980Z</t>
        </is>
      </c>
      <c r="AE57" s="31" t="inlineStr">
        <is>
          <t>Neutral Elo baseline; executable ask 0.3600 (market_slug=aec-cs2-ger-paina-2026-08-03).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paiN Academy</t>
        </is>
      </c>
      <c r="AQ57" s="24" t="inlineStr">
        <is>
          <t>paiN Academy</t>
        </is>
      </c>
      <c r="AR57" s="24" t="inlineStr">
        <is>
          <t>paiN Academy</t>
        </is>
      </c>
      <c r="AS57" s="24" t="inlineStr">
        <is>
          <t>Grêmio Esports</t>
        </is>
      </c>
      <c r="AT57" s="24" t="inlineStr">
        <is>
          <t>Grêmio Esports</t>
        </is>
      </c>
      <c r="AU57" s="24" t="inlineStr">
        <is>
          <t>Grêmio Esports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2395c0bc2d118cb68697847c5524bbbcdf615284bfa6589bd672b76fe7c39141</t>
        </is>
      </c>
      <c r="BB57" s="24" t="inlineStr">
        <is>
          <t>neutral_elo</t>
        </is>
      </c>
      <c r="BC57" s="24" t="inlineStr">
        <is>
          <t>cs2-tiered-elo-v5</t>
        </is>
      </c>
      <c r="BD57" s="24" t="inlineStr">
        <is>
          <t>2395c0bc2d118cb68697847c5524bbbcdf615284bfa6589bd672b76fe7c39141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cs2-tiered-elo-v5</t>
        </is>
      </c>
      <c r="BH57" s="24" t="inlineStr">
        <is>
          <t>2026-08-03T22:57:48.744487Z</t>
        </is>
      </c>
      <c r="BI57" s="24" t="inlineStr">
        <is>
          <t>["same_event","same_team_same_day","same_league_same_day"]</t>
        </is>
      </c>
      <c r="BJ57" s="25" t="n"/>
      <c r="BK57" s="26" t="n">
        <v>178</v>
      </c>
      <c r="BL57" s="27" t="n">
        <v>2.78</v>
      </c>
      <c r="BM57" s="28" t="n">
        <v>0.359712</v>
      </c>
      <c r="BN57" s="28" t="n"/>
      <c r="BO57" s="28" t="n"/>
      <c r="BP57" s="25" t="n"/>
      <c r="BQ57" s="27" t="n">
        <v>2.78</v>
      </c>
      <c r="BR57" s="28" t="n">
        <v>0.36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</row>
    <row r="58" ht="36" customHeight="1">
      <c r="A58" s="24" t="inlineStr">
        <is>
          <t>bfe75fb7f86545b1</t>
        </is>
      </c>
      <c r="B58" s="24" t="inlineStr">
        <is>
          <t>2026-08-04T05:18:53.002097Z</t>
        </is>
      </c>
      <c r="C58" s="24" t="inlineStr">
        <is>
          <t>2026-08-04T08:00:00Z</t>
        </is>
      </c>
      <c r="D58" s="24" t="inlineStr">
        <is>
          <t>71316</t>
        </is>
      </c>
      <c r="E58" s="24" t="inlineStr">
        <is>
          <t>CS2</t>
        </is>
      </c>
      <c r="F58" s="24" t="inlineStr">
        <is>
          <t>Johnny Speeds</t>
        </is>
      </c>
      <c r="G58" s="24" t="inlineStr">
        <is>
          <t>G2 Ares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-122</v>
      </c>
      <c r="M58" s="27" t="n">
        <v>1.819672</v>
      </c>
      <c r="N58" s="28" t="n">
        <v>0.54955</v>
      </c>
      <c r="O58" s="28" t="n">
        <v>0.5273600000000001</v>
      </c>
      <c r="P58" s="28" t="n"/>
      <c r="Q58" s="28" t="n">
        <v>-0.02219</v>
      </c>
      <c r="R58" s="26" t="n">
        <v>9</v>
      </c>
      <c r="S58" s="29" t="n">
        <v>1</v>
      </c>
      <c r="T58" s="24" t="inlineStr">
        <is>
          <t>cs2-tiered-elo-v5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0</v>
      </c>
      <c r="Y58" s="25" t="n"/>
      <c r="Z58" s="26" t="n">
        <v>-122</v>
      </c>
      <c r="AA58" s="28" t="n">
        <v>0.55</v>
      </c>
      <c r="AB58" s="28" t="n">
        <v>0.00045</v>
      </c>
      <c r="AC58" s="30" t="n">
        <v>0.8197</v>
      </c>
      <c r="AD58" s="24" t="inlineStr">
        <is>
          <t>2026-08-04T11:57:38.643502Z</t>
        </is>
      </c>
      <c r="AE58" s="31" t="inlineStr">
        <is>
          <t>Neutral Elo baseline; executable ask 0.5500 (market_slug=aec-cs2-g2a-js-2026-08-04).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Johnny Speeds</t>
        </is>
      </c>
      <c r="AQ58" s="24" t="inlineStr">
        <is>
          <t>Johnny Speeds</t>
        </is>
      </c>
      <c r="AR58" s="24" t="inlineStr">
        <is>
          <t>Johnny Speeds</t>
        </is>
      </c>
      <c r="AS58" s="24" t="inlineStr">
        <is>
          <t>G2 Ares</t>
        </is>
      </c>
      <c r="AT58" s="24" t="inlineStr">
        <is>
          <t>G2 Ares</t>
        </is>
      </c>
      <c r="AU58" s="24" t="inlineStr">
        <is>
          <t>G2 Ares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83e1528a9bd51ea902d7704e0b3d24b0db02596c08a56e20e38f9385c7964710</t>
        </is>
      </c>
      <c r="BB58" s="24" t="inlineStr">
        <is>
          <t>neutral_elo</t>
        </is>
      </c>
      <c r="BC58" s="24" t="inlineStr">
        <is>
          <t>cs2-tiered-elo-v5</t>
        </is>
      </c>
      <c r="BD58" s="24" t="inlineStr">
        <is>
          <t>83e1528a9bd51ea902d7704e0b3d24b0db02596c08a56e20e38f9385c7964710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cs2-tiered-elo-v5</t>
        </is>
      </c>
      <c r="BH58" s="24" t="inlineStr">
        <is>
          <t>2026-08-04T05:18:19.586314Z</t>
        </is>
      </c>
      <c r="BI58" s="24" t="inlineStr">
        <is>
          <t>["same_event","same_team_same_day","same_league_same_day"]</t>
        </is>
      </c>
      <c r="BJ58" s="25" t="n"/>
      <c r="BK58" s="26" t="n">
        <v>-122</v>
      </c>
      <c r="BL58" s="27" t="n">
        <v>1.819672</v>
      </c>
      <c r="BM58" s="28" t="n">
        <v>0.54955</v>
      </c>
      <c r="BN58" s="28" t="n"/>
      <c r="BO58" s="28" t="n"/>
      <c r="BP58" s="25" t="n"/>
      <c r="BQ58" s="27" t="n">
        <v>1.819672</v>
      </c>
      <c r="BR58" s="28" t="n">
        <v>0.55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</row>
    <row r="59" ht="36" customHeight="1">
      <c r="A59" s="24" t="inlineStr">
        <is>
          <t>63db88fad55c495a</t>
        </is>
      </c>
      <c r="B59" s="24" t="inlineStr">
        <is>
          <t>2026-08-04T05:18:53.002097Z</t>
        </is>
      </c>
      <c r="C59" s="24" t="inlineStr">
        <is>
          <t>2026-08-04T08:00:00Z</t>
        </is>
      </c>
      <c r="D59" s="24" t="inlineStr">
        <is>
          <t>68471</t>
        </is>
      </c>
      <c r="E59" s="24" t="inlineStr">
        <is>
          <t>CS2</t>
        </is>
      </c>
      <c r="F59" s="24" t="inlineStr">
        <is>
          <t>STATE</t>
        </is>
      </c>
      <c r="G59" s="24" t="inlineStr">
        <is>
          <t>INFURITY Gaming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-223</v>
      </c>
      <c r="M59" s="27" t="n">
        <v>1.44843</v>
      </c>
      <c r="N59" s="28" t="n">
        <v>0.690402</v>
      </c>
      <c r="O59" s="28" t="n">
        <v>0.571054</v>
      </c>
      <c r="P59" s="28" t="n"/>
      <c r="Q59" s="28" t="n">
        <v>-0.119348</v>
      </c>
      <c r="R59" s="26" t="n">
        <v>0</v>
      </c>
      <c r="S59" s="29" t="n">
        <v>1.25</v>
      </c>
      <c r="T59" s="24" t="inlineStr">
        <is>
          <t>cs2-tiered-elo-v5</t>
        </is>
      </c>
      <c r="U59" s="24" t="inlineStr">
        <is>
          <t>settled</t>
        </is>
      </c>
      <c r="V59" s="24" t="inlineStr">
        <is>
          <t>loss</t>
        </is>
      </c>
      <c r="W59" s="26" t="n">
        <v>0</v>
      </c>
      <c r="X59" s="26" t="n">
        <v>1</v>
      </c>
      <c r="Y59" s="25" t="n"/>
      <c r="Z59" s="26" t="n">
        <v>-223</v>
      </c>
      <c r="AA59" s="28" t="n">
        <v>0.6899999999999999</v>
      </c>
      <c r="AB59" s="28" t="n">
        <v>-0.000402</v>
      </c>
      <c r="AC59" s="30" t="n">
        <v>-1.25</v>
      </c>
      <c r="AD59" s="24" t="inlineStr">
        <is>
          <t>2026-08-04T11:57:40.271226Z</t>
        </is>
      </c>
      <c r="AE59" s="31" t="inlineStr">
        <is>
          <t>Neutral Elo baseline; executable ask 0.6900 (market_slug=aec-cs2-ign-sta-2026-08-04).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STATE</t>
        </is>
      </c>
      <c r="AQ59" s="24" t="inlineStr">
        <is>
          <t>STATE</t>
        </is>
      </c>
      <c r="AR59" s="24" t="inlineStr">
        <is>
          <t>STATE</t>
        </is>
      </c>
      <c r="AS59" s="24" t="inlineStr">
        <is>
          <t>INFURITY Gaming</t>
        </is>
      </c>
      <c r="AT59" s="24" t="inlineStr">
        <is>
          <t>INFURITY Gaming</t>
        </is>
      </c>
      <c r="AU59" s="24" t="inlineStr">
        <is>
          <t>INFURITY Gaming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83e1528a9bd51ea902d7704e0b3d24b0db02596c08a56e20e38f9385c7964710</t>
        </is>
      </c>
      <c r="BB59" s="24" t="inlineStr">
        <is>
          <t>neutral_elo</t>
        </is>
      </c>
      <c r="BC59" s="24" t="inlineStr">
        <is>
          <t>cs2-tiered-elo-v5</t>
        </is>
      </c>
      <c r="BD59" s="24" t="inlineStr">
        <is>
          <t>83e1528a9bd51ea902d7704e0b3d24b0db02596c08a56e20e38f9385c7964710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cs2-tiered-elo-v5</t>
        </is>
      </c>
      <c r="BH59" s="24" t="inlineStr">
        <is>
          <t>2026-08-04T05:18:20.827862Z</t>
        </is>
      </c>
      <c r="BI59" s="24" t="inlineStr">
        <is>
          <t>["same_event","same_team_same_day","same_league_same_day"]</t>
        </is>
      </c>
      <c r="BJ59" s="25" t="n"/>
      <c r="BK59" s="26" t="n">
        <v>-223</v>
      </c>
      <c r="BL59" s="27" t="n">
        <v>1.44843</v>
      </c>
      <c r="BM59" s="28" t="n">
        <v>0.690402</v>
      </c>
      <c r="BN59" s="28" t="n"/>
      <c r="BO59" s="28" t="n"/>
      <c r="BP59" s="25" t="n"/>
      <c r="BQ59" s="27" t="n">
        <v>1.44843</v>
      </c>
      <c r="BR59" s="28" t="n">
        <v>0.6899999999999999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</row>
    <row r="60" ht="36" customHeight="1">
      <c r="A60" s="24" t="inlineStr">
        <is>
          <t>2a5ef31ba3d7448c</t>
        </is>
      </c>
      <c r="B60" s="24" t="inlineStr">
        <is>
          <t>2026-08-04T08:56:55.041466Z</t>
        </is>
      </c>
      <c r="C60" s="24" t="inlineStr">
        <is>
          <t>2026-08-04T10:30:00Z</t>
        </is>
      </c>
      <c r="D60" s="24" t="inlineStr">
        <is>
          <t>68472</t>
        </is>
      </c>
      <c r="E60" s="24" t="inlineStr">
        <is>
          <t>CS2</t>
        </is>
      </c>
      <c r="F60" s="24" t="inlineStr">
        <is>
          <t>Inner Circle Prospect</t>
        </is>
      </c>
      <c r="G60" s="24" t="inlineStr">
        <is>
          <t>ENCE Prospects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-127</v>
      </c>
      <c r="M60" s="27" t="n">
        <v>1.787402</v>
      </c>
      <c r="N60" s="28" t="n">
        <v>0.5594710000000001</v>
      </c>
      <c r="O60" s="28" t="n">
        <v>0.513199</v>
      </c>
      <c r="P60" s="28" t="n"/>
      <c r="Q60" s="28" t="n">
        <v>-0.046272</v>
      </c>
      <c r="R60" s="26" t="n">
        <v>0</v>
      </c>
      <c r="S60" s="29" t="n">
        <v>1</v>
      </c>
      <c r="T60" s="24" t="inlineStr">
        <is>
          <t>cs2-tiered-elo-v5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>
        <v>-127</v>
      </c>
      <c r="AA60" s="28" t="n">
        <v>0.5600000000000001</v>
      </c>
      <c r="AB60" s="28" t="n">
        <v>0.000529</v>
      </c>
      <c r="AC60" s="30" t="n">
        <v>0.7874</v>
      </c>
      <c r="AD60" s="24" t="inlineStr">
        <is>
          <t>2026-08-04T14:03:06.444544Z</t>
        </is>
      </c>
      <c r="AE60" s="31" t="inlineStr">
        <is>
          <t>Neutral Elo baseline; executable ask 0.5600 (market_slug=aec-cs2-encep-icp-2026-08-04).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Inner Circle Prospect</t>
        </is>
      </c>
      <c r="AQ60" s="24" t="inlineStr">
        <is>
          <t>Inner Circle Prospect</t>
        </is>
      </c>
      <c r="AR60" s="24" t="inlineStr">
        <is>
          <t>Inner Circle Prospect</t>
        </is>
      </c>
      <c r="AS60" s="24" t="inlineStr">
        <is>
          <t>ENCE Prospects</t>
        </is>
      </c>
      <c r="AT60" s="24" t="inlineStr">
        <is>
          <t>ENCE Prospects</t>
        </is>
      </c>
      <c r="AU60" s="24" t="inlineStr">
        <is>
          <t>ENCE Prospects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2e5d465a17379306940528ff103c7508aad908ecb9a4879bb8031bb88a86443c</t>
        </is>
      </c>
      <c r="BB60" s="24" t="inlineStr">
        <is>
          <t>neutral_elo</t>
        </is>
      </c>
      <c r="BC60" s="24" t="inlineStr">
        <is>
          <t>cs2-tiered-elo-v5</t>
        </is>
      </c>
      <c r="BD60" s="24" t="inlineStr">
        <is>
          <t>2e5d465a17379306940528ff103c7508aad908ecb9a4879bb8031bb88a86443c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cs2-tiered-elo-v5</t>
        </is>
      </c>
      <c r="BH60" s="24" t="inlineStr">
        <is>
          <t>2026-08-04T08:56:24.175897Z</t>
        </is>
      </c>
      <c r="BI60" s="24" t="inlineStr">
        <is>
          <t>["same_event","same_team_same_day","same_league_same_day"]</t>
        </is>
      </c>
      <c r="BJ60" s="25" t="n"/>
      <c r="BK60" s="26" t="n">
        <v>-127</v>
      </c>
      <c r="BL60" s="27" t="n">
        <v>1.787402</v>
      </c>
      <c r="BM60" s="28" t="n">
        <v>0.5594710000000001</v>
      </c>
      <c r="BN60" s="28" t="n"/>
      <c r="BO60" s="28" t="n"/>
      <c r="BP60" s="25" t="n"/>
      <c r="BQ60" s="27" t="n">
        <v>1.787402</v>
      </c>
      <c r="BR60" s="28" t="n">
        <v>0.5600000000000001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</row>
    <row r="61" ht="36" customHeight="1">
      <c r="A61" s="24" t="inlineStr">
        <is>
          <t>5a02f7db72834d1f</t>
        </is>
      </c>
      <c r="B61" s="24" t="inlineStr">
        <is>
          <t>2026-08-04T08:56:55.041466Z</t>
        </is>
      </c>
      <c r="C61" s="24" t="inlineStr">
        <is>
          <t>2026-08-04T11:00:00Z</t>
        </is>
      </c>
      <c r="D61" s="24" t="inlineStr">
        <is>
          <t>68302</t>
        </is>
      </c>
      <c r="E61" s="24" t="inlineStr">
        <is>
          <t>CS2</t>
        </is>
      </c>
      <c r="F61" s="24" t="inlineStr">
        <is>
          <t>Phantom</t>
        </is>
      </c>
      <c r="G61" s="24" t="inlineStr">
        <is>
          <t>Sashi Esport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104</v>
      </c>
      <c r="M61" s="27" t="n">
        <v>2.04</v>
      </c>
      <c r="N61" s="28" t="n">
        <v>0.490196</v>
      </c>
      <c r="O61" s="28" t="n">
        <v>0.551011</v>
      </c>
      <c r="P61" s="28" t="n"/>
      <c r="Q61" s="28" t="n">
        <v>0.060815</v>
      </c>
      <c r="R61" s="26" t="n">
        <v>50</v>
      </c>
      <c r="S61" s="29" t="n">
        <v>1</v>
      </c>
      <c r="T61" s="24" t="inlineStr">
        <is>
          <t>cs2-tiered-elo-v5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104</v>
      </c>
      <c r="AA61" s="28" t="n">
        <v>0.49</v>
      </c>
      <c r="AB61" s="28" t="n">
        <v>-0.000196</v>
      </c>
      <c r="AC61" s="30" t="n">
        <v>1.04</v>
      </c>
      <c r="AD61" s="24" t="inlineStr">
        <is>
          <t>2026-08-04T14:03:08.153056Z</t>
        </is>
      </c>
      <c r="AE61" s="31" t="inlineStr">
        <is>
          <t>Neutral Elo baseline; executable ask 0.4900 (market_slug=aec-cs2-sashi-pha-2026-08-04).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Phantom</t>
        </is>
      </c>
      <c r="AQ61" s="24" t="inlineStr">
        <is>
          <t>Phantom</t>
        </is>
      </c>
      <c r="AR61" s="24" t="inlineStr">
        <is>
          <t>Phantom</t>
        </is>
      </c>
      <c r="AS61" s="24" t="inlineStr">
        <is>
          <t>Sashi Esport</t>
        </is>
      </c>
      <c r="AT61" s="24" t="inlineStr">
        <is>
          <t>Sashi Esport</t>
        </is>
      </c>
      <c r="AU61" s="24" t="inlineStr">
        <is>
          <t>Sashi Esport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2e5d465a17379306940528ff103c7508aad908ecb9a4879bb8031bb88a86443c</t>
        </is>
      </c>
      <c r="BB61" s="24" t="inlineStr">
        <is>
          <t>neutral_elo</t>
        </is>
      </c>
      <c r="BC61" s="24" t="inlineStr">
        <is>
          <t>cs2-tiered-elo-v5</t>
        </is>
      </c>
      <c r="BD61" s="24" t="inlineStr">
        <is>
          <t>2e5d465a17379306940528ff103c7508aad908ecb9a4879bb8031bb88a86443c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cs2-tiered-elo-v5</t>
        </is>
      </c>
      <c r="BH61" s="24" t="inlineStr">
        <is>
          <t>2026-08-04T08:56:24.737438Z</t>
        </is>
      </c>
      <c r="BI61" s="24" t="inlineStr">
        <is>
          <t>["same_event","same_team_same_day","same_league_same_day"]</t>
        </is>
      </c>
      <c r="BJ61" s="25" t="n"/>
      <c r="BK61" s="26" t="n">
        <v>104</v>
      </c>
      <c r="BL61" s="27" t="n">
        <v>2.04</v>
      </c>
      <c r="BM61" s="28" t="n">
        <v>0.490196</v>
      </c>
      <c r="BN61" s="28" t="n"/>
      <c r="BO61" s="28" t="n"/>
      <c r="BP61" s="25" t="n"/>
      <c r="BQ61" s="27" t="n">
        <v>2.04</v>
      </c>
      <c r="BR61" s="28" t="n">
        <v>0.49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cb7f1fae514b4028</t>
        </is>
      </c>
      <c r="B62" s="24" t="inlineStr">
        <is>
          <t>2026-08-04T08:56:55.041466Z</t>
        </is>
      </c>
      <c r="C62" s="24" t="inlineStr">
        <is>
          <t>2026-08-04T11:00:00Z</t>
        </is>
      </c>
      <c r="D62" s="24" t="inlineStr">
        <is>
          <t>68301</t>
        </is>
      </c>
      <c r="E62" s="24" t="inlineStr">
        <is>
          <t>CS2</t>
        </is>
      </c>
      <c r="F62" s="24" t="inlineStr">
        <is>
          <t>SNAILKICK Club</t>
        </is>
      </c>
      <c r="G62" s="24" t="inlineStr">
        <is>
          <t>PCH3LK1N Club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-113</v>
      </c>
      <c r="M62" s="27" t="n">
        <v>1.884956</v>
      </c>
      <c r="N62" s="28" t="n">
        <v>0.530516</v>
      </c>
      <c r="O62" s="28" t="n">
        <v>0.527057</v>
      </c>
      <c r="P62" s="28" t="n"/>
      <c r="Q62" s="28" t="n">
        <v>-0.003459</v>
      </c>
      <c r="R62" s="26" t="n">
        <v>18</v>
      </c>
      <c r="S62" s="29" t="n">
        <v>1</v>
      </c>
      <c r="T62" s="24" t="inlineStr">
        <is>
          <t>cs2-tiered-elo-v5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>
        <v>-113</v>
      </c>
      <c r="AA62" s="28" t="n">
        <v>0.53</v>
      </c>
      <c r="AB62" s="28" t="n">
        <v>-0.000516</v>
      </c>
      <c r="AC62" s="30" t="n">
        <v>-1</v>
      </c>
      <c r="AD62" s="24" t="inlineStr">
        <is>
          <t>2026-08-04T14:03:09.721402Z</t>
        </is>
      </c>
      <c r="AE62" s="31" t="inlineStr">
        <is>
          <t>Neutral Elo baseline; executable ask 0.5300 (market_slug=aec-cs2-plnc-scn-2026-08-04).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SNAILKICK Club</t>
        </is>
      </c>
      <c r="AQ62" s="24" t="inlineStr">
        <is>
          <t>SNAILKICK Club</t>
        </is>
      </c>
      <c r="AR62" s="24" t="inlineStr">
        <is>
          <t>SNAILKICK Club</t>
        </is>
      </c>
      <c r="AS62" s="24" t="inlineStr">
        <is>
          <t>PCH3LK1N Club</t>
        </is>
      </c>
      <c r="AT62" s="24" t="inlineStr">
        <is>
          <t>PCH3LK1N Club</t>
        </is>
      </c>
      <c r="AU62" s="24" t="inlineStr">
        <is>
          <t>PCH3LK1N Club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2e5d465a17379306940528ff103c7508aad908ecb9a4879bb8031bb88a86443c</t>
        </is>
      </c>
      <c r="BB62" s="24" t="inlineStr">
        <is>
          <t>neutral_elo</t>
        </is>
      </c>
      <c r="BC62" s="24" t="inlineStr">
        <is>
          <t>cs2-tiered-elo-v5</t>
        </is>
      </c>
      <c r="BD62" s="24" t="inlineStr">
        <is>
          <t>2e5d465a17379306940528ff103c7508aad908ecb9a4879bb8031bb88a86443c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cs2-tiered-elo-v5</t>
        </is>
      </c>
      <c r="BH62" s="24" t="inlineStr">
        <is>
          <t>2026-08-04T08:56:25.426369Z</t>
        </is>
      </c>
      <c r="BI62" s="24" t="inlineStr">
        <is>
          <t>["same_event","same_team_same_day","same_league_same_day"]</t>
        </is>
      </c>
      <c r="BJ62" s="25" t="n"/>
      <c r="BK62" s="26" t="n">
        <v>-113</v>
      </c>
      <c r="BL62" s="27" t="n">
        <v>1.884956</v>
      </c>
      <c r="BM62" s="28" t="n">
        <v>0.530516</v>
      </c>
      <c r="BN62" s="28" t="n"/>
      <c r="BO62" s="28" t="n"/>
      <c r="BP62" s="25" t="n"/>
      <c r="BQ62" s="27" t="n">
        <v>1.884956</v>
      </c>
      <c r="BR62" s="28" t="n">
        <v>0.53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</row>
    <row r="63" ht="36" customHeight="1">
      <c r="A63" s="24" t="inlineStr">
        <is>
          <t>fe5f1ab4ae674f3c</t>
        </is>
      </c>
      <c r="B63" s="24" t="inlineStr">
        <is>
          <t>2026-08-04T08:56:55.041466Z</t>
        </is>
      </c>
      <c r="C63" s="24" t="inlineStr">
        <is>
          <t>2026-08-04T11:00:00Z</t>
        </is>
      </c>
      <c r="D63" s="24" t="inlineStr">
        <is>
          <t>71501</t>
        </is>
      </c>
      <c r="E63" s="24" t="inlineStr">
        <is>
          <t>CS2</t>
        </is>
      </c>
      <c r="F63" s="24" t="inlineStr">
        <is>
          <t>Betclic Apogee Esports</t>
        </is>
      </c>
      <c r="G63" s="24" t="inlineStr">
        <is>
          <t>Acend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-138</v>
      </c>
      <c r="M63" s="27" t="n">
        <v>1.724638</v>
      </c>
      <c r="N63" s="28" t="n">
        <v>0.579832</v>
      </c>
      <c r="O63" s="28" t="n">
        <v>0.691594</v>
      </c>
      <c r="P63" s="28" t="n"/>
      <c r="Q63" s="28" t="n">
        <v>0.111762</v>
      </c>
      <c r="R63" s="26" t="n">
        <v>76</v>
      </c>
      <c r="S63" s="29" t="n">
        <v>2</v>
      </c>
      <c r="T63" s="24" t="inlineStr">
        <is>
          <t>cs2-tiered-elo-v5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0</v>
      </c>
      <c r="Y63" s="25" t="n"/>
      <c r="Z63" s="26" t="n">
        <v>-138</v>
      </c>
      <c r="AA63" s="28" t="n">
        <v>0.58</v>
      </c>
      <c r="AB63" s="28" t="n">
        <v>0.000168</v>
      </c>
      <c r="AC63" s="30" t="n">
        <v>-2</v>
      </c>
      <c r="AD63" s="24" t="inlineStr">
        <is>
          <t>2026-08-04T14:03:11.366824Z</t>
        </is>
      </c>
      <c r="AE63" s="31" t="inlineStr">
        <is>
          <t>Neutral Elo baseline; executable ask 0.5800 (market_slug=aec-cs2-ace-bca-2026-08-04).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Betclic Apogee Esports</t>
        </is>
      </c>
      <c r="AQ63" s="24" t="inlineStr">
        <is>
          <t>Betclic Apogee Esports</t>
        </is>
      </c>
      <c r="AR63" s="24" t="inlineStr">
        <is>
          <t>Betclic Apogee Esports</t>
        </is>
      </c>
      <c r="AS63" s="24" t="inlineStr">
        <is>
          <t>Acend</t>
        </is>
      </c>
      <c r="AT63" s="24" t="inlineStr">
        <is>
          <t>Acend</t>
        </is>
      </c>
      <c r="AU63" s="24" t="inlineStr">
        <is>
          <t>Acend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2e5d465a17379306940528ff103c7508aad908ecb9a4879bb8031bb88a86443c</t>
        </is>
      </c>
      <c r="BB63" s="24" t="inlineStr">
        <is>
          <t>neutral_elo</t>
        </is>
      </c>
      <c r="BC63" s="24" t="inlineStr">
        <is>
          <t>cs2-tiered-elo-v5</t>
        </is>
      </c>
      <c r="BD63" s="24" t="inlineStr">
        <is>
          <t>2e5d465a17379306940528ff103c7508aad908ecb9a4879bb8031bb88a86443c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cs2-tiered-elo-v5</t>
        </is>
      </c>
      <c r="BH63" s="24" t="inlineStr">
        <is>
          <t>2026-08-04T08:56:25.971824Z</t>
        </is>
      </c>
      <c r="BI63" s="24" t="inlineStr">
        <is>
          <t>["same_event","same_team_same_day","same_league_same_day"]</t>
        </is>
      </c>
      <c r="BJ63" s="25" t="n"/>
      <c r="BK63" s="26" t="n">
        <v>-138</v>
      </c>
      <c r="BL63" s="27" t="n">
        <v>1.724638</v>
      </c>
      <c r="BM63" s="28" t="n">
        <v>0.579832</v>
      </c>
      <c r="BN63" s="28" t="n"/>
      <c r="BO63" s="28" t="n"/>
      <c r="BP63" s="25" t="n"/>
      <c r="BQ63" s="27" t="n">
        <v>1.724638</v>
      </c>
      <c r="BR63" s="28" t="n">
        <v>0.58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71253e3d5d7f47e2</t>
        </is>
      </c>
      <c r="B64" s="24" t="inlineStr">
        <is>
          <t>2026-08-04T12:02:30.114508Z</t>
        </is>
      </c>
      <c r="C64" s="24" t="inlineStr">
        <is>
          <t>2026-08-04T13:00:00Z</t>
        </is>
      </c>
      <c r="D64" s="24" t="inlineStr">
        <is>
          <t>71280</t>
        </is>
      </c>
      <c r="E64" s="24" t="inlineStr">
        <is>
          <t>CS2</t>
        </is>
      </c>
      <c r="F64" s="24" t="inlineStr">
        <is>
          <t>ex-MANA eSports</t>
        </is>
      </c>
      <c r="G64" s="24" t="inlineStr">
        <is>
          <t>BASEMENT BOYS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-203</v>
      </c>
      <c r="M64" s="27" t="n">
        <v>1.492611</v>
      </c>
      <c r="N64" s="28" t="n">
        <v>0.669967</v>
      </c>
      <c r="O64" s="28" t="n">
        <v>0.640787</v>
      </c>
      <c r="P64" s="28" t="n"/>
      <c r="Q64" s="28" t="n">
        <v>-0.02918</v>
      </c>
      <c r="R64" s="26" t="n">
        <v>5</v>
      </c>
      <c r="S64" s="29" t="n">
        <v>1.5</v>
      </c>
      <c r="T64" s="24" t="inlineStr">
        <is>
          <t>cs2-tiered-elo-v5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Neutral Elo baseline; executable ask 0.6700 (market_slug=aec-cs2-bmb-exmana-2026-08-04).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ex-MANA eSports</t>
        </is>
      </c>
      <c r="AQ64" s="24" t="inlineStr">
        <is>
          <t>ex-MANA eSports</t>
        </is>
      </c>
      <c r="AR64" s="24" t="inlineStr">
        <is>
          <t>ex-MANA eSports</t>
        </is>
      </c>
      <c r="AS64" s="24" t="inlineStr">
        <is>
          <t>BASEMENT BOYS</t>
        </is>
      </c>
      <c r="AT64" s="24" t="inlineStr">
        <is>
          <t>BASEMENT BOYS</t>
        </is>
      </c>
      <c r="AU64" s="24" t="inlineStr">
        <is>
          <t>BASEMENT BOYS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c721353818b949592e0d9143f94caccefc04915eac71c58a5983a137fbf32d77</t>
        </is>
      </c>
      <c r="BB64" s="24" t="inlineStr">
        <is>
          <t>neutral_elo</t>
        </is>
      </c>
      <c r="BC64" s="24" t="inlineStr">
        <is>
          <t>cs2-tiered-elo-v5</t>
        </is>
      </c>
      <c r="BD64" s="24" t="inlineStr">
        <is>
          <t>c721353818b949592e0d9143f94caccefc04915eac71c58a5983a137fbf32d77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cs2-tiered-elo-v5</t>
        </is>
      </c>
      <c r="BH64" s="24" t="inlineStr">
        <is>
          <t>2026-08-04T12:01:37.143655Z</t>
        </is>
      </c>
      <c r="BI64" s="24" t="inlineStr">
        <is>
          <t>["same_event","same_team_same_day","same_league_same_day"]</t>
        </is>
      </c>
      <c r="BJ64" s="25" t="n"/>
      <c r="BK64" s="26" t="n">
        <v>-203</v>
      </c>
      <c r="BL64" s="27" t="n">
        <v>1.492611</v>
      </c>
      <c r="BM64" s="28" t="n">
        <v>0.669967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</row>
    <row r="65" ht="36" customHeight="1">
      <c r="A65" s="24" t="inlineStr">
        <is>
          <t>04bf6223d1074ca1</t>
        </is>
      </c>
      <c r="B65" s="24" t="inlineStr">
        <is>
          <t>2026-08-04T12:02:30.114508Z</t>
        </is>
      </c>
      <c r="C65" s="24" t="inlineStr">
        <is>
          <t>2026-08-04T13:00:00Z</t>
        </is>
      </c>
      <c r="D65" s="24" t="inlineStr">
        <is>
          <t>71213</t>
        </is>
      </c>
      <c r="E65" s="24" t="inlineStr">
        <is>
          <t>CS2</t>
        </is>
      </c>
      <c r="F65" s="24" t="inlineStr">
        <is>
          <t>Leo Team</t>
        </is>
      </c>
      <c r="G65" s="24" t="inlineStr">
        <is>
          <t>Bushido Wildcats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0.719395</v>
      </c>
      <c r="P65" s="28" t="n"/>
      <c r="Q65" s="28" t="n">
        <v>0.209591</v>
      </c>
      <c r="R65" s="26" t="n">
        <v>100</v>
      </c>
      <c r="S65" s="29" t="n">
        <v>2</v>
      </c>
      <c r="T65" s="24" t="inlineStr">
        <is>
          <t>cs2-tiered-elo-v5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Neutral Elo baseline; executable ask 0.5100 (market_slug=aec-cs2-bw-leo-2026-08-04).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Leo Team</t>
        </is>
      </c>
      <c r="AQ65" s="24" t="inlineStr">
        <is>
          <t>Leo Team</t>
        </is>
      </c>
      <c r="AR65" s="24" t="inlineStr">
        <is>
          <t>Leo Team</t>
        </is>
      </c>
      <c r="AS65" s="24" t="inlineStr">
        <is>
          <t>Bushido Wildcats</t>
        </is>
      </c>
      <c r="AT65" s="24" t="inlineStr">
        <is>
          <t>Bushido Wildcats</t>
        </is>
      </c>
      <c r="AU65" s="24" t="inlineStr">
        <is>
          <t>Bushido Wildcats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c721353818b949592e0d9143f94caccefc04915eac71c58a5983a137fbf32d77</t>
        </is>
      </c>
      <c r="BB65" s="24" t="inlineStr">
        <is>
          <t>neutral_elo</t>
        </is>
      </c>
      <c r="BC65" s="24" t="inlineStr">
        <is>
          <t>cs2-tiered-elo-v5</t>
        </is>
      </c>
      <c r="BD65" s="24" t="inlineStr">
        <is>
          <t>c721353818b949592e0d9143f94caccefc04915eac71c58a5983a137fbf32d77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cs2-tiered-elo-v5</t>
        </is>
      </c>
      <c r="BH65" s="24" t="inlineStr">
        <is>
          <t>2026-08-04T12:01:38.137077Z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8bb216674c4240bc</t>
        </is>
      </c>
      <c r="B66" s="24" t="inlineStr">
        <is>
          <t>2026-08-04T12:02:30.114508Z</t>
        </is>
      </c>
      <c r="C66" s="24" t="inlineStr">
        <is>
          <t>2026-08-04T13:45:00Z</t>
        </is>
      </c>
      <c r="D66" s="24" t="inlineStr">
        <is>
          <t>68435</t>
        </is>
      </c>
      <c r="E66" s="24" t="inlineStr">
        <is>
          <t>CS2</t>
        </is>
      </c>
      <c r="F66" s="24" t="inlineStr">
        <is>
          <t>WorldEdit Club</t>
        </is>
      </c>
      <c r="G66" s="24" t="inlineStr">
        <is>
          <t>PCH3LK1N Club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163</v>
      </c>
      <c r="M66" s="27" t="n">
        <v>2.63</v>
      </c>
      <c r="N66" s="28" t="n">
        <v>0.380228</v>
      </c>
      <c r="O66" s="28" t="n">
        <v>0.526874</v>
      </c>
      <c r="P66" s="28" t="n"/>
      <c r="Q66" s="28" t="n">
        <v>0.146646</v>
      </c>
      <c r="R66" s="26" t="n">
        <v>93</v>
      </c>
      <c r="S66" s="29" t="n">
        <v>1</v>
      </c>
      <c r="T66" s="24" t="inlineStr">
        <is>
          <t>cs2-tiered-elo-v5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Neutral Elo baseline; executable ask 0.3800 (market_slug=aec-cs2-plnc-wco-2026-08-04).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WorldEdit Club</t>
        </is>
      </c>
      <c r="AQ66" s="24" t="inlineStr">
        <is>
          <t>WorldEdit Club</t>
        </is>
      </c>
      <c r="AR66" s="24" t="inlineStr">
        <is>
          <t>WorldEdit Club</t>
        </is>
      </c>
      <c r="AS66" s="24" t="inlineStr">
        <is>
          <t>PCH3LK1N Club</t>
        </is>
      </c>
      <c r="AT66" s="24" t="inlineStr">
        <is>
          <t>PCH3LK1N Club</t>
        </is>
      </c>
      <c r="AU66" s="24" t="inlineStr">
        <is>
          <t>PCH3LK1N Club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c721353818b949592e0d9143f94caccefc04915eac71c58a5983a137fbf32d77</t>
        </is>
      </c>
      <c r="BB66" s="24" t="inlineStr">
        <is>
          <t>neutral_elo</t>
        </is>
      </c>
      <c r="BC66" s="24" t="inlineStr">
        <is>
          <t>cs2-tiered-elo-v5</t>
        </is>
      </c>
      <c r="BD66" s="24" t="inlineStr">
        <is>
          <t>c721353818b949592e0d9143f94caccefc04915eac71c58a5983a137fbf32d77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cs2-tiered-elo-v5</t>
        </is>
      </c>
      <c r="BH66" s="24" t="inlineStr">
        <is>
          <t>2026-08-04T12:01:39.296037Z</t>
        </is>
      </c>
      <c r="BI66" s="24" t="inlineStr">
        <is>
          <t>["same_event","same_team_same_day","same_league_same_day"]</t>
        </is>
      </c>
      <c r="BJ66" s="25" t="n"/>
      <c r="BK66" s="26" t="n">
        <v>163</v>
      </c>
      <c r="BL66" s="27" t="n">
        <v>2.63</v>
      </c>
      <c r="BM66" s="28" t="n">
        <v>0.380228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</row>
    <row r="67" ht="36" customHeight="1">
      <c r="A67" s="24" t="inlineStr">
        <is>
          <t>96126276e7a74d7e</t>
        </is>
      </c>
      <c r="B67" s="24" t="inlineStr">
        <is>
          <t>2026-08-04T12:02:30.114508Z</t>
        </is>
      </c>
      <c r="C67" s="24" t="inlineStr">
        <is>
          <t>2026-08-04T14:00:00Z</t>
        </is>
      </c>
      <c r="D67" s="24" t="inlineStr">
        <is>
          <t>68437</t>
        </is>
      </c>
      <c r="E67" s="24" t="inlineStr">
        <is>
          <t>CS2</t>
        </is>
      </c>
      <c r="F67" s="24" t="inlineStr">
        <is>
          <t>GenOne</t>
        </is>
      </c>
      <c r="G67" s="24" t="inlineStr">
        <is>
          <t>Nemiga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-163</v>
      </c>
      <c r="M67" s="27" t="n">
        <v>1.613497</v>
      </c>
      <c r="N67" s="28" t="n">
        <v>0.619772</v>
      </c>
      <c r="O67" s="28" t="n">
        <v>0.5179</v>
      </c>
      <c r="P67" s="28" t="n"/>
      <c r="Q67" s="28" t="n">
        <v>-0.101872</v>
      </c>
      <c r="R67" s="26" t="n">
        <v>0</v>
      </c>
      <c r="S67" s="29" t="n">
        <v>1</v>
      </c>
      <c r="T67" s="24" t="inlineStr">
        <is>
          <t>cs2-tiered-elo-v5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Neutral Elo baseline; executable ask 0.6200 (market_slug=aec-cs2-nemi-g1-2026-08-04).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GenOne</t>
        </is>
      </c>
      <c r="AQ67" s="24" t="inlineStr">
        <is>
          <t>GenOne</t>
        </is>
      </c>
      <c r="AR67" s="24" t="inlineStr">
        <is>
          <t>GenOne</t>
        </is>
      </c>
      <c r="AS67" s="24" t="inlineStr">
        <is>
          <t>Nemiga</t>
        </is>
      </c>
      <c r="AT67" s="24" t="inlineStr">
        <is>
          <t>Nemiga</t>
        </is>
      </c>
      <c r="AU67" s="24" t="inlineStr">
        <is>
          <t>Nemiga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c721353818b949592e0d9143f94caccefc04915eac71c58a5983a137fbf32d77</t>
        </is>
      </c>
      <c r="BB67" s="24" t="inlineStr">
        <is>
          <t>neutral_elo</t>
        </is>
      </c>
      <c r="BC67" s="24" t="inlineStr">
        <is>
          <t>cs2-tiered-elo-v5</t>
        </is>
      </c>
      <c r="BD67" s="24" t="inlineStr">
        <is>
          <t>c721353818b949592e0d9143f94caccefc04915eac71c58a5983a137fbf32d77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cs2-tiered-elo-v5</t>
        </is>
      </c>
      <c r="BH67" s="24" t="inlineStr">
        <is>
          <t>2026-08-04T12:01:41.460173Z</t>
        </is>
      </c>
      <c r="BI67" s="24" t="inlineStr">
        <is>
          <t>["same_event","same_team_same_day","same_league_same_day"]</t>
        </is>
      </c>
      <c r="BJ67" s="25" t="n"/>
      <c r="BK67" s="26" t="n">
        <v>-163</v>
      </c>
      <c r="BL67" s="27" t="n">
        <v>1.613497</v>
      </c>
      <c r="BM67" s="28" t="n">
        <v>0.619772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</row>
    <row r="68" ht="36" customHeight="1">
      <c r="A68" s="24" t="inlineStr">
        <is>
          <t>66b3a1ade0a04bd3</t>
        </is>
      </c>
      <c r="B68" s="24" t="inlineStr">
        <is>
          <t>2026-08-04T12:02:30.114508Z</t>
        </is>
      </c>
      <c r="C68" s="24" t="inlineStr">
        <is>
          <t>2026-08-04T14:00:00Z</t>
        </is>
      </c>
      <c r="D68" s="24" t="inlineStr">
        <is>
          <t>71319</t>
        </is>
      </c>
      <c r="E68" s="24" t="inlineStr">
        <is>
          <t>CS2</t>
        </is>
      </c>
      <c r="F68" s="24" t="inlineStr">
        <is>
          <t>ENJOY</t>
        </is>
      </c>
      <c r="G68" s="24" t="inlineStr">
        <is>
          <t>Just Players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163</v>
      </c>
      <c r="M68" s="27" t="n">
        <v>2.63</v>
      </c>
      <c r="N68" s="28" t="n">
        <v>0.380228</v>
      </c>
      <c r="O68" s="28" t="n">
        <v>0.509432</v>
      </c>
      <c r="P68" s="28" t="n"/>
      <c r="Q68" s="28" t="n">
        <v>0.129204</v>
      </c>
      <c r="R68" s="26" t="n">
        <v>85</v>
      </c>
      <c r="S68" s="29" t="n">
        <v>1</v>
      </c>
      <c r="T68" s="24" t="inlineStr">
        <is>
          <t>cs2-tiered-elo-v5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Neutral Elo baseline; executable ask 0.3800 (market_slug=aec-cs2-jpu-enjoy-2026-08-04).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ENJOY</t>
        </is>
      </c>
      <c r="AQ68" s="24" t="inlineStr">
        <is>
          <t>ENJOY</t>
        </is>
      </c>
      <c r="AR68" s="24" t="inlineStr">
        <is>
          <t>ENJOY</t>
        </is>
      </c>
      <c r="AS68" s="24" t="inlineStr">
        <is>
          <t>Just Players</t>
        </is>
      </c>
      <c r="AT68" s="24" t="inlineStr">
        <is>
          <t>Just Players</t>
        </is>
      </c>
      <c r="AU68" s="24" t="inlineStr">
        <is>
          <t>Just Players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c721353818b949592e0d9143f94caccefc04915eac71c58a5983a137fbf32d77</t>
        </is>
      </c>
      <c r="BB68" s="24" t="inlineStr">
        <is>
          <t>neutral_elo</t>
        </is>
      </c>
      <c r="BC68" s="24" t="inlineStr">
        <is>
          <t>cs2-tiered-elo-v5</t>
        </is>
      </c>
      <c r="BD68" s="24" t="inlineStr">
        <is>
          <t>c721353818b949592e0d9143f94caccefc04915eac71c58a5983a137fbf32d77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cs2-tiered-elo-v5</t>
        </is>
      </c>
      <c r="BH68" s="24" t="inlineStr">
        <is>
          <t>2026-08-04T12:01:42.547114Z</t>
        </is>
      </c>
      <c r="BI68" s="24" t="inlineStr">
        <is>
          <t>["same_event","same_team_same_day","same_league_same_day"]</t>
        </is>
      </c>
      <c r="BJ68" s="25" t="n"/>
      <c r="BK68" s="26" t="n">
        <v>163</v>
      </c>
      <c r="BL68" s="27" t="n">
        <v>2.63</v>
      </c>
      <c r="BM68" s="28" t="n">
        <v>0.380228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</row>
    <row r="69" ht="36" customHeight="1">
      <c r="A69" s="24" t="inlineStr">
        <is>
          <t>6d604382a0a344f2</t>
        </is>
      </c>
      <c r="B69" s="24" t="inlineStr">
        <is>
          <t>2026-08-04T12:02:30.114508Z</t>
        </is>
      </c>
      <c r="C69" s="24" t="inlineStr">
        <is>
          <t>2026-08-04T14:00:00Z</t>
        </is>
      </c>
      <c r="D69" s="24" t="inlineStr">
        <is>
          <t>71318</t>
        </is>
      </c>
      <c r="E69" s="24" t="inlineStr">
        <is>
          <t>CS2</t>
        </is>
      </c>
      <c r="F69" s="24" t="inlineStr">
        <is>
          <t>9INE</t>
        </is>
      </c>
      <c r="G69" s="24" t="inlineStr">
        <is>
          <t>Liquid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-233</v>
      </c>
      <c r="M69" s="27" t="n">
        <v>1.429185</v>
      </c>
      <c r="N69" s="28" t="n">
        <v>0.6997</v>
      </c>
      <c r="O69" s="28" t="n">
        <v>0.689352</v>
      </c>
      <c r="P69" s="28" t="n"/>
      <c r="Q69" s="28" t="n">
        <v>-0.010348</v>
      </c>
      <c r="R69" s="26" t="n">
        <v>15</v>
      </c>
      <c r="S69" s="29" t="n">
        <v>2</v>
      </c>
      <c r="T69" s="24" t="inlineStr">
        <is>
          <t>cs2-tiered-elo-v5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Neutral Elo baseline; executable ask 0.7000 (market_slug=aec-cs2-tl-9ine-2026-08-04).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9INE</t>
        </is>
      </c>
      <c r="AQ69" s="24" t="inlineStr">
        <is>
          <t>9INE</t>
        </is>
      </c>
      <c r="AR69" s="24" t="inlineStr">
        <is>
          <t>9INE</t>
        </is>
      </c>
      <c r="AS69" s="24" t="inlineStr">
        <is>
          <t>Liquid</t>
        </is>
      </c>
      <c r="AT69" s="24" t="inlineStr">
        <is>
          <t>Liquid</t>
        </is>
      </c>
      <c r="AU69" s="24" t="inlineStr">
        <is>
          <t>Liquid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c721353818b949592e0d9143f94caccefc04915eac71c58a5983a137fbf32d77</t>
        </is>
      </c>
      <c r="BB69" s="24" t="inlineStr">
        <is>
          <t>neutral_elo</t>
        </is>
      </c>
      <c r="BC69" s="24" t="inlineStr">
        <is>
          <t>cs2-tiered-elo-v5</t>
        </is>
      </c>
      <c r="BD69" s="24" t="inlineStr">
        <is>
          <t>c721353818b949592e0d9143f94caccefc04915eac71c58a5983a137fbf32d77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cs2-tiered-elo-v5</t>
        </is>
      </c>
      <c r="BH69" s="24" t="inlineStr">
        <is>
          <t>2026-08-04T12:01:43.680044Z</t>
        </is>
      </c>
      <c r="BI69" s="24" t="inlineStr">
        <is>
          <t>["same_event","same_team_same_day","same_league_same_day"]</t>
        </is>
      </c>
      <c r="BJ69" s="25" t="n"/>
      <c r="BK69" s="26" t="n">
        <v>-233</v>
      </c>
      <c r="BL69" s="27" t="n">
        <v>1.429185</v>
      </c>
      <c r="BM69" s="28" t="n">
        <v>0.6997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</row>
    <row r="70" ht="36" customHeight="1">
      <c r="A70" s="24" t="inlineStr">
        <is>
          <t>93292ab1c226496e</t>
        </is>
      </c>
      <c r="B70" s="24" t="inlineStr">
        <is>
          <t>2026-08-04T14:27:03.198804Z</t>
        </is>
      </c>
      <c r="C70" s="24" t="inlineStr">
        <is>
          <t>2026-08-04T16:30:00Z</t>
        </is>
      </c>
      <c r="D70" s="24" t="inlineStr">
        <is>
          <t>68562</t>
        </is>
      </c>
      <c r="E70" s="24" t="inlineStr">
        <is>
          <t>CS2</t>
        </is>
      </c>
      <c r="F70" s="24" t="inlineStr">
        <is>
          <t>WorldEdit Club</t>
        </is>
      </c>
      <c r="G70" s="24" t="inlineStr">
        <is>
          <t>shoke Club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-170</v>
      </c>
      <c r="M70" s="27" t="n">
        <v>1.588235</v>
      </c>
      <c r="N70" s="28" t="n">
        <v>0.62963</v>
      </c>
      <c r="O70" s="28" t="n">
        <v>0.526798</v>
      </c>
      <c r="P70" s="28" t="n"/>
      <c r="Q70" s="28" t="n">
        <v>-0.102832</v>
      </c>
      <c r="R70" s="26" t="n">
        <v>0</v>
      </c>
      <c r="S70" s="29" t="n">
        <v>1</v>
      </c>
      <c r="T70" s="24" t="inlineStr">
        <is>
          <t>cs2-tiered-elo-v5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Neutral Elo baseline; executable ask 0.6300 (market_slug=aec-cs2-sch-wco-2026-08-04).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WorldEdit Club</t>
        </is>
      </c>
      <c r="AQ70" s="24" t="inlineStr">
        <is>
          <t>WorldEdit Club</t>
        </is>
      </c>
      <c r="AR70" s="24" t="inlineStr">
        <is>
          <t>WorldEdit Club</t>
        </is>
      </c>
      <c r="AS70" s="24" t="inlineStr">
        <is>
          <t>shoke Club</t>
        </is>
      </c>
      <c r="AT70" s="24" t="inlineStr">
        <is>
          <t>shoke Club</t>
        </is>
      </c>
      <c r="AU70" s="24" t="inlineStr">
        <is>
          <t>shoke Club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00cdf82f3d57942970af15209b096125d6c9c414d900ca7bc63b9b6d0234f3e3</t>
        </is>
      </c>
      <c r="BB70" s="24" t="inlineStr">
        <is>
          <t>neutral_elo</t>
        </is>
      </c>
      <c r="BC70" s="24" t="inlineStr">
        <is>
          <t>cs2-tiered-elo-v5</t>
        </is>
      </c>
      <c r="BD70" s="24" t="inlineStr">
        <is>
          <t>00cdf82f3d57942970af15209b096125d6c9c414d900ca7bc63b9b6d0234f3e3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cs2-tiered-elo-v5</t>
        </is>
      </c>
      <c r="BH70" s="24" t="inlineStr">
        <is>
          <t>2026-08-04T14:26:40.094577Z</t>
        </is>
      </c>
      <c r="BI70" s="24" t="inlineStr">
        <is>
          <t>["same_event","same_team_same_day","same_league_same_day"]</t>
        </is>
      </c>
      <c r="BJ70" s="25" t="n"/>
      <c r="BK70" s="26" t="n">
        <v>-170</v>
      </c>
      <c r="BL70" s="27" t="n">
        <v>1.588235</v>
      </c>
      <c r="BM70" s="28" t="n">
        <v>0.62963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</row>
    <row r="71" ht="36" customHeight="1">
      <c r="A71" s="24" t="inlineStr">
        <is>
          <t>f088b35924894980</t>
        </is>
      </c>
      <c r="B71" s="24" t="inlineStr">
        <is>
          <t>2026-08-04T14:27:03.198804Z</t>
        </is>
      </c>
      <c r="C71" s="24" t="inlineStr">
        <is>
          <t>2026-08-04T16:30:00Z</t>
        </is>
      </c>
      <c r="D71" s="24" t="inlineStr">
        <is>
          <t>68563</t>
        </is>
      </c>
      <c r="E71" s="24" t="inlineStr">
        <is>
          <t>CS2</t>
        </is>
      </c>
      <c r="F71" s="24" t="inlineStr">
        <is>
          <t>Recrent Club</t>
        </is>
      </c>
      <c r="G71" s="24" t="inlineStr">
        <is>
          <t>Buster Club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-133</v>
      </c>
      <c r="M71" s="27" t="n">
        <v>1.75188</v>
      </c>
      <c r="N71" s="28" t="n">
        <v>0.570815</v>
      </c>
      <c r="O71" s="28" t="n">
        <v>0.526798</v>
      </c>
      <c r="P71" s="28" t="n"/>
      <c r="Q71" s="28" t="n">
        <v>-0.044017</v>
      </c>
      <c r="R71" s="26" t="n">
        <v>0</v>
      </c>
      <c r="S71" s="29" t="n">
        <v>1</v>
      </c>
      <c r="T71" s="24" t="inlineStr">
        <is>
          <t>cs2-tiered-elo-v5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Neutral Elo baseline; executable ask 0.5700 (market_slug=aec-cs2-bcu-rce-2026-08-04).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Recrent Club</t>
        </is>
      </c>
      <c r="AQ71" s="24" t="inlineStr">
        <is>
          <t>Recrent Club</t>
        </is>
      </c>
      <c r="AR71" s="24" t="inlineStr">
        <is>
          <t>Recrent Club</t>
        </is>
      </c>
      <c r="AS71" s="24" t="inlineStr">
        <is>
          <t>Buster Club</t>
        </is>
      </c>
      <c r="AT71" s="24" t="inlineStr">
        <is>
          <t>Buster Club</t>
        </is>
      </c>
      <c r="AU71" s="24" t="inlineStr">
        <is>
          <t>Buster Club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00cdf82f3d57942970af15209b096125d6c9c414d900ca7bc63b9b6d0234f3e3</t>
        </is>
      </c>
      <c r="BB71" s="24" t="inlineStr">
        <is>
          <t>neutral_elo</t>
        </is>
      </c>
      <c r="BC71" s="24" t="inlineStr">
        <is>
          <t>cs2-tiered-elo-v5</t>
        </is>
      </c>
      <c r="BD71" s="24" t="inlineStr">
        <is>
          <t>00cdf82f3d57942970af15209b096125d6c9c414d900ca7bc63b9b6d0234f3e3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cs2-tiered-elo-v5</t>
        </is>
      </c>
      <c r="BH71" s="24" t="inlineStr">
        <is>
          <t>2026-08-04T14:26:40.578112Z</t>
        </is>
      </c>
      <c r="BI71" s="24" t="inlineStr">
        <is>
          <t>["same_event","same_team_same_day","same_league_same_day"]</t>
        </is>
      </c>
      <c r="BJ71" s="25" t="n"/>
      <c r="BK71" s="26" t="n">
        <v>-133</v>
      </c>
      <c r="BL71" s="27" t="n">
        <v>1.75188</v>
      </c>
      <c r="BM71" s="28" t="n">
        <v>0.570815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</row>
    <row r="72" ht="36" customHeight="1">
      <c r="A72" s="24" t="inlineStr">
        <is>
          <t>cea59b111d1947d6</t>
        </is>
      </c>
      <c r="B72" s="24" t="inlineStr">
        <is>
          <t>2026-08-04T14:27:03.198804Z</t>
        </is>
      </c>
      <c r="C72" s="24" t="inlineStr">
        <is>
          <t>2026-08-04T17:00:00Z</t>
        </is>
      </c>
      <c r="D72" s="24" t="inlineStr">
        <is>
          <t>68565</t>
        </is>
      </c>
      <c r="E72" s="24" t="inlineStr">
        <is>
          <t>CS2</t>
        </is>
      </c>
      <c r="F72" s="24" t="inlineStr">
        <is>
          <t>ALKA GAMING</t>
        </is>
      </c>
      <c r="G72" s="24" t="inlineStr">
        <is>
          <t>UNO MILLE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-213</v>
      </c>
      <c r="M72" s="27" t="n">
        <v>1.469484</v>
      </c>
      <c r="N72" s="28" t="n">
        <v>0.680511</v>
      </c>
      <c r="O72" s="28" t="n">
        <v>0.589329</v>
      </c>
      <c r="P72" s="28" t="n"/>
      <c r="Q72" s="28" t="n">
        <v>-0.091182</v>
      </c>
      <c r="R72" s="26" t="n">
        <v>0</v>
      </c>
      <c r="S72" s="29" t="n">
        <v>1.25</v>
      </c>
      <c r="T72" s="24" t="inlineStr">
        <is>
          <t>cs2-tiered-elo-v5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Neutral Elo baseline; executable ask 0.6800 (market_slug=aec-cs2-uno-alka-2026-08-04).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ALKA GAMING</t>
        </is>
      </c>
      <c r="AQ72" s="24" t="inlineStr">
        <is>
          <t>ALKA GAMING</t>
        </is>
      </c>
      <c r="AR72" s="24" t="inlineStr">
        <is>
          <t>ALKA GAMING</t>
        </is>
      </c>
      <c r="AS72" s="24" t="inlineStr">
        <is>
          <t>UNO MILLE</t>
        </is>
      </c>
      <c r="AT72" s="24" t="inlineStr">
        <is>
          <t>UNO MILLE</t>
        </is>
      </c>
      <c r="AU72" s="24" t="inlineStr">
        <is>
          <t>UNO MILLE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00cdf82f3d57942970af15209b096125d6c9c414d900ca7bc63b9b6d0234f3e3</t>
        </is>
      </c>
      <c r="BB72" s="24" t="inlineStr">
        <is>
          <t>neutral_elo</t>
        </is>
      </c>
      <c r="BC72" s="24" t="inlineStr">
        <is>
          <t>cs2-tiered-elo-v5</t>
        </is>
      </c>
      <c r="BD72" s="24" t="inlineStr">
        <is>
          <t>00cdf82f3d57942970af15209b096125d6c9c414d900ca7bc63b9b6d0234f3e3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cs2-tiered-elo-v5</t>
        </is>
      </c>
      <c r="BH72" s="24" t="inlineStr">
        <is>
          <t>2026-08-04T14:26:41.052332Z</t>
        </is>
      </c>
      <c r="BI72" s="24" t="inlineStr">
        <is>
          <t>["same_event","same_team_same_day","same_league_same_day"]</t>
        </is>
      </c>
      <c r="BJ72" s="25" t="n"/>
      <c r="BK72" s="26" t="n">
        <v>-213</v>
      </c>
      <c r="BL72" s="27" t="n">
        <v>1.469484</v>
      </c>
      <c r="BM72" s="28" t="n">
        <v>0.680511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</row>
    <row r="73" ht="36" customHeight="1">
      <c r="A73" s="24" t="inlineStr">
        <is>
          <t>b7b5d837c0cd4942</t>
        </is>
      </c>
      <c r="B73" s="24" t="inlineStr">
        <is>
          <t>2026-08-04T14:27:03.198804Z</t>
        </is>
      </c>
      <c r="C73" s="24" t="inlineStr">
        <is>
          <t>2026-08-04T17:00:00Z</t>
        </is>
      </c>
      <c r="D73" s="24" t="inlineStr">
        <is>
          <t>68567</t>
        </is>
      </c>
      <c r="E73" s="24" t="inlineStr">
        <is>
          <t>CS2</t>
        </is>
      </c>
      <c r="F73" s="24" t="inlineStr">
        <is>
          <t>INOX Division</t>
        </is>
      </c>
      <c r="G73" s="24" t="inlineStr">
        <is>
          <t>Eternal Fire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-127</v>
      </c>
      <c r="M73" s="27" t="n">
        <v>1.787402</v>
      </c>
      <c r="N73" s="28" t="n">
        <v>0.5594710000000001</v>
      </c>
      <c r="O73" s="28" t="n">
        <v>0.516198</v>
      </c>
      <c r="P73" s="28" t="n"/>
      <c r="Q73" s="28" t="n">
        <v>-0.043273</v>
      </c>
      <c r="R73" s="26" t="n">
        <v>0</v>
      </c>
      <c r="S73" s="29" t="n">
        <v>1</v>
      </c>
      <c r="T73" s="24" t="inlineStr">
        <is>
          <t>cs2-tiered-elo-v5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Neutral Elo baseline; executable ask 0.5600 (market_slug=aec-cs2-ef-inox-2026-08-04).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INOX Division</t>
        </is>
      </c>
      <c r="AQ73" s="24" t="inlineStr">
        <is>
          <t>INOX Division</t>
        </is>
      </c>
      <c r="AR73" s="24" t="inlineStr">
        <is>
          <t>INOX Division</t>
        </is>
      </c>
      <c r="AS73" s="24" t="inlineStr">
        <is>
          <t>Eternal Fire</t>
        </is>
      </c>
      <c r="AT73" s="24" t="inlineStr">
        <is>
          <t>Eternal Fire</t>
        </is>
      </c>
      <c r="AU73" s="24" t="inlineStr">
        <is>
          <t>Eternal Fire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00cdf82f3d57942970af15209b096125d6c9c414d900ca7bc63b9b6d0234f3e3</t>
        </is>
      </c>
      <c r="BB73" s="24" t="inlineStr">
        <is>
          <t>neutral_elo</t>
        </is>
      </c>
      <c r="BC73" s="24" t="inlineStr">
        <is>
          <t>cs2-tiered-elo-v5</t>
        </is>
      </c>
      <c r="BD73" s="24" t="inlineStr">
        <is>
          <t>00cdf82f3d57942970af15209b096125d6c9c414d900ca7bc63b9b6d0234f3e3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cs2-tiered-elo-v5</t>
        </is>
      </c>
      <c r="BH73" s="24" t="inlineStr">
        <is>
          <t>2026-08-04T14:26:41.781184Z</t>
        </is>
      </c>
      <c r="BI73" s="24" t="inlineStr">
        <is>
          <t>["same_event","same_team_same_day","same_league_same_day"]</t>
        </is>
      </c>
      <c r="BJ73" s="25" t="n"/>
      <c r="BK73" s="26" t="n">
        <v>-127</v>
      </c>
      <c r="BL73" s="27" t="n">
        <v>1.787402</v>
      </c>
      <c r="BM73" s="28" t="n">
        <v>0.5594710000000001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</row>
    <row r="74" ht="36" customHeight="1">
      <c r="A74" s="24" t="inlineStr">
        <is>
          <t>e3630e6d84d1436f</t>
        </is>
      </c>
      <c r="B74" s="24" t="inlineStr">
        <is>
          <t>2026-08-04T14:27:03.198804Z</t>
        </is>
      </c>
      <c r="C74" s="24" t="inlineStr">
        <is>
          <t>2026-08-04T17:00:00Z</t>
        </is>
      </c>
      <c r="D74" s="24" t="inlineStr">
        <is>
          <t>71337</t>
        </is>
      </c>
      <c r="E74" s="24" t="inlineStr">
        <is>
          <t>CS2</t>
        </is>
      </c>
      <c r="F74" s="24" t="inlineStr">
        <is>
          <t>A Great Chaos</t>
        </is>
      </c>
      <c r="G74" s="24" t="inlineStr">
        <is>
          <t>Fortress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-122</v>
      </c>
      <c r="M74" s="27" t="n">
        <v>1.819672</v>
      </c>
      <c r="N74" s="28" t="n">
        <v>0.54955</v>
      </c>
      <c r="O74" s="28" t="n">
        <v>0.571449</v>
      </c>
      <c r="P74" s="28" t="n"/>
      <c r="Q74" s="28" t="n">
        <v>0.021899</v>
      </c>
      <c r="R74" s="26" t="n">
        <v>31</v>
      </c>
      <c r="S74" s="29" t="n">
        <v>1.25</v>
      </c>
      <c r="T74" s="24" t="inlineStr">
        <is>
          <t>cs2-tiered-elo-v5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Neutral Elo baseline; executable ask 0.5500 (market_slug=aec-cs2-for-agc-2026-08-04).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A Great Chaos</t>
        </is>
      </c>
      <c r="AQ74" s="24" t="inlineStr">
        <is>
          <t>A Great Chaos</t>
        </is>
      </c>
      <c r="AR74" s="24" t="inlineStr">
        <is>
          <t>A Great Chaos</t>
        </is>
      </c>
      <c r="AS74" s="24" t="inlineStr">
        <is>
          <t>Fortress</t>
        </is>
      </c>
      <c r="AT74" s="24" t="inlineStr">
        <is>
          <t>Fortress</t>
        </is>
      </c>
      <c r="AU74" s="24" t="inlineStr">
        <is>
          <t>Fortress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00cdf82f3d57942970af15209b096125d6c9c414d900ca7bc63b9b6d0234f3e3</t>
        </is>
      </c>
      <c r="BB74" s="24" t="inlineStr">
        <is>
          <t>neutral_elo</t>
        </is>
      </c>
      <c r="BC74" s="24" t="inlineStr">
        <is>
          <t>cs2-tiered-elo-v5</t>
        </is>
      </c>
      <c r="BD74" s="24" t="inlineStr">
        <is>
          <t>00cdf82f3d57942970af15209b096125d6c9c414d900ca7bc63b9b6d0234f3e3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cs2-tiered-elo-v5</t>
        </is>
      </c>
      <c r="BH74" s="24" t="inlineStr">
        <is>
          <t>2026-08-04T14:26:42.351782Z</t>
        </is>
      </c>
      <c r="BI74" s="24" t="inlineStr">
        <is>
          <t>["same_event","same_team_same_day","same_league_same_day"]</t>
        </is>
      </c>
      <c r="BJ74" s="25" t="n"/>
      <c r="BK74" s="26" t="n">
        <v>-122</v>
      </c>
      <c r="BL74" s="27" t="n">
        <v>1.819672</v>
      </c>
      <c r="BM74" s="28" t="n">
        <v>0.54955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</row>
    <row r="75" ht="36" customHeight="1">
      <c r="A75" s="24" t="inlineStr">
        <is>
          <t>1ee97222632244dc</t>
        </is>
      </c>
      <c r="B75" s="24" t="inlineStr">
        <is>
          <t>2026-08-04T14:27:03.198804Z</t>
        </is>
      </c>
      <c r="C75" s="24" t="inlineStr">
        <is>
          <t>2026-08-04T17:00:00Z</t>
        </is>
      </c>
      <c r="D75" s="24" t="inlineStr">
        <is>
          <t>71321</t>
        </is>
      </c>
      <c r="E75" s="24" t="inlineStr">
        <is>
          <t>CS2</t>
        </is>
      </c>
      <c r="F75" s="24" t="inlineStr">
        <is>
          <t>ex-Young Ninjas</t>
        </is>
      </c>
      <c r="G75" s="24" t="inlineStr">
        <is>
          <t>UNiTY esports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100</v>
      </c>
      <c r="M75" s="27" t="n">
        <v>2</v>
      </c>
      <c r="N75" s="28" t="n">
        <v>0.5</v>
      </c>
      <c r="O75" s="28" t="n">
        <v>0.5006660000000001</v>
      </c>
      <c r="P75" s="28" t="n"/>
      <c r="Q75" s="28" t="n">
        <v>0.000666</v>
      </c>
      <c r="R75" s="26" t="n">
        <v>20</v>
      </c>
      <c r="S75" s="29" t="n">
        <v>1</v>
      </c>
      <c r="T75" s="24" t="inlineStr">
        <is>
          <t>cs2-tiered-elo-v5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Neutral Elo baseline; executable ask 0.5000 (market_slug=aec-cs2-unity-eyn-2026-08-04).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ex-Young Ninjas</t>
        </is>
      </c>
      <c r="AQ75" s="24" t="inlineStr">
        <is>
          <t>ex-Young Ninjas</t>
        </is>
      </c>
      <c r="AR75" s="24" t="inlineStr">
        <is>
          <t>ex-Young Ninjas</t>
        </is>
      </c>
      <c r="AS75" s="24" t="inlineStr">
        <is>
          <t>UNiTY esports</t>
        </is>
      </c>
      <c r="AT75" s="24" t="inlineStr">
        <is>
          <t>UNiTY esports</t>
        </is>
      </c>
      <c r="AU75" s="24" t="inlineStr">
        <is>
          <t>UNiTY esports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00cdf82f3d57942970af15209b096125d6c9c414d900ca7bc63b9b6d0234f3e3</t>
        </is>
      </c>
      <c r="BB75" s="24" t="inlineStr">
        <is>
          <t>neutral_elo</t>
        </is>
      </c>
      <c r="BC75" s="24" t="inlineStr">
        <is>
          <t>cs2-tiered-elo-v5</t>
        </is>
      </c>
      <c r="BD75" s="24" t="inlineStr">
        <is>
          <t>00cdf82f3d57942970af15209b096125d6c9c414d900ca7bc63b9b6d0234f3e3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cs2-tiered-elo-v5</t>
        </is>
      </c>
      <c r="BH75" s="24" t="inlineStr">
        <is>
          <t>2026-08-04T14:26:42.942188Z</t>
        </is>
      </c>
      <c r="BI75" s="24" t="inlineStr">
        <is>
          <t>["same_event","same_team_same_day","same_league_same_day"]</t>
        </is>
      </c>
      <c r="BJ75" s="25" t="n"/>
      <c r="BK75" s="26" t="n">
        <v>100</v>
      </c>
      <c r="BL75" s="27" t="n">
        <v>2</v>
      </c>
      <c r="BM75" s="28" t="n">
        <v>0.5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6778f50ae14d4404</t>
        </is>
      </c>
      <c r="B76" s="24" t="inlineStr">
        <is>
          <t>2026-08-04T14:27:03.198804Z</t>
        </is>
      </c>
      <c r="C76" s="24" t="inlineStr">
        <is>
          <t>2026-08-04T17:15:00Z</t>
        </is>
      </c>
      <c r="D76" s="24" t="inlineStr">
        <is>
          <t>71339</t>
        </is>
      </c>
      <c r="E76" s="24" t="inlineStr">
        <is>
          <t>CS2</t>
        </is>
      </c>
      <c r="F76" s="24" t="inlineStr">
        <is>
          <t>OLDBOYS PL</t>
        </is>
      </c>
      <c r="G76" s="24" t="inlineStr">
        <is>
          <t>XI Esport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-203</v>
      </c>
      <c r="M76" s="27" t="n">
        <v>1.492611</v>
      </c>
      <c r="N76" s="28" t="n">
        <v>0.669967</v>
      </c>
      <c r="O76" s="28" t="n">
        <v>0.681734</v>
      </c>
      <c r="P76" s="28" t="n"/>
      <c r="Q76" s="28" t="n">
        <v>0.011767</v>
      </c>
      <c r="R76" s="26" t="n">
        <v>26</v>
      </c>
      <c r="S76" s="29" t="n">
        <v>2</v>
      </c>
      <c r="T76" s="24" t="inlineStr">
        <is>
          <t>cs2-tiered-elo-v5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Neutral Elo baseline; executable ask 0.6700 (market_slug=aec-cs2-xi-oldboyspl-2026-08-04).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OLDBOYS PL</t>
        </is>
      </c>
      <c r="AQ76" s="24" t="inlineStr">
        <is>
          <t>OLDBOYS PL</t>
        </is>
      </c>
      <c r="AR76" s="24" t="inlineStr">
        <is>
          <t>OLDBOYS PL</t>
        </is>
      </c>
      <c r="AS76" s="24" t="inlineStr">
        <is>
          <t>XI Esport</t>
        </is>
      </c>
      <c r="AT76" s="24" t="inlineStr">
        <is>
          <t>XI Esport</t>
        </is>
      </c>
      <c r="AU76" s="24" t="inlineStr">
        <is>
          <t>XI Esport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00cdf82f3d57942970af15209b096125d6c9c414d900ca7bc63b9b6d0234f3e3</t>
        </is>
      </c>
      <c r="BB76" s="24" t="inlineStr">
        <is>
          <t>neutral_elo</t>
        </is>
      </c>
      <c r="BC76" s="24" t="inlineStr">
        <is>
          <t>cs2-tiered-elo-v5</t>
        </is>
      </c>
      <c r="BD76" s="24" t="inlineStr">
        <is>
          <t>00cdf82f3d57942970af15209b096125d6c9c414d900ca7bc63b9b6d0234f3e3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cs2-tiered-elo-v5</t>
        </is>
      </c>
      <c r="BH76" s="24" t="inlineStr">
        <is>
          <t>2026-08-04T14:26:44.028305Z</t>
        </is>
      </c>
      <c r="BI76" s="24" t="inlineStr">
        <is>
          <t>["same_event","same_team_same_day","same_league_same_day"]</t>
        </is>
      </c>
      <c r="BJ76" s="25" t="n"/>
      <c r="BK76" s="26" t="n">
        <v>-203</v>
      </c>
      <c r="BL76" s="27" t="n">
        <v>1.492611</v>
      </c>
      <c r="BM76" s="28" t="n">
        <v>0.669967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</row>
    <row r="77" ht="36" customHeight="1">
      <c r="A77" s="24" t="inlineStr">
        <is>
          <t>053ed179d95d4931</t>
        </is>
      </c>
      <c r="B77" s="24" t="inlineStr">
        <is>
          <t>2026-08-04T14:27:03.198804Z</t>
        </is>
      </c>
      <c r="C77" s="24" t="inlineStr">
        <is>
          <t>2026-08-04T18:30:00Z</t>
        </is>
      </c>
      <c r="D77" s="24" t="inlineStr">
        <is>
          <t>71382</t>
        </is>
      </c>
      <c r="E77" s="24" t="inlineStr">
        <is>
          <t>CS2</t>
        </is>
      </c>
      <c r="F77" s="24" t="inlineStr">
        <is>
          <t>JUMBO TEAM</t>
        </is>
      </c>
      <c r="G77" s="24" t="inlineStr">
        <is>
          <t>Benched gods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0.67486</v>
      </c>
      <c r="P77" s="28" t="n"/>
      <c r="Q77" s="28" t="n">
        <v>0.08469599999999999</v>
      </c>
      <c r="R77" s="26" t="n">
        <v>62</v>
      </c>
      <c r="S77" s="29" t="n">
        <v>1.75</v>
      </c>
      <c r="T77" s="24" t="inlineStr">
        <is>
          <t>cs2-tiered-elo-v5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Neutral Elo baseline; executable ask 0.5900 (market_slug=aec-cs2-bge-jumbo-2026-08-04).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JUMBO TEAM</t>
        </is>
      </c>
      <c r="AQ77" s="24" t="inlineStr">
        <is>
          <t>JUMBO TEAM</t>
        </is>
      </c>
      <c r="AR77" s="24" t="inlineStr">
        <is>
          <t>JUMBO TEAM</t>
        </is>
      </c>
      <c r="AS77" s="24" t="inlineStr">
        <is>
          <t>Benched gods</t>
        </is>
      </c>
      <c r="AT77" s="24" t="inlineStr">
        <is>
          <t>Benched gods</t>
        </is>
      </c>
      <c r="AU77" s="24" t="inlineStr">
        <is>
          <t>Benched gods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00cdf82f3d57942970af15209b096125d6c9c414d900ca7bc63b9b6d0234f3e3</t>
        </is>
      </c>
      <c r="BB77" s="24" t="inlineStr">
        <is>
          <t>neutral_elo</t>
        </is>
      </c>
      <c r="BC77" s="24" t="inlineStr">
        <is>
          <t>cs2-tiered-elo-v5</t>
        </is>
      </c>
      <c r="BD77" s="24" t="inlineStr">
        <is>
          <t>00cdf82f3d57942970af15209b096125d6c9c414d900ca7bc63b9b6d0234f3e3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cs2-tiered-elo-v5</t>
        </is>
      </c>
      <c r="BH77" s="24" t="inlineStr">
        <is>
          <t>2026-08-04T14:26:45.147234Z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</row>
    <row r="78" ht="36" customHeight="1">
      <c r="A78" s="24" t="inlineStr">
        <is>
          <t>0d062556359f490f</t>
        </is>
      </c>
      <c r="B78" s="24" t="inlineStr">
        <is>
          <t>2026-08-04T14:27:03.198804Z</t>
        </is>
      </c>
      <c r="C78" s="24" t="inlineStr">
        <is>
          <t>2026-08-04T18:30:00Z</t>
        </is>
      </c>
      <c r="D78" s="24" t="inlineStr">
        <is>
          <t>71341</t>
        </is>
      </c>
      <c r="E78" s="24" t="inlineStr">
        <is>
          <t>CS2</t>
        </is>
      </c>
      <c r="F78" s="24" t="inlineStr">
        <is>
          <t>mellren</t>
        </is>
      </c>
      <c r="G78" s="24" t="inlineStr">
        <is>
          <t>uust _esports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100</v>
      </c>
      <c r="M78" s="27" t="n">
        <v>2</v>
      </c>
      <c r="N78" s="28" t="n">
        <v>0.5</v>
      </c>
      <c r="O78" s="28" t="n">
        <v>0.505296</v>
      </c>
      <c r="P78" s="28" t="n"/>
      <c r="Q78" s="28" t="n">
        <v>0.005296</v>
      </c>
      <c r="R78" s="26" t="n">
        <v>23</v>
      </c>
      <c r="S78" s="29" t="n">
        <v>1</v>
      </c>
      <c r="T78" s="24" t="inlineStr">
        <is>
          <t>cs2-tiered-elo-v5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Neutral Elo baseline; executable ask 0.5000 (market_slug=aec-cs2-uust-mel-2026-08-04).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mellren</t>
        </is>
      </c>
      <c r="AQ78" s="24" t="inlineStr">
        <is>
          <t>mellren</t>
        </is>
      </c>
      <c r="AR78" s="24" t="inlineStr">
        <is>
          <t>mellren</t>
        </is>
      </c>
      <c r="AS78" s="24" t="inlineStr">
        <is>
          <t>uust _esports</t>
        </is>
      </c>
      <c r="AT78" s="24" t="inlineStr">
        <is>
          <t>uust _esports</t>
        </is>
      </c>
      <c r="AU78" s="24" t="inlineStr">
        <is>
          <t>uust _esports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00cdf82f3d57942970af15209b096125d6c9c414d900ca7bc63b9b6d0234f3e3</t>
        </is>
      </c>
      <c r="BB78" s="24" t="inlineStr">
        <is>
          <t>neutral_elo</t>
        </is>
      </c>
      <c r="BC78" s="24" t="inlineStr">
        <is>
          <t>cs2-tiered-elo-v5</t>
        </is>
      </c>
      <c r="BD78" s="24" t="inlineStr">
        <is>
          <t>00cdf82f3d57942970af15209b096125d6c9c414d900ca7bc63b9b6d0234f3e3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cs2-tiered-elo-v5</t>
        </is>
      </c>
      <c r="BH78" s="24" t="inlineStr">
        <is>
          <t>2026-08-04T14:26:45.726436Z</t>
        </is>
      </c>
      <c r="BI78" s="24" t="inlineStr">
        <is>
          <t>["same_event","same_team_same_day","same_league_same_day"]</t>
        </is>
      </c>
      <c r="BJ78" s="25" t="n"/>
      <c r="BK78" s="26" t="n">
        <v>100</v>
      </c>
      <c r="BL78" s="27" t="n">
        <v>2</v>
      </c>
      <c r="BM78" s="28" t="n">
        <v>0.5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</row>
    <row r="79" ht="36" customHeight="1">
      <c r="A79" s="24" t="inlineStr">
        <is>
          <t>ceeefa7eb43e4c51</t>
        </is>
      </c>
      <c r="B79" s="24" t="inlineStr">
        <is>
          <t>2026-08-04T14:27:03.198804Z</t>
        </is>
      </c>
      <c r="C79" s="24" t="inlineStr">
        <is>
          <t>2026-08-04T18:30:00Z</t>
        </is>
      </c>
      <c r="D79" s="24" t="inlineStr">
        <is>
          <t>71390</t>
        </is>
      </c>
      <c r="E79" s="24" t="inlineStr">
        <is>
          <t>CS2</t>
        </is>
      </c>
      <c r="F79" s="24" t="inlineStr">
        <is>
          <t>Subtop De France</t>
        </is>
      </c>
      <c r="G79" s="24" t="inlineStr">
        <is>
          <t>Glitchtech Esports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-163</v>
      </c>
      <c r="M79" s="27" t="n">
        <v>1.613497</v>
      </c>
      <c r="N79" s="28" t="n">
        <v>0.619772</v>
      </c>
      <c r="O79" s="28" t="n">
        <v>0.599257</v>
      </c>
      <c r="P79" s="28" t="n"/>
      <c r="Q79" s="28" t="n">
        <v>-0.020515</v>
      </c>
      <c r="R79" s="26" t="n">
        <v>10</v>
      </c>
      <c r="S79" s="29" t="n">
        <v>1.25</v>
      </c>
      <c r="T79" s="24" t="inlineStr">
        <is>
          <t>cs2-tiered-elo-v5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Neutral Elo baseline; executable ask 0.6200 (market_slug=aec-cs2-gel-sdf-2026-08-04).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NO_CALL_LOW_EDGE</t>
        </is>
      </c>
      <c r="AP79" s="24" t="inlineStr">
        <is>
          <t>Subtop De France</t>
        </is>
      </c>
      <c r="AQ79" s="24" t="inlineStr">
        <is>
          <t>Subtop De France</t>
        </is>
      </c>
      <c r="AR79" s="24" t="inlineStr">
        <is>
          <t>Subtop De France</t>
        </is>
      </c>
      <c r="AS79" s="24" t="inlineStr">
        <is>
          <t>Glitchtech Esports</t>
        </is>
      </c>
      <c r="AT79" s="24" t="inlineStr">
        <is>
          <t>Glitchtech Esports</t>
        </is>
      </c>
      <c r="AU79" s="24" t="inlineStr">
        <is>
          <t>Glitchtech Esports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00cdf82f3d57942970af15209b096125d6c9c414d900ca7bc63b9b6d0234f3e3</t>
        </is>
      </c>
      <c r="BB79" s="24" t="inlineStr">
        <is>
          <t>neutral_elo</t>
        </is>
      </c>
      <c r="BC79" s="24" t="inlineStr">
        <is>
          <t>cs2-tiered-elo-v5</t>
        </is>
      </c>
      <c r="BD79" s="24" t="inlineStr">
        <is>
          <t>00cdf82f3d57942970af15209b096125d6c9c414d900ca7bc63b9b6d0234f3e3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cs2-tiered-elo-v5</t>
        </is>
      </c>
      <c r="BH79" s="24" t="inlineStr">
        <is>
          <t>2026-08-04T14:26:46.262059Z</t>
        </is>
      </c>
      <c r="BI79" s="24" t="inlineStr">
        <is>
          <t>["same_event","same_team_same_day","same_league_same_day"]</t>
        </is>
      </c>
      <c r="BJ79" s="25" t="n"/>
      <c r="BK79" s="26" t="n">
        <v>-163</v>
      </c>
      <c r="BL79" s="27" t="n">
        <v>1.613497</v>
      </c>
      <c r="BM79" s="28" t="n">
        <v>0.619772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</row>
    <row r="80" ht="36" customHeight="1">
      <c r="A80" s="24" t="inlineStr">
        <is>
          <t>89bea969299f4b3a</t>
        </is>
      </c>
      <c r="B80" s="24" t="inlineStr">
        <is>
          <t>2026-08-04T14:27:03.198804Z</t>
        </is>
      </c>
      <c r="C80" s="24" t="inlineStr">
        <is>
          <t>2026-08-04T18:30:00Z</t>
        </is>
      </c>
      <c r="D80" s="24" t="inlineStr">
        <is>
          <t>71391</t>
        </is>
      </c>
      <c r="E80" s="24" t="inlineStr">
        <is>
          <t>CS2</t>
        </is>
      </c>
      <c r="F80" s="24" t="inlineStr">
        <is>
          <t>A Great Chaos</t>
        </is>
      </c>
      <c r="G80" s="24" t="inlineStr">
        <is>
          <t>FAST LAYNERS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100</v>
      </c>
      <c r="M80" s="27" t="n">
        <v>2</v>
      </c>
      <c r="N80" s="28" t="n">
        <v>0.5</v>
      </c>
      <c r="O80" s="28" t="n">
        <v>0.645876</v>
      </c>
      <c r="P80" s="28" t="n"/>
      <c r="Q80" s="28" t="n">
        <v>0.145876</v>
      </c>
      <c r="R80" s="26" t="n">
        <v>93</v>
      </c>
      <c r="S80" s="29" t="n">
        <v>1.75</v>
      </c>
      <c r="T80" s="24" t="inlineStr">
        <is>
          <t>cs2-tiered-elo-v5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Neutral Elo baseline; executable ask 0.5000 (market_slug=aec-cs2-fla-agc-2026-08-04).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A Great Chaos</t>
        </is>
      </c>
      <c r="AQ80" s="24" t="inlineStr">
        <is>
          <t>A Great Chaos</t>
        </is>
      </c>
      <c r="AR80" s="24" t="inlineStr">
        <is>
          <t>A Great Chaos</t>
        </is>
      </c>
      <c r="AS80" s="24" t="inlineStr">
        <is>
          <t>FAST LAYNERS</t>
        </is>
      </c>
      <c r="AT80" s="24" t="inlineStr">
        <is>
          <t>FAST LAYNERS</t>
        </is>
      </c>
      <c r="AU80" s="24" t="inlineStr">
        <is>
          <t>FAST LAYNERS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00cdf82f3d57942970af15209b096125d6c9c414d900ca7bc63b9b6d0234f3e3</t>
        </is>
      </c>
      <c r="BB80" s="24" t="inlineStr">
        <is>
          <t>neutral_elo</t>
        </is>
      </c>
      <c r="BC80" s="24" t="inlineStr">
        <is>
          <t>cs2-tiered-elo-v5</t>
        </is>
      </c>
      <c r="BD80" s="24" t="inlineStr">
        <is>
          <t>00cdf82f3d57942970af15209b096125d6c9c414d900ca7bc63b9b6d0234f3e3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cs2-tiered-elo-v5</t>
        </is>
      </c>
      <c r="BH80" s="24" t="inlineStr">
        <is>
          <t>2026-08-04T14:26:46.831301Z</t>
        </is>
      </c>
      <c r="BI80" s="24" t="inlineStr">
        <is>
          <t>["same_event","same_team_same_day","same_league_same_day"]</t>
        </is>
      </c>
      <c r="BJ80" s="25" t="n"/>
      <c r="BK80" s="26" t="n">
        <v>100</v>
      </c>
      <c r="BL80" s="27" t="n">
        <v>2</v>
      </c>
      <c r="BM80" s="28" t="n">
        <v>0.5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</row>
    <row r="81" ht="36" customHeight="1">
      <c r="A81" s="24" t="inlineStr">
        <is>
          <t>9fa118ab30b7429f</t>
        </is>
      </c>
      <c r="B81" s="24" t="inlineStr">
        <is>
          <t>2026-08-04T14:27:03.198804Z</t>
        </is>
      </c>
      <c r="C81" s="24" t="inlineStr">
        <is>
          <t>2026-08-04T18:30:00Z</t>
        </is>
      </c>
      <c r="D81" s="24" t="inlineStr">
        <is>
          <t>71385</t>
        </is>
      </c>
      <c r="E81" s="24" t="inlineStr">
        <is>
          <t>CS2</t>
        </is>
      </c>
      <c r="F81" s="24" t="inlineStr">
        <is>
          <t>Drama eSports</t>
        </is>
      </c>
      <c r="G81" s="24" t="inlineStr">
        <is>
          <t>KUUSAMO.gg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-133</v>
      </c>
      <c r="M81" s="27" t="n">
        <v>1.75188</v>
      </c>
      <c r="N81" s="28" t="n">
        <v>0.570815</v>
      </c>
      <c r="O81" s="28" t="n">
        <v>0.576143</v>
      </c>
      <c r="P81" s="28" t="n"/>
      <c r="Q81" s="28" t="n">
        <v>0.005328</v>
      </c>
      <c r="R81" s="26" t="n">
        <v>23</v>
      </c>
      <c r="S81" s="29" t="n">
        <v>1.25</v>
      </c>
      <c r="T81" s="24" t="inlineStr">
        <is>
          <t>cs2-tiered-elo-v5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Neutral Elo baseline; executable ask 0.5700 (market_slug=aec-cs2-ksm-drama-2026-08-04).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NO_CALL_LOW_EDGE</t>
        </is>
      </c>
      <c r="AP81" s="24" t="inlineStr">
        <is>
          <t>Drama eSports</t>
        </is>
      </c>
      <c r="AQ81" s="24" t="inlineStr">
        <is>
          <t>Drama eSports</t>
        </is>
      </c>
      <c r="AR81" s="24" t="inlineStr">
        <is>
          <t>Drama eSports</t>
        </is>
      </c>
      <c r="AS81" s="24" t="inlineStr">
        <is>
          <t>KUUSAMO.gg</t>
        </is>
      </c>
      <c r="AT81" s="24" t="inlineStr">
        <is>
          <t>KUUSAMO.gg</t>
        </is>
      </c>
      <c r="AU81" s="24" t="inlineStr">
        <is>
          <t>KUUSAMO.gg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00cdf82f3d57942970af15209b096125d6c9c414d900ca7bc63b9b6d0234f3e3</t>
        </is>
      </c>
      <c r="BB81" s="24" t="inlineStr">
        <is>
          <t>neutral_elo</t>
        </is>
      </c>
      <c r="BC81" s="24" t="inlineStr">
        <is>
          <t>cs2-tiered-elo-v5</t>
        </is>
      </c>
      <c r="BD81" s="24" t="inlineStr">
        <is>
          <t>00cdf82f3d57942970af15209b096125d6c9c414d900ca7bc63b9b6d0234f3e3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cs2-tiered-elo-v5</t>
        </is>
      </c>
      <c r="BH81" s="24" t="inlineStr">
        <is>
          <t>2026-08-04T14:26:47.526137Z</t>
        </is>
      </c>
      <c r="BI81" s="24" t="inlineStr">
        <is>
          <t>["same_event","same_team_same_day","same_league_same_day"]</t>
        </is>
      </c>
      <c r="BJ81" s="25" t="n"/>
      <c r="BK81" s="26" t="n">
        <v>-133</v>
      </c>
      <c r="BL81" s="27" t="n">
        <v>1.75188</v>
      </c>
      <c r="BM81" s="28" t="n">
        <v>0.570815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</row>
    <row r="82" ht="36" customHeight="1">
      <c r="A82" s="24" t="inlineStr">
        <is>
          <t>792c5929edae45b9</t>
        </is>
      </c>
      <c r="B82" s="24" t="inlineStr">
        <is>
          <t>2026-08-04T14:27:03.198804Z</t>
        </is>
      </c>
      <c r="C82" s="24" t="inlineStr">
        <is>
          <t>2026-08-04T18:30:00Z</t>
        </is>
      </c>
      <c r="D82" s="24" t="inlineStr">
        <is>
          <t>71384</t>
        </is>
      </c>
      <c r="E82" s="24" t="inlineStr">
        <is>
          <t>CS2</t>
        </is>
      </c>
      <c r="F82" s="24" t="inlineStr">
        <is>
          <t>NEW VISION</t>
        </is>
      </c>
      <c r="G82" s="24" t="inlineStr">
        <is>
          <t>OldBoys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100</v>
      </c>
      <c r="M82" s="27" t="n">
        <v>2</v>
      </c>
      <c r="N82" s="28" t="n">
        <v>0.5</v>
      </c>
      <c r="O82" s="28" t="n">
        <v>0.507111</v>
      </c>
      <c r="P82" s="28" t="n"/>
      <c r="Q82" s="28" t="n">
        <v>0.007111</v>
      </c>
      <c r="R82" s="26" t="n">
        <v>24</v>
      </c>
      <c r="S82" s="29" t="n">
        <v>1</v>
      </c>
      <c r="T82" s="24" t="inlineStr">
        <is>
          <t>cs2-tiered-elo-v5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Neutral Elo baseline; executable ask 0.5000 (market_slug=aec-cs2-oboys-nve-2026-08-04).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NO_CALL_LOW_EDGE</t>
        </is>
      </c>
      <c r="AP82" s="24" t="inlineStr">
        <is>
          <t>NEW VISION</t>
        </is>
      </c>
      <c r="AQ82" s="24" t="inlineStr">
        <is>
          <t>NEW VISION</t>
        </is>
      </c>
      <c r="AR82" s="24" t="inlineStr">
        <is>
          <t>NEW VISION</t>
        </is>
      </c>
      <c r="AS82" s="24" t="inlineStr">
        <is>
          <t>OldBoys</t>
        </is>
      </c>
      <c r="AT82" s="24" t="inlineStr">
        <is>
          <t>OldBoys</t>
        </is>
      </c>
      <c r="AU82" s="24" t="inlineStr">
        <is>
          <t>OldBoys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00cdf82f3d57942970af15209b096125d6c9c414d900ca7bc63b9b6d0234f3e3</t>
        </is>
      </c>
      <c r="BB82" s="24" t="inlineStr">
        <is>
          <t>neutral_elo</t>
        </is>
      </c>
      <c r="BC82" s="24" t="inlineStr">
        <is>
          <t>cs2-tiered-elo-v5</t>
        </is>
      </c>
      <c r="BD82" s="24" t="inlineStr">
        <is>
          <t>00cdf82f3d57942970af15209b096125d6c9c414d900ca7bc63b9b6d0234f3e3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cs2-tiered-elo-v5</t>
        </is>
      </c>
      <c r="BH82" s="24" t="inlineStr">
        <is>
          <t>2026-08-04T14:26:48.003203Z</t>
        </is>
      </c>
      <c r="BI82" s="24" t="inlineStr">
        <is>
          <t>["same_event","same_team_same_day","same_league_same_day"]</t>
        </is>
      </c>
      <c r="BJ82" s="25" t="n"/>
      <c r="BK82" s="26" t="n">
        <v>100</v>
      </c>
      <c r="BL82" s="27" t="n">
        <v>2</v>
      </c>
      <c r="BM82" s="28" t="n">
        <v>0.5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</row>
    <row r="83" ht="36" customHeight="1">
      <c r="A83" s="24" t="inlineStr">
        <is>
          <t>e03f2aaedd9042d9</t>
        </is>
      </c>
      <c r="B83" s="24" t="inlineStr">
        <is>
          <t>2026-08-04T14:27:03.198804Z</t>
        </is>
      </c>
      <c r="C83" s="24" t="inlineStr">
        <is>
          <t>2026-08-04T18:30:00Z</t>
        </is>
      </c>
      <c r="D83" s="24" t="inlineStr">
        <is>
          <t>71388</t>
        </is>
      </c>
      <c r="E83" s="24" t="inlineStr">
        <is>
          <t>CS2</t>
        </is>
      </c>
      <c r="F83" s="24" t="inlineStr">
        <is>
          <t>Fraternity</t>
        </is>
      </c>
      <c r="G83" s="24" t="inlineStr">
        <is>
          <t>PURE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-108</v>
      </c>
      <c r="M83" s="27" t="n">
        <v>1.925926</v>
      </c>
      <c r="N83" s="28" t="n">
        <v>0.519231</v>
      </c>
      <c r="O83" s="28" t="n">
        <v>0.556024</v>
      </c>
      <c r="P83" s="28" t="n"/>
      <c r="Q83" s="28" t="n">
        <v>0.036793</v>
      </c>
      <c r="R83" s="26" t="n">
        <v>38</v>
      </c>
      <c r="S83" s="29" t="n">
        <v>1</v>
      </c>
      <c r="T83" s="24" t="inlineStr">
        <is>
          <t>cs2-tiered-elo-v5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Neutral Elo baseline; executable ask 0.5200 (market_slug=aec-cs2-pure-frt-2026-08-04).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Fraternity</t>
        </is>
      </c>
      <c r="AQ83" s="24" t="inlineStr">
        <is>
          <t>Fraternity</t>
        </is>
      </c>
      <c r="AR83" s="24" t="inlineStr">
        <is>
          <t>Fraternity</t>
        </is>
      </c>
      <c r="AS83" s="24" t="inlineStr">
        <is>
          <t>PURE</t>
        </is>
      </c>
      <c r="AT83" s="24" t="inlineStr">
        <is>
          <t>PURE</t>
        </is>
      </c>
      <c r="AU83" s="24" t="inlineStr">
        <is>
          <t>PURE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00cdf82f3d57942970af15209b096125d6c9c414d900ca7bc63b9b6d0234f3e3</t>
        </is>
      </c>
      <c r="BB83" s="24" t="inlineStr">
        <is>
          <t>neutral_elo</t>
        </is>
      </c>
      <c r="BC83" s="24" t="inlineStr">
        <is>
          <t>cs2-tiered-elo-v5</t>
        </is>
      </c>
      <c r="BD83" s="24" t="inlineStr">
        <is>
          <t>00cdf82f3d57942970af15209b096125d6c9c414d900ca7bc63b9b6d0234f3e3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cs2-tiered-elo-v5</t>
        </is>
      </c>
      <c r="BH83" s="24" t="inlineStr">
        <is>
          <t>2026-08-04T14:26:48.498248Z</t>
        </is>
      </c>
      <c r="BI83" s="24" t="inlineStr">
        <is>
          <t>["same_event","same_team_same_day","same_league_same_day"]</t>
        </is>
      </c>
      <c r="BJ83" s="25" t="n"/>
      <c r="BK83" s="26" t="n">
        <v>-108</v>
      </c>
      <c r="BL83" s="27" t="n">
        <v>1.925926</v>
      </c>
      <c r="BM83" s="28" t="n">
        <v>0.519231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</row>
    <row r="84" ht="36" customHeight="1">
      <c r="A84" s="24" t="inlineStr">
        <is>
          <t>8765631ba3264399</t>
        </is>
      </c>
      <c r="B84" s="24" t="inlineStr">
        <is>
          <t>2026-08-04T14:27:03.198804Z</t>
        </is>
      </c>
      <c r="C84" s="24" t="inlineStr">
        <is>
          <t>2026-08-04T18:30:00Z</t>
        </is>
      </c>
      <c r="D84" s="24" t="inlineStr">
        <is>
          <t>71389</t>
        </is>
      </c>
      <c r="E84" s="24" t="inlineStr">
        <is>
          <t>CS2</t>
        </is>
      </c>
      <c r="F84" s="24" t="inlineStr">
        <is>
          <t>Banger Gang</t>
        </is>
      </c>
      <c r="G84" s="24" t="inlineStr">
        <is>
          <t>Arch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100</v>
      </c>
      <c r="M84" s="27" t="n">
        <v>2</v>
      </c>
      <c r="N84" s="28" t="n">
        <v>0.5</v>
      </c>
      <c r="O84" s="28" t="n">
        <v>0.698177</v>
      </c>
      <c r="P84" s="28" t="n"/>
      <c r="Q84" s="28" t="n">
        <v>0.198177</v>
      </c>
      <c r="R84" s="26" t="n">
        <v>100</v>
      </c>
      <c r="S84" s="29" t="n">
        <v>2</v>
      </c>
      <c r="T84" s="24" t="inlineStr">
        <is>
          <t>cs2-tiered-elo-v5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Neutral Elo baseline; executable ask 0.5000 (market_slug=aec-cs2-arch-bg-2026-08-04).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Banger Gang</t>
        </is>
      </c>
      <c r="AQ84" s="24" t="inlineStr">
        <is>
          <t>Banger Gang</t>
        </is>
      </c>
      <c r="AR84" s="24" t="inlineStr">
        <is>
          <t>Banger Gang</t>
        </is>
      </c>
      <c r="AS84" s="24" t="inlineStr">
        <is>
          <t>Arch</t>
        </is>
      </c>
      <c r="AT84" s="24" t="inlineStr">
        <is>
          <t>Arch</t>
        </is>
      </c>
      <c r="AU84" s="24" t="inlineStr">
        <is>
          <t>Arch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00cdf82f3d57942970af15209b096125d6c9c414d900ca7bc63b9b6d0234f3e3</t>
        </is>
      </c>
      <c r="BB84" s="24" t="inlineStr">
        <is>
          <t>neutral_elo</t>
        </is>
      </c>
      <c r="BC84" s="24" t="inlineStr">
        <is>
          <t>cs2-tiered-elo-v5</t>
        </is>
      </c>
      <c r="BD84" s="24" t="inlineStr">
        <is>
          <t>00cdf82f3d57942970af15209b096125d6c9c414d900ca7bc63b9b6d0234f3e3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cs2-tiered-elo-v5</t>
        </is>
      </c>
      <c r="BH84" s="24" t="inlineStr">
        <is>
          <t>2026-08-04T14:26:49.093007Z</t>
        </is>
      </c>
      <c r="BI84" s="24" t="inlineStr">
        <is>
          <t>["same_event","same_team_same_day","same_league_same_day"]</t>
        </is>
      </c>
      <c r="BJ84" s="25" t="n"/>
      <c r="BK84" s="26" t="n">
        <v>100</v>
      </c>
      <c r="BL84" s="27" t="n">
        <v>2</v>
      </c>
      <c r="BM84" s="28" t="n">
        <v>0.5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</row>
    <row r="85" ht="36" customHeight="1">
      <c r="A85" s="24" t="inlineStr">
        <is>
          <t>4859292e516441d9</t>
        </is>
      </c>
      <c r="B85" s="24" t="inlineStr">
        <is>
          <t>2026-08-04T14:27:03.198804Z</t>
        </is>
      </c>
      <c r="C85" s="24" t="inlineStr">
        <is>
          <t>2026-08-04T18:30:00Z</t>
        </is>
      </c>
      <c r="D85" s="24" t="inlineStr">
        <is>
          <t>70533</t>
        </is>
      </c>
      <c r="E85" s="24" t="inlineStr">
        <is>
          <t>CS2</t>
        </is>
      </c>
      <c r="F85" s="24" t="inlineStr">
        <is>
          <t>Rush</t>
        </is>
      </c>
      <c r="G85" s="24" t="inlineStr">
        <is>
          <t>Grêmio Esports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-163</v>
      </c>
      <c r="M85" s="27" t="n">
        <v>1.613497</v>
      </c>
      <c r="N85" s="28" t="n">
        <v>0.619772</v>
      </c>
      <c r="O85" s="28" t="n">
        <v>0.509047</v>
      </c>
      <c r="P85" s="28" t="n"/>
      <c r="Q85" s="28" t="n">
        <v>-0.110725</v>
      </c>
      <c r="R85" s="26" t="n">
        <v>0</v>
      </c>
      <c r="S85" s="29" t="n">
        <v>1</v>
      </c>
      <c r="T85" s="24" t="inlineStr">
        <is>
          <t>cs2-tiered-elo-v5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Neutral Elo baseline; executable ask 0.6200 (market_slug=aec-cs2-ger-rush-2026-08-04).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Rush</t>
        </is>
      </c>
      <c r="AQ85" s="24" t="inlineStr">
        <is>
          <t>Rush</t>
        </is>
      </c>
      <c r="AR85" s="24" t="inlineStr">
        <is>
          <t>Rush</t>
        </is>
      </c>
      <c r="AS85" s="24" t="inlineStr">
        <is>
          <t>Grêmio Esports</t>
        </is>
      </c>
      <c r="AT85" s="24" t="inlineStr">
        <is>
          <t>Grêmio Esports</t>
        </is>
      </c>
      <c r="AU85" s="24" t="inlineStr">
        <is>
          <t>Grêmio Esports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00cdf82f3d57942970af15209b096125d6c9c414d900ca7bc63b9b6d0234f3e3</t>
        </is>
      </c>
      <c r="BB85" s="24" t="inlineStr">
        <is>
          <t>neutral_elo</t>
        </is>
      </c>
      <c r="BC85" s="24" t="inlineStr">
        <is>
          <t>cs2-tiered-elo-v5</t>
        </is>
      </c>
      <c r="BD85" s="24" t="inlineStr">
        <is>
          <t>00cdf82f3d57942970af15209b096125d6c9c414d900ca7bc63b9b6d0234f3e3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cs2-tiered-elo-v5</t>
        </is>
      </c>
      <c r="BH85" s="24" t="inlineStr">
        <is>
          <t>2026-08-04T14:26:49.650275Z</t>
        </is>
      </c>
      <c r="BI85" s="24" t="inlineStr">
        <is>
          <t>["same_event","same_team_same_day","same_league_same_day"]</t>
        </is>
      </c>
      <c r="BJ85" s="25" t="n"/>
      <c r="BK85" s="26" t="n">
        <v>-163</v>
      </c>
      <c r="BL85" s="27" t="n">
        <v>1.613497</v>
      </c>
      <c r="BM85" s="28" t="n">
        <v>0.619772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</row>
    <row r="86" ht="36" customHeight="1">
      <c r="A86" s="24" t="inlineStr">
        <is>
          <t>024fafee9d3848cf</t>
        </is>
      </c>
      <c r="B86" s="24" t="inlineStr">
        <is>
          <t>2026-08-04T14:27:03.198804Z</t>
        </is>
      </c>
      <c r="C86" s="24" t="inlineStr">
        <is>
          <t>2026-08-04T18:30:00Z</t>
        </is>
      </c>
      <c r="D86" s="24" t="inlineStr">
        <is>
          <t>71387</t>
        </is>
      </c>
      <c r="E86" s="24" t="inlineStr">
        <is>
          <t>CS2</t>
        </is>
      </c>
      <c r="F86" s="24" t="inlineStr">
        <is>
          <t>OLDBOYS PL</t>
        </is>
      </c>
      <c r="G86" s="24" t="inlineStr">
        <is>
          <t>eSuba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-138</v>
      </c>
      <c r="M86" s="27" t="n">
        <v>1.724638</v>
      </c>
      <c r="N86" s="28" t="n">
        <v>0.579832</v>
      </c>
      <c r="O86" s="28" t="n">
        <v>0.614141</v>
      </c>
      <c r="P86" s="28" t="n"/>
      <c r="Q86" s="28" t="n">
        <v>0.034309</v>
      </c>
      <c r="R86" s="26" t="n">
        <v>37</v>
      </c>
      <c r="S86" s="29" t="n">
        <v>1.5</v>
      </c>
      <c r="T86" s="24" t="inlineStr">
        <is>
          <t>cs2-tiered-elo-v5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Neutral Elo baseline; executable ask 0.5800 (market_slug=aec-cs2-esb-oldboyspl-2026-08-04).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OLDBOYS PL</t>
        </is>
      </c>
      <c r="AQ86" s="24" t="inlineStr">
        <is>
          <t>OLDBOYS PL</t>
        </is>
      </c>
      <c r="AR86" s="24" t="inlineStr">
        <is>
          <t>OLDBOYS PL</t>
        </is>
      </c>
      <c r="AS86" s="24" t="inlineStr">
        <is>
          <t>eSuba</t>
        </is>
      </c>
      <c r="AT86" s="24" t="inlineStr">
        <is>
          <t>eSuba</t>
        </is>
      </c>
      <c r="AU86" s="24" t="inlineStr">
        <is>
          <t>eSuba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00cdf82f3d57942970af15209b096125d6c9c414d900ca7bc63b9b6d0234f3e3</t>
        </is>
      </c>
      <c r="BB86" s="24" t="inlineStr">
        <is>
          <t>neutral_elo</t>
        </is>
      </c>
      <c r="BC86" s="24" t="inlineStr">
        <is>
          <t>cs2-tiered-elo-v5</t>
        </is>
      </c>
      <c r="BD86" s="24" t="inlineStr">
        <is>
          <t>00cdf82f3d57942970af15209b096125d6c9c414d900ca7bc63b9b6d0234f3e3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cs2-tiered-elo-v5</t>
        </is>
      </c>
      <c r="BH86" s="24" t="inlineStr">
        <is>
          <t>2026-08-04T14:26:50.211130Z</t>
        </is>
      </c>
      <c r="BI86" s="24" t="inlineStr">
        <is>
          <t>["same_event","same_team_same_day","same_league_same_day"]</t>
        </is>
      </c>
      <c r="BJ86" s="25" t="n"/>
      <c r="BK86" s="26" t="n">
        <v>-138</v>
      </c>
      <c r="BL86" s="27" t="n">
        <v>1.724638</v>
      </c>
      <c r="BM86" s="28" t="n">
        <v>0.579832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</row>
    <row r="87" ht="36" customHeight="1">
      <c r="A87" s="24" t="inlineStr">
        <is>
          <t>74ff1744f1984b03</t>
        </is>
      </c>
      <c r="B87" s="24" t="inlineStr">
        <is>
          <t>2026-08-04T14:27:03.198804Z</t>
        </is>
      </c>
      <c r="C87" s="24" t="inlineStr">
        <is>
          <t>2026-08-04T18:30:00Z</t>
        </is>
      </c>
      <c r="D87" s="24" t="inlineStr">
        <is>
          <t>71386</t>
        </is>
      </c>
      <c r="E87" s="24" t="inlineStr">
        <is>
          <t>CS2</t>
        </is>
      </c>
      <c r="F87" s="24" t="inlineStr">
        <is>
          <t>VP.Prodigy</t>
        </is>
      </c>
      <c r="G87" s="24" t="inlineStr">
        <is>
          <t>Diamant Esports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-203</v>
      </c>
      <c r="M87" s="27" t="n">
        <v>1.492611</v>
      </c>
      <c r="N87" s="28" t="n">
        <v>0.669967</v>
      </c>
      <c r="O87" s="28" t="n">
        <v>0.60777</v>
      </c>
      <c r="P87" s="28" t="n"/>
      <c r="Q87" s="28" t="n">
        <v>-0.062197</v>
      </c>
      <c r="R87" s="26" t="n">
        <v>0</v>
      </c>
      <c r="S87" s="29" t="n">
        <v>1.5</v>
      </c>
      <c r="T87" s="24" t="inlineStr">
        <is>
          <t>cs2-tiered-elo-v5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Neutral Elo baseline; executable ask 0.6700 (market_slug=aec-cs2-dei-vpp-2026-08-04).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inlineStr">
        <is>
          <t>VP.Prodigy</t>
        </is>
      </c>
      <c r="AQ87" s="24" t="inlineStr">
        <is>
          <t>VP.Prodigy</t>
        </is>
      </c>
      <c r="AR87" s="24" t="inlineStr">
        <is>
          <t>VP.Prodigy</t>
        </is>
      </c>
      <c r="AS87" s="24" t="inlineStr">
        <is>
          <t>Diamant Esports</t>
        </is>
      </c>
      <c r="AT87" s="24" t="inlineStr">
        <is>
          <t>Diamant Esports</t>
        </is>
      </c>
      <c r="AU87" s="24" t="inlineStr">
        <is>
          <t>Diamant Esports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00cdf82f3d57942970af15209b096125d6c9c414d900ca7bc63b9b6d0234f3e3</t>
        </is>
      </c>
      <c r="BB87" s="24" t="inlineStr">
        <is>
          <t>neutral_elo</t>
        </is>
      </c>
      <c r="BC87" s="24" t="inlineStr">
        <is>
          <t>cs2-tiered-elo-v5</t>
        </is>
      </c>
      <c r="BD87" s="24" t="inlineStr">
        <is>
          <t>00cdf82f3d57942970af15209b096125d6c9c414d900ca7bc63b9b6d0234f3e3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cs2-tiered-elo-v5</t>
        </is>
      </c>
      <c r="BH87" s="24" t="inlineStr">
        <is>
          <t>2026-08-04T14:26:50.832408Z</t>
        </is>
      </c>
      <c r="BI87" s="24" t="inlineStr">
        <is>
          <t>["same_event","same_team_same_day","same_league_same_day"]</t>
        </is>
      </c>
      <c r="BJ87" s="25" t="n"/>
      <c r="BK87" s="26" t="n">
        <v>-203</v>
      </c>
      <c r="BL87" s="27" t="n">
        <v>1.492611</v>
      </c>
      <c r="BM87" s="28" t="n">
        <v>0.669967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</row>
    <row r="88" ht="36" customHeight="1">
      <c r="A88" s="24" t="inlineStr">
        <is>
          <t>be3f12618f5d4581</t>
        </is>
      </c>
      <c r="B88" s="24" t="inlineStr">
        <is>
          <t>2026-08-04T14:27:03.198804Z</t>
        </is>
      </c>
      <c r="C88" s="24" t="inlineStr">
        <is>
          <t>2026-08-05T10:00:00Z</t>
        </is>
      </c>
      <c r="D88" s="24" t="inlineStr">
        <is>
          <t>69537</t>
        </is>
      </c>
      <c r="E88" s="24" t="inlineStr">
        <is>
          <t>CS2</t>
        </is>
      </c>
      <c r="F88" s="24" t="inlineStr">
        <is>
          <t>Abyssal</t>
        </is>
      </c>
      <c r="G88" s="24" t="inlineStr">
        <is>
          <t>Arcade Esports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133</v>
      </c>
      <c r="M88" s="27" t="n">
        <v>2.33</v>
      </c>
      <c r="N88" s="28" t="n">
        <v>0.429185</v>
      </c>
      <c r="O88" s="28" t="n">
        <v>0.536585</v>
      </c>
      <c r="P88" s="28" t="n"/>
      <c r="Q88" s="28" t="n">
        <v>0.1074</v>
      </c>
      <c r="R88" s="26" t="n">
        <v>74</v>
      </c>
      <c r="S88" s="29" t="n">
        <v>1</v>
      </c>
      <c r="T88" s="24" t="inlineStr">
        <is>
          <t>cs2-tiered-elo-v5</t>
        </is>
      </c>
      <c r="U88" s="24" t="inlineStr">
        <is>
          <t>open</t>
        </is>
      </c>
      <c r="V88" s="24" t="n"/>
      <c r="W88" s="26" t="n"/>
      <c r="X88" s="26" t="n"/>
      <c r="Y88" s="25" t="n"/>
      <c r="Z88" s="26" t="n"/>
      <c r="AA88" s="28" t="n"/>
      <c r="AB88" s="28" t="n"/>
      <c r="AC88" s="30" t="n"/>
      <c r="AD88" s="24" t="n"/>
      <c r="AE88" s="31" t="inlineStr">
        <is>
          <t>Neutral Elo baseline; executable ask 0.4300 (market_slug=aec-cs2-aer-aby-2026-08-05).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Abyssal</t>
        </is>
      </c>
      <c r="AQ88" s="24" t="inlineStr">
        <is>
          <t>Abyssal</t>
        </is>
      </c>
      <c r="AR88" s="24" t="inlineStr">
        <is>
          <t>Abyssal</t>
        </is>
      </c>
      <c r="AS88" s="24" t="inlineStr">
        <is>
          <t>Arcade Esports</t>
        </is>
      </c>
      <c r="AT88" s="24" t="inlineStr">
        <is>
          <t>Arcade Esports</t>
        </is>
      </c>
      <c r="AU88" s="24" t="inlineStr">
        <is>
          <t>Arcade Esports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00cdf82f3d57942970af15209b096125d6c9c414d900ca7bc63b9b6d0234f3e3</t>
        </is>
      </c>
      <c r="BB88" s="24" t="inlineStr">
        <is>
          <t>neutral_elo</t>
        </is>
      </c>
      <c r="BC88" s="24" t="inlineStr">
        <is>
          <t>cs2-tiered-elo-v5</t>
        </is>
      </c>
      <c r="BD88" s="24" t="inlineStr">
        <is>
          <t>00cdf82f3d57942970af15209b096125d6c9c414d900ca7bc63b9b6d0234f3e3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cs2-tiered-elo-v5</t>
        </is>
      </c>
      <c r="BH88" s="24" t="inlineStr">
        <is>
          <t>2026-08-04T14:26:55.432557Z</t>
        </is>
      </c>
      <c r="BI88" s="24" t="inlineStr">
        <is>
          <t>["same_event","same_team_same_day","same_league_same_day"]</t>
        </is>
      </c>
      <c r="BJ88" s="25" t="n"/>
      <c r="BK88" s="26" t="n">
        <v>133</v>
      </c>
      <c r="BL88" s="27" t="n">
        <v>2.33</v>
      </c>
      <c r="BM88" s="28" t="n">
        <v>0.429185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</row>
    <row r="89" ht="36" customHeight="1">
      <c r="A89" s="24" t="inlineStr">
        <is>
          <t>c319fe8644a74ebb</t>
        </is>
      </c>
      <c r="B89" s="24" t="inlineStr">
        <is>
          <t>2026-08-04T14:27:03.198804Z</t>
        </is>
      </c>
      <c r="C89" s="24" t="inlineStr">
        <is>
          <t>2026-08-05T11:00:00Z</t>
        </is>
      </c>
      <c r="D89" s="24" t="inlineStr">
        <is>
          <t>69555</t>
        </is>
      </c>
      <c r="E89" s="24" t="inlineStr">
        <is>
          <t>CS2</t>
        </is>
      </c>
      <c r="F89" s="24" t="inlineStr">
        <is>
          <t>PCH3LK1N Club</t>
        </is>
      </c>
      <c r="G89" s="24" t="inlineStr">
        <is>
          <t>Lixxx Club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-133</v>
      </c>
      <c r="M89" s="27" t="n">
        <v>1.75188</v>
      </c>
      <c r="N89" s="28" t="n">
        <v>0.570815</v>
      </c>
      <c r="O89" s="28" t="n">
        <v>0.526798</v>
      </c>
      <c r="P89" s="28" t="n"/>
      <c r="Q89" s="28" t="n">
        <v>-0.044017</v>
      </c>
      <c r="R89" s="26" t="n">
        <v>0</v>
      </c>
      <c r="S89" s="29" t="n">
        <v>1</v>
      </c>
      <c r="T89" s="24" t="inlineStr">
        <is>
          <t>cs2-tiered-elo-v5</t>
        </is>
      </c>
      <c r="U89" s="24" t="inlineStr">
        <is>
          <t>open</t>
        </is>
      </c>
      <c r="V89" s="24" t="n"/>
      <c r="W89" s="26" t="n"/>
      <c r="X89" s="26" t="n"/>
      <c r="Y89" s="25" t="n"/>
      <c r="Z89" s="26" t="n"/>
      <c r="AA89" s="28" t="n"/>
      <c r="AB89" s="28" t="n"/>
      <c r="AC89" s="30" t="n"/>
      <c r="AD89" s="24" t="n"/>
      <c r="AE89" s="31" t="inlineStr">
        <is>
          <t>Neutral Elo baseline; executable ask 0.5700 (market_slug=aec-cs2-lci-plnc-2026-08-05).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PCH3LK1N Club</t>
        </is>
      </c>
      <c r="AQ89" s="24" t="inlineStr">
        <is>
          <t>PCH3LK1N Club</t>
        </is>
      </c>
      <c r="AR89" s="24" t="inlineStr">
        <is>
          <t>PCH3LK1N Club</t>
        </is>
      </c>
      <c r="AS89" s="24" t="inlineStr">
        <is>
          <t>Lixxx Club</t>
        </is>
      </c>
      <c r="AT89" s="24" t="inlineStr">
        <is>
          <t>Lixxx Club</t>
        </is>
      </c>
      <c r="AU89" s="24" t="inlineStr">
        <is>
          <t>Lixxx Club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00cdf82f3d57942970af15209b096125d6c9c414d900ca7bc63b9b6d0234f3e3</t>
        </is>
      </c>
      <c r="BB89" s="24" t="inlineStr">
        <is>
          <t>neutral_elo</t>
        </is>
      </c>
      <c r="BC89" s="24" t="inlineStr">
        <is>
          <t>cs2-tiered-elo-v5</t>
        </is>
      </c>
      <c r="BD89" s="24" t="inlineStr">
        <is>
          <t>00cdf82f3d57942970af15209b096125d6c9c414d900ca7bc63b9b6d0234f3e3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cs2-tiered-elo-v5</t>
        </is>
      </c>
      <c r="BH89" s="24" t="inlineStr">
        <is>
          <t>2026-08-04T14:26:58.665259Z</t>
        </is>
      </c>
      <c r="BI89" s="24" t="inlineStr">
        <is>
          <t>["same_event","same_team_same_day","same_league_same_day"]</t>
        </is>
      </c>
      <c r="BJ89" s="25" t="n"/>
      <c r="BK89" s="26" t="n">
        <v>-133</v>
      </c>
      <c r="BL89" s="27" t="n">
        <v>1.75188</v>
      </c>
      <c r="BM89" s="28" t="n">
        <v>0.570815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</row>
    <row r="90" ht="36" customHeight="1">
      <c r="A90" s="24" t="inlineStr">
        <is>
          <t>d3528410ebe24bef</t>
        </is>
      </c>
      <c r="B90" s="24" t="inlineStr">
        <is>
          <t>2026-08-04T14:27:03.198804Z</t>
        </is>
      </c>
      <c r="C90" s="24" t="inlineStr">
        <is>
          <t>2026-08-05T14:00:00Z</t>
        </is>
      </c>
      <c r="D90" s="24" t="inlineStr">
        <is>
          <t>69616</t>
        </is>
      </c>
      <c r="E90" s="24" t="inlineStr">
        <is>
          <t>CS2</t>
        </is>
      </c>
      <c r="F90" s="24" t="inlineStr">
        <is>
          <t>eSuba</t>
        </is>
      </c>
      <c r="G90" s="24" t="inlineStr">
        <is>
          <t>JAM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0.537718</v>
      </c>
      <c r="P90" s="28" t="n"/>
      <c r="Q90" s="28" t="n">
        <v>-0.033097</v>
      </c>
      <c r="R90" s="26" t="n">
        <v>3</v>
      </c>
      <c r="S90" s="29" t="n">
        <v>1</v>
      </c>
      <c r="T90" s="24" t="inlineStr">
        <is>
          <t>cs2-tiered-elo-v5</t>
        </is>
      </c>
      <c r="U90" s="24" t="inlineStr">
        <is>
          <t>open</t>
        </is>
      </c>
      <c r="V90" s="24" t="n"/>
      <c r="W90" s="26" t="n"/>
      <c r="X90" s="26" t="n"/>
      <c r="Y90" s="25" t="n"/>
      <c r="Z90" s="26" t="n"/>
      <c r="AA90" s="28" t="n"/>
      <c r="AB90" s="28" t="n"/>
      <c r="AC90" s="30" t="n"/>
      <c r="AD90" s="24" t="n"/>
      <c r="AE90" s="31" t="inlineStr">
        <is>
          <t>Neutral Elo baseline; executable ask 0.5700 (market_slug=aec-cs2-jam-esb-2026-08-05).</t>
        </is>
      </c>
      <c r="AF90" s="31" t="inlineStr">
        <is>
          <t>Config-promoted esports baseline; gates enforced at log time.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eSuba</t>
        </is>
      </c>
      <c r="AQ90" s="24" t="inlineStr">
        <is>
          <t>eSuba</t>
        </is>
      </c>
      <c r="AR90" s="24" t="inlineStr">
        <is>
          <t>eSuba</t>
        </is>
      </c>
      <c r="AS90" s="24" t="inlineStr">
        <is>
          <t>JAM</t>
        </is>
      </c>
      <c r="AT90" s="24" t="inlineStr">
        <is>
          <t>JAM</t>
        </is>
      </c>
      <c r="AU90" s="24" t="inlineStr">
        <is>
          <t>JAM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00cdf82f3d57942970af15209b096125d6c9c414d900ca7bc63b9b6d0234f3e3</t>
        </is>
      </c>
      <c r="BB90" s="24" t="inlineStr">
        <is>
          <t>neutral_elo</t>
        </is>
      </c>
      <c r="BC90" s="24" t="inlineStr">
        <is>
          <t>cs2-tiered-elo-v5</t>
        </is>
      </c>
      <c r="BD90" s="24" t="inlineStr">
        <is>
          <t>00cdf82f3d57942970af15209b096125d6c9c414d900ca7bc63b9b6d0234f3e3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cs2-tiered-elo-v5</t>
        </is>
      </c>
      <c r="BH90" s="24" t="inlineStr">
        <is>
          <t>2026-08-04T14:27:00.540243Z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</row>
    <row r="91" ht="36" customHeight="1">
      <c r="A91" s="24" t="inlineStr">
        <is>
          <t>d240fcbd81604b45</t>
        </is>
      </c>
      <c r="B91" s="24" t="inlineStr">
        <is>
          <t>2026-08-04T14:27:03.198804Z</t>
        </is>
      </c>
      <c r="C91" s="24" t="inlineStr">
        <is>
          <t>2026-08-05T19:15:00Z</t>
        </is>
      </c>
      <c r="D91" s="24" t="inlineStr">
        <is>
          <t>70104</t>
        </is>
      </c>
      <c r="E91" s="24" t="inlineStr">
        <is>
          <t>CS2</t>
        </is>
      </c>
      <c r="F91" s="24" t="inlineStr">
        <is>
          <t>Morphilina Club</t>
        </is>
      </c>
      <c r="G91" s="24" t="inlineStr">
        <is>
          <t>Recrent Club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-108</v>
      </c>
      <c r="M91" s="27" t="n">
        <v>1.925926</v>
      </c>
      <c r="N91" s="28" t="n">
        <v>0.519231</v>
      </c>
      <c r="O91" s="28" t="n">
        <v>0.526241</v>
      </c>
      <c r="P91" s="28" t="n"/>
      <c r="Q91" s="28" t="n">
        <v>0.00701</v>
      </c>
      <c r="R91" s="26" t="n">
        <v>24</v>
      </c>
      <c r="S91" s="29" t="n">
        <v>1</v>
      </c>
      <c r="T91" s="24" t="inlineStr">
        <is>
          <t>cs2-tiered-elo-v5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Neutral Elo baseline; executable ask 0.5200 (market_slug=aec-cs2-rce-mcor-2026-08-05).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Morphilina Club</t>
        </is>
      </c>
      <c r="AQ91" s="24" t="inlineStr">
        <is>
          <t>Morphilina Club</t>
        </is>
      </c>
      <c r="AR91" s="24" t="inlineStr">
        <is>
          <t>Morphilina Club</t>
        </is>
      </c>
      <c r="AS91" s="24" t="inlineStr">
        <is>
          <t>Recrent Club</t>
        </is>
      </c>
      <c r="AT91" s="24" t="inlineStr">
        <is>
          <t>Recrent Club</t>
        </is>
      </c>
      <c r="AU91" s="24" t="inlineStr">
        <is>
          <t>Recrent Club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00cdf82f3d57942970af15209b096125d6c9c414d900ca7bc63b9b6d0234f3e3</t>
        </is>
      </c>
      <c r="BB91" s="24" t="inlineStr">
        <is>
          <t>neutral_elo</t>
        </is>
      </c>
      <c r="BC91" s="24" t="inlineStr">
        <is>
          <t>cs2-tiered-elo-v5</t>
        </is>
      </c>
      <c r="BD91" s="24" t="inlineStr">
        <is>
          <t>00cdf82f3d57942970af15209b096125d6c9c414d900ca7bc63b9b6d0234f3e3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cs2-tiered-elo-v5</t>
        </is>
      </c>
      <c r="BH91" s="24" t="inlineStr">
        <is>
          <t>2026-08-04T14:27:03.198013Z</t>
        </is>
      </c>
      <c r="BI91" s="24" t="inlineStr">
        <is>
          <t>["same_event","same_team_same_day","same_league_same_day"]</t>
        </is>
      </c>
      <c r="BJ91" s="25" t="n"/>
      <c r="BK91" s="26" t="n">
        <v>-108</v>
      </c>
      <c r="BL91" s="27" t="n">
        <v>1.925926</v>
      </c>
      <c r="BM91" s="28" t="n">
        <v>0.519231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2026-08-04T14:28:24Z</dcterms:created>
  <dcterms:modified xsi:type="dcterms:W3CDTF">2026-08-04T14:28:24Z</dcterms:modified>
</cp:coreProperties>
</file>