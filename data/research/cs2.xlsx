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3" headerRowCount="1">
  <autoFilter ref="A1:CO5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COUNTA('Picks'!$A$2:$A$53)</f>
        <v/>
      </c>
      <c r="C4" s="6">
        <f>COUNTIF('Picks'!$U$2:$U$53,"open")</f>
        <v/>
      </c>
      <c r="E4" s="6">
        <f>COUNTIF('Picks'!$U$2:$U$53,"settled")</f>
        <v/>
      </c>
      <c r="G4" s="6">
        <f>IF(COUNTIFS('Picks'!$U$2:$U$53,"settled",'Picks'!$V$2:$V$53,"win")+COUNTIFS('Picks'!$U$2:$U$53,"settled",'Picks'!$V$2:$V$53,"loss")&gt;=$L$2,"Ready","Insufficient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COUNTIF('Picks'!$BX$2:$BX$53,"&gt;0")</f>
        <v/>
      </c>
      <c r="C7" s="6">
        <f>COUNTIFS('Picks'!$BX$2:$BX$53,"&gt;0",'Picks'!$V$2:$V$53,"win")&amp;"-"&amp;COUNTIFS('Picks'!$BX$2:$BX$53,"&gt;0",'Picks'!$V$2:$V$53,"loss")</f>
        <v/>
      </c>
      <c r="E7" s="7">
        <f>IFERROR(COUNTIFS('Picks'!$BX$2:$BX$53,"&gt;0",'Picks'!$V$2:$V$53,"win")/(COUNTIFS('Picks'!$BX$2:$BX$53,"&gt;0",'Picks'!$V$2:$V$53,"win")+COUNTIFS('Picks'!$BX$2:$BX$53,"&gt;0",'Picks'!$V$2:$V$53,"loss")),0)</f>
        <v/>
      </c>
      <c r="G7" s="7">
        <f>IFERROR(SUM('Picks'!$BY$2:$BY$53)/SUM('Picks'!$BX$2:$BX$53),0)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SUM('Picks'!$BY$2:$BY$53)</f>
        <v/>
      </c>
      <c r="C10" s="9">
        <f>IFERROR(AVERAGEIF('Picks'!$AB$2:$AB$53,"&lt;&gt;",'Picks'!$AB$2:$AB$53),0)</f>
        <v/>
      </c>
      <c r="E10" s="6">
        <f>COUNTIFS('Picks'!$AM$2:$AM$53,"QUALIFIED_SHADOW_CALL",'Picks'!$U$2:$U$53,"settled")</f>
        <v/>
      </c>
      <c r="G10" s="8">
        <f>SUMIFS('Picks'!$AC$2:$AC$53,'Picks'!$AM$2:$AM$53,"QUALIFIED_SHADOW_CALL")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COUNTIFS('Picks'!$H$2:$H$53,$A14,'Picks'!$U$2:$U$53,"settled")</f>
        <v/>
      </c>
      <c r="C14" s="13">
        <f>COUNTIFS('Picks'!$H$2:$H$53,$A14,'Picks'!$U$2:$U$53,"settled",'Picks'!$V$2:$V$53,"win")</f>
        <v/>
      </c>
      <c r="D14" s="13">
        <f>COUNTIFS('Picks'!$H$2:$H$53,$A14,'Picks'!$U$2:$U$53,"settled",'Picks'!$V$2:$V$53,"loss")</f>
        <v/>
      </c>
      <c r="E14" s="14">
        <f>IFERROR(C14/(C14+D14),0)</f>
        <v/>
      </c>
      <c r="F14" s="15">
        <f>SUMIFS('Picks'!$BY$2:$BY$53,'Picks'!$H$2:$H$53,$A14)</f>
        <v/>
      </c>
      <c r="G14" s="16">
        <f>IFERROR(AVERAGEIFS('Picks'!$AB$2:$AB$53,'Picks'!$H$2:$H$53,$A14,'Picks'!$U$2:$U$53,"settled"),0)</f>
        <v/>
      </c>
    </row>
    <row r="15">
      <c r="A15" s="17" t="inlineStr">
        <is>
          <t>spread</t>
        </is>
      </c>
      <c r="B15" s="18">
        <f>COUNTIFS('Picks'!$H$2:$H$53,$A15,'Picks'!$U$2:$U$53,"settled")</f>
        <v/>
      </c>
      <c r="C15" s="18">
        <f>COUNTIFS('Picks'!$H$2:$H$53,$A15,'Picks'!$U$2:$U$53,"settled",'Picks'!$V$2:$V$53,"win")</f>
        <v/>
      </c>
      <c r="D15" s="18">
        <f>COUNTIFS('Picks'!$H$2:$H$53,$A15,'Picks'!$U$2:$U$53,"settled",'Picks'!$V$2:$V$53,"loss")</f>
        <v/>
      </c>
      <c r="E15" s="19">
        <f>IFERROR(C15/(C15+D15),0)</f>
        <v/>
      </c>
      <c r="F15" s="20">
        <f>SUMIFS('Picks'!$BY$2:$BY$53,'Picks'!$H$2:$H$53,$A15)</f>
        <v/>
      </c>
      <c r="G15" s="21">
        <f>IFERROR(AVERAGEIFS('Picks'!$AB$2:$AB$53,'Picks'!$H$2:$H$53,$A15,'Picks'!$U$2:$U$53,"settled"),0)</f>
        <v/>
      </c>
    </row>
    <row r="16">
      <c r="A16" s="12" t="inlineStr">
        <is>
          <t>total</t>
        </is>
      </c>
      <c r="B16" s="13">
        <f>COUNTIFS('Picks'!$H$2:$H$53,$A16,'Picks'!$U$2:$U$53,"settled")</f>
        <v/>
      </c>
      <c r="C16" s="13">
        <f>COUNTIFS('Picks'!$H$2:$H$53,$A16,'Picks'!$U$2:$U$53,"settled",'Picks'!$V$2:$V$53,"win")</f>
        <v/>
      </c>
      <c r="D16" s="13">
        <f>COUNTIFS('Picks'!$H$2:$H$53,$A16,'Picks'!$U$2:$U$53,"settled",'Picks'!$V$2:$V$53,"loss")</f>
        <v/>
      </c>
      <c r="E16" s="14">
        <f>IFERROR(C16/(C16+D16),0)</f>
        <v/>
      </c>
      <c r="F16" s="15">
        <f>SUMIFS('Picks'!$BY$2:$BY$53,'Picks'!$H$2:$H$53,$A16)</f>
        <v/>
      </c>
      <c r="G16" s="16">
        <f>IFERROR(AVERAGEIFS('Picks'!$AB$2:$AB$53,'Picks'!$H$2:$H$53,$A16,'Picks'!$U$2:$U$53,"settled"),0)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6a875257547b4c46</t>
        </is>
      </c>
      <c r="B29" s="24" t="inlineStr">
        <is>
          <t>2026-08-02T08:19:31.181747Z</t>
        </is>
      </c>
      <c r="C29" s="24" t="inlineStr">
        <is>
          <t>2026-08-02T10:00:00Z</t>
        </is>
      </c>
      <c r="D29" s="24" t="inlineStr">
        <is>
          <t>69137</t>
        </is>
      </c>
      <c r="E29" s="24" t="inlineStr">
        <is>
          <t>CS2</t>
        </is>
      </c>
      <c r="F29" s="24" t="inlineStr">
        <is>
          <t>CYBERSHOKE Esports</t>
        </is>
      </c>
      <c r="G29" s="24" t="inlineStr">
        <is>
          <t>GenOne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0.820361</v>
      </c>
      <c r="P29" s="28" t="n"/>
      <c r="Q29" s="28" t="n">
        <v>0.400193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0.4200 (market_slug=aec-cs2-g1-cs-2026-08-02).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CYBERSHOKE Esports</t>
        </is>
      </c>
      <c r="AQ29" s="24" t="inlineStr">
        <is>
          <t>CYBERSHOKE Esports</t>
        </is>
      </c>
      <c r="AR29" s="24" t="inlineStr">
        <is>
          <t>CYBERSHOKE Esports</t>
        </is>
      </c>
      <c r="AS29" s="24" t="inlineStr">
        <is>
          <t>GenOne</t>
        </is>
      </c>
      <c r="AT29" s="24" t="inlineStr">
        <is>
          <t>GenOne</t>
        </is>
      </c>
      <c r="AU29" s="24" t="inlineStr">
        <is>
          <t>GenOne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a52e05351d357192c8fca202e5be339611d036af46f5d6cce585d03967334b2a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a52e05351d357192c8fca202e5be339611d036af46f5d6cce585d03967334b2a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2026-08-02T08:19:07.601616Z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432caac9002149a8</t>
        </is>
      </c>
      <c r="B30" s="24" t="inlineStr">
        <is>
          <t>2026-08-02T08:19:31.181747Z</t>
        </is>
      </c>
      <c r="C30" s="24" t="inlineStr">
        <is>
          <t>2026-08-02T10:00:00Z</t>
        </is>
      </c>
      <c r="D30" s="24" t="inlineStr">
        <is>
          <t>69163</t>
        </is>
      </c>
      <c r="E30" s="24" t="inlineStr">
        <is>
          <t>CS2</t>
        </is>
      </c>
      <c r="F30" s="24" t="inlineStr">
        <is>
          <t>SPARTA</t>
        </is>
      </c>
      <c r="G30" s="24" t="inlineStr">
        <is>
          <t>Sinners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0.626221</v>
      </c>
      <c r="P30" s="28" t="n"/>
      <c r="Q30" s="28" t="n">
        <v>-0.014067</v>
      </c>
      <c r="R30" s="26" t="n">
        <v>13</v>
      </c>
      <c r="S30" s="29" t="n">
        <v>1.5</v>
      </c>
      <c r="T30" s="24" t="inlineStr">
        <is>
          <t>cs2-tiered-elo-v5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0.6400 (market_slug=aec-cs2-sin-sparta-2026-08-02).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SPARTA</t>
        </is>
      </c>
      <c r="AQ30" s="24" t="inlineStr">
        <is>
          <t>SPARTA</t>
        </is>
      </c>
      <c r="AR30" s="24" t="inlineStr">
        <is>
          <t>SPARTA</t>
        </is>
      </c>
      <c r="AS30" s="24" t="inlineStr">
        <is>
          <t>Sinners</t>
        </is>
      </c>
      <c r="AT30" s="24" t="inlineStr">
        <is>
          <t>Sinners</t>
        </is>
      </c>
      <c r="AU30" s="24" t="inlineStr">
        <is>
          <t>Sinners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a52e05351d357192c8fca202e5be339611d036af46f5d6cce585d03967334b2a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a52e05351d357192c8fca202e5be339611d036af46f5d6cce585d03967334b2a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2026-08-02T08:19:08.072917Z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669f2759c6a84d14</t>
        </is>
      </c>
      <c r="B31" s="24" t="inlineStr">
        <is>
          <t>2026-08-02T08:19:31.181747Z</t>
        </is>
      </c>
      <c r="C31" s="24" t="inlineStr">
        <is>
          <t>2026-08-02T10:00:00Z</t>
        </is>
      </c>
      <c r="D31" s="24" t="inlineStr">
        <is>
          <t>69413</t>
        </is>
      </c>
      <c r="E31" s="24" t="inlineStr">
        <is>
          <t>CS2</t>
        </is>
      </c>
      <c r="F31" s="24" t="inlineStr">
        <is>
          <t>ex-1win</t>
        </is>
      </c>
      <c r="G31" s="24" t="inlineStr">
        <is>
          <t>Lazer Cats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0.714926</v>
      </c>
      <c r="P31" s="28" t="n"/>
      <c r="Q31" s="28" t="n">
        <v>0.034415</v>
      </c>
      <c r="R31" s="26" t="n">
        <v>37</v>
      </c>
      <c r="S31" s="29" t="n">
        <v>2</v>
      </c>
      <c r="T31" s="24" t="inlineStr">
        <is>
          <t>cs2-tiered-elo-v5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0.6800 (market_slug=aec-cs2-lc-ewx-2026-08-02).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ex-1win</t>
        </is>
      </c>
      <c r="AQ31" s="24" t="inlineStr">
        <is>
          <t>ex-1win</t>
        </is>
      </c>
      <c r="AR31" s="24" t="inlineStr">
        <is>
          <t>ex-1win</t>
        </is>
      </c>
      <c r="AS31" s="24" t="inlineStr">
        <is>
          <t>Lazer Cats</t>
        </is>
      </c>
      <c r="AT31" s="24" t="inlineStr">
        <is>
          <t>Lazer Cats</t>
        </is>
      </c>
      <c r="AU31" s="24" t="inlineStr">
        <is>
          <t>Lazer Cats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a52e05351d357192c8fca202e5be339611d036af46f5d6cce585d03967334b2a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a52e05351d357192c8fca202e5be339611d036af46f5d6cce585d03967334b2a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2026-08-02T08:19:08.739294Z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766179d9252f497f</t>
        </is>
      </c>
      <c r="B32" s="24" t="inlineStr">
        <is>
          <t>2026-08-02T08:19:31.181747Z</t>
        </is>
      </c>
      <c r="C32" s="24" t="inlineStr">
        <is>
          <t>2026-08-02T10:00:00Z</t>
        </is>
      </c>
      <c r="D32" s="24" t="inlineStr">
        <is>
          <t>66809</t>
        </is>
      </c>
      <c r="E32" s="24" t="inlineStr">
        <is>
          <t>CS2</t>
        </is>
      </c>
      <c r="F32" s="24" t="inlineStr">
        <is>
          <t>Brute</t>
        </is>
      </c>
      <c r="G32" s="24" t="inlineStr">
        <is>
          <t>9INE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203</v>
      </c>
      <c r="M32" s="27" t="n">
        <v>3.03</v>
      </c>
      <c r="N32" s="28" t="n">
        <v>0.330033</v>
      </c>
      <c r="O32" s="28" t="n">
        <v>0.531394</v>
      </c>
      <c r="P32" s="28" t="n"/>
      <c r="Q32" s="28" t="n">
        <v>0.201361</v>
      </c>
      <c r="R32" s="26" t="n">
        <v>100</v>
      </c>
      <c r="S32" s="29" t="n">
        <v>1</v>
      </c>
      <c r="T32" s="24" t="inlineStr">
        <is>
          <t>cs2-tiered-elo-v5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0.3300 (market_slug=aec-cs2-9ine-brute-2026-08-02).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Brute</t>
        </is>
      </c>
      <c r="AQ32" s="24" t="inlineStr">
        <is>
          <t>Brute</t>
        </is>
      </c>
      <c r="AR32" s="24" t="inlineStr">
        <is>
          <t>Brute</t>
        </is>
      </c>
      <c r="AS32" s="24" t="inlineStr">
        <is>
          <t>9INE</t>
        </is>
      </c>
      <c r="AT32" s="24" t="inlineStr">
        <is>
          <t>9INE</t>
        </is>
      </c>
      <c r="AU32" s="24" t="inlineStr">
        <is>
          <t>9INE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a52e05351d357192c8fca202e5be339611d036af46f5d6cce585d03967334b2a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a52e05351d357192c8fca202e5be339611d036af46f5d6cce585d03967334b2a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2026-08-02T08:19:09.283371Z</t>
        </is>
      </c>
      <c r="BI32" s="24" t="inlineStr">
        <is>
          <t>["same_event","same_team_same_day","same_league_same_day"]</t>
        </is>
      </c>
      <c r="BJ32" s="25" t="n"/>
      <c r="BK32" s="26" t="n">
        <v>203</v>
      </c>
      <c r="BL32" s="27" t="n">
        <v>3.03</v>
      </c>
      <c r="BM32" s="28" t="n">
        <v>0.330033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79721cb291414869</t>
        </is>
      </c>
      <c r="B33" s="24" t="inlineStr">
        <is>
          <t>2026-08-02T08:19:31.181747Z</t>
        </is>
      </c>
      <c r="C33" s="24" t="inlineStr">
        <is>
          <t>2026-08-02T10:30:00Z</t>
        </is>
      </c>
      <c r="D33" s="24" t="inlineStr">
        <is>
          <t>66836</t>
        </is>
      </c>
      <c r="E33" s="24" t="inlineStr">
        <is>
          <t>CS2</t>
        </is>
      </c>
      <c r="F33" s="24" t="inlineStr">
        <is>
          <t>Sangal ALTERS</t>
        </is>
      </c>
      <c r="G33" s="24" t="inlineStr">
        <is>
          <t>Teletubisie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0.690561</v>
      </c>
      <c r="P33" s="28" t="n"/>
      <c r="Q33" s="28" t="n">
        <v>0.180757</v>
      </c>
      <c r="R33" s="26" t="n">
        <v>100</v>
      </c>
      <c r="S33" s="29" t="n">
        <v>2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0.5100 (market_slug=aec-cs2-ttbs-sng-2026-08-02).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Sangal ALTERS</t>
        </is>
      </c>
      <c r="AQ33" s="24" t="inlineStr">
        <is>
          <t>Sangal ALTERS</t>
        </is>
      </c>
      <c r="AR33" s="24" t="inlineStr">
        <is>
          <t>Sangal ALTERS</t>
        </is>
      </c>
      <c r="AS33" s="24" t="inlineStr">
        <is>
          <t>Teletubisie</t>
        </is>
      </c>
      <c r="AT33" s="24" t="inlineStr">
        <is>
          <t>Teletubisie</t>
        </is>
      </c>
      <c r="AU33" s="24" t="inlineStr">
        <is>
          <t>Teletubisie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a52e05351d357192c8fca202e5be339611d036af46f5d6cce585d03967334b2a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a52e05351d357192c8fca202e5be339611d036af46f5d6cce585d03967334b2a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2026-08-02T08:19:10.390430Z</t>
        </is>
      </c>
      <c r="BI33" s="24" t="inlineStr">
        <is>
          <t>["same_event","same_team_same_day","same_league_same_day"]</t>
        </is>
      </c>
      <c r="BJ33" s="25" t="n"/>
      <c r="BK33" s="26" t="n">
        <v>-104</v>
      </c>
      <c r="BL33" s="27" t="n">
        <v>1.961538</v>
      </c>
      <c r="BM33" s="28" t="n">
        <v>0.509804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e4924d7adf5e4d7e</t>
        </is>
      </c>
      <c r="B34" s="24" t="inlineStr">
        <is>
          <t>2026-08-02T08:19:31.181747Z</t>
        </is>
      </c>
      <c r="C34" s="24" t="inlineStr">
        <is>
          <t>2026-08-02T11:00:00Z</t>
        </is>
      </c>
      <c r="D34" s="24" t="inlineStr">
        <is>
          <t>69252</t>
        </is>
      </c>
      <c r="E34" s="24" t="inlineStr">
        <is>
          <t>CS2</t>
        </is>
      </c>
      <c r="F34" s="24" t="inlineStr">
        <is>
          <t>NEW VISION</t>
        </is>
      </c>
      <c r="G34" s="24" t="inlineStr">
        <is>
          <t>Inner Circle Academy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-133</v>
      </c>
      <c r="M34" s="27" t="n">
        <v>1.75188</v>
      </c>
      <c r="N34" s="28" t="n">
        <v>0.570815</v>
      </c>
      <c r="O34" s="28" t="n">
        <v>0.539324</v>
      </c>
      <c r="P34" s="28" t="n"/>
      <c r="Q34" s="28" t="n">
        <v>-0.031491</v>
      </c>
      <c r="R34" s="26" t="n">
        <v>4</v>
      </c>
      <c r="S34" s="29" t="n">
        <v>1</v>
      </c>
      <c r="T34" s="24" t="inlineStr">
        <is>
          <t>cs2-tiered-elo-v5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0.5700 (market_slug=aec-cs2-ica-nve-2026-08-02).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NEW VISION</t>
        </is>
      </c>
      <c r="AQ34" s="24" t="inlineStr">
        <is>
          <t>NEW VISION</t>
        </is>
      </c>
      <c r="AR34" s="24" t="inlineStr">
        <is>
          <t>NEW VISION</t>
        </is>
      </c>
      <c r="AS34" s="24" t="inlineStr">
        <is>
          <t>Inner Circle Academy</t>
        </is>
      </c>
      <c r="AT34" s="24" t="inlineStr">
        <is>
          <t>Inner Circle Academy</t>
        </is>
      </c>
      <c r="AU34" s="24" t="inlineStr">
        <is>
          <t>Inner Circle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a52e05351d357192c8fca202e5be339611d036af46f5d6cce585d03967334b2a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a52e05351d357192c8fca202e5be339611d036af46f5d6cce585d03967334b2a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2026-08-02T08:19:10.873207Z</t>
        </is>
      </c>
      <c r="BI34" s="24" t="inlineStr">
        <is>
          <t>["same_event","same_team_same_day","same_league_same_day"]</t>
        </is>
      </c>
      <c r="BJ34" s="25" t="n"/>
      <c r="BK34" s="26" t="n">
        <v>-133</v>
      </c>
      <c r="BL34" s="27" t="n">
        <v>1.75188</v>
      </c>
      <c r="BM34" s="28" t="n">
        <v>0.570815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c5ae0071bc0c4138</t>
        </is>
      </c>
      <c r="B35" s="24" t="inlineStr">
        <is>
          <t>2026-08-02T08:19:31.181747Z</t>
        </is>
      </c>
      <c r="C35" s="24" t="inlineStr">
        <is>
          <t>2026-08-02T13:00:00Z</t>
        </is>
      </c>
      <c r="D35" s="24" t="inlineStr">
        <is>
          <t>68673</t>
        </is>
      </c>
      <c r="E35" s="24" t="inlineStr">
        <is>
          <t>CS2</t>
        </is>
      </c>
      <c r="F35" s="24" t="inlineStr">
        <is>
          <t>Sashi Esport</t>
        </is>
      </c>
      <c r="G35" s="24" t="inlineStr">
        <is>
          <t>Black Phoenix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-213</v>
      </c>
      <c r="M35" s="27" t="n">
        <v>1.469484</v>
      </c>
      <c r="N35" s="28" t="n">
        <v>0.680511</v>
      </c>
      <c r="O35" s="28" t="n">
        <v>0.593754</v>
      </c>
      <c r="P35" s="28" t="n"/>
      <c r="Q35" s="28" t="n">
        <v>-0.086757</v>
      </c>
      <c r="R35" s="26" t="n">
        <v>0</v>
      </c>
      <c r="S35" s="29" t="n">
        <v>1.25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0.6800 (market_slug=aec-cs2-bpl-sashi-2026-08-02).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Sashi Esport</t>
        </is>
      </c>
      <c r="AQ35" s="24" t="inlineStr">
        <is>
          <t>Sashi Esport</t>
        </is>
      </c>
      <c r="AR35" s="24" t="inlineStr">
        <is>
          <t>Sashi Esport</t>
        </is>
      </c>
      <c r="AS35" s="24" t="inlineStr">
        <is>
          <t>Black Phoenix</t>
        </is>
      </c>
      <c r="AT35" s="24" t="inlineStr">
        <is>
          <t>Black Phoenix</t>
        </is>
      </c>
      <c r="AU35" s="24" t="inlineStr">
        <is>
          <t>Black Phoenix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a52e05351d357192c8fca202e5be339611d036af46f5d6cce585d03967334b2a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a52e05351d357192c8fca202e5be339611d036af46f5d6cce585d03967334b2a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2026-08-02T08:19:11.376481Z</t>
        </is>
      </c>
      <c r="BI35" s="24" t="inlineStr">
        <is>
          <t>["same_event","same_team_same_day","same_league_same_day"]</t>
        </is>
      </c>
      <c r="BJ35" s="25" t="n"/>
      <c r="BK35" s="26" t="n">
        <v>-213</v>
      </c>
      <c r="BL35" s="27" t="n">
        <v>1.469484</v>
      </c>
      <c r="BM35" s="28" t="n">
        <v>0.680511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29031686a1a34516</t>
        </is>
      </c>
      <c r="B36" s="24" t="inlineStr">
        <is>
          <t>2026-08-02T08:19:31.181747Z</t>
        </is>
      </c>
      <c r="C36" s="24" t="inlineStr">
        <is>
          <t>2026-08-02T13:00:00Z</t>
        </is>
      </c>
      <c r="D36" s="24" t="inlineStr">
        <is>
          <t>68255</t>
        </is>
      </c>
      <c r="E36" s="24" t="inlineStr">
        <is>
          <t>CS2</t>
        </is>
      </c>
      <c r="F36" s="24" t="inlineStr">
        <is>
          <t>WBT</t>
        </is>
      </c>
      <c r="G36" s="24" t="inlineStr">
        <is>
          <t>MOUZ NXT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0.543392</v>
      </c>
      <c r="P36" s="28" t="n"/>
      <c r="Q36" s="28" t="n">
        <v>-0.027423</v>
      </c>
      <c r="R36" s="26" t="n">
        <v>6</v>
      </c>
      <c r="S36" s="29" t="n">
        <v>1</v>
      </c>
      <c r="T36" s="24" t="inlineStr">
        <is>
          <t>cs2-tiered-elo-v5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0.5700 (market_slug=aec-cs2-mouzn-wba-2026-08-02).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WBT</t>
        </is>
      </c>
      <c r="AQ36" s="24" t="inlineStr">
        <is>
          <t>WBT</t>
        </is>
      </c>
      <c r="AR36" s="24" t="inlineStr">
        <is>
          <t>WBT</t>
        </is>
      </c>
      <c r="AS36" s="24" t="inlineStr">
        <is>
          <t>MOUZ NXT</t>
        </is>
      </c>
      <c r="AT36" s="24" t="inlineStr">
        <is>
          <t>MOUZ NXT</t>
        </is>
      </c>
      <c r="AU36" s="24" t="inlineStr">
        <is>
          <t>MOUZ NXT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a52e05351d357192c8fca202e5be339611d036af46f5d6cce585d03967334b2a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a52e05351d357192c8fca202e5be339611d036af46f5d6cce585d03967334b2a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2026-08-02T08:19:11.845647Z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8e88fab96b2b4ac8</t>
        </is>
      </c>
      <c r="B37" s="24" t="inlineStr">
        <is>
          <t>2026-08-02T08:19:31.181747Z</t>
        </is>
      </c>
      <c r="C37" s="24" t="inlineStr">
        <is>
          <t>2026-08-02T13:00:00Z</t>
        </is>
      </c>
      <c r="D37" s="24" t="inlineStr">
        <is>
          <t>68256</t>
        </is>
      </c>
      <c r="E37" s="24" t="inlineStr">
        <is>
          <t>CS2</t>
        </is>
      </c>
      <c r="F37" s="24" t="inlineStr">
        <is>
          <t>Noir Verse</t>
        </is>
      </c>
      <c r="G37" s="24" t="inlineStr">
        <is>
          <t>los kogutos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0.620448</v>
      </c>
      <c r="P37" s="28" t="n"/>
      <c r="Q37" s="28" t="n">
        <v>-0.069954</v>
      </c>
      <c r="R37" s="26" t="n">
        <v>0</v>
      </c>
      <c r="S37" s="29" t="n">
        <v>1.5</v>
      </c>
      <c r="T37" s="24" t="inlineStr">
        <is>
          <t>cs2-tiered-elo-v5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0.6900 (market_slug=aec-cs2-lk-nvo-2026-08-02).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Noir Verse</t>
        </is>
      </c>
      <c r="AQ37" s="24" t="inlineStr">
        <is>
          <t>Noir Verse</t>
        </is>
      </c>
      <c r="AR37" s="24" t="inlineStr">
        <is>
          <t>Noir Verse</t>
        </is>
      </c>
      <c r="AS37" s="24" t="inlineStr">
        <is>
          <t>los kogutos</t>
        </is>
      </c>
      <c r="AT37" s="24" t="inlineStr">
        <is>
          <t>los kogutos</t>
        </is>
      </c>
      <c r="AU37" s="24" t="inlineStr">
        <is>
          <t>los kogutos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a52e05351d357192c8fca202e5be339611d036af46f5d6cce585d03967334b2a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a52e05351d357192c8fca202e5be339611d036af46f5d6cce585d03967334b2a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2026-08-02T08:19:12.309327Z</t>
        </is>
      </c>
      <c r="BI37" s="24" t="inlineStr">
        <is>
          <t>["same_event","same_team_same_day","same_league_same_day"]</t>
        </is>
      </c>
      <c r="BJ37" s="25" t="n"/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56ae020f00c84725</t>
        </is>
      </c>
      <c r="B38" s="24" t="inlineStr">
        <is>
          <t>2026-08-02T08:19:31.181747Z</t>
        </is>
      </c>
      <c r="C38" s="24" t="inlineStr">
        <is>
          <t>2026-08-02T13:00:00Z</t>
        </is>
      </c>
      <c r="D38" s="24" t="inlineStr">
        <is>
          <t>68257</t>
        </is>
      </c>
      <c r="E38" s="24" t="inlineStr">
        <is>
          <t>CS2</t>
        </is>
      </c>
      <c r="F38" s="24" t="inlineStr">
        <is>
          <t>Fortress</t>
        </is>
      </c>
      <c r="G38" s="24" t="inlineStr">
        <is>
          <t>DragonClaw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0.676069</v>
      </c>
      <c r="P38" s="28" t="n"/>
      <c r="Q38" s="28" t="n">
        <v>0.166265</v>
      </c>
      <c r="R38" s="26" t="n">
        <v>100</v>
      </c>
      <c r="S38" s="29" t="n">
        <v>1.75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0.5100 (market_slug=aec-cs2-dc-for-2026-08-02).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Fortress</t>
        </is>
      </c>
      <c r="AQ38" s="24" t="inlineStr">
        <is>
          <t>Fortress</t>
        </is>
      </c>
      <c r="AR38" s="24" t="inlineStr">
        <is>
          <t>Fortress</t>
        </is>
      </c>
      <c r="AS38" s="24" t="inlineStr">
        <is>
          <t>DragonClaw</t>
        </is>
      </c>
      <c r="AT38" s="24" t="inlineStr">
        <is>
          <t>DragonClaw</t>
        </is>
      </c>
      <c r="AU38" s="24" t="inlineStr">
        <is>
          <t>DragonClaw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a52e05351d357192c8fca202e5be339611d036af46f5d6cce585d03967334b2a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a52e05351d357192c8fca202e5be339611d036af46f5d6cce585d03967334b2a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2026-08-02T08:19:12.784904Z</t>
        </is>
      </c>
      <c r="BI38" s="24" t="inlineStr">
        <is>
          <t>["same_event","same_team_same_day","same_league_same_day"]</t>
        </is>
      </c>
      <c r="BJ38" s="25" t="n"/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8b14dcae8bc9432a</t>
        </is>
      </c>
      <c r="B39" s="24" t="inlineStr">
        <is>
          <t>2026-08-02T08:19:31.181747Z</t>
        </is>
      </c>
      <c r="C39" s="24" t="inlineStr">
        <is>
          <t>2026-08-02T13:00:00Z</t>
        </is>
      </c>
      <c r="D39" s="24" t="inlineStr">
        <is>
          <t>68258</t>
        </is>
      </c>
      <c r="E39" s="24" t="inlineStr">
        <is>
          <t>CS2</t>
        </is>
      </c>
      <c r="F39" s="24" t="inlineStr">
        <is>
          <t>ex-MANA eSports</t>
        </is>
      </c>
      <c r="G39" s="24" t="inlineStr">
        <is>
          <t>Inner Circle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-186</v>
      </c>
      <c r="M39" s="27" t="n">
        <v>1.537634</v>
      </c>
      <c r="N39" s="28" t="n">
        <v>0.65035</v>
      </c>
      <c r="O39" s="28" t="n">
        <v>0.583693</v>
      </c>
      <c r="P39" s="28" t="n"/>
      <c r="Q39" s="28" t="n">
        <v>-0.06665699999999999</v>
      </c>
      <c r="R39" s="26" t="n">
        <v>0</v>
      </c>
      <c r="S39" s="29" t="n">
        <v>1.25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0.6500 (market_slug=aec-cs2-ica-exmana-2026-08-02).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ex-MANA eSports</t>
        </is>
      </c>
      <c r="AQ39" s="24" t="inlineStr">
        <is>
          <t>ex-MANA eSports</t>
        </is>
      </c>
      <c r="AR39" s="24" t="inlineStr">
        <is>
          <t>ex-MANA eSports</t>
        </is>
      </c>
      <c r="AS39" s="24" t="inlineStr">
        <is>
          <t>Inner Circle Academy</t>
        </is>
      </c>
      <c r="AT39" s="24" t="inlineStr">
        <is>
          <t>Inner Circle Academy</t>
        </is>
      </c>
      <c r="AU39" s="24" t="inlineStr">
        <is>
          <t>Inner Circle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a52e05351d357192c8fca202e5be339611d036af46f5d6cce585d03967334b2a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a52e05351d357192c8fca202e5be339611d036af46f5d6cce585d03967334b2a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2026-08-02T08:19:13.318644Z</t>
        </is>
      </c>
      <c r="BI39" s="24" t="inlineStr">
        <is>
          <t>["same_event","same_team_same_day","same_league_same_day"]</t>
        </is>
      </c>
      <c r="BJ39" s="25" t="n"/>
      <c r="BK39" s="26" t="n">
        <v>-186</v>
      </c>
      <c r="BL39" s="27" t="n">
        <v>1.537634</v>
      </c>
      <c r="BM39" s="28" t="n">
        <v>0.65035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c88045061170496c</t>
        </is>
      </c>
      <c r="B40" s="24" t="inlineStr">
        <is>
          <t>2026-08-02T08:19:31.181747Z</t>
        </is>
      </c>
      <c r="C40" s="24" t="inlineStr">
        <is>
          <t>2026-08-02T13:00:00Z</t>
        </is>
      </c>
      <c r="D40" s="24" t="inlineStr">
        <is>
          <t>68259</t>
        </is>
      </c>
      <c r="E40" s="24" t="inlineStr">
        <is>
          <t>CS2</t>
        </is>
      </c>
      <c r="F40" s="24" t="inlineStr">
        <is>
          <t>Vexar</t>
        </is>
      </c>
      <c r="G40" s="24" t="inlineStr">
        <is>
          <t>Leo Team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138</v>
      </c>
      <c r="M40" s="27" t="n">
        <v>2.38</v>
      </c>
      <c r="N40" s="28" t="n">
        <v>0.420168</v>
      </c>
      <c r="O40" s="28" t="n">
        <v>0.563872</v>
      </c>
      <c r="P40" s="28" t="n"/>
      <c r="Q40" s="28" t="n">
        <v>0.143704</v>
      </c>
      <c r="R40" s="26" t="n">
        <v>92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0.4200 (market_slug=aec-cs2-leo-vexar-2026-08-02).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Vexar</t>
        </is>
      </c>
      <c r="AQ40" s="24" t="inlineStr">
        <is>
          <t>Vexar</t>
        </is>
      </c>
      <c r="AR40" s="24" t="inlineStr">
        <is>
          <t>Vexar</t>
        </is>
      </c>
      <c r="AS40" s="24" t="inlineStr">
        <is>
          <t>Leo Team</t>
        </is>
      </c>
      <c r="AT40" s="24" t="inlineStr">
        <is>
          <t>Leo Team</t>
        </is>
      </c>
      <c r="AU40" s="24" t="inlineStr">
        <is>
          <t>Leo Team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a52e05351d357192c8fca202e5be339611d036af46f5d6cce585d03967334b2a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a52e05351d357192c8fca202e5be339611d036af46f5d6cce585d03967334b2a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2026-08-02T08:19:13.866447Z</t>
        </is>
      </c>
      <c r="BI40" s="24" t="inlineStr">
        <is>
          <t>["same_event","same_team_same_day","same_league_same_day"]</t>
        </is>
      </c>
      <c r="BJ40" s="25" t="n"/>
      <c r="BK40" s="26" t="n">
        <v>138</v>
      </c>
      <c r="BL40" s="27" t="n">
        <v>2.38</v>
      </c>
      <c r="BM40" s="28" t="n">
        <v>0.420168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ca4f76153b4b49b9</t>
        </is>
      </c>
      <c r="B41" s="24" t="inlineStr">
        <is>
          <t>2026-08-02T08:19:31.181747Z</t>
        </is>
      </c>
      <c r="C41" s="24" t="inlineStr">
        <is>
          <t>2026-08-02T13:00:00Z</t>
        </is>
      </c>
      <c r="D41" s="24" t="inlineStr">
        <is>
          <t>68261</t>
        </is>
      </c>
      <c r="E41" s="24" t="inlineStr">
        <is>
          <t>CS2</t>
        </is>
      </c>
      <c r="F41" s="24" t="inlineStr">
        <is>
          <t>Fire Flux Esports</t>
        </is>
      </c>
      <c r="G41" s="24" t="inlineStr">
        <is>
          <t>BASEMENT BOYS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0.6541439999999999</v>
      </c>
      <c r="P41" s="28" t="n"/>
      <c r="Q41" s="28" t="n">
        <v>0.054144</v>
      </c>
      <c r="R41" s="26" t="n">
        <v>47</v>
      </c>
      <c r="S41" s="29" t="n">
        <v>1.75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0.6000 (market_slug=aec-cs2-bmb-ff-2026-08-02).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Fire Flux Esports</t>
        </is>
      </c>
      <c r="AQ41" s="24" t="inlineStr">
        <is>
          <t>Fire Flux Esports</t>
        </is>
      </c>
      <c r="AR41" s="24" t="inlineStr">
        <is>
          <t>Fire Flux Esports</t>
        </is>
      </c>
      <c r="AS41" s="24" t="inlineStr">
        <is>
          <t>BASEMENT BOYS</t>
        </is>
      </c>
      <c r="AT41" s="24" t="inlineStr">
        <is>
          <t>BASEMENT BOYS</t>
        </is>
      </c>
      <c r="AU41" s="24" t="inlineStr">
        <is>
          <t>BASEMENT BOYS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a52e05351d357192c8fca202e5be339611d036af46f5d6cce585d03967334b2a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a52e05351d357192c8fca202e5be339611d036af46f5d6cce585d03967334b2a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2026-08-02T08:19:15.050508Z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1ec8b20859c94f21</t>
        </is>
      </c>
      <c r="B42" s="24" t="inlineStr">
        <is>
          <t>2026-08-02T08:19:31.181747Z</t>
        </is>
      </c>
      <c r="C42" s="24" t="inlineStr">
        <is>
          <t>2026-08-02T13:00:00Z</t>
        </is>
      </c>
      <c r="D42" s="24" t="inlineStr">
        <is>
          <t>68277</t>
        </is>
      </c>
      <c r="E42" s="24" t="inlineStr">
        <is>
          <t>CS2</t>
        </is>
      </c>
      <c r="F42" s="24" t="inlineStr">
        <is>
          <t>Misa Esports</t>
        </is>
      </c>
      <c r="G42" s="24" t="inlineStr">
        <is>
          <t>Favbet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0.747081</v>
      </c>
      <c r="P42" s="28" t="n"/>
      <c r="Q42" s="28" t="n">
        <v>0.096731</v>
      </c>
      <c r="R42" s="26" t="n">
        <v>68</v>
      </c>
      <c r="S42" s="29" t="n">
        <v>2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0.6500 (market_slug=aec-cs2-fav-misa-2026-08-02).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Misa Esports</t>
        </is>
      </c>
      <c r="AQ42" s="24" t="inlineStr">
        <is>
          <t>Misa Esports</t>
        </is>
      </c>
      <c r="AR42" s="24" t="inlineStr">
        <is>
          <t>Misa Esports</t>
        </is>
      </c>
      <c r="AS42" s="24" t="inlineStr">
        <is>
          <t>Favbet</t>
        </is>
      </c>
      <c r="AT42" s="24" t="inlineStr">
        <is>
          <t>Favbet</t>
        </is>
      </c>
      <c r="AU42" s="24" t="inlineStr">
        <is>
          <t>Favbet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a52e05351d357192c8fca202e5be339611d036af46f5d6cce585d03967334b2a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a52e05351d357192c8fca202e5be339611d036af46f5d6cce585d03967334b2a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2026-08-02T08:19:15.582287Z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decb9ca4ca3d4bae</t>
        </is>
      </c>
      <c r="B43" s="24" t="inlineStr">
        <is>
          <t>2026-08-02T08:19:31.181747Z</t>
        </is>
      </c>
      <c r="C43" s="24" t="inlineStr">
        <is>
          <t>2026-08-02T14:00:00Z</t>
        </is>
      </c>
      <c r="D43" s="24" t="inlineStr">
        <is>
          <t>69254</t>
        </is>
      </c>
      <c r="E43" s="24" t="inlineStr">
        <is>
          <t>CS2</t>
        </is>
      </c>
      <c r="F43" s="24" t="inlineStr">
        <is>
          <t>Honvéd</t>
        </is>
      </c>
      <c r="G43" s="24" t="inlineStr">
        <is>
          <t>ex-RUSTEC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-163</v>
      </c>
      <c r="M43" s="27" t="n">
        <v>1.613497</v>
      </c>
      <c r="N43" s="28" t="n">
        <v>0.619772</v>
      </c>
      <c r="O43" s="28" t="n">
        <v>0.662043</v>
      </c>
      <c r="P43" s="28" t="n"/>
      <c r="Q43" s="28" t="n">
        <v>0.042271</v>
      </c>
      <c r="R43" s="26" t="n">
        <v>41</v>
      </c>
      <c r="S43" s="29" t="n">
        <v>1.75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0.6200 (market_slug=aec-cs2-erx-hon-2026-08-02).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Honvéd</t>
        </is>
      </c>
      <c r="AQ43" s="24" t="inlineStr">
        <is>
          <t>Honvéd</t>
        </is>
      </c>
      <c r="AR43" s="24" t="inlineStr">
        <is>
          <t>Honvéd</t>
        </is>
      </c>
      <c r="AS43" s="24" t="inlineStr">
        <is>
          <t>ex-RUSTEC</t>
        </is>
      </c>
      <c r="AT43" s="24" t="inlineStr">
        <is>
          <t>ex-RUSTEC</t>
        </is>
      </c>
      <c r="AU43" s="24" t="inlineStr">
        <is>
          <t>ex-RUSTEC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a52e05351d357192c8fca202e5be339611d036af46f5d6cce585d03967334b2a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a52e05351d357192c8fca202e5be339611d036af46f5d6cce585d03967334b2a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2026-08-02T08:19:16.117377Z</t>
        </is>
      </c>
      <c r="BI43" s="24" t="inlineStr">
        <is>
          <t>["same_event","same_team_same_day","same_league_same_day"]</t>
        </is>
      </c>
      <c r="BJ43" s="25" t="n"/>
      <c r="BK43" s="26" t="n">
        <v>-163</v>
      </c>
      <c r="BL43" s="27" t="n">
        <v>1.613497</v>
      </c>
      <c r="BM43" s="28" t="n">
        <v>0.619772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4f82f9ad0e214efb</t>
        </is>
      </c>
      <c r="B44" s="24" t="inlineStr">
        <is>
          <t>2026-08-02T08:19:31.181747Z</t>
        </is>
      </c>
      <c r="C44" s="24" t="inlineStr">
        <is>
          <t>2026-08-02T17:00:00Z</t>
        </is>
      </c>
      <c r="D44" s="24" t="inlineStr">
        <is>
          <t>69263</t>
        </is>
      </c>
      <c r="E44" s="24" t="inlineStr">
        <is>
          <t>CS2</t>
        </is>
      </c>
      <c r="F44" s="24" t="inlineStr">
        <is>
          <t>ENJOY</t>
        </is>
      </c>
      <c r="G44" s="24" t="inlineStr">
        <is>
          <t>Mai Tai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-156</v>
      </c>
      <c r="M44" s="27" t="n">
        <v>1.641026</v>
      </c>
      <c r="N44" s="28" t="n">
        <v>0.609375</v>
      </c>
      <c r="O44" s="28" t="n">
        <v>0.66636</v>
      </c>
      <c r="P44" s="28" t="n"/>
      <c r="Q44" s="28" t="n">
        <v>0.056985</v>
      </c>
      <c r="R44" s="26" t="n">
        <v>48</v>
      </c>
      <c r="S44" s="29" t="n">
        <v>1.75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0.6100 (market_slug=aec-cs2-mta-enjoy-2026-08-02).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ENJOY</t>
        </is>
      </c>
      <c r="AQ44" s="24" t="inlineStr">
        <is>
          <t>ENJOY</t>
        </is>
      </c>
      <c r="AR44" s="24" t="inlineStr">
        <is>
          <t>ENJOY</t>
        </is>
      </c>
      <c r="AS44" s="24" t="inlineStr">
        <is>
          <t>Mai Tai</t>
        </is>
      </c>
      <c r="AT44" s="24" t="inlineStr">
        <is>
          <t>Mai Tai</t>
        </is>
      </c>
      <c r="AU44" s="24" t="inlineStr">
        <is>
          <t>Mai Tai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a52e05351d357192c8fca202e5be339611d036af46f5d6cce585d03967334b2a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a52e05351d357192c8fca202e5be339611d036af46f5d6cce585d03967334b2a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2026-08-02T08:19:17.713467Z</t>
        </is>
      </c>
      <c r="BI44" s="24" t="inlineStr">
        <is>
          <t>["same_event","same_team_same_day","same_league_same_day"]</t>
        </is>
      </c>
      <c r="BJ44" s="25" t="n"/>
      <c r="BK44" s="26" t="n">
        <v>-156</v>
      </c>
      <c r="BL44" s="27" t="n">
        <v>1.641026</v>
      </c>
      <c r="BM44" s="28" t="n">
        <v>0.609375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87d265955cc34abf</t>
        </is>
      </c>
      <c r="B45" s="24" t="inlineStr">
        <is>
          <t>2026-08-02T08:19:31.181747Z</t>
        </is>
      </c>
      <c r="C45" s="24" t="inlineStr">
        <is>
          <t>2026-08-02T18:00:00Z</t>
        </is>
      </c>
      <c r="D45" s="24" t="inlineStr">
        <is>
          <t>69289</t>
        </is>
      </c>
      <c r="E45" s="24" t="inlineStr">
        <is>
          <t>CS2</t>
        </is>
      </c>
      <c r="F45" s="24" t="inlineStr">
        <is>
          <t>BESTIA</t>
        </is>
      </c>
      <c r="G45" s="24" t="inlineStr">
        <is>
          <t>ShindeN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150</v>
      </c>
      <c r="M45" s="27" t="n">
        <v>2.5</v>
      </c>
      <c r="N45" s="28" t="n">
        <v>0.4</v>
      </c>
      <c r="O45" s="28" t="n">
        <v>0.510543</v>
      </c>
      <c r="P45" s="28" t="n"/>
      <c r="Q45" s="28" t="n">
        <v>0.110543</v>
      </c>
      <c r="R45" s="26" t="n">
        <v>75</v>
      </c>
      <c r="S45" s="29" t="n">
        <v>1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0.4000 (market_slug=aec-cs2-shin-bst-2026-08-02).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BESTIA</t>
        </is>
      </c>
      <c r="AQ45" s="24" t="inlineStr">
        <is>
          <t>BESTIA</t>
        </is>
      </c>
      <c r="AR45" s="24" t="inlineStr">
        <is>
          <t>BESTIA</t>
        </is>
      </c>
      <c r="AS45" s="24" t="inlineStr">
        <is>
          <t>ShindeN</t>
        </is>
      </c>
      <c r="AT45" s="24" t="inlineStr">
        <is>
          <t>ShindeN</t>
        </is>
      </c>
      <c r="AU45" s="24" t="inlineStr">
        <is>
          <t>ShindeN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a52e05351d357192c8fca202e5be339611d036af46f5d6cce585d03967334b2a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a52e05351d357192c8fca202e5be339611d036af46f5d6cce585d03967334b2a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2026-08-02T08:19:18.366310Z</t>
        </is>
      </c>
      <c r="BI45" s="24" t="inlineStr">
        <is>
          <t>["same_event","same_team_same_day","same_league_same_day"]</t>
        </is>
      </c>
      <c r="BJ45" s="25" t="n"/>
      <c r="BK45" s="26" t="n">
        <v>150</v>
      </c>
      <c r="BL45" s="27" t="n">
        <v>2.5</v>
      </c>
      <c r="BM45" s="28" t="n">
        <v>0.4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09df7b524a97466a</t>
        </is>
      </c>
      <c r="B46" s="24" t="inlineStr">
        <is>
          <t>2026-08-02T08:19:31.181747Z</t>
        </is>
      </c>
      <c r="C46" s="24" t="inlineStr">
        <is>
          <t>2026-08-02T19:15:00Z</t>
        </is>
      </c>
      <c r="D46" s="24" t="inlineStr">
        <is>
          <t>67577</t>
        </is>
      </c>
      <c r="E46" s="24" t="inlineStr">
        <is>
          <t>CS2</t>
        </is>
      </c>
      <c r="F46" s="24" t="inlineStr">
        <is>
          <t>SNAILKICK Club</t>
        </is>
      </c>
      <c r="G46" s="24" t="inlineStr">
        <is>
          <t>Lixxx Club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-178</v>
      </c>
      <c r="M46" s="27" t="n">
        <v>1.561798</v>
      </c>
      <c r="N46" s="28" t="n">
        <v>0.640288</v>
      </c>
      <c r="O46" s="28" t="n">
        <v>0.526743</v>
      </c>
      <c r="P46" s="28" t="n"/>
      <c r="Q46" s="28" t="n">
        <v>-0.113545</v>
      </c>
      <c r="R46" s="26" t="n">
        <v>0</v>
      </c>
      <c r="S46" s="29" t="n">
        <v>1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0.6400 (market_slug=aec-cs2-lci-scn-2026-08-02).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SNAILKICK Club</t>
        </is>
      </c>
      <c r="AQ46" s="24" t="inlineStr">
        <is>
          <t>SNAILKICK Club</t>
        </is>
      </c>
      <c r="AR46" s="24" t="inlineStr">
        <is>
          <t>SNAILKICK Club</t>
        </is>
      </c>
      <c r="AS46" s="24" t="inlineStr">
        <is>
          <t>Lixxx Club</t>
        </is>
      </c>
      <c r="AT46" s="24" t="inlineStr">
        <is>
          <t>Lixxx Club</t>
        </is>
      </c>
      <c r="AU46" s="24" t="inlineStr">
        <is>
          <t>Lixxx Club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a52e05351d357192c8fca202e5be339611d036af46f5d6cce585d03967334b2a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a52e05351d357192c8fca202e5be339611d036af46f5d6cce585d03967334b2a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2026-08-02T08:19:18.951273Z</t>
        </is>
      </c>
      <c r="BI46" s="24" t="inlineStr">
        <is>
          <t>["same_event","same_team_same_day","same_league_same_day"]</t>
        </is>
      </c>
      <c r="BJ46" s="25" t="n"/>
      <c r="BK46" s="26" t="n">
        <v>-178</v>
      </c>
      <c r="BL46" s="27" t="n">
        <v>1.561798</v>
      </c>
      <c r="BM46" s="28" t="n">
        <v>0.640288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b50cdfc659ba4798</t>
        </is>
      </c>
      <c r="B47" s="24" t="inlineStr">
        <is>
          <t>2026-08-02T08:19:31.181747Z</t>
        </is>
      </c>
      <c r="C47" s="24" t="inlineStr">
        <is>
          <t>2026-08-02T19:15:00Z</t>
        </is>
      </c>
      <c r="D47" s="24" t="inlineStr">
        <is>
          <t>67576</t>
        </is>
      </c>
      <c r="E47" s="24" t="inlineStr">
        <is>
          <t>CS2</t>
        </is>
      </c>
      <c r="F47" s="24" t="inlineStr">
        <is>
          <t>mokrivskiy Club</t>
        </is>
      </c>
      <c r="G47" s="24" t="inlineStr">
        <is>
          <t>Morphilina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156</v>
      </c>
      <c r="M47" s="27" t="n">
        <v>2.56</v>
      </c>
      <c r="N47" s="28" t="n">
        <v>0.390625</v>
      </c>
      <c r="O47" s="28" t="n">
        <v>0.579539</v>
      </c>
      <c r="P47" s="28" t="n"/>
      <c r="Q47" s="28" t="n">
        <v>0.188914</v>
      </c>
      <c r="R47" s="26" t="n">
        <v>100</v>
      </c>
      <c r="S47" s="29" t="n">
        <v>1.25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0.3900 (market_slug=aec-cs2-mcor-mco-2026-08-02).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mokrivskiy Club</t>
        </is>
      </c>
      <c r="AQ47" s="24" t="inlineStr">
        <is>
          <t>mokrivskiy Club</t>
        </is>
      </c>
      <c r="AR47" s="24" t="inlineStr">
        <is>
          <t>mokrivskiy Club</t>
        </is>
      </c>
      <c r="AS47" s="24" t="inlineStr">
        <is>
          <t>Morphilina Club</t>
        </is>
      </c>
      <c r="AT47" s="24" t="inlineStr">
        <is>
          <t>Morphilina Club</t>
        </is>
      </c>
      <c r="AU47" s="24" t="inlineStr">
        <is>
          <t>Morphilina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a52e05351d357192c8fca202e5be339611d036af46f5d6cce585d03967334b2a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a52e05351d357192c8fca202e5be339611d036af46f5d6cce585d03967334b2a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2026-08-02T08:19:19.608833Z</t>
        </is>
      </c>
      <c r="BI47" s="24" t="inlineStr">
        <is>
          <t>["same_event","same_team_same_day","same_league_same_day"]</t>
        </is>
      </c>
      <c r="BJ47" s="25" t="n"/>
      <c r="BK47" s="26" t="n">
        <v>156</v>
      </c>
      <c r="BL47" s="27" t="n">
        <v>2.56</v>
      </c>
      <c r="BM47" s="28" t="n">
        <v>0.390625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e41a38b5a7264af3</t>
        </is>
      </c>
      <c r="B48" s="24" t="inlineStr">
        <is>
          <t>2026-08-02T08:19:31.181747Z</t>
        </is>
      </c>
      <c r="C48" s="24" t="inlineStr">
        <is>
          <t>2026-08-03T08:00:00Z</t>
        </is>
      </c>
      <c r="D48" s="24" t="inlineStr">
        <is>
          <t>67490</t>
        </is>
      </c>
      <c r="E48" s="24" t="inlineStr">
        <is>
          <t>CS2</t>
        </is>
      </c>
      <c r="F48" s="24" t="inlineStr">
        <is>
          <t>VP.Prodigy</t>
        </is>
      </c>
      <c r="G48" s="24" t="inlineStr">
        <is>
          <t>Eternal Fire Academy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-223</v>
      </c>
      <c r="M48" s="27" t="n">
        <v>1.44843</v>
      </c>
      <c r="N48" s="28" t="n">
        <v>0.690402</v>
      </c>
      <c r="O48" s="28" t="n">
        <v>0.646647</v>
      </c>
      <c r="P48" s="28" t="n"/>
      <c r="Q48" s="28" t="n">
        <v>-0.043755</v>
      </c>
      <c r="R48" s="26" t="n">
        <v>0</v>
      </c>
      <c r="S48" s="29" t="n">
        <v>1.75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0.6900 (market_slug=aec-cs2-efa-vpp-2026-08-03).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VP.Prodigy</t>
        </is>
      </c>
      <c r="AQ48" s="24" t="inlineStr">
        <is>
          <t>VP.Prodigy</t>
        </is>
      </c>
      <c r="AR48" s="24" t="inlineStr">
        <is>
          <t>VP.Prodigy</t>
        </is>
      </c>
      <c r="AS48" s="24" t="inlineStr">
        <is>
          <t>Eternal Fire Academy</t>
        </is>
      </c>
      <c r="AT48" s="24" t="inlineStr">
        <is>
          <t>Eternal Fire Academy</t>
        </is>
      </c>
      <c r="AU48" s="24" t="inlineStr">
        <is>
          <t>Eternal Fire Academy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a52e05351d357192c8fca202e5be339611d036af46f5d6cce585d03967334b2a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a52e05351d357192c8fca202e5be339611d036af46f5d6cce585d03967334b2a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2026-08-02T08:19:20.659011Z</t>
        </is>
      </c>
      <c r="BI48" s="24" t="inlineStr">
        <is>
          <t>["same_event","same_team_same_day","same_league_same_day"]</t>
        </is>
      </c>
      <c r="BJ48" s="25" t="n"/>
      <c r="BK48" s="26" t="n">
        <v>-223</v>
      </c>
      <c r="BL48" s="27" t="n">
        <v>1.44843</v>
      </c>
      <c r="BM48" s="28" t="n">
        <v>0.690402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cb9b1b93c1334fe0</t>
        </is>
      </c>
      <c r="B49" s="24" t="inlineStr">
        <is>
          <t>2026-08-02T08:19:31.181747Z</t>
        </is>
      </c>
      <c r="C49" s="24" t="inlineStr">
        <is>
          <t>2026-08-03T10:00:00Z</t>
        </is>
      </c>
      <c r="D49" s="24" t="inlineStr">
        <is>
          <t>67510</t>
        </is>
      </c>
      <c r="E49" s="24" t="inlineStr">
        <is>
          <t>CS2</t>
        </is>
      </c>
      <c r="F49" s="24" t="inlineStr">
        <is>
          <t>Johnny Speeds</t>
        </is>
      </c>
      <c r="G49" s="24" t="inlineStr">
        <is>
          <t>Metizport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0.563104</v>
      </c>
      <c r="P49" s="28" t="n"/>
      <c r="Q49" s="28" t="n">
        <v>-0.127298</v>
      </c>
      <c r="R49" s="26" t="n">
        <v>0</v>
      </c>
      <c r="S49" s="29" t="n">
        <v>1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0.6900 (market_slug=aec-cs2-mzp-js-2026-08-03).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Johnny Speeds</t>
        </is>
      </c>
      <c r="AQ49" s="24" t="inlineStr">
        <is>
          <t>Johnny Speeds</t>
        </is>
      </c>
      <c r="AR49" s="24" t="inlineStr">
        <is>
          <t>Johnny Speeds</t>
        </is>
      </c>
      <c r="AS49" s="24" t="inlineStr">
        <is>
          <t>Metizport</t>
        </is>
      </c>
      <c r="AT49" s="24" t="inlineStr">
        <is>
          <t>Metizport</t>
        </is>
      </c>
      <c r="AU49" s="24" t="inlineStr">
        <is>
          <t>Metizport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a52e05351d357192c8fca202e5be339611d036af46f5d6cce585d03967334b2a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a52e05351d357192c8fca202e5be339611d036af46f5d6cce585d03967334b2a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2026-08-02T08:19:22.224868Z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b4249330287542e3</t>
        </is>
      </c>
      <c r="B50" s="24" t="inlineStr">
        <is>
          <t>2026-08-02T08:19:31.181747Z</t>
        </is>
      </c>
      <c r="C50" s="24" t="inlineStr">
        <is>
          <t>2026-08-03T10:30:00Z</t>
        </is>
      </c>
      <c r="D50" s="24" t="inlineStr">
        <is>
          <t>67514</t>
        </is>
      </c>
      <c r="E50" s="24" t="inlineStr">
        <is>
          <t>CS2</t>
        </is>
      </c>
      <c r="F50" s="24" t="inlineStr">
        <is>
          <t>Passion Academy</t>
        </is>
      </c>
      <c r="G50" s="24" t="inlineStr">
        <is>
          <t>EAC Rising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-122</v>
      </c>
      <c r="M50" s="27" t="n">
        <v>1.819672</v>
      </c>
      <c r="N50" s="28" t="n">
        <v>0.54955</v>
      </c>
      <c r="O50" s="28" t="n">
        <v>0.640228</v>
      </c>
      <c r="P50" s="28" t="n"/>
      <c r="Q50" s="28" t="n">
        <v>0.09067799999999999</v>
      </c>
      <c r="R50" s="26" t="n">
        <v>65</v>
      </c>
      <c r="S50" s="29" t="n">
        <v>1.5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0.5500 (market_slug=aec-cs2-era-psna-2026-08-03).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Passion Academy</t>
        </is>
      </c>
      <c r="AQ50" s="24" t="inlineStr">
        <is>
          <t>Passion Academy</t>
        </is>
      </c>
      <c r="AR50" s="24" t="inlineStr">
        <is>
          <t>Passion Academy</t>
        </is>
      </c>
      <c r="AS50" s="24" t="inlineStr">
        <is>
          <t>EAC Rising</t>
        </is>
      </c>
      <c r="AT50" s="24" t="inlineStr">
        <is>
          <t>EAC Rising</t>
        </is>
      </c>
      <c r="AU50" s="24" t="inlineStr">
        <is>
          <t>EAC Rising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a52e05351d357192c8fca202e5be339611d036af46f5d6cce585d03967334b2a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a52e05351d357192c8fca202e5be339611d036af46f5d6cce585d03967334b2a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2026-08-02T08:19:23.793481Z</t>
        </is>
      </c>
      <c r="BI50" s="24" t="inlineStr">
        <is>
          <t>["same_event","same_team_same_day","same_league_same_day"]</t>
        </is>
      </c>
      <c r="BJ50" s="25" t="n"/>
      <c r="BK50" s="26" t="n">
        <v>-122</v>
      </c>
      <c r="BL50" s="27" t="n">
        <v>1.819672</v>
      </c>
      <c r="BM50" s="28" t="n">
        <v>0.54955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6127dbef3f574b64</t>
        </is>
      </c>
      <c r="B51" s="24" t="inlineStr">
        <is>
          <t>2026-08-02T08:19:31.181747Z</t>
        </is>
      </c>
      <c r="C51" s="24" t="inlineStr">
        <is>
          <t>2026-08-03T11:00:00Z</t>
        </is>
      </c>
      <c r="D51" s="24" t="inlineStr">
        <is>
          <t>67578</t>
        </is>
      </c>
      <c r="E51" s="24" t="inlineStr">
        <is>
          <t>CS2</t>
        </is>
      </c>
      <c r="F51" s="24" t="inlineStr">
        <is>
          <t>Perfecto Club</t>
        </is>
      </c>
      <c r="G51" s="24" t="inlineStr">
        <is>
          <t>Recrent Club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0.526743</v>
      </c>
      <c r="P51" s="28" t="n"/>
      <c r="Q51" s="28" t="n">
        <v>-0.102887</v>
      </c>
      <c r="R51" s="26" t="n">
        <v>0</v>
      </c>
      <c r="S51" s="29" t="n">
        <v>1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0.6300 (market_slug=aec-cs2-rce-pce-2026-08-03).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Perfecto Club</t>
        </is>
      </c>
      <c r="AQ51" s="24" t="inlineStr">
        <is>
          <t>Perfecto Club</t>
        </is>
      </c>
      <c r="AR51" s="24" t="inlineStr">
        <is>
          <t>Perfecto Club</t>
        </is>
      </c>
      <c r="AS51" s="24" t="inlineStr">
        <is>
          <t>Recrent Club</t>
        </is>
      </c>
      <c r="AT51" s="24" t="inlineStr">
        <is>
          <t>Recrent Club</t>
        </is>
      </c>
      <c r="AU51" s="24" t="inlineStr">
        <is>
          <t>Recrent Club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a52e05351d357192c8fca202e5be339611d036af46f5d6cce585d03967334b2a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a52e05351d357192c8fca202e5be339611d036af46f5d6cce585d03967334b2a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2026-08-02T08:19:24.359608Z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0d54aead8b234deb</t>
        </is>
      </c>
      <c r="B52" s="24" t="inlineStr">
        <is>
          <t>2026-08-02T08:19:31.181747Z</t>
        </is>
      </c>
      <c r="C52" s="24" t="inlineStr">
        <is>
          <t>2026-08-03T13:45:00Z</t>
        </is>
      </c>
      <c r="D52" s="24" t="inlineStr">
        <is>
          <t>67579</t>
        </is>
      </c>
      <c r="E52" s="24" t="inlineStr">
        <is>
          <t>CS2</t>
        </is>
      </c>
      <c r="F52" s="24" t="inlineStr">
        <is>
          <t>Morphilina Club</t>
        </is>
      </c>
      <c r="G52" s="24" t="inlineStr">
        <is>
          <t>Perfecto Club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223</v>
      </c>
      <c r="M52" s="27" t="n">
        <v>3.23</v>
      </c>
      <c r="N52" s="28" t="n">
        <v>0.309598</v>
      </c>
      <c r="O52" s="28" t="n">
        <v>0.526658</v>
      </c>
      <c r="P52" s="28" t="n"/>
      <c r="Q52" s="28" t="n">
        <v>0.21706</v>
      </c>
      <c r="R52" s="26" t="n">
        <v>100</v>
      </c>
      <c r="S52" s="29" t="n">
        <v>1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0.3100 (market_slug=aec-cs2-pce-mcor-2026-08-03).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Morphilina Club</t>
        </is>
      </c>
      <c r="AQ52" s="24" t="inlineStr">
        <is>
          <t>Morphilina Club</t>
        </is>
      </c>
      <c r="AR52" s="24" t="inlineStr">
        <is>
          <t>Morphilina Club</t>
        </is>
      </c>
      <c r="AS52" s="24" t="inlineStr">
        <is>
          <t>Perfecto Club</t>
        </is>
      </c>
      <c r="AT52" s="24" t="inlineStr">
        <is>
          <t>Perfecto Club</t>
        </is>
      </c>
      <c r="AU52" s="24" t="inlineStr">
        <is>
          <t>Perfecto Club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a52e05351d357192c8fca202e5be339611d036af46f5d6cce585d03967334b2a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a52e05351d357192c8fca202e5be339611d036af46f5d6cce585d03967334b2a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2026-08-02T08:19:25.914540Z</t>
        </is>
      </c>
      <c r="BI52" s="24" t="inlineStr">
        <is>
          <t>["same_event","same_team_same_day","same_league_same_day"]</t>
        </is>
      </c>
      <c r="BJ52" s="25" t="n"/>
      <c r="BK52" s="26" t="n">
        <v>223</v>
      </c>
      <c r="BL52" s="27" t="n">
        <v>3.23</v>
      </c>
      <c r="BM52" s="28" t="n">
        <v>0.309598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6448946bd28040a7</t>
        </is>
      </c>
      <c r="B53" s="24" t="inlineStr">
        <is>
          <t>2026-08-02T08:19:31.181747Z</t>
        </is>
      </c>
      <c r="C53" s="24" t="inlineStr">
        <is>
          <t>2026-08-03T23:00:00Z</t>
        </is>
      </c>
      <c r="D53" s="24" t="inlineStr">
        <is>
          <t>68043</t>
        </is>
      </c>
      <c r="E53" s="24" t="inlineStr">
        <is>
          <t>CS2</t>
        </is>
      </c>
      <c r="F53" s="24" t="inlineStr">
        <is>
          <t>paiN Academy</t>
        </is>
      </c>
      <c r="G53" s="24" t="inlineStr">
        <is>
          <t>Grêmio Esports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0.569576</v>
      </c>
      <c r="P53" s="28" t="n"/>
      <c r="Q53" s="28" t="n">
        <v>0.100092</v>
      </c>
      <c r="R53" s="26" t="n">
        <v>70</v>
      </c>
      <c r="S53" s="29" t="n">
        <v>1.25</v>
      </c>
      <c r="T53" s="24" t="inlineStr">
        <is>
          <t>cs2-tiered-elo-v5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0.4700 (market_slug=aec-cs2-ger-paina-2026-08-03).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paiN Academy</t>
        </is>
      </c>
      <c r="AQ53" s="24" t="inlineStr">
        <is>
          <t>paiN Academy</t>
        </is>
      </c>
      <c r="AR53" s="24" t="inlineStr">
        <is>
          <t>paiN Academy</t>
        </is>
      </c>
      <c r="AS53" s="24" t="inlineStr">
        <is>
          <t>Grêmio Esports</t>
        </is>
      </c>
      <c r="AT53" s="24" t="inlineStr">
        <is>
          <t>Grêmio Esports</t>
        </is>
      </c>
      <c r="AU53" s="24" t="inlineStr">
        <is>
          <t>Grêmio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a52e05351d357192c8fca202e5be339611d036af46f5d6cce585d03967334b2a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a52e05351d357192c8fca202e5be339611d036af46f5d6cce585d03967334b2a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2026-08-02T08:19:31.178279Z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2026-08-02T08:20:46Z</dcterms:created>
  <dcterms:modified xsi:type="dcterms:W3CDTF">2026-08-02T08:20:46Z</dcterms:modified>
</cp:coreProperties>
</file>