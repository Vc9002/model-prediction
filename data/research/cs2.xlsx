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1" headerRowCount="1">
  <autoFilter ref="A1:CO3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COUNTA('Picks'!$A$2:$A$31)</f>
        <v/>
      </c>
      <c r="C4" s="6">
        <f>COUNTIF('Picks'!$U$2:$U$31,"open")</f>
        <v/>
      </c>
      <c r="E4" s="6">
        <f>COUNTIF('Picks'!$U$2:$U$31,"settled")</f>
        <v/>
      </c>
      <c r="G4" s="6">
        <f>IF(COUNTIFS('Picks'!$U$2:$U$31,"settled",'Picks'!$V$2:$V$31,"win")+COUNTIFS('Picks'!$U$2:$U$31,"settled",'Picks'!$V$2:$V$31,"loss")&gt;=$L$2,"Ready","Insufficient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COUNTIF('Picks'!$BX$2:$BX$31,"&gt;0")</f>
        <v/>
      </c>
      <c r="C7" s="6">
        <f>COUNTIFS('Picks'!$BX$2:$BX$31,"&gt;0",'Picks'!$V$2:$V$31,"win")&amp;"-"&amp;COUNTIFS('Picks'!$BX$2:$BX$31,"&gt;0",'Picks'!$V$2:$V$31,"loss")</f>
        <v/>
      </c>
      <c r="E7" s="7">
        <f>IFERROR(COUNTIFS('Picks'!$BX$2:$BX$31,"&gt;0",'Picks'!$V$2:$V$31,"win")/(COUNTIFS('Picks'!$BX$2:$BX$31,"&gt;0",'Picks'!$V$2:$V$31,"win")+COUNTIFS('Picks'!$BX$2:$BX$31,"&gt;0",'Picks'!$V$2:$V$31,"loss")),0)</f>
        <v/>
      </c>
      <c r="G7" s="7">
        <f>IFERROR(SUM('Picks'!$BY$2:$BY$31)/SUM('Picks'!$BX$2:$BX$31),0)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SUM('Picks'!$BY$2:$BY$31)</f>
        <v/>
      </c>
      <c r="C10" s="9">
        <f>IFERROR(AVERAGEIF('Picks'!$AB$2:$AB$31,"&lt;&gt;",'Picks'!$AB$2:$AB$31),0)</f>
        <v/>
      </c>
      <c r="E10" s="6">
        <f>COUNTIFS('Picks'!$AM$2:$AM$31,"QUALIFIED_SHADOW_CALL",'Picks'!$U$2:$U$31,"settled")</f>
        <v/>
      </c>
      <c r="G10" s="8">
        <f>SUMIFS('Picks'!$AC$2:$AC$31,'Picks'!$AM$2:$AM$31,"QUALIFIED_SHADOW_CALL")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COUNTIFS('Picks'!$H$2:$H$31,$A14,'Picks'!$U$2:$U$31,"settled")</f>
        <v/>
      </c>
      <c r="C14" s="13">
        <f>COUNTIFS('Picks'!$H$2:$H$31,$A14,'Picks'!$U$2:$U$31,"settled",'Picks'!$V$2:$V$31,"win")</f>
        <v/>
      </c>
      <c r="D14" s="13">
        <f>COUNTIFS('Picks'!$H$2:$H$31,$A14,'Picks'!$U$2:$U$31,"settled",'Picks'!$V$2:$V$31,"loss")</f>
        <v/>
      </c>
      <c r="E14" s="14">
        <f>IFERROR(C14/(C14+D14),0)</f>
        <v/>
      </c>
      <c r="F14" s="15">
        <f>SUMIFS('Picks'!$BY$2:$BY$31,'Picks'!$H$2:$H$31,$A14)</f>
        <v/>
      </c>
      <c r="G14" s="16">
        <f>IFERROR(AVERAGEIFS('Picks'!$AB$2:$AB$31,'Picks'!$H$2:$H$31,$A14,'Picks'!$U$2:$U$31,"settled"),0)</f>
        <v/>
      </c>
    </row>
    <row r="15">
      <c r="A15" s="17" t="inlineStr">
        <is>
          <t>spread</t>
        </is>
      </c>
      <c r="B15" s="18">
        <f>COUNTIFS('Picks'!$H$2:$H$31,$A15,'Picks'!$U$2:$U$31,"settled")</f>
        <v/>
      </c>
      <c r="C15" s="18">
        <f>COUNTIFS('Picks'!$H$2:$H$31,$A15,'Picks'!$U$2:$U$31,"settled",'Picks'!$V$2:$V$31,"win")</f>
        <v/>
      </c>
      <c r="D15" s="18">
        <f>COUNTIFS('Picks'!$H$2:$H$31,$A15,'Picks'!$U$2:$U$31,"settled",'Picks'!$V$2:$V$31,"loss")</f>
        <v/>
      </c>
      <c r="E15" s="19">
        <f>IFERROR(C15/(C15+D15),0)</f>
        <v/>
      </c>
      <c r="F15" s="20">
        <f>SUMIFS('Picks'!$BY$2:$BY$31,'Picks'!$H$2:$H$31,$A15)</f>
        <v/>
      </c>
      <c r="G15" s="21">
        <f>IFERROR(AVERAGEIFS('Picks'!$AB$2:$AB$31,'Picks'!$H$2:$H$31,$A15,'Picks'!$U$2:$U$31,"settled"),0)</f>
        <v/>
      </c>
    </row>
    <row r="16">
      <c r="A16" s="12" t="inlineStr">
        <is>
          <t>total</t>
        </is>
      </c>
      <c r="B16" s="13">
        <f>COUNTIFS('Picks'!$H$2:$H$31,$A16,'Picks'!$U$2:$U$31,"settled")</f>
        <v/>
      </c>
      <c r="C16" s="13">
        <f>COUNTIFS('Picks'!$H$2:$H$31,$A16,'Picks'!$U$2:$U$31,"settled",'Picks'!$V$2:$V$31,"win")</f>
        <v/>
      </c>
      <c r="D16" s="13">
        <f>COUNTIFS('Picks'!$H$2:$H$31,$A16,'Picks'!$U$2:$U$31,"settled",'Picks'!$V$2:$V$31,"loss")</f>
        <v/>
      </c>
      <c r="E16" s="14">
        <f>IFERROR(C16/(C16+D16),0)</f>
        <v/>
      </c>
      <c r="F16" s="15">
        <f>SUMIFS('Picks'!$BY$2:$BY$31,'Picks'!$H$2:$H$31,$A16)</f>
        <v/>
      </c>
      <c r="G16" s="16">
        <f>IFERROR(AVERAGEIFS('Picks'!$AB$2:$AB$31,'Picks'!$H$2:$H$31,$A16,'Picks'!$U$2:$U$31,"settled"),0)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6e4450fff49a4c51</t>
        </is>
      </c>
      <c r="B26" s="24" t="inlineStr">
        <is>
          <t>2026-08-01T20:32:55.844077Z</t>
        </is>
      </c>
      <c r="C26" s="24" t="inlineStr">
        <is>
          <t>2026-08-03T10:00:00Z</t>
        </is>
      </c>
      <c r="D26" s="24" t="inlineStr">
        <is>
          <t>67510</t>
        </is>
      </c>
      <c r="E26" s="24" t="inlineStr">
        <is>
          <t>CS2</t>
        </is>
      </c>
      <c r="F26" s="24" t="inlineStr">
        <is>
          <t>Johnny Speeds</t>
        </is>
      </c>
      <c r="G26" s="24" t="inlineStr">
        <is>
          <t>Metizport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-233</v>
      </c>
      <c r="M26" s="27" t="n">
        <v>1.429185</v>
      </c>
      <c r="N26" s="28" t="n">
        <v>0.6997</v>
      </c>
      <c r="O26" s="28" t="n">
        <v>0.562783</v>
      </c>
      <c r="P26" s="28" t="n"/>
      <c r="Q26" s="28" t="n">
        <v>-0.136917</v>
      </c>
      <c r="R26" s="26" t="n">
        <v>0</v>
      </c>
      <c r="S26" s="29" t="n">
        <v>1</v>
      </c>
      <c r="T26" s="24" t="inlineStr">
        <is>
          <t>cs2-tiered-elo-v5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0.7000 (market_slug=aec-cs2-mzp-js-2026-08-03).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Johnny Speeds</t>
        </is>
      </c>
      <c r="AQ26" s="24" t="inlineStr">
        <is>
          <t>Johnny Speeds</t>
        </is>
      </c>
      <c r="AR26" s="24" t="inlineStr">
        <is>
          <t>Johnny Speeds</t>
        </is>
      </c>
      <c r="AS26" s="24" t="inlineStr">
        <is>
          <t>Metizport</t>
        </is>
      </c>
      <c r="AT26" s="24" t="inlineStr">
        <is>
          <t>Metizport</t>
        </is>
      </c>
      <c r="AU26" s="24" t="inlineStr">
        <is>
          <t>Metizport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66c8ed5c731f2059876aac6fbc24a8ff8e521bea211c3db7b24b22de67e36356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66c8ed5c731f2059876aac6fbc24a8ff8e521bea211c3db7b24b22de67e36356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2026-08-01T20:32:48.712881Z</t>
        </is>
      </c>
      <c r="BI26" s="24" t="inlineStr">
        <is>
          <t>["same_event","same_team_same_day","same_league_same_day"]</t>
        </is>
      </c>
      <c r="BJ26" s="25" t="n"/>
      <c r="BK26" s="26" t="n">
        <v>-233</v>
      </c>
      <c r="BL26" s="27" t="n">
        <v>1.429185</v>
      </c>
      <c r="BM26" s="28" t="n">
        <v>0.6997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dfb1e44c655e4e99</t>
        </is>
      </c>
      <c r="B27" s="24" t="inlineStr">
        <is>
          <t>2026-08-01T20:32:55.844077Z</t>
        </is>
      </c>
      <c r="C27" s="24" t="inlineStr">
        <is>
          <t>2026-08-03T23:00:00Z</t>
        </is>
      </c>
      <c r="D27" s="24" t="inlineStr">
        <is>
          <t>68043</t>
        </is>
      </c>
      <c r="E27" s="24" t="inlineStr">
        <is>
          <t>CS2</t>
        </is>
      </c>
      <c r="F27" s="24" t="inlineStr">
        <is>
          <t>paiN Academy</t>
        </is>
      </c>
      <c r="G27" s="24" t="inlineStr">
        <is>
          <t>Grêmio Esports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-104</v>
      </c>
      <c r="M27" s="27" t="n">
        <v>1.961538</v>
      </c>
      <c r="N27" s="28" t="n">
        <v>0.509804</v>
      </c>
      <c r="O27" s="28" t="n">
        <v>0.569302</v>
      </c>
      <c r="P27" s="28" t="n"/>
      <c r="Q27" s="28" t="n">
        <v>0.059498</v>
      </c>
      <c r="R27" s="26" t="n">
        <v>50</v>
      </c>
      <c r="S27" s="29" t="n">
        <v>1.25</v>
      </c>
      <c r="T27" s="24" t="inlineStr">
        <is>
          <t>cs2-tiered-elo-v5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0.5100 (market_slug=aec-cs2-ger-paina-2026-08-03).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paiN Academy</t>
        </is>
      </c>
      <c r="AQ27" s="24" t="inlineStr">
        <is>
          <t>paiN Academy</t>
        </is>
      </c>
      <c r="AR27" s="24" t="inlineStr">
        <is>
          <t>paiN Academy</t>
        </is>
      </c>
      <c r="AS27" s="24" t="inlineStr">
        <is>
          <t>Grêmio Esports</t>
        </is>
      </c>
      <c r="AT27" s="24" t="inlineStr">
        <is>
          <t>Grêmio Esports</t>
        </is>
      </c>
      <c r="AU27" s="24" t="inlineStr">
        <is>
          <t>Grêmio Esports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66c8ed5c731f2059876aac6fbc24a8ff8e521bea211c3db7b24b22de67e36356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66c8ed5c731f2059876aac6fbc24a8ff8e521bea211c3db7b24b22de67e36356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2026-08-01T20:32:55.841353Z</t>
        </is>
      </c>
      <c r="BI27" s="24" t="inlineStr">
        <is>
          <t>["same_event","same_team_same_day","same_league_same_day"]</t>
        </is>
      </c>
      <c r="BJ27" s="25" t="n"/>
      <c r="BK27" s="26" t="n">
        <v>-104</v>
      </c>
      <c r="BL27" s="27" t="n">
        <v>1.961538</v>
      </c>
      <c r="BM27" s="28" t="n">
        <v>0.509804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c38aa687c57945bd</t>
        </is>
      </c>
      <c r="B28" s="24" t="inlineStr">
        <is>
          <t>2026-08-01T21:24:25.937290Z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127</v>
      </c>
      <c r="M28" s="27" t="n">
        <v>2.27</v>
      </c>
      <c r="N28" s="28" t="n">
        <v>0.440529</v>
      </c>
      <c r="O28" s="28" t="n">
        <v>0.6854170000000001</v>
      </c>
      <c r="P28" s="28" t="n"/>
      <c r="Q28" s="28" t="n">
        <v>0.244888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0.4400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d50792bb506a20912e2f4121c3471394498423e61f3d19bf1b2285fb92c74388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d50792bb506a20912e2f4121c3471394498423e61f3d19bf1b2285fb92c74388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2026-08-01T21:24:06.139795Z</t>
        </is>
      </c>
      <c r="BI28" s="24" t="inlineStr">
        <is>
          <t>["same_event","same_team_same_day","same_league_same_day"]</t>
        </is>
      </c>
      <c r="BJ28" s="25" t="n"/>
      <c r="BK28" s="26" t="n">
        <v>127</v>
      </c>
      <c r="BL28" s="27" t="n">
        <v>2.27</v>
      </c>
      <c r="BM28" s="28" t="n">
        <v>0.440529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4e89e2de4d584be4</t>
        </is>
      </c>
      <c r="B29" s="24" t="inlineStr">
        <is>
          <t>2026-08-01T21:24:25.937290Z</t>
        </is>
      </c>
      <c r="C29" s="24" t="inlineStr">
        <is>
          <t>2026-08-02T10:00:00Z</t>
        </is>
      </c>
      <c r="D29" s="24" t="inlineStr">
        <is>
          <t>66809</t>
        </is>
      </c>
      <c r="E29" s="24" t="inlineStr">
        <is>
          <t>CS2</t>
        </is>
      </c>
      <c r="F29" s="24" t="inlineStr">
        <is>
          <t>Brute</t>
        </is>
      </c>
      <c r="G29" s="24" t="inlineStr">
        <is>
          <t>9INE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223</v>
      </c>
      <c r="M29" s="27" t="n">
        <v>3.23</v>
      </c>
      <c r="N29" s="28" t="n">
        <v>0.309598</v>
      </c>
      <c r="O29" s="28" t="n">
        <v>0.53149</v>
      </c>
      <c r="P29" s="28" t="n"/>
      <c r="Q29" s="28" t="n">
        <v>0.221892</v>
      </c>
      <c r="R29" s="26" t="n">
        <v>100</v>
      </c>
      <c r="S29" s="29" t="n">
        <v>1</v>
      </c>
      <c r="T29" s="24" t="inlineStr">
        <is>
          <t>cs2-tiered-elo-v5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0.3100 (market_slug=aec-cs2-9ine-brute-2026-08-02).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Brute</t>
        </is>
      </c>
      <c r="AQ29" s="24" t="inlineStr">
        <is>
          <t>Brute</t>
        </is>
      </c>
      <c r="AR29" s="24" t="inlineStr">
        <is>
          <t>Brute</t>
        </is>
      </c>
      <c r="AS29" s="24" t="inlineStr">
        <is>
          <t>9INE</t>
        </is>
      </c>
      <c r="AT29" s="24" t="inlineStr">
        <is>
          <t>9INE</t>
        </is>
      </c>
      <c r="AU29" s="24" t="inlineStr">
        <is>
          <t>9INE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d50792bb506a20912e2f4121c3471394498423e61f3d19bf1b2285fb92c74388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d50792bb506a20912e2f4121c3471394498423e61f3d19bf1b2285fb92c74388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2026-08-01T21:24:08.292176Z</t>
        </is>
      </c>
      <c r="BI29" s="24" t="inlineStr">
        <is>
          <t>["same_event","same_team_same_day","same_league_same_day"]</t>
        </is>
      </c>
      <c r="BJ29" s="25" t="n"/>
      <c r="BK29" s="26" t="n">
        <v>223</v>
      </c>
      <c r="BL29" s="27" t="n">
        <v>3.23</v>
      </c>
      <c r="BM29" s="28" t="n">
        <v>0.309598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84abab51690f4f8d</t>
        </is>
      </c>
      <c r="B30" s="24" t="inlineStr">
        <is>
          <t>2026-08-01T21:24:25.937290Z</t>
        </is>
      </c>
      <c r="C30" s="24" t="inlineStr">
        <is>
          <t>2026-08-02T13:00:00Z</t>
        </is>
      </c>
      <c r="D30" s="24" t="inlineStr">
        <is>
          <t>68261</t>
        </is>
      </c>
      <c r="E30" s="24" t="inlineStr">
        <is>
          <t>CS2</t>
        </is>
      </c>
      <c r="F30" s="24" t="inlineStr">
        <is>
          <t>Fire Flux Esports</t>
        </is>
      </c>
      <c r="G30" s="24" t="inlineStr">
        <is>
          <t>BASEMENT BOYS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-150</v>
      </c>
      <c r="M30" s="27" t="n">
        <v>1.666667</v>
      </c>
      <c r="N30" s="28" t="n">
        <v>0.6</v>
      </c>
      <c r="O30" s="28" t="n">
        <v>0.65372</v>
      </c>
      <c r="P30" s="28" t="n"/>
      <c r="Q30" s="28" t="n">
        <v>0.05372</v>
      </c>
      <c r="R30" s="26" t="n">
        <v>47</v>
      </c>
      <c r="S30" s="29" t="n">
        <v>1.75</v>
      </c>
      <c r="T30" s="24" t="inlineStr">
        <is>
          <t>cs2-tiered-elo-v5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0.6000 (market_slug=aec-cs2-bmb-ff-2026-08-02).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Fire Flux Esports</t>
        </is>
      </c>
      <c r="AQ30" s="24" t="inlineStr">
        <is>
          <t>Fire Flux Esports</t>
        </is>
      </c>
      <c r="AR30" s="24" t="inlineStr">
        <is>
          <t>Fire Flux Esports</t>
        </is>
      </c>
      <c r="AS30" s="24" t="inlineStr">
        <is>
          <t>BASEMENT BOYS</t>
        </is>
      </c>
      <c r="AT30" s="24" t="inlineStr">
        <is>
          <t>BASEMENT BOYS</t>
        </is>
      </c>
      <c r="AU30" s="24" t="inlineStr">
        <is>
          <t>BASEMENT BOYS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d50792bb506a20912e2f4121c3471394498423e61f3d19bf1b2285fb92c74388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d50792bb506a20912e2f4121c3471394498423e61f3d19bf1b2285fb92c74388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2026-08-01T21:24:09.863967Z</t>
        </is>
      </c>
      <c r="BI30" s="24" t="inlineStr">
        <is>
          <t>["same_event","same_team_same_day","same_league_same_day"]</t>
        </is>
      </c>
      <c r="BJ30" s="25" t="n"/>
      <c r="BK30" s="26" t="n">
        <v>-150</v>
      </c>
      <c r="BL30" s="27" t="n">
        <v>1.666667</v>
      </c>
      <c r="BM30" s="28" t="n">
        <v>0.6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9bf61f216f3e4087</t>
        </is>
      </c>
      <c r="B31" s="24" t="inlineStr">
        <is>
          <t>2026-08-01T21:24:25.937290Z</t>
        </is>
      </c>
      <c r="C31" s="24" t="inlineStr">
        <is>
          <t>2026-08-02T13:00:00Z</t>
        </is>
      </c>
      <c r="D31" s="24" t="inlineStr">
        <is>
          <t>68255</t>
        </is>
      </c>
      <c r="E31" s="24" t="inlineStr">
        <is>
          <t>CS2</t>
        </is>
      </c>
      <c r="F31" s="24" t="inlineStr">
        <is>
          <t>WBT</t>
        </is>
      </c>
      <c r="G31" s="24" t="inlineStr">
        <is>
          <t>MOUZ NXT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-104</v>
      </c>
      <c r="M31" s="27" t="n">
        <v>1.961538</v>
      </c>
      <c r="N31" s="28" t="n">
        <v>0.509804</v>
      </c>
      <c r="O31" s="28" t="n">
        <v>0.543527</v>
      </c>
      <c r="P31" s="28" t="n"/>
      <c r="Q31" s="28" t="n">
        <v>0.033723</v>
      </c>
      <c r="R31" s="26" t="n">
        <v>37</v>
      </c>
      <c r="S31" s="29" t="n">
        <v>1</v>
      </c>
      <c r="T31" s="24" t="inlineStr">
        <is>
          <t>cs2-tiered-elo-v5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0.5100 (market_slug=aec-cs2-mouzn-wba-2026-08-02).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WBT</t>
        </is>
      </c>
      <c r="AQ31" s="24" t="inlineStr">
        <is>
          <t>WBT</t>
        </is>
      </c>
      <c r="AR31" s="24" t="inlineStr">
        <is>
          <t>WBT</t>
        </is>
      </c>
      <c r="AS31" s="24" t="inlineStr">
        <is>
          <t>MOUZ NXT</t>
        </is>
      </c>
      <c r="AT31" s="24" t="inlineStr">
        <is>
          <t>MOUZ NXT</t>
        </is>
      </c>
      <c r="AU31" s="24" t="inlineStr">
        <is>
          <t>MOUZ NXT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d50792bb506a20912e2f4121c3471394498423e61f3d19bf1b2285fb92c74388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d50792bb506a20912e2f4121c3471394498423e61f3d19bf1b2285fb92c74388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2026-08-01T21:24:12.835583Z</t>
        </is>
      </c>
      <c r="BI31" s="24" t="inlineStr">
        <is>
          <t>["same_event","same_team_same_day","same_league_same_day"]</t>
        </is>
      </c>
      <c r="BJ31" s="25" t="n"/>
      <c r="BK31" s="26" t="n">
        <v>-104</v>
      </c>
      <c r="BL31" s="27" t="n">
        <v>1.961538</v>
      </c>
      <c r="BM31" s="28" t="n">
        <v>0.509804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2026-08-01T21:24:26Z</dcterms:created>
  <dcterms:modified xsi:type="dcterms:W3CDTF">2026-08-01T21:24:26Z</dcterms:modified>
</cp:coreProperties>
</file>