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52" headerRowCount="1">
  <autoFilter ref="A1:CQ52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COUNTA('Picks'!$A$2:$A$52)</f>
        <v/>
      </c>
      <c r="C4" s="6">
        <f>COUNTIF('Picks'!$U$2:$U$52,"open")</f>
        <v/>
      </c>
      <c r="E4" s="6">
        <f>COUNTIF('Picks'!$U$2:$U$52,"settled")</f>
        <v/>
      </c>
      <c r="G4" s="6">
        <f>IF(COUNTIFS('Picks'!$U$2:$U$52,"settled",'Picks'!$V$2:$V$52,"win")+COUNTIFS('Picks'!$U$2:$U$52,"settled",'Picks'!$V$2:$V$52,"loss")&gt;=$L$2,"Ready","Insufficient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COUNTIF('Picks'!$BX$2:$BX$52,"&gt;0")</f>
        <v/>
      </c>
      <c r="C7" s="6">
        <f>COUNTIFS('Picks'!$BX$2:$BX$52,"&gt;0",'Picks'!$V$2:$V$52,"win")&amp;"-"&amp;COUNTIFS('Picks'!$BX$2:$BX$52,"&gt;0",'Picks'!$V$2:$V$52,"loss")</f>
        <v/>
      </c>
      <c r="E7" s="7">
        <f>IFERROR(COUNTIFS('Picks'!$BX$2:$BX$52,"&gt;0",'Picks'!$V$2:$V$52,"win")/(COUNTIFS('Picks'!$BX$2:$BX$52,"&gt;0",'Picks'!$V$2:$V$52,"win")+COUNTIFS('Picks'!$BX$2:$BX$52,"&gt;0",'Picks'!$V$2:$V$52,"loss")),0)</f>
        <v/>
      </c>
      <c r="G7" s="7">
        <f>IFERROR(SUM('Picks'!$BY$2:$BY$52)/SUM('Picks'!$BX$2:$BX$52),0)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SUM('Picks'!$BY$2:$BY$52)</f>
        <v/>
      </c>
      <c r="C10" s="9">
        <f>IFERROR(AVERAGEIF('Picks'!$AB$2:$AB$52,"&lt;&gt;",'Picks'!$AB$2:$AB$52),0)</f>
        <v/>
      </c>
      <c r="E10" s="6">
        <f>COUNTIFS('Picks'!$AM$2:$AM$52,"QUALIFIED_SHADOW_CALL",'Picks'!$U$2:$U$52,"settled")</f>
        <v/>
      </c>
      <c r="G10" s="8">
        <f>SUMIFS('Picks'!$AC$2:$AC$52,'Picks'!$AM$2:$AM$52,"QUALIFIED_SHADOW_CALL")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COUNTIFS('Picks'!$H$2:$H$52,$A14,'Picks'!$U$2:$U$52,"settled")</f>
        <v/>
      </c>
      <c r="C14" s="13">
        <f>COUNTIFS('Picks'!$H$2:$H$52,$A14,'Picks'!$U$2:$U$52,"settled",'Picks'!$V$2:$V$52,"win")</f>
        <v/>
      </c>
      <c r="D14" s="13">
        <f>COUNTIFS('Picks'!$H$2:$H$52,$A14,'Picks'!$U$2:$U$52,"settled",'Picks'!$V$2:$V$52,"loss")</f>
        <v/>
      </c>
      <c r="E14" s="14">
        <f>IFERROR(C14/(C14+D14),0)</f>
        <v/>
      </c>
      <c r="F14" s="15">
        <f>SUMIFS('Picks'!$BY$2:$BY$52,'Picks'!$H$2:$H$52,$A14)</f>
        <v/>
      </c>
      <c r="G14" s="16">
        <f>IFERROR(AVERAGEIFS('Picks'!$AB$2:$AB$52,'Picks'!$H$2:$H$52,$A14,'Picks'!$U$2:$U$52,"settled"),0)</f>
        <v/>
      </c>
    </row>
    <row r="15">
      <c r="A15" s="17" t="inlineStr">
        <is>
          <t>spread</t>
        </is>
      </c>
      <c r="B15" s="18">
        <f>COUNTIFS('Picks'!$H$2:$H$52,$A15,'Picks'!$U$2:$U$52,"settled")</f>
        <v/>
      </c>
      <c r="C15" s="18">
        <f>COUNTIFS('Picks'!$H$2:$H$52,$A15,'Picks'!$U$2:$U$52,"settled",'Picks'!$V$2:$V$52,"win")</f>
        <v/>
      </c>
      <c r="D15" s="18">
        <f>COUNTIFS('Picks'!$H$2:$H$52,$A15,'Picks'!$U$2:$U$52,"settled",'Picks'!$V$2:$V$52,"loss")</f>
        <v/>
      </c>
      <c r="E15" s="19">
        <f>IFERROR(C15/(C15+D15),0)</f>
        <v/>
      </c>
      <c r="F15" s="20">
        <f>SUMIFS('Picks'!$BY$2:$BY$52,'Picks'!$H$2:$H$52,$A15)</f>
        <v/>
      </c>
      <c r="G15" s="21">
        <f>IFERROR(AVERAGEIFS('Picks'!$AB$2:$AB$52,'Picks'!$H$2:$H$52,$A15,'Picks'!$U$2:$U$52,"settled"),0)</f>
        <v/>
      </c>
    </row>
    <row r="16">
      <c r="A16" s="12" t="inlineStr">
        <is>
          <t>total</t>
        </is>
      </c>
      <c r="B16" s="13">
        <f>COUNTIFS('Picks'!$H$2:$H$52,$A16,'Picks'!$U$2:$U$52,"settled")</f>
        <v/>
      </c>
      <c r="C16" s="13">
        <f>COUNTIFS('Picks'!$H$2:$H$52,$A16,'Picks'!$U$2:$U$52,"settled",'Picks'!$V$2:$V$52,"win")</f>
        <v/>
      </c>
      <c r="D16" s="13">
        <f>COUNTIFS('Picks'!$H$2:$H$52,$A16,'Picks'!$U$2:$U$52,"settled",'Picks'!$V$2:$V$52,"loss")</f>
        <v/>
      </c>
      <c r="E16" s="14">
        <f>IFERROR(C16/(C16+D16),0)</f>
        <v/>
      </c>
      <c r="F16" s="15">
        <f>SUMIFS('Picks'!$BY$2:$BY$52,'Picks'!$H$2:$H$52,$A16)</f>
        <v/>
      </c>
      <c r="G16" s="16">
        <f>IFERROR(AVERAGEIFS('Picks'!$AB$2:$AB$52,'Picks'!$H$2:$H$52,$A16,'Picks'!$U$2:$U$52,"settled"),0)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inlineStr">
        <is>
          <t>True</t>
        </is>
      </c>
    </row>
    <row r="41" ht="36" customHeight="1">
      <c r="A41" s="24" t="inlineStr">
        <is>
          <t>40c0b4b277d143ad</t>
        </is>
      </c>
      <c r="B41" s="24" t="inlineStr">
        <is>
          <t>2026-08-02T18:24:44.992034Z</t>
        </is>
      </c>
      <c r="C41" s="24" t="inlineStr">
        <is>
          <t>2026-08-02T19:15:00Z</t>
        </is>
      </c>
      <c r="D41" s="24" t="inlineStr">
        <is>
          <t>67576</t>
        </is>
      </c>
      <c r="E41" s="24" t="inlineStr">
        <is>
          <t>CS2</t>
        </is>
      </c>
      <c r="F41" s="24" t="inlineStr">
        <is>
          <t>mokrivskiy Club</t>
        </is>
      </c>
      <c r="G41" s="24" t="inlineStr">
        <is>
          <t>Morphilina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0.57961</v>
      </c>
      <c r="P41" s="28" t="n"/>
      <c r="Q41" s="28" t="n">
        <v>0.139081</v>
      </c>
      <c r="R41" s="26" t="n">
        <v>90</v>
      </c>
      <c r="S41" s="29" t="n">
        <v>1.25</v>
      </c>
      <c r="T41" s="24" t="inlineStr">
        <is>
          <t>cs2-tiered-elo-v5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0.4400 (market_slug=aec-cs2-mcor-mco-2026-08-02).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mokrivskiy Club</t>
        </is>
      </c>
      <c r="AQ41" s="24" t="inlineStr">
        <is>
          <t>mokrivskiy Club</t>
        </is>
      </c>
      <c r="AR41" s="24" t="inlineStr">
        <is>
          <t>mokrivskiy Club</t>
        </is>
      </c>
      <c r="AS41" s="24" t="inlineStr">
        <is>
          <t>Morphilina Club</t>
        </is>
      </c>
      <c r="AT41" s="24" t="inlineStr">
        <is>
          <t>Morphilina Club</t>
        </is>
      </c>
      <c r="AU41" s="24" t="inlineStr">
        <is>
          <t>Morphilina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0393e290b17b4d34bf783a8173fb53c53aebc8558545e4c0778b6e017fd0a405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0393e290b17b4d34bf783a8173fb53c53aebc8558545e4c0778b6e017fd0a405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2026-08-02T18:24:31.889837Z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inlineStr">
        <is>
          <t>True</t>
        </is>
      </c>
    </row>
    <row r="42" ht="36" customHeight="1">
      <c r="A42" s="24" t="inlineStr">
        <is>
          <t>e942d73c1fb24422</t>
        </is>
      </c>
      <c r="B42" s="24" t="inlineStr">
        <is>
          <t>2026-08-02T18:24:44.992034Z</t>
        </is>
      </c>
      <c r="C42" s="24" t="inlineStr">
        <is>
          <t>2026-08-02T19:15:00Z</t>
        </is>
      </c>
      <c r="D42" s="24" t="inlineStr">
        <is>
          <t>67577</t>
        </is>
      </c>
      <c r="E42" s="24" t="inlineStr">
        <is>
          <t>CS2</t>
        </is>
      </c>
      <c r="F42" s="24" t="inlineStr">
        <is>
          <t>SNAILKICK Club</t>
        </is>
      </c>
      <c r="G42" s="24" t="inlineStr">
        <is>
          <t>Lixxx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-156</v>
      </c>
      <c r="M42" s="27" t="n">
        <v>1.641026</v>
      </c>
      <c r="N42" s="28" t="n">
        <v>0.609375</v>
      </c>
      <c r="O42" s="28" t="n">
        <v>0.52695</v>
      </c>
      <c r="P42" s="28" t="n"/>
      <c r="Q42" s="28" t="n">
        <v>-0.082425</v>
      </c>
      <c r="R42" s="26" t="n">
        <v>0</v>
      </c>
      <c r="S42" s="29" t="n">
        <v>1</v>
      </c>
      <c r="T42" s="24" t="inlineStr">
        <is>
          <t>cs2-tiered-elo-v5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0.6100 (market_slug=aec-cs2-lci-scn-2026-08-02).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SNAILKICK Club</t>
        </is>
      </c>
      <c r="AQ42" s="24" t="inlineStr">
        <is>
          <t>SNAILKICK Club</t>
        </is>
      </c>
      <c r="AR42" s="24" t="inlineStr">
        <is>
          <t>SNAILKICK Club</t>
        </is>
      </c>
      <c r="AS42" s="24" t="inlineStr">
        <is>
          <t>Lixxx Club</t>
        </is>
      </c>
      <c r="AT42" s="24" t="inlineStr">
        <is>
          <t>Lixxx Club</t>
        </is>
      </c>
      <c r="AU42" s="24" t="inlineStr">
        <is>
          <t>Lixxx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0393e290b17b4d34bf783a8173fb53c53aebc8558545e4c0778b6e017fd0a405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0393e290b17b4d34bf783a8173fb53c53aebc8558545e4c0778b6e017fd0a405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2026-08-02T18:24:32.462110Z</t>
        </is>
      </c>
      <c r="BI42" s="24" t="inlineStr">
        <is>
          <t>["same_event","same_team_same_day","same_league_same_day"]</t>
        </is>
      </c>
      <c r="BJ42" s="25" t="n"/>
      <c r="BK42" s="26" t="n">
        <v>-156</v>
      </c>
      <c r="BL42" s="27" t="n">
        <v>1.641026</v>
      </c>
      <c r="BM42" s="28" t="n">
        <v>0.609375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inlineStr">
        <is>
          <t>False</t>
        </is>
      </c>
    </row>
    <row r="43" ht="36" customHeight="1">
      <c r="A43" s="24" t="inlineStr">
        <is>
          <t>225670c6c1e146c1</t>
        </is>
      </c>
      <c r="B43" s="24" t="inlineStr">
        <is>
          <t>2026-08-02T18:24:44.992034Z</t>
        </is>
      </c>
      <c r="C43" s="24" t="inlineStr">
        <is>
          <t>2026-08-03T10:00:00Z</t>
        </is>
      </c>
      <c r="D43" s="24" t="inlineStr">
        <is>
          <t>68289</t>
        </is>
      </c>
      <c r="E43" s="24" t="inlineStr">
        <is>
          <t>CS2</t>
        </is>
      </c>
      <c r="F43" s="24" t="inlineStr">
        <is>
          <t>FURY</t>
        </is>
      </c>
      <c r="G43" s="24" t="inlineStr">
        <is>
          <t>Mindfreak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-138</v>
      </c>
      <c r="M43" s="27" t="n">
        <v>1.724638</v>
      </c>
      <c r="N43" s="28" t="n">
        <v>0.579832</v>
      </c>
      <c r="O43" s="28" t="n">
        <v>0.599274</v>
      </c>
      <c r="P43" s="28" t="n"/>
      <c r="Q43" s="28" t="n">
        <v>0.019442</v>
      </c>
      <c r="R43" s="26" t="n">
        <v>30</v>
      </c>
      <c r="S43" s="29" t="n">
        <v>1.25</v>
      </c>
      <c r="T43" s="24" t="inlineStr">
        <is>
          <t>cs2-tiered-elo-v5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0.5800 (market_slug=aec-cs2-mf-fury-2026-08-03).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FURY</t>
        </is>
      </c>
      <c r="AQ43" s="24" t="inlineStr">
        <is>
          <t>FURY</t>
        </is>
      </c>
      <c r="AR43" s="24" t="inlineStr">
        <is>
          <t>FURY</t>
        </is>
      </c>
      <c r="AS43" s="24" t="inlineStr">
        <is>
          <t>Mindfreak</t>
        </is>
      </c>
      <c r="AT43" s="24" t="inlineStr">
        <is>
          <t>Mindfreak</t>
        </is>
      </c>
      <c r="AU43" s="24" t="inlineStr">
        <is>
          <t>Mindfreak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0393e290b17b4d34bf783a8173fb53c53aebc8558545e4c0778b6e017fd0a405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0393e290b17b4d34bf783a8173fb53c53aebc8558545e4c0778b6e017fd0a405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2026-08-02T18:24:35.118991Z</t>
        </is>
      </c>
      <c r="BI43" s="24" t="inlineStr">
        <is>
          <t>["same_event","same_team_same_day","same_league_same_day"]</t>
        </is>
      </c>
      <c r="BJ43" s="25" t="n"/>
      <c r="BK43" s="26" t="n">
        <v>-138</v>
      </c>
      <c r="BL43" s="27" t="n">
        <v>1.724638</v>
      </c>
      <c r="BM43" s="28" t="n">
        <v>0.579832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inlineStr">
        <is>
          <t>True</t>
        </is>
      </c>
    </row>
    <row r="44" ht="36" customHeight="1">
      <c r="A44" s="24" t="inlineStr">
        <is>
          <t>93ed2943ccd7452a</t>
        </is>
      </c>
      <c r="B44" s="24" t="inlineStr">
        <is>
          <t>2026-08-02T18:24:44.992034Z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-223</v>
      </c>
      <c r="M44" s="27" t="n">
        <v>1.44843</v>
      </c>
      <c r="N44" s="28" t="n">
        <v>0.690402</v>
      </c>
      <c r="O44" s="28" t="n">
        <v>0.563115</v>
      </c>
      <c r="P44" s="28" t="n"/>
      <c r="Q44" s="28" t="n">
        <v>-0.127287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0.6900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0393e290b17b4d34bf783a8173fb53c53aebc8558545e4c0778b6e017fd0a405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0393e290b17b4d34bf783a8173fb53c53aebc8558545e4c0778b6e017fd0a405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2026-08-02T18:24:36.680077Z</t>
        </is>
      </c>
      <c r="BI44" s="24" t="inlineStr">
        <is>
          <t>["same_event","same_team_same_day","same_league_same_day"]</t>
        </is>
      </c>
      <c r="BJ44" s="25" t="n"/>
      <c r="BK44" s="26" t="n">
        <v>-223</v>
      </c>
      <c r="BL44" s="27" t="n">
        <v>1.44843</v>
      </c>
      <c r="BM44" s="28" t="n">
        <v>0.690402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inlineStr">
        <is>
          <t>False</t>
        </is>
      </c>
    </row>
    <row r="45" ht="36" customHeight="1">
      <c r="A45" s="24" t="inlineStr">
        <is>
          <t>412616da924148cc</t>
        </is>
      </c>
      <c r="B45" s="24" t="inlineStr">
        <is>
          <t>2026-08-02T18:24:44.992034Z</t>
        </is>
      </c>
      <c r="C45" s="24" t="inlineStr">
        <is>
          <t>2026-08-03T10:30:00Z</t>
        </is>
      </c>
      <c r="D45" s="24" t="inlineStr">
        <is>
          <t>67514</t>
        </is>
      </c>
      <c r="E45" s="24" t="inlineStr">
        <is>
          <t>CS2</t>
        </is>
      </c>
      <c r="F45" s="24" t="inlineStr">
        <is>
          <t>Passion Academy</t>
        </is>
      </c>
      <c r="G45" s="24" t="inlineStr">
        <is>
          <t>EAC Rising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-163</v>
      </c>
      <c r="M45" s="27" t="n">
        <v>1.613497</v>
      </c>
      <c r="N45" s="28" t="n">
        <v>0.619772</v>
      </c>
      <c r="O45" s="28" t="n">
        <v>0.640004</v>
      </c>
      <c r="P45" s="28" t="n"/>
      <c r="Q45" s="28" t="n">
        <v>0.020232</v>
      </c>
      <c r="R45" s="26" t="n">
        <v>30</v>
      </c>
      <c r="S45" s="29" t="n">
        <v>1.5</v>
      </c>
      <c r="T45" s="24" t="inlineStr">
        <is>
          <t>cs2-tiered-elo-v5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0.6200 (market_slug=aec-cs2-era-psna-2026-08-03).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Passion Academy</t>
        </is>
      </c>
      <c r="AQ45" s="24" t="inlineStr">
        <is>
          <t>Passion Academy</t>
        </is>
      </c>
      <c r="AR45" s="24" t="inlineStr">
        <is>
          <t>Passion Academy</t>
        </is>
      </c>
      <c r="AS45" s="24" t="inlineStr">
        <is>
          <t>EAC Rising</t>
        </is>
      </c>
      <c r="AT45" s="24" t="inlineStr">
        <is>
          <t>EAC Rising</t>
        </is>
      </c>
      <c r="AU45" s="24" t="inlineStr">
        <is>
          <t>EAC Rising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0393e290b17b4d34bf783a8173fb53c53aebc8558545e4c0778b6e017fd0a405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0393e290b17b4d34bf783a8173fb53c53aebc8558545e4c0778b6e017fd0a405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2026-08-02T18:24:37.624827Z</t>
        </is>
      </c>
      <c r="BI45" s="24" t="inlineStr">
        <is>
          <t>["same_event","same_team_same_day","same_league_same_day"]</t>
        </is>
      </c>
      <c r="BJ45" s="25" t="n"/>
      <c r="BK45" s="26" t="n">
        <v>-163</v>
      </c>
      <c r="BL45" s="27" t="n">
        <v>1.613497</v>
      </c>
      <c r="BM45" s="28" t="n">
        <v>0.619772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inlineStr">
        <is>
          <t>True</t>
        </is>
      </c>
    </row>
    <row r="46" ht="36" customHeight="1">
      <c r="A46" s="24" t="inlineStr">
        <is>
          <t>a18c9bf9ab354be3</t>
        </is>
      </c>
      <c r="B46" s="24" t="inlineStr">
        <is>
          <t>2026-08-02T18:24:44.992034Z</t>
        </is>
      </c>
      <c r="C46" s="24" t="inlineStr">
        <is>
          <t>2026-08-03T11:00:00Z</t>
        </is>
      </c>
      <c r="D46" s="24" t="inlineStr">
        <is>
          <t>69267</t>
        </is>
      </c>
      <c r="E46" s="24" t="inlineStr">
        <is>
          <t>CS2</t>
        </is>
      </c>
      <c r="F46" s="24" t="inlineStr">
        <is>
          <t>los kogutos</t>
        </is>
      </c>
      <c r="G46" s="24" t="inlineStr">
        <is>
          <t>Just Players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-213</v>
      </c>
      <c r="M46" s="27" t="n">
        <v>1.469484</v>
      </c>
      <c r="N46" s="28" t="n">
        <v>0.680511</v>
      </c>
      <c r="O46" s="28" t="n">
        <v>0.628935</v>
      </c>
      <c r="P46" s="28" t="n"/>
      <c r="Q46" s="28" t="n">
        <v>-0.051576</v>
      </c>
      <c r="R46" s="26" t="n">
        <v>0</v>
      </c>
      <c r="S46" s="29" t="n">
        <v>1.5</v>
      </c>
      <c r="T46" s="24" t="inlineStr">
        <is>
          <t>cs2-tiered-elo-v5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0.6800 (market_slug=aec-cs2-jpu-lk-2026-08-03).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>los kogutos</t>
        </is>
      </c>
      <c r="AQ46" s="24" t="inlineStr">
        <is>
          <t>los kogutos</t>
        </is>
      </c>
      <c r="AR46" s="24" t="inlineStr">
        <is>
          <t>los kogutos</t>
        </is>
      </c>
      <c r="AS46" s="24" t="inlineStr">
        <is>
          <t>Just Players</t>
        </is>
      </c>
      <c r="AT46" s="24" t="inlineStr">
        <is>
          <t>Just Players</t>
        </is>
      </c>
      <c r="AU46" s="24" t="inlineStr">
        <is>
          <t>Just Players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0393e290b17b4d34bf783a8173fb53c53aebc8558545e4c0778b6e017fd0a405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0393e290b17b4d34bf783a8173fb53c53aebc8558545e4c0778b6e017fd0a405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2026-08-02T18:24:38.106265Z</t>
        </is>
      </c>
      <c r="BI46" s="24" t="inlineStr">
        <is>
          <t>["same_event","same_team_same_day","same_league_same_day"]</t>
        </is>
      </c>
      <c r="BJ46" s="25" t="n"/>
      <c r="BK46" s="26" t="n">
        <v>-213</v>
      </c>
      <c r="BL46" s="27" t="n">
        <v>1.469484</v>
      </c>
      <c r="BM46" s="28" t="n">
        <v>0.680511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inlineStr">
        <is>
          <t>False</t>
        </is>
      </c>
    </row>
    <row r="47" ht="36" customHeight="1">
      <c r="A47" s="24" t="inlineStr">
        <is>
          <t>aaf28a4288ea44ae</t>
        </is>
      </c>
      <c r="B47" s="24" t="inlineStr">
        <is>
          <t>2026-08-02T18:24:44.992034Z</t>
        </is>
      </c>
      <c r="C47" s="24" t="inlineStr">
        <is>
          <t>2026-08-03T11:00:00Z</t>
        </is>
      </c>
      <c r="D47" s="24" t="inlineStr">
        <is>
          <t>67578</t>
        </is>
      </c>
      <c r="E47" s="24" t="inlineStr">
        <is>
          <t>CS2</t>
        </is>
      </c>
      <c r="F47" s="24" t="inlineStr">
        <is>
          <t>Perfecto Club</t>
        </is>
      </c>
      <c r="G47" s="24" t="inlineStr">
        <is>
          <t>Recrent Club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-150</v>
      </c>
      <c r="M47" s="27" t="n">
        <v>1.666667</v>
      </c>
      <c r="N47" s="28" t="n">
        <v>0.6</v>
      </c>
      <c r="O47" s="28" t="n">
        <v>0.52695</v>
      </c>
      <c r="P47" s="28" t="n"/>
      <c r="Q47" s="28" t="n">
        <v>-0.07305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0.6000 (market_slug=aec-cs2-rce-pce-2026-08-03).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Perfecto Club</t>
        </is>
      </c>
      <c r="AQ47" s="24" t="inlineStr">
        <is>
          <t>Perfecto Club</t>
        </is>
      </c>
      <c r="AR47" s="24" t="inlineStr">
        <is>
          <t>Perfecto Club</t>
        </is>
      </c>
      <c r="AS47" s="24" t="inlineStr">
        <is>
          <t>Recrent Club</t>
        </is>
      </c>
      <c r="AT47" s="24" t="inlineStr">
        <is>
          <t>Recrent Club</t>
        </is>
      </c>
      <c r="AU47" s="24" t="inlineStr">
        <is>
          <t>Recrent Club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0393e290b17b4d34bf783a8173fb53c53aebc8558545e4c0778b6e017fd0a405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0393e290b17b4d34bf783a8173fb53c53aebc8558545e4c0778b6e017fd0a405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2026-08-02T18:24:38.641492Z</t>
        </is>
      </c>
      <c r="BI47" s="24" t="inlineStr">
        <is>
          <t>["same_event","same_team_same_day","same_league_same_day"]</t>
        </is>
      </c>
      <c r="BJ47" s="25" t="n"/>
      <c r="BK47" s="26" t="n">
        <v>-150</v>
      </c>
      <c r="BL47" s="27" t="n">
        <v>1.666667</v>
      </c>
      <c r="BM47" s="28" t="n">
        <v>0.6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inlineStr">
        <is>
          <t>False</t>
        </is>
      </c>
    </row>
    <row r="48" ht="36" customHeight="1">
      <c r="A48" s="24" t="inlineStr">
        <is>
          <t>9c8db8d6e2834596</t>
        </is>
      </c>
      <c r="B48" s="24" t="inlineStr">
        <is>
          <t>2026-08-02T18:24:44.992034Z</t>
        </is>
      </c>
      <c r="C48" s="24" t="inlineStr">
        <is>
          <t>2026-08-03T11:00:00Z</t>
        </is>
      </c>
      <c r="D48" s="24" t="inlineStr">
        <is>
          <t>69135</t>
        </is>
      </c>
      <c r="E48" s="24" t="inlineStr">
        <is>
          <t>CS2</t>
        </is>
      </c>
      <c r="F48" s="24" t="inlineStr">
        <is>
          <t>ex-RUBY</t>
        </is>
      </c>
      <c r="G48" s="24" t="inlineStr">
        <is>
          <t>1WIN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-170</v>
      </c>
      <c r="M48" s="27" t="n">
        <v>1.588235</v>
      </c>
      <c r="N48" s="28" t="n">
        <v>0.62963</v>
      </c>
      <c r="O48" s="28" t="n">
        <v>0.527213</v>
      </c>
      <c r="P48" s="28" t="n"/>
      <c r="Q48" s="28" t="n">
        <v>-0.102417</v>
      </c>
      <c r="R48" s="26" t="n">
        <v>0</v>
      </c>
      <c r="S48" s="29" t="n">
        <v>1</v>
      </c>
      <c r="T48" s="24" t="inlineStr">
        <is>
          <t>cs2-tiered-elo-v5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0.6300 (market_slug=aec-cs2-1win-exruby-2026-08-03).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ex-RUBY</t>
        </is>
      </c>
      <c r="AQ48" s="24" t="inlineStr">
        <is>
          <t>ex-RUBY</t>
        </is>
      </c>
      <c r="AR48" s="24" t="inlineStr">
        <is>
          <t>ex-RUBY</t>
        </is>
      </c>
      <c r="AS48" s="24" t="inlineStr">
        <is>
          <t>1WIN</t>
        </is>
      </c>
      <c r="AT48" s="24" t="inlineStr">
        <is>
          <t>1WIN</t>
        </is>
      </c>
      <c r="AU48" s="24" t="inlineStr">
        <is>
          <t>1WIN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0393e290b17b4d34bf783a8173fb53c53aebc8558545e4c0778b6e017fd0a405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0393e290b17b4d34bf783a8173fb53c53aebc8558545e4c0778b6e017fd0a405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2026-08-02T18:24:39.222086Z</t>
        </is>
      </c>
      <c r="BI48" s="24" t="inlineStr">
        <is>
          <t>["same_event","same_team_same_day","same_league_same_day"]</t>
        </is>
      </c>
      <c r="BJ48" s="25" t="n"/>
      <c r="BK48" s="26" t="n">
        <v>-170</v>
      </c>
      <c r="BL48" s="27" t="n">
        <v>1.588235</v>
      </c>
      <c r="BM48" s="28" t="n">
        <v>0.62963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inlineStr">
        <is>
          <t>False</t>
        </is>
      </c>
    </row>
    <row r="49" ht="36" customHeight="1">
      <c r="A49" s="24" t="inlineStr">
        <is>
          <t>cdce12367ea0483b</t>
        </is>
      </c>
      <c r="B49" s="24" t="inlineStr">
        <is>
          <t>2026-08-02T18:24:44.992034Z</t>
        </is>
      </c>
      <c r="C49" s="24" t="inlineStr">
        <is>
          <t>2026-08-03T13:45:00Z</t>
        </is>
      </c>
      <c r="D49" s="24" t="inlineStr">
        <is>
          <t>67579</t>
        </is>
      </c>
      <c r="E49" s="24" t="inlineStr">
        <is>
          <t>CS2</t>
        </is>
      </c>
      <c r="F49" s="24" t="inlineStr">
        <is>
          <t>Morphilina Club</t>
        </is>
      </c>
      <c r="G49" s="24" t="inlineStr">
        <is>
          <t>Perfecto Club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194</v>
      </c>
      <c r="M49" s="27" t="n">
        <v>2.94</v>
      </c>
      <c r="N49" s="28" t="n">
        <v>0.340136</v>
      </c>
      <c r="O49" s="28" t="n">
        <v>0.526317</v>
      </c>
      <c r="P49" s="28" t="n"/>
      <c r="Q49" s="28" t="n">
        <v>0.186181</v>
      </c>
      <c r="R49" s="26" t="n">
        <v>100</v>
      </c>
      <c r="S49" s="29" t="n">
        <v>1</v>
      </c>
      <c r="T49" s="24" t="inlineStr">
        <is>
          <t>cs2-tiered-elo-v5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0.3400 (market_slug=aec-cs2-pce-mcor-2026-08-03).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Morphilina Club</t>
        </is>
      </c>
      <c r="AQ49" s="24" t="inlineStr">
        <is>
          <t>Morphilina Club</t>
        </is>
      </c>
      <c r="AR49" s="24" t="inlineStr">
        <is>
          <t>Morphilina Club</t>
        </is>
      </c>
      <c r="AS49" s="24" t="inlineStr">
        <is>
          <t>Perfecto Club</t>
        </is>
      </c>
      <c r="AT49" s="24" t="inlineStr">
        <is>
          <t>Perfecto Club</t>
        </is>
      </c>
      <c r="AU49" s="24" t="inlineStr">
        <is>
          <t>Perfecto Club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0393e290b17b4d34bf783a8173fb53c53aebc8558545e4c0778b6e017fd0a405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0393e290b17b4d34bf783a8173fb53c53aebc8558545e4c0778b6e017fd0a405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2026-08-02T18:24:39.764070Z</t>
        </is>
      </c>
      <c r="BI49" s="24" t="inlineStr">
        <is>
          <t>["same_event","same_team_same_day","same_league_same_day"]</t>
        </is>
      </c>
      <c r="BJ49" s="25" t="n"/>
      <c r="BK49" s="26" t="n">
        <v>194</v>
      </c>
      <c r="BL49" s="27" t="n">
        <v>2.94</v>
      </c>
      <c r="BM49" s="28" t="n">
        <v>0.340136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inlineStr">
        <is>
          <t>True</t>
        </is>
      </c>
    </row>
    <row r="50" ht="36" customHeight="1">
      <c r="A50" s="24" t="inlineStr">
        <is>
          <t>9ae4dc87df774f4c</t>
        </is>
      </c>
      <c r="B50" s="24" t="inlineStr">
        <is>
          <t>2026-08-02T18:24:44.992034Z</t>
        </is>
      </c>
      <c r="C50" s="24" t="inlineStr">
        <is>
          <t>2026-08-03T14:00:00Z</t>
        </is>
      </c>
      <c r="D50" s="24" t="inlineStr">
        <is>
          <t>69268</t>
        </is>
      </c>
      <c r="E50" s="24" t="inlineStr">
        <is>
          <t>CS2</t>
        </is>
      </c>
      <c r="F50" s="24" t="inlineStr">
        <is>
          <t>ex-Young Ninjas</t>
        </is>
      </c>
      <c r="G50" s="24" t="inlineStr">
        <is>
          <t>SPARTA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-178</v>
      </c>
      <c r="M50" s="27" t="n">
        <v>1.561798</v>
      </c>
      <c r="N50" s="28" t="n">
        <v>0.640288</v>
      </c>
      <c r="O50" s="28" t="n">
        <v>0.663166</v>
      </c>
      <c r="P50" s="28" t="n"/>
      <c r="Q50" s="28" t="n">
        <v>0.022878</v>
      </c>
      <c r="R50" s="26" t="n">
        <v>31</v>
      </c>
      <c r="S50" s="29" t="n">
        <v>1.75</v>
      </c>
      <c r="T50" s="24" t="inlineStr">
        <is>
          <t>cs2-tiered-elo-v5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0.6400 (market_slug=aec-cs2-sparta-eyn-2026-08-03).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ex-Young Ninjas</t>
        </is>
      </c>
      <c r="AQ50" s="24" t="inlineStr">
        <is>
          <t>ex-Young Ninjas</t>
        </is>
      </c>
      <c r="AR50" s="24" t="inlineStr">
        <is>
          <t>ex-Young Ninjas</t>
        </is>
      </c>
      <c r="AS50" s="24" t="inlineStr">
        <is>
          <t>SPARTA</t>
        </is>
      </c>
      <c r="AT50" s="24" t="inlineStr">
        <is>
          <t>SPARTA</t>
        </is>
      </c>
      <c r="AU50" s="24" t="inlineStr">
        <is>
          <t>SPARTA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0393e290b17b4d34bf783a8173fb53c53aebc8558545e4c0778b6e017fd0a405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0393e290b17b4d34bf783a8173fb53c53aebc8558545e4c0778b6e017fd0a405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2026-08-02T18:24:40.237935Z</t>
        </is>
      </c>
      <c r="BI50" s="24" t="inlineStr">
        <is>
          <t>["same_event","same_team_same_day","same_league_same_day"]</t>
        </is>
      </c>
      <c r="BJ50" s="25" t="n"/>
      <c r="BK50" s="26" t="n">
        <v>-178</v>
      </c>
      <c r="BL50" s="27" t="n">
        <v>1.561798</v>
      </c>
      <c r="BM50" s="28" t="n">
        <v>0.640288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inlineStr">
        <is>
          <t>True</t>
        </is>
      </c>
    </row>
    <row r="51" ht="36" customHeight="1">
      <c r="A51" s="24" t="inlineStr">
        <is>
          <t>c17d439ef8a6478f</t>
        </is>
      </c>
      <c r="B51" s="24" t="inlineStr">
        <is>
          <t>2026-08-02T18:24:44.992034Z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-178</v>
      </c>
      <c r="M51" s="27" t="n">
        <v>1.561798</v>
      </c>
      <c r="N51" s="28" t="n">
        <v>0.640288</v>
      </c>
      <c r="O51" s="28" t="n">
        <v>0.614</v>
      </c>
      <c r="P51" s="28" t="n"/>
      <c r="Q51" s="28" t="n">
        <v>-0.026288</v>
      </c>
      <c r="R51" s="26" t="n">
        <v>7</v>
      </c>
      <c r="S51" s="29" t="n">
        <v>1.5</v>
      </c>
      <c r="T51" s="24" t="inlineStr">
        <is>
          <t>cs2-tiered-elo-v5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0.6400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0393e290b17b4d34bf783a8173fb53c53aebc8558545e4c0778b6e017fd0a405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0393e290b17b4d34bf783a8173fb53c53aebc8558545e4c0778b6e017fd0a405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2026-08-02T18:24:40.707211Z</t>
        </is>
      </c>
      <c r="BI51" s="24" t="inlineStr">
        <is>
          <t>["same_event","same_team_same_day","same_league_same_day"]</t>
        </is>
      </c>
      <c r="BJ51" s="25" t="n"/>
      <c r="BK51" s="26" t="n">
        <v>-178</v>
      </c>
      <c r="BL51" s="27" t="n">
        <v>1.561798</v>
      </c>
      <c r="BM51" s="28" t="n">
        <v>0.640288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inlineStr">
        <is>
          <t>False</t>
        </is>
      </c>
    </row>
    <row r="52" ht="36" customHeight="1">
      <c r="A52" s="24" t="inlineStr">
        <is>
          <t>142d7fccce1c4f93</t>
        </is>
      </c>
      <c r="B52" s="24" t="inlineStr">
        <is>
          <t>2026-08-02T18:24:44.992034Z</t>
        </is>
      </c>
      <c r="C52" s="24" t="inlineStr">
        <is>
          <t>2026-08-03T23:00:00Z</t>
        </is>
      </c>
      <c r="D52" s="24" t="inlineStr">
        <is>
          <t>68043</t>
        </is>
      </c>
      <c r="E52" s="24" t="inlineStr">
        <is>
          <t>CS2</t>
        </is>
      </c>
      <c r="F52" s="24" t="inlineStr">
        <is>
          <t>paiN Academy</t>
        </is>
      </c>
      <c r="G52" s="24" t="inlineStr">
        <is>
          <t>Grêmio Esports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122</v>
      </c>
      <c r="M52" s="27" t="n">
        <v>2.22</v>
      </c>
      <c r="N52" s="28" t="n">
        <v>0.45045</v>
      </c>
      <c r="O52" s="28" t="n">
        <v>0.569685</v>
      </c>
      <c r="P52" s="28" t="n"/>
      <c r="Q52" s="28" t="n">
        <v>0.119235</v>
      </c>
      <c r="R52" s="26" t="n">
        <v>80</v>
      </c>
      <c r="S52" s="29" t="n">
        <v>1.25</v>
      </c>
      <c r="T52" s="24" t="inlineStr">
        <is>
          <t>cs2-tiered-elo-v5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0.4500 (market_slug=aec-cs2-ger-paina-2026-08-03).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paiN Academy</t>
        </is>
      </c>
      <c r="AQ52" s="24" t="inlineStr">
        <is>
          <t>paiN Academy</t>
        </is>
      </c>
      <c r="AR52" s="24" t="inlineStr">
        <is>
          <t>paiN Academy</t>
        </is>
      </c>
      <c r="AS52" s="24" t="inlineStr">
        <is>
          <t>Grêmio Esports</t>
        </is>
      </c>
      <c r="AT52" s="24" t="inlineStr">
        <is>
          <t>Grêmio Esports</t>
        </is>
      </c>
      <c r="AU52" s="24" t="inlineStr">
        <is>
          <t>Grêmio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0393e290b17b4d34bf783a8173fb53c53aebc8558545e4c0778b6e017fd0a405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0393e290b17b4d34bf783a8173fb53c53aebc8558545e4c0778b6e017fd0a405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2026-08-02T18:24:44.989547Z</t>
        </is>
      </c>
      <c r="BI52" s="24" t="inlineStr">
        <is>
          <t>["same_event","same_team_same_day","same_league_same_day"]</t>
        </is>
      </c>
      <c r="BJ52" s="25" t="n"/>
      <c r="BK52" s="26" t="n">
        <v>122</v>
      </c>
      <c r="BL52" s="27" t="n">
        <v>2.22</v>
      </c>
      <c r="BM52" s="28" t="n">
        <v>0.45045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2026-08-02T18:25:00Z</dcterms:created>
  <dcterms:modified xsi:type="dcterms:W3CDTF">2026-08-02T18:25:00Z</dcterms:modified>
</cp:coreProperties>
</file>