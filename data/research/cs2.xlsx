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112" headerRowCount="1">
  <autoFilter ref="A1:CS11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COUNTA('Picks'!$A$2:$A$112)</f>
        <v/>
      </c>
      <c r="C4" s="6">
        <f>COUNTIF('Picks'!$U$2:$U$112,"open")</f>
        <v/>
      </c>
      <c r="E4" s="6">
        <f>COUNTIF('Picks'!$U$2:$U$112,"settled")</f>
        <v/>
      </c>
      <c r="G4" s="6">
        <f>IF(COUNTIFS('Picks'!$U$2:$U$112,"settled",'Picks'!$V$2:$V$112,"win")+COUNTIFS('Picks'!$U$2:$U$112,"settled",'Picks'!$V$2:$V$112,"loss")&gt;=$L$2,"Ready","Insufficient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COUNTIF('Picks'!$BX$2:$BX$112,"&gt;0")</f>
        <v/>
      </c>
      <c r="C7" s="6">
        <f>COUNTIFS('Picks'!$BX$2:$BX$112,"&gt;0",'Picks'!$V$2:$V$112,"win")&amp;"-"&amp;COUNTIFS('Picks'!$BX$2:$BX$112,"&gt;0",'Picks'!$V$2:$V$112,"loss")</f>
        <v/>
      </c>
      <c r="E7" s="7">
        <f>IFERROR(COUNTIFS('Picks'!$BX$2:$BX$112,"&gt;0",'Picks'!$V$2:$V$112,"win")/(COUNTIFS('Picks'!$BX$2:$BX$112,"&gt;0",'Picks'!$V$2:$V$112,"win")+COUNTIFS('Picks'!$BX$2:$BX$112,"&gt;0",'Picks'!$V$2:$V$112,"loss")),0)</f>
        <v/>
      </c>
      <c r="G7" s="7">
        <f>IFERROR(SUM('Picks'!$BY$2:$BY$112)/SUM('Picks'!$BX$2:$BX$112),0)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SUM('Picks'!$BY$2:$BY$112)</f>
        <v/>
      </c>
      <c r="C10" s="9">
        <f>IFERROR(AVERAGEIF('Picks'!$AB$2:$AB$112,"&lt;&gt;",'Picks'!$AB$2:$AB$112),0)</f>
        <v/>
      </c>
      <c r="E10" s="6">
        <f>COUNTIFS('Picks'!$AM$2:$AM$112,"QUALIFIED_SHADOW_CALL",'Picks'!$U$2:$U$112,"settled")</f>
        <v/>
      </c>
      <c r="G10" s="8">
        <f>SUMIFS('Picks'!$AC$2:$AC$112,'Picks'!$AM$2:$AM$112,"QUALIFIED_SHADOW_CALL")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COUNTIFS('Picks'!$H$2:$H$112,$A14,'Picks'!$U$2:$U$112,"settled")</f>
        <v/>
      </c>
      <c r="C14" s="13">
        <f>COUNTIFS('Picks'!$H$2:$H$112,$A14,'Picks'!$U$2:$U$112,"settled",'Picks'!$V$2:$V$112,"win")</f>
        <v/>
      </c>
      <c r="D14" s="13">
        <f>COUNTIFS('Picks'!$H$2:$H$112,$A14,'Picks'!$U$2:$U$112,"settled",'Picks'!$V$2:$V$112,"loss")</f>
        <v/>
      </c>
      <c r="E14" s="14">
        <f>IFERROR(C14/(C14+D14),0)</f>
        <v/>
      </c>
      <c r="F14" s="15">
        <f>SUMIFS('Picks'!$BY$2:$BY$112,'Picks'!$H$2:$H$112,$A14)</f>
        <v/>
      </c>
      <c r="G14" s="16">
        <f>IFERROR(AVERAGEIFS('Picks'!$AB$2:$AB$112,'Picks'!$H$2:$H$112,$A14,'Picks'!$U$2:$U$112,"settled"),0)</f>
        <v/>
      </c>
    </row>
    <row r="15">
      <c r="A15" s="17" t="inlineStr">
        <is>
          <t>spread</t>
        </is>
      </c>
      <c r="B15" s="18">
        <f>COUNTIFS('Picks'!$H$2:$H$112,$A15,'Picks'!$U$2:$U$112,"settled")</f>
        <v/>
      </c>
      <c r="C15" s="18">
        <f>COUNTIFS('Picks'!$H$2:$H$112,$A15,'Picks'!$U$2:$U$112,"settled",'Picks'!$V$2:$V$112,"win")</f>
        <v/>
      </c>
      <c r="D15" s="18">
        <f>COUNTIFS('Picks'!$H$2:$H$112,$A15,'Picks'!$U$2:$U$112,"settled",'Picks'!$V$2:$V$112,"loss")</f>
        <v/>
      </c>
      <c r="E15" s="19">
        <f>IFERROR(C15/(C15+D15),0)</f>
        <v/>
      </c>
      <c r="F15" s="20">
        <f>SUMIFS('Picks'!$BY$2:$BY$112,'Picks'!$H$2:$H$112,$A15)</f>
        <v/>
      </c>
      <c r="G15" s="21">
        <f>IFERROR(AVERAGEIFS('Picks'!$AB$2:$AB$112,'Picks'!$H$2:$H$112,$A15,'Picks'!$U$2:$U$112,"settled"),0)</f>
        <v/>
      </c>
    </row>
    <row r="16">
      <c r="A16" s="12" t="inlineStr">
        <is>
          <t>total</t>
        </is>
      </c>
      <c r="B16" s="13">
        <f>COUNTIFS('Picks'!$H$2:$H$112,$A16,'Picks'!$U$2:$U$112,"settled")</f>
        <v/>
      </c>
      <c r="C16" s="13">
        <f>COUNTIFS('Picks'!$H$2:$H$112,$A16,'Picks'!$U$2:$U$112,"settled",'Picks'!$V$2:$V$112,"win")</f>
        <v/>
      </c>
      <c r="D16" s="13">
        <f>COUNTIFS('Picks'!$H$2:$H$112,$A16,'Picks'!$U$2:$U$112,"settled",'Picks'!$V$2:$V$112,"loss")</f>
        <v/>
      </c>
      <c r="E16" s="14">
        <f>IFERROR(C16/(C16+D16),0)</f>
        <v/>
      </c>
      <c r="F16" s="15">
        <f>SUMIFS('Picks'!$BY$2:$BY$112,'Picks'!$H$2:$H$112,$A16)</f>
        <v/>
      </c>
      <c r="G16" s="16">
        <f>IFERROR(AVERAGEIFS('Picks'!$AB$2:$AB$112,'Picks'!$H$2:$H$112,$A16,'Picks'!$U$2:$U$112,"settled"),0)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2026-08-03T02:34:37.075403Z</t>
        </is>
      </c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settled to a non-binary price (forfeit/postponement per market rules)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2026-08-03T02:34:38.439879Z</t>
        </is>
      </c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1.2821</v>
      </c>
      <c r="AD38" s="24" t="inlineStr">
        <is>
          <t>2026-08-02T23:13:08.840628Z</t>
        </is>
      </c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2026-08-03T02:34:39.833362Z</t>
        </is>
      </c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150</v>
      </c>
      <c r="AA40" s="28" t="n">
        <v>0.4</v>
      </c>
      <c r="AB40" s="28" t="n">
        <v>0</v>
      </c>
      <c r="AC40" s="30" t="n">
        <v>-1</v>
      </c>
      <c r="AD40" s="24" t="inlineStr">
        <is>
          <t>2026-08-02T23:13:11.332419Z</t>
        </is>
      </c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108a0eee881d4892</t>
        </is>
      </c>
      <c r="B41" s="24" t="inlineStr">
        <is>
          <t>2026-08-02T18:50:17.352715Z</t>
        </is>
      </c>
      <c r="C41" s="24" t="inlineStr">
        <is>
          <t>2026-08-02T19:15:00Z</t>
        </is>
      </c>
      <c r="D41" s="24" t="inlineStr">
        <is>
          <t>67577</t>
        </is>
      </c>
      <c r="E41" s="24" t="inlineStr">
        <is>
          <t>CS2</t>
        </is>
      </c>
      <c r="F41" s="24" t="inlineStr">
        <is>
          <t>SNAILKICK Club</t>
        </is>
      </c>
      <c r="G41" s="24" t="inlineStr">
        <is>
          <t>Lixxx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-156</v>
      </c>
      <c r="M41" s="27" t="n">
        <v>1.641026</v>
      </c>
      <c r="N41" s="28" t="n">
        <v>0.609375</v>
      </c>
      <c r="O41" s="28" t="n">
        <v>0.527097</v>
      </c>
      <c r="P41" s="28" t="n"/>
      <c r="Q41" s="28" t="n">
        <v>-0.082278</v>
      </c>
      <c r="R41" s="26" t="n">
        <v>0</v>
      </c>
      <c r="S41" s="29" t="n">
        <v>1</v>
      </c>
      <c r="T41" s="24" t="inlineStr">
        <is>
          <t>cs2-tiered-elo-v5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-156</v>
      </c>
      <c r="AA41" s="28" t="n">
        <v>0.61</v>
      </c>
      <c r="AB41" s="28" t="n">
        <v>0.000625</v>
      </c>
      <c r="AC41" s="30" t="n">
        <v>0.641</v>
      </c>
      <c r="AD41" s="24" t="inlineStr">
        <is>
          <t>2026-08-02T23:13:12.727767Z</t>
        </is>
      </c>
      <c r="AE41" s="31" t="inlineStr">
        <is>
          <t>Neutral Elo baseline; executable ask 0.6100 (market_slug=aec-cs2-lci-scn-2026-08-02).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SNAILKICK Club</t>
        </is>
      </c>
      <c r="AQ41" s="24" t="inlineStr">
        <is>
          <t>SNAILKICK Club</t>
        </is>
      </c>
      <c r="AR41" s="24" t="inlineStr">
        <is>
          <t>SNAILKICK Club</t>
        </is>
      </c>
      <c r="AS41" s="24" t="inlineStr">
        <is>
          <t>Lixxx Club</t>
        </is>
      </c>
      <c r="AT41" s="24" t="inlineStr">
        <is>
          <t>Lixxx Club</t>
        </is>
      </c>
      <c r="AU41" s="24" t="inlineStr">
        <is>
          <t>Lixxx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e4232d2f4ef51c47f2dc842e10597bebb70952e9ec25e243147604e0ae4edf92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e4232d2f4ef51c47f2dc842e10597bebb70952e9ec25e243147604e0ae4edf92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2026-08-02T18:50:03.712258Z</t>
        </is>
      </c>
      <c r="BI41" s="24" t="inlineStr">
        <is>
          <t>["same_event","same_team_same_day","same_league_same_day"]</t>
        </is>
      </c>
      <c r="BJ41" s="25" t="n"/>
      <c r="BK41" s="26" t="n">
        <v>-156</v>
      </c>
      <c r="BL41" s="27" t="n">
        <v>1.641026</v>
      </c>
      <c r="BM41" s="28" t="n">
        <v>0.609375</v>
      </c>
      <c r="BN41" s="28" t="n"/>
      <c r="BO41" s="28" t="n"/>
      <c r="BP41" s="25" t="n"/>
      <c r="BQ41" s="27" t="n">
        <v>1.641026</v>
      </c>
      <c r="BR41" s="28" t="n">
        <v>0.61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</row>
    <row r="42" ht="36" customHeight="1">
      <c r="A42" s="24" t="inlineStr">
        <is>
          <t>48fe4f9d648643a5</t>
        </is>
      </c>
      <c r="B42" s="24" t="inlineStr">
        <is>
          <t>2026-08-02T18:50:17.352715Z</t>
        </is>
      </c>
      <c r="C42" s="24" t="inlineStr">
        <is>
          <t>2026-08-02T19:15:00Z</t>
        </is>
      </c>
      <c r="D42" s="24" t="inlineStr">
        <is>
          <t>67576</t>
        </is>
      </c>
      <c r="E42" s="24" t="inlineStr">
        <is>
          <t>CS2</t>
        </is>
      </c>
      <c r="F42" s="24" t="inlineStr">
        <is>
          <t>mokrivskiy Club</t>
        </is>
      </c>
      <c r="G42" s="24" t="inlineStr">
        <is>
          <t>Morphilina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0.579772</v>
      </c>
      <c r="P42" s="28" t="n"/>
      <c r="Q42" s="28" t="n">
        <v>0.139243</v>
      </c>
      <c r="R42" s="26" t="n">
        <v>90</v>
      </c>
      <c r="S42" s="29" t="n">
        <v>1.25</v>
      </c>
      <c r="T42" s="24" t="inlineStr">
        <is>
          <t>cs2-tiered-elo-v5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127</v>
      </c>
      <c r="AA42" s="28" t="n">
        <v>0.44</v>
      </c>
      <c r="AB42" s="28" t="n">
        <v>-0.000529</v>
      </c>
      <c r="AC42" s="30" t="n">
        <v>-1.25</v>
      </c>
      <c r="AD42" s="24" t="inlineStr">
        <is>
          <t>2026-08-02T23:13:14.056091Z</t>
        </is>
      </c>
      <c r="AE42" s="31" t="inlineStr">
        <is>
          <t>Neutral Elo baseline; executable ask 0.4400 (market_slug=aec-cs2-mcor-mco-2026-08-02).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mokrivskiy Club</t>
        </is>
      </c>
      <c r="AQ42" s="24" t="inlineStr">
        <is>
          <t>mokrivskiy Club</t>
        </is>
      </c>
      <c r="AR42" s="24" t="inlineStr">
        <is>
          <t>mokrivskiy Club</t>
        </is>
      </c>
      <c r="AS42" s="24" t="inlineStr">
        <is>
          <t>Morphilina Club</t>
        </is>
      </c>
      <c r="AT42" s="24" t="inlineStr">
        <is>
          <t>Morphilina Club</t>
        </is>
      </c>
      <c r="AU42" s="24" t="inlineStr">
        <is>
          <t>Morphilina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e4232d2f4ef51c47f2dc842e10597bebb70952e9ec25e243147604e0ae4edf92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e4232d2f4ef51c47f2dc842e10597bebb70952e9ec25e243147604e0ae4edf92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2026-08-02T18:50:04.261778Z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2.27</v>
      </c>
      <c r="BR42" s="28" t="n">
        <v>0.44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b1f733e75f784276</t>
        </is>
      </c>
      <c r="B43" s="24" t="inlineStr">
        <is>
          <t>2026-08-03T06:31:38.644798Z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194</v>
      </c>
      <c r="M43" s="27" t="n">
        <v>2.94</v>
      </c>
      <c r="N43" s="28" t="n">
        <v>0.340136</v>
      </c>
      <c r="O43" s="28" t="n">
        <v>0.7042119999999999</v>
      </c>
      <c r="P43" s="28" t="n"/>
      <c r="Q43" s="28" t="n">
        <v>0.364076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194</v>
      </c>
      <c r="AA43" s="28" t="n">
        <v>0.34</v>
      </c>
      <c r="AB43" s="28" t="n">
        <v>-0.000136</v>
      </c>
      <c r="AC43" s="30" t="n">
        <v>3.88</v>
      </c>
      <c r="AD43" s="24" t="inlineStr">
        <is>
          <t>2026-08-03T10:45:33.618423Z</t>
        </is>
      </c>
      <c r="AE43" s="31" t="inlineStr">
        <is>
          <t>Neutral Elo baseline; executable ask 0.3400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7d07e567fea5bd3738b3dbc4e35eb295221f9dc89d0247f1cc7d87e37942825c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7d07e567fea5bd3738b3dbc4e35eb295221f9dc89d0247f1cc7d87e37942825c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2026-08-03T06:31:13.030731Z</t>
        </is>
      </c>
      <c r="BI43" s="24" t="inlineStr">
        <is>
          <t>["same_event","same_team_same_day","same_league_same_day"]</t>
        </is>
      </c>
      <c r="BJ43" s="25" t="n"/>
      <c r="BK43" s="26" t="n">
        <v>194</v>
      </c>
      <c r="BL43" s="27" t="n">
        <v>2.94</v>
      </c>
      <c r="BM43" s="28" t="n">
        <v>0.340136</v>
      </c>
      <c r="BN43" s="28" t="n"/>
      <c r="BO43" s="28" t="n"/>
      <c r="BP43" s="25" t="n"/>
      <c r="BQ43" s="27" t="n">
        <v>2.94</v>
      </c>
      <c r="BR43" s="28" t="n">
        <v>0.34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55ad649cd63d458b</t>
        </is>
      </c>
      <c r="B44" s="24" t="inlineStr">
        <is>
          <t>2026-08-03T06:31:38.644798Z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-233</v>
      </c>
      <c r="M44" s="27" t="n">
        <v>1.429185</v>
      </c>
      <c r="N44" s="28" t="n">
        <v>0.6997</v>
      </c>
      <c r="O44" s="28" t="n">
        <v>0.5630579999999999</v>
      </c>
      <c r="P44" s="28" t="n"/>
      <c r="Q44" s="28" t="n">
        <v>-0.136642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-233</v>
      </c>
      <c r="AA44" s="28" t="n">
        <v>0.7</v>
      </c>
      <c r="AB44" s="28" t="n">
        <v>0.0003</v>
      </c>
      <c r="AC44" s="30" t="n">
        <v>0.4292</v>
      </c>
      <c r="AD44" s="24" t="inlineStr">
        <is>
          <t>2026-08-03T13:27:16.155324Z</t>
        </is>
      </c>
      <c r="AE44" s="31" t="inlineStr">
        <is>
          <t>Neutral Elo baseline; executable ask 0.7000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7d07e567fea5bd3738b3dbc4e35eb295221f9dc89d0247f1cc7d87e37942825c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7d07e567fea5bd3738b3dbc4e35eb295221f9dc89d0247f1cc7d87e37942825c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2026-08-03T06:31:14.520566Z</t>
        </is>
      </c>
      <c r="BI44" s="24" t="inlineStr">
        <is>
          <t>["same_event","same_team_same_day","same_league_same_day"]</t>
        </is>
      </c>
      <c r="BJ44" s="25" t="n"/>
      <c r="BK44" s="26" t="n">
        <v>-233</v>
      </c>
      <c r="BL44" s="27" t="n">
        <v>1.429185</v>
      </c>
      <c r="BM44" s="28" t="n">
        <v>0.6997</v>
      </c>
      <c r="BN44" s="28" t="n"/>
      <c r="BO44" s="28" t="n"/>
      <c r="BP44" s="25" t="n"/>
      <c r="BQ44" s="27" t="n">
        <v>1.429185</v>
      </c>
      <c r="BR44" s="28" t="n">
        <v>0.7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5c2d8ed5d51040de</t>
        </is>
      </c>
      <c r="B45" s="24" t="inlineStr">
        <is>
          <t>2026-08-03T06:31:38.644798Z</t>
        </is>
      </c>
      <c r="C45" s="24" t="inlineStr">
        <is>
          <t>2026-08-03T10:00:00Z</t>
        </is>
      </c>
      <c r="D45" s="24" t="inlineStr">
        <is>
          <t>68289</t>
        </is>
      </c>
      <c r="E45" s="24" t="inlineStr">
        <is>
          <t>CS2</t>
        </is>
      </c>
      <c r="F45" s="24" t="inlineStr">
        <is>
          <t>FURY</t>
        </is>
      </c>
      <c r="G45" s="24" t="inlineStr">
        <is>
          <t>Mindfreak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-178</v>
      </c>
      <c r="M45" s="27" t="n">
        <v>1.561798</v>
      </c>
      <c r="N45" s="28" t="n">
        <v>0.640288</v>
      </c>
      <c r="O45" s="28" t="n">
        <v>0.5991570000000001</v>
      </c>
      <c r="P45" s="28" t="n"/>
      <c r="Q45" s="28" t="n">
        <v>-0.041131</v>
      </c>
      <c r="R45" s="26" t="n">
        <v>0</v>
      </c>
      <c r="S45" s="29" t="n">
        <v>1.25</v>
      </c>
      <c r="T45" s="24" t="inlineStr">
        <is>
          <t>cs2-tiered-elo-v5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-178</v>
      </c>
      <c r="AA45" s="28" t="n">
        <v>0.64</v>
      </c>
      <c r="AB45" s="28" t="n">
        <v>-0.000288</v>
      </c>
      <c r="AC45" s="30" t="n">
        <v>-1.25</v>
      </c>
      <c r="AD45" s="24" t="inlineStr">
        <is>
          <t>2026-08-03T13:27:17.629633Z</t>
        </is>
      </c>
      <c r="AE45" s="31" t="inlineStr">
        <is>
          <t>Neutral Elo baseline; executable ask 0.6400 (market_slug=aec-cs2-mf-fury-2026-08-03).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FURY</t>
        </is>
      </c>
      <c r="AQ45" s="24" t="inlineStr">
        <is>
          <t>FURY</t>
        </is>
      </c>
      <c r="AR45" s="24" t="inlineStr">
        <is>
          <t>FURY</t>
        </is>
      </c>
      <c r="AS45" s="24" t="inlineStr">
        <is>
          <t>Mindfreak</t>
        </is>
      </c>
      <c r="AT45" s="24" t="inlineStr">
        <is>
          <t>Mindfreak</t>
        </is>
      </c>
      <c r="AU45" s="24" t="inlineStr">
        <is>
          <t>Mindfreak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7d07e567fea5bd3738b3dbc4e35eb295221f9dc89d0247f1cc7d87e37942825c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7d07e567fea5bd3738b3dbc4e35eb295221f9dc89d0247f1cc7d87e37942825c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2026-08-03T06:31:15.055891Z</t>
        </is>
      </c>
      <c r="BI45" s="24" t="inlineStr">
        <is>
          <t>["same_event","same_team_same_day","same_league_same_day"]</t>
        </is>
      </c>
      <c r="BJ45" s="25" t="n"/>
      <c r="BK45" s="26" t="n">
        <v>-178</v>
      </c>
      <c r="BL45" s="27" t="n">
        <v>1.561798</v>
      </c>
      <c r="BM45" s="28" t="n">
        <v>0.640288</v>
      </c>
      <c r="BN45" s="28" t="n"/>
      <c r="BO45" s="28" t="n"/>
      <c r="BP45" s="25" t="n"/>
      <c r="BQ45" s="27" t="n">
        <v>1.561798</v>
      </c>
      <c r="BR45" s="28" t="n">
        <v>0.64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2fff69caf4e34ea1</t>
        </is>
      </c>
      <c r="B46" s="24" t="inlineStr">
        <is>
          <t>2026-08-03T10:14:59.378487Z</t>
        </is>
      </c>
      <c r="C46" s="24" t="inlineStr">
        <is>
          <t>2026-08-03T10:30:00Z</t>
        </is>
      </c>
      <c r="D46" s="24" t="inlineStr">
        <is>
          <t>67514</t>
        </is>
      </c>
      <c r="E46" s="24" t="inlineStr">
        <is>
          <t>CS2</t>
        </is>
      </c>
      <c r="F46" s="24" t="inlineStr">
        <is>
          <t>Passion Academy</t>
        </is>
      </c>
      <c r="G46" s="24" t="inlineStr">
        <is>
          <t>EAC Rising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0.639821</v>
      </c>
      <c r="P46" s="28" t="n"/>
      <c r="Q46" s="28" t="n">
        <v>0.030446</v>
      </c>
      <c r="R46" s="26" t="n">
        <v>35</v>
      </c>
      <c r="S46" s="29" t="n">
        <v>1.5</v>
      </c>
      <c r="T46" s="24" t="inlineStr">
        <is>
          <t>cs2-tiered-elo-v5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-156</v>
      </c>
      <c r="AA46" s="28" t="n">
        <v>0.61</v>
      </c>
      <c r="AB46" s="28" t="n">
        <v>0.000625</v>
      </c>
      <c r="AC46" s="30" t="n">
        <v>0.9615</v>
      </c>
      <c r="AD46" s="24" t="inlineStr">
        <is>
          <t>2026-08-03T13:27:19.000404Z</t>
        </is>
      </c>
      <c r="AE46" s="31" t="inlineStr">
        <is>
          <t>Neutral Elo baseline; executable ask 0.6100 (market_slug=aec-cs2-era-psna-2026-08-03).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Passion Academy</t>
        </is>
      </c>
      <c r="AQ46" s="24" t="inlineStr">
        <is>
          <t>Passion Academy</t>
        </is>
      </c>
      <c r="AR46" s="24" t="inlineStr">
        <is>
          <t>Passion Academy</t>
        </is>
      </c>
      <c r="AS46" s="24" t="inlineStr">
        <is>
          <t>EAC Rising</t>
        </is>
      </c>
      <c r="AT46" s="24" t="inlineStr">
        <is>
          <t>EAC Rising</t>
        </is>
      </c>
      <c r="AU46" s="24" t="inlineStr">
        <is>
          <t>EAC Rising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a67b482e0cc299818c9d6a6183162092d6b3cbeea4f974054606da1c44c3bd99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a67b482e0cc299818c9d6a6183162092d6b3cbeea4f974054606da1c44c3bd99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2026-08-03T10:14:38.370048Z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/>
      <c r="BO46" s="28" t="n"/>
      <c r="BP46" s="25" t="n"/>
      <c r="BQ46" s="27" t="n">
        <v>1.641026</v>
      </c>
      <c r="BR46" s="28" t="n">
        <v>0.61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6ec11e6aa641499e</t>
        </is>
      </c>
      <c r="B47" s="24" t="inlineStr">
        <is>
          <t>2026-08-03T11:00:03.308892Z</t>
        </is>
      </c>
      <c r="C47" s="24" t="inlineStr">
        <is>
          <t>2026-08-03T13:00:00Z</t>
        </is>
      </c>
      <c r="D47" s="24" t="inlineStr">
        <is>
          <t>70299</t>
        </is>
      </c>
      <c r="E47" s="24" t="inlineStr">
        <is>
          <t>CS2</t>
        </is>
      </c>
      <c r="F47" s="24" t="inlineStr">
        <is>
          <t>Inner Circle Academy</t>
        </is>
      </c>
      <c r="G47" s="24" t="inlineStr">
        <is>
          <t>Leo Team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-178</v>
      </c>
      <c r="M47" s="27" t="n">
        <v>1.561798</v>
      </c>
      <c r="N47" s="28" t="n">
        <v>0.640288</v>
      </c>
      <c r="O47" s="28" t="n">
        <v>0.519406</v>
      </c>
      <c r="P47" s="28" t="n"/>
      <c r="Q47" s="28" t="n">
        <v>-0.120882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-178</v>
      </c>
      <c r="AA47" s="28" t="n">
        <v>0.64</v>
      </c>
      <c r="AB47" s="28" t="n">
        <v>-0.000288</v>
      </c>
      <c r="AC47" s="30" t="n">
        <v>0.5618</v>
      </c>
      <c r="AD47" s="24" t="inlineStr">
        <is>
          <t>2026-08-03T16:27:28.278736Z</t>
        </is>
      </c>
      <c r="AE47" s="31" t="inlineStr">
        <is>
          <t>Neutral Elo baseline; executable ask 0.6400 (market_slug=aec-cs2-leo-ica-2026-08-03).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Inner Circle Academy</t>
        </is>
      </c>
      <c r="AQ47" s="24" t="inlineStr">
        <is>
          <t>Inner Circle Academy</t>
        </is>
      </c>
      <c r="AR47" s="24" t="inlineStr">
        <is>
          <t>Inner Circle Academy</t>
        </is>
      </c>
      <c r="AS47" s="24" t="inlineStr">
        <is>
          <t>Leo Team</t>
        </is>
      </c>
      <c r="AT47" s="24" t="inlineStr">
        <is>
          <t>Leo Team</t>
        </is>
      </c>
      <c r="AU47" s="24" t="inlineStr">
        <is>
          <t>Leo Team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9788ee890acda4c62d77d79ea2b1f172c9d4d87af2458e9365985663c60a50c8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9788ee890acda4c62d77d79ea2b1f172c9d4d87af2458e9365985663c60a50c8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2026-08-03T10:59:43.688214Z</t>
        </is>
      </c>
      <c r="BI47" s="24" t="inlineStr">
        <is>
          <t>["same_event","same_team_same_day","same_league_same_day"]</t>
        </is>
      </c>
      <c r="BJ47" s="25" t="n"/>
      <c r="BK47" s="26" t="n">
        <v>-178</v>
      </c>
      <c r="BL47" s="27" t="n">
        <v>1.561798</v>
      </c>
      <c r="BM47" s="28" t="n">
        <v>0.640288</v>
      </c>
      <c r="BN47" s="28" t="n"/>
      <c r="BO47" s="28" t="n"/>
      <c r="BP47" s="25" t="n"/>
      <c r="BQ47" s="27" t="n">
        <v>1.561798</v>
      </c>
      <c r="BR47" s="28" t="n">
        <v>0.64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8bc4bf70445a4ef7</t>
        </is>
      </c>
      <c r="B48" s="24" t="inlineStr">
        <is>
          <t>2026-08-03T11:00:03.308892Z</t>
        </is>
      </c>
      <c r="C48" s="24" t="inlineStr">
        <is>
          <t>2026-08-03T13:00:00Z</t>
        </is>
      </c>
      <c r="D48" s="24" t="inlineStr">
        <is>
          <t>70102</t>
        </is>
      </c>
      <c r="E48" s="24" t="inlineStr">
        <is>
          <t>CS2</t>
        </is>
      </c>
      <c r="F48" s="24" t="inlineStr">
        <is>
          <t>Misa Esports</t>
        </is>
      </c>
      <c r="G48" s="24" t="inlineStr">
        <is>
          <t>MOUZ NXT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0.515204</v>
      </c>
      <c r="P48" s="28" t="n"/>
      <c r="Q48" s="28" t="n">
        <v>0.115204</v>
      </c>
      <c r="R48" s="26" t="n">
        <v>78</v>
      </c>
      <c r="S48" s="29" t="n">
        <v>1</v>
      </c>
      <c r="T48" s="24" t="inlineStr">
        <is>
          <t>cs2-tiered-elo-v5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150</v>
      </c>
      <c r="AA48" s="28" t="n">
        <v>0.4</v>
      </c>
      <c r="AB48" s="28" t="n">
        <v>0</v>
      </c>
      <c r="AC48" s="30" t="n">
        <v>1.5</v>
      </c>
      <c r="AD48" s="24" t="inlineStr">
        <is>
          <t>2026-08-03T16:48:07.078982Z</t>
        </is>
      </c>
      <c r="AE48" s="31" t="inlineStr">
        <is>
          <t>Neutral Elo baseline; executable ask 0.4000 (market_slug=aec-cs2-mouzn-misa-2026-08-03).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Misa Esports</t>
        </is>
      </c>
      <c r="AQ48" s="24" t="inlineStr">
        <is>
          <t>Misa Esports</t>
        </is>
      </c>
      <c r="AR48" s="24" t="inlineStr">
        <is>
          <t>Misa Esports</t>
        </is>
      </c>
      <c r="AS48" s="24" t="inlineStr">
        <is>
          <t>MOUZ NXT</t>
        </is>
      </c>
      <c r="AT48" s="24" t="inlineStr">
        <is>
          <t>MOUZ NXT</t>
        </is>
      </c>
      <c r="AU48" s="24" t="inlineStr">
        <is>
          <t>MOUZ NXT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9788ee890acda4c62d77d79ea2b1f172c9d4d87af2458e9365985663c60a50c8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9788ee890acda4c62d77d79ea2b1f172c9d4d87af2458e9365985663c60a50c8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2026-08-03T10:59:44.688342Z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>
        <v>2.5</v>
      </c>
      <c r="BR48" s="28" t="n">
        <v>0.4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6afbd1e9f6e2473e</t>
        </is>
      </c>
      <c r="B49" s="24" t="inlineStr">
        <is>
          <t>2026-08-03T11:00:03.308892Z</t>
        </is>
      </c>
      <c r="C49" s="24" t="inlineStr">
        <is>
          <t>2026-08-03T13:00:00Z</t>
        </is>
      </c>
      <c r="D49" s="24" t="inlineStr">
        <is>
          <t>70312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BASEMENT BOYS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0.649848</v>
      </c>
      <c r="P49" s="28" t="n"/>
      <c r="Q49" s="28" t="n">
        <v>0.130617</v>
      </c>
      <c r="R49" s="26" t="n">
        <v>85</v>
      </c>
      <c r="S49" s="29" t="n">
        <v>1.75</v>
      </c>
      <c r="T49" s="24" t="inlineStr">
        <is>
          <t>cs2-tiered-elo-v5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1.6204</v>
      </c>
      <c r="AD49" s="24" t="inlineStr">
        <is>
          <t>2026-08-03T15:52:18.957125Z</t>
        </is>
      </c>
      <c r="AE49" s="31" t="inlineStr">
        <is>
          <t>Neutral Elo baseline; executable ask 0.5200 (market_slug=aec-cs2-bmb-ff-2026-08-03).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BASEMENT BOYS</t>
        </is>
      </c>
      <c r="AT49" s="24" t="inlineStr">
        <is>
          <t>BASEMENT BOYS</t>
        </is>
      </c>
      <c r="AU49" s="24" t="inlineStr">
        <is>
          <t>BASEMENT BOYS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9788ee890acda4c62d77d79ea2b1f172c9d4d87af2458e9365985663c60a50c8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9788ee890acda4c62d77d79ea2b1f172c9d4d87af2458e9365985663c60a50c8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2026-08-03T10:59:45.179308Z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1e39a849456941e6</t>
        </is>
      </c>
      <c r="B50" s="24" t="inlineStr">
        <is>
          <t>2026-08-03T13:30:52.354366Z</t>
        </is>
      </c>
      <c r="C50" s="24" t="inlineStr">
        <is>
          <t>2026-08-03T13:45:00Z</t>
        </is>
      </c>
      <c r="D50" s="24" t="inlineStr">
        <is>
          <t>67579</t>
        </is>
      </c>
      <c r="E50" s="24" t="inlineStr">
        <is>
          <t>CS2</t>
        </is>
      </c>
      <c r="F50" s="24" t="inlineStr">
        <is>
          <t>Morphilina Club</t>
        </is>
      </c>
      <c r="G50" s="24" t="inlineStr">
        <is>
          <t>Perfecto Club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0.526025</v>
      </c>
      <c r="P50" s="28" t="n"/>
      <c r="Q50" s="28" t="n">
        <v>0.185889</v>
      </c>
      <c r="R50" s="26" t="n">
        <v>100</v>
      </c>
      <c r="S50" s="29" t="n">
        <v>1</v>
      </c>
      <c r="T50" s="24" t="inlineStr">
        <is>
          <t>cs2-tiered-elo-v5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194</v>
      </c>
      <c r="AA50" s="28" t="n">
        <v>0.34</v>
      </c>
      <c r="AB50" s="28" t="n">
        <v>-0.000136</v>
      </c>
      <c r="AC50" s="30" t="n">
        <v>1.94</v>
      </c>
      <c r="AD50" s="24" t="inlineStr">
        <is>
          <t>2026-08-03T15:52:20.766358Z</t>
        </is>
      </c>
      <c r="AE50" s="31" t="inlineStr">
        <is>
          <t>Neutral Elo baseline; executable ask 0.3400 (market_slug=aec-cs2-pce-mcor-2026-08-03).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Morphilina Club</t>
        </is>
      </c>
      <c r="AQ50" s="24" t="inlineStr">
        <is>
          <t>Morphilina Club</t>
        </is>
      </c>
      <c r="AR50" s="24" t="inlineStr">
        <is>
          <t>Morphilina Club</t>
        </is>
      </c>
      <c r="AS50" s="24" t="inlineStr">
        <is>
          <t>Perfecto Club</t>
        </is>
      </c>
      <c r="AT50" s="24" t="inlineStr">
        <is>
          <t>Perfecto Club</t>
        </is>
      </c>
      <c r="AU50" s="24" t="inlineStr">
        <is>
          <t>Perfecto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f4f3549fbe9f095af12acefc96610fcfd4a51f4257b8523d5f8648d7efb51e9b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f4f3549fbe9f095af12acefc96610fcfd4a51f4257b8523d5f8648d7efb51e9b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2026-08-03T13:30:33.661539Z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>
        <v>2.94</v>
      </c>
      <c r="BR50" s="28" t="n">
        <v>0.34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f0e49af4d6be415b</t>
        </is>
      </c>
      <c r="B51" s="24" t="inlineStr">
        <is>
          <t>2026-08-03T13:30:52.354366Z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0.613967</v>
      </c>
      <c r="P51" s="28" t="n"/>
      <c r="Q51" s="28" t="n">
        <v>-0.015663</v>
      </c>
      <c r="R51" s="26" t="n">
        <v>12</v>
      </c>
      <c r="S51" s="29" t="n">
        <v>1.5</v>
      </c>
      <c r="T51" s="24" t="inlineStr">
        <is>
          <t>cs2-tiered-elo-v5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-1.5</v>
      </c>
      <c r="AD51" s="24" t="inlineStr">
        <is>
          <t>2026-08-03T17:05:46.474137Z</t>
        </is>
      </c>
      <c r="AE51" s="31" t="inlineStr">
        <is>
          <t>Neutral Elo baseline; executable ask 0.6300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f4f3549fbe9f095af12acefc96610fcfd4a51f4257b8523d5f8648d7efb51e9b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f4f3549fbe9f095af12acefc96610fcfd4a51f4257b8523d5f8648d7efb51e9b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2026-08-03T13:30:34.211230Z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4908885950e5411e</t>
        </is>
      </c>
      <c r="B52" s="24" t="inlineStr">
        <is>
          <t>2026-08-03T13:30:52.354366Z</t>
        </is>
      </c>
      <c r="C52" s="24" t="inlineStr">
        <is>
          <t>2026-08-03T14:00:00Z</t>
        </is>
      </c>
      <c r="D52" s="24" t="inlineStr">
        <is>
          <t>69268</t>
        </is>
      </c>
      <c r="E52" s="24" t="inlineStr">
        <is>
          <t>CS2</t>
        </is>
      </c>
      <c r="F52" s="24" t="inlineStr">
        <is>
          <t>ex-Young Ninjas</t>
        </is>
      </c>
      <c r="G52" s="24" t="inlineStr">
        <is>
          <t>SPARTA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0.662847</v>
      </c>
      <c r="P52" s="28" t="n"/>
      <c r="Q52" s="28" t="n">
        <v>0.002983</v>
      </c>
      <c r="R52" s="26" t="n">
        <v>21</v>
      </c>
      <c r="S52" s="29" t="n">
        <v>1.75</v>
      </c>
      <c r="T52" s="24" t="inlineStr">
        <is>
          <t>cs2-tiered-elo-v5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-194</v>
      </c>
      <c r="AA52" s="28" t="n">
        <v>0.66</v>
      </c>
      <c r="AB52" s="28" t="n">
        <v>0.000136</v>
      </c>
      <c r="AC52" s="30" t="n">
        <v>0.9021</v>
      </c>
      <c r="AD52" s="24" t="inlineStr">
        <is>
          <t>2026-08-03T16:27:31.953712Z</t>
        </is>
      </c>
      <c r="AE52" s="31" t="inlineStr">
        <is>
          <t>Neutral Elo baseline; executable ask 0.6600 (market_slug=aec-cs2-sparta-eyn-2026-08-03).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ex-Young Ninjas</t>
        </is>
      </c>
      <c r="AQ52" s="24" t="inlineStr">
        <is>
          <t>ex-Young Ninjas</t>
        </is>
      </c>
      <c r="AR52" s="24" t="inlineStr">
        <is>
          <t>ex-Young Ninjas</t>
        </is>
      </c>
      <c r="AS52" s="24" t="inlineStr">
        <is>
          <t>SPARTA</t>
        </is>
      </c>
      <c r="AT52" s="24" t="inlineStr">
        <is>
          <t>SPARTA</t>
        </is>
      </c>
      <c r="AU52" s="24" t="inlineStr">
        <is>
          <t>SPARTA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f4f3549fbe9f095af12acefc96610fcfd4a51f4257b8523d5f8648d7efb51e9b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f4f3549fbe9f095af12acefc96610fcfd4a51f4257b8523d5f8648d7efb51e9b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2026-08-03T13:30:35.269193Z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1.515464</v>
      </c>
      <c r="BR52" s="28" t="n">
        <v>0.66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c1cae09d4a35473c</t>
        </is>
      </c>
      <c r="B53" s="24" t="inlineStr">
        <is>
          <t>2026-08-03T16:51:25.969362Z</t>
        </is>
      </c>
      <c r="C53" s="24" t="inlineStr">
        <is>
          <t>2026-08-03T17:00:00Z</t>
        </is>
      </c>
      <c r="D53" s="24" t="inlineStr">
        <is>
          <t>68293</t>
        </is>
      </c>
      <c r="E53" s="24" t="inlineStr">
        <is>
          <t>CS2</t>
        </is>
      </c>
      <c r="F53" s="24" t="inlineStr">
        <is>
          <t>ex-RUSTEC</t>
        </is>
      </c>
      <c r="G53" s="24" t="inlineStr">
        <is>
          <t>Walczaki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0.6180909999999999</v>
      </c>
      <c r="P53" s="28" t="n"/>
      <c r="Q53" s="28" t="n">
        <v>0.008716</v>
      </c>
      <c r="R53" s="26" t="n">
        <v>24</v>
      </c>
      <c r="S53" s="29" t="n">
        <v>1.5</v>
      </c>
      <c r="T53" s="24" t="inlineStr">
        <is>
          <t>cs2-tiered-elo-v5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-150</v>
      </c>
      <c r="AA53" s="28" t="n">
        <v>0.6</v>
      </c>
      <c r="AB53" s="28" t="n">
        <v>-0.009375</v>
      </c>
      <c r="AC53" s="30" t="n">
        <v>-1.5</v>
      </c>
      <c r="AD53" s="24" t="inlineStr">
        <is>
          <t>2026-08-03T19:51:55.501664Z</t>
        </is>
      </c>
      <c r="AE53" s="31" t="inlineStr">
        <is>
          <t>Neutral Elo baseline; executable ask 0.6100 (market_slug=aec-cs2-wal-erx-2026-08-03).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ex-RUSTEC</t>
        </is>
      </c>
      <c r="AQ53" s="24" t="inlineStr">
        <is>
          <t>ex-RUSTEC</t>
        </is>
      </c>
      <c r="AR53" s="24" t="inlineStr">
        <is>
          <t>ex-RUSTEC</t>
        </is>
      </c>
      <c r="AS53" s="24" t="inlineStr">
        <is>
          <t>Walczaki</t>
        </is>
      </c>
      <c r="AT53" s="24" t="inlineStr">
        <is>
          <t>Walczaki</t>
        </is>
      </c>
      <c r="AU53" s="24" t="inlineStr">
        <is>
          <t>Walczaki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ac6ceef0c5562ec6cc6578a41665f813f640606150062d7159d6470d651252c3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ac6ceef0c5562ec6cc6578a41665f813f640606150062d7159d6470d651252c3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2026-08-03T16:51:11.769258Z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>
        <v>1.666667</v>
      </c>
      <c r="BR53" s="28" t="n">
        <v>0.6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77513d463ec944e1</t>
        </is>
      </c>
      <c r="B54" s="24" t="inlineStr">
        <is>
          <t>2026-08-03T16:51:25.969362Z</t>
        </is>
      </c>
      <c r="C54" s="24" t="inlineStr">
        <is>
          <t>2026-08-03T17:00:00Z</t>
        </is>
      </c>
      <c r="D54" s="24" t="inlineStr">
        <is>
          <t>70377</t>
        </is>
      </c>
      <c r="E54" s="24" t="inlineStr">
        <is>
          <t>CS2</t>
        </is>
      </c>
      <c r="F54" s="24" t="inlineStr">
        <is>
          <t>Spirit Academy Green</t>
        </is>
      </c>
      <c r="G54" s="24" t="inlineStr">
        <is>
          <t>LPH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0.5260550000000001</v>
      </c>
      <c r="P54" s="28" t="n"/>
      <c r="Q54" s="28" t="n">
        <v>-0.033416</v>
      </c>
      <c r="R54" s="26" t="n">
        <v>3</v>
      </c>
      <c r="S54" s="29" t="n">
        <v>1</v>
      </c>
      <c r="T54" s="24" t="inlineStr">
        <is>
          <t>cs2-tiered-elo-v5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-127</v>
      </c>
      <c r="AA54" s="28" t="n">
        <v>0.5600000000000001</v>
      </c>
      <c r="AB54" s="28" t="n">
        <v>0.000529</v>
      </c>
      <c r="AC54" s="30" t="n">
        <v>0.7874</v>
      </c>
      <c r="AD54" s="24" t="inlineStr">
        <is>
          <t>2026-08-03T19:51:57.058700Z</t>
        </is>
      </c>
      <c r="AE54" s="31" t="inlineStr">
        <is>
          <t>Neutral Elo baseline; executable ask 0.5600 (market_slug=aec-cs2-lph-sag-2026-08-03).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Spirit Academy Green</t>
        </is>
      </c>
      <c r="AQ54" s="24" t="inlineStr">
        <is>
          <t>Spirit Academy Green</t>
        </is>
      </c>
      <c r="AR54" s="24" t="inlineStr">
        <is>
          <t>Spirit Academy Green</t>
        </is>
      </c>
      <c r="AS54" s="24" t="inlineStr">
        <is>
          <t>LPH Gaming</t>
        </is>
      </c>
      <c r="AT54" s="24" t="inlineStr">
        <is>
          <t>LPH Gaming</t>
        </is>
      </c>
      <c r="AU54" s="24" t="inlineStr">
        <is>
          <t>LPH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ac6ceef0c5562ec6cc6578a41665f813f640606150062d7159d6470d651252c3</t>
        </is>
      </c>
      <c r="BB54" s="24" t="inlineStr">
        <is>
          <t>neutral_elo</t>
        </is>
      </c>
      <c r="BC54" s="24" t="inlineStr">
        <is>
          <t>cs2-tiered-elo-v5</t>
        </is>
      </c>
      <c r="BD54" s="24" t="inlineStr">
        <is>
          <t>ac6ceef0c5562ec6cc6578a41665f813f640606150062d7159d6470d651252c3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cs2-tiered-elo-v5</t>
        </is>
      </c>
      <c r="BH54" s="24" t="inlineStr">
        <is>
          <t>2026-08-03T16:51:12.274224Z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>
        <v>1.787402</v>
      </c>
      <c r="BR54" s="28" t="n">
        <v>0.5600000000000001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</row>
    <row r="55" ht="36" customHeight="1">
      <c r="A55" s="24" t="inlineStr">
        <is>
          <t>cac106ec46a04510</t>
        </is>
      </c>
      <c r="B55" s="24" t="inlineStr">
        <is>
          <t>2026-08-03T17:08:54.943979Z</t>
        </is>
      </c>
      <c r="C55" s="24" t="inlineStr">
        <is>
          <t>2026-08-03T19:15:00Z</t>
        </is>
      </c>
      <c r="D55" s="24" t="inlineStr">
        <is>
          <t>67682</t>
        </is>
      </c>
      <c r="E55" s="24" t="inlineStr">
        <is>
          <t>CS2</t>
        </is>
      </c>
      <c r="F55" s="24" t="inlineStr">
        <is>
          <t>WorldEdit Club</t>
        </is>
      </c>
      <c r="G55" s="24" t="inlineStr">
        <is>
          <t>Lixxx Club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117</v>
      </c>
      <c r="M55" s="27" t="n">
        <v>2.17</v>
      </c>
      <c r="N55" s="28" t="n">
        <v>0.460829</v>
      </c>
      <c r="O55" s="28" t="n">
        <v>0.5273679999999999</v>
      </c>
      <c r="P55" s="28" t="n"/>
      <c r="Q55" s="28" t="n">
        <v>0.066539</v>
      </c>
      <c r="R55" s="26" t="n">
        <v>53</v>
      </c>
      <c r="S55" s="29" t="n">
        <v>1</v>
      </c>
      <c r="T55" s="24" t="inlineStr">
        <is>
          <t>cs2-tiered-elo-v5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117</v>
      </c>
      <c r="AA55" s="28" t="n">
        <v>0.46</v>
      </c>
      <c r="AB55" s="28" t="n">
        <v>-0.000829</v>
      </c>
      <c r="AC55" s="30" t="n">
        <v>-1</v>
      </c>
      <c r="AD55" s="24" t="inlineStr">
        <is>
          <t>2026-08-03T22:55:30.403877Z</t>
        </is>
      </c>
      <c r="AE55" s="31" t="inlineStr">
        <is>
          <t>Neutral Elo baseline; executable ask 0.4600 (market_slug=aec-cs2-lci-wco-2026-08-03).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WorldEdit Club</t>
        </is>
      </c>
      <c r="AQ55" s="24" t="inlineStr">
        <is>
          <t>WorldEdit Club</t>
        </is>
      </c>
      <c r="AR55" s="24" t="inlineStr">
        <is>
          <t>WorldEdit Club</t>
        </is>
      </c>
      <c r="AS55" s="24" t="inlineStr">
        <is>
          <t>Lixxx Club</t>
        </is>
      </c>
      <c r="AT55" s="24" t="inlineStr">
        <is>
          <t>Lixxx Club</t>
        </is>
      </c>
      <c r="AU55" s="24" t="inlineStr">
        <is>
          <t>Lixxx Club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c35f4cde86576db9aef02f14800a622a7aeabf3f364ac4b428aed69c2c8f4d15</t>
        </is>
      </c>
      <c r="BB55" s="24" t="inlineStr">
        <is>
          <t>neutral_elo</t>
        </is>
      </c>
      <c r="BC55" s="24" t="inlineStr">
        <is>
          <t>cs2-tiered-elo-v5</t>
        </is>
      </c>
      <c r="BD55" s="24" t="inlineStr">
        <is>
          <t>c35f4cde86576db9aef02f14800a622a7aeabf3f364ac4b428aed69c2c8f4d15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cs2-tiered-elo-v5</t>
        </is>
      </c>
      <c r="BH55" s="24" t="inlineStr">
        <is>
          <t>2026-08-03T17:08:42.736665Z</t>
        </is>
      </c>
      <c r="BI55" s="24" t="inlineStr">
        <is>
          <t>["same_event","same_team_same_day","same_league_same_day"]</t>
        </is>
      </c>
      <c r="BJ55" s="25" t="n"/>
      <c r="BK55" s="26" t="n">
        <v>117</v>
      </c>
      <c r="BL55" s="27" t="n">
        <v>2.17</v>
      </c>
      <c r="BM55" s="28" t="n">
        <v>0.460829</v>
      </c>
      <c r="BN55" s="28" t="n"/>
      <c r="BO55" s="28" t="n"/>
      <c r="BP55" s="25" t="n"/>
      <c r="BQ55" s="27" t="n">
        <v>2.17</v>
      </c>
      <c r="BR55" s="28" t="n">
        <v>0.46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b0676fb7c7714e9f</t>
        </is>
      </c>
      <c r="B56" s="24" t="inlineStr">
        <is>
          <t>2026-08-03T19:54:57.645683Z</t>
        </is>
      </c>
      <c r="C56" s="24" t="inlineStr">
        <is>
          <t>2026-08-03T21:00:00Z</t>
        </is>
      </c>
      <c r="D56" s="24" t="inlineStr">
        <is>
          <t>70532</t>
        </is>
      </c>
      <c r="E56" s="24" t="inlineStr">
        <is>
          <t>CS2</t>
        </is>
      </c>
      <c r="F56" s="24" t="inlineStr">
        <is>
          <t>RED Canids Academy</t>
        </is>
      </c>
      <c r="G56" s="24" t="inlineStr">
        <is>
          <t>ODDIK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0.6304380000000001</v>
      </c>
      <c r="P56" s="28" t="n"/>
      <c r="Q56" s="28" t="n">
        <v>0.030438</v>
      </c>
      <c r="R56" s="26" t="n">
        <v>35</v>
      </c>
      <c r="S56" s="29" t="n">
        <v>1.5</v>
      </c>
      <c r="T56" s="24" t="inlineStr">
        <is>
          <t>cs2-tiered-elo-v5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-150</v>
      </c>
      <c r="AA56" s="28" t="n">
        <v>0.6</v>
      </c>
      <c r="AB56" s="28" t="n">
        <v>0</v>
      </c>
      <c r="AC56" s="30" t="n">
        <v>1</v>
      </c>
      <c r="AD56" s="24" t="inlineStr">
        <is>
          <t>2026-08-05T01:05:49.683001Z</t>
        </is>
      </c>
      <c r="AE56" s="31" t="inlineStr">
        <is>
          <t>Neutral Elo baseline; executable ask 0.6000 (market_slug=aec-cs2-odk-reda-2026-08-03).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RED Canids Academy</t>
        </is>
      </c>
      <c r="AQ56" s="24" t="inlineStr">
        <is>
          <t>RED Canids Academy</t>
        </is>
      </c>
      <c r="AR56" s="24" t="inlineStr">
        <is>
          <t>RED Canids Academy</t>
        </is>
      </c>
      <c r="AS56" s="24" t="inlineStr">
        <is>
          <t>ODDIK</t>
        </is>
      </c>
      <c r="AT56" s="24" t="inlineStr">
        <is>
          <t>ODDIK</t>
        </is>
      </c>
      <c r="AU56" s="24" t="inlineStr">
        <is>
          <t>ODDIK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49e72bc47e8b746259057b18a0727b3402ae02f53069edfae5b6532757438c2c</t>
        </is>
      </c>
      <c r="BB56" s="24" t="inlineStr">
        <is>
          <t>neutral_elo</t>
        </is>
      </c>
      <c r="BC56" s="24" t="inlineStr">
        <is>
          <t>cs2-tiered-elo-v5</t>
        </is>
      </c>
      <c r="BD56" s="24" t="inlineStr">
        <is>
          <t>49e72bc47e8b746259057b18a0727b3402ae02f53069edfae5b6532757438c2c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cs2-tiered-elo-v5</t>
        </is>
      </c>
      <c r="BH56" s="24" t="inlineStr">
        <is>
          <t>2026-08-03T19:54:46.268393Z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>
        <v>1.666667</v>
      </c>
      <c r="BR56" s="28" t="n">
        <v>0.6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824dd35618ef4ec9</t>
        </is>
      </c>
      <c r="B57" s="24" t="inlineStr">
        <is>
          <t>2026-08-03T22:58:11.099295Z</t>
        </is>
      </c>
      <c r="C57" s="24" t="inlineStr">
        <is>
          <t>2026-08-03T23:00:00Z</t>
        </is>
      </c>
      <c r="D57" s="24" t="inlineStr">
        <is>
          <t>68043</t>
        </is>
      </c>
      <c r="E57" s="24" t="inlineStr">
        <is>
          <t>CS2</t>
        </is>
      </c>
      <c r="F57" s="24" t="inlineStr">
        <is>
          <t>paiN Academy</t>
        </is>
      </c>
      <c r="G57" s="24" t="inlineStr">
        <is>
          <t>Grêmio Esports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178</v>
      </c>
      <c r="M57" s="27" t="n">
        <v>2.78</v>
      </c>
      <c r="N57" s="28" t="n">
        <v>0.359712</v>
      </c>
      <c r="O57" s="28" t="n">
        <v>0.569493</v>
      </c>
      <c r="P57" s="28" t="n"/>
      <c r="Q57" s="28" t="n">
        <v>0.209781</v>
      </c>
      <c r="R57" s="26" t="n">
        <v>100</v>
      </c>
      <c r="S57" s="29" t="n">
        <v>1.25</v>
      </c>
      <c r="T57" s="24" t="inlineStr">
        <is>
          <t>cs2-tiered-elo-v5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178</v>
      </c>
      <c r="AA57" s="28" t="n">
        <v>0.36</v>
      </c>
      <c r="AB57" s="28" t="n">
        <v>0.000288</v>
      </c>
      <c r="AC57" s="30" t="n">
        <v>2.225</v>
      </c>
      <c r="AD57" s="24" t="inlineStr">
        <is>
          <t>2026-08-04T03:58:12.882980Z</t>
        </is>
      </c>
      <c r="AE57" s="31" t="inlineStr">
        <is>
          <t>Neutral Elo baseline; executable ask 0.3600 (market_slug=aec-cs2-ger-paina-2026-08-03).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paiN Academy</t>
        </is>
      </c>
      <c r="AQ57" s="24" t="inlineStr">
        <is>
          <t>paiN Academy</t>
        </is>
      </c>
      <c r="AR57" s="24" t="inlineStr">
        <is>
          <t>paiN Academy</t>
        </is>
      </c>
      <c r="AS57" s="24" t="inlineStr">
        <is>
          <t>Grêmio Esports</t>
        </is>
      </c>
      <c r="AT57" s="24" t="inlineStr">
        <is>
          <t>Grêmio Esports</t>
        </is>
      </c>
      <c r="AU57" s="24" t="inlineStr">
        <is>
          <t>Grêmio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2395c0bc2d118cb68697847c5524bbbcdf615284bfa6589bd672b76fe7c39141</t>
        </is>
      </c>
      <c r="BB57" s="24" t="inlineStr">
        <is>
          <t>neutral_elo</t>
        </is>
      </c>
      <c r="BC57" s="24" t="inlineStr">
        <is>
          <t>cs2-tiered-elo-v5</t>
        </is>
      </c>
      <c r="BD57" s="24" t="inlineStr">
        <is>
          <t>2395c0bc2d118cb68697847c5524bbbcdf615284bfa6589bd672b76fe7c39141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cs2-tiered-elo-v5</t>
        </is>
      </c>
      <c r="BH57" s="24" t="inlineStr">
        <is>
          <t>2026-08-03T22:57:48.744487Z</t>
        </is>
      </c>
      <c r="BI57" s="24" t="inlineStr">
        <is>
          <t>["same_event","same_team_same_day","same_league_same_day"]</t>
        </is>
      </c>
      <c r="BJ57" s="25" t="n"/>
      <c r="BK57" s="26" t="n">
        <v>178</v>
      </c>
      <c r="BL57" s="27" t="n">
        <v>2.78</v>
      </c>
      <c r="BM57" s="28" t="n">
        <v>0.359712</v>
      </c>
      <c r="BN57" s="28" t="n"/>
      <c r="BO57" s="28" t="n"/>
      <c r="BP57" s="25" t="n"/>
      <c r="BQ57" s="27" t="n">
        <v>2.78</v>
      </c>
      <c r="BR57" s="28" t="n">
        <v>0.36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bfe75fb7f86545b1</t>
        </is>
      </c>
      <c r="B58" s="24" t="inlineStr">
        <is>
          <t>2026-08-04T05:18:53.002097Z</t>
        </is>
      </c>
      <c r="C58" s="24" t="inlineStr">
        <is>
          <t>2026-08-04T08:00:00Z</t>
        </is>
      </c>
      <c r="D58" s="24" t="inlineStr">
        <is>
          <t>71316</t>
        </is>
      </c>
      <c r="E58" s="24" t="inlineStr">
        <is>
          <t>CS2</t>
        </is>
      </c>
      <c r="F58" s="24" t="inlineStr">
        <is>
          <t>Johnny Speeds</t>
        </is>
      </c>
      <c r="G58" s="24" t="inlineStr">
        <is>
          <t>G2 Ares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0.5273600000000001</v>
      </c>
      <c r="P58" s="28" t="n"/>
      <c r="Q58" s="28" t="n">
        <v>-0.02219</v>
      </c>
      <c r="R58" s="26" t="n">
        <v>9</v>
      </c>
      <c r="S58" s="29" t="n">
        <v>1</v>
      </c>
      <c r="T58" s="24" t="inlineStr">
        <is>
          <t>cs2-tiered-elo-v5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-122</v>
      </c>
      <c r="AA58" s="28" t="n">
        <v>0.55</v>
      </c>
      <c r="AB58" s="28" t="n">
        <v>0.00045</v>
      </c>
      <c r="AC58" s="30" t="n">
        <v>0.8197</v>
      </c>
      <c r="AD58" s="24" t="inlineStr">
        <is>
          <t>2026-08-04T11:57:38.643502Z</t>
        </is>
      </c>
      <c r="AE58" s="31" t="inlineStr">
        <is>
          <t>Neutral Elo baseline; executable ask 0.5500 (market_slug=aec-cs2-g2a-js-2026-08-04).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Johnny Speeds</t>
        </is>
      </c>
      <c r="AQ58" s="24" t="inlineStr">
        <is>
          <t>Johnny Speeds</t>
        </is>
      </c>
      <c r="AR58" s="24" t="inlineStr">
        <is>
          <t>Johnny Speeds</t>
        </is>
      </c>
      <c r="AS58" s="24" t="inlineStr">
        <is>
          <t>G2 Ares</t>
        </is>
      </c>
      <c r="AT58" s="24" t="inlineStr">
        <is>
          <t>G2 Ares</t>
        </is>
      </c>
      <c r="AU58" s="24" t="inlineStr">
        <is>
          <t>G2 Ares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83e1528a9bd51ea902d7704e0b3d24b0db02596c08a56e20e38f9385c7964710</t>
        </is>
      </c>
      <c r="BB58" s="24" t="inlineStr">
        <is>
          <t>neutral_elo</t>
        </is>
      </c>
      <c r="BC58" s="24" t="inlineStr">
        <is>
          <t>cs2-tiered-elo-v5</t>
        </is>
      </c>
      <c r="BD58" s="24" t="inlineStr">
        <is>
          <t>83e1528a9bd51ea902d7704e0b3d24b0db02596c08a56e20e38f9385c7964710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cs2-tiered-elo-v5</t>
        </is>
      </c>
      <c r="BH58" s="24" t="inlineStr">
        <is>
          <t>2026-08-04T05:18:19.586314Z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/>
      <c r="BO58" s="28" t="n"/>
      <c r="BP58" s="25" t="n"/>
      <c r="BQ58" s="27" t="n">
        <v>1.819672</v>
      </c>
      <c r="BR58" s="28" t="n">
        <v>0.55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</row>
    <row r="59" ht="36" customHeight="1">
      <c r="A59" s="24" t="inlineStr">
        <is>
          <t>63db88fad55c495a</t>
        </is>
      </c>
      <c r="B59" s="24" t="inlineStr">
        <is>
          <t>2026-08-04T05:18:53.002097Z</t>
        </is>
      </c>
      <c r="C59" s="24" t="inlineStr">
        <is>
          <t>2026-08-04T08:00:00Z</t>
        </is>
      </c>
      <c r="D59" s="24" t="inlineStr">
        <is>
          <t>68471</t>
        </is>
      </c>
      <c r="E59" s="24" t="inlineStr">
        <is>
          <t>CS2</t>
        </is>
      </c>
      <c r="F59" s="24" t="inlineStr">
        <is>
          <t>STATE</t>
        </is>
      </c>
      <c r="G59" s="24" t="inlineStr">
        <is>
          <t>INFURITY Gaming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-223</v>
      </c>
      <c r="M59" s="27" t="n">
        <v>1.44843</v>
      </c>
      <c r="N59" s="28" t="n">
        <v>0.690402</v>
      </c>
      <c r="O59" s="28" t="n">
        <v>0.571054</v>
      </c>
      <c r="P59" s="28" t="n"/>
      <c r="Q59" s="28" t="n">
        <v>-0.119348</v>
      </c>
      <c r="R59" s="26" t="n">
        <v>0</v>
      </c>
      <c r="S59" s="29" t="n">
        <v>1.25</v>
      </c>
      <c r="T59" s="24" t="inlineStr">
        <is>
          <t>cs2-tiered-elo-v5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-223</v>
      </c>
      <c r="AA59" s="28" t="n">
        <v>0.6899999999999999</v>
      </c>
      <c r="AB59" s="28" t="n">
        <v>-0.000402</v>
      </c>
      <c r="AC59" s="30" t="n">
        <v>-1.25</v>
      </c>
      <c r="AD59" s="24" t="inlineStr">
        <is>
          <t>2026-08-04T11:57:40.271226Z</t>
        </is>
      </c>
      <c r="AE59" s="31" t="inlineStr">
        <is>
          <t>Neutral Elo baseline; executable ask 0.6900 (market_slug=aec-cs2-ign-sta-2026-08-04).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STATE</t>
        </is>
      </c>
      <c r="AQ59" s="24" t="inlineStr">
        <is>
          <t>STATE</t>
        </is>
      </c>
      <c r="AR59" s="24" t="inlineStr">
        <is>
          <t>STATE</t>
        </is>
      </c>
      <c r="AS59" s="24" t="inlineStr">
        <is>
          <t>INFURITY Gaming</t>
        </is>
      </c>
      <c r="AT59" s="24" t="inlineStr">
        <is>
          <t>INFURITY Gaming</t>
        </is>
      </c>
      <c r="AU59" s="24" t="inlineStr">
        <is>
          <t>INFURITY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83e1528a9bd51ea902d7704e0b3d24b0db02596c08a56e20e38f9385c7964710</t>
        </is>
      </c>
      <c r="BB59" s="24" t="inlineStr">
        <is>
          <t>neutral_elo</t>
        </is>
      </c>
      <c r="BC59" s="24" t="inlineStr">
        <is>
          <t>cs2-tiered-elo-v5</t>
        </is>
      </c>
      <c r="BD59" s="24" t="inlineStr">
        <is>
          <t>83e1528a9bd51ea902d7704e0b3d24b0db02596c08a56e20e38f9385c7964710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cs2-tiered-elo-v5</t>
        </is>
      </c>
      <c r="BH59" s="24" t="inlineStr">
        <is>
          <t>2026-08-04T05:18:20.827862Z</t>
        </is>
      </c>
      <c r="BI59" s="24" t="inlineStr">
        <is>
          <t>["same_event","same_team_same_day","same_league_same_day"]</t>
        </is>
      </c>
      <c r="BJ59" s="25" t="n"/>
      <c r="BK59" s="26" t="n">
        <v>-223</v>
      </c>
      <c r="BL59" s="27" t="n">
        <v>1.44843</v>
      </c>
      <c r="BM59" s="28" t="n">
        <v>0.690402</v>
      </c>
      <c r="BN59" s="28" t="n"/>
      <c r="BO59" s="28" t="n"/>
      <c r="BP59" s="25" t="n"/>
      <c r="BQ59" s="27" t="n">
        <v>1.44843</v>
      </c>
      <c r="BR59" s="28" t="n">
        <v>0.6899999999999999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2a5ef31ba3d7448c</t>
        </is>
      </c>
      <c r="B60" s="24" t="inlineStr">
        <is>
          <t>2026-08-04T08:56:55.041466Z</t>
        </is>
      </c>
      <c r="C60" s="24" t="inlineStr">
        <is>
          <t>2026-08-04T10:30:00Z</t>
        </is>
      </c>
      <c r="D60" s="24" t="inlineStr">
        <is>
          <t>68472</t>
        </is>
      </c>
      <c r="E60" s="24" t="inlineStr">
        <is>
          <t>CS2</t>
        </is>
      </c>
      <c r="F60" s="24" t="inlineStr">
        <is>
          <t>Inner Circle Prospect</t>
        </is>
      </c>
      <c r="G60" s="24" t="inlineStr">
        <is>
          <t>ENCE Prospects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0.513199</v>
      </c>
      <c r="P60" s="28" t="n"/>
      <c r="Q60" s="28" t="n">
        <v>-0.046272</v>
      </c>
      <c r="R60" s="26" t="n">
        <v>0</v>
      </c>
      <c r="S60" s="29" t="n">
        <v>1</v>
      </c>
      <c r="T60" s="24" t="inlineStr">
        <is>
          <t>cs2-tiered-elo-v5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-127</v>
      </c>
      <c r="AA60" s="28" t="n">
        <v>0.5600000000000001</v>
      </c>
      <c r="AB60" s="28" t="n">
        <v>0.000529</v>
      </c>
      <c r="AC60" s="30" t="n">
        <v>0.7874</v>
      </c>
      <c r="AD60" s="24" t="inlineStr">
        <is>
          <t>2026-08-04T14:03:06.444544Z</t>
        </is>
      </c>
      <c r="AE60" s="31" t="inlineStr">
        <is>
          <t>Neutral Elo baseline; executable ask 0.5600 (market_slug=aec-cs2-encep-icp-2026-08-04).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Inner Circle Prospect</t>
        </is>
      </c>
      <c r="AQ60" s="24" t="inlineStr">
        <is>
          <t>Inner Circle Prospect</t>
        </is>
      </c>
      <c r="AR60" s="24" t="inlineStr">
        <is>
          <t>Inner Circle Prospect</t>
        </is>
      </c>
      <c r="AS60" s="24" t="inlineStr">
        <is>
          <t>ENCE Prospects</t>
        </is>
      </c>
      <c r="AT60" s="24" t="inlineStr">
        <is>
          <t>ENCE Prospects</t>
        </is>
      </c>
      <c r="AU60" s="24" t="inlineStr">
        <is>
          <t>ENCE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2e5d465a17379306940528ff103c7508aad908ecb9a4879bb8031bb88a86443c</t>
        </is>
      </c>
      <c r="BB60" s="24" t="inlineStr">
        <is>
          <t>neutral_elo</t>
        </is>
      </c>
      <c r="BC60" s="24" t="inlineStr">
        <is>
          <t>cs2-tiered-elo-v5</t>
        </is>
      </c>
      <c r="BD60" s="24" t="inlineStr">
        <is>
          <t>2e5d465a17379306940528ff103c7508aad908ecb9a4879bb8031bb88a86443c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cs2-tiered-elo-v5</t>
        </is>
      </c>
      <c r="BH60" s="24" t="inlineStr">
        <is>
          <t>2026-08-04T08:56:24.175897Z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>
        <v>1.787402</v>
      </c>
      <c r="BR60" s="28" t="n">
        <v>0.5600000000000001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</row>
    <row r="61" ht="36" customHeight="1">
      <c r="A61" s="24" t="inlineStr">
        <is>
          <t>5a02f7db72834d1f</t>
        </is>
      </c>
      <c r="B61" s="24" t="inlineStr">
        <is>
          <t>2026-08-04T08:56:55.041466Z</t>
        </is>
      </c>
      <c r="C61" s="24" t="inlineStr">
        <is>
          <t>2026-08-04T11:00:00Z</t>
        </is>
      </c>
      <c r="D61" s="24" t="inlineStr">
        <is>
          <t>68302</t>
        </is>
      </c>
      <c r="E61" s="24" t="inlineStr">
        <is>
          <t>CS2</t>
        </is>
      </c>
      <c r="F61" s="24" t="inlineStr">
        <is>
          <t>Phantom</t>
        </is>
      </c>
      <c r="G61" s="24" t="inlineStr">
        <is>
          <t>Sashi Esport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0.551011</v>
      </c>
      <c r="P61" s="28" t="n"/>
      <c r="Q61" s="28" t="n">
        <v>0.060815</v>
      </c>
      <c r="R61" s="26" t="n">
        <v>50</v>
      </c>
      <c r="S61" s="29" t="n">
        <v>1</v>
      </c>
      <c r="T61" s="24" t="inlineStr">
        <is>
          <t>cs2-tiered-elo-v5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104</v>
      </c>
      <c r="AA61" s="28" t="n">
        <v>0.49</v>
      </c>
      <c r="AB61" s="28" t="n">
        <v>-0.000196</v>
      </c>
      <c r="AC61" s="30" t="n">
        <v>1.04</v>
      </c>
      <c r="AD61" s="24" t="inlineStr">
        <is>
          <t>2026-08-04T14:03:08.153056Z</t>
        </is>
      </c>
      <c r="AE61" s="31" t="inlineStr">
        <is>
          <t>Neutral Elo baseline; executable ask 0.4900 (market_slug=aec-cs2-sashi-pha-2026-08-04).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Phantom</t>
        </is>
      </c>
      <c r="AQ61" s="24" t="inlineStr">
        <is>
          <t>Phantom</t>
        </is>
      </c>
      <c r="AR61" s="24" t="inlineStr">
        <is>
          <t>Phantom</t>
        </is>
      </c>
      <c r="AS61" s="24" t="inlineStr">
        <is>
          <t>Sashi Esport</t>
        </is>
      </c>
      <c r="AT61" s="24" t="inlineStr">
        <is>
          <t>Sashi Esport</t>
        </is>
      </c>
      <c r="AU61" s="24" t="inlineStr">
        <is>
          <t>Sashi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2e5d465a17379306940528ff103c7508aad908ecb9a4879bb8031bb88a86443c</t>
        </is>
      </c>
      <c r="BB61" s="24" t="inlineStr">
        <is>
          <t>neutral_elo</t>
        </is>
      </c>
      <c r="BC61" s="24" t="inlineStr">
        <is>
          <t>cs2-tiered-elo-v5</t>
        </is>
      </c>
      <c r="BD61" s="24" t="inlineStr">
        <is>
          <t>2e5d465a17379306940528ff103c7508aad908ecb9a4879bb8031bb88a86443c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cs2-tiered-elo-v5</t>
        </is>
      </c>
      <c r="BH61" s="24" t="inlineStr">
        <is>
          <t>2026-08-04T08:56:24.737438Z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>
        <v>2.04</v>
      </c>
      <c r="BR61" s="28" t="n">
        <v>0.49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cb7f1fae514b4028</t>
        </is>
      </c>
      <c r="B62" s="24" t="inlineStr">
        <is>
          <t>2026-08-04T08:56:55.041466Z</t>
        </is>
      </c>
      <c r="C62" s="24" t="inlineStr">
        <is>
          <t>2026-08-04T11:00:00Z</t>
        </is>
      </c>
      <c r="D62" s="24" t="inlineStr">
        <is>
          <t>68301</t>
        </is>
      </c>
      <c r="E62" s="24" t="inlineStr">
        <is>
          <t>CS2</t>
        </is>
      </c>
      <c r="F62" s="24" t="inlineStr">
        <is>
          <t>SNAILKICK Club</t>
        </is>
      </c>
      <c r="G62" s="24" t="inlineStr">
        <is>
          <t>PCH3LK1N Club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0.527057</v>
      </c>
      <c r="P62" s="28" t="n"/>
      <c r="Q62" s="28" t="n">
        <v>-0.003459</v>
      </c>
      <c r="R62" s="26" t="n">
        <v>18</v>
      </c>
      <c r="S62" s="29" t="n">
        <v>1</v>
      </c>
      <c r="T62" s="24" t="inlineStr">
        <is>
          <t>cs2-tiered-elo-v5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-1</v>
      </c>
      <c r="AD62" s="24" t="inlineStr">
        <is>
          <t>2026-08-04T14:03:09.721402Z</t>
        </is>
      </c>
      <c r="AE62" s="31" t="inlineStr">
        <is>
          <t>Neutral Elo baseline; executable ask 0.5300 (market_slug=aec-cs2-plnc-scn-2026-08-04).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SNAILKICK Club</t>
        </is>
      </c>
      <c r="AQ62" s="24" t="inlineStr">
        <is>
          <t>SNAILKICK Club</t>
        </is>
      </c>
      <c r="AR62" s="24" t="inlineStr">
        <is>
          <t>SNAILKICK Club</t>
        </is>
      </c>
      <c r="AS62" s="24" t="inlineStr">
        <is>
          <t>PCH3LK1N Club</t>
        </is>
      </c>
      <c r="AT62" s="24" t="inlineStr">
        <is>
          <t>PCH3LK1N Club</t>
        </is>
      </c>
      <c r="AU62" s="24" t="inlineStr">
        <is>
          <t>PCH3LK1N Club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2e5d465a17379306940528ff103c7508aad908ecb9a4879bb8031bb88a86443c</t>
        </is>
      </c>
      <c r="BB62" s="24" t="inlineStr">
        <is>
          <t>neutral_elo</t>
        </is>
      </c>
      <c r="BC62" s="24" t="inlineStr">
        <is>
          <t>cs2-tiered-elo-v5</t>
        </is>
      </c>
      <c r="BD62" s="24" t="inlineStr">
        <is>
          <t>2e5d465a17379306940528ff103c7508aad908ecb9a4879bb8031bb88a86443c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cs2-tiered-elo-v5</t>
        </is>
      </c>
      <c r="BH62" s="24" t="inlineStr">
        <is>
          <t>2026-08-04T08:56:25.426369Z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fe5f1ab4ae674f3c</t>
        </is>
      </c>
      <c r="B63" s="24" t="inlineStr">
        <is>
          <t>2026-08-04T08:56:55.041466Z</t>
        </is>
      </c>
      <c r="C63" s="24" t="inlineStr">
        <is>
          <t>2026-08-04T11:00:00Z</t>
        </is>
      </c>
      <c r="D63" s="24" t="inlineStr">
        <is>
          <t>71501</t>
        </is>
      </c>
      <c r="E63" s="24" t="inlineStr">
        <is>
          <t>CS2</t>
        </is>
      </c>
      <c r="F63" s="24" t="inlineStr">
        <is>
          <t>Betclic Apogee Esports</t>
        </is>
      </c>
      <c r="G63" s="24" t="inlineStr">
        <is>
          <t>Acend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0.691594</v>
      </c>
      <c r="P63" s="28" t="n"/>
      <c r="Q63" s="28" t="n">
        <v>0.111762</v>
      </c>
      <c r="R63" s="26" t="n">
        <v>76</v>
      </c>
      <c r="S63" s="29" t="n">
        <v>2</v>
      </c>
      <c r="T63" s="24" t="inlineStr">
        <is>
          <t>cs2-tiered-elo-v5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-138</v>
      </c>
      <c r="AA63" s="28" t="n">
        <v>0.58</v>
      </c>
      <c r="AB63" s="28" t="n">
        <v>0.000168</v>
      </c>
      <c r="AC63" s="30" t="n">
        <v>-2</v>
      </c>
      <c r="AD63" s="24" t="inlineStr">
        <is>
          <t>2026-08-04T14:03:11.366824Z</t>
        </is>
      </c>
      <c r="AE63" s="31" t="inlineStr">
        <is>
          <t>Neutral Elo baseline; executable ask 0.5800 (market_slug=aec-cs2-ace-bca-2026-08-04).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Betclic Apogee Esports</t>
        </is>
      </c>
      <c r="AQ63" s="24" t="inlineStr">
        <is>
          <t>Betclic Apogee Esports</t>
        </is>
      </c>
      <c r="AR63" s="24" t="inlineStr">
        <is>
          <t>Betclic Apogee Esports</t>
        </is>
      </c>
      <c r="AS63" s="24" t="inlineStr">
        <is>
          <t>Acend</t>
        </is>
      </c>
      <c r="AT63" s="24" t="inlineStr">
        <is>
          <t>Acend</t>
        </is>
      </c>
      <c r="AU63" s="24" t="inlineStr">
        <is>
          <t>Acend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2e5d465a17379306940528ff103c7508aad908ecb9a4879bb8031bb88a86443c</t>
        </is>
      </c>
      <c r="BB63" s="24" t="inlineStr">
        <is>
          <t>neutral_elo</t>
        </is>
      </c>
      <c r="BC63" s="24" t="inlineStr">
        <is>
          <t>cs2-tiered-elo-v5</t>
        </is>
      </c>
      <c r="BD63" s="24" t="inlineStr">
        <is>
          <t>2e5d465a17379306940528ff103c7508aad908ecb9a4879bb8031bb88a86443c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cs2-tiered-elo-v5</t>
        </is>
      </c>
      <c r="BH63" s="24" t="inlineStr">
        <is>
          <t>2026-08-04T08:56:25.971824Z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>
        <v>1.724638</v>
      </c>
      <c r="BR63" s="28" t="n">
        <v>0.58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71253e3d5d7f47e2</t>
        </is>
      </c>
      <c r="B64" s="24" t="inlineStr">
        <is>
          <t>2026-08-04T12:02:30.114508Z</t>
        </is>
      </c>
      <c r="C64" s="24" t="inlineStr">
        <is>
          <t>2026-08-04T13:00:00Z</t>
        </is>
      </c>
      <c r="D64" s="24" t="inlineStr">
        <is>
          <t>71280</t>
        </is>
      </c>
      <c r="E64" s="24" t="inlineStr">
        <is>
          <t>CS2</t>
        </is>
      </c>
      <c r="F64" s="24" t="inlineStr">
        <is>
          <t>ex-MANA eSports</t>
        </is>
      </c>
      <c r="G64" s="24" t="inlineStr">
        <is>
          <t>BASEMENT BOYS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-203</v>
      </c>
      <c r="M64" s="27" t="n">
        <v>1.492611</v>
      </c>
      <c r="N64" s="28" t="n">
        <v>0.669967</v>
      </c>
      <c r="O64" s="28" t="n">
        <v>0.640787</v>
      </c>
      <c r="P64" s="28" t="n"/>
      <c r="Q64" s="28" t="n">
        <v>-0.02918</v>
      </c>
      <c r="R64" s="26" t="n">
        <v>5</v>
      </c>
      <c r="S64" s="29" t="n">
        <v>1.5</v>
      </c>
      <c r="T64" s="24" t="inlineStr">
        <is>
          <t>cs2-tiered-elo-v5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-203</v>
      </c>
      <c r="AA64" s="28" t="n">
        <v>0.67</v>
      </c>
      <c r="AB64" s="28" t="n">
        <v>3.3e-05</v>
      </c>
      <c r="AC64" s="30" t="n">
        <v>-1.5</v>
      </c>
      <c r="AD64" s="24" t="inlineStr">
        <is>
          <t>2026-08-04T16:48:44.982139Z</t>
        </is>
      </c>
      <c r="AE64" s="31" t="inlineStr">
        <is>
          <t>Neutral Elo baseline; executable ask 0.6700 (market_slug=aec-cs2-bmb-exmana-2026-08-04).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ex-MANA eSports</t>
        </is>
      </c>
      <c r="AQ64" s="24" t="inlineStr">
        <is>
          <t>ex-MANA eSports</t>
        </is>
      </c>
      <c r="AR64" s="24" t="inlineStr">
        <is>
          <t>ex-MANA eSports</t>
        </is>
      </c>
      <c r="AS64" s="24" t="inlineStr">
        <is>
          <t>BASEMENT BOYS</t>
        </is>
      </c>
      <c r="AT64" s="24" t="inlineStr">
        <is>
          <t>BASEMENT BOYS</t>
        </is>
      </c>
      <c r="AU64" s="24" t="inlineStr">
        <is>
          <t>BASEMENT BOYS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c721353818b949592e0d9143f94caccefc04915eac71c58a5983a137fbf32d77</t>
        </is>
      </c>
      <c r="BB64" s="24" t="inlineStr">
        <is>
          <t>neutral_elo</t>
        </is>
      </c>
      <c r="BC64" s="24" t="inlineStr">
        <is>
          <t>cs2-tiered-elo-v5</t>
        </is>
      </c>
      <c r="BD64" s="24" t="inlineStr">
        <is>
          <t>c721353818b949592e0d9143f94caccefc04915eac71c58a5983a137fbf32d77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cs2-tiered-elo-v5</t>
        </is>
      </c>
      <c r="BH64" s="24" t="inlineStr">
        <is>
          <t>2026-08-04T12:01:37.143655Z</t>
        </is>
      </c>
      <c r="BI64" s="24" t="inlineStr">
        <is>
          <t>["same_event","same_team_same_day","same_league_same_day"]</t>
        </is>
      </c>
      <c r="BJ64" s="25" t="n"/>
      <c r="BK64" s="26" t="n">
        <v>-203</v>
      </c>
      <c r="BL64" s="27" t="n">
        <v>1.492611</v>
      </c>
      <c r="BM64" s="28" t="n">
        <v>0.669967</v>
      </c>
      <c r="BN64" s="28" t="n"/>
      <c r="BO64" s="28" t="n"/>
      <c r="BP64" s="25" t="n"/>
      <c r="BQ64" s="27" t="n">
        <v>1.492611</v>
      </c>
      <c r="BR64" s="28" t="n">
        <v>0.67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04bf6223d1074ca1</t>
        </is>
      </c>
      <c r="B65" s="24" t="inlineStr">
        <is>
          <t>2026-08-04T12:02:30.114508Z</t>
        </is>
      </c>
      <c r="C65" s="24" t="inlineStr">
        <is>
          <t>2026-08-04T13:00:00Z</t>
        </is>
      </c>
      <c r="D65" s="24" t="inlineStr">
        <is>
          <t>71213</t>
        </is>
      </c>
      <c r="E65" s="24" t="inlineStr">
        <is>
          <t>CS2</t>
        </is>
      </c>
      <c r="F65" s="24" t="inlineStr">
        <is>
          <t>Leo Team</t>
        </is>
      </c>
      <c r="G65" s="24" t="inlineStr">
        <is>
          <t>Bushido Wildcats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0.719395</v>
      </c>
      <c r="P65" s="28" t="n"/>
      <c r="Q65" s="28" t="n">
        <v>0.209591</v>
      </c>
      <c r="R65" s="26" t="n">
        <v>100</v>
      </c>
      <c r="S65" s="29" t="n">
        <v>2</v>
      </c>
      <c r="T65" s="24" t="inlineStr">
        <is>
          <t>cs2-tiered-elo-v5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1.9231</v>
      </c>
      <c r="AD65" s="24" t="inlineStr">
        <is>
          <t>2026-08-04T16:48:47.151832Z</t>
        </is>
      </c>
      <c r="AE65" s="31" t="inlineStr">
        <is>
          <t>Neutral Elo baseline; executable ask 0.5100 (market_slug=aec-cs2-bw-leo-2026-08-04).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Leo Team</t>
        </is>
      </c>
      <c r="AQ65" s="24" t="inlineStr">
        <is>
          <t>Leo Team</t>
        </is>
      </c>
      <c r="AR65" s="24" t="inlineStr">
        <is>
          <t>Leo Team</t>
        </is>
      </c>
      <c r="AS65" s="24" t="inlineStr">
        <is>
          <t>Bushido Wildcats</t>
        </is>
      </c>
      <c r="AT65" s="24" t="inlineStr">
        <is>
          <t>Bushido Wildcats</t>
        </is>
      </c>
      <c r="AU65" s="24" t="inlineStr">
        <is>
          <t>Bushido Wildcats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c721353818b949592e0d9143f94caccefc04915eac71c58a5983a137fbf32d77</t>
        </is>
      </c>
      <c r="BB65" s="24" t="inlineStr">
        <is>
          <t>neutral_elo</t>
        </is>
      </c>
      <c r="BC65" s="24" t="inlineStr">
        <is>
          <t>cs2-tiered-elo-v5</t>
        </is>
      </c>
      <c r="BD65" s="24" t="inlineStr">
        <is>
          <t>c721353818b949592e0d9143f94caccefc04915eac71c58a5983a137fbf32d77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cs2-tiered-elo-v5</t>
        </is>
      </c>
      <c r="BH65" s="24" t="inlineStr">
        <is>
          <t>2026-08-04T12:01:38.137077Z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/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8bb216674c4240bc</t>
        </is>
      </c>
      <c r="B66" s="24" t="inlineStr">
        <is>
          <t>2026-08-04T12:02:30.114508Z</t>
        </is>
      </c>
      <c r="C66" s="24" t="inlineStr">
        <is>
          <t>2026-08-04T13:45:00Z</t>
        </is>
      </c>
      <c r="D66" s="24" t="inlineStr">
        <is>
          <t>68435</t>
        </is>
      </c>
      <c r="E66" s="24" t="inlineStr">
        <is>
          <t>CS2</t>
        </is>
      </c>
      <c r="F66" s="24" t="inlineStr">
        <is>
          <t>WorldEdit Club</t>
        </is>
      </c>
      <c r="G66" s="24" t="inlineStr">
        <is>
          <t>PCH3LK1N Club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163</v>
      </c>
      <c r="M66" s="27" t="n">
        <v>2.63</v>
      </c>
      <c r="N66" s="28" t="n">
        <v>0.380228</v>
      </c>
      <c r="O66" s="28" t="n">
        <v>0.526874</v>
      </c>
      <c r="P66" s="28" t="n"/>
      <c r="Q66" s="28" t="n">
        <v>0.146646</v>
      </c>
      <c r="R66" s="26" t="n">
        <v>93</v>
      </c>
      <c r="S66" s="29" t="n">
        <v>1</v>
      </c>
      <c r="T66" s="24" t="inlineStr">
        <is>
          <t>cs2-tiered-elo-v5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163</v>
      </c>
      <c r="AA66" s="28" t="n">
        <v>0.38</v>
      </c>
      <c r="AB66" s="28" t="n">
        <v>-0.000228</v>
      </c>
      <c r="AC66" s="30" t="n">
        <v>-1</v>
      </c>
      <c r="AD66" s="24" t="inlineStr">
        <is>
          <t>2026-08-04T18:03:29.026778Z</t>
        </is>
      </c>
      <c r="AE66" s="31" t="inlineStr">
        <is>
          <t>Neutral Elo baseline; executable ask 0.3800 (market_slug=aec-cs2-plnc-wco-2026-08-04).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WorldEdit Club</t>
        </is>
      </c>
      <c r="AQ66" s="24" t="inlineStr">
        <is>
          <t>WorldEdit Club</t>
        </is>
      </c>
      <c r="AR66" s="24" t="inlineStr">
        <is>
          <t>WorldEdit Club</t>
        </is>
      </c>
      <c r="AS66" s="24" t="inlineStr">
        <is>
          <t>PCH3LK1N Club</t>
        </is>
      </c>
      <c r="AT66" s="24" t="inlineStr">
        <is>
          <t>PCH3LK1N Club</t>
        </is>
      </c>
      <c r="AU66" s="24" t="inlineStr">
        <is>
          <t>PCH3LK1N Club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c721353818b949592e0d9143f94caccefc04915eac71c58a5983a137fbf32d77</t>
        </is>
      </c>
      <c r="BB66" s="24" t="inlineStr">
        <is>
          <t>neutral_elo</t>
        </is>
      </c>
      <c r="BC66" s="24" t="inlineStr">
        <is>
          <t>cs2-tiered-elo-v5</t>
        </is>
      </c>
      <c r="BD66" s="24" t="inlineStr">
        <is>
          <t>c721353818b949592e0d9143f94caccefc04915eac71c58a5983a137fbf32d77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cs2-tiered-elo-v5</t>
        </is>
      </c>
      <c r="BH66" s="24" t="inlineStr">
        <is>
          <t>2026-08-04T12:01:39.296037Z</t>
        </is>
      </c>
      <c r="BI66" s="24" t="inlineStr">
        <is>
          <t>["same_event","same_team_same_day","same_league_same_day"]</t>
        </is>
      </c>
      <c r="BJ66" s="25" t="n"/>
      <c r="BK66" s="26" t="n">
        <v>163</v>
      </c>
      <c r="BL66" s="27" t="n">
        <v>2.63</v>
      </c>
      <c r="BM66" s="28" t="n">
        <v>0.380228</v>
      </c>
      <c r="BN66" s="28" t="n"/>
      <c r="BO66" s="28" t="n"/>
      <c r="BP66" s="25" t="n"/>
      <c r="BQ66" s="27" t="n">
        <v>2.63</v>
      </c>
      <c r="BR66" s="28" t="n">
        <v>0.38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96126276e7a74d7e</t>
        </is>
      </c>
      <c r="B67" s="24" t="inlineStr">
        <is>
          <t>2026-08-04T12:02:30.114508Z</t>
        </is>
      </c>
      <c r="C67" s="24" t="inlineStr">
        <is>
          <t>2026-08-04T14:00:00Z</t>
        </is>
      </c>
      <c r="D67" s="24" t="inlineStr">
        <is>
          <t>68437</t>
        </is>
      </c>
      <c r="E67" s="24" t="inlineStr">
        <is>
          <t>CS2</t>
        </is>
      </c>
      <c r="F67" s="24" t="inlineStr">
        <is>
          <t>GenOne</t>
        </is>
      </c>
      <c r="G67" s="24" t="inlineStr">
        <is>
          <t>Nemiga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0.5179</v>
      </c>
      <c r="P67" s="28" t="n"/>
      <c r="Q67" s="28" t="n">
        <v>-0.101872</v>
      </c>
      <c r="R67" s="26" t="n">
        <v>0</v>
      </c>
      <c r="S67" s="29" t="n">
        <v>1</v>
      </c>
      <c r="T67" s="24" t="inlineStr">
        <is>
          <t>cs2-tiered-elo-v5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-163</v>
      </c>
      <c r="AA67" s="28" t="n">
        <v>0.62</v>
      </c>
      <c r="AB67" s="28" t="n">
        <v>0.000228</v>
      </c>
      <c r="AC67" s="30" t="n">
        <v>-1</v>
      </c>
      <c r="AD67" s="24" t="inlineStr">
        <is>
          <t>2026-08-04T16:48:50.341509Z</t>
        </is>
      </c>
      <c r="AE67" s="31" t="inlineStr">
        <is>
          <t>Neutral Elo baseline; executable ask 0.6200 (market_slug=aec-cs2-nemi-g1-2026-08-04).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GenOne</t>
        </is>
      </c>
      <c r="AQ67" s="24" t="inlineStr">
        <is>
          <t>GenOne</t>
        </is>
      </c>
      <c r="AR67" s="24" t="inlineStr">
        <is>
          <t>GenOne</t>
        </is>
      </c>
      <c r="AS67" s="24" t="inlineStr">
        <is>
          <t>Nemiga</t>
        </is>
      </c>
      <c r="AT67" s="24" t="inlineStr">
        <is>
          <t>Nemiga</t>
        </is>
      </c>
      <c r="AU67" s="24" t="inlineStr">
        <is>
          <t>Nemiga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c721353818b949592e0d9143f94caccefc04915eac71c58a5983a137fbf32d77</t>
        </is>
      </c>
      <c r="BB67" s="24" t="inlineStr">
        <is>
          <t>neutral_elo</t>
        </is>
      </c>
      <c r="BC67" s="24" t="inlineStr">
        <is>
          <t>cs2-tiered-elo-v5</t>
        </is>
      </c>
      <c r="BD67" s="24" t="inlineStr">
        <is>
          <t>c721353818b949592e0d9143f94caccefc04915eac71c58a5983a137fbf32d77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cs2-tiered-elo-v5</t>
        </is>
      </c>
      <c r="BH67" s="24" t="inlineStr">
        <is>
          <t>2026-08-04T12:01:41.460173Z</t>
        </is>
      </c>
      <c r="BI67" s="24" t="inlineStr">
        <is>
          <t>["same_event","same_team_same_day","same_league_same_day"]</t>
        </is>
      </c>
      <c r="BJ67" s="25" t="n"/>
      <c r="BK67" s="26" t="n">
        <v>-163</v>
      </c>
      <c r="BL67" s="27" t="n">
        <v>1.613497</v>
      </c>
      <c r="BM67" s="28" t="n">
        <v>0.619772</v>
      </c>
      <c r="BN67" s="28" t="n"/>
      <c r="BO67" s="28" t="n"/>
      <c r="BP67" s="25" t="n"/>
      <c r="BQ67" s="27" t="n">
        <v>1.613497</v>
      </c>
      <c r="BR67" s="28" t="n">
        <v>0.62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66b3a1ade0a04bd3</t>
        </is>
      </c>
      <c r="B68" s="24" t="inlineStr">
        <is>
          <t>2026-08-04T12:02:30.114508Z</t>
        </is>
      </c>
      <c r="C68" s="24" t="inlineStr">
        <is>
          <t>2026-08-04T14:00:00Z</t>
        </is>
      </c>
      <c r="D68" s="24" t="inlineStr">
        <is>
          <t>71319</t>
        </is>
      </c>
      <c r="E68" s="24" t="inlineStr">
        <is>
          <t>CS2</t>
        </is>
      </c>
      <c r="F68" s="24" t="inlineStr">
        <is>
          <t>ENJOY</t>
        </is>
      </c>
      <c r="G68" s="24" t="inlineStr">
        <is>
          <t>Just Players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163</v>
      </c>
      <c r="M68" s="27" t="n">
        <v>2.63</v>
      </c>
      <c r="N68" s="28" t="n">
        <v>0.380228</v>
      </c>
      <c r="O68" s="28" t="n">
        <v>0.509432</v>
      </c>
      <c r="P68" s="28" t="n"/>
      <c r="Q68" s="28" t="n">
        <v>0.129204</v>
      </c>
      <c r="R68" s="26" t="n">
        <v>85</v>
      </c>
      <c r="S68" s="29" t="n">
        <v>1</v>
      </c>
      <c r="T68" s="24" t="inlineStr">
        <is>
          <t>cs2-tiered-elo-v5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1</v>
      </c>
      <c r="Y68" s="25" t="n"/>
      <c r="Z68" s="26" t="n">
        <v>163</v>
      </c>
      <c r="AA68" s="28" t="n">
        <v>0.38</v>
      </c>
      <c r="AB68" s="28" t="n">
        <v>-0.000228</v>
      </c>
      <c r="AC68" s="30" t="n">
        <v>-1</v>
      </c>
      <c r="AD68" s="24" t="inlineStr">
        <is>
          <t>2026-08-04T16:48:52.484593Z</t>
        </is>
      </c>
      <c r="AE68" s="31" t="inlineStr">
        <is>
          <t>Neutral Elo baseline; executable ask 0.3800 (market_slug=aec-cs2-jpu-enjoy-2026-08-04).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ENJOY</t>
        </is>
      </c>
      <c r="AQ68" s="24" t="inlineStr">
        <is>
          <t>ENJOY</t>
        </is>
      </c>
      <c r="AR68" s="24" t="inlineStr">
        <is>
          <t>ENJOY</t>
        </is>
      </c>
      <c r="AS68" s="24" t="inlineStr">
        <is>
          <t>Just Players</t>
        </is>
      </c>
      <c r="AT68" s="24" t="inlineStr">
        <is>
          <t>Just Players</t>
        </is>
      </c>
      <c r="AU68" s="24" t="inlineStr">
        <is>
          <t>Just Players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c721353818b949592e0d9143f94caccefc04915eac71c58a5983a137fbf32d77</t>
        </is>
      </c>
      <c r="BB68" s="24" t="inlineStr">
        <is>
          <t>neutral_elo</t>
        </is>
      </c>
      <c r="BC68" s="24" t="inlineStr">
        <is>
          <t>cs2-tiered-elo-v5</t>
        </is>
      </c>
      <c r="BD68" s="24" t="inlineStr">
        <is>
          <t>c721353818b949592e0d9143f94caccefc04915eac71c58a5983a137fbf32d77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cs2-tiered-elo-v5</t>
        </is>
      </c>
      <c r="BH68" s="24" t="inlineStr">
        <is>
          <t>2026-08-04T12:01:42.547114Z</t>
        </is>
      </c>
      <c r="BI68" s="24" t="inlineStr">
        <is>
          <t>["same_event","same_team_same_day","same_league_same_day"]</t>
        </is>
      </c>
      <c r="BJ68" s="25" t="n"/>
      <c r="BK68" s="26" t="n">
        <v>163</v>
      </c>
      <c r="BL68" s="27" t="n">
        <v>2.63</v>
      </c>
      <c r="BM68" s="28" t="n">
        <v>0.380228</v>
      </c>
      <c r="BN68" s="28" t="n"/>
      <c r="BO68" s="28" t="n"/>
      <c r="BP68" s="25" t="n"/>
      <c r="BQ68" s="27" t="n">
        <v>2.63</v>
      </c>
      <c r="BR68" s="28" t="n">
        <v>0.38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6d604382a0a344f2</t>
        </is>
      </c>
      <c r="B69" s="24" t="inlineStr">
        <is>
          <t>2026-08-04T12:02:30.114508Z</t>
        </is>
      </c>
      <c r="C69" s="24" t="inlineStr">
        <is>
          <t>2026-08-04T14:00:00Z</t>
        </is>
      </c>
      <c r="D69" s="24" t="inlineStr">
        <is>
          <t>71318</t>
        </is>
      </c>
      <c r="E69" s="24" t="inlineStr">
        <is>
          <t>CS2</t>
        </is>
      </c>
      <c r="F69" s="24" t="inlineStr">
        <is>
          <t>9INE</t>
        </is>
      </c>
      <c r="G69" s="24" t="inlineStr">
        <is>
          <t>Liquid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-233</v>
      </c>
      <c r="M69" s="27" t="n">
        <v>1.429185</v>
      </c>
      <c r="N69" s="28" t="n">
        <v>0.6997</v>
      </c>
      <c r="O69" s="28" t="n">
        <v>0.689352</v>
      </c>
      <c r="P69" s="28" t="n"/>
      <c r="Q69" s="28" t="n">
        <v>-0.010348</v>
      </c>
      <c r="R69" s="26" t="n">
        <v>15</v>
      </c>
      <c r="S69" s="29" t="n">
        <v>2</v>
      </c>
      <c r="T69" s="24" t="inlineStr">
        <is>
          <t>cs2-tiered-elo-v5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-233</v>
      </c>
      <c r="AA69" s="28" t="n">
        <v>0.7</v>
      </c>
      <c r="AB69" s="28" t="n">
        <v>0.0003</v>
      </c>
      <c r="AC69" s="30" t="n">
        <v>0.8584000000000001</v>
      </c>
      <c r="AD69" s="24" t="inlineStr">
        <is>
          <t>2026-08-04T16:48:54.777298Z</t>
        </is>
      </c>
      <c r="AE69" s="31" t="inlineStr">
        <is>
          <t>Neutral Elo baseline; executable ask 0.7000 (market_slug=aec-cs2-tl-9ine-2026-08-04).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9INE</t>
        </is>
      </c>
      <c r="AQ69" s="24" t="inlineStr">
        <is>
          <t>9INE</t>
        </is>
      </c>
      <c r="AR69" s="24" t="inlineStr">
        <is>
          <t>9INE</t>
        </is>
      </c>
      <c r="AS69" s="24" t="inlineStr">
        <is>
          <t>Liquid</t>
        </is>
      </c>
      <c r="AT69" s="24" t="inlineStr">
        <is>
          <t>Liquid</t>
        </is>
      </c>
      <c r="AU69" s="24" t="inlineStr">
        <is>
          <t>Liquid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c721353818b949592e0d9143f94caccefc04915eac71c58a5983a137fbf32d77</t>
        </is>
      </c>
      <c r="BB69" s="24" t="inlineStr">
        <is>
          <t>neutral_elo</t>
        </is>
      </c>
      <c r="BC69" s="24" t="inlineStr">
        <is>
          <t>cs2-tiered-elo-v5</t>
        </is>
      </c>
      <c r="BD69" s="24" t="inlineStr">
        <is>
          <t>c721353818b949592e0d9143f94caccefc04915eac71c58a5983a137fbf32d77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cs2-tiered-elo-v5</t>
        </is>
      </c>
      <c r="BH69" s="24" t="inlineStr">
        <is>
          <t>2026-08-04T12:01:43.680044Z</t>
        </is>
      </c>
      <c r="BI69" s="24" t="inlineStr">
        <is>
          <t>["same_event","same_team_same_day","same_league_same_day"]</t>
        </is>
      </c>
      <c r="BJ69" s="25" t="n"/>
      <c r="BK69" s="26" t="n">
        <v>-233</v>
      </c>
      <c r="BL69" s="27" t="n">
        <v>1.429185</v>
      </c>
      <c r="BM69" s="28" t="n">
        <v>0.6997</v>
      </c>
      <c r="BN69" s="28" t="n"/>
      <c r="BO69" s="28" t="n"/>
      <c r="BP69" s="25" t="n"/>
      <c r="BQ69" s="27" t="n">
        <v>1.429185</v>
      </c>
      <c r="BR69" s="28" t="n">
        <v>0.7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4b897465742b45d6</t>
        </is>
      </c>
      <c r="B70" s="24" t="inlineStr">
        <is>
          <t>2026-08-04T15:04:43.651004Z</t>
        </is>
      </c>
      <c r="C70" s="24" t="inlineStr">
        <is>
          <t>2026-08-04T16:30:00Z</t>
        </is>
      </c>
      <c r="D70" s="24" t="inlineStr">
        <is>
          <t>68563</t>
        </is>
      </c>
      <c r="E70" s="24" t="inlineStr">
        <is>
          <t>CS2</t>
        </is>
      </c>
      <c r="F70" s="24" t="inlineStr">
        <is>
          <t>Recrent Club</t>
        </is>
      </c>
      <c r="G70" s="24" t="inlineStr">
        <is>
          <t>Buster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-133</v>
      </c>
      <c r="M70" s="27" t="n">
        <v>1.75188</v>
      </c>
      <c r="N70" s="28" t="n">
        <v>0.570815</v>
      </c>
      <c r="O70" s="28" t="n">
        <v>0.5267269999999999</v>
      </c>
      <c r="P70" s="28" t="n"/>
      <c r="Q70" s="28" t="n">
        <v>-0.044088</v>
      </c>
      <c r="R70" s="26" t="n">
        <v>0</v>
      </c>
      <c r="S70" s="29" t="n">
        <v>1</v>
      </c>
      <c r="T70" s="24" t="inlineStr">
        <is>
          <t>cs2-tiered-elo-v5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-133</v>
      </c>
      <c r="AA70" s="28" t="n">
        <v>0.57</v>
      </c>
      <c r="AB70" s="28" t="n">
        <v>-0.000815</v>
      </c>
      <c r="AC70" s="30" t="n">
        <v>0.7519</v>
      </c>
      <c r="AD70" s="24" t="inlineStr">
        <is>
          <t>2026-08-04T18:03:30.717665Z</t>
        </is>
      </c>
      <c r="AE70" s="31" t="inlineStr">
        <is>
          <t>Neutral Elo baseline; executable ask 0.5700 (market_slug=aec-cs2-bcu-rce-2026-08-04).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Recrent Club</t>
        </is>
      </c>
      <c r="AQ70" s="24" t="inlineStr">
        <is>
          <t>Recrent Club</t>
        </is>
      </c>
      <c r="AR70" s="24" t="inlineStr">
        <is>
          <t>Recrent Club</t>
        </is>
      </c>
      <c r="AS70" s="24" t="inlineStr">
        <is>
          <t>Buster Club</t>
        </is>
      </c>
      <c r="AT70" s="24" t="inlineStr">
        <is>
          <t>Buster Club</t>
        </is>
      </c>
      <c r="AU70" s="24" t="inlineStr">
        <is>
          <t>Buster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9cd22a347ddd07dcb14d465784988076b2f99aac119d8a8534a3e5b7ebfc248f</t>
        </is>
      </c>
      <c r="BB70" s="24" t="inlineStr">
        <is>
          <t>neutral_elo</t>
        </is>
      </c>
      <c r="BC70" s="24" t="inlineStr">
        <is>
          <t>cs2-tiered-elo-v5</t>
        </is>
      </c>
      <c r="BD70" s="24" t="inlineStr">
        <is>
          <t>9cd22a347ddd07dcb14d465784988076b2f99aac119d8a8534a3e5b7ebfc248f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cs2-tiered-elo-v5</t>
        </is>
      </c>
      <c r="BH70" s="24" t="inlineStr">
        <is>
          <t>2026-08-04T15:04:18.275261Z</t>
        </is>
      </c>
      <c r="BI70" s="24" t="inlineStr">
        <is>
          <t>["same_event","same_team_same_day","same_league_same_day"]</t>
        </is>
      </c>
      <c r="BJ70" s="25" t="n"/>
      <c r="BK70" s="26" t="n">
        <v>-133</v>
      </c>
      <c r="BL70" s="27" t="n">
        <v>1.75188</v>
      </c>
      <c r="BM70" s="28" t="n">
        <v>0.570815</v>
      </c>
      <c r="BN70" s="28" t="n"/>
      <c r="BO70" s="28" t="n"/>
      <c r="BP70" s="25" t="n"/>
      <c r="BQ70" s="27" t="n">
        <v>1.75188</v>
      </c>
      <c r="BR70" s="28" t="n">
        <v>0.57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</row>
    <row r="71" ht="36" customHeight="1">
      <c r="A71" s="24" t="inlineStr">
        <is>
          <t>2c3c38e1f7174d22</t>
        </is>
      </c>
      <c r="B71" s="24" t="inlineStr">
        <is>
          <t>2026-08-04T15:04:43.651004Z</t>
        </is>
      </c>
      <c r="C71" s="24" t="inlineStr">
        <is>
          <t>2026-08-04T16:30:00Z</t>
        </is>
      </c>
      <c r="D71" s="24" t="inlineStr">
        <is>
          <t>68562</t>
        </is>
      </c>
      <c r="E71" s="24" t="inlineStr">
        <is>
          <t>CS2</t>
        </is>
      </c>
      <c r="F71" s="24" t="inlineStr">
        <is>
          <t>WorldEdit Club</t>
        </is>
      </c>
      <c r="G71" s="24" t="inlineStr">
        <is>
          <t>shoke Club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0.5267269999999999</v>
      </c>
      <c r="P71" s="28" t="n"/>
      <c r="Q71" s="28" t="n">
        <v>-0.102903</v>
      </c>
      <c r="R71" s="26" t="n">
        <v>0</v>
      </c>
      <c r="S71" s="29" t="n">
        <v>1</v>
      </c>
      <c r="T71" s="24" t="inlineStr">
        <is>
          <t>cs2-tiered-elo-v5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-1</v>
      </c>
      <c r="AD71" s="24" t="inlineStr">
        <is>
          <t>2026-08-04T21:59:11.430591Z</t>
        </is>
      </c>
      <c r="AE71" s="31" t="inlineStr">
        <is>
          <t>Neutral Elo baseline; executable ask 0.6300 (market_slug=aec-cs2-sch-wco-2026-08-04).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WorldEdit Club</t>
        </is>
      </c>
      <c r="AQ71" s="24" t="inlineStr">
        <is>
          <t>WorldEdit Club</t>
        </is>
      </c>
      <c r="AR71" s="24" t="inlineStr">
        <is>
          <t>WorldEdit Club</t>
        </is>
      </c>
      <c r="AS71" s="24" t="inlineStr">
        <is>
          <t>shoke Club</t>
        </is>
      </c>
      <c r="AT71" s="24" t="inlineStr">
        <is>
          <t>shoke Club</t>
        </is>
      </c>
      <c r="AU71" s="24" t="inlineStr">
        <is>
          <t>shoke Club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9cd22a347ddd07dcb14d465784988076b2f99aac119d8a8534a3e5b7ebfc248f</t>
        </is>
      </c>
      <c r="BB71" s="24" t="inlineStr">
        <is>
          <t>neutral_elo</t>
        </is>
      </c>
      <c r="BC71" s="24" t="inlineStr">
        <is>
          <t>cs2-tiered-elo-v5</t>
        </is>
      </c>
      <c r="BD71" s="24" t="inlineStr">
        <is>
          <t>9cd22a347ddd07dcb14d465784988076b2f99aac119d8a8534a3e5b7ebfc248f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cs2-tiered-elo-v5</t>
        </is>
      </c>
      <c r="BH71" s="24" t="inlineStr">
        <is>
          <t>2026-08-04T15:04:18.898041Z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</row>
    <row r="72" ht="36" customHeight="1">
      <c r="A72" s="24" t="inlineStr">
        <is>
          <t>a0b6032aac0c414d</t>
        </is>
      </c>
      <c r="B72" s="24" t="inlineStr">
        <is>
          <t>2026-08-04T16:54:42.280324Z</t>
        </is>
      </c>
      <c r="C72" s="24" t="inlineStr">
        <is>
          <t>2026-08-04T17:00:00Z</t>
        </is>
      </c>
      <c r="D72" s="24" t="inlineStr">
        <is>
          <t>71337</t>
        </is>
      </c>
      <c r="E72" s="24" t="inlineStr">
        <is>
          <t>CS2</t>
        </is>
      </c>
      <c r="F72" s="24" t="inlineStr">
        <is>
          <t>A Great Chaos</t>
        </is>
      </c>
      <c r="G72" s="24" t="inlineStr">
        <is>
          <t>Fortress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-127</v>
      </c>
      <c r="M72" s="27" t="n">
        <v>1.787402</v>
      </c>
      <c r="N72" s="28" t="n">
        <v>0.5594710000000001</v>
      </c>
      <c r="O72" s="28" t="n">
        <v>0.580391</v>
      </c>
      <c r="P72" s="28" t="n"/>
      <c r="Q72" s="28" t="n">
        <v>0.02092</v>
      </c>
      <c r="R72" s="26" t="n">
        <v>30</v>
      </c>
      <c r="S72" s="29" t="n">
        <v>1.25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-127</v>
      </c>
      <c r="AA72" s="28" t="n">
        <v>0.5600000000000001</v>
      </c>
      <c r="AB72" s="28" t="n">
        <v>0.000529</v>
      </c>
      <c r="AC72" s="30" t="n">
        <v>0.9843</v>
      </c>
      <c r="AD72" s="24" t="inlineStr">
        <is>
          <t>2026-08-04T18:03:37.491780Z</t>
        </is>
      </c>
      <c r="AE72" s="31" t="inlineStr">
        <is>
          <t>Neutral Elo baseline; executable ask 0.5600 (market_slug=aec-cs2-for-agc-2026-08-04).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A Great Chaos</t>
        </is>
      </c>
      <c r="AQ72" s="24" t="inlineStr">
        <is>
          <t>A Great Chaos</t>
        </is>
      </c>
      <c r="AR72" s="24" t="inlineStr">
        <is>
          <t>A Great Chaos</t>
        </is>
      </c>
      <c r="AS72" s="24" t="inlineStr">
        <is>
          <t>Fortress</t>
        </is>
      </c>
      <c r="AT72" s="24" t="inlineStr">
        <is>
          <t>Fortress</t>
        </is>
      </c>
      <c r="AU72" s="24" t="inlineStr">
        <is>
          <t>Fortress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87e73f3e8c33751dbc7005b4404d0ee0ac9b9f8c3869a8f2e7fbc367004c2f64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87e73f3e8c33751dbc7005b4404d0ee0ac9b9f8c3869a8f2e7fbc367004c2f64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2026-08-04T16:54:14.340644Z</t>
        </is>
      </c>
      <c r="BI72" s="24" t="inlineStr">
        <is>
          <t>["same_event","same_team_same_day","same_league_same_day"]</t>
        </is>
      </c>
      <c r="BJ72" s="25" t="n"/>
      <c r="BK72" s="26" t="n">
        <v>-127</v>
      </c>
      <c r="BL72" s="27" t="n">
        <v>1.787402</v>
      </c>
      <c r="BM72" s="28" t="n">
        <v>0.5594710000000001</v>
      </c>
      <c r="BN72" s="28" t="n"/>
      <c r="BO72" s="28" t="n"/>
      <c r="BP72" s="25" t="n"/>
      <c r="BQ72" s="27" t="n">
        <v>1.787402</v>
      </c>
      <c r="BR72" s="28" t="n">
        <v>0.5600000000000001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fa321ee4546f45ee</t>
        </is>
      </c>
      <c r="B73" s="24" t="inlineStr">
        <is>
          <t>2026-08-04T16:54:42.280324Z</t>
        </is>
      </c>
      <c r="C73" s="24" t="inlineStr">
        <is>
          <t>2026-08-04T17:00:00Z</t>
        </is>
      </c>
      <c r="D73" s="24" t="inlineStr">
        <is>
          <t>68567</t>
        </is>
      </c>
      <c r="E73" s="24" t="inlineStr">
        <is>
          <t>CS2</t>
        </is>
      </c>
      <c r="F73" s="24" t="inlineStr">
        <is>
          <t>INOX Division</t>
        </is>
      </c>
      <c r="G73" s="24" t="inlineStr">
        <is>
          <t>Eternal Fire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0.507786</v>
      </c>
      <c r="P73" s="28" t="n"/>
      <c r="Q73" s="28" t="n">
        <v>-0.072046</v>
      </c>
      <c r="R73" s="26" t="n">
        <v>0</v>
      </c>
      <c r="S73" s="29" t="n">
        <v>1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-1</v>
      </c>
      <c r="AD73" s="24" t="inlineStr">
        <is>
          <t>2026-08-04T21:59:13.108354Z</t>
        </is>
      </c>
      <c r="AE73" s="31" t="inlineStr">
        <is>
          <t>Neutral Elo baseline; executable ask 0.5800 (market_slug=aec-cs2-ef-inox-2026-08-04).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INOX Division</t>
        </is>
      </c>
      <c r="AQ73" s="24" t="inlineStr">
        <is>
          <t>INOX Division</t>
        </is>
      </c>
      <c r="AR73" s="24" t="inlineStr">
        <is>
          <t>INOX Division</t>
        </is>
      </c>
      <c r="AS73" s="24" t="inlineStr">
        <is>
          <t>Eternal Fire</t>
        </is>
      </c>
      <c r="AT73" s="24" t="inlineStr">
        <is>
          <t>Eternal Fire</t>
        </is>
      </c>
      <c r="AU73" s="24" t="inlineStr">
        <is>
          <t>Eternal Fire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87e73f3e8c33751dbc7005b4404d0ee0ac9b9f8c3869a8f2e7fbc367004c2f64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87e73f3e8c33751dbc7005b4404d0ee0ac9b9f8c3869a8f2e7fbc367004c2f64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2026-08-04T16:54:14.852628Z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</row>
    <row r="74" ht="36" customHeight="1">
      <c r="A74" s="24" t="inlineStr">
        <is>
          <t>528ccc28a02b428d</t>
        </is>
      </c>
      <c r="B74" s="24" t="inlineStr">
        <is>
          <t>2026-08-04T16:54:42.280324Z</t>
        </is>
      </c>
      <c r="C74" s="24" t="inlineStr">
        <is>
          <t>2026-08-04T17:00:00Z</t>
        </is>
      </c>
      <c r="D74" s="24" t="inlineStr">
        <is>
          <t>68565</t>
        </is>
      </c>
      <c r="E74" s="24" t="inlineStr">
        <is>
          <t>CS2</t>
        </is>
      </c>
      <c r="F74" s="24" t="inlineStr">
        <is>
          <t>ALKA GAMING</t>
        </is>
      </c>
      <c r="G74" s="24" t="inlineStr">
        <is>
          <t>UNO MILLE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-213</v>
      </c>
      <c r="M74" s="27" t="n">
        <v>1.469484</v>
      </c>
      <c r="N74" s="28" t="n">
        <v>0.680511</v>
      </c>
      <c r="O74" s="28" t="n">
        <v>0.576068</v>
      </c>
      <c r="P74" s="28" t="n"/>
      <c r="Q74" s="28" t="n">
        <v>-0.104443</v>
      </c>
      <c r="R74" s="26" t="n">
        <v>0</v>
      </c>
      <c r="S74" s="29" t="n">
        <v>1.25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-213</v>
      </c>
      <c r="AA74" s="28" t="n">
        <v>0.68</v>
      </c>
      <c r="AB74" s="28" t="n">
        <v>-0.000511</v>
      </c>
      <c r="AC74" s="30" t="n">
        <v>-1.25</v>
      </c>
      <c r="AD74" s="24" t="inlineStr">
        <is>
          <t>2026-08-04T21:59:14.754042Z</t>
        </is>
      </c>
      <c r="AE74" s="31" t="inlineStr">
        <is>
          <t>Neutral Elo baseline; executable ask 0.6800 (market_slug=aec-cs2-uno-alka-2026-08-04).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ALKA GAMING</t>
        </is>
      </c>
      <c r="AQ74" s="24" t="inlineStr">
        <is>
          <t>ALKA GAMING</t>
        </is>
      </c>
      <c r="AR74" s="24" t="inlineStr">
        <is>
          <t>ALKA GAMING</t>
        </is>
      </c>
      <c r="AS74" s="24" t="inlineStr">
        <is>
          <t>UNO MILLE</t>
        </is>
      </c>
      <c r="AT74" s="24" t="inlineStr">
        <is>
          <t>UNO MILLE</t>
        </is>
      </c>
      <c r="AU74" s="24" t="inlineStr">
        <is>
          <t>UNO MILLE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87e73f3e8c33751dbc7005b4404d0ee0ac9b9f8c3869a8f2e7fbc367004c2f64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87e73f3e8c33751dbc7005b4404d0ee0ac9b9f8c3869a8f2e7fbc367004c2f64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2026-08-04T16:54:15.572827Z</t>
        </is>
      </c>
      <c r="BI74" s="24" t="inlineStr">
        <is>
          <t>["same_event","same_team_same_day","same_league_same_day"]</t>
        </is>
      </c>
      <c r="BJ74" s="25" t="n"/>
      <c r="BK74" s="26" t="n">
        <v>-213</v>
      </c>
      <c r="BL74" s="27" t="n">
        <v>1.469484</v>
      </c>
      <c r="BM74" s="28" t="n">
        <v>0.680511</v>
      </c>
      <c r="BN74" s="28" t="n"/>
      <c r="BO74" s="28" t="n"/>
      <c r="BP74" s="25" t="n"/>
      <c r="BQ74" s="27" t="n">
        <v>1.469484</v>
      </c>
      <c r="BR74" s="28" t="n">
        <v>0.68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</row>
    <row r="75" ht="36" customHeight="1">
      <c r="A75" s="24" t="inlineStr">
        <is>
          <t>6837fadd84c14557</t>
        </is>
      </c>
      <c r="B75" s="24" t="inlineStr">
        <is>
          <t>2026-08-04T16:54:42.280324Z</t>
        </is>
      </c>
      <c r="C75" s="24" t="inlineStr">
        <is>
          <t>2026-08-04T17:00:00Z</t>
        </is>
      </c>
      <c r="D75" s="24" t="inlineStr">
        <is>
          <t>71321</t>
        </is>
      </c>
      <c r="E75" s="24" t="inlineStr">
        <is>
          <t>CS2</t>
        </is>
      </c>
      <c r="F75" s="24" t="inlineStr">
        <is>
          <t>ex-Young Ninjas</t>
        </is>
      </c>
      <c r="G75" s="24" t="inlineStr">
        <is>
          <t>UNiTY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100</v>
      </c>
      <c r="M75" s="27" t="n">
        <v>2</v>
      </c>
      <c r="N75" s="28" t="n">
        <v>0.5</v>
      </c>
      <c r="O75" s="28" t="n">
        <v>0.5041060000000001</v>
      </c>
      <c r="P75" s="28" t="n"/>
      <c r="Q75" s="28" t="n">
        <v>0.004106</v>
      </c>
      <c r="R75" s="26" t="n">
        <v>22</v>
      </c>
      <c r="S75" s="29" t="n">
        <v>1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0</v>
      </c>
      <c r="X75" s="26" t="n">
        <v>1</v>
      </c>
      <c r="Y75" s="25" t="n"/>
      <c r="Z75" s="26" t="n">
        <v>100</v>
      </c>
      <c r="AA75" s="28" t="n">
        <v>0.5</v>
      </c>
      <c r="AB75" s="28" t="n">
        <v>0</v>
      </c>
      <c r="AC75" s="30" t="n">
        <v>-1</v>
      </c>
      <c r="AD75" s="24" t="inlineStr">
        <is>
          <t>2026-08-04T21:59:16.356884Z</t>
        </is>
      </c>
      <c r="AE75" s="31" t="inlineStr">
        <is>
          <t>Neutral Elo baseline; executable ask 0.5000 (market_slug=aec-cs2-unity-eyn-2026-08-04).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ex-Young Ninjas</t>
        </is>
      </c>
      <c r="AQ75" s="24" t="inlineStr">
        <is>
          <t>ex-Young Ninjas</t>
        </is>
      </c>
      <c r="AR75" s="24" t="inlineStr">
        <is>
          <t>ex-Young Ninjas</t>
        </is>
      </c>
      <c r="AS75" s="24" t="inlineStr">
        <is>
          <t>UNiTY esports</t>
        </is>
      </c>
      <c r="AT75" s="24" t="inlineStr">
        <is>
          <t>UNiTY esports</t>
        </is>
      </c>
      <c r="AU75" s="24" t="inlineStr">
        <is>
          <t>UNiTY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87e73f3e8c33751dbc7005b4404d0ee0ac9b9f8c3869a8f2e7fbc367004c2f64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87e73f3e8c33751dbc7005b4404d0ee0ac9b9f8c3869a8f2e7fbc367004c2f64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2026-08-04T16:54:18.104504Z</t>
        </is>
      </c>
      <c r="BI75" s="24" t="inlineStr">
        <is>
          <t>["same_event","same_team_same_day","same_league_same_day"]</t>
        </is>
      </c>
      <c r="BJ75" s="25" t="n"/>
      <c r="BK75" s="26" t="n">
        <v>100</v>
      </c>
      <c r="BL75" s="27" t="n">
        <v>2</v>
      </c>
      <c r="BM75" s="28" t="n">
        <v>0.5</v>
      </c>
      <c r="BN75" s="28" t="n"/>
      <c r="BO75" s="28" t="n"/>
      <c r="BP75" s="25" t="n"/>
      <c r="BQ75" s="27" t="n">
        <v>2</v>
      </c>
      <c r="BR75" s="28" t="n">
        <v>0.5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c3931abfbab2458e</t>
        </is>
      </c>
      <c r="B76" s="24" t="inlineStr">
        <is>
          <t>2026-08-04T16:54:42.280324Z</t>
        </is>
      </c>
      <c r="C76" s="24" t="inlineStr">
        <is>
          <t>2026-08-04T17:15:00Z</t>
        </is>
      </c>
      <c r="D76" s="24" t="inlineStr">
        <is>
          <t>71339</t>
        </is>
      </c>
      <c r="E76" s="24" t="inlineStr">
        <is>
          <t>CS2</t>
        </is>
      </c>
      <c r="F76" s="24" t="inlineStr">
        <is>
          <t>OLDBOYS PL</t>
        </is>
      </c>
      <c r="G76" s="24" t="inlineStr">
        <is>
          <t>XI Esport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0.6610549999999999</v>
      </c>
      <c r="P76" s="28" t="n"/>
      <c r="Q76" s="28" t="n">
        <v>-0.008912</v>
      </c>
      <c r="R76" s="26" t="n">
        <v>16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0</v>
      </c>
      <c r="Y76" s="25" t="n"/>
      <c r="Z76" s="26" t="n">
        <v>-203</v>
      </c>
      <c r="AA76" s="28" t="n">
        <v>0.67</v>
      </c>
      <c r="AB76" s="28" t="n">
        <v>3.3e-05</v>
      </c>
      <c r="AC76" s="30" t="n">
        <v>0.8621</v>
      </c>
      <c r="AD76" s="24" t="inlineStr">
        <is>
          <t>2026-08-04T21:59:17.977068Z</t>
        </is>
      </c>
      <c r="AE76" s="31" t="inlineStr">
        <is>
          <t>Neutral Elo baseline; executable ask 0.6700 (market_slug=aec-cs2-xi-oldboyspl-2026-08-04).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OLDBOYS PL</t>
        </is>
      </c>
      <c r="AQ76" s="24" t="inlineStr">
        <is>
          <t>OLDBOYS PL</t>
        </is>
      </c>
      <c r="AR76" s="24" t="inlineStr">
        <is>
          <t>OLDBOYS PL</t>
        </is>
      </c>
      <c r="AS76" s="24" t="inlineStr">
        <is>
          <t>XI Esport</t>
        </is>
      </c>
      <c r="AT76" s="24" t="inlineStr">
        <is>
          <t>XI Esport</t>
        </is>
      </c>
      <c r="AU76" s="24" t="inlineStr">
        <is>
          <t>XI 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87e73f3e8c33751dbc7005b4404d0ee0ac9b9f8c3869a8f2e7fbc367004c2f64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87e73f3e8c33751dbc7005b4404d0ee0ac9b9f8c3869a8f2e7fbc367004c2f64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2026-08-04T16:54:18.673032Z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>
        <v>1.492611</v>
      </c>
      <c r="BR76" s="28" t="n">
        <v>0.67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</row>
    <row r="77" ht="36" customHeight="1">
      <c r="A77" s="24" t="inlineStr">
        <is>
          <t>391552ba11844f69</t>
        </is>
      </c>
      <c r="B77" s="24" t="inlineStr">
        <is>
          <t>2026-08-04T18:08:37.067138Z</t>
        </is>
      </c>
      <c r="C77" s="24" t="inlineStr">
        <is>
          <t>2026-08-04T18:30:00Z</t>
        </is>
      </c>
      <c r="D77" s="24" t="inlineStr">
        <is>
          <t>71341</t>
        </is>
      </c>
      <c r="E77" s="24" t="inlineStr">
        <is>
          <t>CS2</t>
        </is>
      </c>
      <c r="F77" s="24" t="inlineStr">
        <is>
          <t>mellren</t>
        </is>
      </c>
      <c r="G77" s="24" t="inlineStr">
        <is>
          <t>uust _esports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100</v>
      </c>
      <c r="M77" s="27" t="n">
        <v>2</v>
      </c>
      <c r="N77" s="28" t="n">
        <v>0.5</v>
      </c>
      <c r="O77" s="28" t="n">
        <v>0.501063</v>
      </c>
      <c r="P77" s="28" t="n"/>
      <c r="Q77" s="28" t="n">
        <v>0.001063</v>
      </c>
      <c r="R77" s="26" t="n">
        <v>21</v>
      </c>
      <c r="S77" s="29" t="n">
        <v>1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>
        <v>100</v>
      </c>
      <c r="AA77" s="28" t="n">
        <v>0.5</v>
      </c>
      <c r="AB77" s="28" t="n">
        <v>0</v>
      </c>
      <c r="AC77" s="30" t="n">
        <v>1</v>
      </c>
      <c r="AD77" s="24" t="inlineStr">
        <is>
          <t>2026-08-05T01:05:52.538542Z</t>
        </is>
      </c>
      <c r="AE77" s="31" t="inlineStr">
        <is>
          <t>Neutral Elo baseline; executable ask 0.5000 (market_slug=aec-cs2-uust-mel-2026-08-04).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mellren</t>
        </is>
      </c>
      <c r="AQ77" s="24" t="inlineStr">
        <is>
          <t>mellren</t>
        </is>
      </c>
      <c r="AR77" s="24" t="inlineStr">
        <is>
          <t>mellren</t>
        </is>
      </c>
      <c r="AS77" s="24" t="inlineStr">
        <is>
          <t>uust _esports</t>
        </is>
      </c>
      <c r="AT77" s="24" t="inlineStr">
        <is>
          <t>uust _esports</t>
        </is>
      </c>
      <c r="AU77" s="24" t="inlineStr">
        <is>
          <t>uust _esports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3d3dc6a4f0641cb9aa015aaf4ccd2f260230dfea2e1b613f3ccdb860b2230f3e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3d3dc6a4f0641cb9aa015aaf4ccd2f260230dfea2e1b613f3ccdb860b2230f3e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2026-08-04T18:08:10.725061Z</t>
        </is>
      </c>
      <c r="BI77" s="24" t="inlineStr">
        <is>
          <t>["same_event","same_team_same_day","same_league_same_day"]</t>
        </is>
      </c>
      <c r="BJ77" s="25" t="n"/>
      <c r="BK77" s="26" t="n">
        <v>100</v>
      </c>
      <c r="BL77" s="27" t="n">
        <v>2</v>
      </c>
      <c r="BM77" s="28" t="n">
        <v>0.5</v>
      </c>
      <c r="BN77" s="28" t="n"/>
      <c r="BO77" s="28" t="n"/>
      <c r="BP77" s="25" t="n"/>
      <c r="BQ77" s="27" t="n">
        <v>2</v>
      </c>
      <c r="BR77" s="28" t="n">
        <v>0.5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8dbd912020ee4c2d</t>
        </is>
      </c>
      <c r="B78" s="24" t="inlineStr">
        <is>
          <t>2026-08-04T18:08:37.067138Z</t>
        </is>
      </c>
      <c r="C78" s="24" t="inlineStr">
        <is>
          <t>2026-08-04T18:30:00Z</t>
        </is>
      </c>
      <c r="D78" s="24" t="inlineStr">
        <is>
          <t>70533</t>
        </is>
      </c>
      <c r="E78" s="24" t="inlineStr">
        <is>
          <t>CS2</t>
        </is>
      </c>
      <c r="F78" s="24" t="inlineStr">
        <is>
          <t>Rush</t>
        </is>
      </c>
      <c r="G78" s="24" t="inlineStr">
        <is>
          <t>Grêmio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-178</v>
      </c>
      <c r="M78" s="27" t="n">
        <v>1.561798</v>
      </c>
      <c r="N78" s="28" t="n">
        <v>0.640288</v>
      </c>
      <c r="O78" s="28" t="n">
        <v>0.50231</v>
      </c>
      <c r="P78" s="28" t="n"/>
      <c r="Q78" s="28" t="n">
        <v>-0.137978</v>
      </c>
      <c r="R78" s="26" t="n">
        <v>0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-178</v>
      </c>
      <c r="AA78" s="28" t="n">
        <v>0.64</v>
      </c>
      <c r="AB78" s="28" t="n">
        <v>-0.000288</v>
      </c>
      <c r="AC78" s="30" t="n">
        <v>0.5618</v>
      </c>
      <c r="AD78" s="24" t="inlineStr">
        <is>
          <t>2026-08-04T21:59:20.625187Z</t>
        </is>
      </c>
      <c r="AE78" s="31" t="inlineStr">
        <is>
          <t>Neutral Elo baseline; executable ask 0.6400 (market_slug=aec-cs2-ger-rush-2026-08-04).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Rush</t>
        </is>
      </c>
      <c r="AQ78" s="24" t="inlineStr">
        <is>
          <t>Rush</t>
        </is>
      </c>
      <c r="AR78" s="24" t="inlineStr">
        <is>
          <t>Rush</t>
        </is>
      </c>
      <c r="AS78" s="24" t="inlineStr">
        <is>
          <t>Grêmio Esports</t>
        </is>
      </c>
      <c r="AT78" s="24" t="inlineStr">
        <is>
          <t>Grêmio Esports</t>
        </is>
      </c>
      <c r="AU78" s="24" t="inlineStr">
        <is>
          <t>Grêmio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3d3dc6a4f0641cb9aa015aaf4ccd2f260230dfea2e1b613f3ccdb860b2230f3e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3d3dc6a4f0641cb9aa015aaf4ccd2f260230dfea2e1b613f3ccdb860b2230f3e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2026-08-04T18:08:11.509479Z</t>
        </is>
      </c>
      <c r="BI78" s="24" t="inlineStr">
        <is>
          <t>["same_event","same_team_same_day","same_league_same_day"]</t>
        </is>
      </c>
      <c r="BJ78" s="25" t="n"/>
      <c r="BK78" s="26" t="n">
        <v>-178</v>
      </c>
      <c r="BL78" s="27" t="n">
        <v>1.561798</v>
      </c>
      <c r="BM78" s="28" t="n">
        <v>0.640288</v>
      </c>
      <c r="BN78" s="28" t="n"/>
      <c r="BO78" s="28" t="n"/>
      <c r="BP78" s="25" t="n"/>
      <c r="BQ78" s="27" t="n">
        <v>1.561798</v>
      </c>
      <c r="BR78" s="28" t="n">
        <v>0.64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ea16728e5d3b451a</t>
        </is>
      </c>
      <c r="B79" s="24" t="inlineStr">
        <is>
          <t>2026-08-04T18:08:37.067138Z</t>
        </is>
      </c>
      <c r="C79" s="24" t="inlineStr">
        <is>
          <t>2026-08-04T18:30:00Z</t>
        </is>
      </c>
      <c r="D79" s="24" t="inlineStr">
        <is>
          <t>71391</t>
        </is>
      </c>
      <c r="E79" s="24" t="inlineStr">
        <is>
          <t>CS2</t>
        </is>
      </c>
      <c r="F79" s="24" t="inlineStr">
        <is>
          <t>A Great Chaos</t>
        </is>
      </c>
      <c r="G79" s="24" t="inlineStr">
        <is>
          <t>FAST LAYNERS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-127</v>
      </c>
      <c r="M79" s="27" t="n">
        <v>1.787402</v>
      </c>
      <c r="N79" s="28" t="n">
        <v>0.5594710000000001</v>
      </c>
      <c r="O79" s="28" t="n">
        <v>0.633669</v>
      </c>
      <c r="P79" s="28" t="n"/>
      <c r="Q79" s="28" t="n">
        <v>0.074198</v>
      </c>
      <c r="R79" s="26" t="n">
        <v>57</v>
      </c>
      <c r="S79" s="29" t="n">
        <v>1.5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>
        <v>-127</v>
      </c>
      <c r="AA79" s="28" t="n">
        <v>0.5600000000000001</v>
      </c>
      <c r="AB79" s="28" t="n">
        <v>0.000529</v>
      </c>
      <c r="AC79" s="30" t="n">
        <v>-1.5</v>
      </c>
      <c r="AD79" s="24" t="inlineStr">
        <is>
          <t>2026-08-04T21:59:22.259337Z</t>
        </is>
      </c>
      <c r="AE79" s="31" t="inlineStr">
        <is>
          <t>Neutral Elo baseline; executable ask 0.5600 (market_slug=aec-cs2-fla-agc-2026-08-04).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A Great Chaos</t>
        </is>
      </c>
      <c r="AQ79" s="24" t="inlineStr">
        <is>
          <t>A Great Chaos</t>
        </is>
      </c>
      <c r="AR79" s="24" t="inlineStr">
        <is>
          <t>A Great Chaos</t>
        </is>
      </c>
      <c r="AS79" s="24" t="inlineStr">
        <is>
          <t>FAST LAYNERS</t>
        </is>
      </c>
      <c r="AT79" s="24" t="inlineStr">
        <is>
          <t>FAST LAYNERS</t>
        </is>
      </c>
      <c r="AU79" s="24" t="inlineStr">
        <is>
          <t>FAST LAYNERS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3d3dc6a4f0641cb9aa015aaf4ccd2f260230dfea2e1b613f3ccdb860b2230f3e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3d3dc6a4f0641cb9aa015aaf4ccd2f260230dfea2e1b613f3ccdb860b2230f3e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2026-08-04T18:08:12.712388Z</t>
        </is>
      </c>
      <c r="BI79" s="24" t="inlineStr">
        <is>
          <t>["same_event","same_team_same_day","same_league_same_day"]</t>
        </is>
      </c>
      <c r="BJ79" s="25" t="n"/>
      <c r="BK79" s="26" t="n">
        <v>-127</v>
      </c>
      <c r="BL79" s="27" t="n">
        <v>1.787402</v>
      </c>
      <c r="BM79" s="28" t="n">
        <v>0.5594710000000001</v>
      </c>
      <c r="BN79" s="28" t="n"/>
      <c r="BO79" s="28" t="n"/>
      <c r="BP79" s="25" t="n"/>
      <c r="BQ79" s="27" t="n">
        <v>1.787402</v>
      </c>
      <c r="BR79" s="28" t="n">
        <v>0.5600000000000001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6e8452c1f14141a4</t>
        </is>
      </c>
      <c r="B80" s="24" t="inlineStr">
        <is>
          <t>2026-08-04T18:08:37.067138Z</t>
        </is>
      </c>
      <c r="C80" s="24" t="inlineStr">
        <is>
          <t>2026-08-04T18:30:00Z</t>
        </is>
      </c>
      <c r="D80" s="24" t="inlineStr">
        <is>
          <t>71390</t>
        </is>
      </c>
      <c r="E80" s="24" t="inlineStr">
        <is>
          <t>CS2</t>
        </is>
      </c>
      <c r="F80" s="24" t="inlineStr">
        <is>
          <t>Subtop De France</t>
        </is>
      </c>
      <c r="G80" s="24" t="inlineStr">
        <is>
          <t>Glitchtech Esports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-156</v>
      </c>
      <c r="M80" s="27" t="n">
        <v>1.641026</v>
      </c>
      <c r="N80" s="28" t="n">
        <v>0.609375</v>
      </c>
      <c r="O80" s="28" t="n">
        <v>0.6049600000000001</v>
      </c>
      <c r="P80" s="28" t="n"/>
      <c r="Q80" s="28" t="n">
        <v>-0.004415</v>
      </c>
      <c r="R80" s="26" t="n">
        <v>18</v>
      </c>
      <c r="S80" s="29" t="n">
        <v>1.25</v>
      </c>
      <c r="T80" s="24" t="inlineStr">
        <is>
          <t>cs2-tiered-elo-v6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Neutral Elo baseline; executable ask 0.6100 (market_slug=aec-cs2-gel-sdf-2026-08-04).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Subtop De France</t>
        </is>
      </c>
      <c r="AQ80" s="24" t="inlineStr">
        <is>
          <t>Subtop De France</t>
        </is>
      </c>
      <c r="AR80" s="24" t="inlineStr">
        <is>
          <t>Subtop De France</t>
        </is>
      </c>
      <c r="AS80" s="24" t="inlineStr">
        <is>
          <t>Glitchtech Esports</t>
        </is>
      </c>
      <c r="AT80" s="24" t="inlineStr">
        <is>
          <t>Glitchtech Esports</t>
        </is>
      </c>
      <c r="AU80" s="24" t="inlineStr">
        <is>
          <t>Glitchtech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3d3dc6a4f0641cb9aa015aaf4ccd2f260230dfea2e1b613f3ccdb860b2230f3e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3d3dc6a4f0641cb9aa015aaf4ccd2f260230dfea2e1b613f3ccdb860b2230f3e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2026-08-04T18:08:13.464831Z</t>
        </is>
      </c>
      <c r="BI80" s="24" t="inlineStr">
        <is>
          <t>["same_event","same_team_same_day","same_league_same_day"]</t>
        </is>
      </c>
      <c r="BJ80" s="25" t="n"/>
      <c r="BK80" s="26" t="n">
        <v>-156</v>
      </c>
      <c r="BL80" s="27" t="n">
        <v>1.641026</v>
      </c>
      <c r="BM80" s="28" t="n">
        <v>0.609375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10ccf018a82d4dee</t>
        </is>
      </c>
      <c r="B81" s="24" t="inlineStr">
        <is>
          <t>2026-08-04T18:08:37.067138Z</t>
        </is>
      </c>
      <c r="C81" s="24" t="inlineStr">
        <is>
          <t>2026-08-04T18:30:00Z</t>
        </is>
      </c>
      <c r="D81" s="24" t="inlineStr">
        <is>
          <t>71389</t>
        </is>
      </c>
      <c r="E81" s="24" t="inlineStr">
        <is>
          <t>CS2</t>
        </is>
      </c>
      <c r="F81" s="24" t="inlineStr">
        <is>
          <t>Banger Gang</t>
        </is>
      </c>
      <c r="G81" s="24" t="inlineStr">
        <is>
          <t>Arch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-104</v>
      </c>
      <c r="M81" s="27" t="n">
        <v>1.961538</v>
      </c>
      <c r="N81" s="28" t="n">
        <v>0.509804</v>
      </c>
      <c r="O81" s="28" t="n">
        <v>0.684275</v>
      </c>
      <c r="P81" s="28" t="n"/>
      <c r="Q81" s="28" t="n">
        <v>0.174471</v>
      </c>
      <c r="R81" s="26" t="n">
        <v>100</v>
      </c>
      <c r="S81" s="29" t="n">
        <v>2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>
        <v>-104</v>
      </c>
      <c r="AA81" s="28" t="n">
        <v>0.51</v>
      </c>
      <c r="AB81" s="28" t="n">
        <v>0.000196</v>
      </c>
      <c r="AC81" s="30" t="n">
        <v>-2</v>
      </c>
      <c r="AD81" s="24" t="inlineStr">
        <is>
          <t>2026-08-05T01:05:56.928096Z</t>
        </is>
      </c>
      <c r="AE81" s="31" t="inlineStr">
        <is>
          <t>Neutral Elo baseline; executable ask 0.5100 (market_slug=aec-cs2-arch-bg-2026-08-04).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Banger Gang</t>
        </is>
      </c>
      <c r="AQ81" s="24" t="inlineStr">
        <is>
          <t>Banger Gang</t>
        </is>
      </c>
      <c r="AR81" s="24" t="inlineStr">
        <is>
          <t>Banger Gang</t>
        </is>
      </c>
      <c r="AS81" s="24" t="inlineStr">
        <is>
          <t>Arch</t>
        </is>
      </c>
      <c r="AT81" s="24" t="inlineStr">
        <is>
          <t>Arch</t>
        </is>
      </c>
      <c r="AU81" s="24" t="inlineStr">
        <is>
          <t>Arch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3d3dc6a4f0641cb9aa015aaf4ccd2f260230dfea2e1b613f3ccdb860b2230f3e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3d3dc6a4f0641cb9aa015aaf4ccd2f260230dfea2e1b613f3ccdb860b2230f3e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2026-08-04T18:08:14.227023Z</t>
        </is>
      </c>
      <c r="BI81" s="24" t="inlineStr">
        <is>
          <t>["same_event","same_team_same_day","same_league_same_day"]</t>
        </is>
      </c>
      <c r="BJ81" s="25" t="n"/>
      <c r="BK81" s="26" t="n">
        <v>-104</v>
      </c>
      <c r="BL81" s="27" t="n">
        <v>1.961538</v>
      </c>
      <c r="BM81" s="28" t="n">
        <v>0.509804</v>
      </c>
      <c r="BN81" s="28" t="n"/>
      <c r="BO81" s="28" t="n"/>
      <c r="BP81" s="25" t="n"/>
      <c r="BQ81" s="27" t="n">
        <v>1.961538</v>
      </c>
      <c r="BR81" s="28" t="n">
        <v>0.51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8e98fbabec744558</t>
        </is>
      </c>
      <c r="B82" s="24" t="inlineStr">
        <is>
          <t>2026-08-04T18:08:37.067138Z</t>
        </is>
      </c>
      <c r="C82" s="24" t="inlineStr">
        <is>
          <t>2026-08-04T18:30:00Z</t>
        </is>
      </c>
      <c r="D82" s="24" t="inlineStr">
        <is>
          <t>71388</t>
        </is>
      </c>
      <c r="E82" s="24" t="inlineStr">
        <is>
          <t>CS2</t>
        </is>
      </c>
      <c r="F82" s="24" t="inlineStr">
        <is>
          <t>Fraternity</t>
        </is>
      </c>
      <c r="G82" s="24" t="inlineStr">
        <is>
          <t>PURE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-113</v>
      </c>
      <c r="M82" s="27" t="n">
        <v>1.884956</v>
      </c>
      <c r="N82" s="28" t="n">
        <v>0.530516</v>
      </c>
      <c r="O82" s="28" t="n">
        <v>0.556272</v>
      </c>
      <c r="P82" s="28" t="n"/>
      <c r="Q82" s="28" t="n">
        <v>0.025756</v>
      </c>
      <c r="R82" s="26" t="n">
        <v>33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-113</v>
      </c>
      <c r="AA82" s="28" t="n">
        <v>0.53</v>
      </c>
      <c r="AB82" s="28" t="n">
        <v>-0.000516</v>
      </c>
      <c r="AC82" s="30" t="n">
        <v>0.885</v>
      </c>
      <c r="AD82" s="24" t="inlineStr">
        <is>
          <t>2026-08-04T21:59:26.104976Z</t>
        </is>
      </c>
      <c r="AE82" s="31" t="inlineStr">
        <is>
          <t>Neutral Elo baseline; executable ask 0.5300 (market_slug=aec-cs2-pure-frt-2026-08-04).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Fraternity</t>
        </is>
      </c>
      <c r="AQ82" s="24" t="inlineStr">
        <is>
          <t>Fraternity</t>
        </is>
      </c>
      <c r="AR82" s="24" t="inlineStr">
        <is>
          <t>Fraternity</t>
        </is>
      </c>
      <c r="AS82" s="24" t="inlineStr">
        <is>
          <t>PURE</t>
        </is>
      </c>
      <c r="AT82" s="24" t="inlineStr">
        <is>
          <t>PURE</t>
        </is>
      </c>
      <c r="AU82" s="24" t="inlineStr">
        <is>
          <t>PURE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3d3dc6a4f0641cb9aa015aaf4ccd2f260230dfea2e1b613f3ccdb860b2230f3e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3d3dc6a4f0641cb9aa015aaf4ccd2f260230dfea2e1b613f3ccdb860b2230f3e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2026-08-04T18:08:15.431614Z</t>
        </is>
      </c>
      <c r="BI82" s="24" t="inlineStr">
        <is>
          <t>["same_event","same_team_same_day","same_league_same_day"]</t>
        </is>
      </c>
      <c r="BJ82" s="25" t="n"/>
      <c r="BK82" s="26" t="n">
        <v>-113</v>
      </c>
      <c r="BL82" s="27" t="n">
        <v>1.884956</v>
      </c>
      <c r="BM82" s="28" t="n">
        <v>0.530516</v>
      </c>
      <c r="BN82" s="28" t="n"/>
      <c r="BO82" s="28" t="n"/>
      <c r="BP82" s="25" t="n"/>
      <c r="BQ82" s="27" t="n">
        <v>1.884956</v>
      </c>
      <c r="BR82" s="28" t="n">
        <v>0.53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</row>
    <row r="83" ht="36" customHeight="1">
      <c r="A83" s="24" t="inlineStr">
        <is>
          <t>4d9df78b0b5a402d</t>
        </is>
      </c>
      <c r="B83" s="24" t="inlineStr">
        <is>
          <t>2026-08-04T18:08:37.067138Z</t>
        </is>
      </c>
      <c r="C83" s="24" t="inlineStr">
        <is>
          <t>2026-08-04T18:30:00Z</t>
        </is>
      </c>
      <c r="D83" s="24" t="inlineStr">
        <is>
          <t>71387</t>
        </is>
      </c>
      <c r="E83" s="24" t="inlineStr">
        <is>
          <t>CS2</t>
        </is>
      </c>
      <c r="F83" s="24" t="inlineStr">
        <is>
          <t>OLDBOYS PL</t>
        </is>
      </c>
      <c r="G83" s="24" t="inlineStr">
        <is>
          <t>eSuba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-138</v>
      </c>
      <c r="M83" s="27" t="n">
        <v>1.724638</v>
      </c>
      <c r="N83" s="28" t="n">
        <v>0.579832</v>
      </c>
      <c r="O83" s="28" t="n">
        <v>0.595428</v>
      </c>
      <c r="P83" s="28" t="n"/>
      <c r="Q83" s="28" t="n">
        <v>0.015596</v>
      </c>
      <c r="R83" s="26" t="n">
        <v>28</v>
      </c>
      <c r="S83" s="29" t="n">
        <v>1.25</v>
      </c>
      <c r="T83" s="24" t="inlineStr">
        <is>
          <t>cs2-tiered-elo-v6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0.5800 (market_slug=aec-cs2-esb-oldboyspl-2026-08-04).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OLDBOYS PL</t>
        </is>
      </c>
      <c r="AQ83" s="24" t="inlineStr">
        <is>
          <t>OLDBOYS PL</t>
        </is>
      </c>
      <c r="AR83" s="24" t="inlineStr">
        <is>
          <t>OLDBOYS PL</t>
        </is>
      </c>
      <c r="AS83" s="24" t="inlineStr">
        <is>
          <t>eSuba</t>
        </is>
      </c>
      <c r="AT83" s="24" t="inlineStr">
        <is>
          <t>eSuba</t>
        </is>
      </c>
      <c r="AU83" s="24" t="inlineStr">
        <is>
          <t>eSuba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3d3dc6a4f0641cb9aa015aaf4ccd2f260230dfea2e1b613f3ccdb860b2230f3e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3d3dc6a4f0641cb9aa015aaf4ccd2f260230dfea2e1b613f3ccdb860b2230f3e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2026-08-04T18:08:16.175127Z</t>
        </is>
      </c>
      <c r="BI83" s="24" t="inlineStr">
        <is>
          <t>["same_event","same_team_same_day","same_league_same_day"]</t>
        </is>
      </c>
      <c r="BJ83" s="25" t="n"/>
      <c r="BK83" s="26" t="n">
        <v>-138</v>
      </c>
      <c r="BL83" s="27" t="n">
        <v>1.724638</v>
      </c>
      <c r="BM83" s="28" t="n">
        <v>0.579832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73d32b6a9f1d44f4</t>
        </is>
      </c>
      <c r="B84" s="24" t="inlineStr">
        <is>
          <t>2026-08-04T18:08:37.067138Z</t>
        </is>
      </c>
      <c r="C84" s="24" t="inlineStr">
        <is>
          <t>2026-08-04T18:30:00Z</t>
        </is>
      </c>
      <c r="D84" s="24" t="inlineStr">
        <is>
          <t>71386</t>
        </is>
      </c>
      <c r="E84" s="24" t="inlineStr">
        <is>
          <t>CS2</t>
        </is>
      </c>
      <c r="F84" s="24" t="inlineStr">
        <is>
          <t>VP.Prodigy</t>
        </is>
      </c>
      <c r="G84" s="24" t="inlineStr">
        <is>
          <t>Diamant Esports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-203</v>
      </c>
      <c r="M84" s="27" t="n">
        <v>1.492611</v>
      </c>
      <c r="N84" s="28" t="n">
        <v>0.669967</v>
      </c>
      <c r="O84" s="28" t="n">
        <v>0.555195</v>
      </c>
      <c r="P84" s="28" t="n"/>
      <c r="Q84" s="28" t="n">
        <v>-0.114772</v>
      </c>
      <c r="R84" s="26" t="n">
        <v>0</v>
      </c>
      <c r="S84" s="29" t="n">
        <v>1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-203</v>
      </c>
      <c r="AA84" s="28" t="n">
        <v>0.67</v>
      </c>
      <c r="AB84" s="28" t="n">
        <v>3.3e-05</v>
      </c>
      <c r="AC84" s="30" t="n">
        <v>0.4926</v>
      </c>
      <c r="AD84" s="24" t="inlineStr">
        <is>
          <t>2026-08-04T21:59:28.748789Z</t>
        </is>
      </c>
      <c r="AE84" s="31" t="inlineStr">
        <is>
          <t>Neutral Elo baseline; executable ask 0.6700 (market_slug=aec-cs2-dei-vpp-2026-08-04).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VP.Prodigy</t>
        </is>
      </c>
      <c r="AQ84" s="24" t="inlineStr">
        <is>
          <t>VP.Prodigy</t>
        </is>
      </c>
      <c r="AR84" s="24" t="inlineStr">
        <is>
          <t>VP.Prodigy</t>
        </is>
      </c>
      <c r="AS84" s="24" t="inlineStr">
        <is>
          <t>Diamant Esports</t>
        </is>
      </c>
      <c r="AT84" s="24" t="inlineStr">
        <is>
          <t>Diamant Esports</t>
        </is>
      </c>
      <c r="AU84" s="24" t="inlineStr">
        <is>
          <t>Diamant Esports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3d3dc6a4f0641cb9aa015aaf4ccd2f260230dfea2e1b613f3ccdb860b2230f3e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3d3dc6a4f0641cb9aa015aaf4ccd2f260230dfea2e1b613f3ccdb860b2230f3e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2026-08-04T18:08:16.945508Z</t>
        </is>
      </c>
      <c r="BI84" s="24" t="inlineStr">
        <is>
          <t>["same_event","same_team_same_day","same_league_same_day"]</t>
        </is>
      </c>
      <c r="BJ84" s="25" t="n"/>
      <c r="BK84" s="26" t="n">
        <v>-203</v>
      </c>
      <c r="BL84" s="27" t="n">
        <v>1.492611</v>
      </c>
      <c r="BM84" s="28" t="n">
        <v>0.669967</v>
      </c>
      <c r="BN84" s="28" t="n"/>
      <c r="BO84" s="28" t="n"/>
      <c r="BP84" s="25" t="n"/>
      <c r="BQ84" s="27" t="n">
        <v>1.492611</v>
      </c>
      <c r="BR84" s="28" t="n">
        <v>0.67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da4b1226aabc441f</t>
        </is>
      </c>
      <c r="B85" s="24" t="inlineStr">
        <is>
          <t>2026-08-04T18:08:37.067138Z</t>
        </is>
      </c>
      <c r="C85" s="24" t="inlineStr">
        <is>
          <t>2026-08-04T18:30:00Z</t>
        </is>
      </c>
      <c r="D85" s="24" t="inlineStr">
        <is>
          <t>71385</t>
        </is>
      </c>
      <c r="E85" s="24" t="inlineStr">
        <is>
          <t>CS2</t>
        </is>
      </c>
      <c r="F85" s="24" t="inlineStr">
        <is>
          <t>Drama eSports</t>
        </is>
      </c>
      <c r="G85" s="24" t="inlineStr">
        <is>
          <t>KUUSAMO.gg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-108</v>
      </c>
      <c r="M85" s="27" t="n">
        <v>1.925926</v>
      </c>
      <c r="N85" s="28" t="n">
        <v>0.519231</v>
      </c>
      <c r="O85" s="28" t="n">
        <v>0.529003</v>
      </c>
      <c r="P85" s="28" t="n"/>
      <c r="Q85" s="28" t="n">
        <v>0.009771999999999999</v>
      </c>
      <c r="R85" s="26" t="n">
        <v>25</v>
      </c>
      <c r="S85" s="29" t="n">
        <v>1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>
        <v>-108</v>
      </c>
      <c r="AA85" s="28" t="n">
        <v>0.52</v>
      </c>
      <c r="AB85" s="28" t="n">
        <v>0.000769</v>
      </c>
      <c r="AC85" s="30" t="n">
        <v>-1</v>
      </c>
      <c r="AD85" s="24" t="inlineStr">
        <is>
          <t>2026-08-04T21:59:30.384904Z</t>
        </is>
      </c>
      <c r="AE85" s="31" t="inlineStr">
        <is>
          <t>Neutral Elo baseline; executable ask 0.5200 (market_slug=aec-cs2-ksm-drama-2026-08-04).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NO_CALL_LOW_EDGE</t>
        </is>
      </c>
      <c r="AP85" s="24" t="inlineStr">
        <is>
          <t>Drama eSports</t>
        </is>
      </c>
      <c r="AQ85" s="24" t="inlineStr">
        <is>
          <t>Drama eSports</t>
        </is>
      </c>
      <c r="AR85" s="24" t="inlineStr">
        <is>
          <t>Drama eSports</t>
        </is>
      </c>
      <c r="AS85" s="24" t="inlineStr">
        <is>
          <t>KUUSAMO.gg</t>
        </is>
      </c>
      <c r="AT85" s="24" t="inlineStr">
        <is>
          <t>KUUSAMO.gg</t>
        </is>
      </c>
      <c r="AU85" s="24" t="inlineStr">
        <is>
          <t>KUUSAMO.gg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3d3dc6a4f0641cb9aa015aaf4ccd2f260230dfea2e1b613f3ccdb860b2230f3e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3d3dc6a4f0641cb9aa015aaf4ccd2f260230dfea2e1b613f3ccdb860b2230f3e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2026-08-04T18:08:17.703838Z</t>
        </is>
      </c>
      <c r="BI85" s="24" t="inlineStr">
        <is>
          <t>["same_event","same_team_same_day","same_league_same_day"]</t>
        </is>
      </c>
      <c r="BJ85" s="25" t="n"/>
      <c r="BK85" s="26" t="n">
        <v>-108</v>
      </c>
      <c r="BL85" s="27" t="n">
        <v>1.925926</v>
      </c>
      <c r="BM85" s="28" t="n">
        <v>0.519231</v>
      </c>
      <c r="BN85" s="28" t="n"/>
      <c r="BO85" s="28" t="n"/>
      <c r="BP85" s="25" t="n"/>
      <c r="BQ85" s="27" t="n">
        <v>1.925926</v>
      </c>
      <c r="BR85" s="28" t="n">
        <v>0.52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0e018b9c231b4e26</t>
        </is>
      </c>
      <c r="B86" s="24" t="inlineStr">
        <is>
          <t>2026-08-04T18:08:37.067138Z</t>
        </is>
      </c>
      <c r="C86" s="24" t="inlineStr">
        <is>
          <t>2026-08-04T18:30:00Z</t>
        </is>
      </c>
      <c r="D86" s="24" t="inlineStr">
        <is>
          <t>71382</t>
        </is>
      </c>
      <c r="E86" s="24" t="inlineStr">
        <is>
          <t>CS2</t>
        </is>
      </c>
      <c r="F86" s="24" t="inlineStr">
        <is>
          <t>JUMBO TEAM</t>
        </is>
      </c>
      <c r="G86" s="24" t="inlineStr">
        <is>
          <t>Benched gods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117</v>
      </c>
      <c r="M86" s="27" t="n">
        <v>2.17</v>
      </c>
      <c r="N86" s="28" t="n">
        <v>0.460829</v>
      </c>
      <c r="O86" s="28" t="n">
        <v>0.674864</v>
      </c>
      <c r="P86" s="28" t="n"/>
      <c r="Q86" s="28" t="n">
        <v>0.214035</v>
      </c>
      <c r="R86" s="26" t="n">
        <v>100</v>
      </c>
      <c r="S86" s="29" t="n">
        <v>1.75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1</v>
      </c>
      <c r="X86" s="26" t="n">
        <v>0</v>
      </c>
      <c r="Y86" s="25" t="n"/>
      <c r="Z86" s="26" t="n">
        <v>117</v>
      </c>
      <c r="AA86" s="28" t="n">
        <v>0.46</v>
      </c>
      <c r="AB86" s="28" t="n">
        <v>-0.000829</v>
      </c>
      <c r="AC86" s="30" t="n">
        <v>-1.75</v>
      </c>
      <c r="AD86" s="24" t="inlineStr">
        <is>
          <t>2026-08-04T21:59:31.980177Z</t>
        </is>
      </c>
      <c r="AE86" s="31" t="inlineStr">
        <is>
          <t>Neutral Elo baseline; executable ask 0.4600 (market_slug=aec-cs2-bge-jumbo-2026-08-04).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JUMBO TEAM</t>
        </is>
      </c>
      <c r="AQ86" s="24" t="inlineStr">
        <is>
          <t>JUMBO TEAM</t>
        </is>
      </c>
      <c r="AR86" s="24" t="inlineStr">
        <is>
          <t>JUMBO TEAM</t>
        </is>
      </c>
      <c r="AS86" s="24" t="inlineStr">
        <is>
          <t>Benched gods</t>
        </is>
      </c>
      <c r="AT86" s="24" t="inlineStr">
        <is>
          <t>Benched gods</t>
        </is>
      </c>
      <c r="AU86" s="24" t="inlineStr">
        <is>
          <t>Benched gods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3d3dc6a4f0641cb9aa015aaf4ccd2f260230dfea2e1b613f3ccdb860b2230f3e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3d3dc6a4f0641cb9aa015aaf4ccd2f260230dfea2e1b613f3ccdb860b2230f3e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2026-08-04T18:08:19.220614Z</t>
        </is>
      </c>
      <c r="BI86" s="24" t="inlineStr">
        <is>
          <t>["same_event","same_team_same_day","same_league_same_day"]</t>
        </is>
      </c>
      <c r="BJ86" s="25" t="n"/>
      <c r="BK86" s="26" t="n">
        <v>117</v>
      </c>
      <c r="BL86" s="27" t="n">
        <v>2.17</v>
      </c>
      <c r="BM86" s="28" t="n">
        <v>0.460829</v>
      </c>
      <c r="BN86" s="28" t="n"/>
      <c r="BO86" s="28" t="n"/>
      <c r="BP86" s="25" t="n"/>
      <c r="BQ86" s="27" t="n">
        <v>2.17</v>
      </c>
      <c r="BR86" s="28" t="n">
        <v>0.46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</row>
    <row r="87" ht="36" customHeight="1">
      <c r="A87" s="24" t="inlineStr">
        <is>
          <t>5301926b4dc04605</t>
        </is>
      </c>
      <c r="B87" s="24" t="inlineStr">
        <is>
          <t>2026-08-05T04:39:04.512717Z</t>
        </is>
      </c>
      <c r="C87" s="24" t="inlineStr">
        <is>
          <t>2026-08-05T08:00:00Z</t>
        </is>
      </c>
      <c r="D87" s="24" t="inlineStr">
        <is>
          <t>71727</t>
        </is>
      </c>
      <c r="E87" s="24" t="inlineStr">
        <is>
          <t>CS2</t>
        </is>
      </c>
      <c r="F87" s="24" t="inlineStr">
        <is>
          <t>CYBERSHOKE Prospects</t>
        </is>
      </c>
      <c r="G87" s="24" t="inlineStr">
        <is>
          <t>Nuclear TigeRES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-233</v>
      </c>
      <c r="M87" s="27" t="n">
        <v>1.429185</v>
      </c>
      <c r="N87" s="28" t="n">
        <v>0.6997</v>
      </c>
      <c r="O87" s="28" t="n">
        <v>0.661077</v>
      </c>
      <c r="P87" s="28" t="n"/>
      <c r="Q87" s="28" t="n">
        <v>-0.038623</v>
      </c>
      <c r="R87" s="26" t="n">
        <v>1</v>
      </c>
      <c r="S87" s="29" t="n">
        <v>1.75</v>
      </c>
      <c r="T87" s="24" t="inlineStr">
        <is>
          <t>cs2-tiered-elo-v6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Neutral Elo baseline; executable ask 0.7000 (market_slug=aec-cs2-ntr-cshp-2026-08-05).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CYBERSHOKE Prospects</t>
        </is>
      </c>
      <c r="AQ87" s="24" t="inlineStr">
        <is>
          <t>CYBERSHOKE Prospects</t>
        </is>
      </c>
      <c r="AR87" s="24" t="inlineStr">
        <is>
          <t>CYBERSHOKE Prospects</t>
        </is>
      </c>
      <c r="AS87" s="24" t="inlineStr">
        <is>
          <t>Nuclear TigeRES</t>
        </is>
      </c>
      <c r="AT87" s="24" t="inlineStr">
        <is>
          <t>Nuclear TigeRES</t>
        </is>
      </c>
      <c r="AU87" s="24" t="inlineStr">
        <is>
          <t>Nuclear TigeRES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79b38f494ba89a56e3ba1ee48b9a2a5937958160c434a13516c1eb8ec97a91aa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79b38f494ba89a56e3ba1ee48b9a2a5937958160c434a13516c1eb8ec97a91aa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2026-08-05T04:38:10.339234Z</t>
        </is>
      </c>
      <c r="BI87" s="24" t="inlineStr">
        <is>
          <t>["same_event","same_team_same_day","same_league_same_day"]</t>
        </is>
      </c>
      <c r="BJ87" s="25" t="n"/>
      <c r="BK87" s="26" t="n">
        <v>-233</v>
      </c>
      <c r="BL87" s="27" t="n">
        <v>1.429185</v>
      </c>
      <c r="BM87" s="28" t="n">
        <v>0.6997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</row>
    <row r="88" ht="36" customHeight="1">
      <c r="A88" s="24" t="inlineStr">
        <is>
          <t>74065a10b79c4246</t>
        </is>
      </c>
      <c r="B88" s="24" t="inlineStr">
        <is>
          <t>2026-08-05T04:39:04.512717Z</t>
        </is>
      </c>
      <c r="C88" s="24" t="inlineStr">
        <is>
          <t>2026-08-05T08:00:00Z</t>
        </is>
      </c>
      <c r="D88" s="24" t="inlineStr">
        <is>
          <t>72482</t>
        </is>
      </c>
      <c r="E88" s="24" t="inlineStr">
        <is>
          <t>CS2</t>
        </is>
      </c>
      <c r="F88" s="24" t="inlineStr">
        <is>
          <t>Just Players</t>
        </is>
      </c>
      <c r="G88" s="24" t="inlineStr">
        <is>
          <t>ARCRED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0.5382670000000001</v>
      </c>
      <c r="P88" s="28" t="n"/>
      <c r="Q88" s="28" t="n">
        <v>0.007751</v>
      </c>
      <c r="R88" s="26" t="n">
        <v>24</v>
      </c>
      <c r="S88" s="29" t="n">
        <v>1</v>
      </c>
      <c r="T88" s="24" t="inlineStr">
        <is>
          <t>cs2-tiered-elo-v6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Neutral Elo baseline; executable ask 0.5300 (market_slug=aec-cs2-arc-jpu-2026-08-05).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Just Players</t>
        </is>
      </c>
      <c r="AQ88" s="24" t="inlineStr">
        <is>
          <t>Just Players</t>
        </is>
      </c>
      <c r="AR88" s="24" t="inlineStr">
        <is>
          <t>Just Players</t>
        </is>
      </c>
      <c r="AS88" s="24" t="inlineStr">
        <is>
          <t>ARCRED</t>
        </is>
      </c>
      <c r="AT88" s="24" t="inlineStr">
        <is>
          <t>ARCRED</t>
        </is>
      </c>
      <c r="AU88" s="24" t="inlineStr">
        <is>
          <t>ARCRED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79b38f494ba89a56e3ba1ee48b9a2a5937958160c434a13516c1eb8ec97a91aa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79b38f494ba89a56e3ba1ee48b9a2a5937958160c434a13516c1eb8ec97a91aa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2026-08-05T04:38:12.834040Z</t>
        </is>
      </c>
      <c r="BI88" s="24" t="inlineStr">
        <is>
          <t>["same_event","same_team_same_day","same_league_same_day"]</t>
        </is>
      </c>
      <c r="BJ88" s="25" t="n"/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  <row r="89" ht="36" customHeight="1">
      <c r="A89" s="24" t="inlineStr">
        <is>
          <t>b2c2e4213ed14fe3</t>
        </is>
      </c>
      <c r="B89" s="24" t="inlineStr">
        <is>
          <t>2026-08-05T04:39:04.512717Z</t>
        </is>
      </c>
      <c r="C89" s="24" t="inlineStr">
        <is>
          <t>2026-08-05T10:00:00Z</t>
        </is>
      </c>
      <c r="D89" s="24" t="inlineStr">
        <is>
          <t>69537</t>
        </is>
      </c>
      <c r="E89" s="24" t="inlineStr">
        <is>
          <t>CS2</t>
        </is>
      </c>
      <c r="F89" s="24" t="inlineStr">
        <is>
          <t>Abyssal</t>
        </is>
      </c>
      <c r="G89" s="24" t="inlineStr">
        <is>
          <t>Arcade Esports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133</v>
      </c>
      <c r="M89" s="27" t="n">
        <v>2.33</v>
      </c>
      <c r="N89" s="28" t="n">
        <v>0.429185</v>
      </c>
      <c r="O89" s="28" t="n">
        <v>0.5199589999999999</v>
      </c>
      <c r="P89" s="28" t="n"/>
      <c r="Q89" s="28" t="n">
        <v>0.09077399999999999</v>
      </c>
      <c r="R89" s="26" t="n">
        <v>65</v>
      </c>
      <c r="S89" s="29" t="n">
        <v>1</v>
      </c>
      <c r="T89" s="24" t="inlineStr">
        <is>
          <t>cs2-tiered-elo-v6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Neutral Elo baseline; executable ask 0.4300 (market_slug=aec-cs2-aer-aby-2026-08-05).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Abyssal</t>
        </is>
      </c>
      <c r="AQ89" s="24" t="inlineStr">
        <is>
          <t>Abyssal</t>
        </is>
      </c>
      <c r="AR89" s="24" t="inlineStr">
        <is>
          <t>Abyssal</t>
        </is>
      </c>
      <c r="AS89" s="24" t="inlineStr">
        <is>
          <t>Arcade Esports</t>
        </is>
      </c>
      <c r="AT89" s="24" t="inlineStr">
        <is>
          <t>Arcade Esports</t>
        </is>
      </c>
      <c r="AU89" s="24" t="inlineStr">
        <is>
          <t>Arcade Esports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79b38f494ba89a56e3ba1ee48b9a2a5937958160c434a13516c1eb8ec97a91aa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79b38f494ba89a56e3ba1ee48b9a2a5937958160c434a13516c1eb8ec97a91aa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2026-08-05T04:38:13.898810Z</t>
        </is>
      </c>
      <c r="BI89" s="24" t="inlineStr">
        <is>
          <t>["same_event","same_team_same_day","same_league_same_day"]</t>
        </is>
      </c>
      <c r="BJ89" s="25" t="n"/>
      <c r="BK89" s="26" t="n">
        <v>133</v>
      </c>
      <c r="BL89" s="27" t="n">
        <v>2.33</v>
      </c>
      <c r="BM89" s="28" t="n">
        <v>0.429185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</row>
    <row r="90" ht="36" customHeight="1">
      <c r="A90" s="24" t="inlineStr">
        <is>
          <t>73052229bd684de6</t>
        </is>
      </c>
      <c r="B90" s="24" t="inlineStr">
        <is>
          <t>2026-08-05T04:39:04.512717Z</t>
        </is>
      </c>
      <c r="C90" s="24" t="inlineStr">
        <is>
          <t>2026-08-05T10:00:00Z</t>
        </is>
      </c>
      <c r="D90" s="24" t="inlineStr">
        <is>
          <t>71795</t>
        </is>
      </c>
      <c r="E90" s="24" t="inlineStr">
        <is>
          <t>CS2</t>
        </is>
      </c>
      <c r="F90" s="24" t="inlineStr">
        <is>
          <t>Betclic Apogee Esports</t>
        </is>
      </c>
      <c r="G90" s="24" t="inlineStr">
        <is>
          <t>Johnny Speeds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156</v>
      </c>
      <c r="M90" s="27" t="n">
        <v>2.56</v>
      </c>
      <c r="N90" s="28" t="n">
        <v>0.390625</v>
      </c>
      <c r="O90" s="28" t="n">
        <v>0.5349</v>
      </c>
      <c r="P90" s="28" t="n"/>
      <c r="Q90" s="28" t="n">
        <v>0.144275</v>
      </c>
      <c r="R90" s="26" t="n">
        <v>92</v>
      </c>
      <c r="S90" s="29" t="n">
        <v>1</v>
      </c>
      <c r="T90" s="24" t="inlineStr">
        <is>
          <t>cs2-tiered-elo-v6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Neutral Elo baseline; executable ask 0.3900 (market_slug=aec-cs2-js-bca-2026-08-05).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Betclic Apogee Esports</t>
        </is>
      </c>
      <c r="AQ90" s="24" t="inlineStr">
        <is>
          <t>Betclic Apogee Esports</t>
        </is>
      </c>
      <c r="AR90" s="24" t="inlineStr">
        <is>
          <t>Betclic Apogee Esports</t>
        </is>
      </c>
      <c r="AS90" s="24" t="inlineStr">
        <is>
          <t>Johnny Speeds</t>
        </is>
      </c>
      <c r="AT90" s="24" t="inlineStr">
        <is>
          <t>Johnny Speeds</t>
        </is>
      </c>
      <c r="AU90" s="24" t="inlineStr">
        <is>
          <t>Johnny Speeds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79b38f494ba89a56e3ba1ee48b9a2a5937958160c434a13516c1eb8ec97a91aa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79b38f494ba89a56e3ba1ee48b9a2a5937958160c434a13516c1eb8ec97a91aa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2026-08-05T04:38:15.635268Z</t>
        </is>
      </c>
      <c r="BI90" s="24" t="inlineStr">
        <is>
          <t>["same_event","same_team_same_day","same_league_same_day"]</t>
        </is>
      </c>
      <c r="BJ90" s="25" t="n"/>
      <c r="BK90" s="26" t="n">
        <v>156</v>
      </c>
      <c r="BL90" s="27" t="n">
        <v>2.56</v>
      </c>
      <c r="BM90" s="28" t="n">
        <v>0.390625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68aa0b9d556e4dba</t>
        </is>
      </c>
      <c r="B91" s="24" t="inlineStr">
        <is>
          <t>2026-08-05T04:39:04.512717Z</t>
        </is>
      </c>
      <c r="C91" s="24" t="inlineStr">
        <is>
          <t>2026-08-05T11:00:00Z</t>
        </is>
      </c>
      <c r="D91" s="24" t="inlineStr">
        <is>
          <t>72486</t>
        </is>
      </c>
      <c r="E91" s="24" t="inlineStr">
        <is>
          <t>CS2</t>
        </is>
      </c>
      <c r="F91" s="24" t="inlineStr">
        <is>
          <t>Rune Eaters</t>
        </is>
      </c>
      <c r="G91" s="24" t="inlineStr">
        <is>
          <t>Butterfly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-138</v>
      </c>
      <c r="M91" s="27" t="n">
        <v>1.724638</v>
      </c>
      <c r="N91" s="28" t="n">
        <v>0.579832</v>
      </c>
      <c r="O91" s="28" t="n">
        <v>0.545467</v>
      </c>
      <c r="P91" s="28" t="n"/>
      <c r="Q91" s="28" t="n">
        <v>-0.034365</v>
      </c>
      <c r="R91" s="26" t="n">
        <v>3</v>
      </c>
      <c r="S91" s="29" t="n">
        <v>1</v>
      </c>
      <c r="T91" s="24" t="inlineStr">
        <is>
          <t>cs2-tiered-elo-v6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Neutral Elo baseline; executable ask 0.5800 (market_slug=aec-cs2-btf-re-2026-08-05).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NO_CALL_LOW_EDGE</t>
        </is>
      </c>
      <c r="AP91" s="24" t="inlineStr">
        <is>
          <t>Rune Eaters</t>
        </is>
      </c>
      <c r="AQ91" s="24" t="inlineStr">
        <is>
          <t>Rune Eaters</t>
        </is>
      </c>
      <c r="AR91" s="24" t="inlineStr">
        <is>
          <t>Rune Eaters</t>
        </is>
      </c>
      <c r="AS91" s="24" t="inlineStr">
        <is>
          <t>Butterfly</t>
        </is>
      </c>
      <c r="AT91" s="24" t="inlineStr">
        <is>
          <t>Butterfly</t>
        </is>
      </c>
      <c r="AU91" s="24" t="inlineStr">
        <is>
          <t>Butterfly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79b38f494ba89a56e3ba1ee48b9a2a5937958160c434a13516c1eb8ec97a91aa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79b38f494ba89a56e3ba1ee48b9a2a5937958160c434a13516c1eb8ec97a91aa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2026-08-05T04:38:18.180880Z</t>
        </is>
      </c>
      <c r="BI91" s="24" t="inlineStr">
        <is>
          <t>["same_event","same_team_same_day","same_league_same_day"]</t>
        </is>
      </c>
      <c r="BJ91" s="25" t="n"/>
      <c r="BK91" s="26" t="n">
        <v>-138</v>
      </c>
      <c r="BL91" s="27" t="n">
        <v>1.724638</v>
      </c>
      <c r="BM91" s="28" t="n">
        <v>0.579832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24b1b51062e64262</t>
        </is>
      </c>
      <c r="B92" s="24" t="inlineStr">
        <is>
          <t>2026-08-05T04:39:04.512717Z</t>
        </is>
      </c>
      <c r="C92" s="24" t="inlineStr">
        <is>
          <t>2026-08-05T11:00:00Z</t>
        </is>
      </c>
      <c r="D92" s="24" t="inlineStr">
        <is>
          <t>69555</t>
        </is>
      </c>
      <c r="E92" s="24" t="inlineStr">
        <is>
          <t>CS2</t>
        </is>
      </c>
      <c r="F92" s="24" t="inlineStr">
        <is>
          <t>PCH3LK1N Club</t>
        </is>
      </c>
      <c r="G92" s="24" t="inlineStr">
        <is>
          <t>Lixxx Club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-163</v>
      </c>
      <c r="M92" s="27" t="n">
        <v>1.613497</v>
      </c>
      <c r="N92" s="28" t="n">
        <v>0.619772</v>
      </c>
      <c r="O92" s="28" t="n">
        <v>0.515078</v>
      </c>
      <c r="P92" s="28" t="n"/>
      <c r="Q92" s="28" t="n">
        <v>-0.104694</v>
      </c>
      <c r="R92" s="26" t="n">
        <v>0</v>
      </c>
      <c r="S92" s="29" t="n">
        <v>1</v>
      </c>
      <c r="T92" s="24" t="inlineStr">
        <is>
          <t>cs2-tiered-elo-v6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Neutral Elo baseline; executable ask 0.6200 (market_slug=aec-cs2-lci-plnc-2026-08-05).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PCH3LK1N Club</t>
        </is>
      </c>
      <c r="AQ92" s="24" t="inlineStr">
        <is>
          <t>PCH3LK1N Club</t>
        </is>
      </c>
      <c r="AR92" s="24" t="inlineStr">
        <is>
          <t>PCH3LK1N Club</t>
        </is>
      </c>
      <c r="AS92" s="24" t="inlineStr">
        <is>
          <t>Lixxx Club</t>
        </is>
      </c>
      <c r="AT92" s="24" t="inlineStr">
        <is>
          <t>Lixxx Club</t>
        </is>
      </c>
      <c r="AU92" s="24" t="inlineStr">
        <is>
          <t>Lixxx Club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79b38f494ba89a56e3ba1ee48b9a2a5937958160c434a13516c1eb8ec97a91aa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79b38f494ba89a56e3ba1ee48b9a2a5937958160c434a13516c1eb8ec97a91aa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2026-08-05T04:38:19.040821Z</t>
        </is>
      </c>
      <c r="BI92" s="24" t="inlineStr">
        <is>
          <t>["same_event","same_team_same_day","same_league_same_day"]</t>
        </is>
      </c>
      <c r="BJ92" s="25" t="n"/>
      <c r="BK92" s="26" t="n">
        <v>-163</v>
      </c>
      <c r="BL92" s="27" t="n">
        <v>1.613497</v>
      </c>
      <c r="BM92" s="28" t="n">
        <v>0.619772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</row>
    <row r="93" ht="36" customHeight="1">
      <c r="A93" s="24" t="inlineStr">
        <is>
          <t>e28b47ed7a404880</t>
        </is>
      </c>
      <c r="B93" s="24" t="inlineStr">
        <is>
          <t>2026-08-05T04:39:04.512717Z</t>
        </is>
      </c>
      <c r="C93" s="24" t="inlineStr">
        <is>
          <t>2026-08-05T11:00:00Z</t>
        </is>
      </c>
      <c r="D93" s="24" t="inlineStr">
        <is>
          <t>69554</t>
        </is>
      </c>
      <c r="E93" s="24" t="inlineStr">
        <is>
          <t>CS2</t>
        </is>
      </c>
      <c r="F93" s="24" t="inlineStr">
        <is>
          <t>eSuba</t>
        </is>
      </c>
      <c r="G93" s="24" t="inlineStr">
        <is>
          <t>GamersLab Esports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-170</v>
      </c>
      <c r="M93" s="27" t="n">
        <v>1.588235</v>
      </c>
      <c r="N93" s="28" t="n">
        <v>0.62963</v>
      </c>
      <c r="O93" s="28" t="n">
        <v>0.601788</v>
      </c>
      <c r="P93" s="28" t="n"/>
      <c r="Q93" s="28" t="n">
        <v>-0.027842</v>
      </c>
      <c r="R93" s="26" t="n">
        <v>6</v>
      </c>
      <c r="S93" s="29" t="n">
        <v>1.25</v>
      </c>
      <c r="T93" s="24" t="inlineStr">
        <is>
          <t>cs2-tiered-elo-v6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Neutral Elo baseline; executable ask 0.6300 (market_slug=aec-cs2-gea-esb-2026-08-05).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NO_CALL_LOW_EDGE</t>
        </is>
      </c>
      <c r="AP93" s="24" t="inlineStr">
        <is>
          <t>eSuba</t>
        </is>
      </c>
      <c r="AQ93" s="24" t="inlineStr">
        <is>
          <t>eSuba</t>
        </is>
      </c>
      <c r="AR93" s="24" t="inlineStr">
        <is>
          <t>eSuba</t>
        </is>
      </c>
      <c r="AS93" s="24" t="inlineStr">
        <is>
          <t>GamersLab Esports</t>
        </is>
      </c>
      <c r="AT93" s="24" t="inlineStr">
        <is>
          <t>GamersLab Esports</t>
        </is>
      </c>
      <c r="AU93" s="24" t="inlineStr">
        <is>
          <t>GamersLab Esports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79b38f494ba89a56e3ba1ee48b9a2a5937958160c434a13516c1eb8ec97a91aa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79b38f494ba89a56e3ba1ee48b9a2a5937958160c434a13516c1eb8ec97a91aa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2026-08-05T04:38:19.846193Z</t>
        </is>
      </c>
      <c r="BI93" s="24" t="inlineStr">
        <is>
          <t>["same_event","same_team_same_day","same_league_same_day"]</t>
        </is>
      </c>
      <c r="BJ93" s="25" t="n"/>
      <c r="BK93" s="26" t="n">
        <v>-170</v>
      </c>
      <c r="BL93" s="27" t="n">
        <v>1.588235</v>
      </c>
      <c r="BM93" s="28" t="n">
        <v>0.62963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</row>
    <row r="94" ht="36" customHeight="1">
      <c r="A94" s="24" t="inlineStr">
        <is>
          <t>9f1b586bf9d34f73</t>
        </is>
      </c>
      <c r="B94" s="24" t="inlineStr">
        <is>
          <t>2026-08-05T04:39:04.512717Z</t>
        </is>
      </c>
      <c r="C94" s="24" t="inlineStr">
        <is>
          <t>2026-08-05T11:00:00Z</t>
        </is>
      </c>
      <c r="D94" s="24" t="inlineStr">
        <is>
          <t>71975</t>
        </is>
      </c>
      <c r="E94" s="24" t="inlineStr">
        <is>
          <t>CS2</t>
        </is>
      </c>
      <c r="F94" s="24" t="inlineStr">
        <is>
          <t>GenOne</t>
        </is>
      </c>
      <c r="G94" s="24" t="inlineStr">
        <is>
          <t>Sashi Esport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108</v>
      </c>
      <c r="M94" s="27" t="n">
        <v>2.08</v>
      </c>
      <c r="N94" s="28" t="n">
        <v>0.480769</v>
      </c>
      <c r="O94" s="28" t="n">
        <v>0.5292750000000001</v>
      </c>
      <c r="P94" s="28" t="n"/>
      <c r="Q94" s="28" t="n">
        <v>0.048506</v>
      </c>
      <c r="R94" s="26" t="n">
        <v>44</v>
      </c>
      <c r="S94" s="29" t="n">
        <v>1</v>
      </c>
      <c r="T94" s="24" t="inlineStr">
        <is>
          <t>cs2-tiered-elo-v6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Neutral Elo baseline; executable ask 0.4800 (market_slug=aec-cs2-sashi-g1-2026-08-05).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NO_CALL_LOW_EDGE</t>
        </is>
      </c>
      <c r="AP94" s="24" t="inlineStr">
        <is>
          <t>GenOne</t>
        </is>
      </c>
      <c r="AQ94" s="24" t="inlineStr">
        <is>
          <t>GenOne</t>
        </is>
      </c>
      <c r="AR94" s="24" t="inlineStr">
        <is>
          <t>GenOne</t>
        </is>
      </c>
      <c r="AS94" s="24" t="inlineStr">
        <is>
          <t>Sashi Esport</t>
        </is>
      </c>
      <c r="AT94" s="24" t="inlineStr">
        <is>
          <t>Sashi Esport</t>
        </is>
      </c>
      <c r="AU94" s="24" t="inlineStr">
        <is>
          <t>Sashi Esport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79b38f494ba89a56e3ba1ee48b9a2a5937958160c434a13516c1eb8ec97a91aa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79b38f494ba89a56e3ba1ee48b9a2a5937958160c434a13516c1eb8ec97a91aa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2026-08-05T04:38:20.648062Z</t>
        </is>
      </c>
      <c r="BI94" s="24" t="inlineStr">
        <is>
          <t>["same_event","same_team_same_day","same_league_same_day"]</t>
        </is>
      </c>
      <c r="BJ94" s="25" t="n"/>
      <c r="BK94" s="26" t="n">
        <v>108</v>
      </c>
      <c r="BL94" s="27" t="n">
        <v>2.08</v>
      </c>
      <c r="BM94" s="28" t="n">
        <v>0.480769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91c1c8c6d72b4852</t>
        </is>
      </c>
      <c r="B95" s="24" t="inlineStr">
        <is>
          <t>2026-08-05T04:39:04.512717Z</t>
        </is>
      </c>
      <c r="C95" s="24" t="inlineStr">
        <is>
          <t>2026-08-05T11:00:00Z</t>
        </is>
      </c>
      <c r="D95" s="24" t="inlineStr">
        <is>
          <t>71199</t>
        </is>
      </c>
      <c r="E95" s="24" t="inlineStr">
        <is>
          <t>CS2</t>
        </is>
      </c>
      <c r="F95" s="24" t="inlineStr">
        <is>
          <t>ex-RUSTEC</t>
        </is>
      </c>
      <c r="G95" s="24" t="inlineStr">
        <is>
          <t>Butterfly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122</v>
      </c>
      <c r="M95" s="27" t="n">
        <v>2.22</v>
      </c>
      <c r="N95" s="28" t="n">
        <v>0.45045</v>
      </c>
      <c r="O95" s="28" t="n">
        <v>0.521759</v>
      </c>
      <c r="P95" s="28" t="n"/>
      <c r="Q95" s="28" t="n">
        <v>0.071309</v>
      </c>
      <c r="R95" s="26" t="n">
        <v>56</v>
      </c>
      <c r="S95" s="29" t="n">
        <v>1</v>
      </c>
      <c r="T95" s="24" t="inlineStr">
        <is>
          <t>cs2-tiered-elo-v6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Neutral Elo baseline; executable ask 0.4500 (market_slug=aec-cs2-btf-erx-2026-08-05).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NO_CALL_LOW_EDGE</t>
        </is>
      </c>
      <c r="AP95" s="24" t="inlineStr">
        <is>
          <t>ex-RUSTEC</t>
        </is>
      </c>
      <c r="AQ95" s="24" t="inlineStr">
        <is>
          <t>ex-RUSTEC</t>
        </is>
      </c>
      <c r="AR95" s="24" t="inlineStr">
        <is>
          <t>ex-RUSTEC</t>
        </is>
      </c>
      <c r="AS95" s="24" t="inlineStr">
        <is>
          <t>Butterfly</t>
        </is>
      </c>
      <c r="AT95" s="24" t="inlineStr">
        <is>
          <t>Butterfly</t>
        </is>
      </c>
      <c r="AU95" s="24" t="inlineStr">
        <is>
          <t>Butterfly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79b38f494ba89a56e3ba1ee48b9a2a5937958160c434a13516c1eb8ec97a91aa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79b38f494ba89a56e3ba1ee48b9a2a5937958160c434a13516c1eb8ec97a91aa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2026-08-05T04:38:21.434537Z</t>
        </is>
      </c>
      <c r="BI95" s="24" t="inlineStr">
        <is>
          <t>["same_event","same_team_same_day","same_league_same_day"]</t>
        </is>
      </c>
      <c r="BJ95" s="25" t="n"/>
      <c r="BK95" s="26" t="n">
        <v>122</v>
      </c>
      <c r="BL95" s="27" t="n">
        <v>2.22</v>
      </c>
      <c r="BM95" s="28" t="n">
        <v>0.45045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</row>
    <row r="96" ht="36" customHeight="1">
      <c r="A96" s="24" t="inlineStr">
        <is>
          <t>77fe8b6c67824fc6</t>
        </is>
      </c>
      <c r="B96" s="24" t="inlineStr">
        <is>
          <t>2026-08-05T04:39:04.512717Z</t>
        </is>
      </c>
      <c r="C96" s="24" t="inlineStr">
        <is>
          <t>2026-08-05T13:00:00Z</t>
        </is>
      </c>
      <c r="D96" s="24" t="inlineStr">
        <is>
          <t>72334</t>
        </is>
      </c>
      <c r="E96" s="24" t="inlineStr">
        <is>
          <t>CS2</t>
        </is>
      </c>
      <c r="F96" s="24" t="inlineStr">
        <is>
          <t>fnatic</t>
        </is>
      </c>
      <c r="G96" s="24" t="inlineStr">
        <is>
          <t>Liquid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-194</v>
      </c>
      <c r="M96" s="27" t="n">
        <v>1.515464</v>
      </c>
      <c r="N96" s="28" t="n">
        <v>0.659864</v>
      </c>
      <c r="O96" s="28" t="n">
        <v>0.5525060000000001</v>
      </c>
      <c r="P96" s="28" t="n"/>
      <c r="Q96" s="28" t="n">
        <v>-0.107358</v>
      </c>
      <c r="R96" s="26" t="n">
        <v>0</v>
      </c>
      <c r="S96" s="29" t="n">
        <v>1</v>
      </c>
      <c r="T96" s="24" t="inlineStr">
        <is>
          <t>cs2-tiered-elo-v6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Neutral Elo baseline; executable ask 0.6600 (market_slug=aec-cs2-tl-fnc-2026-08-05).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fnatic</t>
        </is>
      </c>
      <c r="AQ96" s="24" t="inlineStr">
        <is>
          <t>fnatic</t>
        </is>
      </c>
      <c r="AR96" s="24" t="inlineStr">
        <is>
          <t>fnatic</t>
        </is>
      </c>
      <c r="AS96" s="24" t="inlineStr">
        <is>
          <t>Liquid</t>
        </is>
      </c>
      <c r="AT96" s="24" t="inlineStr">
        <is>
          <t>Liquid</t>
        </is>
      </c>
      <c r="AU96" s="24" t="inlineStr">
        <is>
          <t>Liquid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79b38f494ba89a56e3ba1ee48b9a2a5937958160c434a13516c1eb8ec97a91aa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79b38f494ba89a56e3ba1ee48b9a2a5937958160c434a13516c1eb8ec97a91aa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2026-08-05T04:38:23.035350Z</t>
        </is>
      </c>
      <c r="BI96" s="24" t="inlineStr">
        <is>
          <t>["same_event","same_team_same_day","same_league_same_day"]</t>
        </is>
      </c>
      <c r="BJ96" s="25" t="n"/>
      <c r="BK96" s="26" t="n">
        <v>-194</v>
      </c>
      <c r="BL96" s="27" t="n">
        <v>1.515464</v>
      </c>
      <c r="BM96" s="28" t="n">
        <v>0.659864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</row>
    <row r="97" ht="36" customHeight="1">
      <c r="A97" s="24" t="inlineStr">
        <is>
          <t>15677d4a07904637</t>
        </is>
      </c>
      <c r="B97" s="24" t="inlineStr">
        <is>
          <t>2026-08-05T04:39:04.512717Z</t>
        </is>
      </c>
      <c r="C97" s="24" t="inlineStr">
        <is>
          <t>2026-08-05T14:00:00Z</t>
        </is>
      </c>
      <c r="D97" s="24" t="inlineStr">
        <is>
          <t>69617</t>
        </is>
      </c>
      <c r="E97" s="24" t="inlineStr">
        <is>
          <t>CS2</t>
        </is>
      </c>
      <c r="F97" s="24" t="inlineStr">
        <is>
          <t>NAVI Junior</t>
        </is>
      </c>
      <c r="G97" s="24" t="inlineStr">
        <is>
          <t>GamersLab Esports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-194</v>
      </c>
      <c r="M97" s="27" t="n">
        <v>1.515464</v>
      </c>
      <c r="N97" s="28" t="n">
        <v>0.659864</v>
      </c>
      <c r="O97" s="28" t="n">
        <v>0.560392</v>
      </c>
      <c r="P97" s="28" t="n"/>
      <c r="Q97" s="28" t="n">
        <v>-0.099472</v>
      </c>
      <c r="R97" s="26" t="n">
        <v>0</v>
      </c>
      <c r="S97" s="29" t="n">
        <v>1</v>
      </c>
      <c r="T97" s="24" t="inlineStr">
        <is>
          <t>cs2-tiered-elo-v6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Neutral Elo baseline; executable ask 0.6600 (market_slug=aec-cs2-gea-navij-2026-08-05).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NO_CALL_LOW_EDGE</t>
        </is>
      </c>
      <c r="AP97" s="24" t="inlineStr">
        <is>
          <t>NAVI Junior</t>
        </is>
      </c>
      <c r="AQ97" s="24" t="inlineStr">
        <is>
          <t>NAVI Junior</t>
        </is>
      </c>
      <c r="AR97" s="24" t="inlineStr">
        <is>
          <t>NAVI Junior</t>
        </is>
      </c>
      <c r="AS97" s="24" t="inlineStr">
        <is>
          <t>GamersLab Esports</t>
        </is>
      </c>
      <c r="AT97" s="24" t="inlineStr">
        <is>
          <t>GamersLab Esports</t>
        </is>
      </c>
      <c r="AU97" s="24" t="inlineStr">
        <is>
          <t>GamersLab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79b38f494ba89a56e3ba1ee48b9a2a5937958160c434a13516c1eb8ec97a91aa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79b38f494ba89a56e3ba1ee48b9a2a5937958160c434a13516c1eb8ec97a91aa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2026-08-05T04:38:25.652604Z</t>
        </is>
      </c>
      <c r="BI97" s="24" t="inlineStr">
        <is>
          <t>["same_event","same_team_same_day","same_league_same_day"]</t>
        </is>
      </c>
      <c r="BJ97" s="25" t="n"/>
      <c r="BK97" s="26" t="n">
        <v>-194</v>
      </c>
      <c r="BL97" s="27" t="n">
        <v>1.515464</v>
      </c>
      <c r="BM97" s="28" t="n">
        <v>0.659864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</row>
    <row r="98" ht="36" customHeight="1">
      <c r="A98" s="24" t="inlineStr">
        <is>
          <t>ee1f031b00264454</t>
        </is>
      </c>
      <c r="B98" s="24" t="inlineStr">
        <is>
          <t>2026-08-05T04:39:04.512717Z</t>
        </is>
      </c>
      <c r="C98" s="24" t="inlineStr">
        <is>
          <t>2026-08-05T14:00:00Z</t>
        </is>
      </c>
      <c r="D98" s="24" t="inlineStr">
        <is>
          <t>69616</t>
        </is>
      </c>
      <c r="E98" s="24" t="inlineStr">
        <is>
          <t>CS2</t>
        </is>
      </c>
      <c r="F98" s="24" t="inlineStr">
        <is>
          <t>eSuba</t>
        </is>
      </c>
      <c r="G98" s="24" t="inlineStr">
        <is>
          <t>JAM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170</v>
      </c>
      <c r="M98" s="27" t="n">
        <v>2.7</v>
      </c>
      <c r="N98" s="28" t="n">
        <v>0.37037</v>
      </c>
      <c r="O98" s="28" t="n">
        <v>0.522418</v>
      </c>
      <c r="P98" s="28" t="n"/>
      <c r="Q98" s="28" t="n">
        <v>0.152048</v>
      </c>
      <c r="R98" s="26" t="n">
        <v>96</v>
      </c>
      <c r="S98" s="29" t="n">
        <v>1</v>
      </c>
      <c r="T98" s="24" t="inlineStr">
        <is>
          <t>cs2-tiered-elo-v6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Neutral Elo baseline; executable ask 0.3700 (market_slug=aec-cs2-jam-esb-2026-08-05).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eSuba</t>
        </is>
      </c>
      <c r="AQ98" s="24" t="inlineStr">
        <is>
          <t>eSuba</t>
        </is>
      </c>
      <c r="AR98" s="24" t="inlineStr">
        <is>
          <t>eSuba</t>
        </is>
      </c>
      <c r="AS98" s="24" t="inlineStr">
        <is>
          <t>JAM</t>
        </is>
      </c>
      <c r="AT98" s="24" t="inlineStr">
        <is>
          <t>JAM</t>
        </is>
      </c>
      <c r="AU98" s="24" t="inlineStr">
        <is>
          <t>JAM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79b38f494ba89a56e3ba1ee48b9a2a5937958160c434a13516c1eb8ec97a91aa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79b38f494ba89a56e3ba1ee48b9a2a5937958160c434a13516c1eb8ec97a91aa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2026-08-05T04:38:26.482996Z</t>
        </is>
      </c>
      <c r="BI98" s="24" t="inlineStr">
        <is>
          <t>["same_event","same_team_same_day","same_league_same_day"]</t>
        </is>
      </c>
      <c r="BJ98" s="25" t="n"/>
      <c r="BK98" s="26" t="n">
        <v>170</v>
      </c>
      <c r="BL98" s="27" t="n">
        <v>2.7</v>
      </c>
      <c r="BM98" s="28" t="n">
        <v>0.37037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758cb31a513d4e30</t>
        </is>
      </c>
      <c r="B99" s="24" t="inlineStr">
        <is>
          <t>2026-08-05T04:39:04.512717Z</t>
        </is>
      </c>
      <c r="C99" s="24" t="inlineStr">
        <is>
          <t>2026-08-05T14:00:00Z</t>
        </is>
      </c>
      <c r="D99" s="24" t="inlineStr">
        <is>
          <t>72335</t>
        </is>
      </c>
      <c r="E99" s="24" t="inlineStr">
        <is>
          <t>CS2</t>
        </is>
      </c>
      <c r="F99" s="24" t="inlineStr">
        <is>
          <t>INOX Division</t>
        </is>
      </c>
      <c r="G99" s="24" t="inlineStr">
        <is>
          <t>1WIN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-186</v>
      </c>
      <c r="M99" s="27" t="n">
        <v>1.537634</v>
      </c>
      <c r="N99" s="28" t="n">
        <v>0.65035</v>
      </c>
      <c r="O99" s="28" t="n">
        <v>0.550701</v>
      </c>
      <c r="P99" s="28" t="n"/>
      <c r="Q99" s="28" t="n">
        <v>-0.099649</v>
      </c>
      <c r="R99" s="26" t="n">
        <v>0</v>
      </c>
      <c r="S99" s="29" t="n">
        <v>1</v>
      </c>
      <c r="T99" s="24" t="inlineStr">
        <is>
          <t>cs2-tiered-elo-v6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Neutral Elo baseline; executable ask 0.6500 (market_slug=aec-cs2-1win-inox-2026-08-05).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NO_CALL_LOW_EDGE</t>
        </is>
      </c>
      <c r="AP99" s="24" t="inlineStr">
        <is>
          <t>INOX Division</t>
        </is>
      </c>
      <c r="AQ99" s="24" t="inlineStr">
        <is>
          <t>INOX Division</t>
        </is>
      </c>
      <c r="AR99" s="24" t="inlineStr">
        <is>
          <t>INOX Division</t>
        </is>
      </c>
      <c r="AS99" s="24" t="inlineStr">
        <is>
          <t>1WIN</t>
        </is>
      </c>
      <c r="AT99" s="24" t="inlineStr">
        <is>
          <t>1WIN</t>
        </is>
      </c>
      <c r="AU99" s="24" t="inlineStr">
        <is>
          <t>1WIN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79b38f494ba89a56e3ba1ee48b9a2a5937958160c434a13516c1eb8ec97a91aa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79b38f494ba89a56e3ba1ee48b9a2a5937958160c434a13516c1eb8ec97a91aa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2026-08-05T04:38:27.281649Z</t>
        </is>
      </c>
      <c r="BI99" s="24" t="inlineStr">
        <is>
          <t>["same_event","same_team_same_day","same_league_same_day"]</t>
        </is>
      </c>
      <c r="BJ99" s="25" t="n"/>
      <c r="BK99" s="26" t="n">
        <v>-186</v>
      </c>
      <c r="BL99" s="27" t="n">
        <v>1.537634</v>
      </c>
      <c r="BM99" s="28" t="n">
        <v>0.65035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</row>
    <row r="100" ht="36" customHeight="1">
      <c r="A100" s="24" t="inlineStr">
        <is>
          <t>a587b1624d7e4b54</t>
        </is>
      </c>
      <c r="B100" s="24" t="inlineStr">
        <is>
          <t>2026-08-05T04:39:04.512717Z</t>
        </is>
      </c>
      <c r="C100" s="24" t="inlineStr">
        <is>
          <t>2026-08-05T14:00:00Z</t>
        </is>
      </c>
      <c r="D100" s="24" t="inlineStr">
        <is>
          <t>72488</t>
        </is>
      </c>
      <c r="E100" s="24" t="inlineStr">
        <is>
          <t>CS2</t>
        </is>
      </c>
      <c r="F100" s="24" t="inlineStr">
        <is>
          <t>GenOne</t>
        </is>
      </c>
      <c r="G100" s="24" t="inlineStr">
        <is>
          <t xml:space="preserve">Nordic Partners Gaming 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-203</v>
      </c>
      <c r="M100" s="27" t="n">
        <v>1.492611</v>
      </c>
      <c r="N100" s="28" t="n">
        <v>0.669967</v>
      </c>
      <c r="O100" s="28" t="n">
        <v>0.6973470000000001</v>
      </c>
      <c r="P100" s="28" t="n"/>
      <c r="Q100" s="28" t="n">
        <v>0.02738</v>
      </c>
      <c r="R100" s="26" t="n">
        <v>34</v>
      </c>
      <c r="S100" s="29" t="n">
        <v>2</v>
      </c>
      <c r="T100" s="24" t="inlineStr">
        <is>
          <t>cs2-tiered-elo-v6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0.6700 (market_slug=aec-cs2-npg-g1-2026-08-05).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GenOne</t>
        </is>
      </c>
      <c r="AQ100" s="24" t="inlineStr">
        <is>
          <t>GenOne</t>
        </is>
      </c>
      <c r="AR100" s="24" t="inlineStr">
        <is>
          <t>GenOne</t>
        </is>
      </c>
      <c r="AS100" s="24" t="inlineStr">
        <is>
          <t xml:space="preserve">Nordic Partners Gaming </t>
        </is>
      </c>
      <c r="AT100" s="24" t="inlineStr">
        <is>
          <t xml:space="preserve">Nordic Partners Gaming </t>
        </is>
      </c>
      <c r="AU100" s="24" t="inlineStr">
        <is>
          <t xml:space="preserve">Nordic Partners Gaming 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79b38f494ba89a56e3ba1ee48b9a2a5937958160c434a13516c1eb8ec97a91aa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79b38f494ba89a56e3ba1ee48b9a2a5937958160c434a13516c1eb8ec97a91aa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2026-08-05T04:38:28.087442Z</t>
        </is>
      </c>
      <c r="BI100" s="24" t="inlineStr">
        <is>
          <t>["same_event","same_team_same_day","same_league_same_day"]</t>
        </is>
      </c>
      <c r="BJ100" s="25" t="n"/>
      <c r="BK100" s="26" t="n">
        <v>-203</v>
      </c>
      <c r="BL100" s="27" t="n">
        <v>1.492611</v>
      </c>
      <c r="BM100" s="28" t="n">
        <v>0.669967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</row>
    <row r="101" ht="36" customHeight="1">
      <c r="A101" s="24" t="inlineStr">
        <is>
          <t>e34c5aa4487d4c3c</t>
        </is>
      </c>
      <c r="B101" s="24" t="inlineStr">
        <is>
          <t>2026-08-05T04:39:04.512717Z</t>
        </is>
      </c>
      <c r="C101" s="24" t="inlineStr">
        <is>
          <t>2026-08-05T16:30:00Z</t>
        </is>
      </c>
      <c r="D101" s="24" t="inlineStr">
        <is>
          <t>72533</t>
        </is>
      </c>
      <c r="E101" s="24" t="inlineStr">
        <is>
          <t>CS2</t>
        </is>
      </c>
      <c r="F101" s="24" t="inlineStr">
        <is>
          <t>XI Esport</t>
        </is>
      </c>
      <c r="G101" s="24" t="inlineStr">
        <is>
          <t>Esport BERG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122</v>
      </c>
      <c r="M101" s="27" t="n">
        <v>2.22</v>
      </c>
      <c r="N101" s="28" t="n">
        <v>0.45045</v>
      </c>
      <c r="O101" s="28" t="n">
        <v>0.63446</v>
      </c>
      <c r="P101" s="28" t="n"/>
      <c r="Q101" s="28" t="n">
        <v>0.18401</v>
      </c>
      <c r="R101" s="26" t="n">
        <v>100</v>
      </c>
      <c r="S101" s="29" t="n">
        <v>1.5</v>
      </c>
      <c r="T101" s="24" t="inlineStr">
        <is>
          <t>cs2-tiered-elo-v6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Neutral Elo baseline; executable ask 0.4500 (market_slug=aec-cs2-berg-xi-2026-08-05).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XI Esport</t>
        </is>
      </c>
      <c r="AQ101" s="24" t="inlineStr">
        <is>
          <t>XI Esport</t>
        </is>
      </c>
      <c r="AR101" s="24" t="inlineStr">
        <is>
          <t>XI Esport</t>
        </is>
      </c>
      <c r="AS101" s="24" t="inlineStr">
        <is>
          <t>Esport BERG</t>
        </is>
      </c>
      <c r="AT101" s="24" t="inlineStr">
        <is>
          <t>Esport BERG</t>
        </is>
      </c>
      <c r="AU101" s="24" t="inlineStr">
        <is>
          <t>Esport BERG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79b38f494ba89a56e3ba1ee48b9a2a5937958160c434a13516c1eb8ec97a91aa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79b38f494ba89a56e3ba1ee48b9a2a5937958160c434a13516c1eb8ec97a91aa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2026-08-05T04:38:29.742606Z</t>
        </is>
      </c>
      <c r="BI101" s="24" t="inlineStr">
        <is>
          <t>["same_event","same_team_same_day","same_league_same_day"]</t>
        </is>
      </c>
      <c r="BJ101" s="25" t="n"/>
      <c r="BK101" s="26" t="n">
        <v>122</v>
      </c>
      <c r="BL101" s="27" t="n">
        <v>2.22</v>
      </c>
      <c r="BM101" s="28" t="n">
        <v>0.45045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a1e100a7fe9c4699</t>
        </is>
      </c>
      <c r="B102" s="24" t="inlineStr">
        <is>
          <t>2026-08-05T04:39:04.512717Z</t>
        </is>
      </c>
      <c r="C102" s="24" t="inlineStr">
        <is>
          <t>2026-08-05T17:00:00Z</t>
        </is>
      </c>
      <c r="D102" s="24" t="inlineStr">
        <is>
          <t>69868</t>
        </is>
      </c>
      <c r="E102" s="24" t="inlineStr">
        <is>
          <t>CS2</t>
        </is>
      </c>
      <c r="F102" s="24" t="inlineStr">
        <is>
          <t>eSuba</t>
        </is>
      </c>
      <c r="G102" s="24" t="inlineStr">
        <is>
          <t>maybe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0.540404</v>
      </c>
      <c r="P102" s="28" t="n"/>
      <c r="Q102" s="28" t="n">
        <v>-0.039428</v>
      </c>
      <c r="R102" s="26" t="n">
        <v>0</v>
      </c>
      <c r="S102" s="29" t="n">
        <v>1</v>
      </c>
      <c r="T102" s="24" t="inlineStr">
        <is>
          <t>cs2-tiered-elo-v6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0.5800 (market_slug=aec-cs2-maybe-esb-2026-08-05).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eSuba</t>
        </is>
      </c>
      <c r="AQ102" s="24" t="inlineStr">
        <is>
          <t>eSuba</t>
        </is>
      </c>
      <c r="AR102" s="24" t="inlineStr">
        <is>
          <t>eSuba</t>
        </is>
      </c>
      <c r="AS102" s="24" t="inlineStr">
        <is>
          <t>maybe</t>
        </is>
      </c>
      <c r="AT102" s="24" t="inlineStr">
        <is>
          <t>maybe</t>
        </is>
      </c>
      <c r="AU102" s="24" t="inlineStr">
        <is>
          <t>maybe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79b38f494ba89a56e3ba1ee48b9a2a5937958160c434a13516c1eb8ec97a91aa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79b38f494ba89a56e3ba1ee48b9a2a5937958160c434a13516c1eb8ec97a91aa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2026-08-05T04:38:34.497165Z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</row>
    <row r="103" ht="36" customHeight="1">
      <c r="A103" s="24" t="inlineStr">
        <is>
          <t>a3f2377478e544e0</t>
        </is>
      </c>
      <c r="B103" s="24" t="inlineStr">
        <is>
          <t>2026-08-05T04:39:04.512717Z</t>
        </is>
      </c>
      <c r="C103" s="24" t="inlineStr">
        <is>
          <t>2026-08-05T18:30:00Z</t>
        </is>
      </c>
      <c r="D103" s="24" t="inlineStr">
        <is>
          <t>72538</t>
        </is>
      </c>
      <c r="E103" s="24" t="inlineStr">
        <is>
          <t>CS2</t>
        </is>
      </c>
      <c r="F103" s="24" t="inlineStr">
        <is>
          <t>Diamant Esports</t>
        </is>
      </c>
      <c r="G103" s="24" t="inlineStr">
        <is>
          <t>ZOTIX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0.547253</v>
      </c>
      <c r="P103" s="28" t="n"/>
      <c r="Q103" s="28" t="n">
        <v>0.077769</v>
      </c>
      <c r="R103" s="26" t="n">
        <v>59</v>
      </c>
      <c r="S103" s="29" t="n">
        <v>1</v>
      </c>
      <c r="T103" s="24" t="inlineStr">
        <is>
          <t>cs2-tiered-elo-v6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Neutral Elo baseline; executable ask 0.4700 (market_slug=aec-cs2-zotix-dei-2026-08-05).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Diamant Esports</t>
        </is>
      </c>
      <c r="AQ103" s="24" t="inlineStr">
        <is>
          <t>Diamant Esports</t>
        </is>
      </c>
      <c r="AR103" s="24" t="inlineStr">
        <is>
          <t>Diamant Esports</t>
        </is>
      </c>
      <c r="AS103" s="24" t="inlineStr">
        <is>
          <t>ZOTIX</t>
        </is>
      </c>
      <c r="AT103" s="24" t="inlineStr">
        <is>
          <t>ZOTIX</t>
        </is>
      </c>
      <c r="AU103" s="24" t="inlineStr">
        <is>
          <t>ZOTIX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79b38f494ba89a56e3ba1ee48b9a2a5937958160c434a13516c1eb8ec97a91aa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79b38f494ba89a56e3ba1ee48b9a2a5937958160c434a13516c1eb8ec97a91aa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2026-08-05T04:38:36.966497Z</t>
        </is>
      </c>
      <c r="BI103" s="24" t="inlineStr">
        <is>
          <t>["same_event","same_team_same_day","same_league_same_day"]</t>
        </is>
      </c>
      <c r="BJ103" s="25" t="n"/>
      <c r="BK103" s="26" t="n">
        <v>113</v>
      </c>
      <c r="BL103" s="27" t="n">
        <v>2.13</v>
      </c>
      <c r="BM103" s="28" t="n">
        <v>0.469484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</row>
    <row r="104" ht="36" customHeight="1">
      <c r="A104" s="24" t="inlineStr">
        <is>
          <t>4f4529ea4fbc4863</t>
        </is>
      </c>
      <c r="B104" s="24" t="inlineStr">
        <is>
          <t>2026-08-05T04:39:04.512717Z</t>
        </is>
      </c>
      <c r="C104" s="24" t="inlineStr">
        <is>
          <t>2026-08-05T18:30:00Z</t>
        </is>
      </c>
      <c r="D104" s="24" t="inlineStr">
        <is>
          <t>72539</t>
        </is>
      </c>
      <c r="E104" s="24" t="inlineStr">
        <is>
          <t>CS2</t>
        </is>
      </c>
      <c r="F104" s="24" t="inlineStr">
        <is>
          <t>Esport BERG</t>
        </is>
      </c>
      <c r="G104" s="24" t="inlineStr">
        <is>
          <t>Fire Flux Esports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144</v>
      </c>
      <c r="M104" s="27" t="n">
        <v>2.44</v>
      </c>
      <c r="N104" s="28" t="n">
        <v>0.409836</v>
      </c>
      <c r="O104" s="28" t="n">
        <v>0.532305</v>
      </c>
      <c r="P104" s="28" t="n"/>
      <c r="Q104" s="28" t="n">
        <v>0.122469</v>
      </c>
      <c r="R104" s="26" t="n">
        <v>81</v>
      </c>
      <c r="S104" s="29" t="n">
        <v>1</v>
      </c>
      <c r="T104" s="24" t="inlineStr">
        <is>
          <t>cs2-tiered-elo-v6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Neutral Elo baseline; executable ask 0.4100 (market_slug=aec-cs2-ff-berg-2026-08-05).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Esport BERG</t>
        </is>
      </c>
      <c r="AQ104" s="24" t="inlineStr">
        <is>
          <t>Esport BERG</t>
        </is>
      </c>
      <c r="AR104" s="24" t="inlineStr">
        <is>
          <t>Esport BERG</t>
        </is>
      </c>
      <c r="AS104" s="24" t="inlineStr">
        <is>
          <t>Fire Flux Esports</t>
        </is>
      </c>
      <c r="AT104" s="24" t="inlineStr">
        <is>
          <t>Fire Flux Esports</t>
        </is>
      </c>
      <c r="AU104" s="24" t="inlineStr">
        <is>
          <t>Fire Flux Esports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79b38f494ba89a56e3ba1ee48b9a2a5937958160c434a13516c1eb8ec97a91aa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79b38f494ba89a56e3ba1ee48b9a2a5937958160c434a13516c1eb8ec97a91aa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2026-08-05T04:38:39.631140Z</t>
        </is>
      </c>
      <c r="BI104" s="24" t="inlineStr">
        <is>
          <t>["same_event","same_team_same_day","same_league_same_day"]</t>
        </is>
      </c>
      <c r="BJ104" s="25" t="n"/>
      <c r="BK104" s="26" t="n">
        <v>144</v>
      </c>
      <c r="BL104" s="27" t="n">
        <v>2.44</v>
      </c>
      <c r="BM104" s="28" t="n">
        <v>0.409836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</row>
    <row r="105" ht="36" customHeight="1">
      <c r="A105" s="24" t="inlineStr">
        <is>
          <t>8402ce7a947445b3</t>
        </is>
      </c>
      <c r="B105" s="24" t="inlineStr">
        <is>
          <t>2026-08-05T04:39:04.512717Z</t>
        </is>
      </c>
      <c r="C105" s="24" t="inlineStr">
        <is>
          <t>2026-08-05T19:15:00Z</t>
        </is>
      </c>
      <c r="D105" s="24" t="inlineStr">
        <is>
          <t>70104</t>
        </is>
      </c>
      <c r="E105" s="24" t="inlineStr">
        <is>
          <t>CS2</t>
        </is>
      </c>
      <c r="F105" s="24" t="inlineStr">
        <is>
          <t>Morphilina Club</t>
        </is>
      </c>
      <c r="G105" s="24" t="inlineStr">
        <is>
          <t>Recrent Club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0.502912</v>
      </c>
      <c r="P105" s="28" t="n"/>
      <c r="Q105" s="28" t="n">
        <v>-0.07692</v>
      </c>
      <c r="R105" s="26" t="n">
        <v>0</v>
      </c>
      <c r="S105" s="29" t="n">
        <v>1</v>
      </c>
      <c r="T105" s="24" t="inlineStr">
        <is>
          <t>cs2-tiered-elo-v6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Neutral Elo baseline; executable ask 0.5800 (market_slug=aec-cs2-rce-mcor-2026-08-05).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Morphilina Club</t>
        </is>
      </c>
      <c r="AQ105" s="24" t="inlineStr">
        <is>
          <t>Morphilina Club</t>
        </is>
      </c>
      <c r="AR105" s="24" t="inlineStr">
        <is>
          <t>Morphilina Club</t>
        </is>
      </c>
      <c r="AS105" s="24" t="inlineStr">
        <is>
          <t>Recrent Club</t>
        </is>
      </c>
      <c r="AT105" s="24" t="inlineStr">
        <is>
          <t>Recrent Club</t>
        </is>
      </c>
      <c r="AU105" s="24" t="inlineStr">
        <is>
          <t>Recrent Club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79b38f494ba89a56e3ba1ee48b9a2a5937958160c434a13516c1eb8ec97a91aa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79b38f494ba89a56e3ba1ee48b9a2a5937958160c434a13516c1eb8ec97a91aa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2026-08-05T04:38:40.442023Z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</row>
    <row r="106" ht="36" customHeight="1">
      <c r="A106" s="24" t="inlineStr">
        <is>
          <t>0e6b48160cbb48c6</t>
        </is>
      </c>
      <c r="B106" s="24" t="inlineStr">
        <is>
          <t>2026-08-05T04:39:04.512717Z</t>
        </is>
      </c>
      <c r="C106" s="24" t="inlineStr">
        <is>
          <t>2026-08-06T08:00:00Z</t>
        </is>
      </c>
      <c r="D106" s="24" t="inlineStr">
        <is>
          <t>70562</t>
        </is>
      </c>
      <c r="E106" s="24" t="inlineStr">
        <is>
          <t>CS2</t>
        </is>
      </c>
      <c r="F106" s="24" t="inlineStr">
        <is>
          <t>Teletubisie</t>
        </is>
      </c>
      <c r="G106" s="24" t="inlineStr">
        <is>
          <t>WRAITH PCIFIC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127</v>
      </c>
      <c r="M106" s="27" t="n">
        <v>2.27</v>
      </c>
      <c r="N106" s="28" t="n">
        <v>0.440529</v>
      </c>
      <c r="O106" s="28" t="n">
        <v>0.606734</v>
      </c>
      <c r="P106" s="28" t="n"/>
      <c r="Q106" s="28" t="n">
        <v>0.166205</v>
      </c>
      <c r="R106" s="26" t="n">
        <v>100</v>
      </c>
      <c r="S106" s="29" t="n">
        <v>1.5</v>
      </c>
      <c r="T106" s="24" t="inlineStr">
        <is>
          <t>cs2-tiered-elo-v6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Neutral Elo baseline; executable ask 0.4400 (market_slug=aec-cs2-pcific-ttbs-2026-08-06).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Teletubisie</t>
        </is>
      </c>
      <c r="AQ106" s="24" t="inlineStr">
        <is>
          <t>Teletubisie</t>
        </is>
      </c>
      <c r="AR106" s="24" t="inlineStr">
        <is>
          <t>Teletubisie</t>
        </is>
      </c>
      <c r="AS106" s="24" t="inlineStr">
        <is>
          <t>WRAITH PCIFIC</t>
        </is>
      </c>
      <c r="AT106" s="24" t="inlineStr">
        <is>
          <t>WRAITH PCIFIC</t>
        </is>
      </c>
      <c r="AU106" s="24" t="inlineStr">
        <is>
          <t>WRAITH PCIFIC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79b38f494ba89a56e3ba1ee48b9a2a5937958160c434a13516c1eb8ec97a91aa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79b38f494ba89a56e3ba1ee48b9a2a5937958160c434a13516c1eb8ec97a91aa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2026-08-05T04:38:44.309251Z</t>
        </is>
      </c>
      <c r="BI106" s="24" t="inlineStr">
        <is>
          <t>["same_event","same_team_same_day","same_league_same_day"]</t>
        </is>
      </c>
      <c r="BJ106" s="25" t="n"/>
      <c r="BK106" s="26" t="n">
        <v>127</v>
      </c>
      <c r="BL106" s="27" t="n">
        <v>2.27</v>
      </c>
      <c r="BM106" s="28" t="n">
        <v>0.440529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</row>
    <row r="107" ht="36" customHeight="1">
      <c r="A107" s="24" t="inlineStr">
        <is>
          <t>255614edb602474d</t>
        </is>
      </c>
      <c r="B107" s="24" t="inlineStr">
        <is>
          <t>2026-08-05T04:39:04.512717Z</t>
        </is>
      </c>
      <c r="C107" s="24" t="inlineStr">
        <is>
          <t>2026-08-06T08:00:00Z</t>
        </is>
      </c>
      <c r="D107" s="24" t="inlineStr">
        <is>
          <t>72490</t>
        </is>
      </c>
      <c r="E107" s="24" t="inlineStr">
        <is>
          <t>CS2</t>
        </is>
      </c>
      <c r="F107" s="24" t="inlineStr">
        <is>
          <t>Black Phoenix</t>
        </is>
      </c>
      <c r="G107" s="24" t="inlineStr">
        <is>
          <t>Lavked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-170</v>
      </c>
      <c r="M107" s="27" t="n">
        <v>1.588235</v>
      </c>
      <c r="N107" s="28" t="n">
        <v>0.62963</v>
      </c>
      <c r="O107" s="28" t="n">
        <v>0.530935</v>
      </c>
      <c r="P107" s="28" t="n"/>
      <c r="Q107" s="28" t="n">
        <v>-0.098695</v>
      </c>
      <c r="R107" s="26" t="n">
        <v>0</v>
      </c>
      <c r="S107" s="29" t="n">
        <v>1</v>
      </c>
      <c r="T107" s="24" t="inlineStr">
        <is>
          <t>cs2-tiered-elo-v6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Neutral Elo baseline; executable ask 0.6300 (market_slug=aec-cs2-lav-bpl-2026-08-06).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Black Phoenix</t>
        </is>
      </c>
      <c r="AQ107" s="24" t="inlineStr">
        <is>
          <t>Black Phoenix</t>
        </is>
      </c>
      <c r="AR107" s="24" t="inlineStr">
        <is>
          <t>Black Phoenix</t>
        </is>
      </c>
      <c r="AS107" s="24" t="inlineStr">
        <is>
          <t>Lavked</t>
        </is>
      </c>
      <c r="AT107" s="24" t="inlineStr">
        <is>
          <t>Lavked</t>
        </is>
      </c>
      <c r="AU107" s="24" t="inlineStr">
        <is>
          <t>Lavked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79b38f494ba89a56e3ba1ee48b9a2a5937958160c434a13516c1eb8ec97a91aa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79b38f494ba89a56e3ba1ee48b9a2a5937958160c434a13516c1eb8ec97a91aa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2026-08-05T04:38:45.222194Z</t>
        </is>
      </c>
      <c r="BI107" s="24" t="inlineStr">
        <is>
          <t>["same_event","same_team_same_day","same_league_same_day"]</t>
        </is>
      </c>
      <c r="BJ107" s="25" t="n"/>
      <c r="BK107" s="26" t="n">
        <v>-170</v>
      </c>
      <c r="BL107" s="27" t="n">
        <v>1.588235</v>
      </c>
      <c r="BM107" s="28" t="n">
        <v>0.62963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</row>
    <row r="108" ht="36" customHeight="1">
      <c r="A108" s="24" t="inlineStr">
        <is>
          <t>bb27288e4f0e4ef1</t>
        </is>
      </c>
      <c r="B108" s="24" t="inlineStr">
        <is>
          <t>2026-08-05T04:39:04.512717Z</t>
        </is>
      </c>
      <c r="C108" s="24" t="inlineStr">
        <is>
          <t>2026-08-06T08:00:00Z</t>
        </is>
      </c>
      <c r="D108" s="24" t="inlineStr">
        <is>
          <t>71896</t>
        </is>
      </c>
      <c r="E108" s="24" t="inlineStr">
        <is>
          <t>CS2</t>
        </is>
      </c>
      <c r="F108" s="24" t="inlineStr">
        <is>
          <t>EAC Rising</t>
        </is>
      </c>
      <c r="G108" s="24" t="inlineStr">
        <is>
          <t>Eternal Fire Academy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0.549521</v>
      </c>
      <c r="P108" s="28" t="n"/>
      <c r="Q108" s="28" t="n">
        <v>-0.040643</v>
      </c>
      <c r="R108" s="26" t="n">
        <v>0</v>
      </c>
      <c r="S108" s="29" t="n">
        <v>1</v>
      </c>
      <c r="T108" s="24" t="inlineStr">
        <is>
          <t>cs2-tiered-elo-v6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0.5900 (market_slug=aec-cs2-efa-era-2026-08-06).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NO_CALL_LOW_EDGE</t>
        </is>
      </c>
      <c r="AP108" s="24" t="inlineStr">
        <is>
          <t>EAC Rising</t>
        </is>
      </c>
      <c r="AQ108" s="24" t="inlineStr">
        <is>
          <t>EAC Rising</t>
        </is>
      </c>
      <c r="AR108" s="24" t="inlineStr">
        <is>
          <t>EAC Rising</t>
        </is>
      </c>
      <c r="AS108" s="24" t="inlineStr">
        <is>
          <t>Eternal Fire Academy</t>
        </is>
      </c>
      <c r="AT108" s="24" t="inlineStr">
        <is>
          <t>Eternal Fire Academy</t>
        </is>
      </c>
      <c r="AU108" s="24" t="inlineStr">
        <is>
          <t>Eternal Fire Academy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79b38f494ba89a56e3ba1ee48b9a2a5937958160c434a13516c1eb8ec97a91aa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79b38f494ba89a56e3ba1ee48b9a2a5937958160c434a13516c1eb8ec97a91aa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2026-08-05T04:38:46.064146Z</t>
        </is>
      </c>
      <c r="BI108" s="24" t="inlineStr">
        <is>
          <t>["same_event","same_team_same_day","same_league_same_day"]</t>
        </is>
      </c>
      <c r="BJ108" s="25" t="n"/>
      <c r="BK108" s="26" t="n">
        <v>-144</v>
      </c>
      <c r="BL108" s="27" t="n">
        <v>1.694444</v>
      </c>
      <c r="BM108" s="28" t="n">
        <v>0.590164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</row>
    <row r="109" ht="36" customHeight="1">
      <c r="A109" s="24" t="inlineStr">
        <is>
          <t>d4c802d171744c33</t>
        </is>
      </c>
      <c r="B109" s="24" t="inlineStr">
        <is>
          <t>2026-08-05T04:39:04.512717Z</t>
        </is>
      </c>
      <c r="C109" s="24" t="inlineStr">
        <is>
          <t>2026-08-06T10:30:00Z</t>
        </is>
      </c>
      <c r="D109" s="24" t="inlineStr">
        <is>
          <t>70787</t>
        </is>
      </c>
      <c r="E109" s="24" t="inlineStr">
        <is>
          <t>CS2</t>
        </is>
      </c>
      <c r="F109" s="24" t="inlineStr">
        <is>
          <t>Eternal Fire Academy</t>
        </is>
      </c>
      <c r="G109" s="24" t="inlineStr">
        <is>
          <t>EAC Rising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0.6083229999999999</v>
      </c>
      <c r="P109" s="28" t="n"/>
      <c r="Q109" s="28" t="n">
        <v>0.037508</v>
      </c>
      <c r="R109" s="26" t="n">
        <v>39</v>
      </c>
      <c r="S109" s="29" t="n">
        <v>1.5</v>
      </c>
      <c r="T109" s="24" t="inlineStr">
        <is>
          <t>cs2-tiered-elo-v6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0.5700 (market_slug=aec-cs2-era-efa-2026-08-06).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Eternal Fire Academy</t>
        </is>
      </c>
      <c r="AQ109" s="24" t="inlineStr">
        <is>
          <t>Eternal Fire Academy</t>
        </is>
      </c>
      <c r="AR109" s="24" t="inlineStr">
        <is>
          <t>Eternal Fire Academy</t>
        </is>
      </c>
      <c r="AS109" s="24" t="inlineStr">
        <is>
          <t>EAC Rising</t>
        </is>
      </c>
      <c r="AT109" s="24" t="inlineStr">
        <is>
          <t>EAC Rising</t>
        </is>
      </c>
      <c r="AU109" s="24" t="inlineStr">
        <is>
          <t>EAC Rising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79b38f494ba89a56e3ba1ee48b9a2a5937958160c434a13516c1eb8ec97a91aa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79b38f494ba89a56e3ba1ee48b9a2a5937958160c434a13516c1eb8ec97a91aa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2026-08-05T04:38:48.579124Z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8941fb614bf140f3</t>
        </is>
      </c>
      <c r="B110" s="24" t="inlineStr">
        <is>
          <t>2026-08-05T04:39:04.512717Z</t>
        </is>
      </c>
      <c r="C110" s="24" t="inlineStr">
        <is>
          <t>2026-08-06T11:00:00Z</t>
        </is>
      </c>
      <c r="D110" s="24" t="inlineStr">
        <is>
          <t>70598</t>
        </is>
      </c>
      <c r="E110" s="24" t="inlineStr">
        <is>
          <t>CS2</t>
        </is>
      </c>
      <c r="F110" s="24" t="inlineStr">
        <is>
          <t>JAM</t>
        </is>
      </c>
      <c r="G110" s="24" t="inlineStr">
        <is>
          <t>maybe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-178</v>
      </c>
      <c r="M110" s="27" t="n">
        <v>1.561798</v>
      </c>
      <c r="N110" s="28" t="n">
        <v>0.640288</v>
      </c>
      <c r="O110" s="28" t="n">
        <v>0.506331</v>
      </c>
      <c r="P110" s="28" t="n"/>
      <c r="Q110" s="28" t="n">
        <v>-0.133957</v>
      </c>
      <c r="R110" s="26" t="n">
        <v>0</v>
      </c>
      <c r="S110" s="29" t="n">
        <v>1</v>
      </c>
      <c r="T110" s="24" t="inlineStr">
        <is>
          <t>cs2-tiered-elo-v6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0.6400 (market_slug=aec-cs2-maybe-jam-2026-08-06).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JAM</t>
        </is>
      </c>
      <c r="AQ110" s="24" t="inlineStr">
        <is>
          <t>JAM</t>
        </is>
      </c>
      <c r="AR110" s="24" t="inlineStr">
        <is>
          <t>JAM</t>
        </is>
      </c>
      <c r="AS110" s="24" t="inlineStr">
        <is>
          <t>maybe</t>
        </is>
      </c>
      <c r="AT110" s="24" t="inlineStr">
        <is>
          <t>maybe</t>
        </is>
      </c>
      <c r="AU110" s="24" t="inlineStr">
        <is>
          <t>maybe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79b38f494ba89a56e3ba1ee48b9a2a5937958160c434a13516c1eb8ec97a91aa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79b38f494ba89a56e3ba1ee48b9a2a5937958160c434a13516c1eb8ec97a91aa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2026-08-05T04:38:50.732924Z</t>
        </is>
      </c>
      <c r="BI110" s="24" t="inlineStr">
        <is>
          <t>["same_event","same_team_same_day","same_league_same_day"]</t>
        </is>
      </c>
      <c r="BJ110" s="25" t="n"/>
      <c r="BK110" s="26" t="n">
        <v>-178</v>
      </c>
      <c r="BL110" s="27" t="n">
        <v>1.561798</v>
      </c>
      <c r="BM110" s="28" t="n">
        <v>0.640288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</row>
    <row r="111" ht="36" customHeight="1">
      <c r="A111" s="24" t="inlineStr">
        <is>
          <t>e9b2e391b28b4e80</t>
        </is>
      </c>
      <c r="B111" s="24" t="inlineStr">
        <is>
          <t>2026-08-05T04:39:04.512717Z</t>
        </is>
      </c>
      <c r="C111" s="24" t="inlineStr">
        <is>
          <t>2026-08-06T14:45:00Z</t>
        </is>
      </c>
      <c r="D111" s="24" t="inlineStr">
        <is>
          <t>70715</t>
        </is>
      </c>
      <c r="E111" s="24" t="inlineStr">
        <is>
          <t>CS2</t>
        </is>
      </c>
      <c r="F111" s="24" t="inlineStr">
        <is>
          <t>Perfecto Club</t>
        </is>
      </c>
      <c r="G111" s="24" t="inlineStr">
        <is>
          <t>Buster Club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-170</v>
      </c>
      <c r="M111" s="27" t="n">
        <v>1.588235</v>
      </c>
      <c r="N111" s="28" t="n">
        <v>0.62963</v>
      </c>
      <c r="O111" s="28" t="n">
        <v>0.515078</v>
      </c>
      <c r="P111" s="28" t="n"/>
      <c r="Q111" s="28" t="n">
        <v>-0.114552</v>
      </c>
      <c r="R111" s="26" t="n">
        <v>0</v>
      </c>
      <c r="S111" s="29" t="n">
        <v>1</v>
      </c>
      <c r="T111" s="24" t="inlineStr">
        <is>
          <t>cs2-tiered-elo-v6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Neutral Elo baseline; executable ask 0.6300 (market_slug=aec-cs2-bcu-pce-2026-08-06).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Perfecto Club</t>
        </is>
      </c>
      <c r="AQ111" s="24" t="inlineStr">
        <is>
          <t>Perfecto Club</t>
        </is>
      </c>
      <c r="AR111" s="24" t="inlineStr">
        <is>
          <t>Perfecto Club</t>
        </is>
      </c>
      <c r="AS111" s="24" t="inlineStr">
        <is>
          <t>Buster Club</t>
        </is>
      </c>
      <c r="AT111" s="24" t="inlineStr">
        <is>
          <t>Buster Club</t>
        </is>
      </c>
      <c r="AU111" s="24" t="inlineStr">
        <is>
          <t>Buster Club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79b38f494ba89a56e3ba1ee48b9a2a5937958160c434a13516c1eb8ec97a91aa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79b38f494ba89a56e3ba1ee48b9a2a5937958160c434a13516c1eb8ec97a91aa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2026-08-05T04:38:56.792024Z</t>
        </is>
      </c>
      <c r="BI111" s="24" t="inlineStr">
        <is>
          <t>["same_event","same_team_same_day","same_league_same_day"]</t>
        </is>
      </c>
      <c r="BJ111" s="25" t="n"/>
      <c r="BK111" s="26" t="n">
        <v>-170</v>
      </c>
      <c r="BL111" s="27" t="n">
        <v>1.588235</v>
      </c>
      <c r="BM111" s="28" t="n">
        <v>0.62963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494cada8d8914873</t>
        </is>
      </c>
      <c r="B112" s="24" t="inlineStr">
        <is>
          <t>2026-08-05T04:39:04.512717Z</t>
        </is>
      </c>
      <c r="C112" s="24" t="inlineStr">
        <is>
          <t>2026-08-06T17:00:00Z</t>
        </is>
      </c>
      <c r="D112" s="24" t="inlineStr">
        <is>
          <t>72500</t>
        </is>
      </c>
      <c r="E112" s="24" t="inlineStr">
        <is>
          <t>CS2</t>
        </is>
      </c>
      <c r="F112" s="24" t="inlineStr">
        <is>
          <t>ex-RUSTEC</t>
        </is>
      </c>
      <c r="G112" s="24" t="inlineStr">
        <is>
          <t>WW Team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-163</v>
      </c>
      <c r="M112" s="27" t="n">
        <v>1.613497</v>
      </c>
      <c r="N112" s="28" t="n">
        <v>0.619772</v>
      </c>
      <c r="O112" s="28" t="n">
        <v>0.606823</v>
      </c>
      <c r="P112" s="28" t="n"/>
      <c r="Q112" s="28" t="n">
        <v>-0.012949</v>
      </c>
      <c r="R112" s="26" t="n">
        <v>14</v>
      </c>
      <c r="S112" s="29" t="n">
        <v>1.5</v>
      </c>
      <c r="T112" s="24" t="inlineStr">
        <is>
          <t>cs2-tiered-elo-v6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Neutral Elo baseline; executable ask 0.6200 (market_slug=aec-cs2-ww-erx-2026-08-06).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ex-RUSTEC</t>
        </is>
      </c>
      <c r="AQ112" s="24" t="inlineStr">
        <is>
          <t>ex-RUSTEC</t>
        </is>
      </c>
      <c r="AR112" s="24" t="inlineStr">
        <is>
          <t>ex-RUSTEC</t>
        </is>
      </c>
      <c r="AS112" s="24" t="inlineStr">
        <is>
          <t>WW Team</t>
        </is>
      </c>
      <c r="AT112" s="24" t="inlineStr">
        <is>
          <t>WW Team</t>
        </is>
      </c>
      <c r="AU112" s="24" t="inlineStr">
        <is>
          <t>WW Team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79b38f494ba89a56e3ba1ee48b9a2a5937958160c434a13516c1eb8ec97a91aa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79b38f494ba89a56e3ba1ee48b9a2a5937958160c434a13516c1eb8ec97a91aa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2026-08-05T04:38:58.493175Z</t>
        </is>
      </c>
      <c r="BI112" s="24" t="inlineStr">
        <is>
          <t>["same_event","same_team_same_day","same_league_same_day"]</t>
        </is>
      </c>
      <c r="BJ112" s="25" t="n"/>
      <c r="BK112" s="26" t="n">
        <v>-163</v>
      </c>
      <c r="BL112" s="27" t="n">
        <v>1.613497</v>
      </c>
      <c r="BM112" s="28" t="n">
        <v>0.619772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2026-08-05T04:40:06Z</dcterms:created>
  <dcterms:modified xsi:type="dcterms:W3CDTF">2026-08-05T04:40:07Z</dcterms:modified>
</cp:coreProperties>
</file>