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78" headerRowCount="1">
  <autoFilter ref="A1:CQ7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COUNTA('Picks'!$A$2:$A$78)</f>
        <v/>
      </c>
      <c r="C4" s="6">
        <f>COUNTIF('Picks'!$U$2:$U$78,"open")</f>
        <v/>
      </c>
      <c r="E4" s="6">
        <f>COUNTIF('Picks'!$U$2:$U$78,"settled")</f>
        <v/>
      </c>
      <c r="G4" s="6">
        <f>IF(COUNTIFS('Picks'!$U$2:$U$78,"settled",'Picks'!$V$2:$V$78,"win")+COUNTIFS('Picks'!$U$2:$U$78,"settled",'Picks'!$V$2:$V$78,"loss")&gt;=$L$2,"Ready","Insufficient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COUNTIF('Picks'!$BX$2:$BX$78,"&gt;0")</f>
        <v/>
      </c>
      <c r="C7" s="6">
        <f>COUNTIFS('Picks'!$BX$2:$BX$78,"&gt;0",'Picks'!$V$2:$V$78,"win")&amp;"-"&amp;COUNTIFS('Picks'!$BX$2:$BX$78,"&gt;0",'Picks'!$V$2:$V$78,"loss")</f>
        <v/>
      </c>
      <c r="E7" s="7">
        <f>IFERROR(COUNTIFS('Picks'!$BX$2:$BX$78,"&gt;0",'Picks'!$V$2:$V$78,"win")/(COUNTIFS('Picks'!$BX$2:$BX$78,"&gt;0",'Picks'!$V$2:$V$78,"win")+COUNTIFS('Picks'!$BX$2:$BX$78,"&gt;0",'Picks'!$V$2:$V$78,"loss")),0)</f>
        <v/>
      </c>
      <c r="G7" s="7">
        <f>IFERROR(SUM('Picks'!$BY$2:$BY$78)/SUM('Picks'!$BX$2:$BX$78),0)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SUM('Picks'!$BY$2:$BY$78)</f>
        <v/>
      </c>
      <c r="C10" s="9">
        <f>IFERROR(AVERAGEIF('Picks'!$AB$2:$AB$78,"&lt;&gt;",'Picks'!$AB$2:$AB$78),0)</f>
        <v/>
      </c>
      <c r="E10" s="6">
        <f>COUNTIFS('Picks'!$AM$2:$AM$78,"QUALIFIED_SHADOW_CALL",'Picks'!$U$2:$U$78,"settled")</f>
        <v/>
      </c>
      <c r="G10" s="8">
        <f>SUMIFS('Picks'!$AC$2:$AC$78,'Picks'!$AM$2:$AM$78,"QUALIFIED_SHADOW_CALL")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COUNTIFS('Picks'!$H$2:$H$78,$A14,'Picks'!$U$2:$U$78,"settled")</f>
        <v/>
      </c>
      <c r="C14" s="13">
        <f>COUNTIFS('Picks'!$H$2:$H$78,$A14,'Picks'!$U$2:$U$78,"settled",'Picks'!$V$2:$V$78,"win")</f>
        <v/>
      </c>
      <c r="D14" s="13">
        <f>COUNTIFS('Picks'!$H$2:$H$78,$A14,'Picks'!$U$2:$U$78,"settled",'Picks'!$V$2:$V$78,"loss")</f>
        <v/>
      </c>
      <c r="E14" s="14">
        <f>IFERROR(C14/(C14+D14),0)</f>
        <v/>
      </c>
      <c r="F14" s="15">
        <f>SUMIFS('Picks'!$BY$2:$BY$78,'Picks'!$H$2:$H$78,$A14)</f>
        <v/>
      </c>
      <c r="G14" s="16">
        <f>IFERROR(AVERAGEIFS('Picks'!$AB$2:$AB$78,'Picks'!$H$2:$H$78,$A14,'Picks'!$U$2:$U$78,"settled"),0)</f>
        <v/>
      </c>
    </row>
    <row r="15">
      <c r="A15" s="17" t="inlineStr">
        <is>
          <t>spread</t>
        </is>
      </c>
      <c r="B15" s="18">
        <f>COUNTIFS('Picks'!$H$2:$H$78,$A15,'Picks'!$U$2:$U$78,"settled")</f>
        <v/>
      </c>
      <c r="C15" s="18">
        <f>COUNTIFS('Picks'!$H$2:$H$78,$A15,'Picks'!$U$2:$U$78,"settled",'Picks'!$V$2:$V$78,"win")</f>
        <v/>
      </c>
      <c r="D15" s="18">
        <f>COUNTIFS('Picks'!$H$2:$H$78,$A15,'Picks'!$U$2:$U$78,"settled",'Picks'!$V$2:$V$78,"loss")</f>
        <v/>
      </c>
      <c r="E15" s="19">
        <f>IFERROR(C15/(C15+D15),0)</f>
        <v/>
      </c>
      <c r="F15" s="20">
        <f>SUMIFS('Picks'!$BY$2:$BY$78,'Picks'!$H$2:$H$78,$A15)</f>
        <v/>
      </c>
      <c r="G15" s="21">
        <f>IFERROR(AVERAGEIFS('Picks'!$AB$2:$AB$78,'Picks'!$H$2:$H$78,$A15,'Picks'!$U$2:$U$78,"settled"),0)</f>
        <v/>
      </c>
    </row>
    <row r="16">
      <c r="A16" s="12" t="inlineStr">
        <is>
          <t>total</t>
        </is>
      </c>
      <c r="B16" s="13">
        <f>COUNTIFS('Picks'!$H$2:$H$78,$A16,'Picks'!$U$2:$U$78,"settled")</f>
        <v/>
      </c>
      <c r="C16" s="13">
        <f>COUNTIFS('Picks'!$H$2:$H$78,$A16,'Picks'!$U$2:$U$78,"settled",'Picks'!$V$2:$V$78,"win")</f>
        <v/>
      </c>
      <c r="D16" s="13">
        <f>COUNTIFS('Picks'!$H$2:$H$78,$A16,'Picks'!$U$2:$U$78,"settled",'Picks'!$V$2:$V$78,"loss")</f>
        <v/>
      </c>
      <c r="E16" s="14">
        <f>IFERROR(C16/(C16+D16),0)</f>
        <v/>
      </c>
      <c r="F16" s="15">
        <f>SUMIFS('Picks'!$BY$2:$BY$78,'Picks'!$H$2:$H$78,$A16)</f>
        <v/>
      </c>
      <c r="G16" s="16">
        <f>IFERROR(AVERAGEIFS('Picks'!$AB$2:$AB$78,'Picks'!$H$2:$H$78,$A16,'Picks'!$U$2:$U$78,"settled"),0)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inlineStr">
        <is>
          <t>True</t>
        </is>
      </c>
    </row>
    <row r="58" ht="36" customHeight="1">
      <c r="A58" s="24" t="inlineStr">
        <is>
          <t>50b6b9d81afe49c5</t>
        </is>
      </c>
      <c r="B58" s="24" t="inlineStr">
        <is>
          <t>2026-08-04T02:01:00.694416Z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-133</v>
      </c>
      <c r="M58" s="27" t="n">
        <v>1.75188</v>
      </c>
      <c r="N58" s="28" t="n">
        <v>0.570815</v>
      </c>
      <c r="O58" s="28" t="n">
        <v>0.527373</v>
      </c>
      <c r="P58" s="28" t="n"/>
      <c r="Q58" s="28" t="n">
        <v>-0.043442</v>
      </c>
      <c r="R58" s="26" t="n">
        <v>0</v>
      </c>
      <c r="S58" s="29" t="n">
        <v>1</v>
      </c>
      <c r="T58" s="24" t="inlineStr">
        <is>
          <t>cs2-tiered-elo-v5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0.5700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09a1290618ceeeb656e117e9f9dc9002fa1c96576b62b6ccc86887cf39cea65f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09a1290618ceeeb656e117e9f9dc9002fa1c96576b62b6ccc86887cf39cea65f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2026-08-04T02:00:40.172587Z</t>
        </is>
      </c>
      <c r="BI58" s="24" t="inlineStr">
        <is>
          <t>["same_event","same_team_same_day","same_league_same_day"]</t>
        </is>
      </c>
      <c r="BJ58" s="25" t="n"/>
      <c r="BK58" s="26" t="n">
        <v>-133</v>
      </c>
      <c r="BL58" s="27" t="n">
        <v>1.75188</v>
      </c>
      <c r="BM58" s="28" t="n">
        <v>0.570815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inlineStr">
        <is>
          <t>False</t>
        </is>
      </c>
    </row>
    <row r="59" ht="36" customHeight="1">
      <c r="A59" s="24" t="inlineStr">
        <is>
          <t>06a10df2e46b4648</t>
        </is>
      </c>
      <c r="B59" s="24" t="inlineStr">
        <is>
          <t>2026-08-04T02:01:00.694416Z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-213</v>
      </c>
      <c r="M59" s="27" t="n">
        <v>1.469484</v>
      </c>
      <c r="N59" s="28" t="n">
        <v>0.680511</v>
      </c>
      <c r="O59" s="28" t="n">
        <v>0.5710730000000001</v>
      </c>
      <c r="P59" s="28" t="n"/>
      <c r="Q59" s="28" t="n">
        <v>-0.109438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0.6800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09a1290618ceeeb656e117e9f9dc9002fa1c96576b62b6ccc86887cf39cea65f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09a1290618ceeeb656e117e9f9dc9002fa1c96576b62b6ccc86887cf39cea65f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2026-08-04T02:00:41.826436Z</t>
        </is>
      </c>
      <c r="BI59" s="24" t="inlineStr">
        <is>
          <t>["same_event","same_team_same_day","same_league_same_day"]</t>
        </is>
      </c>
      <c r="BJ59" s="25" t="n"/>
      <c r="BK59" s="26" t="n">
        <v>-213</v>
      </c>
      <c r="BL59" s="27" t="n">
        <v>1.469484</v>
      </c>
      <c r="BM59" s="28" t="n">
        <v>0.680511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inlineStr">
        <is>
          <t>False</t>
        </is>
      </c>
    </row>
    <row r="60" ht="36" customHeight="1">
      <c r="A60" s="24" t="inlineStr">
        <is>
          <t>981d1ecf929848d0</t>
        </is>
      </c>
      <c r="B60" s="24" t="inlineStr">
        <is>
          <t>2026-08-04T02:01:00.694416Z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0.513213</v>
      </c>
      <c r="P60" s="28" t="n"/>
      <c r="Q60" s="28" t="n">
        <v>-0.046258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09a1290618ceeeb656e117e9f9dc9002fa1c96576b62b6ccc86887cf39cea65f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09a1290618ceeeb656e117e9f9dc9002fa1c96576b62b6ccc86887cf39cea65f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2026-08-04T02:00:43.358031Z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inlineStr">
        <is>
          <t>False</t>
        </is>
      </c>
    </row>
    <row r="61" ht="36" customHeight="1">
      <c r="A61" s="24" t="inlineStr">
        <is>
          <t>0f2a33e6c8d5405f</t>
        </is>
      </c>
      <c r="B61" s="24" t="inlineStr">
        <is>
          <t>2026-08-04T02:01:00.694416Z</t>
        </is>
      </c>
      <c r="C61" s="24" t="inlineStr">
        <is>
          <t>2026-08-04T11:00:00Z</t>
        </is>
      </c>
      <c r="D61" s="24" t="inlineStr">
        <is>
          <t>68301</t>
        </is>
      </c>
      <c r="E61" s="24" t="inlineStr">
        <is>
          <t>CS2</t>
        </is>
      </c>
      <c r="F61" s="24" t="inlineStr">
        <is>
          <t>SNAILKICK Club</t>
        </is>
      </c>
      <c r="G61" s="24" t="inlineStr">
        <is>
          <t>PCH3LK1N Club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-122</v>
      </c>
      <c r="M61" s="27" t="n">
        <v>1.819672</v>
      </c>
      <c r="N61" s="28" t="n">
        <v>0.54955</v>
      </c>
      <c r="O61" s="28" t="n">
        <v>0.527048</v>
      </c>
      <c r="P61" s="28" t="n"/>
      <c r="Q61" s="28" t="n">
        <v>-0.022502</v>
      </c>
      <c r="R61" s="26" t="n">
        <v>9</v>
      </c>
      <c r="S61" s="29" t="n">
        <v>1</v>
      </c>
      <c r="T61" s="24" t="inlineStr">
        <is>
          <t>cs2-tiered-elo-v5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0.5500 (market_slug=aec-cs2-plnc-scn-2026-08-04).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SNAILKICK Club</t>
        </is>
      </c>
      <c r="AQ61" s="24" t="inlineStr">
        <is>
          <t>SNAILKICK Club</t>
        </is>
      </c>
      <c r="AR61" s="24" t="inlineStr">
        <is>
          <t>SNAILKICK Club</t>
        </is>
      </c>
      <c r="AS61" s="24" t="inlineStr">
        <is>
          <t>PCH3LK1N Club</t>
        </is>
      </c>
      <c r="AT61" s="24" t="inlineStr">
        <is>
          <t>PCH3LK1N Club</t>
        </is>
      </c>
      <c r="AU61" s="24" t="inlineStr">
        <is>
          <t>PCH3LK1N Club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09a1290618ceeeb656e117e9f9dc9002fa1c96576b62b6ccc86887cf39cea65f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09a1290618ceeeb656e117e9f9dc9002fa1c96576b62b6ccc86887cf39cea65f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2026-08-04T02:00:44.338654Z</t>
        </is>
      </c>
      <c r="BI61" s="24" t="inlineStr">
        <is>
          <t>["same_event","same_team_same_day","same_league_same_day"]</t>
        </is>
      </c>
      <c r="BJ61" s="25" t="n"/>
      <c r="BK61" s="26" t="n">
        <v>-122</v>
      </c>
      <c r="BL61" s="27" t="n">
        <v>1.819672</v>
      </c>
      <c r="BM61" s="28" t="n">
        <v>0.54955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inlineStr">
        <is>
          <t>False</t>
        </is>
      </c>
    </row>
    <row r="62" ht="36" customHeight="1">
      <c r="A62" s="24" t="inlineStr">
        <is>
          <t>86667891fd994fee</t>
        </is>
      </c>
      <c r="B62" s="24" t="inlineStr">
        <is>
          <t>2026-08-04T02:01:00.694416Z</t>
        </is>
      </c>
      <c r="C62" s="24" t="inlineStr">
        <is>
          <t>2026-08-04T11:00:00Z</t>
        </is>
      </c>
      <c r="D62" s="24" t="inlineStr">
        <is>
          <t>68302</t>
        </is>
      </c>
      <c r="E62" s="24" t="inlineStr">
        <is>
          <t>CS2</t>
        </is>
      </c>
      <c r="F62" s="24" t="inlineStr">
        <is>
          <t>Phantom</t>
        </is>
      </c>
      <c r="G62" s="24" t="inlineStr">
        <is>
          <t>Sashi Esport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0.551006</v>
      </c>
      <c r="P62" s="28" t="n"/>
      <c r="Q62" s="28" t="n">
        <v>0.09017699999999999</v>
      </c>
      <c r="R62" s="26" t="n">
        <v>65</v>
      </c>
      <c r="S62" s="29" t="n">
        <v>1</v>
      </c>
      <c r="T62" s="24" t="inlineStr">
        <is>
          <t>cs2-tiered-elo-v5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0.4600 (market_slug=aec-cs2-sashi-pha-2026-08-04).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Phantom</t>
        </is>
      </c>
      <c r="AQ62" s="24" t="inlineStr">
        <is>
          <t>Phantom</t>
        </is>
      </c>
      <c r="AR62" s="24" t="inlineStr">
        <is>
          <t>Phantom</t>
        </is>
      </c>
      <c r="AS62" s="24" t="inlineStr">
        <is>
          <t>Sashi Esport</t>
        </is>
      </c>
      <c r="AT62" s="24" t="inlineStr">
        <is>
          <t>Sashi Esport</t>
        </is>
      </c>
      <c r="AU62" s="24" t="inlineStr">
        <is>
          <t>Sashi Esport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09a1290618ceeeb656e117e9f9dc9002fa1c96576b62b6ccc86887cf39cea65f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09a1290618ceeeb656e117e9f9dc9002fa1c96576b62b6ccc86887cf39cea65f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2026-08-04T02:00:44.822978Z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inlineStr">
        <is>
          <t>True</t>
        </is>
      </c>
    </row>
    <row r="63" ht="36" customHeight="1">
      <c r="A63" s="24" t="inlineStr">
        <is>
          <t>ed5311480f944717</t>
        </is>
      </c>
      <c r="B63" s="24" t="inlineStr">
        <is>
          <t>2026-08-04T02:01:00.694416Z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0.691599</v>
      </c>
      <c r="P63" s="28" t="n"/>
      <c r="Q63" s="28" t="n">
        <v>0.111767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09a1290618ceeeb656e117e9f9dc9002fa1c96576b62b6ccc86887cf39cea65f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09a1290618ceeeb656e117e9f9dc9002fa1c96576b62b6ccc86887cf39cea65f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2026-08-04T02:00:45.360175Z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inlineStr">
        <is>
          <t>True</t>
        </is>
      </c>
    </row>
    <row r="64" ht="36" customHeight="1">
      <c r="A64" s="24" t="inlineStr">
        <is>
          <t>7418210f9810457b</t>
        </is>
      </c>
      <c r="B64" s="24" t="inlineStr">
        <is>
          <t>2026-08-04T02:01:00.694416Z</t>
        </is>
      </c>
      <c r="C64" s="24" t="inlineStr">
        <is>
          <t>2026-08-04T13:00:00Z</t>
        </is>
      </c>
      <c r="D64" s="24" t="inlineStr">
        <is>
          <t>71213</t>
        </is>
      </c>
      <c r="E64" s="24" t="inlineStr">
        <is>
          <t>CS2</t>
        </is>
      </c>
      <c r="F64" s="24" t="inlineStr">
        <is>
          <t>Leo Team</t>
        </is>
      </c>
      <c r="G64" s="24" t="inlineStr">
        <is>
          <t>Bushido Wildcats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117</v>
      </c>
      <c r="M64" s="27" t="n">
        <v>2.17</v>
      </c>
      <c r="N64" s="28" t="n">
        <v>0.460829</v>
      </c>
      <c r="O64" s="28" t="n">
        <v>0.7195859999999999</v>
      </c>
      <c r="P64" s="28" t="n"/>
      <c r="Q64" s="28" t="n">
        <v>0.258757</v>
      </c>
      <c r="R64" s="26" t="n">
        <v>100</v>
      </c>
      <c r="S64" s="29" t="n">
        <v>2</v>
      </c>
      <c r="T64" s="24" t="inlineStr">
        <is>
          <t>cs2-tiered-elo-v5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0.4600 (market_slug=aec-cs2-bw-leo-2026-08-04).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Leo Team</t>
        </is>
      </c>
      <c r="AQ64" s="24" t="inlineStr">
        <is>
          <t>Leo Team</t>
        </is>
      </c>
      <c r="AR64" s="24" t="inlineStr">
        <is>
          <t>Leo Team</t>
        </is>
      </c>
      <c r="AS64" s="24" t="inlineStr">
        <is>
          <t>Bushido Wildcats</t>
        </is>
      </c>
      <c r="AT64" s="24" t="inlineStr">
        <is>
          <t>Bushido Wildcats</t>
        </is>
      </c>
      <c r="AU64" s="24" t="inlineStr">
        <is>
          <t>Bushido Wildcats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09a1290618ceeeb656e117e9f9dc9002fa1c96576b62b6ccc86887cf39cea65f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09a1290618ceeeb656e117e9f9dc9002fa1c96576b62b6ccc86887cf39cea65f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2026-08-04T02:00:46.394598Z</t>
        </is>
      </c>
      <c r="BI64" s="24" t="inlineStr">
        <is>
          <t>["same_event","same_team_same_day","same_league_same_day"]</t>
        </is>
      </c>
      <c r="BJ64" s="25" t="n"/>
      <c r="BK64" s="26" t="n">
        <v>117</v>
      </c>
      <c r="BL64" s="27" t="n">
        <v>2.17</v>
      </c>
      <c r="BM64" s="28" t="n">
        <v>0.460829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inlineStr">
        <is>
          <t>True</t>
        </is>
      </c>
    </row>
    <row r="65" ht="36" customHeight="1">
      <c r="A65" s="24" t="inlineStr">
        <is>
          <t>80a69293f56842c4</t>
        </is>
      </c>
      <c r="B65" s="24" t="inlineStr">
        <is>
          <t>2026-08-04T02:01:00.694416Z</t>
        </is>
      </c>
      <c r="C65" s="24" t="inlineStr">
        <is>
          <t>2026-08-04T13:00:00Z</t>
        </is>
      </c>
      <c r="D65" s="24" t="inlineStr">
        <is>
          <t>71280</t>
        </is>
      </c>
      <c r="E65" s="24" t="inlineStr">
        <is>
          <t>CS2</t>
        </is>
      </c>
      <c r="F65" s="24" t="inlineStr">
        <is>
          <t>ex-MANA eSports</t>
        </is>
      </c>
      <c r="G65" s="24" t="inlineStr">
        <is>
          <t>BASEMENT BOYS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-186</v>
      </c>
      <c r="M65" s="27" t="n">
        <v>1.537634</v>
      </c>
      <c r="N65" s="28" t="n">
        <v>0.65035</v>
      </c>
      <c r="O65" s="28" t="n">
        <v>0.640949</v>
      </c>
      <c r="P65" s="28" t="n"/>
      <c r="Q65" s="28" t="n">
        <v>-0.009401</v>
      </c>
      <c r="R65" s="26" t="n">
        <v>15</v>
      </c>
      <c r="S65" s="29" t="n">
        <v>1.5</v>
      </c>
      <c r="T65" s="24" t="inlineStr">
        <is>
          <t>cs2-tiered-elo-v5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0.6500 (market_slug=aec-cs2-bmb-exmana-2026-08-04).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ex-MANA eSports</t>
        </is>
      </c>
      <c r="AQ65" s="24" t="inlineStr">
        <is>
          <t>ex-MANA eSports</t>
        </is>
      </c>
      <c r="AR65" s="24" t="inlineStr">
        <is>
          <t>ex-MANA eSports</t>
        </is>
      </c>
      <c r="AS65" s="24" t="inlineStr">
        <is>
          <t>BASEMENT BOYS</t>
        </is>
      </c>
      <c r="AT65" s="24" t="inlineStr">
        <is>
          <t>BASEMENT BOYS</t>
        </is>
      </c>
      <c r="AU65" s="24" t="inlineStr">
        <is>
          <t>BASEMENT BOYS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09a1290618ceeeb656e117e9f9dc9002fa1c96576b62b6ccc86887cf39cea65f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09a1290618ceeeb656e117e9f9dc9002fa1c96576b62b6ccc86887cf39cea65f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2026-08-04T02:00:46.894304Z</t>
        </is>
      </c>
      <c r="BI65" s="24" t="inlineStr">
        <is>
          <t>["same_event","same_team_same_day","same_league_same_day"]</t>
        </is>
      </c>
      <c r="BJ65" s="25" t="n"/>
      <c r="BK65" s="26" t="n">
        <v>-186</v>
      </c>
      <c r="BL65" s="27" t="n">
        <v>1.537634</v>
      </c>
      <c r="BM65" s="28" t="n">
        <v>0.65035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inlineStr">
        <is>
          <t>False</t>
        </is>
      </c>
    </row>
    <row r="66" ht="36" customHeight="1">
      <c r="A66" s="24" t="inlineStr">
        <is>
          <t>742f0bc43f68478d</t>
        </is>
      </c>
      <c r="B66" s="24" t="inlineStr">
        <is>
          <t>2026-08-04T02:01:00.694416Z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0.527048</v>
      </c>
      <c r="P66" s="28" t="n"/>
      <c r="Q66" s="28" t="n">
        <v>0.076598</v>
      </c>
      <c r="R66" s="26" t="n">
        <v>58</v>
      </c>
      <c r="S66" s="29" t="n">
        <v>1</v>
      </c>
      <c r="T66" s="24" t="inlineStr">
        <is>
          <t>cs2-tiered-elo-v5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0.4500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09a1290618ceeeb656e117e9f9dc9002fa1c96576b62b6ccc86887cf39cea65f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09a1290618ceeeb656e117e9f9dc9002fa1c96576b62b6ccc86887cf39cea65f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2026-08-04T02:00:47.380226Z</t>
        </is>
      </c>
      <c r="BI66" s="24" t="inlineStr">
        <is>
          <t>["same_event","same_team_same_day","same_league_same_day"]</t>
        </is>
      </c>
      <c r="BJ66" s="25" t="n"/>
      <c r="BK66" s="26" t="n">
        <v>122</v>
      </c>
      <c r="BL66" s="27" t="n">
        <v>2.22</v>
      </c>
      <c r="BM66" s="28" t="n">
        <v>0.45045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inlineStr">
        <is>
          <t>True</t>
        </is>
      </c>
    </row>
    <row r="67" ht="36" customHeight="1">
      <c r="A67" s="24" t="inlineStr">
        <is>
          <t>5e479050a5c8466b</t>
        </is>
      </c>
      <c r="B67" s="24" t="inlineStr">
        <is>
          <t>2026-08-04T02:01:00.694416Z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0.518055</v>
      </c>
      <c r="P67" s="28" t="n"/>
      <c r="Q67" s="28" t="n">
        <v>-0.101717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09a1290618ceeeb656e117e9f9dc9002fa1c96576b62b6ccc86887cf39cea65f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09a1290618ceeeb656e117e9f9dc9002fa1c96576b62b6ccc86887cf39cea65f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2026-08-04T02:00:48.847552Z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inlineStr">
        <is>
          <t>False</t>
        </is>
      </c>
    </row>
    <row r="68" ht="36" customHeight="1">
      <c r="A68" s="24" t="inlineStr">
        <is>
          <t>976705aa3abc4300</t>
        </is>
      </c>
      <c r="B68" s="24" t="inlineStr">
        <is>
          <t>2026-08-04T02:01:00.694416Z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-178</v>
      </c>
      <c r="M68" s="27" t="n">
        <v>1.561798</v>
      </c>
      <c r="N68" s="28" t="n">
        <v>0.640288</v>
      </c>
      <c r="O68" s="28" t="n">
        <v>0.505162</v>
      </c>
      <c r="P68" s="28" t="n"/>
      <c r="Q68" s="28" t="n">
        <v>-0.135126</v>
      </c>
      <c r="R68" s="26" t="n">
        <v>0</v>
      </c>
      <c r="S68" s="29" t="n">
        <v>1</v>
      </c>
      <c r="T68" s="24" t="inlineStr">
        <is>
          <t>cs2-tiered-elo-v5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0.6400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09a1290618ceeeb656e117e9f9dc9002fa1c96576b62b6ccc86887cf39cea65f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09a1290618ceeeb656e117e9f9dc9002fa1c96576b62b6ccc86887cf39cea65f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2026-08-04T02:00:49.316034Z</t>
        </is>
      </c>
      <c r="BI68" s="24" t="inlineStr">
        <is>
          <t>["same_event","same_team_same_day","same_league_same_day"]</t>
        </is>
      </c>
      <c r="BJ68" s="25" t="n"/>
      <c r="BK68" s="26" t="n">
        <v>-178</v>
      </c>
      <c r="BL68" s="27" t="n">
        <v>1.561798</v>
      </c>
      <c r="BM68" s="28" t="n">
        <v>0.640288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inlineStr">
        <is>
          <t>False</t>
        </is>
      </c>
    </row>
    <row r="69" ht="36" customHeight="1">
      <c r="A69" s="24" t="inlineStr">
        <is>
          <t>cb669fcd43774567</t>
        </is>
      </c>
      <c r="B69" s="24" t="inlineStr">
        <is>
          <t>2026-08-04T02:01:00.694416Z</t>
        </is>
      </c>
      <c r="C69" s="24" t="inlineStr">
        <is>
          <t>2026-08-04T16:30:00Z</t>
        </is>
      </c>
      <c r="D69" s="24" t="inlineStr">
        <is>
          <t>68562</t>
        </is>
      </c>
      <c r="E69" s="24" t="inlineStr">
        <is>
          <t>CS2</t>
        </is>
      </c>
      <c r="F69" s="24" t="inlineStr">
        <is>
          <t>WorldEdit Club</t>
        </is>
      </c>
      <c r="G69" s="24" t="inlineStr">
        <is>
          <t>shoke Club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133</v>
      </c>
      <c r="M69" s="27" t="n">
        <v>2.33</v>
      </c>
      <c r="N69" s="28" t="n">
        <v>0.429185</v>
      </c>
      <c r="O69" s="28" t="n">
        <v>0.527048</v>
      </c>
      <c r="P69" s="28" t="n"/>
      <c r="Q69" s="28" t="n">
        <v>0.09786300000000001</v>
      </c>
      <c r="R69" s="26" t="n">
        <v>69</v>
      </c>
      <c r="S69" s="29" t="n">
        <v>1</v>
      </c>
      <c r="T69" s="24" t="inlineStr">
        <is>
          <t>cs2-tiered-elo-v5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0.4300 (market_slug=aec-cs2-sch-wco-2026-08-04).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WorldEdit Club</t>
        </is>
      </c>
      <c r="AQ69" s="24" t="inlineStr">
        <is>
          <t>WorldEdit Club</t>
        </is>
      </c>
      <c r="AR69" s="24" t="inlineStr">
        <is>
          <t>WorldEdit Club</t>
        </is>
      </c>
      <c r="AS69" s="24" t="inlineStr">
        <is>
          <t>shoke Club</t>
        </is>
      </c>
      <c r="AT69" s="24" t="inlineStr">
        <is>
          <t>shoke Club</t>
        </is>
      </c>
      <c r="AU69" s="24" t="inlineStr">
        <is>
          <t>shoke Club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09a1290618ceeeb656e117e9f9dc9002fa1c96576b62b6ccc86887cf39cea65f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09a1290618ceeeb656e117e9f9dc9002fa1c96576b62b6ccc86887cf39cea65f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2026-08-04T02:00:49.840183Z</t>
        </is>
      </c>
      <c r="BI69" s="24" t="inlineStr">
        <is>
          <t>["same_event","same_team_same_day","same_league_same_day"]</t>
        </is>
      </c>
      <c r="BJ69" s="25" t="n"/>
      <c r="BK69" s="26" t="n">
        <v>133</v>
      </c>
      <c r="BL69" s="27" t="n">
        <v>2.33</v>
      </c>
      <c r="BM69" s="28" t="n">
        <v>0.429185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inlineStr">
        <is>
          <t>True</t>
        </is>
      </c>
    </row>
    <row r="70" ht="36" customHeight="1">
      <c r="A70" s="24" t="inlineStr">
        <is>
          <t>6058998addc64392</t>
        </is>
      </c>
      <c r="B70" s="24" t="inlineStr">
        <is>
          <t>2026-08-04T02:01:00.694416Z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144</v>
      </c>
      <c r="M70" s="27" t="n">
        <v>2.44</v>
      </c>
      <c r="N70" s="28" t="n">
        <v>0.409836</v>
      </c>
      <c r="O70" s="28" t="n">
        <v>0.527048</v>
      </c>
      <c r="P70" s="28" t="n"/>
      <c r="Q70" s="28" t="n">
        <v>0.117212</v>
      </c>
      <c r="R70" s="26" t="n">
        <v>79</v>
      </c>
      <c r="S70" s="29" t="n">
        <v>1</v>
      </c>
      <c r="T70" s="24" t="inlineStr">
        <is>
          <t>cs2-tiered-elo-v5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0.4100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09a1290618ceeeb656e117e9f9dc9002fa1c96576b62b6ccc86887cf39cea65f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09a1290618ceeeb656e117e9f9dc9002fa1c96576b62b6ccc86887cf39cea65f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2026-08-04T02:00:50.331445Z</t>
        </is>
      </c>
      <c r="BI70" s="24" t="inlineStr">
        <is>
          <t>["same_event","same_team_same_day","same_league_same_day"]</t>
        </is>
      </c>
      <c r="BJ70" s="25" t="n"/>
      <c r="BK70" s="26" t="n">
        <v>144</v>
      </c>
      <c r="BL70" s="27" t="n">
        <v>2.44</v>
      </c>
      <c r="BM70" s="28" t="n">
        <v>0.409836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4c303a31b6a242a0</t>
        </is>
      </c>
      <c r="B71" s="24" t="inlineStr">
        <is>
          <t>2026-08-04T02:01:00.694416Z</t>
        </is>
      </c>
      <c r="C71" s="24" t="inlineStr">
        <is>
          <t>2026-08-04T17:00:00Z</t>
        </is>
      </c>
      <c r="D71" s="24" t="inlineStr">
        <is>
          <t>68565</t>
        </is>
      </c>
      <c r="E71" s="24" t="inlineStr">
        <is>
          <t>CS2</t>
        </is>
      </c>
      <c r="F71" s="24" t="inlineStr">
        <is>
          <t>ALKA GAMING</t>
        </is>
      </c>
      <c r="G71" s="24" t="inlineStr">
        <is>
          <t>UNO MILLE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-213</v>
      </c>
      <c r="M71" s="27" t="n">
        <v>1.469484</v>
      </c>
      <c r="N71" s="28" t="n">
        <v>0.680511</v>
      </c>
      <c r="O71" s="28" t="n">
        <v>0.589568</v>
      </c>
      <c r="P71" s="28" t="n"/>
      <c r="Q71" s="28" t="n">
        <v>-0.090943</v>
      </c>
      <c r="R71" s="26" t="n">
        <v>0</v>
      </c>
      <c r="S71" s="29" t="n">
        <v>1.25</v>
      </c>
      <c r="T71" s="24" t="inlineStr">
        <is>
          <t>cs2-tiered-elo-v5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0.6800 (market_slug=aec-cs2-uno-alka-2026-08-04).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ALKA GAMING</t>
        </is>
      </c>
      <c r="AQ71" s="24" t="inlineStr">
        <is>
          <t>ALKA GAMING</t>
        </is>
      </c>
      <c r="AR71" s="24" t="inlineStr">
        <is>
          <t>ALKA GAMING</t>
        </is>
      </c>
      <c r="AS71" s="24" t="inlineStr">
        <is>
          <t>UNO MILLE</t>
        </is>
      </c>
      <c r="AT71" s="24" t="inlineStr">
        <is>
          <t>UNO MILLE</t>
        </is>
      </c>
      <c r="AU71" s="24" t="inlineStr">
        <is>
          <t>UNO MILLE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09a1290618ceeeb656e117e9f9dc9002fa1c96576b62b6ccc86887cf39cea65f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09a1290618ceeeb656e117e9f9dc9002fa1c96576b62b6ccc86887cf39cea65f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2026-08-04T02:00:51.858945Z</t>
        </is>
      </c>
      <c r="BI71" s="24" t="inlineStr">
        <is>
          <t>["same_event","same_team_same_day","same_league_same_day"]</t>
        </is>
      </c>
      <c r="BJ71" s="25" t="n"/>
      <c r="BK71" s="26" t="n">
        <v>-213</v>
      </c>
      <c r="BL71" s="27" t="n">
        <v>1.469484</v>
      </c>
      <c r="BM71" s="28" t="n">
        <v>0.680511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inlineStr">
        <is>
          <t>False</t>
        </is>
      </c>
    </row>
    <row r="72" ht="36" customHeight="1">
      <c r="A72" s="24" t="inlineStr">
        <is>
          <t>4ec801effa1f4e1a</t>
        </is>
      </c>
      <c r="B72" s="24" t="inlineStr">
        <is>
          <t>2026-08-04T02:01:00.694416Z</t>
        </is>
      </c>
      <c r="C72" s="24" t="inlineStr">
        <is>
          <t>2026-08-04T17:00:00Z</t>
        </is>
      </c>
      <c r="D72" s="24" t="inlineStr">
        <is>
          <t>68567</t>
        </is>
      </c>
      <c r="E72" s="24" t="inlineStr">
        <is>
          <t>CS2</t>
        </is>
      </c>
      <c r="F72" s="24" t="inlineStr">
        <is>
          <t>INOX Division</t>
        </is>
      </c>
      <c r="G72" s="24" t="inlineStr">
        <is>
          <t>Eternal Fire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-133</v>
      </c>
      <c r="M72" s="27" t="n">
        <v>1.75188</v>
      </c>
      <c r="N72" s="28" t="n">
        <v>0.570815</v>
      </c>
      <c r="O72" s="28" t="n">
        <v>0.516514</v>
      </c>
      <c r="P72" s="28" t="n"/>
      <c r="Q72" s="28" t="n">
        <v>-0.054301</v>
      </c>
      <c r="R72" s="26" t="n">
        <v>0</v>
      </c>
      <c r="S72" s="29" t="n">
        <v>1</v>
      </c>
      <c r="T72" s="24" t="inlineStr">
        <is>
          <t>cs2-tiered-elo-v5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0.5700 (market_slug=aec-cs2-ef-inox-2026-08-04).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INOX Division</t>
        </is>
      </c>
      <c r="AQ72" s="24" t="inlineStr">
        <is>
          <t>INOX Division</t>
        </is>
      </c>
      <c r="AR72" s="24" t="inlineStr">
        <is>
          <t>INOX Division</t>
        </is>
      </c>
      <c r="AS72" s="24" t="inlineStr">
        <is>
          <t>Eternal Fire</t>
        </is>
      </c>
      <c r="AT72" s="24" t="inlineStr">
        <is>
          <t>Eternal Fire</t>
        </is>
      </c>
      <c r="AU72" s="24" t="inlineStr">
        <is>
          <t>Eternal Fire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09a1290618ceeeb656e117e9f9dc9002fa1c96576b62b6ccc86887cf39cea65f</t>
        </is>
      </c>
      <c r="BB72" s="24" t="inlineStr">
        <is>
          <t>neutral_elo</t>
        </is>
      </c>
      <c r="BC72" s="24" t="inlineStr">
        <is>
          <t>cs2-tiered-elo-v5</t>
        </is>
      </c>
      <c r="BD72" s="24" t="inlineStr">
        <is>
          <t>09a1290618ceeeb656e117e9f9dc9002fa1c96576b62b6ccc86887cf39cea65f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cs2-tiered-elo-v5</t>
        </is>
      </c>
      <c r="BH72" s="24" t="inlineStr">
        <is>
          <t>2026-08-04T02:00:52.328161Z</t>
        </is>
      </c>
      <c r="BI72" s="24" t="inlineStr">
        <is>
          <t>["same_event","same_team_same_day","same_league_same_day"]</t>
        </is>
      </c>
      <c r="BJ72" s="25" t="n"/>
      <c r="BK72" s="26" t="n">
        <v>-133</v>
      </c>
      <c r="BL72" s="27" t="n">
        <v>1.75188</v>
      </c>
      <c r="BM72" s="28" t="n">
        <v>0.570815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inlineStr">
        <is>
          <t>False</t>
        </is>
      </c>
    </row>
    <row r="73" ht="36" customHeight="1">
      <c r="A73" s="24" t="inlineStr">
        <is>
          <t>c08eea9848294cfc</t>
        </is>
      </c>
      <c r="B73" s="24" t="inlineStr">
        <is>
          <t>2026-08-04T02:01:00.694416Z</t>
        </is>
      </c>
      <c r="C73" s="24" t="inlineStr">
        <is>
          <t>2026-08-04T17:00:00Z</t>
        </is>
      </c>
      <c r="D73" s="24" t="inlineStr">
        <is>
          <t>71321</t>
        </is>
      </c>
      <c r="E73" s="24" t="inlineStr">
        <is>
          <t>CS2</t>
        </is>
      </c>
      <c r="F73" s="24" t="inlineStr">
        <is>
          <t>ex-Young Ninjas</t>
        </is>
      </c>
      <c r="G73" s="24" t="inlineStr">
        <is>
          <t>UNiTY esports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-122</v>
      </c>
      <c r="M73" s="27" t="n">
        <v>1.819672</v>
      </c>
      <c r="N73" s="28" t="n">
        <v>0.54955</v>
      </c>
      <c r="O73" s="28" t="n">
        <v>0.500412</v>
      </c>
      <c r="P73" s="28" t="n"/>
      <c r="Q73" s="28" t="n">
        <v>-0.049138</v>
      </c>
      <c r="R73" s="26" t="n">
        <v>0</v>
      </c>
      <c r="S73" s="29" t="n">
        <v>1</v>
      </c>
      <c r="T73" s="24" t="inlineStr">
        <is>
          <t>cs2-tiered-elo-v5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0.5500 (market_slug=aec-cs2-unity-eyn-2026-08-04).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ex-Young Ninjas</t>
        </is>
      </c>
      <c r="AQ73" s="24" t="inlineStr">
        <is>
          <t>ex-Young Ninjas</t>
        </is>
      </c>
      <c r="AR73" s="24" t="inlineStr">
        <is>
          <t>ex-Young Ninjas</t>
        </is>
      </c>
      <c r="AS73" s="24" t="inlineStr">
        <is>
          <t>UNiTY esports</t>
        </is>
      </c>
      <c r="AT73" s="24" t="inlineStr">
        <is>
          <t>UNiTY esports</t>
        </is>
      </c>
      <c r="AU73" s="24" t="inlineStr">
        <is>
          <t>UNiTY esports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09a1290618ceeeb656e117e9f9dc9002fa1c96576b62b6ccc86887cf39cea65f</t>
        </is>
      </c>
      <c r="BB73" s="24" t="inlineStr">
        <is>
          <t>neutral_elo</t>
        </is>
      </c>
      <c r="BC73" s="24" t="inlineStr">
        <is>
          <t>cs2-tiered-elo-v5</t>
        </is>
      </c>
      <c r="BD73" s="24" t="inlineStr">
        <is>
          <t>09a1290618ceeeb656e117e9f9dc9002fa1c96576b62b6ccc86887cf39cea65f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cs2-tiered-elo-v5</t>
        </is>
      </c>
      <c r="BH73" s="24" t="inlineStr">
        <is>
          <t>2026-08-04T02:00:52.848726Z</t>
        </is>
      </c>
      <c r="BI73" s="24" t="inlineStr">
        <is>
          <t>["same_event","same_team_same_day","same_league_same_day"]</t>
        </is>
      </c>
      <c r="BJ73" s="25" t="n"/>
      <c r="BK73" s="26" t="n">
        <v>-122</v>
      </c>
      <c r="BL73" s="27" t="n">
        <v>1.819672</v>
      </c>
      <c r="BM73" s="28" t="n">
        <v>0.54955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False</t>
        </is>
      </c>
    </row>
    <row r="74" ht="36" customHeight="1">
      <c r="A74" s="24" t="inlineStr">
        <is>
          <t>7f6de446b8c64daf</t>
        </is>
      </c>
      <c r="B74" s="24" t="inlineStr">
        <is>
          <t>2026-08-04T02:01:00.694416Z</t>
        </is>
      </c>
      <c r="C74" s="24" t="inlineStr">
        <is>
          <t>2026-08-04T18:30:00Z</t>
        </is>
      </c>
      <c r="D74" s="24" t="inlineStr">
        <is>
          <t>70533</t>
        </is>
      </c>
      <c r="E74" s="24" t="inlineStr">
        <is>
          <t>CS2</t>
        </is>
      </c>
      <c r="F74" s="24" t="inlineStr">
        <is>
          <t>Rush</t>
        </is>
      </c>
      <c r="G74" s="24" t="inlineStr">
        <is>
          <t>Grêmio Esports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-156</v>
      </c>
      <c r="M74" s="27" t="n">
        <v>1.641026</v>
      </c>
      <c r="N74" s="28" t="n">
        <v>0.609375</v>
      </c>
      <c r="O74" s="28" t="n">
        <v>0.509286</v>
      </c>
      <c r="P74" s="28" t="n"/>
      <c r="Q74" s="28" t="n">
        <v>-0.100089</v>
      </c>
      <c r="R74" s="26" t="n">
        <v>0</v>
      </c>
      <c r="S74" s="29" t="n">
        <v>1</v>
      </c>
      <c r="T74" s="24" t="inlineStr">
        <is>
          <t>cs2-tiered-elo-v5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0.6100 (market_slug=aec-cs2-ger-rush-2026-08-04).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Rush</t>
        </is>
      </c>
      <c r="AQ74" s="24" t="inlineStr">
        <is>
          <t>Rush</t>
        </is>
      </c>
      <c r="AR74" s="24" t="inlineStr">
        <is>
          <t>Rush</t>
        </is>
      </c>
      <c r="AS74" s="24" t="inlineStr">
        <is>
          <t>Grêmio Esports</t>
        </is>
      </c>
      <c r="AT74" s="24" t="inlineStr">
        <is>
          <t>Grêmio Esports</t>
        </is>
      </c>
      <c r="AU74" s="24" t="inlineStr">
        <is>
          <t>Grêmio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09a1290618ceeeb656e117e9f9dc9002fa1c96576b62b6ccc86887cf39cea65f</t>
        </is>
      </c>
      <c r="BB74" s="24" t="inlineStr">
        <is>
          <t>neutral_elo</t>
        </is>
      </c>
      <c r="BC74" s="24" t="inlineStr">
        <is>
          <t>cs2-tiered-elo-v5</t>
        </is>
      </c>
      <c r="BD74" s="24" t="inlineStr">
        <is>
          <t>09a1290618ceeeb656e117e9f9dc9002fa1c96576b62b6ccc86887cf39cea65f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cs2-tiered-elo-v5</t>
        </is>
      </c>
      <c r="BH74" s="24" t="inlineStr">
        <is>
          <t>2026-08-04T02:00:53.918772Z</t>
        </is>
      </c>
      <c r="BI74" s="24" t="inlineStr">
        <is>
          <t>["same_event","same_team_same_day","same_league_same_day"]</t>
        </is>
      </c>
      <c r="BJ74" s="25" t="n"/>
      <c r="BK74" s="26" t="n">
        <v>-156</v>
      </c>
      <c r="BL74" s="27" t="n">
        <v>1.641026</v>
      </c>
      <c r="BM74" s="28" t="n">
        <v>0.609375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False</t>
        </is>
      </c>
    </row>
    <row r="75" ht="36" customHeight="1">
      <c r="A75" s="24" t="inlineStr">
        <is>
          <t>e38196d0df884d85</t>
        </is>
      </c>
      <c r="B75" s="24" t="inlineStr">
        <is>
          <t>2026-08-04T02:01:00.694416Z</t>
        </is>
      </c>
      <c r="C75" s="24" t="inlineStr">
        <is>
          <t>2026-08-04T18:30:00Z</t>
        </is>
      </c>
      <c r="D75" s="24" t="inlineStr">
        <is>
          <t>71385</t>
        </is>
      </c>
      <c r="E75" s="24" t="inlineStr">
        <is>
          <t>CS2</t>
        </is>
      </c>
      <c r="F75" s="24" t="inlineStr">
        <is>
          <t>Drama eSports</t>
        </is>
      </c>
      <c r="G75" s="24" t="inlineStr">
        <is>
          <t>KUUSAMO.gg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-104</v>
      </c>
      <c r="M75" s="27" t="n">
        <v>1.961538</v>
      </c>
      <c r="N75" s="28" t="n">
        <v>0.509804</v>
      </c>
      <c r="O75" s="28" t="n">
        <v>0.576412</v>
      </c>
      <c r="P75" s="28" t="n"/>
      <c r="Q75" s="28" t="n">
        <v>0.066608</v>
      </c>
      <c r="R75" s="26" t="n">
        <v>53</v>
      </c>
      <c r="S75" s="29" t="n">
        <v>1.25</v>
      </c>
      <c r="T75" s="24" t="inlineStr">
        <is>
          <t>cs2-tiered-elo-v5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0.5100 (market_slug=aec-cs2-ksm-drama-2026-08-04).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Drama eSports</t>
        </is>
      </c>
      <c r="AQ75" s="24" t="inlineStr">
        <is>
          <t>Drama eSports</t>
        </is>
      </c>
      <c r="AR75" s="24" t="inlineStr">
        <is>
          <t>Drama eSports</t>
        </is>
      </c>
      <c r="AS75" s="24" t="inlineStr">
        <is>
          <t>KUUSAMO.gg</t>
        </is>
      </c>
      <c r="AT75" s="24" t="inlineStr">
        <is>
          <t>KUUSAMO.gg</t>
        </is>
      </c>
      <c r="AU75" s="24" t="inlineStr">
        <is>
          <t>KUUSAMO.gg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09a1290618ceeeb656e117e9f9dc9002fa1c96576b62b6ccc86887cf39cea65f</t>
        </is>
      </c>
      <c r="BB75" s="24" t="inlineStr">
        <is>
          <t>neutral_elo</t>
        </is>
      </c>
      <c r="BC75" s="24" t="inlineStr">
        <is>
          <t>cs2-tiered-elo-v5</t>
        </is>
      </c>
      <c r="BD75" s="24" t="inlineStr">
        <is>
          <t>09a1290618ceeeb656e117e9f9dc9002fa1c96576b62b6ccc86887cf39cea65f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cs2-tiered-elo-v5</t>
        </is>
      </c>
      <c r="BH75" s="24" t="inlineStr">
        <is>
          <t>2026-08-04T02:00:54.911657Z</t>
        </is>
      </c>
      <c r="BI75" s="24" t="inlineStr">
        <is>
          <t>["same_event","same_team_same_day","same_league_same_day"]</t>
        </is>
      </c>
      <c r="BJ75" s="25" t="n"/>
      <c r="BK75" s="26" t="n">
        <v>-104</v>
      </c>
      <c r="BL75" s="27" t="n">
        <v>1.961538</v>
      </c>
      <c r="BM75" s="28" t="n">
        <v>0.509804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True</t>
        </is>
      </c>
    </row>
    <row r="76" ht="36" customHeight="1">
      <c r="A76" s="24" t="inlineStr">
        <is>
          <t>89e248c19cba49bf</t>
        </is>
      </c>
      <c r="B76" s="24" t="inlineStr">
        <is>
          <t>2026-08-04T02:01:00.694416Z</t>
        </is>
      </c>
      <c r="C76" s="24" t="inlineStr">
        <is>
          <t>2026-08-04T18:30:00Z</t>
        </is>
      </c>
      <c r="D76" s="24" t="inlineStr">
        <is>
          <t>71390</t>
        </is>
      </c>
      <c r="E76" s="24" t="inlineStr">
        <is>
          <t>CS2</t>
        </is>
      </c>
      <c r="F76" s="24" t="inlineStr">
        <is>
          <t>Subtop De France</t>
        </is>
      </c>
      <c r="G76" s="24" t="inlineStr">
        <is>
          <t>Glitchtech Esports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-104</v>
      </c>
      <c r="M76" s="27" t="n">
        <v>1.961538</v>
      </c>
      <c r="N76" s="28" t="n">
        <v>0.509804</v>
      </c>
      <c r="O76" s="28" t="n">
        <v>0.598969</v>
      </c>
      <c r="P76" s="28" t="n"/>
      <c r="Q76" s="28" t="n">
        <v>0.08916499999999999</v>
      </c>
      <c r="R76" s="26" t="n">
        <v>65</v>
      </c>
      <c r="S76" s="29" t="n">
        <v>1.25</v>
      </c>
      <c r="T76" s="24" t="inlineStr">
        <is>
          <t>cs2-tiered-elo-v5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0.5100 (market_slug=aec-cs2-gel-sdf-2026-08-04).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Subtop De France</t>
        </is>
      </c>
      <c r="AQ76" s="24" t="inlineStr">
        <is>
          <t>Subtop De France</t>
        </is>
      </c>
      <c r="AR76" s="24" t="inlineStr">
        <is>
          <t>Subtop De France</t>
        </is>
      </c>
      <c r="AS76" s="24" t="inlineStr">
        <is>
          <t>Glitchtech Esports</t>
        </is>
      </c>
      <c r="AT76" s="24" t="inlineStr">
        <is>
          <t>Glitchtech Esports</t>
        </is>
      </c>
      <c r="AU76" s="24" t="inlineStr">
        <is>
          <t>Glitchtech Esports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09a1290618ceeeb656e117e9f9dc9002fa1c96576b62b6ccc86887cf39cea65f</t>
        </is>
      </c>
      <c r="BB76" s="24" t="inlineStr">
        <is>
          <t>neutral_elo</t>
        </is>
      </c>
      <c r="BC76" s="24" t="inlineStr">
        <is>
          <t>cs2-tiered-elo-v5</t>
        </is>
      </c>
      <c r="BD76" s="24" t="inlineStr">
        <is>
          <t>09a1290618ceeeb656e117e9f9dc9002fa1c96576b62b6ccc86887cf39cea65f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cs2-tiered-elo-v5</t>
        </is>
      </c>
      <c r="BH76" s="24" t="inlineStr">
        <is>
          <t>2026-08-04T02:00:57.015430Z</t>
        </is>
      </c>
      <c r="BI76" s="24" t="inlineStr">
        <is>
          <t>["same_event","same_team_same_day","same_league_same_day"]</t>
        </is>
      </c>
      <c r="BJ76" s="25" t="n"/>
      <c r="BK76" s="26" t="n">
        <v>-104</v>
      </c>
      <c r="BL76" s="27" t="n">
        <v>1.961538</v>
      </c>
      <c r="BM76" s="28" t="n">
        <v>0.509804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bbfdec782ec846f5</t>
        </is>
      </c>
      <c r="B77" s="24" t="inlineStr">
        <is>
          <t>2026-08-04T02:01:00.694416Z</t>
        </is>
      </c>
      <c r="C77" s="24" t="inlineStr">
        <is>
          <t>2026-08-04T18:30:00Z</t>
        </is>
      </c>
      <c r="D77" s="24" t="inlineStr">
        <is>
          <t>71388</t>
        </is>
      </c>
      <c r="E77" s="24" t="inlineStr">
        <is>
          <t>CS2</t>
        </is>
      </c>
      <c r="F77" s="24" t="inlineStr">
        <is>
          <t>Fraternity</t>
        </is>
      </c>
      <c r="G77" s="24" t="inlineStr">
        <is>
          <t>PURE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0.556215</v>
      </c>
      <c r="P77" s="28" t="n"/>
      <c r="Q77" s="28" t="n">
        <v>-0.05316</v>
      </c>
      <c r="R77" s="26" t="n">
        <v>0</v>
      </c>
      <c r="S77" s="29" t="n">
        <v>1</v>
      </c>
      <c r="T77" s="24" t="inlineStr">
        <is>
          <t>cs2-tiered-elo-v5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0.6100 (market_slug=aec-cs2-pure-frt-2026-08-04).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Fraternity</t>
        </is>
      </c>
      <c r="AQ77" s="24" t="inlineStr">
        <is>
          <t>Fraternity</t>
        </is>
      </c>
      <c r="AR77" s="24" t="inlineStr">
        <is>
          <t>Fraternity</t>
        </is>
      </c>
      <c r="AS77" s="24" t="inlineStr">
        <is>
          <t>PURE</t>
        </is>
      </c>
      <c r="AT77" s="24" t="inlineStr">
        <is>
          <t>PURE</t>
        </is>
      </c>
      <c r="AU77" s="24" t="inlineStr">
        <is>
          <t>PURE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09a1290618ceeeb656e117e9f9dc9002fa1c96576b62b6ccc86887cf39cea65f</t>
        </is>
      </c>
      <c r="BB77" s="24" t="inlineStr">
        <is>
          <t>neutral_elo</t>
        </is>
      </c>
      <c r="BC77" s="24" t="inlineStr">
        <is>
          <t>cs2-tiered-elo-v5</t>
        </is>
      </c>
      <c r="BD77" s="24" t="inlineStr">
        <is>
          <t>09a1290618ceeeb656e117e9f9dc9002fa1c96576b62b6ccc86887cf39cea65f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cs2-tiered-elo-v5</t>
        </is>
      </c>
      <c r="BH77" s="24" t="inlineStr">
        <is>
          <t>2026-08-04T02:00:58.048624Z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inlineStr">
        <is>
          <t>False</t>
        </is>
      </c>
    </row>
    <row r="78" ht="36" customHeight="1">
      <c r="A78" s="24" t="inlineStr">
        <is>
          <t>c68584aba0394add</t>
        </is>
      </c>
      <c r="B78" s="24" t="inlineStr">
        <is>
          <t>2026-08-04T04:00:12.475882Z</t>
        </is>
      </c>
      <c r="C78" s="24" t="inlineStr">
        <is>
          <t>2026-08-04T18:30:00Z</t>
        </is>
      </c>
      <c r="D78" s="24" t="inlineStr">
        <is>
          <t>71382</t>
        </is>
      </c>
      <c r="E78" s="24" t="inlineStr">
        <is>
          <t>CS2</t>
        </is>
      </c>
      <c r="F78" s="24" t="inlineStr">
        <is>
          <t>JUMBO TEAM</t>
        </is>
      </c>
      <c r="G78" s="24" t="inlineStr">
        <is>
          <t>Benched gods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0.67501</v>
      </c>
      <c r="P78" s="28" t="n"/>
      <c r="Q78" s="28" t="n">
        <v>0.055238</v>
      </c>
      <c r="R78" s="26" t="n">
        <v>48</v>
      </c>
      <c r="S78" s="29" t="n">
        <v>1.75</v>
      </c>
      <c r="T78" s="24" t="inlineStr">
        <is>
          <t>cs2-tiered-elo-v5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0.6200 (market_slug=aec-cs2-bge-jumbo-2026-08-04).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JUMBO TEAM</t>
        </is>
      </c>
      <c r="AQ78" s="24" t="inlineStr">
        <is>
          <t>JUMBO TEAM</t>
        </is>
      </c>
      <c r="AR78" s="24" t="inlineStr">
        <is>
          <t>JUMBO TEAM</t>
        </is>
      </c>
      <c r="AS78" s="24" t="inlineStr">
        <is>
          <t>Benched gods</t>
        </is>
      </c>
      <c r="AT78" s="24" t="inlineStr">
        <is>
          <t>Benched gods</t>
        </is>
      </c>
      <c r="AU78" s="24" t="inlineStr">
        <is>
          <t>Benched gods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15c4c90af7c7e70d96e71add7b9cc8fbed98352fcea88c83a1a27ed966f78c49</t>
        </is>
      </c>
      <c r="BB78" s="24" t="inlineStr">
        <is>
          <t>neutral_elo</t>
        </is>
      </c>
      <c r="BC78" s="24" t="inlineStr">
        <is>
          <t>cs2-tiered-elo-v5</t>
        </is>
      </c>
      <c r="BD78" s="24" t="inlineStr">
        <is>
          <t>15c4c90af7c7e70d96e71add7b9cc8fbed98352fcea88c83a1a27ed966f78c49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cs2-tiered-elo-v5</t>
        </is>
      </c>
      <c r="BH78" s="24" t="inlineStr">
        <is>
          <t>2026-08-04T04:00:07.463015Z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2026-08-04T04:00:14Z</dcterms:created>
  <dcterms:modified xsi:type="dcterms:W3CDTF">2026-08-04T04:00:14Z</dcterms:modified>
</cp:coreProperties>
</file>