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53" headerRowCount="1">
  <autoFilter ref="A1:CP53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COUNTA('Picks'!$A$2:$A$53)</f>
        <v/>
      </c>
      <c r="C4" s="6">
        <f>COUNTIF('Picks'!$U$2:$U$53,"open")</f>
        <v/>
      </c>
      <c r="E4" s="6">
        <f>COUNTIF('Picks'!$U$2:$U$53,"settled")</f>
        <v/>
      </c>
      <c r="G4" s="6">
        <f>IF(COUNTIFS('Picks'!$U$2:$U$53,"settled",'Picks'!$V$2:$V$53,"win")+COUNTIFS('Picks'!$U$2:$U$53,"settled",'Picks'!$V$2:$V$53,"loss")&gt;=$L$2,"Ready","Insufficient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COUNTIF('Picks'!$BX$2:$BX$53,"&gt;0")</f>
        <v/>
      </c>
      <c r="C7" s="6">
        <f>COUNTIFS('Picks'!$BX$2:$BX$53,"&gt;0",'Picks'!$V$2:$V$53,"win")&amp;"-"&amp;COUNTIFS('Picks'!$BX$2:$BX$53,"&gt;0",'Picks'!$V$2:$V$53,"loss")</f>
        <v/>
      </c>
      <c r="E7" s="7">
        <f>IFERROR(COUNTIFS('Picks'!$BX$2:$BX$53,"&gt;0",'Picks'!$V$2:$V$53,"win")/(COUNTIFS('Picks'!$BX$2:$BX$53,"&gt;0",'Picks'!$V$2:$V$53,"win")+COUNTIFS('Picks'!$BX$2:$BX$53,"&gt;0",'Picks'!$V$2:$V$53,"loss")),0)</f>
        <v/>
      </c>
      <c r="G7" s="7">
        <f>IFERROR(SUM('Picks'!$BY$2:$BY$53)/SUM('Picks'!$BX$2:$BX$53),0)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SUM('Picks'!$BY$2:$BY$53)</f>
        <v/>
      </c>
      <c r="C10" s="9">
        <f>IFERROR(AVERAGEIF('Picks'!$AB$2:$AB$53,"&lt;&gt;",'Picks'!$AB$2:$AB$53),0)</f>
        <v/>
      </c>
      <c r="E10" s="6">
        <f>COUNTIFS('Picks'!$AM$2:$AM$53,"QUALIFIED_SHADOW_CALL",'Picks'!$U$2:$U$53,"settled")</f>
        <v/>
      </c>
      <c r="G10" s="8">
        <f>SUMIFS('Picks'!$AC$2:$AC$53,'Picks'!$AM$2:$AM$53,"QUALIFIED_SHADOW_CALL")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COUNTIFS('Picks'!$H$2:$H$53,$A14,'Picks'!$U$2:$U$53,"settled")</f>
        <v/>
      </c>
      <c r="C14" s="13">
        <f>COUNTIFS('Picks'!$H$2:$H$53,$A14,'Picks'!$U$2:$U$53,"settled",'Picks'!$V$2:$V$53,"win")</f>
        <v/>
      </c>
      <c r="D14" s="13">
        <f>COUNTIFS('Picks'!$H$2:$H$53,$A14,'Picks'!$U$2:$U$53,"settled",'Picks'!$V$2:$V$53,"loss")</f>
        <v/>
      </c>
      <c r="E14" s="14">
        <f>IFERROR(C14/(C14+D14),0)</f>
        <v/>
      </c>
      <c r="F14" s="15">
        <f>SUMIFS('Picks'!$BY$2:$BY$53,'Picks'!$H$2:$H$53,$A14)</f>
        <v/>
      </c>
      <c r="G14" s="16">
        <f>IFERROR(AVERAGEIFS('Picks'!$AB$2:$AB$53,'Picks'!$H$2:$H$53,$A14,'Picks'!$U$2:$U$53,"settled"),0)</f>
        <v/>
      </c>
    </row>
    <row r="15">
      <c r="A15" s="17" t="inlineStr">
        <is>
          <t>spread</t>
        </is>
      </c>
      <c r="B15" s="18">
        <f>COUNTIFS('Picks'!$H$2:$H$53,$A15,'Picks'!$U$2:$U$53,"settled")</f>
        <v/>
      </c>
      <c r="C15" s="18">
        <f>COUNTIFS('Picks'!$H$2:$H$53,$A15,'Picks'!$U$2:$U$53,"settled",'Picks'!$V$2:$V$53,"win")</f>
        <v/>
      </c>
      <c r="D15" s="18">
        <f>COUNTIFS('Picks'!$H$2:$H$53,$A15,'Picks'!$U$2:$U$53,"settled",'Picks'!$V$2:$V$53,"loss")</f>
        <v/>
      </c>
      <c r="E15" s="19">
        <f>IFERROR(C15/(C15+D15),0)</f>
        <v/>
      </c>
      <c r="F15" s="20">
        <f>SUMIFS('Picks'!$BY$2:$BY$53,'Picks'!$H$2:$H$53,$A15)</f>
        <v/>
      </c>
      <c r="G15" s="21">
        <f>IFERROR(AVERAGEIFS('Picks'!$AB$2:$AB$53,'Picks'!$H$2:$H$53,$A15,'Picks'!$U$2:$U$53,"settled"),0)</f>
        <v/>
      </c>
    </row>
    <row r="16">
      <c r="A16" s="12" t="inlineStr">
        <is>
          <t>total</t>
        </is>
      </c>
      <c r="B16" s="13">
        <f>COUNTIFS('Picks'!$H$2:$H$53,$A16,'Picks'!$U$2:$U$53,"settled")</f>
        <v/>
      </c>
      <c r="C16" s="13">
        <f>COUNTIFS('Picks'!$H$2:$H$53,$A16,'Picks'!$U$2:$U$53,"settled",'Picks'!$V$2:$V$53,"win")</f>
        <v/>
      </c>
      <c r="D16" s="13">
        <f>COUNTIFS('Picks'!$H$2:$H$53,$A16,'Picks'!$U$2:$U$53,"settled",'Picks'!$V$2:$V$53,"loss")</f>
        <v/>
      </c>
      <c r="E16" s="14">
        <f>IFERROR(C16/(C16+D16),0)</f>
        <v/>
      </c>
      <c r="F16" s="15">
        <f>SUMIFS('Picks'!$BY$2:$BY$53,'Picks'!$H$2:$H$53,$A16)</f>
        <v/>
      </c>
      <c r="G16" s="16">
        <f>IFERROR(AVERAGEIFS('Picks'!$AB$2:$AB$53,'Picks'!$H$2:$H$53,$A16,'Picks'!$U$2:$U$53,"settled"),0)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ff4c023688d14058</t>
        </is>
      </c>
      <c r="B38" s="24" t="inlineStr">
        <is>
          <t>2026-08-02T15:51:41.323824Z</t>
        </is>
      </c>
      <c r="C38" s="24" t="inlineStr">
        <is>
          <t>2026-08-02T17:00:00Z</t>
        </is>
      </c>
      <c r="D38" s="24" t="inlineStr">
        <is>
          <t>69680</t>
        </is>
      </c>
      <c r="E38" s="24" t="inlineStr">
        <is>
          <t>CS2</t>
        </is>
      </c>
      <c r="F38" s="24" t="inlineStr">
        <is>
          <t>los kogutos</t>
        </is>
      </c>
      <c r="G38" s="24" t="inlineStr">
        <is>
          <t>Fortress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0.653037</v>
      </c>
      <c r="P38" s="28" t="n"/>
      <c r="Q38" s="28" t="n">
        <v>0.043662</v>
      </c>
      <c r="R38" s="26" t="n">
        <v>42</v>
      </c>
      <c r="S38" s="29" t="n">
        <v>1.75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0.6100 (market_slug=aec-cs2-for-lk-2026-08-02).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los kogutos</t>
        </is>
      </c>
      <c r="AQ38" s="24" t="inlineStr">
        <is>
          <t>los kogutos</t>
        </is>
      </c>
      <c r="AR38" s="24" t="inlineStr">
        <is>
          <t>los kogutos</t>
        </is>
      </c>
      <c r="AS38" s="24" t="inlineStr">
        <is>
          <t>Fortress</t>
        </is>
      </c>
      <c r="AT38" s="24" t="inlineStr">
        <is>
          <t>Fortress</t>
        </is>
      </c>
      <c r="AU38" s="24" t="inlineStr">
        <is>
          <t>Fortress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fd9cf8a872a6fb2106f2c32f1ebfcd0ded61283a97c1b08ceb3f2a98e39fcf6d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fd9cf8a872a6fb2106f2c32f1ebfcd0ded61283a97c1b08ceb3f2a98e39fcf6d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2026-08-02T15:51:25.435587Z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inlineStr">
        <is>
          <t>True</t>
        </is>
      </c>
    </row>
    <row r="39" ht="36" customHeight="1">
      <c r="A39" s="24" t="inlineStr">
        <is>
          <t>add1d14a4c2b420d</t>
        </is>
      </c>
      <c r="B39" s="24" t="inlineStr">
        <is>
          <t>2026-08-02T15:51:41.323824Z</t>
        </is>
      </c>
      <c r="C39" s="24" t="inlineStr">
        <is>
          <t>2026-08-02T17:00:00Z</t>
        </is>
      </c>
      <c r="D39" s="24" t="inlineStr">
        <is>
          <t>69681</t>
        </is>
      </c>
      <c r="E39" s="24" t="inlineStr">
        <is>
          <t>CS2</t>
        </is>
      </c>
      <c r="F39" s="24" t="inlineStr">
        <is>
          <t>BASEMENT BOYS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0.616374</v>
      </c>
      <c r="P39" s="28" t="n"/>
      <c r="Q39" s="28" t="n">
        <v>-0.053593</v>
      </c>
      <c r="R39" s="26" t="n">
        <v>0</v>
      </c>
      <c r="S39" s="29" t="n">
        <v>1.5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0.6700 (market_slug=aec-cs2-mta-bmb-2026-08-02).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BASEMENT BOYS</t>
        </is>
      </c>
      <c r="AQ39" s="24" t="inlineStr">
        <is>
          <t>BASEMENT BOYS</t>
        </is>
      </c>
      <c r="AR39" s="24" t="inlineStr">
        <is>
          <t>BASEMENT BOYS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fd9cf8a872a6fb2106f2c32f1ebfcd0ded61283a97c1b08ceb3f2a98e39fcf6d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fd9cf8a872a6fb2106f2c32f1ebfcd0ded61283a97c1b08ceb3f2a98e39fcf6d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2026-08-02T15:51:25.920075Z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inlineStr">
        <is>
          <t>False</t>
        </is>
      </c>
    </row>
    <row r="40" ht="36" customHeight="1">
      <c r="A40" s="24" t="inlineStr">
        <is>
          <t>a975d9cc6cd1438a</t>
        </is>
      </c>
      <c r="B40" s="24" t="inlineStr">
        <is>
          <t>2026-08-02T15:51:41.323824Z</t>
        </is>
      </c>
      <c r="C40" s="24" t="inlineStr">
        <is>
          <t>2026-08-02T17:00:00Z</t>
        </is>
      </c>
      <c r="D40" s="24" t="inlineStr">
        <is>
          <t>69682</t>
        </is>
      </c>
      <c r="E40" s="24" t="inlineStr">
        <is>
          <t>CS2</t>
        </is>
      </c>
      <c r="F40" s="24" t="inlineStr">
        <is>
          <t>Fire Flux Esports</t>
        </is>
      </c>
      <c r="G40" s="24" t="inlineStr">
        <is>
          <t>Bushido Wildcats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-170</v>
      </c>
      <c r="M40" s="27" t="n">
        <v>1.588235</v>
      </c>
      <c r="N40" s="28" t="n">
        <v>0.62963</v>
      </c>
      <c r="O40" s="28" t="n">
        <v>0.684497</v>
      </c>
      <c r="P40" s="28" t="n"/>
      <c r="Q40" s="28" t="n">
        <v>0.054867</v>
      </c>
      <c r="R40" s="26" t="n">
        <v>47</v>
      </c>
      <c r="S40" s="29" t="n">
        <v>2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0.6300 (market_slug=aec-cs2-bw-ff-2026-08-02).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Fire Flux Esports</t>
        </is>
      </c>
      <c r="AQ40" s="24" t="inlineStr">
        <is>
          <t>Fire Flux Esports</t>
        </is>
      </c>
      <c r="AR40" s="24" t="inlineStr">
        <is>
          <t>Fire Flux Esports</t>
        </is>
      </c>
      <c r="AS40" s="24" t="inlineStr">
        <is>
          <t>Bushido Wildcats</t>
        </is>
      </c>
      <c r="AT40" s="24" t="inlineStr">
        <is>
          <t>Bushido Wildcats</t>
        </is>
      </c>
      <c r="AU40" s="24" t="inlineStr">
        <is>
          <t>Bushido Wildcats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fd9cf8a872a6fb2106f2c32f1ebfcd0ded61283a97c1b08ceb3f2a98e39fcf6d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fd9cf8a872a6fb2106f2c32f1ebfcd0ded61283a97c1b08ceb3f2a98e39fcf6d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2026-08-02T15:51:26.448910Z</t>
        </is>
      </c>
      <c r="BI40" s="24" t="inlineStr">
        <is>
          <t>["same_event","same_team_same_day","same_league_same_day"]</t>
        </is>
      </c>
      <c r="BJ40" s="25" t="n"/>
      <c r="BK40" s="26" t="n">
        <v>-170</v>
      </c>
      <c r="BL40" s="27" t="n">
        <v>1.588235</v>
      </c>
      <c r="BM40" s="28" t="n">
        <v>0.62963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inlineStr">
        <is>
          <t>True</t>
        </is>
      </c>
    </row>
    <row r="41" ht="36" customHeight="1">
      <c r="A41" s="24" t="inlineStr">
        <is>
          <t>b1eff2d834ee4531</t>
        </is>
      </c>
      <c r="B41" s="24" t="inlineStr">
        <is>
          <t>2026-08-02T15:51:41.323824Z</t>
        </is>
      </c>
      <c r="C41" s="24" t="inlineStr">
        <is>
          <t>2026-08-02T18:00:00Z</t>
        </is>
      </c>
      <c r="D41" s="24" t="inlineStr">
        <is>
          <t>69289</t>
        </is>
      </c>
      <c r="E41" s="24" t="inlineStr">
        <is>
          <t>CS2</t>
        </is>
      </c>
      <c r="F41" s="24" t="inlineStr">
        <is>
          <t>BESTIA</t>
        </is>
      </c>
      <c r="G41" s="24" t="inlineStr">
        <is>
          <t>ShindeN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138</v>
      </c>
      <c r="M41" s="27" t="n">
        <v>2.38</v>
      </c>
      <c r="N41" s="28" t="n">
        <v>0.420168</v>
      </c>
      <c r="O41" s="28" t="n">
        <v>0.51088</v>
      </c>
      <c r="P41" s="28" t="n"/>
      <c r="Q41" s="28" t="n">
        <v>0.090712</v>
      </c>
      <c r="R41" s="26" t="n">
        <v>65</v>
      </c>
      <c r="S41" s="29" t="n">
        <v>1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0.4200 (market_slug=aec-cs2-shin-bst-2026-08-02).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BESTIA</t>
        </is>
      </c>
      <c r="AQ41" s="24" t="inlineStr">
        <is>
          <t>BESTIA</t>
        </is>
      </c>
      <c r="AR41" s="24" t="inlineStr">
        <is>
          <t>BESTIA</t>
        </is>
      </c>
      <c r="AS41" s="24" t="inlineStr">
        <is>
          <t>ShindeN</t>
        </is>
      </c>
      <c r="AT41" s="24" t="inlineStr">
        <is>
          <t>ShindeN</t>
        </is>
      </c>
      <c r="AU41" s="24" t="inlineStr">
        <is>
          <t>ShindeN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fd9cf8a872a6fb2106f2c32f1ebfcd0ded61283a97c1b08ceb3f2a98e39fcf6d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fd9cf8a872a6fb2106f2c32f1ebfcd0ded61283a97c1b08ceb3f2a98e39fcf6d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2026-08-02T15:51:27.457693Z</t>
        </is>
      </c>
      <c r="BI41" s="24" t="inlineStr">
        <is>
          <t>["same_event","same_team_same_day","same_league_same_day"]</t>
        </is>
      </c>
      <c r="BJ41" s="25" t="n"/>
      <c r="BK41" s="26" t="n">
        <v>138</v>
      </c>
      <c r="BL41" s="27" t="n">
        <v>2.38</v>
      </c>
      <c r="BM41" s="28" t="n">
        <v>0.420168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inlineStr">
        <is>
          <t>True</t>
        </is>
      </c>
    </row>
    <row r="42" ht="36" customHeight="1">
      <c r="A42" s="24" t="inlineStr">
        <is>
          <t>4cc088e9a58a432c</t>
        </is>
      </c>
      <c r="B42" s="24" t="inlineStr">
        <is>
          <t>2026-08-02T15:51:41.323824Z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0.579723</v>
      </c>
      <c r="P42" s="28" t="n"/>
      <c r="Q42" s="28" t="n">
        <v>0.139194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fd9cf8a872a6fb2106f2c32f1ebfcd0ded61283a97c1b08ceb3f2a98e39fcf6d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fd9cf8a872a6fb2106f2c32f1ebfcd0ded61283a97c1b08ceb3f2a98e39fcf6d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2026-08-02T15:51:27.987395Z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inlineStr">
        <is>
          <t>True</t>
        </is>
      </c>
    </row>
    <row r="43" ht="36" customHeight="1">
      <c r="A43" s="24" t="inlineStr">
        <is>
          <t>dcd060b9a66d4474</t>
        </is>
      </c>
      <c r="B43" s="24" t="inlineStr">
        <is>
          <t>2026-08-02T15:51:41.323824Z</t>
        </is>
      </c>
      <c r="C43" s="24" t="inlineStr">
        <is>
          <t>2026-08-02T19:15:00Z</t>
        </is>
      </c>
      <c r="D43" s="24" t="inlineStr">
        <is>
          <t>67577</t>
        </is>
      </c>
      <c r="E43" s="24" t="inlineStr">
        <is>
          <t>CS2</t>
        </is>
      </c>
      <c r="F43" s="24" t="inlineStr">
        <is>
          <t>SNAILKICK Club</t>
        </is>
      </c>
      <c r="G43" s="24" t="inlineStr">
        <is>
          <t>Lixxx Club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-156</v>
      </c>
      <c r="M43" s="27" t="n">
        <v>1.641026</v>
      </c>
      <c r="N43" s="28" t="n">
        <v>0.609375</v>
      </c>
      <c r="O43" s="28" t="n">
        <v>0.5270280000000001</v>
      </c>
      <c r="P43" s="28" t="n"/>
      <c r="Q43" s="28" t="n">
        <v>-0.082347</v>
      </c>
      <c r="R43" s="26" t="n">
        <v>0</v>
      </c>
      <c r="S43" s="29" t="n">
        <v>1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0.6100 (market_slug=aec-cs2-lci-scn-2026-08-02).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SNAILKICK Club</t>
        </is>
      </c>
      <c r="AQ43" s="24" t="inlineStr">
        <is>
          <t>SNAILKICK Club</t>
        </is>
      </c>
      <c r="AR43" s="24" t="inlineStr">
        <is>
          <t>SNAILKICK Club</t>
        </is>
      </c>
      <c r="AS43" s="24" t="inlineStr">
        <is>
          <t>Lixxx Club</t>
        </is>
      </c>
      <c r="AT43" s="24" t="inlineStr">
        <is>
          <t>Lixxx Club</t>
        </is>
      </c>
      <c r="AU43" s="24" t="inlineStr">
        <is>
          <t>Lixxx Club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fd9cf8a872a6fb2106f2c32f1ebfcd0ded61283a97c1b08ceb3f2a98e39fcf6d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fd9cf8a872a6fb2106f2c32f1ebfcd0ded61283a97c1b08ceb3f2a98e39fcf6d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2026-08-02T15:51:28.508356Z</t>
        </is>
      </c>
      <c r="BI43" s="24" t="inlineStr">
        <is>
          <t>["same_event","same_team_same_day","same_league_same_day"]</t>
        </is>
      </c>
      <c r="BJ43" s="25" t="n"/>
      <c r="BK43" s="26" t="n">
        <v>-156</v>
      </c>
      <c r="BL43" s="27" t="n">
        <v>1.641026</v>
      </c>
      <c r="BM43" s="28" t="n">
        <v>0.609375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inlineStr">
        <is>
          <t>False</t>
        </is>
      </c>
    </row>
    <row r="44" ht="36" customHeight="1">
      <c r="A44" s="24" t="inlineStr">
        <is>
          <t>8b565a880bc641fd</t>
        </is>
      </c>
      <c r="B44" s="24" t="inlineStr">
        <is>
          <t>2026-08-02T15:51:41.323824Z</t>
        </is>
      </c>
      <c r="C44" s="24" t="inlineStr">
        <is>
          <t>2026-08-03T08:00:00Z</t>
        </is>
      </c>
      <c r="D44" s="24" t="inlineStr">
        <is>
          <t>68288</t>
        </is>
      </c>
      <c r="E44" s="24" t="inlineStr">
        <is>
          <t>CS2</t>
        </is>
      </c>
      <c r="F44" s="24" t="inlineStr">
        <is>
          <t>CYBERSHOKE Prospects</t>
        </is>
      </c>
      <c r="G44" s="24" t="inlineStr">
        <is>
          <t>WW Team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156</v>
      </c>
      <c r="M44" s="27" t="n">
        <v>2.56</v>
      </c>
      <c r="N44" s="28" t="n">
        <v>0.390625</v>
      </c>
      <c r="O44" s="28" t="n">
        <v>0.704469</v>
      </c>
      <c r="P44" s="28" t="n"/>
      <c r="Q44" s="28" t="n">
        <v>0.313844</v>
      </c>
      <c r="R44" s="26" t="n">
        <v>100</v>
      </c>
      <c r="S44" s="29" t="n">
        <v>2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0.3900 (market_slug=aec-cs2-ww-cshp-2026-08-03).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CYBERSHOKE Prospects</t>
        </is>
      </c>
      <c r="AQ44" s="24" t="inlineStr">
        <is>
          <t>CYBERSHOKE Prospects</t>
        </is>
      </c>
      <c r="AR44" s="24" t="inlineStr">
        <is>
          <t>CYBERSHOKE Prospects</t>
        </is>
      </c>
      <c r="AS44" s="24" t="inlineStr">
        <is>
          <t>WW Team</t>
        </is>
      </c>
      <c r="AT44" s="24" t="inlineStr">
        <is>
          <t>WW Team</t>
        </is>
      </c>
      <c r="AU44" s="24" t="inlineStr">
        <is>
          <t>WW Team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fd9cf8a872a6fb2106f2c32f1ebfcd0ded61283a97c1b08ceb3f2a98e39fcf6d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fd9cf8a872a6fb2106f2c32f1ebfcd0ded61283a97c1b08ceb3f2a98e39fcf6d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2026-08-02T15:51:29.628121Z</t>
        </is>
      </c>
      <c r="BI44" s="24" t="inlineStr">
        <is>
          <t>["same_event","same_team_same_day","same_league_same_day"]</t>
        </is>
      </c>
      <c r="BJ44" s="25" t="n"/>
      <c r="BK44" s="26" t="n">
        <v>156</v>
      </c>
      <c r="BL44" s="27" t="n">
        <v>2.56</v>
      </c>
      <c r="BM44" s="28" t="n">
        <v>0.390625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inlineStr">
        <is>
          <t>True</t>
        </is>
      </c>
    </row>
    <row r="45" ht="36" customHeight="1">
      <c r="A45" s="24" t="inlineStr">
        <is>
          <t>29fd0577e0e047f2</t>
        </is>
      </c>
      <c r="B45" s="24" t="inlineStr">
        <is>
          <t>2026-08-02T15:51:41.323824Z</t>
        </is>
      </c>
      <c r="C45" s="24" t="inlineStr">
        <is>
          <t>2026-08-03T10:00:00Z</t>
        </is>
      </c>
      <c r="D45" s="24" t="inlineStr">
        <is>
          <t>67510</t>
        </is>
      </c>
      <c r="E45" s="24" t="inlineStr">
        <is>
          <t>CS2</t>
        </is>
      </c>
      <c r="F45" s="24" t="inlineStr">
        <is>
          <t>Johnny Speeds</t>
        </is>
      </c>
      <c r="G45" s="24" t="inlineStr">
        <is>
          <t>Metizport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0.56316</v>
      </c>
      <c r="P45" s="28" t="n"/>
      <c r="Q45" s="28" t="n">
        <v>-0.127242</v>
      </c>
      <c r="R45" s="26" t="n">
        <v>0</v>
      </c>
      <c r="S45" s="29" t="n">
        <v>1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0.6900 (market_slug=aec-cs2-mzp-js-2026-08-03).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Johnny Speeds</t>
        </is>
      </c>
      <c r="AQ45" s="24" t="inlineStr">
        <is>
          <t>Johnny Speeds</t>
        </is>
      </c>
      <c r="AR45" s="24" t="inlineStr">
        <is>
          <t>Johnny Speeds</t>
        </is>
      </c>
      <c r="AS45" s="24" t="inlineStr">
        <is>
          <t>Metizport</t>
        </is>
      </c>
      <c r="AT45" s="24" t="inlineStr">
        <is>
          <t>Metizport</t>
        </is>
      </c>
      <c r="AU45" s="24" t="inlineStr">
        <is>
          <t>Metizport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fd9cf8a872a6fb2106f2c32f1ebfcd0ded61283a97c1b08ceb3f2a98e39fcf6d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fd9cf8a872a6fb2106f2c32f1ebfcd0ded61283a97c1b08ceb3f2a98e39fcf6d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2026-08-02T15:51:31.160500Z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inlineStr">
        <is>
          <t>False</t>
        </is>
      </c>
    </row>
    <row r="46" ht="36" customHeight="1">
      <c r="A46" s="24" t="inlineStr">
        <is>
          <t>0cc692592b584103</t>
        </is>
      </c>
      <c r="B46" s="24" t="inlineStr">
        <is>
          <t>2026-08-02T15:51:41.323824Z</t>
        </is>
      </c>
      <c r="C46" s="24" t="inlineStr">
        <is>
          <t>2026-08-03T10:00:00Z</t>
        </is>
      </c>
      <c r="D46" s="24" t="inlineStr">
        <is>
          <t>68289</t>
        </is>
      </c>
      <c r="E46" s="24" t="inlineStr">
        <is>
          <t>CS2</t>
        </is>
      </c>
      <c r="F46" s="24" t="inlineStr">
        <is>
          <t>FURY</t>
        </is>
      </c>
      <c r="G46" s="24" t="inlineStr">
        <is>
          <t>Mindfreak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-138</v>
      </c>
      <c r="M46" s="27" t="n">
        <v>1.724638</v>
      </c>
      <c r="N46" s="28" t="n">
        <v>0.579832</v>
      </c>
      <c r="O46" s="28" t="n">
        <v>0.599394</v>
      </c>
      <c r="P46" s="28" t="n"/>
      <c r="Q46" s="28" t="n">
        <v>0.019562</v>
      </c>
      <c r="R46" s="26" t="n">
        <v>30</v>
      </c>
      <c r="S46" s="29" t="n">
        <v>1.25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0.5800 (market_slug=aec-cs2-mf-fury-2026-08-03).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FURY</t>
        </is>
      </c>
      <c r="AQ46" s="24" t="inlineStr">
        <is>
          <t>FURY</t>
        </is>
      </c>
      <c r="AR46" s="24" t="inlineStr">
        <is>
          <t>FURY</t>
        </is>
      </c>
      <c r="AS46" s="24" t="inlineStr">
        <is>
          <t>Mindfreak</t>
        </is>
      </c>
      <c r="AT46" s="24" t="inlineStr">
        <is>
          <t>Mindfreak</t>
        </is>
      </c>
      <c r="AU46" s="24" t="inlineStr">
        <is>
          <t>Mindfreak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fd9cf8a872a6fb2106f2c32f1ebfcd0ded61283a97c1b08ceb3f2a98e39fcf6d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fd9cf8a872a6fb2106f2c32f1ebfcd0ded61283a97c1b08ceb3f2a98e39fcf6d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2026-08-02T15:51:31.676274Z</t>
        </is>
      </c>
      <c r="BI46" s="24" t="inlineStr">
        <is>
          <t>["same_event","same_team_same_day","same_league_same_day"]</t>
        </is>
      </c>
      <c r="BJ46" s="25" t="n"/>
      <c r="BK46" s="26" t="n">
        <v>-138</v>
      </c>
      <c r="BL46" s="27" t="n">
        <v>1.724638</v>
      </c>
      <c r="BM46" s="28" t="n">
        <v>0.579832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inlineStr">
        <is>
          <t>True</t>
        </is>
      </c>
    </row>
    <row r="47" ht="36" customHeight="1">
      <c r="A47" s="24" t="inlineStr">
        <is>
          <t>b4129a3a513c483d</t>
        </is>
      </c>
      <c r="B47" s="24" t="inlineStr">
        <is>
          <t>2026-08-02T15:51:41.323824Z</t>
        </is>
      </c>
      <c r="C47" s="24" t="inlineStr">
        <is>
          <t>2026-08-03T11:00:00Z</t>
        </is>
      </c>
      <c r="D47" s="24" t="inlineStr">
        <is>
          <t>69267</t>
        </is>
      </c>
      <c r="E47" s="24" t="inlineStr">
        <is>
          <t>CS2</t>
        </is>
      </c>
      <c r="F47" s="24" t="inlineStr">
        <is>
          <t>los kogutos</t>
        </is>
      </c>
      <c r="G47" s="24" t="inlineStr">
        <is>
          <t>Just Players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-213</v>
      </c>
      <c r="M47" s="27" t="n">
        <v>1.469484</v>
      </c>
      <c r="N47" s="28" t="n">
        <v>0.680511</v>
      </c>
      <c r="O47" s="28" t="n">
        <v>0.62913</v>
      </c>
      <c r="P47" s="28" t="n"/>
      <c r="Q47" s="28" t="n">
        <v>-0.051381</v>
      </c>
      <c r="R47" s="26" t="n">
        <v>0</v>
      </c>
      <c r="S47" s="29" t="n">
        <v>1.5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0.6800 (market_slug=aec-cs2-jpu-lk-2026-08-03).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los kogutos</t>
        </is>
      </c>
      <c r="AQ47" s="24" t="inlineStr">
        <is>
          <t>los kogutos</t>
        </is>
      </c>
      <c r="AR47" s="24" t="inlineStr">
        <is>
          <t>los kogutos</t>
        </is>
      </c>
      <c r="AS47" s="24" t="inlineStr">
        <is>
          <t>Just Players</t>
        </is>
      </c>
      <c r="AT47" s="24" t="inlineStr">
        <is>
          <t>Just Players</t>
        </is>
      </c>
      <c r="AU47" s="24" t="inlineStr">
        <is>
          <t>Just Players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fd9cf8a872a6fb2106f2c32f1ebfcd0ded61283a97c1b08ceb3f2a98e39fcf6d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fd9cf8a872a6fb2106f2c32f1ebfcd0ded61283a97c1b08ceb3f2a98e39fcf6d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2026-08-02T15:51:34.287196Z</t>
        </is>
      </c>
      <c r="BI47" s="24" t="inlineStr">
        <is>
          <t>["same_event","same_team_same_day","same_league_same_day"]</t>
        </is>
      </c>
      <c r="BJ47" s="25" t="n"/>
      <c r="BK47" s="26" t="n">
        <v>-213</v>
      </c>
      <c r="BL47" s="27" t="n">
        <v>1.469484</v>
      </c>
      <c r="BM47" s="28" t="n">
        <v>0.680511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inlineStr">
        <is>
          <t>False</t>
        </is>
      </c>
    </row>
    <row r="48" ht="36" customHeight="1">
      <c r="A48" s="24" t="inlineStr">
        <is>
          <t>28dc3f7209da4b8c</t>
        </is>
      </c>
      <c r="B48" s="24" t="inlineStr">
        <is>
          <t>2026-08-02T15:51:41.323824Z</t>
        </is>
      </c>
      <c r="C48" s="24" t="inlineStr">
        <is>
          <t>2026-08-03T11:00:00Z</t>
        </is>
      </c>
      <c r="D48" s="24" t="inlineStr">
        <is>
          <t>69135</t>
        </is>
      </c>
      <c r="E48" s="24" t="inlineStr">
        <is>
          <t>CS2</t>
        </is>
      </c>
      <c r="F48" s="24" t="inlineStr">
        <is>
          <t>ex-RUBY</t>
        </is>
      </c>
      <c r="G48" s="24" t="inlineStr">
        <is>
          <t>1WIN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-163</v>
      </c>
      <c r="M48" s="27" t="n">
        <v>1.613497</v>
      </c>
      <c r="N48" s="28" t="n">
        <v>0.619772</v>
      </c>
      <c r="O48" s="28" t="n">
        <v>0.527344</v>
      </c>
      <c r="P48" s="28" t="n"/>
      <c r="Q48" s="28" t="n">
        <v>-0.092428</v>
      </c>
      <c r="R48" s="26" t="n">
        <v>0</v>
      </c>
      <c r="S48" s="29" t="n">
        <v>1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0.6200 (market_slug=aec-cs2-1win-exruby-2026-08-03).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ex-RUBY</t>
        </is>
      </c>
      <c r="AQ48" s="24" t="inlineStr">
        <is>
          <t>ex-RUBY</t>
        </is>
      </c>
      <c r="AR48" s="24" t="inlineStr">
        <is>
          <t>ex-RUBY</t>
        </is>
      </c>
      <c r="AS48" s="24" t="inlineStr">
        <is>
          <t>1WIN</t>
        </is>
      </c>
      <c r="AT48" s="24" t="inlineStr">
        <is>
          <t>1WIN</t>
        </is>
      </c>
      <c r="AU48" s="24" t="inlineStr">
        <is>
          <t>1WIN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fd9cf8a872a6fb2106f2c32f1ebfcd0ded61283a97c1b08ceb3f2a98e39fcf6d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fd9cf8a872a6fb2106f2c32f1ebfcd0ded61283a97c1b08ceb3f2a98e39fcf6d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2026-08-02T15:51:34.811836Z</t>
        </is>
      </c>
      <c r="BI48" s="24" t="inlineStr">
        <is>
          <t>["same_event","same_team_same_day","same_league_same_day"]</t>
        </is>
      </c>
      <c r="BJ48" s="25" t="n"/>
      <c r="BK48" s="26" t="n">
        <v>-163</v>
      </c>
      <c r="BL48" s="27" t="n">
        <v>1.613497</v>
      </c>
      <c r="BM48" s="28" t="n">
        <v>0.619772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inlineStr">
        <is>
          <t>False</t>
        </is>
      </c>
    </row>
    <row r="49" ht="36" customHeight="1">
      <c r="A49" s="24" t="inlineStr">
        <is>
          <t>e4e741f10bd84db0</t>
        </is>
      </c>
      <c r="B49" s="24" t="inlineStr">
        <is>
          <t>2026-08-02T15:51:41.323824Z</t>
        </is>
      </c>
      <c r="C49" s="24" t="inlineStr">
        <is>
          <t>2026-08-03T11:00:00Z</t>
        </is>
      </c>
      <c r="D49" s="24" t="inlineStr">
        <is>
          <t>67578</t>
        </is>
      </c>
      <c r="E49" s="24" t="inlineStr">
        <is>
          <t>CS2</t>
        </is>
      </c>
      <c r="F49" s="24" t="inlineStr">
        <is>
          <t>Perfecto Club</t>
        </is>
      </c>
      <c r="G49" s="24" t="inlineStr">
        <is>
          <t>Recrent Club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0.5270280000000001</v>
      </c>
      <c r="P49" s="28" t="n"/>
      <c r="Q49" s="28" t="n">
        <v>-0.072972</v>
      </c>
      <c r="R49" s="26" t="n">
        <v>0</v>
      </c>
      <c r="S49" s="29" t="n">
        <v>1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0.6000 (market_slug=aec-cs2-rce-pce-2026-08-03).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Perfecto Club</t>
        </is>
      </c>
      <c r="AQ49" s="24" t="inlineStr">
        <is>
          <t>Perfecto Club</t>
        </is>
      </c>
      <c r="AR49" s="24" t="inlineStr">
        <is>
          <t>Perfecto Club</t>
        </is>
      </c>
      <c r="AS49" s="24" t="inlineStr">
        <is>
          <t>Recrent Club</t>
        </is>
      </c>
      <c r="AT49" s="24" t="inlineStr">
        <is>
          <t>Recrent Club</t>
        </is>
      </c>
      <c r="AU49" s="24" t="inlineStr">
        <is>
          <t>Recrent Club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fd9cf8a872a6fb2106f2c32f1ebfcd0ded61283a97c1b08ceb3f2a98e39fcf6d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fd9cf8a872a6fb2106f2c32f1ebfcd0ded61283a97c1b08ceb3f2a98e39fcf6d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2026-08-02T15:51:35.357223Z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inlineStr">
        <is>
          <t>False</t>
        </is>
      </c>
    </row>
    <row r="50" ht="36" customHeight="1">
      <c r="A50" s="24" t="inlineStr">
        <is>
          <t>f4969aeb2da94d49</t>
        </is>
      </c>
      <c r="B50" s="24" t="inlineStr">
        <is>
          <t>2026-08-02T15:51:41.323824Z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0.526276</v>
      </c>
      <c r="P50" s="28" t="n"/>
      <c r="Q50" s="28" t="n">
        <v>0.18614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fd9cf8a872a6fb2106f2c32f1ebfcd0ded61283a97c1b08ceb3f2a98e39fcf6d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fd9cf8a872a6fb2106f2c32f1ebfcd0ded61283a97c1b08ceb3f2a98e39fcf6d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2026-08-02T15:51:35.908816Z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inlineStr">
        <is>
          <t>True</t>
        </is>
      </c>
    </row>
    <row r="51" ht="36" customHeight="1">
      <c r="A51" s="24" t="inlineStr">
        <is>
          <t>1cffdca8c7bc4808</t>
        </is>
      </c>
      <c r="B51" s="24" t="inlineStr">
        <is>
          <t>2026-08-02T15:51:41.323824Z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-186</v>
      </c>
      <c r="M51" s="27" t="n">
        <v>1.537634</v>
      </c>
      <c r="N51" s="28" t="n">
        <v>0.65035</v>
      </c>
      <c r="O51" s="28" t="n">
        <v>0.614071</v>
      </c>
      <c r="P51" s="28" t="n"/>
      <c r="Q51" s="28" t="n">
        <v>-0.036279</v>
      </c>
      <c r="R51" s="26" t="n">
        <v>2</v>
      </c>
      <c r="S51" s="29" t="n">
        <v>1.5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0.6500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fd9cf8a872a6fb2106f2c32f1ebfcd0ded61283a97c1b08ceb3f2a98e39fcf6d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fd9cf8a872a6fb2106f2c32f1ebfcd0ded61283a97c1b08ceb3f2a98e39fcf6d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2026-08-02T15:51:36.873973Z</t>
        </is>
      </c>
      <c r="BI51" s="24" t="inlineStr">
        <is>
          <t>["same_event","same_team_same_day","same_league_same_day"]</t>
        </is>
      </c>
      <c r="BJ51" s="25" t="n"/>
      <c r="BK51" s="26" t="n">
        <v>-186</v>
      </c>
      <c r="BL51" s="27" t="n">
        <v>1.537634</v>
      </c>
      <c r="BM51" s="28" t="n">
        <v>0.65035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inlineStr">
        <is>
          <t>False</t>
        </is>
      </c>
    </row>
    <row r="52" ht="36" customHeight="1">
      <c r="A52" s="24" t="inlineStr">
        <is>
          <t>9369df9452e344ef</t>
        </is>
      </c>
      <c r="B52" s="24" t="inlineStr">
        <is>
          <t>2026-08-02T15:51:41.323824Z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0.6819730000000001</v>
      </c>
      <c r="P52" s="28" t="n"/>
      <c r="Q52" s="28" t="n">
        <v>0.041685</v>
      </c>
      <c r="R52" s="26" t="n">
        <v>41</v>
      </c>
      <c r="S52" s="29" t="n">
        <v>2</v>
      </c>
      <c r="T52" s="24" t="inlineStr">
        <is>
          <t>cs2-tiered-elo-v5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0.6400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fd9cf8a872a6fb2106f2c32f1ebfcd0ded61283a97c1b08ceb3f2a98e39fcf6d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fd9cf8a872a6fb2106f2c32f1ebfcd0ded61283a97c1b08ceb3f2a98e39fcf6d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2026-08-02T15:51:37.423413Z</t>
        </is>
      </c>
      <c r="BI52" s="24" t="inlineStr">
        <is>
          <t>["same_event","same_team_same_day","same_league_same_day"]</t>
        </is>
      </c>
      <c r="BJ52" s="25" t="n"/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inlineStr">
        <is>
          <t>True</t>
        </is>
      </c>
    </row>
    <row r="53" ht="36" customHeight="1">
      <c r="A53" s="24" t="inlineStr">
        <is>
          <t>495eaed7b34a4c93</t>
        </is>
      </c>
      <c r="B53" s="24" t="inlineStr">
        <is>
          <t>2026-08-02T15:51:41.323824Z</t>
        </is>
      </c>
      <c r="C53" s="24" t="inlineStr">
        <is>
          <t>2026-08-03T23:00:00Z</t>
        </is>
      </c>
      <c r="D53" s="24" t="inlineStr">
        <is>
          <t>68043</t>
        </is>
      </c>
      <c r="E53" s="24" t="inlineStr">
        <is>
          <t>CS2</t>
        </is>
      </c>
      <c r="F53" s="24" t="inlineStr">
        <is>
          <t>paiN Academy</t>
        </is>
      </c>
      <c r="G53" s="24" t="inlineStr">
        <is>
          <t>Grêmio Esports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122</v>
      </c>
      <c r="M53" s="27" t="n">
        <v>2.22</v>
      </c>
      <c r="N53" s="28" t="n">
        <v>0.45045</v>
      </c>
      <c r="O53" s="28" t="n">
        <v>0.5697990000000001</v>
      </c>
      <c r="P53" s="28" t="n"/>
      <c r="Q53" s="28" t="n">
        <v>0.119349</v>
      </c>
      <c r="R53" s="26" t="n">
        <v>80</v>
      </c>
      <c r="S53" s="29" t="n">
        <v>1.25</v>
      </c>
      <c r="T53" s="24" t="inlineStr">
        <is>
          <t>cs2-tiered-elo-v5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0.4500 (market_slug=aec-cs2-ger-paina-2026-08-03).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paiN Academy</t>
        </is>
      </c>
      <c r="AQ53" s="24" t="inlineStr">
        <is>
          <t>paiN Academy</t>
        </is>
      </c>
      <c r="AR53" s="24" t="inlineStr">
        <is>
          <t>paiN Academy</t>
        </is>
      </c>
      <c r="AS53" s="24" t="inlineStr">
        <is>
          <t>Grêmio Esports</t>
        </is>
      </c>
      <c r="AT53" s="24" t="inlineStr">
        <is>
          <t>Grêmio Esports</t>
        </is>
      </c>
      <c r="AU53" s="24" t="inlineStr">
        <is>
          <t>Grêmio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fd9cf8a872a6fb2106f2c32f1ebfcd0ded61283a97c1b08ceb3f2a98e39fcf6d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fd9cf8a872a6fb2106f2c32f1ebfcd0ded61283a97c1b08ceb3f2a98e39fcf6d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2026-08-02T15:51:41.320292Z</t>
        </is>
      </c>
      <c r="BI53" s="24" t="inlineStr">
        <is>
          <t>["same_event","same_team_same_day","same_league_same_day"]</t>
        </is>
      </c>
      <c r="BJ53" s="25" t="n"/>
      <c r="BK53" s="26" t="n">
        <v>122</v>
      </c>
      <c r="BL53" s="27" t="n">
        <v>2.22</v>
      </c>
      <c r="BM53" s="28" t="n">
        <v>0.45045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2026-08-02T15:52:53Z</dcterms:created>
  <dcterms:modified xsi:type="dcterms:W3CDTF">2026-08-02T15:52:53Z</dcterms:modified>
</cp:coreProperties>
</file>